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Healthtrixss\Virtix\Mercy\"/>
    </mc:Choice>
  </mc:AlternateContent>
  <xr:revisionPtr revIDLastSave="0" documentId="8_{B4B31D54-3C30-4190-BFC4-4921E6EE0177}" xr6:coauthVersionLast="47" xr6:coauthVersionMax="47" xr10:uidLastSave="{00000000-0000-0000-0000-000000000000}"/>
  <bookViews>
    <workbookView xWindow="-120" yWindow="-120" windowWidth="21840" windowHeight="13020" tabRatio="733" xr2:uid="{00000000-000D-0000-FFFF-FFFF00000000}"/>
  </bookViews>
  <sheets>
    <sheet name="Executive Summary" sheetId="1" r:id="rId1"/>
    <sheet name="Provider Action Matrix" sheetId="2" r:id="rId2"/>
    <sheet name="Control by Layer" sheetId="3" r:id="rId3"/>
    <sheet name="MAO-002 Early Warning" sheetId="4" r:id="rId4"/>
    <sheet name="Plan Data Requirements" sheetId="5" r:id="rId5"/>
    <sheet name="2025 Annual Waterfall" sheetId="9" r:id="rId6"/>
    <sheet name="2025 Monthly Detail" sheetId="8" r:id="rId7"/>
    <sheet name="2025 Model Assumptions" sheetId="7" r:id="rId8"/>
    <sheet name="Sources &amp; Notes" sheetId="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8" l="1"/>
  <c r="B17" i="8"/>
  <c r="C17" i="8" s="1"/>
  <c r="D17" i="8" s="1"/>
  <c r="A17" i="8"/>
  <c r="I16" i="8"/>
  <c r="B16" i="8"/>
  <c r="C16" i="8" s="1"/>
  <c r="D16" i="8" s="1"/>
  <c r="A16" i="8"/>
  <c r="I15" i="8"/>
  <c r="B15" i="8"/>
  <c r="C15" i="8" s="1"/>
  <c r="D15" i="8" s="1"/>
  <c r="A15" i="8"/>
  <c r="I14" i="8"/>
  <c r="B14" i="8"/>
  <c r="A14" i="8"/>
  <c r="I13" i="8"/>
  <c r="B13" i="8"/>
  <c r="A13" i="8"/>
  <c r="I12" i="8"/>
  <c r="B12" i="8"/>
  <c r="A12" i="8"/>
  <c r="I11" i="8"/>
  <c r="B11" i="8"/>
  <c r="C11" i="8" s="1"/>
  <c r="D11" i="8" s="1"/>
  <c r="A11" i="8"/>
  <c r="I10" i="8"/>
  <c r="B10" i="8"/>
  <c r="A10" i="8"/>
  <c r="I9" i="8"/>
  <c r="B9" i="8"/>
  <c r="A9" i="8"/>
  <c r="I8" i="8"/>
  <c r="B8" i="8"/>
  <c r="C8" i="8" s="1"/>
  <c r="D8" i="8" s="1"/>
  <c r="E8" i="8" s="1"/>
  <c r="A8" i="8"/>
  <c r="I7" i="8"/>
  <c r="B7" i="8"/>
  <c r="A7" i="8"/>
  <c r="I6" i="8"/>
  <c r="B6" i="8"/>
  <c r="A6" i="8"/>
  <c r="N36" i="7"/>
  <c r="L36" i="7"/>
  <c r="L35" i="7"/>
  <c r="N35" i="7" s="1"/>
  <c r="N34" i="7"/>
  <c r="L34" i="7"/>
  <c r="N33" i="7"/>
  <c r="L33" i="7"/>
  <c r="L32" i="7"/>
  <c r="N32" i="7" s="1"/>
  <c r="L31" i="7"/>
  <c r="N31" i="7" s="1"/>
  <c r="L30" i="7"/>
  <c r="N30" i="7" s="1"/>
  <c r="N29" i="7"/>
  <c r="L29" i="7"/>
  <c r="L28" i="7"/>
  <c r="N28" i="7" s="1"/>
  <c r="N27" i="7"/>
  <c r="L27" i="7"/>
  <c r="L26" i="7"/>
  <c r="N26" i="7" s="1"/>
  <c r="L25" i="7"/>
  <c r="N25" i="7" s="1"/>
  <c r="B14" i="7"/>
  <c r="B12" i="7"/>
  <c r="B9" i="7"/>
  <c r="G9" i="1"/>
  <c r="E9" i="1"/>
  <c r="C9" i="1"/>
  <c r="A9" i="1"/>
  <c r="E11" i="8" l="1"/>
  <c r="F11" i="8" s="1"/>
  <c r="E15" i="8"/>
  <c r="F15" i="8" s="1"/>
  <c r="E16" i="8"/>
  <c r="F16" i="8" s="1"/>
  <c r="E17" i="8"/>
  <c r="F17" i="8" s="1"/>
  <c r="F8" i="8"/>
  <c r="C10" i="8"/>
  <c r="D10" i="8" s="1"/>
  <c r="C14" i="8"/>
  <c r="D14" i="8" s="1"/>
  <c r="B18" i="8"/>
  <c r="B22" i="8" s="1"/>
  <c r="C6" i="8"/>
  <c r="D6" i="8" s="1"/>
  <c r="C12" i="8"/>
  <c r="D12" i="8" s="1"/>
  <c r="C9" i="8"/>
  <c r="D9" i="8" s="1"/>
  <c r="C7" i="8"/>
  <c r="D7" i="8" s="1"/>
  <c r="C13" i="8"/>
  <c r="D13" i="8" s="1"/>
  <c r="E13" i="8" l="1"/>
  <c r="F13" i="8" s="1"/>
  <c r="E7" i="8"/>
  <c r="F7" i="8" s="1"/>
  <c r="E9" i="8"/>
  <c r="F9" i="8" s="1"/>
  <c r="E12" i="8"/>
  <c r="F12" i="8" s="1"/>
  <c r="E14" i="8"/>
  <c r="F14" i="8" s="1"/>
  <c r="E10" i="8"/>
  <c r="F10" i="8" s="1"/>
  <c r="G17" i="8"/>
  <c r="H17" i="8" s="1"/>
  <c r="J17" i="8" s="1"/>
  <c r="G16" i="8"/>
  <c r="H16" i="8" s="1"/>
  <c r="J16" i="8" s="1"/>
  <c r="G15" i="8"/>
  <c r="H15" i="8" s="1"/>
  <c r="J15" i="8" s="1"/>
  <c r="G11" i="8"/>
  <c r="H11" i="8" s="1"/>
  <c r="J11" i="8" s="1"/>
  <c r="D18" i="8"/>
  <c r="E6" i="8"/>
  <c r="B14" i="9"/>
  <c r="A9" i="9"/>
  <c r="C18" i="8"/>
  <c r="G8" i="8"/>
  <c r="H8" i="8" s="1"/>
  <c r="J8" i="8" s="1"/>
  <c r="E18" i="8" l="1"/>
  <c r="O8" i="8"/>
  <c r="M8" i="8"/>
  <c r="K8" i="8"/>
  <c r="P8" i="8"/>
  <c r="N8" i="8"/>
  <c r="L8" i="8"/>
  <c r="G13" i="8"/>
  <c r="H13" i="8" s="1"/>
  <c r="J13" i="8" s="1"/>
  <c r="O11" i="8"/>
  <c r="P11" i="8"/>
  <c r="N11" i="8"/>
  <c r="K11" i="8"/>
  <c r="M11" i="8"/>
  <c r="L11" i="8"/>
  <c r="P17" i="8"/>
  <c r="O17" i="8"/>
  <c r="N17" i="8"/>
  <c r="M17" i="8"/>
  <c r="L17" i="8"/>
  <c r="K17" i="8"/>
  <c r="R17" i="8" s="1"/>
  <c r="P16" i="8"/>
  <c r="O16" i="8"/>
  <c r="K16" i="8"/>
  <c r="M16" i="8"/>
  <c r="N16" i="8"/>
  <c r="L16" i="8"/>
  <c r="G14" i="8"/>
  <c r="H14" i="8" s="1"/>
  <c r="J14" i="8" s="1"/>
  <c r="C9" i="9"/>
  <c r="B15" i="9"/>
  <c r="G12" i="8"/>
  <c r="H12" i="8" s="1"/>
  <c r="J12" i="8" s="1"/>
  <c r="P15" i="8"/>
  <c r="N15" i="8"/>
  <c r="M15" i="8"/>
  <c r="L15" i="8"/>
  <c r="K15" i="8"/>
  <c r="R15" i="8" s="1"/>
  <c r="O15" i="8"/>
  <c r="G9" i="8"/>
  <c r="H9" i="8" s="1"/>
  <c r="J9" i="8" s="1"/>
  <c r="G7" i="8"/>
  <c r="H7" i="8" s="1"/>
  <c r="J7" i="8" s="1"/>
  <c r="F6" i="8"/>
  <c r="G10" i="8"/>
  <c r="H10" i="8" s="1"/>
  <c r="J10" i="8" s="1"/>
  <c r="Q8" i="8" l="1"/>
  <c r="Q17" i="8"/>
  <c r="O10" i="8"/>
  <c r="M10" i="8"/>
  <c r="L10" i="8"/>
  <c r="K10" i="8"/>
  <c r="R10" i="8" s="1"/>
  <c r="N10" i="8"/>
  <c r="P10" i="8"/>
  <c r="N7" i="8"/>
  <c r="P7" i="8"/>
  <c r="O7" i="8"/>
  <c r="M7" i="8"/>
  <c r="L7" i="8"/>
  <c r="K7" i="8"/>
  <c r="R7" i="8" s="1"/>
  <c r="K13" i="8"/>
  <c r="N13" i="8"/>
  <c r="L13" i="8"/>
  <c r="P13" i="8"/>
  <c r="O13" i="8"/>
  <c r="M13" i="8"/>
  <c r="O12" i="8"/>
  <c r="N12" i="8"/>
  <c r="K12" i="8"/>
  <c r="P12" i="8"/>
  <c r="M12" i="8"/>
  <c r="L12" i="8"/>
  <c r="Q12" i="8" s="1"/>
  <c r="K14" i="8"/>
  <c r="P14" i="8"/>
  <c r="O14" i="8"/>
  <c r="N14" i="8"/>
  <c r="M14" i="8"/>
  <c r="L14" i="8"/>
  <c r="Q14" i="8" s="1"/>
  <c r="O9" i="8"/>
  <c r="N9" i="8"/>
  <c r="M9" i="8"/>
  <c r="L9" i="8"/>
  <c r="K9" i="8"/>
  <c r="P9" i="8"/>
  <c r="Z15" i="8"/>
  <c r="U17" i="8"/>
  <c r="T17" i="8"/>
  <c r="AC17" i="8" s="1"/>
  <c r="AF17" i="8" s="1"/>
  <c r="S17" i="8"/>
  <c r="X17" i="8"/>
  <c r="W17" i="8"/>
  <c r="AI17" i="8" s="1"/>
  <c r="Y17" i="8"/>
  <c r="Z17" i="8"/>
  <c r="AA17" i="8" s="1"/>
  <c r="U15" i="8"/>
  <c r="T15" i="8"/>
  <c r="AC15" i="8" s="1"/>
  <c r="AF15" i="8" s="1"/>
  <c r="S15" i="8"/>
  <c r="T11" i="8"/>
  <c r="AC11" i="8" s="1"/>
  <c r="AF11" i="8" s="1"/>
  <c r="U11" i="8"/>
  <c r="S11" i="8"/>
  <c r="X11" i="8"/>
  <c r="W11" i="8"/>
  <c r="E15" i="9"/>
  <c r="D15" i="9"/>
  <c r="U16" i="8"/>
  <c r="S16" i="8"/>
  <c r="T16" i="8"/>
  <c r="AC16" i="8" s="1"/>
  <c r="AF16" i="8" s="1"/>
  <c r="Z16" i="8"/>
  <c r="AA16" i="8"/>
  <c r="X8" i="8"/>
  <c r="W8" i="8"/>
  <c r="AI8" i="8" s="1"/>
  <c r="AP17" i="8"/>
  <c r="B42" i="9" s="1"/>
  <c r="S8" i="8"/>
  <c r="U8" i="8"/>
  <c r="T8" i="8"/>
  <c r="AC8" i="8" s="1"/>
  <c r="AF8" i="8" s="1"/>
  <c r="Q15" i="8"/>
  <c r="AP15" i="8"/>
  <c r="B40" i="9" s="1"/>
  <c r="X15" i="8"/>
  <c r="W15" i="8"/>
  <c r="AI15" i="8" s="1"/>
  <c r="R11" i="8"/>
  <c r="Z11" i="8"/>
  <c r="Q11" i="8"/>
  <c r="X16" i="8"/>
  <c r="W16" i="8"/>
  <c r="AI16" i="8" s="1"/>
  <c r="C15" i="9"/>
  <c r="R16" i="8"/>
  <c r="F18" i="8"/>
  <c r="B16" i="9" s="1"/>
  <c r="G6" i="8"/>
  <c r="G18" i="8" s="1"/>
  <c r="Q16" i="8"/>
  <c r="R8" i="8"/>
  <c r="Z8" i="8"/>
  <c r="V16" i="8" l="1"/>
  <c r="V15" i="8"/>
  <c r="Q9" i="8"/>
  <c r="Y11" i="8"/>
  <c r="H6" i="8"/>
  <c r="R9" i="8"/>
  <c r="AP9" i="8"/>
  <c r="B34" i="9" s="1"/>
  <c r="AP7" i="8"/>
  <c r="B32" i="9" s="1"/>
  <c r="T13" i="8"/>
  <c r="AC13" i="8" s="1"/>
  <c r="AF13" i="8" s="1"/>
  <c r="S13" i="8"/>
  <c r="U13" i="8"/>
  <c r="V13" i="8" s="1"/>
  <c r="AH11" i="8"/>
  <c r="AB11" i="8"/>
  <c r="AE11" i="8" s="1"/>
  <c r="V11" i="8"/>
  <c r="AA8" i="8"/>
  <c r="AJ8" i="8" s="1"/>
  <c r="V8" i="8"/>
  <c r="X9" i="8"/>
  <c r="W9" i="8"/>
  <c r="AI9" i="8" s="1"/>
  <c r="AH8" i="8"/>
  <c r="AB8" i="8"/>
  <c r="AE8" i="8" s="1"/>
  <c r="Z9" i="8"/>
  <c r="Z14" i="8"/>
  <c r="X7" i="8"/>
  <c r="W7" i="8"/>
  <c r="Y16" i="8"/>
  <c r="AB17" i="8"/>
  <c r="AE17" i="8" s="1"/>
  <c r="AH17" i="8"/>
  <c r="T12" i="8"/>
  <c r="AC12" i="8" s="1"/>
  <c r="AF12" i="8" s="1"/>
  <c r="U12" i="8"/>
  <c r="S12" i="8"/>
  <c r="AD16" i="8"/>
  <c r="AG16" i="8" s="1"/>
  <c r="AP10" i="8"/>
  <c r="B35" i="9" s="1"/>
  <c r="Z13" i="8"/>
  <c r="AA13" i="8" s="1"/>
  <c r="Q13" i="8"/>
  <c r="U9" i="8"/>
  <c r="T9" i="8"/>
  <c r="AC9" i="8" s="1"/>
  <c r="AF9" i="8" s="1"/>
  <c r="S9" i="8"/>
  <c r="V9" i="8" s="1"/>
  <c r="X13" i="8"/>
  <c r="W13" i="8"/>
  <c r="AI13" i="8" s="1"/>
  <c r="AP8" i="8"/>
  <c r="B33" i="9" s="1"/>
  <c r="R13" i="8"/>
  <c r="H18" i="8"/>
  <c r="C22" i="8" s="1"/>
  <c r="C23" i="8" s="1"/>
  <c r="J6" i="8"/>
  <c r="AH15" i="8"/>
  <c r="AB15" i="8"/>
  <c r="AE15" i="8" s="1"/>
  <c r="E16" i="9"/>
  <c r="D16" i="9"/>
  <c r="U14" i="8"/>
  <c r="T14" i="8"/>
  <c r="AC14" i="8" s="1"/>
  <c r="AF14" i="8" s="1"/>
  <c r="S14" i="8"/>
  <c r="U7" i="8"/>
  <c r="T7" i="8"/>
  <c r="AC7" i="8" s="1"/>
  <c r="AF7" i="8" s="1"/>
  <c r="S7" i="8"/>
  <c r="AP16" i="8"/>
  <c r="B41" i="9" s="1"/>
  <c r="Y8" i="8"/>
  <c r="X14" i="8"/>
  <c r="W14" i="8"/>
  <c r="AI14" i="8" s="1"/>
  <c r="Z7" i="8"/>
  <c r="AA7" i="8" s="1"/>
  <c r="AJ17" i="8"/>
  <c r="AJ16" i="8"/>
  <c r="Q7" i="8"/>
  <c r="R14" i="8"/>
  <c r="X10" i="8"/>
  <c r="W10" i="8"/>
  <c r="AI10" i="8" s="1"/>
  <c r="AH16" i="8"/>
  <c r="AB16" i="8"/>
  <c r="AE16" i="8" s="1"/>
  <c r="Q10" i="8"/>
  <c r="AA11" i="8"/>
  <c r="AD11" i="8" s="1"/>
  <c r="AG11" i="8" s="1"/>
  <c r="AP11" i="8"/>
  <c r="B36" i="9" s="1"/>
  <c r="C16" i="9"/>
  <c r="AD17" i="8"/>
  <c r="AG17" i="8" s="1"/>
  <c r="V17" i="8"/>
  <c r="R12" i="8"/>
  <c r="W12" i="8"/>
  <c r="X12" i="8"/>
  <c r="T10" i="8"/>
  <c r="AC10" i="8" s="1"/>
  <c r="AF10" i="8" s="1"/>
  <c r="S10" i="8"/>
  <c r="U10" i="8"/>
  <c r="Y15" i="8"/>
  <c r="AI11" i="8"/>
  <c r="AA15" i="8"/>
  <c r="AD15" i="8" s="1"/>
  <c r="AG15" i="8" s="1"/>
  <c r="Z12" i="8"/>
  <c r="Z10" i="8"/>
  <c r="AA10" i="8" s="1"/>
  <c r="Y7" i="8" l="1"/>
  <c r="V14" i="8"/>
  <c r="Y9" i="8"/>
  <c r="Y13" i="8"/>
  <c r="AD7" i="8"/>
  <c r="AG7" i="8" s="1"/>
  <c r="B47" i="9"/>
  <c r="D47" i="9" s="1"/>
  <c r="AD8" i="8"/>
  <c r="AG8" i="8" s="1"/>
  <c r="AK16" i="8"/>
  <c r="AL16" i="8" s="1"/>
  <c r="V7" i="8"/>
  <c r="AD10" i="8"/>
  <c r="AG10" i="8" s="1"/>
  <c r="P6" i="8"/>
  <c r="P18" i="8" s="1"/>
  <c r="I18" i="9" s="1"/>
  <c r="K18" i="9" s="1"/>
  <c r="O6" i="8"/>
  <c r="N6" i="8"/>
  <c r="J18" i="8"/>
  <c r="M6" i="8"/>
  <c r="K6" i="8"/>
  <c r="L6" i="8"/>
  <c r="L18" i="8" s="1"/>
  <c r="AH10" i="8"/>
  <c r="AB10" i="8"/>
  <c r="AE10" i="8" s="1"/>
  <c r="AJ7" i="8"/>
  <c r="E9" i="9"/>
  <c r="B17" i="9"/>
  <c r="AJ11" i="8"/>
  <c r="AK11" i="8" s="1"/>
  <c r="AH14" i="8"/>
  <c r="AB14" i="8"/>
  <c r="AE14" i="8" s="1"/>
  <c r="AK8" i="8"/>
  <c r="AD14" i="8"/>
  <c r="AG14" i="8" s="1"/>
  <c r="AQ16" i="8"/>
  <c r="D41" i="9" s="1"/>
  <c r="AM16" i="8"/>
  <c r="Y10" i="8"/>
  <c r="AB12" i="8"/>
  <c r="AE12" i="8" s="1"/>
  <c r="AH12" i="8"/>
  <c r="V10" i="8"/>
  <c r="V12" i="8"/>
  <c r="AK17" i="8"/>
  <c r="AI12" i="8"/>
  <c r="Y14" i="8"/>
  <c r="AB13" i="8"/>
  <c r="AE13" i="8" s="1"/>
  <c r="AH13" i="8"/>
  <c r="Y12" i="8"/>
  <c r="AI7" i="8"/>
  <c r="AP14" i="8"/>
  <c r="B39" i="9" s="1"/>
  <c r="AA9" i="8"/>
  <c r="AD9" i="8" s="1"/>
  <c r="AG9" i="8" s="1"/>
  <c r="AJ10" i="8"/>
  <c r="AJ13" i="8"/>
  <c r="AA12" i="8"/>
  <c r="AD12" i="8" s="1"/>
  <c r="AG12" i="8" s="1"/>
  <c r="AP13" i="8"/>
  <c r="B38" i="9" s="1"/>
  <c r="AD13" i="8"/>
  <c r="AG13" i="8" s="1"/>
  <c r="AJ15" i="8"/>
  <c r="AK15" i="8" s="1"/>
  <c r="AP12" i="8"/>
  <c r="B37" i="9" s="1"/>
  <c r="AH9" i="8"/>
  <c r="AB9" i="8"/>
  <c r="AE9" i="8" s="1"/>
  <c r="AA14" i="8"/>
  <c r="AJ14" i="8" s="1"/>
  <c r="AB7" i="8"/>
  <c r="AE7" i="8" s="1"/>
  <c r="AH7" i="8"/>
  <c r="AJ12" i="8" l="1"/>
  <c r="AJ9" i="8"/>
  <c r="AQ15" i="8"/>
  <c r="D40" i="9" s="1"/>
  <c r="AM15" i="8"/>
  <c r="AL15" i="8"/>
  <c r="AQ11" i="8"/>
  <c r="D36" i="9" s="1"/>
  <c r="AM11" i="8"/>
  <c r="AL11" i="8"/>
  <c r="AQ8" i="8"/>
  <c r="D33" i="9" s="1"/>
  <c r="AM8" i="8"/>
  <c r="AL8" i="8"/>
  <c r="AK14" i="8"/>
  <c r="E17" i="9"/>
  <c r="D17" i="9"/>
  <c r="C17" i="9"/>
  <c r="AK13" i="8"/>
  <c r="AK10" i="8"/>
  <c r="AK7" i="8"/>
  <c r="K18" i="8"/>
  <c r="R6" i="8"/>
  <c r="S6" i="8"/>
  <c r="M18" i="8"/>
  <c r="I15" i="9" s="1"/>
  <c r="K15" i="9" s="1"/>
  <c r="U6" i="8"/>
  <c r="T6" i="8"/>
  <c r="AQ17" i="8"/>
  <c r="D42" i="9" s="1"/>
  <c r="AM17" i="8"/>
  <c r="AL17" i="8"/>
  <c r="I14" i="9"/>
  <c r="I20" i="9" s="1"/>
  <c r="G9" i="9"/>
  <c r="I18" i="8"/>
  <c r="X6" i="8"/>
  <c r="X18" i="8" s="1"/>
  <c r="W6" i="8"/>
  <c r="Y6" i="8" s="1"/>
  <c r="Y18" i="8" s="1"/>
  <c r="N18" i="8"/>
  <c r="I16" i="9" s="1"/>
  <c r="K16" i="9" s="1"/>
  <c r="Z6" i="8"/>
  <c r="O18" i="8"/>
  <c r="I17" i="9" s="1"/>
  <c r="K17" i="9" s="1"/>
  <c r="AK12" i="8"/>
  <c r="Q6" i="8"/>
  <c r="Q18" i="8" s="1"/>
  <c r="I19" i="9" s="1"/>
  <c r="K19" i="9" s="1"/>
  <c r="AK9" i="8"/>
  <c r="AN16" i="8"/>
  <c r="C41" i="9" s="1"/>
  <c r="AO16" i="8"/>
  <c r="V6" i="8" l="1"/>
  <c r="V18" i="8" s="1"/>
  <c r="B25" i="9" s="1"/>
  <c r="E25" i="9" s="1"/>
  <c r="K20" i="9"/>
  <c r="AQ7" i="8"/>
  <c r="D32" i="9" s="1"/>
  <c r="AM7" i="8"/>
  <c r="AL7" i="8"/>
  <c r="Z18" i="8"/>
  <c r="AQ10" i="8"/>
  <c r="D35" i="9" s="1"/>
  <c r="AM10" i="8"/>
  <c r="AL10" i="8"/>
  <c r="AA6" i="8"/>
  <c r="AA18" i="8" s="1"/>
  <c r="AQ13" i="8"/>
  <c r="D38" i="9" s="1"/>
  <c r="AM13" i="8"/>
  <c r="AL13" i="8"/>
  <c r="AH6" i="8"/>
  <c r="S18" i="8"/>
  <c r="AB6" i="8"/>
  <c r="U18" i="8"/>
  <c r="AC6" i="8"/>
  <c r="T18" i="8"/>
  <c r="AQ9" i="8"/>
  <c r="D34" i="9" s="1"/>
  <c r="AL9" i="8"/>
  <c r="AM9" i="8"/>
  <c r="AQ12" i="8"/>
  <c r="D37" i="9" s="1"/>
  <c r="AM12" i="8"/>
  <c r="AL12" i="8"/>
  <c r="W18" i="8"/>
  <c r="AI6" i="8"/>
  <c r="AI18" i="8" s="1"/>
  <c r="I22" i="9" s="1"/>
  <c r="K22" i="9" s="1"/>
  <c r="AQ14" i="8"/>
  <c r="D39" i="9" s="1"/>
  <c r="AM14" i="8"/>
  <c r="AL14" i="8"/>
  <c r="AN8" i="8"/>
  <c r="C33" i="9" s="1"/>
  <c r="AO8" i="8"/>
  <c r="AN11" i="8"/>
  <c r="C36" i="9" s="1"/>
  <c r="AO11" i="8"/>
  <c r="R18" i="8"/>
  <c r="AP6" i="8"/>
  <c r="B31" i="9" s="1"/>
  <c r="AN17" i="8"/>
  <c r="C42" i="9" s="1"/>
  <c r="AO17" i="8"/>
  <c r="AN15" i="8"/>
  <c r="C40" i="9" s="1"/>
  <c r="AO15" i="8"/>
  <c r="K14" i="9"/>
  <c r="J14" i="9"/>
  <c r="J15" i="9" s="1"/>
  <c r="J16" i="9" s="1"/>
  <c r="J17" i="9" s="1"/>
  <c r="J18" i="9" s="1"/>
  <c r="J19" i="9" s="1"/>
  <c r="AD6" i="8" l="1"/>
  <c r="B24" i="9"/>
  <c r="AN12" i="8"/>
  <c r="C37" i="9" s="1"/>
  <c r="AO12" i="8"/>
  <c r="AN9" i="8"/>
  <c r="C34" i="9" s="1"/>
  <c r="AO9" i="8"/>
  <c r="AD18" i="8"/>
  <c r="AG6" i="8"/>
  <c r="AG18" i="8" s="1"/>
  <c r="C24" i="9" s="1"/>
  <c r="B23" i="9"/>
  <c r="D23" i="9"/>
  <c r="AB18" i="8"/>
  <c r="AE6" i="8"/>
  <c r="AE18" i="8" s="1"/>
  <c r="C22" i="9" s="1"/>
  <c r="AH18" i="8"/>
  <c r="I21" i="9" s="1"/>
  <c r="AN7" i="8"/>
  <c r="C32" i="9" s="1"/>
  <c r="AO7" i="8"/>
  <c r="AC18" i="8"/>
  <c r="AF6" i="8"/>
  <c r="AF18" i="8" s="1"/>
  <c r="C23" i="9" s="1"/>
  <c r="B22" i="9"/>
  <c r="D22" i="9"/>
  <c r="J20" i="9"/>
  <c r="AP18" i="8"/>
  <c r="I9" i="9" s="1"/>
  <c r="AN13" i="8"/>
  <c r="C38" i="9" s="1"/>
  <c r="AO13" i="8"/>
  <c r="AN10" i="8"/>
  <c r="C35" i="9" s="1"/>
  <c r="AO10" i="8"/>
  <c r="AN14" i="8"/>
  <c r="C39" i="9" s="1"/>
  <c r="AO14" i="8"/>
  <c r="AJ6" i="8"/>
  <c r="AJ18" i="8" s="1"/>
  <c r="I23" i="9" s="1"/>
  <c r="K23" i="9" s="1"/>
  <c r="AK6" i="8" l="1"/>
  <c r="AQ6" i="8" s="1"/>
  <c r="D31" i="9" s="1"/>
  <c r="K21" i="9"/>
  <c r="I24" i="9"/>
  <c r="K24" i="9" s="1"/>
  <c r="J21" i="9"/>
  <c r="J22" i="9" s="1"/>
  <c r="J23" i="9" s="1"/>
  <c r="AL6" i="8"/>
  <c r="B26" i="9"/>
  <c r="E22" i="9"/>
  <c r="C26" i="9"/>
  <c r="E23" i="9"/>
  <c r="AK18" i="8" l="1"/>
  <c r="AM6" i="8"/>
  <c r="AM18" i="8" s="1"/>
  <c r="AN6" i="8"/>
  <c r="C31" i="9" s="1"/>
  <c r="AL18" i="8"/>
  <c r="AO6" i="8"/>
  <c r="D24" i="9"/>
  <c r="AQ18" i="8"/>
  <c r="M9" i="9" s="1"/>
  <c r="B49" i="9" l="1"/>
  <c r="D49" i="9" s="1"/>
  <c r="J24" i="9"/>
  <c r="AN18" i="8"/>
  <c r="K9" i="9" s="1"/>
  <c r="AO18" i="8"/>
  <c r="B48" i="9" s="1"/>
  <c r="D48" i="9" s="1"/>
  <c r="E24" i="9"/>
  <c r="E26" i="9" s="1"/>
  <c r="D26" i="9"/>
  <c r="G26" i="9" s="1"/>
</calcChain>
</file>

<file path=xl/sharedStrings.xml><?xml version="1.0" encoding="utf-8"?>
<sst xmlns="http://schemas.openxmlformats.org/spreadsheetml/2006/main" count="818" uniqueCount="713">
  <si>
    <t>HEALTH TRIXSS | MAO-004 Provider Corrective-Action Workbook</t>
  </si>
  <si>
    <t>Decision support that separates the CMS-coded MAO-004 outcome from the evidence required to establish the operational root cause.</t>
  </si>
  <si>
    <t>Core Operating Principle</t>
  </si>
  <si>
    <t>CMS Fields #25 and #27 describe the final filtering outcome, but they do not uniquely identify the operational root cause. Start with MAO-004 Field #23 Service Type to determine the applicable filtering path. For H outcomes, reconcile CPT/HCPCS from the provider claim, plan encounter, and MAO-002 line detail; for T outcomes, reconcile Type of Bill from the 837I and plan encounter; for D outcomes, use MAO-004 Fields #17, #19, and #21 plus provider/plan submission timestamps; and for linked or blank transactions, use Fields #11, #13, #15, #31, #33, and #35. CPT/HCPCS and Type of Bill are source/encounter data—not separate MAO-004 detail fields.</t>
  </si>
  <si>
    <t>Root-Cause Scenarios</t>
  </si>
  <si>
    <t>Provider / Shared</t>
  </si>
  <si>
    <t>Plan / CMS Controlled</t>
  </si>
  <si>
    <t>Required Data Points</t>
  </si>
  <si>
    <t>Provider Decision Workflow</t>
  </si>
  <si>
    <t>Step</t>
  </si>
  <si>
    <t>Question</t>
  </si>
  <si>
    <t>Decision / Action</t>
  </si>
  <si>
    <t>Primary Owner</t>
  </si>
  <si>
    <t>1</t>
  </si>
  <si>
    <t>What MAO-004 status and reason did CMS return?</t>
  </si>
  <si>
    <t>Treat the combination as the coded outcome family—not as the final root-cause determination.</t>
  </si>
  <si>
    <t>Plan risk-adjustment operations</t>
  </si>
  <si>
    <t>2</t>
  </si>
  <si>
    <t>What occurred at the encounter and service-line level?</t>
  </si>
  <si>
    <t>Pull MAO-002 header/line status, affected line number, edit code, and edit description.</t>
  </si>
  <si>
    <t>Plan encounter-data team</t>
  </si>
  <si>
    <t>3</t>
  </si>
  <si>
    <t>Do provider source values match the plan-submitted EDPS values?</t>
  </si>
  <si>
    <t>Compare CPT/HCPCS, Type of Bill, claim type, diagnosis linkage, service lines, and transaction history.</t>
  </si>
  <si>
    <t>Provider EDI and plan encounter operations</t>
  </si>
  <si>
    <t>4</t>
  </si>
  <si>
    <t>Which evidence proves the timing and ownership?</t>
  </si>
  <si>
    <t>Compare provider submission, clearinghouse acceptance, plan receipt, adjudication, EDPS submission, and CMS deadline.</t>
  </si>
  <si>
    <t>Provider relations / delegated oversight</t>
  </si>
  <si>
    <t>5</t>
  </si>
  <si>
    <t>Where must the correction occur?</t>
  </si>
  <si>
    <t>Fix supported source-claim errors at the provider; fix mapping, linkage, construction, and EDPS errors at the plan/vendor.</t>
  </si>
  <si>
    <t>Confirmed root-cause owner</t>
  </si>
  <si>
    <t>Provider Control Legend</t>
  </si>
  <si>
    <t>Provider evidence demonstrates a supported source-data correction, but the plan must process and submit the corrected EDPS transaction.</t>
  </si>
  <si>
    <t>The provider source claim is accurate, or the failure occurred in plan mapping, linkage, encounter construction, timing, or CMS filtering.</t>
  </si>
  <si>
    <t>Outcome ≠ Root Cause</t>
  </si>
  <si>
    <t>The same MAO-004 result can represent multiple scenarios. Use the Scenario ID and required-data decision test before assigning accountability.</t>
  </si>
  <si>
    <t>Health Trixss operational reference | Educational and workflow support only; apply current CMS guidance, contract terms, and compliance review.</t>
  </si>
  <si>
    <t>HEALTH TRIXSS | MAO-004 Provider Root-Cause &amp; Corrective-Action Matrix</t>
  </si>
  <si>
    <t>CMS supplies Fields #25 and #27 as the coded outcome. Use MAO-004 service, submission, and linkage fields plus source-claim and MAO-002 detail to establish the actual root cause.</t>
  </si>
  <si>
    <t>ROOT-CAUSE FIELD LOGIC: Start with Field #23 Service Type. For Reason H, evaluate CPT/HCPCS from the source claim/837 and MAO-002 line results. For Reason T, evaluate Type of Bill from the 837I/plan encounter. For Reason D, use Fields #17, #19, and #21 with submission timestamps and the CMS deadline. For linked/blank transactions, use Fields #11, #13, #15, #31, #33, and #35. CPT/HCPCS and Type of Bill are not discrete MAO-004 detail fields.</t>
  </si>
  <si>
    <t>Scenario ID</t>
  </si>
  <si>
    <t>MAO-004 Result Combination</t>
  </si>
  <si>
    <t>MAO-004 Status (#25)</t>
  </si>
  <si>
    <t>MAO-004 Reason (#27)</t>
  </si>
  <si>
    <t>Root-Cause Field(s) Used with #25/#27</t>
  </si>
  <si>
    <t>CMS-Coded Outcome</t>
  </si>
  <si>
    <t>Additional Data Required to Confirm Root Cause</t>
  </si>
  <si>
    <t>Root-Cause Decision Test</t>
  </si>
  <si>
    <t>Confirmed Control Owner</t>
  </si>
  <si>
    <t>Corrective Action</t>
  </si>
  <si>
    <t>Where the Fix Occurs</t>
  </si>
  <si>
    <t>A-01</t>
  </si>
  <si>
    <t>A + blank</t>
  </si>
  <si>
    <t>A</t>
  </si>
  <si>
    <t>Blank</t>
  </si>
  <si>
    <t>MAO-004 #23 Service Type determines the filtering path. For P/O/DME, compare source and plan-submitted CPT/HCPCS; for I/O, compare Type of Bill. CPT/HCPCS and Type of Bill are not discrete MAO-004 detail fields.</t>
  </si>
  <si>
    <t>CMS allowed the diagnosis after applying the applicable risk-adjustment filtering.</t>
  </si>
  <si>
    <t>MAO-002 acceptance; source claim; plan encounter record; MAO-004 row; MOR/HCC reconciliation.</t>
  </si>
  <si>
    <t>Confirm the provider source values and plan-submitted encounter values match. If they match, an absent HCC is not an MAO-004 rejection root cause.</t>
  </si>
  <si>
    <t>No provider defect</t>
  </si>
  <si>
    <t>No MAO-004 correction. Reconcile downstream HCC/model results. Correct the source claim only when a factual coding or diagnosis error is identified.</t>
  </si>
  <si>
    <t>Plan risk-adjustment reconciliation; provider EHR/coding only for a supported source-data correction.</t>
  </si>
  <si>
    <t>H-01</t>
  </si>
  <si>
    <t>D + H</t>
  </si>
  <si>
    <t>D</t>
  </si>
  <si>
    <t>H</t>
  </si>
  <si>
    <t>MAO-004 #23 Service Type + provider/plan CPT/HCPCS values + MAO-002 accepted-line status. Use CPT/HCPCS because #27=H; the actual procedure code must come from the 837/claim or plan encounter extract.</t>
  </si>
  <si>
    <t>CMS found no accepted service line containing an allowable CPT/HCPCS code.</t>
  </si>
  <si>
    <t>Medical record; charge detail; provider source claim; submitted CPT/HCPCS; accepted service lines.</t>
  </si>
  <si>
    <t>The medical record supports a different procedure, an omitted qualifying service, or a source-claim configuration error.</t>
  </si>
  <si>
    <t>Submit a supported corrected claim. The plan must process it and submit the corrected or replacement encounter to EDPS.</t>
  </si>
  <si>
    <t>Provider coding, charge capture, claim scrubber, or billing system; then the plan encounter-submission process.</t>
  </si>
  <si>
    <t>H-02</t>
  </si>
  <si>
    <t>MAO-004 #23 Service Type + MAO-002 line number, line status, five-digit edit code, and provider/plan CPT/HCPCS. This distinguishes a rejected qualifying line from an absent or nonqualifying line.</t>
  </si>
  <si>
    <t>MAO-002 line number; accepted/rejected status; five-digit edit code and description; provider source line.</t>
  </si>
  <si>
    <t>The qualifying procedure exists on the provider claim, but the qualifying line is rejected on MAO-002.</t>
  </si>
  <si>
    <t>Depends on MAO-002 edit</t>
  </si>
  <si>
    <t>Correct the exact rejected data element when it originated in provider data; otherwise require the plan/vendor to correct the encounter construction or submission.</t>
  </si>
  <si>
    <t>Provider billing/EDI, clearinghouse, or plan encounter platform—determined by the specific edit and source-to-EDPS comparison.</t>
  </si>
  <si>
    <t>H-03</t>
  </si>
  <si>
    <t>MAO-004 #23 Service Type + all accepted CPT/HCPCS lines + the applicable service-year allowable CPT/HCPCS list. CPT/HCPCS values are obtained outside MAO-004.</t>
  </si>
  <si>
    <t>All accepted lines; provider source claim; applicable service-year allowable CPT/HCPCS logic.</t>
  </si>
  <si>
    <t>The source claim and EDPS encounter match, and every accepted procedure accurately represents a legitimately nonqualifying service.</t>
  </si>
  <si>
    <t>CMS rule / No provider defect</t>
  </si>
  <si>
    <t>Do not alter the claim. Determine whether another valid, documented, eligible encounter supports the diagnosis.</t>
  </si>
  <si>
    <t>No correction to the existing claim; plan risk-adjustment reconciliation and other-encounter review.</t>
  </si>
  <si>
    <t>H-04</t>
  </si>
  <si>
    <t>MAO-004 #23 Service Type + provider 837/claim CPT/HCPCS + plan-submitted EDPS line values + MAO-002 line detail. A source-to-EDPS mismatch identifies a plan/vendor construction issue.</t>
  </si>
  <si>
    <t>Provider 837/claim image; plan-adjudicated claim; plan EDPS encounter extract; MAO-002 line detail.</t>
  </si>
  <si>
    <t>The provider source claim contains the qualifying line, but the plan-submitted EDPS record omitted, altered, or failed to propagate it.</t>
  </si>
  <si>
    <t>Plan / Vendor</t>
  </si>
  <si>
    <t>Correct the plan mapping, encounter construction, replacement linkage, or submission logic and resubmit the accurate encounter.</t>
  </si>
  <si>
    <t>MA-plan encounter warehouse, EDI mapping layer, delegated submitter, or encounter-data vendor.</t>
  </si>
  <si>
    <t>T-01</t>
  </si>
  <si>
    <t>D + T</t>
  </si>
  <si>
    <t>T</t>
  </si>
  <si>
    <t>MAO-004 #23 Service Type + provider and plan-submitted Type of Bill + MAO-002 preliminary reason PT when available. Type of Bill is obtained from the 837I/claim or plan encounter extract, not from a separate MAO-004 field.</t>
  </si>
  <si>
    <t>CMS determined the institutional Type of Bill was not allowable under the filtering logic.</t>
  </si>
  <si>
    <t>Medical record; care setting; provider UB-04/837I; source Type of Bill; plan-submitted Type of Bill.</t>
  </si>
  <si>
    <t>The actual setting or transaction supports a different Type of Bill than the value on the provider source claim.</t>
  </si>
  <si>
    <t>Submit a supported corrected institutional claim. The plan must submit the corrected or replacement encounter.</t>
  </si>
  <si>
    <t>Facility patient-accounting or institutional-billing system; then plan institutional EDI/EDPS processing.</t>
  </si>
  <si>
    <t>T-02</t>
  </si>
  <si>
    <t>MAO-004 #23 Service Type + accurate source/plan Type of Bill + applicable CMS Type-of-Bill eligibility logic. Matching values with a nonqualifying setting indicate no provider defect.</t>
  </si>
  <si>
    <t>Provider source Type of Bill; plan EDPS Type of Bill; care-setting evidence; applicable CMS filtering logic.</t>
  </si>
  <si>
    <t>The source and EDPS values match, the Type of Bill is accurate, and the setting is legitimately nonqualifying.</t>
  </si>
  <si>
    <t>Do not change an accurate Type of Bill. Search for another eligible, documented encounter when appropriate.</t>
  </si>
  <si>
    <t>No source-claim correction; plan risk-adjustment reconciliation.</t>
  </si>
  <si>
    <t>T-03</t>
  </si>
  <si>
    <t>MAO-004 #23 Service Type + source/plan Type of Bill + #13 Linked ICN + #15 linked-record status + active encounter history. Use these fields to detect stale or incorrectly linked institutional records.</t>
  </si>
  <si>
    <t>Provider 837I; corrected-claim history; plan encounter extract; active and linked ICNs; MAO-002/MAO-004 history.</t>
  </si>
  <si>
    <t>The provider submitted the accurate or corrected Type of Bill, but the plan EDPS record differs or an older encounter remains active.</t>
  </si>
  <si>
    <t>Correct the plan mapping or active-record linkage and submit the accurate replacement, void, or correction.</t>
  </si>
  <si>
    <t>Plan institutional EDI, encounter repository, ICN-linkage process, or delegated encounter vendor.</t>
  </si>
  <si>
    <t>D-01</t>
  </si>
  <si>
    <t>D + D</t>
  </si>
  <si>
    <t>MAO-004 #17 Encounter Submission Date + #19 From DOS + #21 Through DOS + applicable CMS deadline. Supplement with provider transmission, clearinghouse acceptance, and plan receipt timestamps.</t>
  </si>
  <si>
    <t>CMS applied the applicable risk-adjustment submission deadline condition.</t>
  </si>
  <si>
    <t>Date of service; provider claim creation and submission; clearinghouse acceptance; plan receipt; correction date; CMS deadline.</t>
  </si>
  <si>
    <t>The provider's original or corrected transaction reached the plan too late to complete the CMS submission process.</t>
  </si>
  <si>
    <t>Provider for prevention</t>
  </si>
  <si>
    <t>Submit the accurate transaction, then remediate unbilled accounts, coding holds, claim edits, clearinghouse rejects, and correction turnaround.</t>
  </si>
  <si>
    <t>Provider revenue-cycle, coding, medical-record completion, and EDI work queues.</t>
  </si>
  <si>
    <t>D-02</t>
  </si>
  <si>
    <t>MAO-004 #17 Encounter Submission Date + #19/#21 DOS + CMS deadline, compared with provider receipt, plan adjudication, queue, and EDPS submission timestamps.</t>
  </si>
  <si>
    <t>Provider submission and payer-receipt proof; plan adjudication date; exception-queue history; EDPS submission timestamp; CMS deadline.</t>
  </si>
  <si>
    <t>The plan received complete data timely but submitted it late, failed to release it from a queue, or delayed the correction.</t>
  </si>
  <si>
    <t>Require a plan-side root-cause analysis and corrective-action plan; correct encounter workflow and submit if an allowable window remains.</t>
  </si>
  <si>
    <t>Plan claims operations, encounter-data operations, delegated entity, or encounter vendor.</t>
  </si>
  <si>
    <t>Q-01</t>
  </si>
  <si>
    <t>A + Q</t>
  </si>
  <si>
    <t>Q</t>
  </si>
  <si>
    <t>MAO-004 #23 Service Type + prior/current #25/#27 results + source CPT/HCPCS + the applicable quarterly allowable-code list. CPT/HCPCS is external to MAO-004.</t>
  </si>
  <si>
    <t>CMS allowed a record after a quarterly CPT/HCPCS update or reprocessing.</t>
  </si>
  <si>
    <t>Prior and current MAO-004 records; encounter ICN; service line; reconciliation result.</t>
  </si>
  <si>
    <t>The same encounter moved from a prior disallowed outcome to allowed because CMS updated or reapplied filtering logic.</t>
  </si>
  <si>
    <t>CMS / Plan reconciliation</t>
  </si>
  <si>
    <t>No provider correction is normally required. Confirm the favorable result is reflected in downstream reconciliation.</t>
  </si>
  <si>
    <t>Plan risk-adjustment reconciliation and reporting.</t>
  </si>
  <si>
    <t>N-01</t>
  </si>
  <si>
    <t>N + N</t>
  </si>
  <si>
    <t>N</t>
  </si>
  <si>
    <t>MAO-004 #23 Service Type (typically N) + source claim type/Type of Bill + MAO-002 preliminary PN result. Source claim fields are needed to confirm the not-applicable classification.</t>
  </si>
  <si>
    <t>CMS categorized the encounter's service type as not applicable for risk adjustment.</t>
  </si>
  <si>
    <t>Provider claim type and service category; plan encounter classification; MAO-002 service type; plan mapping.</t>
  </si>
  <si>
    <t>The provider source and plan encounter classification match and accurately represent a service that is not applicable.</t>
  </si>
  <si>
    <t>No correction to the source claim. Reconcile other eligible encounters where appropriate.</t>
  </si>
  <si>
    <t>Plan encounter/risk-adjustment reconciliation.</t>
  </si>
  <si>
    <t>N-02</t>
  </si>
  <si>
    <t>MAO-004 #23 Service Type + provider claim type/Type of Bill + plan encounter classification + MAO-002 PN. A source-to-EDPS mismatch identifies provider or plan misclassification.</t>
  </si>
  <si>
    <t>Provider source claim; payer routing; claim type; plan encounter classification; mapping specifications; MAO-002 service type.</t>
  </si>
  <si>
    <t>The source claim or plan-submitted encounter is misclassified, causing an incorrect not-applicable service type.</t>
  </si>
  <si>
    <t>Provider or Plan</t>
  </si>
  <si>
    <t>Correct the provider source claim when it is wrong; otherwise correct the plan classification or mapping and resubmit.</t>
  </si>
  <si>
    <t>Provider billing/EDI or plan encounter mapping—determined by the source-to-EDPS mismatch.</t>
  </si>
  <si>
    <t>BL-01</t>
  </si>
  <si>
    <t>Blank + blank</t>
  </si>
  <si>
    <t>MAO-004 #11 Encounter Type Switch + #13 Linked ICN + #15 linked-record status + #31 Diagnosis Code + #33 Add/Delete Flag + #35 additional diagnosis/add-delete details.</t>
  </si>
  <si>
    <t>CMS did not apply a normal allowed/disallowed determination for the linked transaction, such as certain voids or chart-review deletes.</t>
  </si>
  <si>
    <t>Encounter ICN; original/linked ICN; diagnosis add/delete flag; frequency code; active-record status; transaction history.</t>
  </si>
  <si>
    <t>Confirm the void, delete, or replacement is linked to the intended active encounter and produced the intended diagnosis state.</t>
  </si>
  <si>
    <t>Shared / Plan-led</t>
  </si>
  <si>
    <t>Correct source-claim facts when necessary; otherwise correct the EDPS linkage, transaction type, or active-record sequence.</t>
  </si>
  <si>
    <t>Provider billing for source corrections; plan encounter reconciliation for linked-ICN and active-record corrections.</t>
  </si>
  <si>
    <t>Health Trixss operational reference | Fields #25 and #27 identify the CMS-coded outcome; the root cause is confirmed with Field #23 and other MAO-004 fields plus MAO-002 and source-to-EDPS evidence.</t>
  </si>
  <si>
    <t>HEALTH TRIXSS | Root-Cause Control by Operational Layer</t>
  </si>
  <si>
    <t>Use this sheet to determine whether a provider group can directly correct the root cause, must coordinate with the MA plan, or can only escalate.</t>
  </si>
  <si>
    <t>Root-Cause Layer</t>
  </si>
  <si>
    <t>Typical Examples</t>
  </si>
  <si>
    <t>Provider Control</t>
  </si>
  <si>
    <t>Plan / Vendor Responsibility</t>
  </si>
  <si>
    <t>Recommended Owner</t>
  </si>
  <si>
    <t>Required Evidence</t>
  </si>
  <si>
    <t>Clinical documentation / EHR</t>
  </si>
  <si>
    <t>Unsupported diagnosis; omitted assessment; wrong service date; diagnosis not documented during an eligible encounter.</t>
  </si>
  <si>
    <t>Direct control over accurate, timely documentation and compliant clinical corrections.</t>
  </si>
  <si>
    <t>EHR note, diagnosis entry, addendum workflow, clinical documentation improvement process.</t>
  </si>
  <si>
    <t>Use only supported diagnoses and reconcile submitted encounter data.</t>
  </si>
  <si>
    <t>Medical director / CDI lead</t>
  </si>
  <si>
    <t>Signed medical record, addendum history, audit trail, and coding query.</t>
  </si>
  <si>
    <t>Coding and charge capture</t>
  </si>
  <si>
    <t>Wrong ICD-10-CM, CPT/HCPCS, modifier, units, or diagnosis-to-line linkage.</t>
  </si>
  <si>
    <t>Direct control when correction is supported by the medical record.</t>
  </si>
  <si>
    <t>Coding work queue, charge router, claim scrubber, practice-management system.</t>
  </si>
  <si>
    <t>Adjudicate the corrected claim and propagate corrected data into EDPS.</t>
  </si>
  <si>
    <t>Coding manager / revenue-cycle lead</t>
  </si>
  <si>
    <t>Coder validation, charge detail, original/corrected claim, and audit trail.</t>
  </si>
  <si>
    <t>Facility billing</t>
  </si>
  <si>
    <t>Wrong Type of Bill, frequency code, revenue code, discharge status, or institutional transaction type.</t>
  </si>
  <si>
    <t>Direct control over source UB-04/837I data.</t>
  </si>
  <si>
    <t>Hospital patient-accounting and institutional-billing systems.</t>
  </si>
  <si>
    <t>Accept corrected institutional claim and submit the corrected encounter.</t>
  </si>
  <si>
    <t>Facility billing director</t>
  </si>
  <si>
    <t>UB-04, 837I, claim history, payer acceptance, and supporting facility documentation.</t>
  </si>
  <si>
    <t>Claim transmission</t>
  </si>
  <si>
    <t>Clearinghouse rejection, claim never received, corrected claim not transmitted, or payer routing failure.</t>
  </si>
  <si>
    <t>Shared with the clearinghouse and payer.</t>
  </si>
  <si>
    <t>EDI gateway, clearinghouse portal, reject work queue, payer claim portal.</t>
  </si>
  <si>
    <t>Expose acceptance/rejection status and process the received transaction.</t>
  </si>
  <si>
    <t>Provider EDI lead</t>
  </si>
  <si>
    <t>999, 277CA, payer acknowledgement, portal receipt, and transmission timestamps.</t>
  </si>
  <si>
    <t>Plan adjudication and encounter construction</t>
  </si>
  <si>
    <t>Plan changes, translates, combines, or omits claim fields when constructing the EDPS encounter.</t>
  </si>
  <si>
    <t>No direct EDPS control; provider can supply source evidence and challenge discrepancies.</t>
  </si>
  <si>
    <t>MA-plan claims platform, encounter warehouse, mapping engine, or vendor process.</t>
  </si>
  <si>
    <t>Correct mapping/construction logic and submit the accurate encounter.</t>
  </si>
  <si>
    <t>Plan claims and encounter-data operations</t>
  </si>
  <si>
    <t>Provider source claim, plan-adjudicated claim, encounter extract, and mapping specifications.</t>
  </si>
  <si>
    <t>MAO-002 / MAO-004 reconciliation</t>
  </si>
  <si>
    <t>Rejected service line, wrong active ICN, replacement not linked, claim accepted but diagnosis disallowed.</t>
  </si>
  <si>
    <t>Provider needs plan-provided detail before it can determine whether a source correction is possible.</t>
  </si>
  <si>
    <t>Plan encounter-reconciliation platform and exception-management work queue.</t>
  </si>
  <si>
    <t>Supply edit-level detail, identify the active record, and resubmit the correct transaction.</t>
  </si>
  <si>
    <t>Plan encounter-data reconciliation lead</t>
  </si>
  <si>
    <t>MAO-002 header/line results, MAO-004 result, ICNs, and submission history.</t>
  </si>
  <si>
    <t>CMS filtering rules</t>
  </si>
  <si>
    <t>Allowable CPT/HCPCS list, eligible Type-of-Bill list, service classification, or quarterly update.</t>
  </si>
  <si>
    <t>No control when the source claim is accurate.</t>
  </si>
  <si>
    <t>CMS filtering and reprocessing logic.</t>
  </si>
  <si>
    <t>Apply CMS rules accurately and reconcile subsequent updates.</t>
  </si>
  <si>
    <t>Plan regulatory / risk-adjustment team</t>
  </si>
  <si>
    <t>Applicable CMS guidance, service-year rule, and MAO-004 output.</t>
  </si>
  <si>
    <t>CMS submission deadline</t>
  </si>
  <si>
    <t>Original or corrected encounter submitted after a CMS cutoff.</t>
  </si>
  <si>
    <t>Provider controls its own upstream timeliness; no control over CMS deadline and limited control over plan delays.</t>
  </si>
  <si>
    <t>Provider timely-filing workflows and plan encounter-submission calendar.</t>
  </si>
  <si>
    <t>Submit timely, disclose missed deadlines, and distinguish provider delay from plan/vendor delay.</t>
  </si>
  <si>
    <t>Provider revenue-cycle executive and plan encounter-data executive</t>
  </si>
  <si>
    <t>Provider receipt date, plan receipt date, EDPS submission date, and deadline calendar.</t>
  </si>
  <si>
    <t>HEALTH TRIXSS | MAO-002 Early-Warning Crosswalk</t>
  </si>
  <si>
    <t>MAO-002 supplies encounter and line-level processing detail that helps discriminate root-cause scenarios; it must still be reconciled to provider source data and the plan-submitted encounter.</t>
  </si>
  <si>
    <t>MAO-002 is a root-cause input, not always the root cause by itself: the same edit may originate in provider source data, clearinghouse transformation, plan mapping, or encounter construction.</t>
  </si>
  <si>
    <t>MAO-002 Indicator</t>
  </si>
  <si>
    <t>Meaning</t>
  </si>
  <si>
    <t>Provider Action</t>
  </si>
  <si>
    <t>Provider Fix Location</t>
  </si>
  <si>
    <t>Plan Action</t>
  </si>
  <si>
    <t>PA</t>
  </si>
  <si>
    <t>Preliminary allowable.</t>
  </si>
  <si>
    <t>Monitor the monthly MAO-004 for the final risk-adjustment status; correct only if source data are inaccurate.</t>
  </si>
  <si>
    <t>No routine source correction.</t>
  </si>
  <si>
    <t>Complete final MAO-004 reconciliation.</t>
  </si>
  <si>
    <t>No correction needed</t>
  </si>
  <si>
    <t>PD / PH</t>
  </si>
  <si>
    <t>Preliminary disallowable because no accepted allowable CPT/HCPCS was found.</t>
  </si>
  <si>
    <t>Confirm the procedure is accurate and determine whether the qualifying line was rejected.</t>
  </si>
  <si>
    <t>Coding, charge capture, claim scrubber, or clearinghouse.</t>
  </si>
  <si>
    <t>Provide line-level rejection detail and reprocess a corrected claim.</t>
  </si>
  <si>
    <t>High / Shared</t>
  </si>
  <si>
    <t>PD / PT</t>
  </si>
  <si>
    <t>Preliminary disallowable because Type of Bill was not allowable.</t>
  </si>
  <si>
    <t>Validate the institutional Type of Bill against the source claim and actual care setting.</t>
  </si>
  <si>
    <t>Facility patient-accounting / billing system.</t>
  </si>
  <si>
    <t>Reprocess corrected 837I and submit corrected encounter.</t>
  </si>
  <si>
    <t>PN</t>
  </si>
  <si>
    <t>Preliminary not applicable.</t>
  </si>
  <si>
    <t>Review claim type and service classification. Do not automatically treat the result as a provider error.</t>
  </si>
  <si>
    <t>Provider billing only if source classification is wrong.</t>
  </si>
  <si>
    <t>Validate plan mapping and EDPS classification.</t>
  </si>
  <si>
    <t>Variable / Shared</t>
  </si>
  <si>
    <t>FR</t>
  </si>
  <si>
    <t>Final reject.</t>
  </si>
  <si>
    <t>Obtain the five-digit EDPS edit code, identify the affected header or line, and submit an accurate correction.</t>
  </si>
  <si>
    <t>Depends on the exact edit: EHR, coding, billing, facility billing, or clearinghouse.</t>
  </si>
  <si>
    <t>Supply the exact edit, accept the corrected claim, and resubmit to CMS.</t>
  </si>
  <si>
    <t>Variable</t>
  </si>
  <si>
    <t>HEALTH TRIXSS | Provider Guide to MAO-004 Root-Cause Analysis</t>
  </si>
  <si>
    <t>How provider groups should use the matrix, what information must be requested from the MA plan, and how confirmed root causes affect revenue-cycle and risk-adjustment operations.</t>
  </si>
  <si>
    <t>Purpose and Operating Context</t>
  </si>
  <si>
    <t>The MAO-004 report tells the Medicare Advantage organization whether CMS allowed, disallowed, or classified a diagnosis as not applicable for risk adjustment. It does not, by itself, identify the operational root cause or prove that the provider made an error. The provider group should use the Provider Action Matrix as an exception-triage and accountability tool: first identify the CMS outcome using Fields #25 and #27; then use Field #23, MAO-002 line-level results, source-claim values, plan-submitted encounter values, linked-record fields, and submission timestamps to determine the actual scenario. Only after that reconciliation should work be assigned to coding, billing, EDI, clinical documentation, payer escalation, or plan/vendor operations.</t>
  </si>
  <si>
    <t>How the Provider Group Should Use the Matrix</t>
  </si>
  <si>
    <t>Provider Question</t>
  </si>
  <si>
    <t>Evidence Used</t>
  </si>
  <si>
    <t>Decision / Output</t>
  </si>
  <si>
    <t>Operational Impact</t>
  </si>
  <si>
    <t>What coded outcome did CMS return?</t>
  </si>
  <si>
    <t>Locate the matching matrix row using MAO-004 Status #25 and Reason #27.</t>
  </si>
  <si>
    <t>MAO-004 result, service date, encounter ICN, diagnosis.</t>
  </si>
  <si>
    <t>Outcome family identified: allowed, H, T, D, N, Q, or linked/blank.</t>
  </si>
  <si>
    <t>Prevents the case from being routed to the wrong operational team.</t>
  </si>
  <si>
    <t>Which root-cause fields apply to this outcome?</t>
  </si>
  <si>
    <t>Use the matrix’s Root-Cause Fields column to identify the next data required.</t>
  </si>
  <si>
    <t>Field #23; CPT/HCPCS; Type of Bill; timing fields; linked ICNs; add/delete fields.</t>
  </si>
  <si>
    <t>Required evidence checklist established for the specific scenario.</t>
  </si>
  <si>
    <t>Reduces unnecessary corrected claims and incomplete payer inquiries.</t>
  </si>
  <si>
    <t>Does the provider source claim match what the plan submitted to EDPS?</t>
  </si>
  <si>
    <t>Compare provider 837/claim data with the plan-adjudicated claim and EDPS encounter extract.</t>
  </si>
  <si>
    <t>Source CPT/HCPCS, Type of Bill, claim type, line status, diagnoses, encounter values.</t>
  </si>
  <si>
    <t>Root cause assigned to provider data, clearinghouse transformation, plan/vendor mapping, or CMS filtering.</t>
  </si>
  <si>
    <t>Protects the provider from being assigned responsibility for plan-controlled defects.</t>
  </si>
  <si>
    <t>Can the provider correct the issue?</t>
  </si>
  <si>
    <t>Validate the medical record and determine whether a supported source-claim correction exists.</t>
  </si>
  <si>
    <t>Medical record, charge detail, coding review, claim history, MAO-002 edit detail.</t>
  </si>
  <si>
    <t>Corrected claim, no provider correction, or plan-side remediation and escalation.</t>
  </si>
  <si>
    <t>Directs work to coding, billing, EDI, clinical documentation, or payer relations.</t>
  </si>
  <si>
    <t>Was the correction completed before the applicable deadline?</t>
  </si>
  <si>
    <t>Track provider submission, plan receipt, EDPS resubmission, and final MAO-004 disposition.</t>
  </si>
  <si>
    <t>Provider/clearinghouse timestamps, plan timestamps, CMS deadline, replacement/void ICNs.</t>
  </si>
  <si>
    <t>Exception closed, escalated, or classified as no longer recoverable for the payment run.</t>
  </si>
  <si>
    <t>Supports financial forecasting, SLA monitoring, and prevention of repeat failures.</t>
  </si>
  <si>
    <t>Operational Context and Impact</t>
  </si>
  <si>
    <t>Operational Area</t>
  </si>
  <si>
    <t>How the Matrix Is Used</t>
  </si>
  <si>
    <t>Impact of Incorrect Assignment</t>
  </si>
  <si>
    <t>Suggested Operational Measure</t>
  </si>
  <si>
    <t>Determine whether CPT/HCPCS, diagnosis linkage, modifier, or an omitted service line requires a supported source correction.</t>
  </si>
  <si>
    <t>High when the source claim is inaccurate.</t>
  </si>
  <si>
    <t>Incorrect resubmissions, compliance risk, repeated disallowances, and wasted coder time.</t>
  </si>
  <si>
    <t>% of H scenarios confirmed as provider-source defects</t>
  </si>
  <si>
    <t>Validate whether the Type of Bill accurately reflects the documented care setting and transaction.</t>
  </si>
  <si>
    <t>High when the source 837I/UB-04 is inaccurate.</t>
  </si>
  <si>
    <t>Repeated T outcomes, incorrect claim corrections, and delayed encounter replacement.</t>
  </si>
  <si>
    <t>T scenarios resolved by source correction vs. plan correction</t>
  </si>
  <si>
    <t>Claims and EDI</t>
  </si>
  <si>
    <t>Compare the provider transaction, clearinghouse acknowledgement, payer receipt, and plan encounter values.</t>
  </si>
  <si>
    <t>Shared across provider, clearinghouse, and plan.</t>
  </si>
  <si>
    <t>Unresolved transmission defects, duplicate work, and inability to prove timely submission.</t>
  </si>
  <si>
    <t>Exceptions with complete 999/277CA and payer-receipt evidence</t>
  </si>
  <si>
    <t>Payer relations and escalation</t>
  </si>
  <si>
    <t>Demonstrate when the source claim was correct and the root cause resides in plan mapping, linkage, timing, or encounter construction.</t>
  </si>
  <si>
    <t>Provider can document and escalate but cannot directly fix EDPS.</t>
  </si>
  <si>
    <t>Provider is held accountable for plan-controlled defects; corrective action stalls.</t>
  </si>
  <si>
    <t>Payer relations / delegated oversight</t>
  </si>
  <si>
    <t>Plan-controlled exceptions resolved within SLA</t>
  </si>
  <si>
    <t>Compliance and audit readiness</t>
  </si>
  <si>
    <t>Document why a correction was or was not made and preserve the source-to-EDPS evidence trail.</t>
  </si>
  <si>
    <t>Shared accountability.</t>
  </si>
  <si>
    <t>Unsupported code changes, weak audit defense, and inability to demonstrate appropriate oversight.</t>
  </si>
  <si>
    <t>Compliance / internal audit</t>
  </si>
  <si>
    <t>% exceptions with documented root cause, owner, and closure evidence</t>
  </si>
  <si>
    <t>Detailed Data Requirements for Root-Cause Confirmation</t>
  </si>
  <si>
    <t>Required Data Point</t>
  </si>
  <si>
    <t>How the Provider Uses It</t>
  </si>
  <si>
    <t>Root-Cause Decision Enabled</t>
  </si>
  <si>
    <t>Who Must Supply / System of Record</t>
  </si>
  <si>
    <t>Provider Action If Missing</t>
  </si>
  <si>
    <t>Operational Impact If Unavailable</t>
  </si>
  <si>
    <t>MAO-004 Field #25 — Allowed/Disallowed Status</t>
  </si>
  <si>
    <t>Identify whether CMS coded the diagnosis as allowed, disallowed, not applicable, or blank.</t>
  </si>
  <si>
    <t>Establishes the primary outcome category.</t>
  </si>
  <si>
    <t>MA plan from CMS MAO-004 response.</t>
  </si>
  <si>
    <t>Request the complete MAO-004 record, not a summarized rejection label.</t>
  </si>
  <si>
    <t>The provider cannot select the correct matrix branch.</t>
  </si>
  <si>
    <t>MAO-004 Field #27 — Allowed/Disallowed Reason</t>
  </si>
  <si>
    <t>Identify the H, T, D, Q, N, or blank outcome family.</t>
  </si>
  <si>
    <t>Determines the initial root-cause investigation path.</t>
  </si>
  <si>
    <t>Request the exact reason value and the related diagnosis row.</t>
  </si>
  <si>
    <t>The case may be routed to the wrong team or incorrectly classified as provider error.</t>
  </si>
  <si>
    <t>MAO-004 Field #23 — Service Type</t>
  </si>
  <si>
    <t>Determine whether the outcome should be tested using CPT/HCPCS, Type of Bill, deadline logic, or not-applicable classification.</t>
  </si>
  <si>
    <t>Selects the correct root-cause fields used with #25 and #27.</t>
  </si>
  <si>
    <t>Do not proceed with H, T, or N root-cause assignment until supplied.</t>
  </si>
  <si>
    <t>CPT/HCPCS and Type-of-Bill scenarios may be confused.</t>
  </si>
  <si>
    <t>Provider claim number and payer claim-control number</t>
  </si>
  <si>
    <t>Locate the provider source transaction and payer-adjudicated claim.</t>
  </si>
  <si>
    <t>Links the CMS outcome to the exact operational claim record.</t>
  </si>
  <si>
    <t>Provider billing system and MA-plan claims platform.</t>
  </si>
  <si>
    <t>Open a payer data request and hold provider correction activity.</t>
  </si>
  <si>
    <t>Teams may review or correct the wrong claim.</t>
  </si>
  <si>
    <t>Encounter ICN and original/linked ICN</t>
  </si>
  <si>
    <t>Trace the active CMS encounter family, replacements, voids, and linked transactions.</t>
  </si>
  <si>
    <t>Identifies stale records, incorrect linkage, and corrections that did not become active.</t>
  </si>
  <si>
    <t>MA plan encounter-data system / CMS response.</t>
  </si>
  <si>
    <t>Escalate to the plan encounter-reconciliation team.</t>
  </si>
  <si>
    <t>A valid provider correction may appear unresolved because the wrong encounter remains active.</t>
  </si>
  <si>
    <t>MAO-004 Fields #11, #13, #15, #31, #33, and #35</t>
  </si>
  <si>
    <t>Review transaction type, linked ICN status, diagnosis, and add/delete activity.</t>
  </si>
  <si>
    <t>Distinguishes standard outcomes from void, replacement, chart-review add, or delete scenarios.</t>
  </si>
  <si>
    <t>MA plan from CMS MAO-004 detail.</t>
  </si>
  <si>
    <t>Request the full fixed-length record or a complete field-level extract.</t>
  </si>
  <si>
    <t>The provider may submit unnecessary claims or fail to identify an incorrect delete/void.</t>
  </si>
  <si>
    <t>MAO-002 header status</t>
  </si>
  <si>
    <t>Determine whether the encounter header itself was accepted or rejected.</t>
  </si>
  <si>
    <t>Separates encounter rejection from line-level service filtering.</t>
  </si>
  <si>
    <t>MA plan from CMS MAO-002 response.</t>
  </si>
  <si>
    <t>Request the associated MAO-002 record before assigning corrective ownership.</t>
  </si>
  <si>
    <t>Provider work may target a service line when the encounter header is the actual problem.</t>
  </si>
  <si>
    <t>MAO-002 line number, line status, edit code, and edit description</t>
  </si>
  <si>
    <t>Identify the exact rejected service line and processing edit.</t>
  </si>
  <si>
    <t>Distinguishes a rejected qualifying CPT/HCPCS line from an absent or legitimately nonqualifying service.</t>
  </si>
  <si>
    <t>Reject generic notices such as 'invalid CPT' without the line and edit detail.</t>
  </si>
  <si>
    <t>The provider cannot know which data element to correct.</t>
  </si>
  <si>
    <t>Provider source CPT/HCPCS, Type of Bill, claim type, and diagnosis linkage</t>
  </si>
  <si>
    <t>Confirm what the provider actually billed and whether it matches the medical record.</t>
  </si>
  <si>
    <t>Determines whether the defect originated in provider coding or claim construction.</t>
  </si>
  <si>
    <t>Provider EHR, charge capture, billing system, and 837 archive.</t>
  </si>
  <si>
    <t>Retrieve the original outbound transaction before making corrections.</t>
  </si>
  <si>
    <t>Unsupported corrections and inaccurate accountability assignments may occur.</t>
  </si>
  <si>
    <t>Plan-adjudicated claim and EDPS encounter values</t>
  </si>
  <si>
    <t>Compare plan-received and plan-submitted values to the provider source claim.</t>
  </si>
  <si>
    <t>Identifies omissions, transformations, mapping errors, and stale values introduced downstream.</t>
  </si>
  <si>
    <t>MA-plan claims and encounter-data systems / delegated vendor.</t>
  </si>
  <si>
    <t>Escalate as a plan data requirement; do not assume the provider claim was wrong.</t>
  </si>
  <si>
    <t>Plan-controlled defects may remain unresolved and be repeatedly returned to the provider.</t>
  </si>
  <si>
    <t>Medical record and charge-detail support</t>
  </si>
  <si>
    <t>Validate whether a proposed claim correction is clinically and operationally supported.</t>
  </si>
  <si>
    <t>Confirms the correct source value and protects against outcome-driven coding changes.</t>
  </si>
  <si>
    <t>Provider EHR, CDI, coding, and charge-detail systems.</t>
  </si>
  <si>
    <t>Route to coding/CDI review; do not submit a speculative correction.</t>
  </si>
  <si>
    <t>Compliance exposure and unsupported risk-adjustment submissions.</t>
  </si>
  <si>
    <t>Provider submission and clearinghouse-acceptance timestamps</t>
  </si>
  <si>
    <t>Prove when the original or corrected claim left the provider and passed front-end edits.</t>
  </si>
  <si>
    <t>Tests provider timeliness and transmission success.</t>
  </si>
  <si>
    <t>Provider EDI archive and clearinghouse.</t>
  </si>
  <si>
    <t>Retrieve 999, 277CA, portal, or transmission evidence.</t>
  </si>
  <si>
    <t>Provider may be blamed for plan or vendor delay and cannot defend timely filing.</t>
  </si>
  <si>
    <t>Plan receipt, adjudication, queue, and EDPS-submission timestamps</t>
  </si>
  <si>
    <t>Determine when the plan received, processed, held, and submitted the encounter.</t>
  </si>
  <si>
    <t>Separates provider delay from plan/vendor delay.</t>
  </si>
  <si>
    <t>MA plan / delegated encounter vendor.</t>
  </si>
  <si>
    <t>Escalate through payer relations or delegated oversight.</t>
  </si>
  <si>
    <t>Deadline failures cannot be assigned accurately or prevented.</t>
  </si>
  <si>
    <t>MAO-004 Fields #17, #19, and #21</t>
  </si>
  <si>
    <t>Use encounter submission date and dates of service as the MAO-004 timing context.</t>
  </si>
  <si>
    <t>Supports D-reason deadline analysis when combined with provider and plan timestamps.</t>
  </si>
  <si>
    <t>Request the field-level record and applicable payment-year context.</t>
  </si>
  <si>
    <t>Deadline scenarios may be incorrectly attributed or prioritized.</t>
  </si>
  <si>
    <t>Applicable CMS deadline and payment-year/run context</t>
  </si>
  <si>
    <t>Determine the actual correction cutoff and whether the case is still recoverable.</t>
  </si>
  <si>
    <t>Classifies the exception as actionable, escalated, or closed without payment recovery.</t>
  </si>
  <si>
    <t>MA plan risk-adjustment calendar and current CMS guidance.</t>
  </si>
  <si>
    <t>Require the plan to identify the specific run and deadline.</t>
  </si>
  <si>
    <t>Resources may be spent on cases that cannot affect payment, while recoverable cases are missed.</t>
  </si>
  <si>
    <t>Required corrective transaction</t>
  </si>
  <si>
    <t>Determine whether the provider should send a corrected claim or whether the plan must submit a replacement, void, add, delete, or mapping correction.</t>
  </si>
  <si>
    <t>Assigns the correct remediation path and owner.</t>
  </si>
  <si>
    <t>MA-plan encounter-data team with provider input.</t>
  </si>
  <si>
    <t>Do not resubmit until the requested transaction and active ICN are clear.</t>
  </si>
  <si>
    <t>Duplicates, incorrect voids, and unresolved encounter families may be created.</t>
  </si>
  <si>
    <t>Resubmission acknowledgement and final MAO-002/MAO-004 disposition</t>
  </si>
  <si>
    <t>Confirm that the correction reached CMS and changed the active outcome as intended.</t>
  </si>
  <si>
    <t>Provides objective closure evidence.</t>
  </si>
  <si>
    <t>MA plan from CMS response and reconciliation system.</t>
  </si>
  <si>
    <t>Keep the exception open and escalate if final evidence is not supplied.</t>
  </si>
  <si>
    <t>Cases may be closed administratively even though CMS still shows the original outcome.</t>
  </si>
  <si>
    <t>Provider Operating Rule: Do not create a corrected claim merely because the MAO-004 result is disallowed. First confirm that the provider source data are factually wrong and that the medical record supports the correction. When the provider source claim is accurate, the case should be routed to the MA plan or delegated encounter vendor with the source-to-EDPS comparison and timing evidence.</t>
  </si>
  <si>
    <t>Health Trixss operational reference | Use current CMS guidance, contractual requirements, and compliance review when implementing provider corrective-action workflows.</t>
  </si>
  <si>
    <t>HEALTH TRIXSS | Source References and Use Notes</t>
  </si>
  <si>
    <t>URLs are provided for operational traceability. Confirm the applicable service year, payment year, and current CMS guidance before production use.</t>
  </si>
  <si>
    <t>Source</t>
  </si>
  <si>
    <t>Use in Workbook</t>
  </si>
  <si>
    <t>URL</t>
  </si>
  <si>
    <t>Operational Note</t>
  </si>
  <si>
    <t>CSSC MAO-002 Encounter Data Processing Status guidance</t>
  </si>
  <si>
    <t>MAO-002 acceptance/rejection concepts and line-level early-warning workflow.</t>
  </si>
  <si>
    <t>https://www.csscoperations.com/internet/csscw3_files.nsf/F/CSSCB7_MAO-002_ED_Process_Status_updt_V6_508_review_final.pdf/$FILE/B7_MAO-002_ED_Process_Status_updt_V6_508_review_final.pdf</t>
  </si>
  <si>
    <t>Use the exact edit code and affected header/line to identify the corrective field.</t>
  </si>
  <si>
    <t>CSSC MAO-004 User Guide</t>
  </si>
  <si>
    <t>Final risk-adjustment eligibility status and allowed/disallowed reason interpretation.</t>
  </si>
  <si>
    <t>https://csscoperations.com/internet/csscw3_files.nsf/F2/MAO-004%20User%20Guide.pdf/$FILE/MAO-004%20User%20Guide.pdf</t>
  </si>
  <si>
    <t>MAO-004 is the final risk-adjustment disposition; it is not a substitute for MAO-002 rejection detail.</t>
  </si>
  <si>
    <t>CSSC Encounter Data Submission and Processing Guide</t>
  </si>
  <si>
    <t>Encounter correction, replacement, void, and compliant submission principles.</t>
  </si>
  <si>
    <t>https://www.csscoperations.com/internet/csscw3_files.nsf/F2/ED_Submission_Processing_Guide_20221130_v5.1.pdf/$FILE/ED_Submission_Processing_Guide_20221130_v5.1.pdf</t>
  </si>
  <si>
    <t>Do not alter accurate source values solely to make an encounter qualify for risk adjustment.</t>
  </si>
  <si>
    <t>CMS risk-adjustment submission deadline memorandum</t>
  </si>
  <si>
    <t>Deadline-related scenarios and distinction between preventable operational delay and final CMS cutoff.</t>
  </si>
  <si>
    <t>https://www.cms.gov/files/document/py202420252026submissiondeadlinememog.pdf</t>
  </si>
  <si>
    <t>Confirm the current payment-year deadline and any CMS updates before relying on a prior memorandum.</t>
  </si>
  <si>
    <t>CSSC EDPS Edit Lookup</t>
  </si>
  <si>
    <t>Searchable reference for numeric EDPS edit descriptions and possible causes.</t>
  </si>
  <si>
    <t>https://csscoperations.com/internet/csscw3.nsf/DID/JSKI2CJA34</t>
  </si>
  <si>
    <t>The provider should receive the exact edit code from the MA plan rather than a generic rejection label.</t>
  </si>
  <si>
    <t>CSSC FAQ — MAO-002 acceptance/rejection vs. MAO-004 allowed/disallowed filtering</t>
  </si>
  <si>
    <t>Supports the workbook distinction between a processing outcome and the additional evidence required to identify operational root cause.</t>
  </si>
  <si>
    <t>https://www.csscoperations.com/internet/csscw3.nsf/DID/U3NFLZ5K9V</t>
  </si>
  <si>
    <t>Use MAO-004 to identify final filtering eligibility and MAO-002 plus source-to-EDPS reconciliation to investigate why the outcome occurred.</t>
  </si>
  <si>
    <t>HHS/CMS Phase III MAO-004 File Layout and Phase 4.0 field guidance</t>
  </si>
  <si>
    <t>Defines Field #23 service/claim type, Field #25 status, Field #27 reason, timing fields, linked ICNs, and diagnosis add/delete fields used in the root-cause logic.</t>
  </si>
  <si>
    <t>https://www.hhs.gov/guidance/sites/default/files/hhs-guidance-documents/CMS/phase-iii-mao-004-file-layout-final-20170322.pdf</t>
  </si>
  <si>
    <t>Phase 4.0 retained the 500-byte layout and identifies Field #23 as Service Type; combine these MAO-004 fields with MAO-002 and source-claim data.</t>
  </si>
  <si>
    <t>Health Trixss 2025 Annual Waterfall Model</t>
  </si>
  <si>
    <t>Documents the synthetic assumptions and formula-driven provider-to-plan-to-CMS annual waterfall added to this workbook.</t>
  </si>
  <si>
    <t>Internal illustrative model — no external URL</t>
  </si>
  <si>
    <t>All volumes, rates, root-cause shares, and correction assumptions are editable on the 2025 Model Assumptions tab. The model is not actual production or CMS data.</t>
  </si>
  <si>
    <t>HEALTH TRIXSS | 2025 Provider-to-Plan-to-CMS Waterfall Assumptions</t>
  </si>
  <si>
    <t>Synthetic but realistic annual model for a mid-sized provider group. Values are illustrative and are not actual provider, health-plan, or CMS production data.</t>
  </si>
  <si>
    <t>Root-Cause and Correction Assumptions</t>
  </si>
  <si>
    <t>Assumption</t>
  </si>
  <si>
    <t>Value</t>
  </si>
  <si>
    <t>Used For</t>
  </si>
  <si>
    <t>Model Interpretation</t>
  </si>
  <si>
    <t>H — Provider source share</t>
  </si>
  <si>
    <t>D + H root-cause allocation</t>
  </si>
  <si>
    <t>Incorrect/omitted CPT/HCPCS or provider claim construction.</t>
  </si>
  <si>
    <t>H — Shared MAO-002/edit share</t>
  </si>
  <si>
    <t>Requires line-level edit analysis; ownership depends on source-to-EDPS comparison.</t>
  </si>
  <si>
    <t>H — Plan/vendor share</t>
  </si>
  <si>
    <t>Qualifying line omitted, altered, or not propagated in plan encounter construction.</t>
  </si>
  <si>
    <t>H — CMS rule/no-defect share</t>
  </si>
  <si>
    <t>Accurately coded service is legitimately nonqualifying.</t>
  </si>
  <si>
    <t>T — Provider source share</t>
  </si>
  <si>
    <t>D + T root-cause allocation</t>
  </si>
  <si>
    <t>Provider institutional Type of Bill is inaccurate.</t>
  </si>
  <si>
    <t>T — Plan/vendor share</t>
  </si>
  <si>
    <t>Plan mapping, active-record, or replacement-linkage issue.</t>
  </si>
  <si>
    <t>T — CMS rule/no-defect share</t>
  </si>
  <si>
    <t>Accurate Type of Bill is legitimately nonqualifying.</t>
  </si>
  <si>
    <t>D — Provider timing share</t>
  </si>
  <si>
    <t>D + D root-cause allocation</t>
  </si>
  <si>
    <t>Provider original/corrected claim reached plan too late.</t>
  </si>
  <si>
    <t>D — Plan/vendor timing share</t>
  </si>
  <si>
    <t>Plan received timely data but submitted or released it late.</t>
  </si>
  <si>
    <t>Provider correction completion rate</t>
  </si>
  <si>
    <t>Correction workflow</t>
  </si>
  <si>
    <t>Share of provider-controlled candidates corrected and transmitted.</t>
  </si>
  <si>
    <t>Shared/edit correction completion rate</t>
  </si>
  <si>
    <t>Share of edit-dependent candidates resolved after MAO-002 analysis.</t>
  </si>
  <si>
    <t>Plan/vendor correction completion rate</t>
  </si>
  <si>
    <t>Share of plan-controlled candidates corrected and resubmitted.</t>
  </si>
  <si>
    <t>H correction acceptance rate</t>
  </si>
  <si>
    <t>Additional allowed H</t>
  </si>
  <si>
    <t>Corrected H records that become allowed after resubmission.</t>
  </si>
  <si>
    <t>T correction acceptance rate</t>
  </si>
  <si>
    <t>Additional allowed T</t>
  </si>
  <si>
    <t>Corrected T records that become allowed after resubmission.</t>
  </si>
  <si>
    <t>D provider net recovery rate</t>
  </si>
  <si>
    <t>Additional allowed D</t>
  </si>
  <si>
    <t>Net recoverability after provider lateness and remaining submission windows.</t>
  </si>
  <si>
    <t>D plan/vendor net recovery rate</t>
  </si>
  <si>
    <t>Net recoverability when plan/vendor delay is corrected before the applicable cutoff.</t>
  </si>
  <si>
    <t>Monthly Volume and Response-Rate Inputs</t>
  </si>
  <si>
    <t>Month</t>
  </si>
  <si>
    <t>Provider Encounters</t>
  </si>
  <si>
    <t>Plan Reject %</t>
  </si>
  <si>
    <t>EDPS Hold %</t>
  </si>
  <si>
    <t>MAO-002 Reject %</t>
  </si>
  <si>
    <t>Avg Dx / Accepted Encounter</t>
  </si>
  <si>
    <t>A + blank %</t>
  </si>
  <si>
    <t>A + Q %</t>
  </si>
  <si>
    <t>D + H %</t>
  </si>
  <si>
    <t>D + T %</t>
  </si>
  <si>
    <t>D + D %</t>
  </si>
  <si>
    <t>N + N %</t>
  </si>
  <si>
    <t>Linked / Blank %</t>
  </si>
  <si>
    <t>Distribution Check</t>
  </si>
  <si>
    <t>Model scope: The encounter waterfall uses encounter-level counts through the MAO-002 response. The diagnosis waterfall changes units after MAO-002 acceptance and uses diagnosis-level MAO-004 results. The model assumes improving submission quality during 2025, moderate correction completion, and a lower recovery rate for deadline-coded D outcomes. All monthly volumes and rates are editable assumptions; downstream sheets calculate automatically.</t>
  </si>
  <si>
    <t>HEALTH TRIXSS | 2025 Monthly Provider-to-CMS Submission Detail</t>
  </si>
  <si>
    <t>Formula-driven monthly reconciliation from provider encounter submission through plan intake, MAO-002 processing, MAO-004 diagnosis outcomes, corrective action, and final allowed diagnoses.</t>
  </si>
  <si>
    <t>Provider Submission</t>
  </si>
  <si>
    <t>Health Plan Intake / EDPS</t>
  </si>
  <si>
    <t>MAO-002 Response</t>
  </si>
  <si>
    <t>MAO-004 Diagnosis Outcomes</t>
  </si>
  <si>
    <t>Root-Cause Allocation</t>
  </si>
  <si>
    <t>Corrective Workload</t>
  </si>
  <si>
    <t>Recovery and Final Outcome</t>
  </si>
  <si>
    <t>Rates and Controls</t>
  </si>
  <si>
    <t>Provider Encounters Submitted</t>
  </si>
  <si>
    <t>Plan Intake Rejects</t>
  </si>
  <si>
    <t>Plan Accepted</t>
  </si>
  <si>
    <t>Plan EDPS Holds</t>
  </si>
  <si>
    <t>EDPS Submitted</t>
  </si>
  <si>
    <t>MAO-002 Rejects</t>
  </si>
  <si>
    <t>MAO-002 Accepted</t>
  </si>
  <si>
    <t>Diagnoses Evaluated</t>
  </si>
  <si>
    <t>Linked / Blank</t>
  </si>
  <si>
    <t>Initial Allowed</t>
  </si>
  <si>
    <t>H Provider</t>
  </si>
  <si>
    <t>H Shared/Edit</t>
  </si>
  <si>
    <t>H Plan/Vendor</t>
  </si>
  <si>
    <t>H No Defect</t>
  </si>
  <si>
    <t>T Provider</t>
  </si>
  <si>
    <t>T Plan/Vendor</t>
  </si>
  <si>
    <t>T No Defect</t>
  </si>
  <si>
    <t>D Provider Late</t>
  </si>
  <si>
    <t>D Plan Late</t>
  </si>
  <si>
    <t>Provider Candidates</t>
  </si>
  <si>
    <t>Shared Candidates</t>
  </si>
  <si>
    <t>Plan Candidates</t>
  </si>
  <si>
    <t>Provider Corrections Submitted</t>
  </si>
  <si>
    <t>Shared Corrections Submitted</t>
  </si>
  <si>
    <t>Plan Corrections Submitted</t>
  </si>
  <si>
    <t>Additional Allowed H</t>
  </si>
  <si>
    <t>Additional Allowed T</t>
  </si>
  <si>
    <t>Additional Allowed D</t>
  </si>
  <si>
    <t>Total Additional Allowed</t>
  </si>
  <si>
    <t>Final Allowed Diagnoses</t>
  </si>
  <si>
    <t>Remaining H/T/D</t>
  </si>
  <si>
    <t>Final Allowed %</t>
  </si>
  <si>
    <t>Reconciliation Check</t>
  </si>
  <si>
    <t>Initial Allowed %</t>
  </si>
  <si>
    <t>Recovery Lift %</t>
  </si>
  <si>
    <t>2025 Total / Weighted Avg</t>
  </si>
  <si>
    <t>HEALTH TRIXSS | 2025 Annual Provider-to-Plan-to-CMS Waterfall</t>
  </si>
  <si>
    <t>Illustrative full-year reconciliation of provider encounter submissions, health-plan processing, CMS MAO-002 responses, MAO-004 diagnosis outcomes, corrective action, and final allowed diagnoses.</t>
  </si>
  <si>
    <t>Model context: Counts are synthetic and designed to represent a realistic mid-sized provider group. The first waterfall is encounter-level through MAO-002 acceptance. The second waterfall changes units to diagnosis records because MAO-004 reports diagnosis-level risk-adjustment eligibility. The model is fully formula-driven from the editable monthly assumptions.</t>
  </si>
  <si>
    <t>Plan Acceptance</t>
  </si>
  <si>
    <t>MAO-002 Acceptance</t>
  </si>
  <si>
    <t>Final Allowed</t>
  </si>
  <si>
    <t>Recovery Lift</t>
  </si>
  <si>
    <t>Encounter Submission Waterfall — Encounter-Level Counts</t>
  </si>
  <si>
    <t>MAO-004 Diagnosis Waterfall — Diagnosis-Level Counts</t>
  </si>
  <si>
    <t>Stage</t>
  </si>
  <si>
    <t>Count</t>
  </si>
  <si>
    <t>Loss vs Prior Stage</t>
  </si>
  <si>
    <t>Stage Yield</t>
  </si>
  <si>
    <t>% of Provider Submission</t>
  </si>
  <si>
    <t>Operational Interpretation</t>
  </si>
  <si>
    <t>Waterfall Stage</t>
  </si>
  <si>
    <t>Movement</t>
  </si>
  <si>
    <t>Ending Balance</t>
  </si>
  <si>
    <t>% of Diagnoses</t>
  </si>
  <si>
    <t>Outcome Family</t>
  </si>
  <si>
    <t>Provider Interpretation</t>
  </si>
  <si>
    <t>Control Owner</t>
  </si>
  <si>
    <t>Provider encounters submitted</t>
  </si>
  <si>
    <t>Provider group transmits original and corrected encounter/claim data to the MA plan.</t>
  </si>
  <si>
    <t>Diagnoses evaluated on MAO-004</t>
  </si>
  <si>
    <t>Starting population</t>
  </si>
  <si>
    <t>Diagnosis records on MAO-002 accepted encounters.</t>
  </si>
  <si>
    <t>Plan/CMS response</t>
  </si>
  <si>
    <t>Accepted by health plan</t>
  </si>
  <si>
    <t>Plan intake rejects are removed; accepted records enter plan processing.</t>
  </si>
  <si>
    <t>Less: D + H</t>
  </si>
  <si>
    <t>CPT/HCPCS filter</t>
  </si>
  <si>
    <t>No accepted allowable procedure line was found.</t>
  </si>
  <si>
    <t>Provider/shared/plan/CMS</t>
  </si>
  <si>
    <t>Submitted to EDPS</t>
  </si>
  <si>
    <t>Plan holds and unresolved encounter edits are removed before CMS submission.</t>
  </si>
  <si>
    <t>Less: D + T</t>
  </si>
  <si>
    <t>Type-of-Bill filter</t>
  </si>
  <si>
    <t>Institutional Type of Bill was not allowable.</t>
  </si>
  <si>
    <t>Accepted on MAO-002</t>
  </si>
  <si>
    <t>CMS accepts the encounter header/line combination for downstream diagnosis filtering.</t>
  </si>
  <si>
    <t>Less: D + D</t>
  </si>
  <si>
    <t>Deadline condition</t>
  </si>
  <si>
    <t>Submission was outside the applicable risk-adjustment deadline condition.</t>
  </si>
  <si>
    <t>Provider or plan/vendor</t>
  </si>
  <si>
    <t>Less: N + N</t>
  </si>
  <si>
    <t>Not applicable</t>
  </si>
  <si>
    <t>Service type is not applicable for risk adjustment.</t>
  </si>
  <si>
    <t>CMS rule / classification</t>
  </si>
  <si>
    <t>Less: linked / blank</t>
  </si>
  <si>
    <t>Linked transaction</t>
  </si>
  <si>
    <t>Void, replacement, delete, or linked-record transaction without standard eligibility.</t>
  </si>
  <si>
    <t>Shared / plan-led</t>
  </si>
  <si>
    <t>Annual Root-Cause Ownership and Corrective Workload</t>
  </si>
  <si>
    <t>Initial allowed subtotal</t>
  </si>
  <si>
    <t>A + blank and A + Q</t>
  </si>
  <si>
    <t>Diagnoses initially allowed before corrective action.</t>
  </si>
  <si>
    <t>CMS outcome</t>
  </si>
  <si>
    <t>Root-Cause Owner</t>
  </si>
  <si>
    <t>Identified Records</t>
  </si>
  <si>
    <t>Corrections Submitted</t>
  </si>
  <si>
    <t>Additional Allowed</t>
  </si>
  <si>
    <t>Remaining / No Recovery</t>
  </si>
  <si>
    <t>Operational Use</t>
  </si>
  <si>
    <t>Add: recovered H</t>
  </si>
  <si>
    <t>Corrected H</t>
  </si>
  <si>
    <t>Supported provider or plan correction becomes allowed.</t>
  </si>
  <si>
    <t>Provider/shared/plan</t>
  </si>
  <si>
    <t>Provider-controlled source/timing</t>
  </si>
  <si>
    <t>Coding, billing, EDI, and timely-submission work queues.</t>
  </si>
  <si>
    <t>Add: recovered T</t>
  </si>
  <si>
    <t>Corrected T</t>
  </si>
  <si>
    <t>Supported institutional correction becomes allowed.</t>
  </si>
  <si>
    <t>Provider/plan</t>
  </si>
  <si>
    <t>Shared MAO-002/edit-dependent</t>
  </si>
  <si>
    <t>Requires plan edit detail and source-to-EDPS reconciliation.</t>
  </si>
  <si>
    <t>Add: recovered D</t>
  </si>
  <si>
    <t>Recovered timing</t>
  </si>
  <si>
    <t>Late-condition record is recovered before an applicable final cutoff.</t>
  </si>
  <si>
    <t>Plan/vendor-controlled</t>
  </si>
  <si>
    <t>Plan mapping, linkage, encounter construction, and timing escalation.</t>
  </si>
  <si>
    <t>Final allowed diagnoses</t>
  </si>
  <si>
    <t>Final modeled outcome</t>
  </si>
  <si>
    <t>Initial allowed plus successful corrective recovery.</t>
  </si>
  <si>
    <t>Plan reconciliation</t>
  </si>
  <si>
    <t>CMS rule / no provider defect</t>
  </si>
  <si>
    <t>No source correction; retain evidence and reconcile other eligible encounters.</t>
  </si>
  <si>
    <t>Total exception population</t>
  </si>
  <si>
    <t>All initially non-allowed, not-applicable, and linked diagnosis records.</t>
  </si>
  <si>
    <t>Monthly Allowed-Rate Trend</t>
  </si>
  <si>
    <t>Jan</t>
  </si>
  <si>
    <t>Feb</t>
  </si>
  <si>
    <t>Mar</t>
  </si>
  <si>
    <t>Apr</t>
  </si>
  <si>
    <t>May</t>
  </si>
  <si>
    <t>Jun</t>
  </si>
  <si>
    <t>Jul</t>
  </si>
  <si>
    <t>Aug</t>
  </si>
  <si>
    <t>Sep</t>
  </si>
  <si>
    <t>Oct</t>
  </si>
  <si>
    <t>Nov</t>
  </si>
  <si>
    <t>Dec</t>
  </si>
  <si>
    <t>Waterfall Reconciliation Controls</t>
  </si>
  <si>
    <t>Control</t>
  </si>
  <si>
    <t>Formula Result</t>
  </si>
  <si>
    <t>Expected</t>
  </si>
  <si>
    <t>Status</t>
  </si>
  <si>
    <t>Purpose</t>
  </si>
  <si>
    <t>Owner</t>
  </si>
  <si>
    <t>Encounter waterfall</t>
  </si>
  <si>
    <t>Provider submissions must reconcile to plan rejects, plan holds, MAO-002 rejects, and accepted encounters.</t>
  </si>
  <si>
    <t>Data operations</t>
  </si>
  <si>
    <t>Diagnosis waterfall</t>
  </si>
  <si>
    <t>Diagnoses must reconcile to final allowed, remaining H/T/D, N/N, and linked/blank.</t>
  </si>
  <si>
    <t>Risk-adjustment operations</t>
  </si>
  <si>
    <t>Correction lift</t>
  </si>
  <si>
    <t>Final allowed minus initial allowed must equal total additional allowed.</t>
  </si>
  <si>
    <t>Reconciliation team</t>
  </si>
  <si>
    <t>CMS Encounter Accepted</t>
  </si>
  <si>
    <t>Encounter Grain</t>
  </si>
  <si>
    <t>Diagnosis Grain</t>
  </si>
  <si>
    <t>Number of Diagnosis CMS accepted</t>
  </si>
  <si>
    <t>Number of Diagnosis Provider Submitted</t>
  </si>
  <si>
    <t>Yearly HCC Grain</t>
  </si>
  <si>
    <t>Number of HCCs Provider Submitted</t>
  </si>
  <si>
    <t>Number of HCCs CMS Accepted</t>
  </si>
  <si>
    <t>Encounter Ops View</t>
  </si>
  <si>
    <t>Risk Adjustment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</si>
</sst>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Red]\-#,##0"/>
  </numFmts>
  <fonts count="21">
    <font>
      <sz val="11"/>
      <name val="Carlito"/>
    </font>
    <font>
      <b/>
      <sz val="18"/>
      <color rgb="FFFFFFFF"/>
      <name val="Carlito"/>
    </font>
    <font>
      <i/>
      <sz val="10"/>
      <color rgb="FFFFFFFF"/>
      <name val="Carlito"/>
    </font>
    <font>
      <b/>
      <sz val="10"/>
      <color rgb="FFFFFFFF"/>
      <name val="Carlito"/>
    </font>
    <font>
      <sz val="9"/>
      <color rgb="FF243447"/>
      <name val="Carlito"/>
    </font>
    <font>
      <b/>
      <sz val="10"/>
      <color rgb="FF2E456B"/>
      <name val="Carlito"/>
    </font>
    <font>
      <b/>
      <sz val="13"/>
      <color rgb="FF2E456B"/>
      <name val="Carlito"/>
    </font>
    <font>
      <b/>
      <sz val="11"/>
      <color rgb="FF2E456B"/>
      <name val="Carlito"/>
    </font>
    <font>
      <b/>
      <sz val="22"/>
      <color rgb="FF2E456B"/>
      <name val="Carlito"/>
    </font>
    <font>
      <b/>
      <sz val="12"/>
      <color rgb="FFFFFFFF"/>
      <name val="Carlito"/>
    </font>
    <font>
      <i/>
      <sz val="8"/>
      <color rgb="FF2E456B"/>
      <name val="Carlito"/>
    </font>
    <font>
      <b/>
      <sz val="9"/>
      <color rgb="FF2E456B"/>
      <name val="Carlito"/>
    </font>
    <font>
      <i/>
      <sz val="9"/>
      <color rgb="FF243447"/>
      <name val="Carlito"/>
    </font>
    <font>
      <b/>
      <sz val="9"/>
      <color rgb="FFFFFFFF"/>
      <name val="Carlito"/>
    </font>
    <font>
      <b/>
      <sz val="12"/>
      <color rgb="FF2E456B"/>
      <name val="Carlito"/>
    </font>
    <font>
      <b/>
      <sz val="10"/>
      <color rgb="FFB42318"/>
      <name val="Carlito"/>
    </font>
    <font>
      <b/>
      <sz val="8"/>
      <color rgb="FFFFFFFF"/>
      <name val="Carlito"/>
    </font>
    <font>
      <sz val="8"/>
      <color rgb="FF243447"/>
      <name val="Carlito"/>
    </font>
    <font>
      <b/>
      <sz val="20"/>
      <color rgb="FF2E456B"/>
      <name val="Carlito"/>
    </font>
    <font>
      <sz val="11"/>
      <name val="Carlito"/>
    </font>
    <font>
      <b/>
      <sz val="11"/>
      <name val="Carlito"/>
    </font>
  </fonts>
  <fills count="37">
    <fill>
      <patternFill patternType="none"/>
    </fill>
    <fill>
      <patternFill patternType="gray125"/>
    </fill>
    <fill>
      <patternFill patternType="solid">
        <fgColor rgb="FF2E456B"/>
      </patternFill>
    </fill>
    <fill>
      <patternFill patternType="solid">
        <fgColor rgb="FF277493"/>
      </patternFill>
    </fill>
    <fill>
      <patternFill patternType="solid">
        <fgColor rgb="FFEAF2F7"/>
      </patternFill>
    </fill>
    <fill>
      <patternFill patternType="solid">
        <fgColor rgb="FFFFF3DD"/>
      </patternFill>
    </fill>
    <fill>
      <patternFill patternType="solid">
        <fgColor rgb="FFEAF4F1"/>
      </patternFill>
    </fill>
    <fill>
      <patternFill patternType="solid">
        <fgColor rgb="FFFEA002"/>
      </patternFill>
    </fill>
    <fill>
      <patternFill patternType="solid">
        <fgColor rgb="FFDFF2E5"/>
      </patternFill>
    </fill>
    <fill>
      <patternFill patternType="solid">
        <fgColor rgb="FFFCE8E6"/>
      </patternFill>
    </fill>
    <fill>
      <patternFill patternType="solid">
        <fgColor rgb="FFF3F4F6"/>
      </patternFill>
    </fill>
    <fill>
      <patternFill patternType="solid">
        <fgColor rgb="FFEAF2F7"/>
      </patternFill>
    </fill>
    <fill>
      <patternFill patternType="solid">
        <fgColor rgb="FFFFF3DD"/>
      </patternFill>
    </fill>
    <fill>
      <patternFill patternType="solid">
        <fgColor rgb="FFFEA002"/>
      </patternFill>
    </fill>
    <fill>
      <patternFill patternType="solid">
        <fgColor rgb="FF2E456B"/>
      </patternFill>
    </fill>
    <fill>
      <patternFill patternType="solid">
        <fgColor rgb="FFEAF2F7"/>
      </patternFill>
    </fill>
    <fill>
      <patternFill patternType="solid">
        <fgColor rgb="FFFFF3DD"/>
      </patternFill>
    </fill>
    <fill>
      <patternFill patternType="solid">
        <fgColor rgb="FFEAF4F1"/>
      </patternFill>
    </fill>
    <fill>
      <patternFill patternType="solid">
        <fgColor rgb="FFF3F4F6"/>
      </patternFill>
    </fill>
    <fill>
      <patternFill patternType="solid">
        <fgColor rgb="FF2E456B"/>
      </patternFill>
    </fill>
    <fill>
      <patternFill patternType="solid">
        <fgColor rgb="FF277493"/>
      </patternFill>
    </fill>
    <fill>
      <patternFill patternType="solid">
        <fgColor rgb="FFFEA002"/>
      </patternFill>
    </fill>
    <fill>
      <patternFill patternType="solid">
        <fgColor rgb="FFFFF3DD"/>
      </patternFill>
    </fill>
    <fill>
      <patternFill patternType="solid">
        <fgColor rgb="FFEAF2F7"/>
      </patternFill>
    </fill>
    <fill>
      <patternFill patternType="solid">
        <fgColor rgb="FFEAF4F1"/>
      </patternFill>
    </fill>
    <fill>
      <patternFill patternType="solid">
        <fgColor rgb="FFFCE8E6"/>
      </patternFill>
    </fill>
    <fill>
      <patternFill patternType="solid">
        <fgColor rgb="FFF3F4F6"/>
      </patternFill>
    </fill>
    <fill>
      <patternFill patternType="solid">
        <fgColor rgb="FF2E456B"/>
      </patternFill>
    </fill>
    <fill>
      <patternFill patternType="solid">
        <fgColor rgb="FF277493"/>
      </patternFill>
    </fill>
    <fill>
      <patternFill patternType="solid">
        <fgColor rgb="FFFEA002"/>
      </patternFill>
    </fill>
    <fill>
      <patternFill patternType="solid">
        <fgColor rgb="FFEAF2F7"/>
      </patternFill>
    </fill>
    <fill>
      <patternFill patternType="solid">
        <fgColor rgb="FFEAF4F1"/>
      </patternFill>
    </fill>
    <fill>
      <patternFill patternType="solid">
        <fgColor rgb="FFFFF3DD"/>
      </patternFill>
    </fill>
    <fill>
      <patternFill patternType="solid">
        <fgColor rgb="FFFCE8E6"/>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0"/>
        <bgColor theme="4" tint="0.79998168889431442"/>
      </patternFill>
    </fill>
  </fills>
  <borders count="1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double">
        <color rgb="FF2E456B"/>
      </top>
      <bottom/>
      <diagonal/>
    </border>
    <border>
      <left/>
      <right/>
      <top/>
      <bottom/>
      <diagonal/>
    </border>
    <border>
      <left/>
      <right/>
      <top/>
      <bottom/>
      <diagonal/>
    </border>
    <border>
      <left/>
      <right/>
      <top/>
      <bottom/>
      <diagonal/>
    </border>
    <border>
      <left/>
      <right/>
      <top/>
      <bottom/>
      <diagonal/>
    </border>
    <border>
      <left/>
      <right/>
      <top style="double">
        <color rgb="FF2E456B"/>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double">
        <color rgb="FF2E456B"/>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theme="4" tint="0.39997558519241921"/>
      </top>
      <bottom style="thin">
        <color theme="4" tint="0.39997558519241921"/>
      </bottom>
      <diagonal/>
    </border>
    <border>
      <left/>
      <right style="medium">
        <color indexed="64"/>
      </right>
      <top/>
      <bottom/>
      <diagonal/>
    </border>
    <border>
      <left style="medium">
        <color indexed="64"/>
      </left>
      <right/>
      <top style="thin">
        <color theme="4" tint="0.39997558519241921"/>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right style="medium">
        <color indexed="64"/>
      </right>
      <top style="thin">
        <color theme="4" tint="0.39997558519241921"/>
      </top>
      <bottom style="thin">
        <color theme="4" tint="0.39997558519241921"/>
      </bottom>
      <diagonal/>
    </border>
    <border>
      <left/>
      <right style="medium">
        <color indexed="64"/>
      </right>
      <top style="thin">
        <color theme="4" tint="0.39997558519241921"/>
      </top>
      <bottom style="medium">
        <color indexed="64"/>
      </bottom>
      <diagonal/>
    </border>
    <border>
      <left style="medium">
        <color indexed="64"/>
      </left>
      <right style="medium">
        <color indexed="64"/>
      </right>
      <top style="thin">
        <color theme="4" tint="0.39997558519241921"/>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9" fontId="19" fillId="0" borderId="0" applyFont="0" applyFill="0" applyBorder="0" applyAlignment="0" applyProtection="0"/>
  </cellStyleXfs>
  <cellXfs count="326">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0" xfId="0" applyFont="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4" borderId="7" xfId="0" applyFont="1" applyFill="1" applyBorder="1" applyAlignment="1">
      <alignment vertical="top" wrapText="1"/>
    </xf>
    <xf numFmtId="0" fontId="4" fillId="4" borderId="0" xfId="0" applyFont="1" applyFill="1" applyAlignment="1">
      <alignment vertical="top" wrapText="1"/>
    </xf>
    <xf numFmtId="0" fontId="4" fillId="4" borderId="8" xfId="0" applyFont="1" applyFill="1" applyBorder="1" applyAlignment="1">
      <alignment vertical="top" wrapText="1"/>
    </xf>
    <xf numFmtId="0" fontId="4" fillId="6" borderId="7" xfId="0" applyFont="1" applyFill="1" applyBorder="1" applyAlignment="1">
      <alignment vertical="top" wrapText="1"/>
    </xf>
    <xf numFmtId="0" fontId="4" fillId="6" borderId="0" xfId="0" applyFont="1" applyFill="1" applyAlignment="1">
      <alignment vertical="top" wrapText="1"/>
    </xf>
    <xf numFmtId="0" fontId="4" fillId="6" borderId="8" xfId="0" applyFont="1" applyFill="1" applyBorder="1" applyAlignment="1">
      <alignment vertical="top" wrapText="1"/>
    </xf>
    <xf numFmtId="0" fontId="4" fillId="6" borderId="9" xfId="0" applyFont="1" applyFill="1" applyBorder="1" applyAlignment="1">
      <alignment vertical="top" wrapText="1"/>
    </xf>
    <xf numFmtId="0" fontId="4" fillId="6" borderId="10" xfId="0" applyFont="1" applyFill="1" applyBorder="1" applyAlignment="1">
      <alignment vertical="top" wrapText="1"/>
    </xf>
    <xf numFmtId="0" fontId="4" fillId="6" borderId="11" xfId="0" applyFont="1" applyFill="1" applyBorder="1" applyAlignment="1">
      <alignment vertical="top" wrapText="1"/>
    </xf>
    <xf numFmtId="0" fontId="4" fillId="0" borderId="16" xfId="0" applyFont="1" applyBorder="1" applyAlignment="1">
      <alignment vertical="top" wrapText="1"/>
    </xf>
    <xf numFmtId="0" fontId="4" fillId="0" borderId="18" xfId="0" applyFont="1" applyBorder="1" applyAlignment="1">
      <alignment vertical="top" wrapText="1"/>
    </xf>
    <xf numFmtId="0" fontId="4" fillId="6" borderId="16" xfId="0" applyFont="1" applyFill="1" applyBorder="1" applyAlignment="1">
      <alignment vertical="top" wrapText="1"/>
    </xf>
    <xf numFmtId="0" fontId="4" fillId="6" borderId="18" xfId="0" applyFont="1" applyFill="1" applyBorder="1" applyAlignment="1">
      <alignment vertical="top" wrapText="1"/>
    </xf>
    <xf numFmtId="0" fontId="10" fillId="10" borderId="0" xfId="0" applyFont="1" applyFill="1" applyAlignment="1">
      <alignment horizontal="left" vertical="center"/>
    </xf>
    <xf numFmtId="0" fontId="4" fillId="0" borderId="19" xfId="0" applyFont="1" applyBorder="1" applyAlignment="1">
      <alignment vertical="top" wrapText="1"/>
    </xf>
    <xf numFmtId="0" fontId="4" fillId="0" borderId="20" xfId="0" applyFont="1" applyBorder="1" applyAlignment="1">
      <alignment vertical="top" wrapText="1"/>
    </xf>
    <xf numFmtId="0" fontId="11" fillId="0" borderId="0" xfId="0" applyFont="1" applyAlignment="1">
      <alignment horizontal="center" vertical="top" wrapText="1"/>
    </xf>
    <xf numFmtId="0" fontId="12" fillId="10" borderId="20" xfId="0" applyFont="1" applyFill="1" applyBorder="1" applyAlignment="1">
      <alignment horizontal="left" vertical="top" wrapText="1"/>
    </xf>
    <xf numFmtId="0" fontId="12" fillId="10" borderId="0" xfId="0" applyFont="1" applyFill="1" applyAlignment="1">
      <alignment horizontal="left" vertical="top" wrapText="1"/>
    </xf>
    <xf numFmtId="0" fontId="12" fillId="10" borderId="19" xfId="0" applyFont="1" applyFill="1" applyBorder="1" applyAlignment="1">
      <alignment horizontal="left" vertical="top" wrapText="1"/>
    </xf>
    <xf numFmtId="0" fontId="4" fillId="11" borderId="24" xfId="0" applyFont="1" applyFill="1" applyBorder="1" applyAlignment="1">
      <alignment vertical="top" wrapText="1"/>
    </xf>
    <xf numFmtId="0" fontId="4" fillId="11" borderId="25" xfId="0" applyFont="1" applyFill="1" applyBorder="1" applyAlignment="1">
      <alignment vertical="top" wrapText="1"/>
    </xf>
    <xf numFmtId="0" fontId="4" fillId="11" borderId="26" xfId="0" applyFont="1" applyFill="1" applyBorder="1" applyAlignment="1">
      <alignment vertical="top" wrapText="1"/>
    </xf>
    <xf numFmtId="0" fontId="13" fillId="14" borderId="37" xfId="0" applyFont="1" applyFill="1" applyBorder="1" applyAlignment="1">
      <alignment horizontal="center" vertical="center" wrapText="1"/>
    </xf>
    <xf numFmtId="0" fontId="13" fillId="14" borderId="38" xfId="0" applyFont="1" applyFill="1" applyBorder="1" applyAlignment="1">
      <alignment horizontal="center" vertical="center" wrapText="1"/>
    </xf>
    <xf numFmtId="0" fontId="13" fillId="14" borderId="39" xfId="0" applyFont="1" applyFill="1" applyBorder="1" applyAlignment="1">
      <alignment horizontal="center" vertical="center" wrapText="1"/>
    </xf>
    <xf numFmtId="0" fontId="13" fillId="14" borderId="40" xfId="0" applyFont="1" applyFill="1" applyBorder="1" applyAlignment="1">
      <alignment horizontal="center" vertical="center" wrapText="1"/>
    </xf>
    <xf numFmtId="0" fontId="4" fillId="0" borderId="41" xfId="0" applyFont="1" applyBorder="1" applyAlignment="1">
      <alignment vertical="top" wrapText="1"/>
    </xf>
    <xf numFmtId="0" fontId="4" fillId="0" borderId="42" xfId="0" applyFont="1" applyBorder="1" applyAlignment="1">
      <alignment vertical="top" wrapText="1"/>
    </xf>
    <xf numFmtId="0" fontId="4" fillId="0" borderId="43" xfId="0" applyFont="1" applyBorder="1" applyAlignment="1">
      <alignment vertical="top" wrapText="1"/>
    </xf>
    <xf numFmtId="0" fontId="4" fillId="0" borderId="44" xfId="0" applyFont="1" applyBorder="1" applyAlignment="1">
      <alignment vertical="top" wrapText="1"/>
    </xf>
    <xf numFmtId="0" fontId="4" fillId="15" borderId="0" xfId="0" applyFont="1" applyFill="1" applyAlignment="1">
      <alignment vertical="top" wrapText="1"/>
    </xf>
    <xf numFmtId="0" fontId="4" fillId="15" borderId="8" xfId="0" applyFont="1" applyFill="1" applyBorder="1" applyAlignment="1">
      <alignment vertical="top" wrapText="1"/>
    </xf>
    <xf numFmtId="0" fontId="4" fillId="15" borderId="44" xfId="0" applyFont="1" applyFill="1" applyBorder="1" applyAlignment="1">
      <alignment vertical="top" wrapText="1"/>
    </xf>
    <xf numFmtId="0" fontId="4" fillId="15" borderId="10" xfId="0" applyFont="1" applyFill="1" applyBorder="1" applyAlignment="1">
      <alignment vertical="top" wrapText="1"/>
    </xf>
    <xf numFmtId="0" fontId="4" fillId="15" borderId="11" xfId="0" applyFont="1" applyFill="1" applyBorder="1" applyAlignment="1">
      <alignment vertical="top" wrapText="1"/>
    </xf>
    <xf numFmtId="0" fontId="4" fillId="15" borderId="45" xfId="0" applyFont="1" applyFill="1" applyBorder="1" applyAlignment="1">
      <alignment vertical="top" wrapText="1"/>
    </xf>
    <xf numFmtId="0" fontId="4" fillId="15" borderId="46" xfId="0" applyFont="1" applyFill="1" applyBorder="1" applyAlignment="1">
      <alignment vertical="top" wrapText="1"/>
    </xf>
    <xf numFmtId="0" fontId="4" fillId="15" borderId="47" xfId="0" applyFont="1" applyFill="1" applyBorder="1" applyAlignment="1">
      <alignment vertical="top" wrapText="1"/>
    </xf>
    <xf numFmtId="0" fontId="5" fillId="16" borderId="48" xfId="0" applyFont="1" applyFill="1" applyBorder="1" applyAlignment="1">
      <alignment horizontal="center" vertical="top" wrapText="1"/>
    </xf>
    <xf numFmtId="0" fontId="5" fillId="16" borderId="49" xfId="0" applyFont="1" applyFill="1" applyBorder="1" applyAlignment="1">
      <alignment horizontal="center" vertical="top" wrapText="1"/>
    </xf>
    <xf numFmtId="0" fontId="5" fillId="16" borderId="50" xfId="0" applyFont="1" applyFill="1" applyBorder="1" applyAlignment="1">
      <alignment horizontal="center" vertical="top" wrapText="1"/>
    </xf>
    <xf numFmtId="0" fontId="5" fillId="16" borderId="51" xfId="0" applyFont="1" applyFill="1" applyBorder="1" applyAlignment="1">
      <alignment horizontal="center" vertical="top" wrapText="1"/>
    </xf>
    <xf numFmtId="0" fontId="11" fillId="0" borderId="41" xfId="0" applyFont="1" applyBorder="1" applyAlignment="1">
      <alignment horizontal="center" vertical="top" wrapText="1"/>
    </xf>
    <xf numFmtId="0" fontId="11" fillId="15" borderId="0" xfId="0" applyFont="1" applyFill="1" applyAlignment="1">
      <alignment horizontal="center" vertical="top" wrapText="1"/>
    </xf>
    <xf numFmtId="0" fontId="11" fillId="15" borderId="10" xfId="0" applyFont="1" applyFill="1" applyBorder="1" applyAlignment="1">
      <alignment horizontal="center" vertical="top" wrapText="1"/>
    </xf>
    <xf numFmtId="0" fontId="11" fillId="15" borderId="45" xfId="0" applyFont="1" applyFill="1" applyBorder="1" applyAlignment="1">
      <alignment horizontal="center" vertical="top" wrapText="1"/>
    </xf>
    <xf numFmtId="0" fontId="11" fillId="17" borderId="41" xfId="0" applyFont="1" applyFill="1" applyBorder="1" applyAlignment="1">
      <alignment vertical="top" wrapText="1"/>
    </xf>
    <xf numFmtId="0" fontId="11" fillId="17" borderId="0" xfId="0" applyFont="1" applyFill="1" applyAlignment="1">
      <alignment vertical="top" wrapText="1"/>
    </xf>
    <xf numFmtId="0" fontId="11" fillId="17" borderId="10" xfId="0" applyFont="1" applyFill="1" applyBorder="1" applyAlignment="1">
      <alignment vertical="top" wrapText="1"/>
    </xf>
    <xf numFmtId="0" fontId="11" fillId="17" borderId="45" xfId="0" applyFont="1" applyFill="1" applyBorder="1" applyAlignment="1">
      <alignment vertical="top" wrapText="1"/>
    </xf>
    <xf numFmtId="0" fontId="4" fillId="15" borderId="52" xfId="0" applyFont="1" applyFill="1" applyBorder="1" applyAlignment="1">
      <alignment vertical="top" wrapText="1"/>
    </xf>
    <xf numFmtId="0" fontId="4" fillId="15" borderId="53" xfId="0" applyFont="1" applyFill="1" applyBorder="1" applyAlignment="1">
      <alignment vertical="top" wrapText="1"/>
    </xf>
    <xf numFmtId="0" fontId="4" fillId="15" borderId="54" xfId="0" applyFont="1" applyFill="1" applyBorder="1" applyAlignment="1">
      <alignment vertical="top" wrapText="1"/>
    </xf>
    <xf numFmtId="0" fontId="12" fillId="10" borderId="10" xfId="0" applyFont="1" applyFill="1" applyBorder="1" applyAlignment="1">
      <alignment horizontal="left" vertical="center" wrapText="1"/>
    </xf>
    <xf numFmtId="0" fontId="12" fillId="10" borderId="11" xfId="0" applyFont="1" applyFill="1" applyBorder="1" applyAlignment="1">
      <alignment horizontal="left" vertical="center" wrapText="1"/>
    </xf>
    <xf numFmtId="0" fontId="1" fillId="19" borderId="0" xfId="0" applyFont="1" applyFill="1" applyAlignment="1">
      <alignment horizontal="left" vertical="center"/>
    </xf>
    <xf numFmtId="0" fontId="2" fillId="20" borderId="0" xfId="0" applyFont="1" applyFill="1" applyAlignment="1">
      <alignment horizontal="left" vertical="center" wrapText="1"/>
    </xf>
    <xf numFmtId="0" fontId="13" fillId="19" borderId="7" xfId="0" applyFont="1" applyFill="1" applyBorder="1" applyAlignment="1">
      <alignment horizontal="center" vertical="center" wrapText="1"/>
    </xf>
    <xf numFmtId="0" fontId="13" fillId="19" borderId="0" xfId="0" applyFont="1" applyFill="1" applyAlignment="1">
      <alignment horizontal="center" vertical="center" wrapText="1"/>
    </xf>
    <xf numFmtId="0" fontId="13" fillId="19" borderId="8" xfId="0" applyFont="1" applyFill="1" applyBorder="1" applyAlignment="1">
      <alignment horizontal="center" vertical="center" wrapText="1"/>
    </xf>
    <xf numFmtId="0" fontId="4" fillId="0" borderId="60" xfId="0" applyFont="1" applyBorder="1" applyAlignment="1">
      <alignment vertical="top" wrapText="1"/>
    </xf>
    <xf numFmtId="0" fontId="4" fillId="0" borderId="57" xfId="0" applyFont="1" applyBorder="1" applyAlignment="1">
      <alignment vertical="top" wrapText="1"/>
    </xf>
    <xf numFmtId="0" fontId="4" fillId="0" borderId="59" xfId="0" applyFont="1" applyBorder="1" applyAlignment="1">
      <alignment vertical="top" wrapText="1"/>
    </xf>
    <xf numFmtId="0" fontId="4" fillId="0" borderId="61" xfId="0" applyFont="1" applyBorder="1" applyAlignment="1">
      <alignment vertical="top" wrapText="1"/>
    </xf>
    <xf numFmtId="0" fontId="4" fillId="0" borderId="64" xfId="0" applyFont="1" applyBorder="1" applyAlignment="1">
      <alignment vertical="top" wrapText="1"/>
    </xf>
    <xf numFmtId="0" fontId="4" fillId="0" borderId="66" xfId="0" applyFont="1" applyBorder="1" applyAlignment="1">
      <alignment vertical="top" wrapText="1"/>
    </xf>
    <xf numFmtId="0" fontId="4" fillId="23" borderId="0" xfId="0" applyFont="1" applyFill="1" applyAlignment="1">
      <alignment vertical="top" wrapText="1"/>
    </xf>
    <xf numFmtId="0" fontId="4" fillId="23" borderId="61" xfId="0" applyFont="1" applyFill="1" applyBorder="1" applyAlignment="1">
      <alignment vertical="top" wrapText="1"/>
    </xf>
    <xf numFmtId="0" fontId="7" fillId="22" borderId="56" xfId="0" applyFont="1" applyFill="1" applyBorder="1" applyAlignment="1">
      <alignment horizontal="center" vertical="center" wrapText="1"/>
    </xf>
    <xf numFmtId="0" fontId="7" fillId="22" borderId="60" xfId="0" applyFont="1" applyFill="1" applyBorder="1" applyAlignment="1">
      <alignment horizontal="center" vertical="center" wrapText="1"/>
    </xf>
    <xf numFmtId="0" fontId="7" fillId="22" borderId="62" xfId="0" applyFont="1" applyFill="1" applyBorder="1" applyAlignment="1">
      <alignment horizontal="center" vertical="center" wrapText="1"/>
    </xf>
    <xf numFmtId="0" fontId="7" fillId="22" borderId="63" xfId="0" applyFont="1" applyFill="1" applyBorder="1" applyAlignment="1">
      <alignment horizontal="center" vertical="center" wrapText="1"/>
    </xf>
    <xf numFmtId="0" fontId="13" fillId="20" borderId="4" xfId="0" applyFont="1" applyFill="1" applyBorder="1" applyAlignment="1">
      <alignment horizontal="center" vertical="center" wrapText="1"/>
    </xf>
    <xf numFmtId="0" fontId="13" fillId="20" borderId="5" xfId="0" applyFont="1" applyFill="1" applyBorder="1" applyAlignment="1">
      <alignment horizontal="center" vertical="center" wrapText="1"/>
    </xf>
    <xf numFmtId="0" fontId="13" fillId="20" borderId="6" xfId="0" applyFont="1" applyFill="1" applyBorder="1" applyAlignment="1">
      <alignment horizontal="center" vertical="center" wrapText="1"/>
    </xf>
    <xf numFmtId="0" fontId="13" fillId="20" borderId="0" xfId="0" applyFont="1" applyFill="1" applyAlignment="1">
      <alignment horizontal="center" vertical="center" wrapText="1"/>
    </xf>
    <xf numFmtId="0" fontId="4" fillId="0" borderId="63" xfId="0" applyFont="1" applyBorder="1" applyAlignment="1">
      <alignment vertical="top" wrapText="1"/>
    </xf>
    <xf numFmtId="0" fontId="4" fillId="0" borderId="56" xfId="0" applyFont="1" applyBorder="1" applyAlignment="1">
      <alignment vertical="top" wrapText="1"/>
    </xf>
    <xf numFmtId="0" fontId="4" fillId="23" borderId="60" xfId="0" applyFont="1" applyFill="1" applyBorder="1" applyAlignment="1">
      <alignment vertical="top" wrapText="1"/>
    </xf>
    <xf numFmtId="0" fontId="4" fillId="24" borderId="56" xfId="0" applyFont="1" applyFill="1" applyBorder="1" applyAlignment="1">
      <alignment horizontal="left" vertical="center" wrapText="1"/>
    </xf>
    <xf numFmtId="0" fontId="4" fillId="24" borderId="57" xfId="0" applyFont="1" applyFill="1" applyBorder="1" applyAlignment="1">
      <alignment horizontal="left" vertical="center" wrapText="1"/>
    </xf>
    <xf numFmtId="0" fontId="4" fillId="24" borderId="58" xfId="0" applyFont="1" applyFill="1" applyBorder="1" applyAlignment="1">
      <alignment horizontal="left" vertical="center" wrapText="1"/>
    </xf>
    <xf numFmtId="0" fontId="4" fillId="24" borderId="59" xfId="0" applyFont="1" applyFill="1" applyBorder="1" applyAlignment="1">
      <alignment horizontal="left" vertical="center" wrapText="1"/>
    </xf>
    <xf numFmtId="0" fontId="12" fillId="10" borderId="62" xfId="0" applyFont="1" applyFill="1" applyBorder="1" applyAlignment="1">
      <alignment horizontal="left" vertical="center" wrapText="1"/>
    </xf>
    <xf numFmtId="0" fontId="4" fillId="0" borderId="0" xfId="0" applyFont="1" applyAlignment="1">
      <alignment horizontal="left" vertical="center" wrapText="1"/>
    </xf>
    <xf numFmtId="0" fontId="4" fillId="0" borderId="61" xfId="0" applyFont="1" applyBorder="1" applyAlignment="1">
      <alignment horizontal="left" vertical="center" wrapText="1"/>
    </xf>
    <xf numFmtId="0" fontId="4" fillId="24" borderId="60" xfId="0" applyFont="1" applyFill="1" applyBorder="1" applyAlignment="1">
      <alignment horizontal="left" vertical="center" wrapText="1"/>
    </xf>
    <xf numFmtId="0" fontId="4" fillId="24" borderId="0" xfId="0" applyFont="1" applyFill="1" applyAlignment="1">
      <alignment horizontal="left" vertical="center" wrapText="1"/>
    </xf>
    <xf numFmtId="0" fontId="4" fillId="24" borderId="61" xfId="0" applyFont="1" applyFill="1" applyBorder="1" applyAlignment="1">
      <alignment horizontal="left" vertical="center" wrapText="1"/>
    </xf>
    <xf numFmtId="0" fontId="4" fillId="0" borderId="60" xfId="0" applyFont="1" applyBorder="1" applyAlignment="1">
      <alignment horizontal="left" vertical="center" wrapText="1"/>
    </xf>
    <xf numFmtId="0" fontId="4" fillId="23" borderId="57" xfId="0" applyFont="1" applyFill="1" applyBorder="1" applyAlignment="1">
      <alignment horizontal="left" vertical="center" wrapText="1"/>
    </xf>
    <xf numFmtId="0" fontId="4" fillId="23" borderId="58" xfId="0" applyFont="1" applyFill="1" applyBorder="1" applyAlignment="1">
      <alignment horizontal="left" vertical="center" wrapText="1"/>
    </xf>
    <xf numFmtId="0" fontId="4" fillId="23" borderId="59" xfId="0" applyFont="1" applyFill="1" applyBorder="1" applyAlignment="1">
      <alignment horizontal="left" vertical="center" wrapText="1"/>
    </xf>
    <xf numFmtId="0" fontId="4" fillId="0" borderId="8" xfId="0" applyFont="1" applyBorder="1" applyAlignment="1">
      <alignment horizontal="left" vertical="center" wrapText="1"/>
    </xf>
    <xf numFmtId="0" fontId="4" fillId="23" borderId="10" xfId="0" applyFont="1" applyFill="1" applyBorder="1" applyAlignment="1">
      <alignment horizontal="left" vertical="center" wrapText="1"/>
    </xf>
    <xf numFmtId="0" fontId="4" fillId="23" borderId="11" xfId="0" applyFont="1" applyFill="1" applyBorder="1" applyAlignment="1">
      <alignment horizontal="left" vertical="center" wrapText="1"/>
    </xf>
    <xf numFmtId="0" fontId="4" fillId="23" borderId="0" xfId="0" applyFont="1" applyFill="1" applyAlignment="1">
      <alignment horizontal="left" vertical="center" wrapText="1"/>
    </xf>
    <xf numFmtId="0" fontId="4" fillId="23" borderId="61" xfId="0" applyFont="1" applyFill="1" applyBorder="1" applyAlignment="1">
      <alignment horizontal="left" vertical="center" wrapText="1"/>
    </xf>
    <xf numFmtId="0" fontId="4" fillId="23" borderId="64" xfId="0" applyFont="1" applyFill="1" applyBorder="1" applyAlignment="1">
      <alignment horizontal="left" vertical="center" wrapText="1"/>
    </xf>
    <xf numFmtId="0" fontId="4" fillId="23" borderId="65" xfId="0" applyFont="1" applyFill="1" applyBorder="1" applyAlignment="1">
      <alignment horizontal="left" vertical="center" wrapText="1"/>
    </xf>
    <xf numFmtId="0" fontId="4" fillId="23" borderId="66" xfId="0" applyFont="1" applyFill="1" applyBorder="1" applyAlignment="1">
      <alignment horizontal="left" vertical="center" wrapText="1"/>
    </xf>
    <xf numFmtId="0" fontId="3" fillId="27" borderId="0" xfId="0" applyFont="1" applyFill="1" applyAlignment="1">
      <alignment horizontal="center" vertical="center" wrapText="1"/>
    </xf>
    <xf numFmtId="0" fontId="4" fillId="0" borderId="75" xfId="0" applyFont="1" applyBorder="1" applyAlignment="1">
      <alignment vertical="top" wrapText="1"/>
    </xf>
    <xf numFmtId="0" fontId="4" fillId="0" borderId="76" xfId="0" applyFont="1" applyBorder="1" applyAlignment="1">
      <alignment vertical="top" wrapText="1"/>
    </xf>
    <xf numFmtId="0" fontId="4" fillId="0" borderId="77" xfId="0" applyFont="1" applyBorder="1" applyAlignment="1">
      <alignment vertical="top" wrapText="1"/>
    </xf>
    <xf numFmtId="0" fontId="4" fillId="0" borderId="78" xfId="0" applyFont="1" applyBorder="1" applyAlignment="1">
      <alignment vertical="top" wrapText="1"/>
    </xf>
    <xf numFmtId="0" fontId="4" fillId="0" borderId="79" xfId="0" applyFont="1" applyBorder="1" applyAlignment="1">
      <alignment vertical="top" wrapText="1"/>
    </xf>
    <xf numFmtId="0" fontId="4" fillId="0" borderId="80" xfId="0" applyFont="1" applyBorder="1" applyAlignment="1">
      <alignment vertical="top" wrapText="1"/>
    </xf>
    <xf numFmtId="0" fontId="4" fillId="0" borderId="81" xfId="0" applyFont="1" applyBorder="1" applyAlignment="1">
      <alignment vertical="top" wrapText="1"/>
    </xf>
    <xf numFmtId="0" fontId="4" fillId="0" borderId="82" xfId="0" applyFont="1" applyBorder="1" applyAlignment="1">
      <alignment vertical="top" wrapText="1"/>
    </xf>
    <xf numFmtId="0" fontId="4" fillId="30" borderId="75" xfId="0" applyFont="1" applyFill="1" applyBorder="1" applyAlignment="1">
      <alignment vertical="top" wrapText="1"/>
    </xf>
    <xf numFmtId="0" fontId="4" fillId="30" borderId="76" xfId="0" applyFont="1" applyFill="1" applyBorder="1" applyAlignment="1">
      <alignment vertical="top" wrapText="1"/>
    </xf>
    <xf numFmtId="0" fontId="4" fillId="30" borderId="77" xfId="0" applyFont="1" applyFill="1" applyBorder="1" applyAlignment="1">
      <alignment vertical="top" wrapText="1"/>
    </xf>
    <xf numFmtId="0" fontId="4" fillId="30" borderId="78" xfId="0" applyFont="1" applyFill="1" applyBorder="1" applyAlignment="1">
      <alignment vertical="top" wrapText="1"/>
    </xf>
    <xf numFmtId="0" fontId="4" fillId="30" borderId="0" xfId="0" applyFont="1" applyFill="1" applyAlignment="1">
      <alignment vertical="top" wrapText="1"/>
    </xf>
    <xf numFmtId="0" fontId="4" fillId="30" borderId="79" xfId="0" applyFont="1" applyFill="1" applyBorder="1" applyAlignment="1">
      <alignment vertical="top" wrapText="1"/>
    </xf>
    <xf numFmtId="164" fontId="4" fillId="30" borderId="76" xfId="0" applyNumberFormat="1" applyFont="1" applyFill="1" applyBorder="1" applyAlignment="1">
      <alignment vertical="top" wrapText="1"/>
    </xf>
    <xf numFmtId="164" fontId="4" fillId="0" borderId="0" xfId="0" applyNumberFormat="1" applyFont="1" applyAlignment="1">
      <alignment vertical="top" wrapText="1"/>
    </xf>
    <xf numFmtId="164" fontId="4" fillId="30" borderId="0" xfId="0" applyNumberFormat="1" applyFont="1" applyFill="1" applyAlignment="1">
      <alignment vertical="top" wrapText="1"/>
    </xf>
    <xf numFmtId="164" fontId="4" fillId="0" borderId="81" xfId="0" applyNumberFormat="1" applyFont="1" applyBorder="1" applyAlignment="1">
      <alignment vertical="top" wrapText="1"/>
    </xf>
    <xf numFmtId="0" fontId="13" fillId="27" borderId="0" xfId="0" applyFont="1" applyFill="1" applyAlignment="1">
      <alignment horizontal="center" vertical="center" wrapText="1"/>
    </xf>
    <xf numFmtId="17" fontId="4" fillId="0" borderId="75" xfId="0" applyNumberFormat="1" applyFont="1" applyBorder="1" applyAlignment="1">
      <alignment vertical="center" wrapText="1"/>
    </xf>
    <xf numFmtId="17" fontId="4" fillId="31" borderId="78" xfId="0" applyNumberFormat="1" applyFont="1" applyFill="1" applyBorder="1" applyAlignment="1">
      <alignment vertical="center" wrapText="1"/>
    </xf>
    <xf numFmtId="17" fontId="4" fillId="0" borderId="78" xfId="0" applyNumberFormat="1" applyFont="1" applyBorder="1" applyAlignment="1">
      <alignment vertical="center" wrapText="1"/>
    </xf>
    <xf numFmtId="17" fontId="4" fillId="31" borderId="80" xfId="0" applyNumberFormat="1" applyFont="1" applyFill="1" applyBorder="1" applyAlignment="1">
      <alignment vertical="center" wrapText="1"/>
    </xf>
    <xf numFmtId="3" fontId="4" fillId="0" borderId="76" xfId="0" applyNumberFormat="1" applyFont="1" applyBorder="1" applyAlignment="1">
      <alignment vertical="center" wrapText="1"/>
    </xf>
    <xf numFmtId="3" fontId="4" fillId="31" borderId="0" xfId="0" applyNumberFormat="1" applyFont="1" applyFill="1" applyAlignment="1">
      <alignment vertical="center" wrapText="1"/>
    </xf>
    <xf numFmtId="3" fontId="4" fillId="0" borderId="0" xfId="0" applyNumberFormat="1" applyFont="1" applyAlignment="1">
      <alignment vertical="center" wrapText="1"/>
    </xf>
    <xf numFmtId="3" fontId="4" fillId="31" borderId="81" xfId="0" applyNumberFormat="1" applyFont="1" applyFill="1" applyBorder="1" applyAlignment="1">
      <alignment vertical="center" wrapText="1"/>
    </xf>
    <xf numFmtId="164" fontId="4" fillId="0" borderId="76" xfId="0" applyNumberFormat="1" applyFont="1" applyBorder="1" applyAlignment="1">
      <alignment vertical="center" wrapText="1"/>
    </xf>
    <xf numFmtId="164" fontId="4" fillId="31" borderId="0" xfId="0" applyNumberFormat="1" applyFont="1" applyFill="1" applyAlignment="1">
      <alignment vertical="center" wrapText="1"/>
    </xf>
    <xf numFmtId="164" fontId="4" fillId="0" borderId="0" xfId="0" applyNumberFormat="1" applyFont="1" applyAlignment="1">
      <alignment vertical="center" wrapText="1"/>
    </xf>
    <xf numFmtId="164" fontId="4" fillId="31" borderId="81" xfId="0" applyNumberFormat="1" applyFont="1" applyFill="1" applyBorder="1" applyAlignment="1">
      <alignment vertical="center" wrapText="1"/>
    </xf>
    <xf numFmtId="2" fontId="4" fillId="0" borderId="76" xfId="0" applyNumberFormat="1" applyFont="1" applyBorder="1" applyAlignment="1">
      <alignment vertical="center" wrapText="1"/>
    </xf>
    <xf numFmtId="2" fontId="4" fillId="31" borderId="0" xfId="0" applyNumberFormat="1" applyFont="1" applyFill="1" applyAlignment="1">
      <alignment vertical="center" wrapText="1"/>
    </xf>
    <xf numFmtId="2" fontId="4" fillId="0" borderId="0" xfId="0" applyNumberFormat="1" applyFont="1" applyAlignment="1">
      <alignment vertical="center" wrapText="1"/>
    </xf>
    <xf numFmtId="2" fontId="4" fillId="31" borderId="81" xfId="0" applyNumberFormat="1" applyFont="1" applyFill="1" applyBorder="1" applyAlignment="1">
      <alignment vertical="center" wrapText="1"/>
    </xf>
    <xf numFmtId="164" fontId="4" fillId="0" borderId="77" xfId="0" applyNumberFormat="1" applyFont="1" applyBorder="1" applyAlignment="1">
      <alignment vertical="center" wrapText="1"/>
    </xf>
    <xf numFmtId="164" fontId="4" fillId="31" borderId="79" xfId="0" applyNumberFormat="1" applyFont="1" applyFill="1" applyBorder="1" applyAlignment="1">
      <alignment vertical="center" wrapText="1"/>
    </xf>
    <xf numFmtId="164" fontId="4" fillId="0" borderId="79" xfId="0" applyNumberFormat="1" applyFont="1" applyBorder="1" applyAlignment="1">
      <alignment vertical="center" wrapText="1"/>
    </xf>
    <xf numFmtId="164" fontId="4" fillId="31" borderId="82" xfId="0" applyNumberFormat="1" applyFont="1" applyFill="1" applyBorder="1" applyAlignment="1">
      <alignment vertical="center" wrapText="1"/>
    </xf>
    <xf numFmtId="0" fontId="16" fillId="27" borderId="0" xfId="0" applyFont="1" applyFill="1" applyAlignment="1">
      <alignment horizontal="center" vertical="center" wrapText="1"/>
    </xf>
    <xf numFmtId="0" fontId="11" fillId="32" borderId="91" xfId="0" applyFont="1" applyFill="1" applyBorder="1" applyAlignment="1">
      <alignment vertical="center" wrapText="1"/>
    </xf>
    <xf numFmtId="17" fontId="17" fillId="0" borderId="75" xfId="0" applyNumberFormat="1" applyFont="1" applyBorder="1" applyAlignment="1">
      <alignment vertical="center" wrapText="1"/>
    </xf>
    <xf numFmtId="17" fontId="17" fillId="30" borderId="78" xfId="0" applyNumberFormat="1" applyFont="1" applyFill="1" applyBorder="1" applyAlignment="1">
      <alignment vertical="center" wrapText="1"/>
    </xf>
    <xf numFmtId="17" fontId="17" fillId="0" borderId="78" xfId="0" applyNumberFormat="1" applyFont="1" applyBorder="1" applyAlignment="1">
      <alignment vertical="center" wrapText="1"/>
    </xf>
    <xf numFmtId="17" fontId="17" fillId="30" borderId="80" xfId="0" applyNumberFormat="1" applyFont="1" applyFill="1" applyBorder="1" applyAlignment="1">
      <alignment vertical="center" wrapText="1"/>
    </xf>
    <xf numFmtId="3" fontId="17" fillId="0" borderId="76" xfId="0" applyNumberFormat="1" applyFont="1" applyBorder="1" applyAlignment="1">
      <alignment vertical="center" wrapText="1"/>
    </xf>
    <xf numFmtId="3" fontId="17" fillId="30" borderId="0" xfId="0" applyNumberFormat="1" applyFont="1" applyFill="1" applyAlignment="1">
      <alignment vertical="center" wrapText="1"/>
    </xf>
    <xf numFmtId="3" fontId="17" fillId="0" borderId="0" xfId="0" applyNumberFormat="1" applyFont="1" applyAlignment="1">
      <alignment vertical="center" wrapText="1"/>
    </xf>
    <xf numFmtId="3" fontId="17" fillId="30" borderId="81" xfId="0" applyNumberFormat="1" applyFont="1" applyFill="1" applyBorder="1" applyAlignment="1">
      <alignment vertical="center" wrapText="1"/>
    </xf>
    <xf numFmtId="3" fontId="11" fillId="32" borderId="91" xfId="0" applyNumberFormat="1" applyFont="1" applyFill="1" applyBorder="1" applyAlignment="1">
      <alignment vertical="center" wrapText="1"/>
    </xf>
    <xf numFmtId="2" fontId="17" fillId="0" borderId="76" xfId="0" applyNumberFormat="1" applyFont="1" applyBorder="1" applyAlignment="1">
      <alignment vertical="center" wrapText="1"/>
    </xf>
    <xf numFmtId="2" fontId="17" fillId="30" borderId="0" xfId="0" applyNumberFormat="1" applyFont="1" applyFill="1" applyAlignment="1">
      <alignment vertical="center" wrapText="1"/>
    </xf>
    <xf numFmtId="2" fontId="17" fillId="0" borderId="0" xfId="0" applyNumberFormat="1" applyFont="1" applyAlignment="1">
      <alignment vertical="center" wrapText="1"/>
    </xf>
    <xf numFmtId="2" fontId="17" fillId="30" borderId="81" xfId="0" applyNumberFormat="1" applyFont="1" applyFill="1" applyBorder="1" applyAlignment="1">
      <alignment vertical="center" wrapText="1"/>
    </xf>
    <xf numFmtId="2" fontId="11" fillId="32" borderId="91" xfId="0" applyNumberFormat="1" applyFont="1" applyFill="1" applyBorder="1" applyAlignment="1">
      <alignment vertical="center" wrapText="1"/>
    </xf>
    <xf numFmtId="164" fontId="17" fillId="0" borderId="76" xfId="0" applyNumberFormat="1" applyFont="1" applyBorder="1" applyAlignment="1">
      <alignment vertical="center" wrapText="1"/>
    </xf>
    <xf numFmtId="164" fontId="17" fillId="30" borderId="0" xfId="0" applyNumberFormat="1" applyFont="1" applyFill="1" applyAlignment="1">
      <alignment vertical="center" wrapText="1"/>
    </xf>
    <xf numFmtId="164" fontId="17" fillId="0" borderId="0" xfId="0" applyNumberFormat="1" applyFont="1" applyAlignment="1">
      <alignment vertical="center" wrapText="1"/>
    </xf>
    <xf numFmtId="164" fontId="17" fillId="30" borderId="81" xfId="0" applyNumberFormat="1" applyFont="1" applyFill="1" applyBorder="1" applyAlignment="1">
      <alignment vertical="center" wrapText="1"/>
    </xf>
    <xf numFmtId="164" fontId="11" fillId="32" borderId="91" xfId="0" applyNumberFormat="1" applyFont="1" applyFill="1" applyBorder="1" applyAlignment="1">
      <alignment vertical="center" wrapText="1"/>
    </xf>
    <xf numFmtId="1" fontId="17" fillId="0" borderId="76" xfId="0" applyNumberFormat="1" applyFont="1" applyBorder="1" applyAlignment="1">
      <alignment vertical="center" wrapText="1"/>
    </xf>
    <xf numFmtId="1" fontId="17" fillId="30" borderId="0" xfId="0" applyNumberFormat="1" applyFont="1" applyFill="1" applyAlignment="1">
      <alignment vertical="center" wrapText="1"/>
    </xf>
    <xf numFmtId="1" fontId="17" fillId="0" borderId="0" xfId="0" applyNumberFormat="1" applyFont="1" applyAlignment="1">
      <alignment vertical="center" wrapText="1"/>
    </xf>
    <xf numFmtId="1" fontId="17" fillId="30" borderId="81" xfId="0" applyNumberFormat="1" applyFont="1" applyFill="1" applyBorder="1" applyAlignment="1">
      <alignment vertical="center" wrapText="1"/>
    </xf>
    <xf numFmtId="1" fontId="11" fillId="32" borderId="91" xfId="0" applyNumberFormat="1" applyFont="1" applyFill="1" applyBorder="1" applyAlignment="1">
      <alignment vertical="center" wrapText="1"/>
    </xf>
    <xf numFmtId="164" fontId="17" fillId="0" borderId="77" xfId="0" applyNumberFormat="1" applyFont="1" applyBorder="1" applyAlignment="1">
      <alignment vertical="center" wrapText="1"/>
    </xf>
    <xf numFmtId="164" fontId="17" fillId="30" borderId="79" xfId="0" applyNumberFormat="1" applyFont="1" applyFill="1" applyBorder="1" applyAlignment="1">
      <alignment vertical="center" wrapText="1"/>
    </xf>
    <xf numFmtId="164" fontId="17" fillId="0" borderId="79" xfId="0" applyNumberFormat="1" applyFont="1" applyBorder="1" applyAlignment="1">
      <alignment vertical="center" wrapText="1"/>
    </xf>
    <xf numFmtId="164" fontId="17" fillId="30" borderId="82" xfId="0" applyNumberFormat="1" applyFont="1" applyFill="1" applyBorder="1" applyAlignment="1">
      <alignment vertical="center" wrapText="1"/>
    </xf>
    <xf numFmtId="0" fontId="13" fillId="28" borderId="0" xfId="0" applyFont="1" applyFill="1" applyAlignment="1">
      <alignment horizontal="center" vertical="center" wrapText="1"/>
    </xf>
    <xf numFmtId="3" fontId="4" fillId="0" borderId="76" xfId="0" applyNumberFormat="1" applyFont="1" applyBorder="1" applyAlignment="1">
      <alignment vertical="top" wrapText="1"/>
    </xf>
    <xf numFmtId="3" fontId="4" fillId="0" borderId="0" xfId="0" applyNumberFormat="1" applyFont="1" applyAlignment="1">
      <alignment vertical="top" wrapText="1"/>
    </xf>
    <xf numFmtId="3" fontId="4" fillId="0" borderId="81" xfId="0" applyNumberFormat="1" applyFont="1" applyBorder="1" applyAlignment="1">
      <alignment vertical="top" wrapText="1"/>
    </xf>
    <xf numFmtId="164" fontId="4" fillId="0" borderId="76" xfId="0" applyNumberFormat="1" applyFont="1" applyBorder="1" applyAlignment="1">
      <alignment vertical="top" wrapText="1"/>
    </xf>
    <xf numFmtId="0" fontId="17" fillId="0" borderId="75" xfId="0" applyFont="1" applyBorder="1" applyAlignment="1">
      <alignment vertical="top" wrapText="1"/>
    </xf>
    <xf numFmtId="0" fontId="17" fillId="0" borderId="76" xfId="0" applyFont="1" applyBorder="1" applyAlignment="1">
      <alignment vertical="top" wrapText="1"/>
    </xf>
    <xf numFmtId="0" fontId="17" fillId="0" borderId="77" xfId="0" applyFont="1" applyBorder="1" applyAlignment="1">
      <alignment vertical="top" wrapText="1"/>
    </xf>
    <xf numFmtId="0" fontId="17" fillId="33" borderId="78" xfId="0" applyFont="1" applyFill="1" applyBorder="1" applyAlignment="1">
      <alignment vertical="top" wrapText="1"/>
    </xf>
    <xf numFmtId="0" fontId="17" fillId="33" borderId="0" xfId="0" applyFont="1" applyFill="1" applyAlignment="1">
      <alignment vertical="top" wrapText="1"/>
    </xf>
    <xf numFmtId="0" fontId="17" fillId="33" borderId="79" xfId="0" applyFont="1" applyFill="1" applyBorder="1" applyAlignment="1">
      <alignment vertical="top" wrapText="1"/>
    </xf>
    <xf numFmtId="0" fontId="17" fillId="31" borderId="78" xfId="0" applyFont="1" applyFill="1" applyBorder="1" applyAlignment="1">
      <alignment vertical="top" wrapText="1"/>
    </xf>
    <xf numFmtId="0" fontId="17" fillId="31" borderId="0" xfId="0" applyFont="1" applyFill="1" applyAlignment="1">
      <alignment vertical="top" wrapText="1"/>
    </xf>
    <xf numFmtId="0" fontId="17" fillId="31" borderId="79" xfId="0" applyFont="1" applyFill="1" applyBorder="1" applyAlignment="1">
      <alignment vertical="top" wrapText="1"/>
    </xf>
    <xf numFmtId="0" fontId="17" fillId="32" borderId="78" xfId="0" applyFont="1" applyFill="1" applyBorder="1" applyAlignment="1">
      <alignment vertical="top" wrapText="1"/>
    </xf>
    <xf numFmtId="0" fontId="17" fillId="32" borderId="0" xfId="0" applyFont="1" applyFill="1" applyAlignment="1">
      <alignment vertical="top" wrapText="1"/>
    </xf>
    <xf numFmtId="0" fontId="17" fillId="32" borderId="79" xfId="0" applyFont="1" applyFill="1" applyBorder="1" applyAlignment="1">
      <alignment vertical="top" wrapText="1"/>
    </xf>
    <xf numFmtId="0" fontId="13" fillId="28" borderId="80" xfId="0" applyFont="1" applyFill="1" applyBorder="1" applyAlignment="1">
      <alignment vertical="center" wrapText="1"/>
    </xf>
    <xf numFmtId="0" fontId="13" fillId="28" borderId="81" xfId="0" applyFont="1" applyFill="1" applyBorder="1" applyAlignment="1">
      <alignment vertical="center" wrapText="1"/>
    </xf>
    <xf numFmtId="0" fontId="13" fillId="28" borderId="82" xfId="0" applyFont="1" applyFill="1" applyBorder="1" applyAlignment="1">
      <alignment vertical="center" wrapText="1"/>
    </xf>
    <xf numFmtId="165" fontId="17" fillId="0" borderId="76" xfId="0" applyNumberFormat="1" applyFont="1" applyBorder="1" applyAlignment="1">
      <alignment vertical="top" wrapText="1"/>
    </xf>
    <xf numFmtId="165" fontId="17" fillId="33" borderId="0" xfId="0" applyNumberFormat="1" applyFont="1" applyFill="1" applyAlignment="1">
      <alignment vertical="top" wrapText="1"/>
    </xf>
    <xf numFmtId="165" fontId="17" fillId="32" borderId="0" xfId="0" applyNumberFormat="1" applyFont="1" applyFill="1" applyAlignment="1">
      <alignment vertical="top" wrapText="1"/>
    </xf>
    <xf numFmtId="165" fontId="17" fillId="31" borderId="0" xfId="0" applyNumberFormat="1" applyFont="1" applyFill="1" applyAlignment="1">
      <alignment vertical="top" wrapText="1"/>
    </xf>
    <xf numFmtId="165" fontId="13" fillId="28" borderId="81" xfId="0" applyNumberFormat="1" applyFont="1" applyFill="1" applyBorder="1" applyAlignment="1">
      <alignment vertical="center" wrapText="1"/>
    </xf>
    <xf numFmtId="164" fontId="17" fillId="0" borderId="76" xfId="0" applyNumberFormat="1" applyFont="1" applyBorder="1" applyAlignment="1">
      <alignment vertical="top" wrapText="1"/>
    </xf>
    <xf numFmtId="164" fontId="17" fillId="33" borderId="0" xfId="0" applyNumberFormat="1" applyFont="1" applyFill="1" applyAlignment="1">
      <alignment vertical="top" wrapText="1"/>
    </xf>
    <xf numFmtId="164" fontId="17" fillId="32" borderId="0" xfId="0" applyNumberFormat="1" applyFont="1" applyFill="1" applyAlignment="1">
      <alignment vertical="top" wrapText="1"/>
    </xf>
    <xf numFmtId="164" fontId="17" fillId="31" borderId="0" xfId="0" applyNumberFormat="1" applyFont="1" applyFill="1" applyAlignment="1">
      <alignment vertical="top" wrapText="1"/>
    </xf>
    <xf numFmtId="164" fontId="13" fillId="28" borderId="81" xfId="0" applyNumberFormat="1" applyFont="1" applyFill="1" applyBorder="1" applyAlignment="1">
      <alignment vertical="center" wrapText="1"/>
    </xf>
    <xf numFmtId="0" fontId="11" fillId="32" borderId="96" xfId="0" applyFont="1" applyFill="1" applyBorder="1" applyAlignment="1">
      <alignment vertical="center" wrapText="1"/>
    </xf>
    <xf numFmtId="0" fontId="13" fillId="27" borderId="0" xfId="0" applyFont="1" applyFill="1" applyAlignment="1">
      <alignment horizontal="center" vertical="center"/>
    </xf>
    <xf numFmtId="17" fontId="4" fillId="0" borderId="75" xfId="0" applyNumberFormat="1" applyFont="1" applyBorder="1" applyAlignment="1">
      <alignment vertical="center"/>
    </xf>
    <xf numFmtId="17" fontId="4" fillId="0" borderId="78" xfId="0" applyNumberFormat="1" applyFont="1" applyBorder="1" applyAlignment="1">
      <alignment vertical="center"/>
    </xf>
    <xf numFmtId="17" fontId="4" fillId="0" borderId="80" xfId="0" applyNumberFormat="1" applyFont="1" applyBorder="1" applyAlignment="1">
      <alignment vertical="center"/>
    </xf>
    <xf numFmtId="164" fontId="4" fillId="0" borderId="76" xfId="0" applyNumberFormat="1" applyFont="1" applyBorder="1" applyAlignment="1">
      <alignment vertical="center"/>
    </xf>
    <xf numFmtId="164" fontId="4" fillId="0" borderId="77" xfId="0" applyNumberFormat="1" applyFont="1" applyBorder="1" applyAlignment="1">
      <alignment vertical="center"/>
    </xf>
    <xf numFmtId="164" fontId="4" fillId="0" borderId="0" xfId="0" applyNumberFormat="1" applyFont="1" applyAlignment="1">
      <alignment vertical="center"/>
    </xf>
    <xf numFmtId="164" fontId="4" fillId="0" borderId="79" xfId="0" applyNumberFormat="1" applyFont="1" applyBorder="1" applyAlignment="1">
      <alignment vertical="center"/>
    </xf>
    <xf numFmtId="164" fontId="4" fillId="0" borderId="81" xfId="0" applyNumberFormat="1" applyFont="1" applyBorder="1" applyAlignment="1">
      <alignment vertical="center"/>
    </xf>
    <xf numFmtId="164" fontId="4" fillId="0" borderId="82" xfId="0" applyNumberFormat="1" applyFont="1" applyBorder="1" applyAlignment="1">
      <alignment vertical="center"/>
    </xf>
    <xf numFmtId="1" fontId="0" fillId="0" borderId="0" xfId="0" applyNumberFormat="1"/>
    <xf numFmtId="0" fontId="16" fillId="27" borderId="97" xfId="0" applyFont="1" applyFill="1" applyBorder="1" applyAlignment="1">
      <alignment horizontal="center" vertical="center" wrapText="1"/>
    </xf>
    <xf numFmtId="0" fontId="11" fillId="32" borderId="98" xfId="0" applyFont="1" applyFill="1" applyBorder="1" applyAlignment="1">
      <alignment vertical="center" wrapText="1"/>
    </xf>
    <xf numFmtId="0" fontId="16" fillId="35" borderId="101" xfId="0" applyFont="1" applyFill="1" applyBorder="1" applyAlignment="1">
      <alignment horizontal="center" vertical="center" wrapText="1"/>
    </xf>
    <xf numFmtId="0" fontId="16" fillId="35" borderId="102" xfId="0" applyFont="1" applyFill="1" applyBorder="1" applyAlignment="1">
      <alignment horizontal="center" vertical="center" wrapText="1"/>
    </xf>
    <xf numFmtId="3" fontId="17" fillId="34" borderId="103" xfId="0" applyNumberFormat="1" applyFont="1" applyFill="1" applyBorder="1" applyAlignment="1">
      <alignment vertical="center" wrapText="1"/>
    </xf>
    <xf numFmtId="0" fontId="16" fillId="27" borderId="101" xfId="0" applyFont="1" applyFill="1" applyBorder="1" applyAlignment="1">
      <alignment horizontal="center" vertical="center" wrapText="1"/>
    </xf>
    <xf numFmtId="0" fontId="16" fillId="27" borderId="107" xfId="0" applyFont="1" applyFill="1" applyBorder="1" applyAlignment="1">
      <alignment horizontal="center" vertical="center" wrapText="1"/>
    </xf>
    <xf numFmtId="3" fontId="17" fillId="34" borderId="108" xfId="0" applyNumberFormat="1" applyFont="1" applyFill="1" applyBorder="1" applyAlignment="1">
      <alignment vertical="center" wrapText="1"/>
    </xf>
    <xf numFmtId="3" fontId="17" fillId="36" borderId="103" xfId="0" applyNumberFormat="1" applyFont="1" applyFill="1" applyBorder="1" applyAlignment="1">
      <alignment vertical="center" wrapText="1"/>
    </xf>
    <xf numFmtId="10" fontId="0" fillId="0" borderId="0" xfId="1" applyNumberFormat="1" applyFont="1"/>
    <xf numFmtId="3" fontId="17" fillId="34" borderId="109" xfId="0" applyNumberFormat="1" applyFont="1" applyFill="1" applyBorder="1" applyAlignment="1">
      <alignment vertical="center" wrapText="1"/>
    </xf>
    <xf numFmtId="0" fontId="16" fillId="35" borderId="110" xfId="0" applyFont="1" applyFill="1" applyBorder="1" applyAlignment="1">
      <alignment horizontal="center" vertical="center" wrapText="1"/>
    </xf>
    <xf numFmtId="3" fontId="17" fillId="36" borderId="111" xfId="0" applyNumberFormat="1" applyFont="1" applyFill="1" applyBorder="1" applyAlignment="1">
      <alignment vertical="center" wrapText="1"/>
    </xf>
    <xf numFmtId="3" fontId="17" fillId="34" borderId="104" xfId="0" applyNumberFormat="1" applyFont="1" applyFill="1" applyBorder="1" applyAlignment="1">
      <alignment vertical="center" wrapText="1"/>
    </xf>
    <xf numFmtId="0" fontId="20" fillId="0" borderId="0" xfId="0" applyFont="1"/>
    <xf numFmtId="0" fontId="0" fillId="0" borderId="105" xfId="0" applyBorder="1" applyAlignment="1">
      <alignment horizontal="center"/>
    </xf>
    <xf numFmtId="0" fontId="0" fillId="0" borderId="106" xfId="0" applyBorder="1" applyAlignment="1">
      <alignment horizontal="center"/>
    </xf>
    <xf numFmtId="0" fontId="0" fillId="0" borderId="99" xfId="0" applyBorder="1" applyAlignment="1">
      <alignment horizontal="center"/>
    </xf>
    <xf numFmtId="0" fontId="0" fillId="0" borderId="100" xfId="0" applyBorder="1" applyAlignment="1">
      <alignment horizontal="center"/>
    </xf>
    <xf numFmtId="0" fontId="1" fillId="27" borderId="0" xfId="0" applyFont="1" applyFill="1" applyAlignment="1">
      <alignment horizontal="left" vertical="center"/>
    </xf>
    <xf numFmtId="0" fontId="2" fillId="28" borderId="0" xfId="0" applyFont="1" applyFill="1" applyAlignment="1">
      <alignment horizontal="left" vertical="center" wrapText="1"/>
    </xf>
    <xf numFmtId="0" fontId="9" fillId="27" borderId="0" xfId="0" applyFont="1" applyFill="1" applyAlignment="1">
      <alignment vertical="center"/>
    </xf>
    <xf numFmtId="0" fontId="9" fillId="28" borderId="0" xfId="0" applyFont="1" applyFill="1" applyAlignment="1">
      <alignment vertical="center"/>
    </xf>
    <xf numFmtId="0" fontId="5" fillId="5" borderId="16" xfId="0" applyFont="1" applyFill="1" applyBorder="1" applyAlignment="1">
      <alignment vertical="top" wrapText="1"/>
    </xf>
    <xf numFmtId="0" fontId="5" fillId="5" borderId="17" xfId="0" applyFont="1" applyFill="1" applyBorder="1" applyAlignment="1">
      <alignment vertical="top" wrapText="1"/>
    </xf>
    <xf numFmtId="0" fontId="4" fillId="0" borderId="17" xfId="0" applyFont="1" applyBorder="1" applyAlignment="1">
      <alignment vertical="top" wrapText="1"/>
    </xf>
    <xf numFmtId="0" fontId="4" fillId="0" borderId="18" xfId="0" applyFont="1" applyBorder="1" applyAlignment="1">
      <alignment vertical="top" wrapText="1"/>
    </xf>
    <xf numFmtId="0" fontId="10" fillId="10" borderId="0" xfId="0" applyFont="1" applyFill="1" applyAlignment="1">
      <alignment horizontal="left" vertical="center"/>
    </xf>
    <xf numFmtId="0" fontId="9" fillId="2" borderId="0" xfId="0" applyFont="1" applyFill="1"/>
    <xf numFmtId="0" fontId="5" fillId="8" borderId="16" xfId="0" applyFont="1" applyFill="1" applyBorder="1" applyAlignment="1">
      <alignment vertical="top" wrapText="1"/>
    </xf>
    <xf numFmtId="0" fontId="5" fillId="8" borderId="17" xfId="0" applyFont="1" applyFill="1" applyBorder="1" applyAlignment="1">
      <alignment vertical="top" wrapText="1"/>
    </xf>
    <xf numFmtId="0" fontId="5" fillId="9" borderId="16" xfId="0" applyFont="1" applyFill="1" applyBorder="1" applyAlignment="1">
      <alignment vertical="top" wrapText="1"/>
    </xf>
    <xf numFmtId="0" fontId="5" fillId="9" borderId="17" xfId="0" applyFont="1" applyFill="1" applyBorder="1" applyAlignment="1">
      <alignment vertical="top" wrapText="1"/>
    </xf>
    <xf numFmtId="0" fontId="4" fillId="6" borderId="17" xfId="0" applyFont="1" applyFill="1" applyBorder="1" applyAlignment="1">
      <alignment vertical="top" wrapText="1"/>
    </xf>
    <xf numFmtId="0" fontId="3" fillId="2" borderId="2" xfId="0" applyFont="1" applyFill="1" applyBorder="1" applyAlignment="1">
      <alignment horizontal="center" vertical="center" wrapText="1"/>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6" fillId="7" borderId="0" xfId="0" applyFont="1" applyFill="1" applyAlignment="1">
      <alignment horizontal="left" vertical="center"/>
    </xf>
    <xf numFmtId="0" fontId="5" fillId="12" borderId="27" xfId="0" applyFont="1" applyFill="1" applyBorder="1" applyAlignment="1">
      <alignment vertical="center" wrapText="1"/>
    </xf>
    <xf numFmtId="0" fontId="5" fillId="12" borderId="28" xfId="0" applyFont="1" applyFill="1" applyBorder="1" applyAlignment="1">
      <alignment vertical="center" wrapText="1"/>
    </xf>
    <xf numFmtId="0" fontId="5" fillId="12" borderId="29" xfId="0" applyFont="1" applyFill="1" applyBorder="1" applyAlignment="1">
      <alignment vertical="center" wrapText="1"/>
    </xf>
    <xf numFmtId="0" fontId="5" fillId="12" borderId="30" xfId="0" applyFont="1" applyFill="1" applyBorder="1" applyAlignment="1">
      <alignment vertical="center" wrapText="1"/>
    </xf>
    <xf numFmtId="0" fontId="5" fillId="12" borderId="31" xfId="0" applyFont="1" applyFill="1" applyBorder="1" applyAlignment="1">
      <alignment vertical="center" wrapText="1"/>
    </xf>
    <xf numFmtId="0" fontId="5" fillId="12" borderId="32" xfId="0" applyFont="1" applyFill="1" applyBorder="1" applyAlignment="1">
      <alignment vertical="center" wrapText="1"/>
    </xf>
    <xf numFmtId="0" fontId="3" fillId="3" borderId="0" xfId="0" applyFont="1" applyFill="1" applyAlignment="1">
      <alignment horizontal="center" vertical="center" wrapText="1"/>
    </xf>
    <xf numFmtId="0" fontId="0" fillId="0" borderId="0" xfId="0"/>
    <xf numFmtId="0" fontId="11" fillId="13" borderId="33" xfId="0" applyFont="1" applyFill="1" applyBorder="1" applyAlignment="1">
      <alignment horizontal="left" vertical="center" wrapText="1"/>
    </xf>
    <xf numFmtId="0" fontId="11" fillId="13" borderId="34" xfId="0" applyFont="1" applyFill="1" applyBorder="1" applyAlignment="1">
      <alignment horizontal="left" vertical="center" wrapText="1"/>
    </xf>
    <xf numFmtId="0" fontId="11" fillId="13" borderId="35" xfId="0" applyFont="1" applyFill="1" applyBorder="1" applyAlignment="1">
      <alignment horizontal="left" vertical="center" wrapText="1"/>
    </xf>
    <xf numFmtId="0" fontId="11" fillId="13" borderId="36" xfId="0" applyFont="1" applyFill="1" applyBorder="1" applyAlignment="1">
      <alignment horizontal="left" vertical="center" wrapText="1"/>
    </xf>
    <xf numFmtId="0" fontId="10" fillId="18" borderId="0" xfId="0" applyFont="1" applyFill="1" applyAlignment="1">
      <alignment horizontal="left" vertical="center" wrapText="1"/>
    </xf>
    <xf numFmtId="0" fontId="11" fillId="12" borderId="0" xfId="0" applyFont="1" applyFill="1" applyAlignment="1">
      <alignment vertical="center" wrapText="1"/>
    </xf>
    <xf numFmtId="0" fontId="9" fillId="19" borderId="0" xfId="0" applyFont="1" applyFill="1" applyAlignment="1">
      <alignment vertical="center"/>
    </xf>
    <xf numFmtId="0" fontId="15" fillId="25" borderId="67" xfId="0" applyFont="1" applyFill="1" applyBorder="1" applyAlignment="1">
      <alignment vertical="center" wrapText="1"/>
    </xf>
    <xf numFmtId="0" fontId="15" fillId="25" borderId="68" xfId="0" applyFont="1" applyFill="1" applyBorder="1" applyAlignment="1">
      <alignment vertical="center" wrapText="1"/>
    </xf>
    <xf numFmtId="0" fontId="15" fillId="25" borderId="69" xfId="0" applyFont="1" applyFill="1" applyBorder="1" applyAlignment="1">
      <alignment vertical="center" wrapText="1"/>
    </xf>
    <xf numFmtId="0" fontId="15" fillId="25" borderId="70" xfId="0" applyFont="1" applyFill="1" applyBorder="1" applyAlignment="1">
      <alignment vertical="center" wrapText="1"/>
    </xf>
    <xf numFmtId="0" fontId="15" fillId="25" borderId="0" xfId="0" applyFont="1" applyFill="1" applyAlignment="1">
      <alignment vertical="center" wrapText="1"/>
    </xf>
    <xf numFmtId="0" fontId="15" fillId="25" borderId="71" xfId="0" applyFont="1" applyFill="1" applyBorder="1" applyAlignment="1">
      <alignment vertical="center" wrapText="1"/>
    </xf>
    <xf numFmtId="0" fontId="15" fillId="25" borderId="72" xfId="0" applyFont="1" applyFill="1" applyBorder="1" applyAlignment="1">
      <alignment vertical="center" wrapText="1"/>
    </xf>
    <xf numFmtId="0" fontId="15" fillId="25" borderId="73" xfId="0" applyFont="1" applyFill="1" applyBorder="1" applyAlignment="1">
      <alignment vertical="center" wrapText="1"/>
    </xf>
    <xf numFmtId="0" fontId="15" fillId="25" borderId="74" xfId="0" applyFont="1" applyFill="1" applyBorder="1" applyAlignment="1">
      <alignment vertical="center" wrapText="1"/>
    </xf>
    <xf numFmtId="0" fontId="10" fillId="26" borderId="0" xfId="0" applyFont="1" applyFill="1" applyAlignment="1">
      <alignment vertical="center"/>
    </xf>
    <xf numFmtId="0" fontId="5" fillId="22" borderId="55" xfId="0" applyFont="1" applyFill="1" applyBorder="1" applyAlignment="1">
      <alignment horizontal="center" vertical="center" wrapText="1"/>
    </xf>
    <xf numFmtId="0" fontId="1" fillId="19" borderId="0" xfId="0" applyFont="1" applyFill="1" applyAlignment="1">
      <alignment horizontal="left" vertical="center"/>
    </xf>
    <xf numFmtId="0" fontId="2" fillId="20" borderId="0" xfId="0" applyFont="1" applyFill="1" applyAlignment="1">
      <alignment horizontal="left" vertical="center" wrapText="1"/>
    </xf>
    <xf numFmtId="0" fontId="14" fillId="21" borderId="21" xfId="0" applyFont="1" applyFill="1" applyBorder="1" applyAlignment="1">
      <alignment horizontal="center" vertical="center" wrapText="1"/>
    </xf>
    <xf numFmtId="0" fontId="14" fillId="21" borderId="22" xfId="0" applyFont="1" applyFill="1" applyBorder="1" applyAlignment="1">
      <alignment horizontal="center" vertical="center" wrapText="1"/>
    </xf>
    <xf numFmtId="0" fontId="14" fillId="21" borderId="23" xfId="0" applyFont="1" applyFill="1" applyBorder="1" applyAlignment="1">
      <alignment horizontal="center" vertical="center" wrapText="1"/>
    </xf>
    <xf numFmtId="0" fontId="14" fillId="21" borderId="0" xfId="0" applyFont="1" applyFill="1" applyAlignment="1">
      <alignment vertical="center"/>
    </xf>
    <xf numFmtId="0" fontId="9" fillId="19" borderId="7" xfId="0" applyFont="1" applyFill="1" applyBorder="1" applyAlignment="1">
      <alignment vertical="center" wrapText="1"/>
    </xf>
    <xf numFmtId="0" fontId="9" fillId="19" borderId="0" xfId="0" applyFont="1" applyFill="1" applyAlignment="1">
      <alignment vertical="center" wrapText="1"/>
    </xf>
    <xf numFmtId="0" fontId="9" fillId="19" borderId="8" xfId="0" applyFont="1" applyFill="1" applyBorder="1" applyAlignment="1">
      <alignment vertical="center" wrapText="1"/>
    </xf>
    <xf numFmtId="0" fontId="9" fillId="19" borderId="9" xfId="0" applyFont="1" applyFill="1" applyBorder="1" applyAlignment="1">
      <alignment vertical="center" wrapText="1"/>
    </xf>
    <xf numFmtId="0" fontId="9" fillId="19" borderId="10" xfId="0" applyFont="1" applyFill="1" applyBorder="1" applyAlignment="1">
      <alignment vertical="center" wrapText="1"/>
    </xf>
    <xf numFmtId="0" fontId="9" fillId="19" borderId="11" xfId="0" applyFont="1" applyFill="1" applyBorder="1" applyAlignment="1">
      <alignment vertical="center" wrapText="1"/>
    </xf>
    <xf numFmtId="0" fontId="5" fillId="32" borderId="83" xfId="0" applyFont="1" applyFill="1" applyBorder="1" applyAlignment="1">
      <alignment vertical="center" wrapText="1"/>
    </xf>
    <xf numFmtId="0" fontId="5" fillId="32" borderId="84" xfId="0" applyFont="1" applyFill="1" applyBorder="1" applyAlignment="1">
      <alignment vertical="center" wrapText="1"/>
    </xf>
    <xf numFmtId="0" fontId="5" fillId="32" borderId="85" xfId="0" applyFont="1" applyFill="1" applyBorder="1" applyAlignment="1">
      <alignment vertical="center" wrapText="1"/>
    </xf>
    <xf numFmtId="0" fontId="5" fillId="32" borderId="86" xfId="0" applyFont="1" applyFill="1" applyBorder="1" applyAlignment="1">
      <alignment vertical="center" wrapText="1"/>
    </xf>
    <xf numFmtId="0" fontId="5" fillId="32" borderId="0" xfId="0" applyFont="1" applyFill="1" applyAlignment="1">
      <alignment vertical="center" wrapText="1"/>
    </xf>
    <xf numFmtId="0" fontId="5" fillId="32" borderId="87" xfId="0" applyFont="1" applyFill="1" applyBorder="1" applyAlignment="1">
      <alignment vertical="center" wrapText="1"/>
    </xf>
    <xf numFmtId="0" fontId="5" fillId="32" borderId="88" xfId="0" applyFont="1" applyFill="1" applyBorder="1" applyAlignment="1">
      <alignment vertical="center" wrapText="1"/>
    </xf>
    <xf numFmtId="0" fontId="5" fillId="32" borderId="89" xfId="0" applyFont="1" applyFill="1" applyBorder="1" applyAlignment="1">
      <alignment vertical="center" wrapText="1"/>
    </xf>
    <xf numFmtId="0" fontId="5" fillId="32" borderId="90" xfId="0" applyFont="1" applyFill="1" applyBorder="1" applyAlignment="1">
      <alignment vertical="center" wrapText="1"/>
    </xf>
    <xf numFmtId="0" fontId="13" fillId="28" borderId="0" xfId="0" applyFont="1" applyFill="1" applyAlignment="1">
      <alignment horizontal="center" vertical="center" wrapText="1"/>
    </xf>
    <xf numFmtId="3" fontId="18" fillId="30" borderId="92" xfId="0" applyNumberFormat="1" applyFont="1" applyFill="1" applyBorder="1" applyAlignment="1">
      <alignment horizontal="center" vertical="center"/>
    </xf>
    <xf numFmtId="3" fontId="18" fillId="30" borderId="93" xfId="0" applyNumberFormat="1" applyFont="1" applyFill="1" applyBorder="1" applyAlignment="1">
      <alignment horizontal="center" vertical="center"/>
    </xf>
    <xf numFmtId="3" fontId="18" fillId="30" borderId="94" xfId="0" applyNumberFormat="1" applyFont="1" applyFill="1" applyBorder="1" applyAlignment="1">
      <alignment horizontal="center" vertical="center"/>
    </xf>
    <xf numFmtId="3" fontId="18" fillId="30" borderId="95" xfId="0" applyNumberFormat="1" applyFont="1" applyFill="1" applyBorder="1" applyAlignment="1">
      <alignment horizontal="center" vertical="center"/>
    </xf>
    <xf numFmtId="164" fontId="18" fillId="30" borderId="92" xfId="0" applyNumberFormat="1" applyFont="1" applyFill="1" applyBorder="1" applyAlignment="1">
      <alignment horizontal="center" vertical="center"/>
    </xf>
    <xf numFmtId="164" fontId="18" fillId="30" borderId="93" xfId="0" applyNumberFormat="1" applyFont="1" applyFill="1" applyBorder="1" applyAlignment="1">
      <alignment horizontal="center" vertical="center"/>
    </xf>
    <xf numFmtId="164" fontId="18" fillId="30" borderId="94" xfId="0" applyNumberFormat="1" applyFont="1" applyFill="1" applyBorder="1" applyAlignment="1">
      <alignment horizontal="center" vertical="center"/>
    </xf>
    <xf numFmtId="164" fontId="18" fillId="30" borderId="95" xfId="0" applyNumberFormat="1" applyFont="1" applyFill="1" applyBorder="1" applyAlignment="1">
      <alignment horizontal="center" vertical="center"/>
    </xf>
    <xf numFmtId="0" fontId="14" fillId="29" borderId="0" xfId="0" applyFont="1" applyFill="1" applyAlignment="1">
      <alignment vertical="center"/>
    </xf>
  </cellXfs>
  <cellStyles count="2">
    <cellStyle name="Normal" xfId="0" builtinId="0"/>
    <cellStyle name="Percent" xfId="1" builtinId="5"/>
  </cellStyles>
  <dxfs count="12">
    <dxf>
      <font>
        <b/>
        <color rgb="FFB42318"/>
      </font>
      <fill>
        <patternFill patternType="solid">
          <bgColor rgb="FFFCE8E6"/>
        </patternFill>
      </fill>
    </dxf>
    <dxf>
      <font>
        <b/>
        <color rgb="FFB42318"/>
      </font>
      <fill>
        <patternFill patternType="solid">
          <bgColor rgb="FFFCE8E6"/>
        </patternFill>
      </fill>
    </dxf>
    <dxf>
      <font>
        <b/>
        <color rgb="FFB42318"/>
      </font>
      <fill>
        <patternFill patternType="solid">
          <bgColor rgb="FFFCE8E6"/>
        </patternFill>
      </fill>
    </dxf>
    <dxf>
      <font>
        <b/>
        <color rgb="FFB42318"/>
      </font>
      <fill>
        <patternFill patternType="solid">
          <bgColor rgb="FFFCE8E6"/>
        </patternFill>
      </fill>
    </dxf>
    <dxf>
      <font>
        <b/>
        <color rgb="FF26734D"/>
      </font>
      <fill>
        <patternFill patternType="solid">
          <bgColor rgb="FFEAF4F1"/>
        </patternFill>
      </fill>
    </dxf>
    <dxf>
      <font>
        <b/>
        <color rgb="FFB42318"/>
      </font>
      <fill>
        <patternFill>
          <bgColor rgb="FFFCE8E6"/>
        </patternFill>
      </fill>
    </dxf>
    <dxf>
      <font>
        <b/>
        <color rgb="FF26734D"/>
      </font>
      <fill>
        <patternFill>
          <bgColor rgb="FFDFF2E5"/>
        </patternFill>
      </fill>
    </dxf>
    <dxf>
      <font>
        <b/>
        <color rgb="FFB42318"/>
      </font>
      <fill>
        <patternFill>
          <bgColor rgb="FFFCE8E6"/>
        </patternFill>
      </fill>
    </dxf>
    <dxf>
      <font>
        <b/>
        <color rgb="FF26734D"/>
      </font>
      <fill>
        <patternFill>
          <bgColor rgb="FFDFF2E5"/>
        </patternFill>
      </fill>
    </dxf>
    <dxf>
      <font>
        <b/>
        <color rgb="FF8A5300"/>
      </font>
      <fill>
        <patternFill>
          <bgColor rgb="FFFFF3DD"/>
        </patternFill>
      </fill>
    </dxf>
    <dxf>
      <font>
        <b/>
        <color rgb="FFB42318"/>
      </font>
      <fill>
        <patternFill>
          <bgColor rgb="FFFCE8E6"/>
        </patternFill>
      </fill>
    </dxf>
    <dxf>
      <font>
        <b/>
        <color rgb="FF26734D"/>
      </font>
      <fill>
        <patternFill>
          <bgColor rgb="FFDFF2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2025 Encounter Pipeline</a:t>
            </a:r>
          </a:p>
        </c:rich>
      </c:tx>
      <c:overlay val="0"/>
    </c:title>
    <c:autoTitleDeleted val="0"/>
    <c:plotArea>
      <c:layout/>
      <c:barChart>
        <c:barDir val="col"/>
        <c:grouping val="clustered"/>
        <c:varyColors val="0"/>
        <c:ser>
          <c:idx val="0"/>
          <c:order val="0"/>
          <c:tx>
            <c:v>Count</c:v>
          </c:tx>
          <c:invertIfNegative val="1"/>
          <c:cat>
            <c:strRef>
              <c:f>'2025 Annual Waterfall'!$A$14:$A$17</c:f>
              <c:strCache>
                <c:ptCount val="4"/>
                <c:pt idx="0">
                  <c:v>Provider encounters submitted</c:v>
                </c:pt>
                <c:pt idx="1">
                  <c:v>Accepted by health plan</c:v>
                </c:pt>
                <c:pt idx="2">
                  <c:v>Submitted to EDPS</c:v>
                </c:pt>
                <c:pt idx="3">
                  <c:v>Accepted on MAO-002</c:v>
                </c:pt>
              </c:strCache>
            </c:strRef>
          </c:cat>
          <c:val>
            <c:numRef>
              <c:f>'2025 Annual Waterfall'!$B$14:$B$17</c:f>
              <c:numCache>
                <c:formatCode>#,##0</c:formatCode>
                <c:ptCount val="4"/>
                <c:pt idx="0">
                  <c:v>149000</c:v>
                </c:pt>
                <c:pt idx="1">
                  <c:v>145607</c:v>
                </c:pt>
                <c:pt idx="2">
                  <c:v>144860</c:v>
                </c:pt>
                <c:pt idx="3">
                  <c:v>142382</c:v>
                </c:pt>
              </c:numCache>
            </c:numRef>
          </c:val>
          <c:extLst>
            <c:ext xmlns:c16="http://schemas.microsoft.com/office/drawing/2014/chart" uri="{C3380CC4-5D6E-409C-BE32-E72D297353CC}">
              <c16:uniqueId val="{00000000-7350-42E1-916E-C4F41F87280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Annual Exception Population by Root-Cause Owner</a:t>
            </a:r>
          </a:p>
        </c:rich>
      </c:tx>
      <c:overlay val="0"/>
    </c:title>
    <c:autoTitleDeleted val="0"/>
    <c:plotArea>
      <c:layout/>
      <c:barChart>
        <c:barDir val="col"/>
        <c:grouping val="clustered"/>
        <c:varyColors val="0"/>
        <c:ser>
          <c:idx val="0"/>
          <c:order val="0"/>
          <c:tx>
            <c:v>Identified Records</c:v>
          </c:tx>
          <c:invertIfNegative val="1"/>
          <c:cat>
            <c:strRef>
              <c:f>'2025 Annual Waterfall'!$A$22:$A$25</c:f>
              <c:strCache>
                <c:ptCount val="4"/>
                <c:pt idx="0">
                  <c:v>Provider-controlled source/timing</c:v>
                </c:pt>
                <c:pt idx="1">
                  <c:v>Shared MAO-002/edit-dependent</c:v>
                </c:pt>
                <c:pt idx="2">
                  <c:v>Plan/vendor-controlled</c:v>
                </c:pt>
                <c:pt idx="3">
                  <c:v>CMS rule / no provider defect</c:v>
                </c:pt>
              </c:strCache>
            </c:strRef>
          </c:cat>
          <c:val>
            <c:numRef>
              <c:f>'2025 Annual Waterfall'!$B$22:$B$25</c:f>
              <c:numCache>
                <c:formatCode>#,##0</c:formatCode>
                <c:ptCount val="4"/>
                <c:pt idx="0">
                  <c:v>12308</c:v>
                </c:pt>
                <c:pt idx="1">
                  <c:v>5332</c:v>
                </c:pt>
                <c:pt idx="2">
                  <c:v>5838</c:v>
                </c:pt>
                <c:pt idx="3">
                  <c:v>16782</c:v>
                </c:pt>
              </c:numCache>
            </c:numRef>
          </c:val>
          <c:extLst>
            <c:ext xmlns:c16="http://schemas.microsoft.com/office/drawing/2014/chart" uri="{C3380CC4-5D6E-409C-BE32-E72D297353CC}">
              <c16:uniqueId val="{00000000-27A0-4747-A7C5-44D40FC5478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1"/>
        <c:ser>
          <c:idx val="0"/>
          <c:order val="0"/>
          <c:tx>
            <c:v>Initial Allowed %</c:v>
          </c:tx>
          <c:cat>
            <c:strRef>
              <c:f>'2025 Annual Waterfall'!$A$31:$A$42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'2025 Annual Waterfall'!$B$31:$B$42</c:f>
              <c:numCache>
                <c:formatCode>0.0%</c:formatCode>
                <c:ptCount val="12"/>
                <c:pt idx="0">
                  <c:v>0.87802455119562905</c:v>
                </c:pt>
                <c:pt idx="1">
                  <c:v>0.87997958960527756</c:v>
                </c:pt>
                <c:pt idx="2">
                  <c:v>0.88200391072753015</c:v>
                </c:pt>
                <c:pt idx="3">
                  <c:v>0.8850119472357697</c:v>
                </c:pt>
                <c:pt idx="4">
                  <c:v>0.88701593078568464</c:v>
                </c:pt>
                <c:pt idx="5">
                  <c:v>0.88899097621000822</c:v>
                </c:pt>
                <c:pt idx="6">
                  <c:v>0.89097780177204733</c:v>
                </c:pt>
                <c:pt idx="7">
                  <c:v>0.89301662118580993</c:v>
                </c:pt>
                <c:pt idx="8">
                  <c:v>0.89498981410746115</c:v>
                </c:pt>
                <c:pt idx="9">
                  <c:v>0.89799447798780307</c:v>
                </c:pt>
                <c:pt idx="10">
                  <c:v>0.90098569157392683</c:v>
                </c:pt>
                <c:pt idx="11">
                  <c:v>0.90300307245036171</c:v>
                </c:pt>
              </c:numCache>
            </c:numRef>
          </c:val>
          <c:smooth val="0"/>
          <c:extLst>
            <c:ext xmlns:c16="http://schemas.microsoft.com/office/drawing/2014/chart" uri="{C3380CC4-5D6E-409C-BE32-E72D297353CC}">
              <c16:uniqueId val="{00000000-B711-40D6-B912-69E19D957E23}"/>
            </c:ext>
          </c:extLst>
        </c:ser>
        <c:ser>
          <c:idx val="1"/>
          <c:order val="1"/>
          <c:tx>
            <c:v>Final Allowed %</c:v>
          </c:tx>
          <c:cat>
            <c:strRef>
              <c:f>'2025 Annual Waterfall'!$A$31:$A$42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'2025 Annual Waterfall'!$C$31:$C$42</c:f>
              <c:numCache>
                <c:formatCode>0.0%</c:formatCode>
                <c:ptCount val="12"/>
                <c:pt idx="0">
                  <c:v>0.93312282693535797</c:v>
                </c:pt>
                <c:pt idx="1">
                  <c:v>0.93352042861828921</c:v>
                </c:pt>
                <c:pt idx="2">
                  <c:v>0.93382105050232622</c:v>
                </c:pt>
                <c:pt idx="3">
                  <c:v>0.93489574809335207</c:v>
                </c:pt>
                <c:pt idx="4">
                  <c:v>0.93563834881716312</c:v>
                </c:pt>
                <c:pt idx="5">
                  <c:v>0.93568498769483188</c:v>
                </c:pt>
                <c:pt idx="6">
                  <c:v>0.93642224268792273</c:v>
                </c:pt>
                <c:pt idx="7">
                  <c:v>0.93674026296204416</c:v>
                </c:pt>
                <c:pt idx="8">
                  <c:v>0.93786605551311431</c:v>
                </c:pt>
                <c:pt idx="9">
                  <c:v>0.93916684365423708</c:v>
                </c:pt>
                <c:pt idx="10">
                  <c:v>0.94063593004769475</c:v>
                </c:pt>
                <c:pt idx="11">
                  <c:v>0.9409296640126863</c:v>
                </c:pt>
              </c:numCache>
            </c:numRef>
          </c:val>
          <c:smooth val="0"/>
          <c:extLst>
            <c:ext xmlns:c16="http://schemas.microsoft.com/office/drawing/2014/chart" uri="{C3380CC4-5D6E-409C-BE32-E72D297353CC}">
              <c16:uniqueId val="{00000001-B711-40D6-B912-69E19D957E2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0</xdr:colOff>
      <xdr:row>17</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18</xdr:row>
      <xdr:rowOff>0</xdr:rowOff>
    </xdr:from>
    <xdr:to>
      <xdr:col>24</xdr:col>
      <xdr:colOff>0</xdr:colOff>
      <xdr:row>34</xdr:row>
      <xdr:rowOff>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35</xdr:row>
      <xdr:rowOff>0</xdr:rowOff>
    </xdr:from>
    <xdr:to>
      <xdr:col>24</xdr:col>
      <xdr:colOff>0</xdr:colOff>
      <xdr:row>52</xdr:row>
      <xdr:rowOff>0</xdr:rowOff>
    </xdr:to>
    <xdr:graphicFrame macro="">
      <xdr:nvGraphicFramePr>
        <xdr:cNvPr id="4" nam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485775</xdr:colOff>
      <xdr:row>17</xdr:row>
      <xdr:rowOff>171450</xdr:rowOff>
    </xdr:from>
    <xdr:to>
      <xdr:col>1</xdr:col>
      <xdr:colOff>742950</xdr:colOff>
      <xdr:row>19</xdr:row>
      <xdr:rowOff>190500</xdr:rowOff>
    </xdr:to>
    <xdr:cxnSp macro="">
      <xdr:nvCxnSpPr>
        <xdr:cNvPr id="3" name="Straight Arrow Connector 2">
          <a:extLst>
            <a:ext uri="{FF2B5EF4-FFF2-40B4-BE49-F238E27FC236}">
              <a16:creationId xmlns:a16="http://schemas.microsoft.com/office/drawing/2014/main" id="{E36F8D32-331B-1D50-1A05-21B1F1D6B493}"/>
            </a:ext>
          </a:extLst>
        </xdr:cNvPr>
        <xdr:cNvCxnSpPr/>
      </xdr:nvCxnSpPr>
      <xdr:spPr>
        <a:xfrm flipV="1">
          <a:off x="1628775" y="4305300"/>
          <a:ext cx="257175"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ProviderActionMatrixTable" displayName="ProviderActionMatrixTable" ref="A4:K18">
  <tableColumns count="11">
    <tableColumn id="1" xr3:uid="{00000000-0010-0000-0000-000001000000}" name="Scenario ID"/>
    <tableColumn id="2" xr3:uid="{00000000-0010-0000-0000-000002000000}" name="MAO-004 Result Combination"/>
    <tableColumn id="3" xr3:uid="{00000000-0010-0000-0000-000003000000}" name="MAO-004 Status (#25)"/>
    <tableColumn id="4" xr3:uid="{00000000-0010-0000-0000-000004000000}" name="MAO-004 Reason (#27)"/>
    <tableColumn id="5" xr3:uid="{00000000-0010-0000-0000-000005000000}" name="Root-Cause Field(s) Used with #25/#27"/>
    <tableColumn id="6" xr3:uid="{00000000-0010-0000-0000-000006000000}" name="CMS-Coded Outcome"/>
    <tableColumn id="7" xr3:uid="{00000000-0010-0000-0000-000007000000}" name="Additional Data Required to Confirm Root Cause"/>
    <tableColumn id="8" xr3:uid="{00000000-0010-0000-0000-000008000000}" name="Root-Cause Decision Test"/>
    <tableColumn id="9" xr3:uid="{00000000-0010-0000-0000-000009000000}" name="Confirmed Control Owner"/>
    <tableColumn id="10" xr3:uid="{00000000-0010-0000-0000-00000A000000}" name="Corrective Action"/>
    <tableColumn id="11" xr3:uid="{00000000-0010-0000-0000-00000B000000}" name="Where the Fix Occu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rolLayerTable" displayName="ControlLayerTable" ref="A4:G12">
  <tableColumns count="7">
    <tableColumn id="1" xr3:uid="{00000000-0010-0000-0100-000001000000}" name="Root-Cause Layer"/>
    <tableColumn id="2" xr3:uid="{00000000-0010-0000-0100-000002000000}" name="Typical Examples"/>
    <tableColumn id="3" xr3:uid="{00000000-0010-0000-0100-000003000000}" name="Provider Control"/>
    <tableColumn id="4" xr3:uid="{00000000-0010-0000-0100-000004000000}" name="Where the Fix Occurs"/>
    <tableColumn id="5" xr3:uid="{00000000-0010-0000-0100-000005000000}" name="Plan / Vendor Responsibility"/>
    <tableColumn id="6" xr3:uid="{00000000-0010-0000-0100-000006000000}" name="Recommended Owner"/>
    <tableColumn id="7" xr3:uid="{00000000-0010-0000-0100-000007000000}" name="Required Evid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O002CrosswalkTable" displayName="MAO002CrosswalkTable" ref="A4:F9">
  <tableColumns count="6">
    <tableColumn id="1" xr3:uid="{00000000-0010-0000-0200-000001000000}" name="MAO-002 Indicator"/>
    <tableColumn id="2" xr3:uid="{00000000-0010-0000-0200-000002000000}" name="Meaning"/>
    <tableColumn id="3" xr3:uid="{00000000-0010-0000-0200-000003000000}" name="Provider Action"/>
    <tableColumn id="4" xr3:uid="{00000000-0010-0000-0200-000004000000}" name="Provider Fix Location"/>
    <tableColumn id="5" xr3:uid="{00000000-0010-0000-0200-000005000000}" name="Plan Action"/>
    <tableColumn id="6" xr3:uid="{00000000-0010-0000-0200-000006000000}" name="Provider Contro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oviderMatrixWorkflowTable" displayName="ProviderMatrixWorkflowTable" ref="A9:F14">
  <tableColumns count="6">
    <tableColumn id="1" xr3:uid="{00000000-0010-0000-0300-000001000000}" name="Step"/>
    <tableColumn id="2" xr3:uid="{00000000-0010-0000-0300-000002000000}" name="Provider Question"/>
    <tableColumn id="3" xr3:uid="{00000000-0010-0000-0300-000003000000}" name="Provider Action"/>
    <tableColumn id="4" xr3:uid="{00000000-0010-0000-0300-000004000000}" name="Evidence Used"/>
    <tableColumn id="5" xr3:uid="{00000000-0010-0000-0300-000005000000}" name="Decision / Output"/>
    <tableColumn id="6" xr3:uid="{00000000-0010-0000-0300-000006000000}" name="Operational Impac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RootCauseDataRequirementsTable" displayName="RootCauseDataRequirementsTable" ref="A25:F42">
  <tableColumns count="6">
    <tableColumn id="1" xr3:uid="{00000000-0010-0000-0400-000001000000}" name="Required Data Point"/>
    <tableColumn id="2" xr3:uid="{00000000-0010-0000-0400-000002000000}" name="How the Provider Uses It"/>
    <tableColumn id="3" xr3:uid="{00000000-0010-0000-0400-000003000000}" name="Root-Cause Decision Enabled"/>
    <tableColumn id="4" xr3:uid="{00000000-0010-0000-0400-000004000000}" name="Who Must Supply / System of Record"/>
    <tableColumn id="5" xr3:uid="{00000000-0010-0000-0400-000005000000}" name="Provider Action If Missing"/>
    <tableColumn id="6" xr3:uid="{00000000-0010-0000-0400-000006000000}" name="Operational Impact If Unavailab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AnnualEncounterWaterfallTable" displayName="AnnualEncounterWaterfallTable" ref="A13:F17">
  <tableColumns count="6">
    <tableColumn id="1" xr3:uid="{00000000-0010-0000-0900-000001000000}" name="Stage"/>
    <tableColumn id="2" xr3:uid="{00000000-0010-0000-0900-000002000000}" name="Count"/>
    <tableColumn id="3" xr3:uid="{00000000-0010-0000-0900-000003000000}" name="Loss vs Prior Stage"/>
    <tableColumn id="4" xr3:uid="{00000000-0010-0000-0900-000004000000}" name="Stage Yield"/>
    <tableColumn id="5" xr3:uid="{00000000-0010-0000-0900-000005000000}" name="% of Provider Submission"/>
    <tableColumn id="6" xr3:uid="{00000000-0010-0000-0900-000006000000}" name="Operational Interpret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AnnualDiagnosisWaterfallTable" displayName="AnnualDiagnosisWaterfallTable" ref="H13:N24">
  <tableColumns count="7">
    <tableColumn id="1" xr3:uid="{00000000-0010-0000-0A00-000001000000}" name="Waterfall Stage"/>
    <tableColumn id="2" xr3:uid="{00000000-0010-0000-0A00-000002000000}" name="Movement"/>
    <tableColumn id="3" xr3:uid="{00000000-0010-0000-0A00-000003000000}" name="Ending Balance"/>
    <tableColumn id="4" xr3:uid="{00000000-0010-0000-0A00-000004000000}" name="% of Diagnoses"/>
    <tableColumn id="5" xr3:uid="{00000000-0010-0000-0A00-000005000000}" name="Outcome Family"/>
    <tableColumn id="6" xr3:uid="{00000000-0010-0000-0A00-000006000000}" name="Provider Interpretation"/>
    <tableColumn id="7" xr3:uid="{00000000-0010-0000-0A00-000007000000}" name="Control 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AnnualRootCauseOwnershipTable" displayName="AnnualRootCauseOwnershipTable" ref="A21:F26">
  <tableColumns count="6">
    <tableColumn id="1" xr3:uid="{00000000-0010-0000-0B00-000001000000}" name="Root-Cause Owner"/>
    <tableColumn id="2" xr3:uid="{00000000-0010-0000-0B00-000002000000}" name="Identified Records"/>
    <tableColumn id="3" xr3:uid="{00000000-0010-0000-0B00-000003000000}" name="Corrections Submitted"/>
    <tableColumn id="4" xr3:uid="{00000000-0010-0000-0B00-000004000000}" name="Additional Allowed"/>
    <tableColumn id="5" xr3:uid="{00000000-0010-0000-0B00-000005000000}" name="Remaining / No Recovery"/>
    <tableColumn id="6" xr3:uid="{00000000-0010-0000-0B00-000006000000}" name="Operational Us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AnnualAllowedRateTrendTable" displayName="AnnualAllowedRateTrendTable" ref="A30:D42">
  <tableColumns count="4">
    <tableColumn id="1" xr3:uid="{00000000-0010-0000-0C00-000001000000}" name="Month"/>
    <tableColumn id="2" xr3:uid="{00000000-0010-0000-0C00-000002000000}" name="Initial Allowed %"/>
    <tableColumn id="3" xr3:uid="{00000000-0010-0000-0C00-000003000000}" name="Final Allowed %"/>
    <tableColumn id="4" xr3:uid="{00000000-0010-0000-0C00-000004000000}" name="Recovery Lift %"/>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Monthly2025WaterfallTable" displayName="Monthly2025WaterfallTable" ref="A5:AQ18">
  <tableColumns count="43">
    <tableColumn id="1" xr3:uid="{00000000-0010-0000-0800-000001000000}" name="Month"/>
    <tableColumn id="2" xr3:uid="{00000000-0010-0000-0800-000002000000}" name="Provider Encounters Submitted"/>
    <tableColumn id="3" xr3:uid="{00000000-0010-0000-0800-000003000000}" name="Plan Intake Rejects"/>
    <tableColumn id="4" xr3:uid="{00000000-0010-0000-0800-000004000000}" name="Plan Accepted"/>
    <tableColumn id="5" xr3:uid="{00000000-0010-0000-0800-000005000000}" name="Plan EDPS Holds"/>
    <tableColumn id="6" xr3:uid="{00000000-0010-0000-0800-000006000000}" name="EDPS Submitted"/>
    <tableColumn id="7" xr3:uid="{00000000-0010-0000-0800-000007000000}" name="MAO-002 Rejects"/>
    <tableColumn id="8" xr3:uid="{00000000-0010-0000-0800-000008000000}" name="MAO-002 Accepted"/>
    <tableColumn id="9" xr3:uid="{00000000-0010-0000-0800-000009000000}" name="Avg Dx / Accepted Encounter"/>
    <tableColumn id="10" xr3:uid="{00000000-0010-0000-0800-00000A000000}" name="Diagnoses Evaluated"/>
    <tableColumn id="11" xr3:uid="{00000000-0010-0000-0800-00000B000000}" name="A + blank"/>
    <tableColumn id="12" xr3:uid="{00000000-0010-0000-0800-00000C000000}" name="A + Q"/>
    <tableColumn id="13" xr3:uid="{00000000-0010-0000-0800-00000D000000}" name="D + H"/>
    <tableColumn id="14" xr3:uid="{00000000-0010-0000-0800-00000E000000}" name="D + T"/>
    <tableColumn id="15" xr3:uid="{00000000-0010-0000-0800-00000F000000}" name="D + D"/>
    <tableColumn id="16" xr3:uid="{00000000-0010-0000-0800-000010000000}" name="N + N"/>
    <tableColumn id="17" xr3:uid="{00000000-0010-0000-0800-000011000000}" name="Linked / Blank"/>
    <tableColumn id="18" xr3:uid="{00000000-0010-0000-0800-000012000000}" name="Initial Allowed"/>
    <tableColumn id="19" xr3:uid="{00000000-0010-0000-0800-000013000000}" name="H Provider"/>
    <tableColumn id="20" xr3:uid="{00000000-0010-0000-0800-000014000000}" name="H Shared/Edit"/>
    <tableColumn id="21" xr3:uid="{00000000-0010-0000-0800-000015000000}" name="H Plan/Vendor"/>
    <tableColumn id="22" xr3:uid="{00000000-0010-0000-0800-000016000000}" name="H No Defect"/>
    <tableColumn id="23" xr3:uid="{00000000-0010-0000-0800-000017000000}" name="T Provider"/>
    <tableColumn id="24" xr3:uid="{00000000-0010-0000-0800-000018000000}" name="T Plan/Vendor"/>
    <tableColumn id="25" xr3:uid="{00000000-0010-0000-0800-000019000000}" name="T No Defect"/>
    <tableColumn id="26" xr3:uid="{00000000-0010-0000-0800-00001A000000}" name="D Provider Late"/>
    <tableColumn id="27" xr3:uid="{00000000-0010-0000-0800-00001B000000}" name="D Plan Late"/>
    <tableColumn id="28" xr3:uid="{00000000-0010-0000-0800-00001C000000}" name="Provider Candidates"/>
    <tableColumn id="29" xr3:uid="{00000000-0010-0000-0800-00001D000000}" name="Shared Candidates"/>
    <tableColumn id="30" xr3:uid="{00000000-0010-0000-0800-00001E000000}" name="Plan Candidates"/>
    <tableColumn id="31" xr3:uid="{00000000-0010-0000-0800-00001F000000}" name="Provider Corrections Submitted"/>
    <tableColumn id="32" xr3:uid="{00000000-0010-0000-0800-000020000000}" name="Shared Corrections Submitted"/>
    <tableColumn id="33" xr3:uid="{00000000-0010-0000-0800-000021000000}" name="Plan Corrections Submitted"/>
    <tableColumn id="34" xr3:uid="{00000000-0010-0000-0800-000022000000}" name="Additional Allowed H"/>
    <tableColumn id="35" xr3:uid="{00000000-0010-0000-0800-000023000000}" name="Additional Allowed T"/>
    <tableColumn id="36" xr3:uid="{00000000-0010-0000-0800-000024000000}" name="Additional Allowed D"/>
    <tableColumn id="37" xr3:uid="{00000000-0010-0000-0800-000025000000}" name="Total Additional Allowed"/>
    <tableColumn id="38" xr3:uid="{00000000-0010-0000-0800-000026000000}" name="Final Allowed Diagnoses"/>
    <tableColumn id="39" xr3:uid="{00000000-0010-0000-0800-000027000000}" name="Remaining H/T/D"/>
    <tableColumn id="40" xr3:uid="{00000000-0010-0000-0800-000028000000}" name="Final Allowed %"/>
    <tableColumn id="41" xr3:uid="{00000000-0010-0000-0800-000029000000}" name="Reconciliation Check"/>
    <tableColumn id="42" xr3:uid="{00000000-0010-0000-0800-00002A000000}" name="Initial Allowed %"/>
    <tableColumn id="43" xr3:uid="{00000000-0010-0000-0800-00002B000000}" name="Recovery Lift %"/>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WaterfallGlobalAssumptionsTable" displayName="WaterfallGlobalAssumptionsTable" ref="A5:D21">
  <tableColumns count="4">
    <tableColumn id="1" xr3:uid="{00000000-0010-0000-0600-000001000000}" name="Assumption"/>
    <tableColumn id="2" xr3:uid="{00000000-0010-0000-0600-000002000000}" name="Value"/>
    <tableColumn id="3" xr3:uid="{00000000-0010-0000-0600-000003000000}" name="Used For"/>
    <tableColumn id="4" xr3:uid="{00000000-0010-0000-0600-000004000000}" name="Model Interpreta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WaterfallMonthlyInputsTable" displayName="WaterfallMonthlyInputsTable" ref="A24:N36">
  <tableColumns count="14">
    <tableColumn id="1" xr3:uid="{00000000-0010-0000-0700-000001000000}" name="Month"/>
    <tableColumn id="2" xr3:uid="{00000000-0010-0000-0700-000002000000}" name="Provider Encounters"/>
    <tableColumn id="3" xr3:uid="{00000000-0010-0000-0700-000003000000}" name="Plan Reject %"/>
    <tableColumn id="4" xr3:uid="{00000000-0010-0000-0700-000004000000}" name="EDPS Hold %"/>
    <tableColumn id="5" xr3:uid="{00000000-0010-0000-0700-000005000000}" name="MAO-002 Reject %"/>
    <tableColumn id="6" xr3:uid="{00000000-0010-0000-0700-000006000000}" name="Avg Dx / Accepted Encounter"/>
    <tableColumn id="7" xr3:uid="{00000000-0010-0000-0700-000007000000}" name="A + blank %"/>
    <tableColumn id="8" xr3:uid="{00000000-0010-0000-0700-000008000000}" name="A + Q %"/>
    <tableColumn id="9" xr3:uid="{00000000-0010-0000-0700-000009000000}" name="D + H %"/>
    <tableColumn id="10" xr3:uid="{00000000-0010-0000-0700-00000A000000}" name="D + T %"/>
    <tableColumn id="11" xr3:uid="{00000000-0010-0000-0700-00000B000000}" name="D + D %"/>
    <tableColumn id="12" xr3:uid="{00000000-0010-0000-0700-00000C000000}" name="N + N %"/>
    <tableColumn id="13" xr3:uid="{00000000-0010-0000-0700-00000D000000}" name="Linked / Blank %"/>
    <tableColumn id="14" xr3:uid="{00000000-0010-0000-0700-00000E000000}" name="Distribution Chec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1.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H27"/>
  <sheetViews>
    <sheetView tabSelected="1" workbookViewId="0">
      <selection sqref="A1:H1"/>
    </sheetView>
  </sheetViews>
  <sheetFormatPr defaultRowHeight="14.25"/>
  <cols>
    <col min="1" max="1" width="12" customWidth="1"/>
    <col min="2" max="7" width="18" customWidth="1"/>
    <col min="8" max="8" width="28" customWidth="1"/>
  </cols>
  <sheetData>
    <row r="1" spans="1:8" ht="32.450000000000003" customHeight="1">
      <c r="A1" s="266" t="s">
        <v>0</v>
      </c>
      <c r="B1" s="266"/>
      <c r="C1" s="266"/>
      <c r="D1" s="266"/>
      <c r="E1" s="266"/>
      <c r="F1" s="266"/>
      <c r="G1" s="266"/>
      <c r="H1" s="266"/>
    </row>
    <row r="2" spans="1:8" ht="11.1" customHeight="1">
      <c r="A2" s="267" t="s">
        <v>1</v>
      </c>
      <c r="B2" s="267"/>
      <c r="C2" s="267"/>
      <c r="D2" s="267"/>
      <c r="E2" s="267"/>
      <c r="F2" s="267"/>
      <c r="G2" s="267"/>
      <c r="H2" s="267"/>
    </row>
    <row r="4" spans="1:8" ht="11.1" customHeight="1">
      <c r="A4" s="268" t="s">
        <v>2</v>
      </c>
      <c r="B4" s="268"/>
      <c r="C4" s="268"/>
      <c r="D4" s="268"/>
      <c r="E4" s="268"/>
      <c r="F4" s="268"/>
      <c r="G4" s="268"/>
      <c r="H4" s="268"/>
    </row>
    <row r="5" spans="1:8" ht="20.45" customHeight="1">
      <c r="A5" s="269" t="s">
        <v>3</v>
      </c>
      <c r="B5" s="270"/>
      <c r="C5" s="270"/>
      <c r="D5" s="270"/>
      <c r="E5" s="270"/>
      <c r="F5" s="270"/>
      <c r="G5" s="270"/>
      <c r="H5" s="271"/>
    </row>
    <row r="6" spans="1:8" ht="48.95" customHeight="1">
      <c r="A6" s="272"/>
      <c r="B6" s="273"/>
      <c r="C6" s="273"/>
      <c r="D6" s="273"/>
      <c r="E6" s="273"/>
      <c r="F6" s="273"/>
      <c r="G6" s="273"/>
      <c r="H6" s="274"/>
    </row>
    <row r="8" spans="1:8" ht="13.35" customHeight="1">
      <c r="A8" s="275" t="s">
        <v>4</v>
      </c>
      <c r="B8" s="275"/>
      <c r="C8" s="275" t="s">
        <v>5</v>
      </c>
      <c r="D8" s="275"/>
      <c r="E8" s="275" t="s">
        <v>6</v>
      </c>
      <c r="F8" s="275"/>
      <c r="G8" s="275" t="s">
        <v>7</v>
      </c>
      <c r="H8" s="275"/>
    </row>
    <row r="9" spans="1:8">
      <c r="A9" s="262">
        <f>COUNTA('Provider Action Matrix'!A5:A18)</f>
        <v>14</v>
      </c>
      <c r="B9" s="263"/>
      <c r="C9" s="262">
        <f>COUNTIF('Provider Action Matrix'!I5:I18,"Provider / Shared")+COUNTIF('Provider Action Matrix'!I5:I18,"Provider for prevention")+COUNTIF('Provider Action Matrix'!I5:I18,"Provider or Plan")+COUNTIF('Provider Action Matrix'!I5:I18,"Shared / Plan-led")+COUNTIF('Provider Action Matrix'!I5:I18,"Depends on MAO-002 edit")</f>
        <v>6</v>
      </c>
      <c r="D9" s="263"/>
      <c r="E9" s="262">
        <f>COUNTIF('Provider Action Matrix'!I5:I18,"Plan / Vendor")+COUNTIF('Provider Action Matrix'!I5:I18,"CMS rule / No provider defect")+COUNTIF('Provider Action Matrix'!I5:I18,"CMS / Plan reconciliation")+COUNTIF('Provider Action Matrix'!I5:I18,"No provider defect")</f>
        <v>8</v>
      </c>
      <c r="F9" s="263"/>
      <c r="G9" s="262">
        <f>COUNTA('Plan Data Requirements'!A26:A42)</f>
        <v>17</v>
      </c>
      <c r="H9" s="263"/>
    </row>
    <row r="10" spans="1:8">
      <c r="A10" s="264"/>
      <c r="B10" s="265"/>
      <c r="C10" s="264"/>
      <c r="D10" s="265"/>
      <c r="E10" s="264"/>
      <c r="F10" s="265"/>
      <c r="G10" s="264"/>
      <c r="H10" s="265"/>
    </row>
    <row r="12" spans="1:8" ht="11.1" customHeight="1">
      <c r="A12" s="255" t="s">
        <v>8</v>
      </c>
      <c r="B12" s="255"/>
      <c r="C12" s="255"/>
      <c r="D12" s="255"/>
      <c r="E12" s="255"/>
      <c r="F12" s="255"/>
      <c r="G12" s="255"/>
      <c r="H12" s="255"/>
    </row>
    <row r="13" spans="1:8" ht="15.2" customHeight="1">
      <c r="A13" s="1" t="s">
        <v>9</v>
      </c>
      <c r="B13" s="261" t="s">
        <v>10</v>
      </c>
      <c r="C13" s="261"/>
      <c r="D13" s="261"/>
      <c r="E13" s="261" t="s">
        <v>11</v>
      </c>
      <c r="F13" s="261"/>
      <c r="G13" s="261"/>
      <c r="H13" s="3" t="s">
        <v>12</v>
      </c>
    </row>
    <row r="14" spans="1:8" ht="24.4" customHeight="1">
      <c r="A14" s="24" t="s">
        <v>13</v>
      </c>
      <c r="B14" s="260" t="s">
        <v>14</v>
      </c>
      <c r="C14" s="260"/>
      <c r="D14" s="260"/>
      <c r="E14" s="260" t="s">
        <v>15</v>
      </c>
      <c r="F14" s="260"/>
      <c r="G14" s="260"/>
      <c r="H14" s="25" t="s">
        <v>16</v>
      </c>
    </row>
    <row r="15" spans="1:8" ht="24.4" customHeight="1">
      <c r="A15" s="22" t="s">
        <v>17</v>
      </c>
      <c r="B15" s="252" t="s">
        <v>18</v>
      </c>
      <c r="C15" s="252"/>
      <c r="D15" s="252"/>
      <c r="E15" s="252" t="s">
        <v>19</v>
      </c>
      <c r="F15" s="252"/>
      <c r="G15" s="252"/>
      <c r="H15" s="23" t="s">
        <v>20</v>
      </c>
    </row>
    <row r="16" spans="1:8" ht="24.4" customHeight="1">
      <c r="A16" s="24" t="s">
        <v>21</v>
      </c>
      <c r="B16" s="260" t="s">
        <v>22</v>
      </c>
      <c r="C16" s="260"/>
      <c r="D16" s="260"/>
      <c r="E16" s="260" t="s">
        <v>23</v>
      </c>
      <c r="F16" s="260"/>
      <c r="G16" s="260"/>
      <c r="H16" s="25" t="s">
        <v>24</v>
      </c>
    </row>
    <row r="17" spans="1:8" ht="24.4" customHeight="1">
      <c r="A17" s="22" t="s">
        <v>25</v>
      </c>
      <c r="B17" s="252" t="s">
        <v>26</v>
      </c>
      <c r="C17" s="252"/>
      <c r="D17" s="252"/>
      <c r="E17" s="252" t="s">
        <v>27</v>
      </c>
      <c r="F17" s="252"/>
      <c r="G17" s="252"/>
      <c r="H17" s="23" t="s">
        <v>28</v>
      </c>
    </row>
    <row r="18" spans="1:8" ht="24.4" customHeight="1">
      <c r="A18" s="24" t="s">
        <v>29</v>
      </c>
      <c r="B18" s="260" t="s">
        <v>30</v>
      </c>
      <c r="C18" s="260"/>
      <c r="D18" s="260"/>
      <c r="E18" s="260" t="s">
        <v>31</v>
      </c>
      <c r="F18" s="260"/>
      <c r="G18" s="260"/>
      <c r="H18" s="25" t="s">
        <v>32</v>
      </c>
    </row>
    <row r="21" spans="1:8" ht="11.1" customHeight="1">
      <c r="A21" s="255" t="s">
        <v>33</v>
      </c>
      <c r="B21" s="255"/>
      <c r="C21" s="255"/>
      <c r="D21" s="255"/>
      <c r="E21" s="255"/>
      <c r="F21" s="255"/>
      <c r="G21" s="255"/>
      <c r="H21" s="255"/>
    </row>
    <row r="22" spans="1:8" ht="16.899999999999999" customHeight="1">
      <c r="A22" s="256" t="s">
        <v>5</v>
      </c>
      <c r="B22" s="257"/>
      <c r="C22" s="252" t="s">
        <v>34</v>
      </c>
      <c r="D22" s="252"/>
      <c r="E22" s="252"/>
      <c r="F22" s="252"/>
      <c r="G22" s="252"/>
      <c r="H22" s="253"/>
    </row>
    <row r="23" spans="1:8" ht="16.899999999999999" customHeight="1">
      <c r="A23" s="258" t="s">
        <v>6</v>
      </c>
      <c r="B23" s="259"/>
      <c r="C23" s="252" t="s">
        <v>35</v>
      </c>
      <c r="D23" s="252"/>
      <c r="E23" s="252"/>
      <c r="F23" s="252"/>
      <c r="G23" s="252"/>
      <c r="H23" s="253"/>
    </row>
    <row r="24" spans="1:8" ht="16.899999999999999" customHeight="1">
      <c r="A24" s="250" t="s">
        <v>36</v>
      </c>
      <c r="B24" s="251"/>
      <c r="C24" s="252" t="s">
        <v>37</v>
      </c>
      <c r="D24" s="252"/>
      <c r="E24" s="252"/>
      <c r="F24" s="252"/>
      <c r="G24" s="252"/>
      <c r="H24" s="253"/>
    </row>
    <row r="27" spans="1:8" ht="9.75" customHeight="1">
      <c r="A27" s="254" t="s">
        <v>38</v>
      </c>
      <c r="B27" s="254"/>
      <c r="C27" s="254"/>
      <c r="D27" s="254"/>
      <c r="E27" s="254"/>
      <c r="F27" s="254"/>
      <c r="G27" s="254"/>
      <c r="H27" s="254"/>
    </row>
  </sheetData>
  <mergeCells count="33">
    <mergeCell ref="A1:H1"/>
    <mergeCell ref="A2:H2"/>
    <mergeCell ref="A4:H4"/>
    <mergeCell ref="A5:H6"/>
    <mergeCell ref="A8:B8"/>
    <mergeCell ref="C8:D8"/>
    <mergeCell ref="E8:F8"/>
    <mergeCell ref="G8:H8"/>
    <mergeCell ref="A9:B10"/>
    <mergeCell ref="C9:D10"/>
    <mergeCell ref="E9:F10"/>
    <mergeCell ref="G9:H10"/>
    <mergeCell ref="A12:H12"/>
    <mergeCell ref="B13:D13"/>
    <mergeCell ref="E13:G13"/>
    <mergeCell ref="B14:D14"/>
    <mergeCell ref="E14:G14"/>
    <mergeCell ref="B15:D15"/>
    <mergeCell ref="E15:G15"/>
    <mergeCell ref="B16:D16"/>
    <mergeCell ref="E16:G16"/>
    <mergeCell ref="B17:D17"/>
    <mergeCell ref="E17:G17"/>
    <mergeCell ref="B18:D18"/>
    <mergeCell ref="E18:G18"/>
    <mergeCell ref="A24:B24"/>
    <mergeCell ref="C24:H24"/>
    <mergeCell ref="A27:H27"/>
    <mergeCell ref="A21:H21"/>
    <mergeCell ref="A22:B22"/>
    <mergeCell ref="C22:H22"/>
    <mergeCell ref="A23:B23"/>
    <mergeCell ref="C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K21"/>
  <sheetViews>
    <sheetView workbookViewId="0">
      <selection activeCell="B6" sqref="B6"/>
    </sheetView>
  </sheetViews>
  <sheetFormatPr defaultRowHeight="14.25"/>
  <cols>
    <col min="1" max="1" width="11" customWidth="1"/>
    <col min="2" max="2" width="16" customWidth="1"/>
    <col min="3" max="4" width="14" customWidth="1"/>
    <col min="5" max="5" width="46" customWidth="1"/>
    <col min="6" max="6" width="31" customWidth="1"/>
    <col min="7" max="8" width="39" customWidth="1"/>
    <col min="9" max="9" width="23" customWidth="1"/>
    <col min="10" max="10" width="38" customWidth="1"/>
    <col min="11" max="11" width="37" customWidth="1"/>
  </cols>
  <sheetData>
    <row r="1" spans="1:11" ht="15.2" customHeight="1">
      <c r="A1" s="266" t="s">
        <v>39</v>
      </c>
      <c r="B1" s="266"/>
      <c r="C1" s="266"/>
      <c r="D1" s="266"/>
      <c r="E1" s="266"/>
      <c r="F1" s="266"/>
      <c r="G1" s="266"/>
      <c r="H1" s="266"/>
      <c r="I1" s="266"/>
      <c r="J1" s="266"/>
      <c r="K1" s="276"/>
    </row>
    <row r="2" spans="1:11" ht="11.1" customHeight="1">
      <c r="A2" s="267" t="s">
        <v>40</v>
      </c>
      <c r="B2" s="267"/>
      <c r="C2" s="267"/>
      <c r="D2" s="267"/>
      <c r="E2" s="267"/>
      <c r="F2" s="267"/>
      <c r="G2" s="267"/>
      <c r="H2" s="267"/>
      <c r="I2" s="267"/>
      <c r="J2" s="267"/>
      <c r="K2" s="276"/>
    </row>
    <row r="3" spans="1:11" ht="27.6" customHeight="1">
      <c r="A3" s="277" t="s">
        <v>41</v>
      </c>
      <c r="B3" s="278"/>
      <c r="C3" s="278"/>
      <c r="D3" s="278"/>
      <c r="E3" s="278"/>
      <c r="F3" s="278"/>
      <c r="G3" s="278"/>
      <c r="H3" s="278"/>
      <c r="I3" s="278"/>
      <c r="J3" s="279"/>
      <c r="K3" s="280"/>
    </row>
    <row r="4" spans="1:11" ht="21.4" customHeight="1">
      <c r="A4" s="36" t="s">
        <v>42</v>
      </c>
      <c r="B4" s="37" t="s">
        <v>43</v>
      </c>
      <c r="C4" s="37" t="s">
        <v>44</v>
      </c>
      <c r="D4" s="37" t="s">
        <v>45</v>
      </c>
      <c r="E4" s="37" t="s">
        <v>46</v>
      </c>
      <c r="F4" s="37" t="s">
        <v>47</v>
      </c>
      <c r="G4" s="37" t="s">
        <v>48</v>
      </c>
      <c r="H4" s="37" t="s">
        <v>49</v>
      </c>
      <c r="I4" s="37" t="s">
        <v>50</v>
      </c>
      <c r="J4" s="38" t="s">
        <v>51</v>
      </c>
      <c r="K4" s="39" t="s">
        <v>52</v>
      </c>
    </row>
    <row r="5" spans="1:11" ht="48" customHeight="1">
      <c r="A5" s="52" t="s">
        <v>53</v>
      </c>
      <c r="B5" s="56" t="s">
        <v>54</v>
      </c>
      <c r="C5" s="56" t="s">
        <v>55</v>
      </c>
      <c r="D5" s="56" t="s">
        <v>56</v>
      </c>
      <c r="E5" s="60" t="s">
        <v>57</v>
      </c>
      <c r="F5" s="40" t="s">
        <v>58</v>
      </c>
      <c r="G5" s="40" t="s">
        <v>59</v>
      </c>
      <c r="H5" s="40" t="s">
        <v>60</v>
      </c>
      <c r="I5" s="40" t="s">
        <v>61</v>
      </c>
      <c r="J5" s="41" t="s">
        <v>62</v>
      </c>
      <c r="K5" s="42" t="s">
        <v>63</v>
      </c>
    </row>
    <row r="6" spans="1:11" ht="48" customHeight="1">
      <c r="A6" s="53" t="s">
        <v>64</v>
      </c>
      <c r="B6" s="57" t="s">
        <v>65</v>
      </c>
      <c r="C6" s="57" t="s">
        <v>66</v>
      </c>
      <c r="D6" s="57" t="s">
        <v>67</v>
      </c>
      <c r="E6" s="61" t="s">
        <v>68</v>
      </c>
      <c r="F6" s="44" t="s">
        <v>69</v>
      </c>
      <c r="G6" s="44" t="s">
        <v>70</v>
      </c>
      <c r="H6" s="44" t="s">
        <v>71</v>
      </c>
      <c r="I6" s="44" t="s">
        <v>5</v>
      </c>
      <c r="J6" s="45" t="s">
        <v>72</v>
      </c>
      <c r="K6" s="46" t="s">
        <v>73</v>
      </c>
    </row>
    <row r="7" spans="1:11" ht="48" customHeight="1">
      <c r="A7" s="53" t="s">
        <v>74</v>
      </c>
      <c r="B7" s="29" t="s">
        <v>65</v>
      </c>
      <c r="C7" s="29" t="s">
        <v>66</v>
      </c>
      <c r="D7" s="29" t="s">
        <v>67</v>
      </c>
      <c r="E7" s="61" t="s">
        <v>75</v>
      </c>
      <c r="F7" s="8" t="s">
        <v>69</v>
      </c>
      <c r="G7" s="8" t="s">
        <v>76</v>
      </c>
      <c r="H7" s="8" t="s">
        <v>77</v>
      </c>
      <c r="I7" s="8" t="s">
        <v>78</v>
      </c>
      <c r="J7" s="9" t="s">
        <v>79</v>
      </c>
      <c r="K7" s="43" t="s">
        <v>80</v>
      </c>
    </row>
    <row r="8" spans="1:11" ht="48" customHeight="1">
      <c r="A8" s="53" t="s">
        <v>81</v>
      </c>
      <c r="B8" s="57" t="s">
        <v>65</v>
      </c>
      <c r="C8" s="57" t="s">
        <v>66</v>
      </c>
      <c r="D8" s="57" t="s">
        <v>67</v>
      </c>
      <c r="E8" s="61" t="s">
        <v>82</v>
      </c>
      <c r="F8" s="44" t="s">
        <v>69</v>
      </c>
      <c r="G8" s="44" t="s">
        <v>83</v>
      </c>
      <c r="H8" s="44" t="s">
        <v>84</v>
      </c>
      <c r="I8" s="44" t="s">
        <v>85</v>
      </c>
      <c r="J8" s="45" t="s">
        <v>86</v>
      </c>
      <c r="K8" s="46" t="s">
        <v>87</v>
      </c>
    </row>
    <row r="9" spans="1:11" ht="48" customHeight="1">
      <c r="A9" s="53" t="s">
        <v>88</v>
      </c>
      <c r="B9" s="29" t="s">
        <v>65</v>
      </c>
      <c r="C9" s="29" t="s">
        <v>66</v>
      </c>
      <c r="D9" s="29" t="s">
        <v>67</v>
      </c>
      <c r="E9" s="61" t="s">
        <v>89</v>
      </c>
      <c r="F9" s="8" t="s">
        <v>69</v>
      </c>
      <c r="G9" s="8" t="s">
        <v>90</v>
      </c>
      <c r="H9" s="8" t="s">
        <v>91</v>
      </c>
      <c r="I9" s="8" t="s">
        <v>92</v>
      </c>
      <c r="J9" s="9" t="s">
        <v>93</v>
      </c>
      <c r="K9" s="43" t="s">
        <v>94</v>
      </c>
    </row>
    <row r="10" spans="1:11" ht="48" customHeight="1">
      <c r="A10" s="53" t="s">
        <v>95</v>
      </c>
      <c r="B10" s="57" t="s">
        <v>96</v>
      </c>
      <c r="C10" s="57" t="s">
        <v>66</v>
      </c>
      <c r="D10" s="57" t="s">
        <v>97</v>
      </c>
      <c r="E10" s="61" t="s">
        <v>98</v>
      </c>
      <c r="F10" s="44" t="s">
        <v>99</v>
      </c>
      <c r="G10" s="44" t="s">
        <v>100</v>
      </c>
      <c r="H10" s="44" t="s">
        <v>101</v>
      </c>
      <c r="I10" s="44" t="s">
        <v>5</v>
      </c>
      <c r="J10" s="45" t="s">
        <v>102</v>
      </c>
      <c r="K10" s="46" t="s">
        <v>103</v>
      </c>
    </row>
    <row r="11" spans="1:11" ht="48" customHeight="1">
      <c r="A11" s="53" t="s">
        <v>104</v>
      </c>
      <c r="B11" s="29" t="s">
        <v>96</v>
      </c>
      <c r="C11" s="29" t="s">
        <v>66</v>
      </c>
      <c r="D11" s="29" t="s">
        <v>97</v>
      </c>
      <c r="E11" s="61" t="s">
        <v>105</v>
      </c>
      <c r="F11" s="8" t="s">
        <v>99</v>
      </c>
      <c r="G11" s="8" t="s">
        <v>106</v>
      </c>
      <c r="H11" s="8" t="s">
        <v>107</v>
      </c>
      <c r="I11" s="8" t="s">
        <v>85</v>
      </c>
      <c r="J11" s="9" t="s">
        <v>108</v>
      </c>
      <c r="K11" s="43" t="s">
        <v>109</v>
      </c>
    </row>
    <row r="12" spans="1:11" ht="48" customHeight="1">
      <c r="A12" s="53" t="s">
        <v>110</v>
      </c>
      <c r="B12" s="57" t="s">
        <v>96</v>
      </c>
      <c r="C12" s="57" t="s">
        <v>66</v>
      </c>
      <c r="D12" s="57" t="s">
        <v>97</v>
      </c>
      <c r="E12" s="61" t="s">
        <v>111</v>
      </c>
      <c r="F12" s="44" t="s">
        <v>99</v>
      </c>
      <c r="G12" s="44" t="s">
        <v>112</v>
      </c>
      <c r="H12" s="44" t="s">
        <v>113</v>
      </c>
      <c r="I12" s="44" t="s">
        <v>92</v>
      </c>
      <c r="J12" s="45" t="s">
        <v>114</v>
      </c>
      <c r="K12" s="46" t="s">
        <v>115</v>
      </c>
    </row>
    <row r="13" spans="1:11" ht="48" customHeight="1">
      <c r="A13" s="53" t="s">
        <v>116</v>
      </c>
      <c r="B13" s="29" t="s">
        <v>117</v>
      </c>
      <c r="C13" s="29" t="s">
        <v>66</v>
      </c>
      <c r="D13" s="29" t="s">
        <v>66</v>
      </c>
      <c r="E13" s="61" t="s">
        <v>118</v>
      </c>
      <c r="F13" s="8" t="s">
        <v>119</v>
      </c>
      <c r="G13" s="8" t="s">
        <v>120</v>
      </c>
      <c r="H13" s="8" t="s">
        <v>121</v>
      </c>
      <c r="I13" s="8" t="s">
        <v>122</v>
      </c>
      <c r="J13" s="9" t="s">
        <v>123</v>
      </c>
      <c r="K13" s="43" t="s">
        <v>124</v>
      </c>
    </row>
    <row r="14" spans="1:11" ht="48" customHeight="1">
      <c r="A14" s="53" t="s">
        <v>125</v>
      </c>
      <c r="B14" s="57" t="s">
        <v>117</v>
      </c>
      <c r="C14" s="57" t="s">
        <v>66</v>
      </c>
      <c r="D14" s="57" t="s">
        <v>66</v>
      </c>
      <c r="E14" s="61" t="s">
        <v>126</v>
      </c>
      <c r="F14" s="44" t="s">
        <v>119</v>
      </c>
      <c r="G14" s="44" t="s">
        <v>127</v>
      </c>
      <c r="H14" s="44" t="s">
        <v>128</v>
      </c>
      <c r="I14" s="44" t="s">
        <v>92</v>
      </c>
      <c r="J14" s="45" t="s">
        <v>129</v>
      </c>
      <c r="K14" s="46" t="s">
        <v>130</v>
      </c>
    </row>
    <row r="15" spans="1:11" ht="48" customHeight="1">
      <c r="A15" s="53" t="s">
        <v>131</v>
      </c>
      <c r="B15" s="29" t="s">
        <v>132</v>
      </c>
      <c r="C15" s="29" t="s">
        <v>55</v>
      </c>
      <c r="D15" s="29" t="s">
        <v>133</v>
      </c>
      <c r="E15" s="61" t="s">
        <v>134</v>
      </c>
      <c r="F15" s="8" t="s">
        <v>135</v>
      </c>
      <c r="G15" s="8" t="s">
        <v>136</v>
      </c>
      <c r="H15" s="8" t="s">
        <v>137</v>
      </c>
      <c r="I15" s="8" t="s">
        <v>138</v>
      </c>
      <c r="J15" s="9" t="s">
        <v>139</v>
      </c>
      <c r="K15" s="43" t="s">
        <v>140</v>
      </c>
    </row>
    <row r="16" spans="1:11" ht="48" customHeight="1">
      <c r="A16" s="54" t="s">
        <v>141</v>
      </c>
      <c r="B16" s="58" t="s">
        <v>142</v>
      </c>
      <c r="C16" s="58" t="s">
        <v>143</v>
      </c>
      <c r="D16" s="58" t="s">
        <v>143</v>
      </c>
      <c r="E16" s="62" t="s">
        <v>144</v>
      </c>
      <c r="F16" s="47" t="s">
        <v>145</v>
      </c>
      <c r="G16" s="47" t="s">
        <v>146</v>
      </c>
      <c r="H16" s="8" t="s">
        <v>147</v>
      </c>
      <c r="I16" s="8" t="s">
        <v>85</v>
      </c>
      <c r="J16" s="48" t="s">
        <v>148</v>
      </c>
      <c r="K16" s="46" t="s">
        <v>149</v>
      </c>
    </row>
    <row r="17" spans="1:11" ht="48" customHeight="1">
      <c r="A17" s="53" t="s">
        <v>150</v>
      </c>
      <c r="B17" s="29" t="s">
        <v>142</v>
      </c>
      <c r="C17" s="29" t="s">
        <v>143</v>
      </c>
      <c r="D17" s="29" t="s">
        <v>143</v>
      </c>
      <c r="E17" s="61" t="s">
        <v>151</v>
      </c>
      <c r="F17" s="8" t="s">
        <v>145</v>
      </c>
      <c r="G17" s="8" t="s">
        <v>152</v>
      </c>
      <c r="H17" s="8" t="s">
        <v>153</v>
      </c>
      <c r="I17" s="8" t="s">
        <v>154</v>
      </c>
      <c r="J17" s="9" t="s">
        <v>155</v>
      </c>
      <c r="K17" s="43" t="s">
        <v>156</v>
      </c>
    </row>
    <row r="18" spans="1:11" ht="48" customHeight="1">
      <c r="A18" s="55" t="s">
        <v>157</v>
      </c>
      <c r="B18" s="59" t="s">
        <v>158</v>
      </c>
      <c r="C18" s="59" t="s">
        <v>56</v>
      </c>
      <c r="D18" s="59" t="s">
        <v>56</v>
      </c>
      <c r="E18" s="63" t="s">
        <v>159</v>
      </c>
      <c r="F18" s="49" t="s">
        <v>160</v>
      </c>
      <c r="G18" s="49" t="s">
        <v>161</v>
      </c>
      <c r="H18" s="49" t="s">
        <v>162</v>
      </c>
      <c r="I18" s="49" t="s">
        <v>163</v>
      </c>
      <c r="J18" s="50" t="s">
        <v>164</v>
      </c>
      <c r="K18" s="51" t="s">
        <v>165</v>
      </c>
    </row>
    <row r="19" spans="1:11" ht="9.75" customHeight="1">
      <c r="A19" s="26"/>
      <c r="B19" s="26"/>
      <c r="C19" s="26"/>
      <c r="D19" s="26"/>
      <c r="E19" s="26"/>
      <c r="F19" s="26"/>
      <c r="G19" s="26"/>
      <c r="H19" s="26"/>
      <c r="I19" s="26"/>
      <c r="J19" s="26"/>
    </row>
    <row r="21" spans="1:11" ht="11.65" customHeight="1">
      <c r="A21" s="281" t="s">
        <v>166</v>
      </c>
      <c r="B21" s="281" t="s">
        <v>166</v>
      </c>
      <c r="C21" s="281" t="s">
        <v>166</v>
      </c>
      <c r="D21" s="281" t="s">
        <v>166</v>
      </c>
      <c r="E21" s="281" t="s">
        <v>166</v>
      </c>
      <c r="F21" s="281" t="s">
        <v>166</v>
      </c>
      <c r="G21" s="281" t="s">
        <v>166</v>
      </c>
      <c r="H21" s="281" t="s">
        <v>166</v>
      </c>
      <c r="I21" s="281" t="s">
        <v>166</v>
      </c>
      <c r="J21" s="281" t="s">
        <v>166</v>
      </c>
      <c r="K21" s="281" t="s">
        <v>166</v>
      </c>
    </row>
  </sheetData>
  <mergeCells count="4">
    <mergeCell ref="A1:K1"/>
    <mergeCell ref="A2:K2"/>
    <mergeCell ref="A3:K3"/>
    <mergeCell ref="A21:K21"/>
  </mergeCells>
  <conditionalFormatting sqref="F5:F16">
    <cfRule type="expression" dxfId="11" priority="1">
      <formula>ISNUMBER(SEARCH("High",F5))</formula>
    </cfRule>
    <cfRule type="expression" dxfId="10" priority="2">
      <formula>OR(F5="None",F5="Low")</formula>
    </cfRule>
    <cfRule type="expression" dxfId="9" priority="3">
      <formula>ISNUMBER(SEARCH("Shared",F5))</formula>
    </cfRule>
  </conditionalFormatting>
  <conditionalFormatting sqref="H5:H18">
    <cfRule type="expression" dxfId="8" priority="4">
      <formula>OR(ISNUMBER(SEARCH("Provider",H5)),ISNUMBER(SEARCH("Shared",H5)),ISNUMBER(SEARCH("Depends",H5)))</formula>
    </cfRule>
    <cfRule type="expression" dxfId="7" priority="5">
      <formula>OR(ISNUMBER(SEARCH("Plan",H5)),ISNUMBER(SEARCH("CMS",H5)),ISNUMBER(SEARCH("No provider defect",H5)))</formula>
    </cfRule>
  </conditionalFormatting>
  <conditionalFormatting sqref="I5:I18">
    <cfRule type="expression" dxfId="6" priority="6">
      <formula>OR(ISNUMBER(SEARCH("Provider",I5)),ISNUMBER(SEARCH("Shared",I5)),ISNUMBER(SEARCH("Depends",I5)))</formula>
    </cfRule>
    <cfRule type="expression" dxfId="5" priority="7">
      <formula>OR(ISNUMBER(SEARCH("Plan",I5)),ISNUMBER(SEARCH("CMS",I5)),ISNUMBER(SEARCH("No provider defect",I5)))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249977111117893"/>
  </sheetPr>
  <dimension ref="A1:G14"/>
  <sheetViews>
    <sheetView workbookViewId="0">
      <selection sqref="A1:G1"/>
    </sheetView>
  </sheetViews>
  <sheetFormatPr defaultRowHeight="14.25"/>
  <cols>
    <col min="1" max="1" width="26" customWidth="1"/>
    <col min="2" max="2" width="38" customWidth="1"/>
    <col min="3" max="4" width="34" customWidth="1"/>
    <col min="5" max="5" width="36" customWidth="1"/>
    <col min="6" max="6" width="30" customWidth="1"/>
    <col min="7" max="7" width="34" customWidth="1"/>
  </cols>
  <sheetData>
    <row r="1" spans="1:7" ht="15.2" customHeight="1">
      <c r="A1" s="266" t="s">
        <v>167</v>
      </c>
      <c r="B1" s="266"/>
      <c r="C1" s="266"/>
      <c r="D1" s="266"/>
      <c r="E1" s="266"/>
      <c r="F1" s="266"/>
      <c r="G1" s="266"/>
    </row>
    <row r="2" spans="1:7" ht="11.1" customHeight="1">
      <c r="A2" s="267" t="s">
        <v>168</v>
      </c>
      <c r="B2" s="267"/>
      <c r="C2" s="267"/>
      <c r="D2" s="267"/>
      <c r="E2" s="267"/>
      <c r="F2" s="267"/>
      <c r="G2" s="267"/>
    </row>
    <row r="4" spans="1:7" ht="15.2" customHeight="1">
      <c r="A4" s="1" t="s">
        <v>169</v>
      </c>
      <c r="B4" s="2" t="s">
        <v>170</v>
      </c>
      <c r="C4" s="2" t="s">
        <v>171</v>
      </c>
      <c r="D4" s="2" t="s">
        <v>52</v>
      </c>
      <c r="E4" s="2" t="s">
        <v>172</v>
      </c>
      <c r="F4" s="2" t="s">
        <v>173</v>
      </c>
      <c r="G4" s="3" t="s">
        <v>174</v>
      </c>
    </row>
    <row r="5" spans="1:7" ht="34.700000000000003" customHeight="1">
      <c r="A5" s="4" t="s">
        <v>175</v>
      </c>
      <c r="B5" s="5" t="s">
        <v>176</v>
      </c>
      <c r="C5" s="5" t="s">
        <v>177</v>
      </c>
      <c r="D5" s="5" t="s">
        <v>178</v>
      </c>
      <c r="E5" s="5" t="s">
        <v>179</v>
      </c>
      <c r="F5" s="5" t="s">
        <v>180</v>
      </c>
      <c r="G5" s="6" t="s">
        <v>181</v>
      </c>
    </row>
    <row r="6" spans="1:7" ht="34.700000000000003" customHeight="1">
      <c r="A6" s="16" t="s">
        <v>182</v>
      </c>
      <c r="B6" s="17" t="s">
        <v>183</v>
      </c>
      <c r="C6" s="17" t="s">
        <v>184</v>
      </c>
      <c r="D6" s="17" t="s">
        <v>185</v>
      </c>
      <c r="E6" s="17" t="s">
        <v>186</v>
      </c>
      <c r="F6" s="17" t="s">
        <v>187</v>
      </c>
      <c r="G6" s="18" t="s">
        <v>188</v>
      </c>
    </row>
    <row r="7" spans="1:7" ht="34.700000000000003" customHeight="1">
      <c r="A7" s="7" t="s">
        <v>189</v>
      </c>
      <c r="B7" s="8" t="s">
        <v>190</v>
      </c>
      <c r="C7" s="8" t="s">
        <v>191</v>
      </c>
      <c r="D7" s="8" t="s">
        <v>192</v>
      </c>
      <c r="E7" s="8" t="s">
        <v>193</v>
      </c>
      <c r="F7" s="8" t="s">
        <v>194</v>
      </c>
      <c r="G7" s="9" t="s">
        <v>195</v>
      </c>
    </row>
    <row r="8" spans="1:7" ht="34.700000000000003" customHeight="1">
      <c r="A8" s="16" t="s">
        <v>196</v>
      </c>
      <c r="B8" s="17" t="s">
        <v>197</v>
      </c>
      <c r="C8" s="17" t="s">
        <v>198</v>
      </c>
      <c r="D8" s="17" t="s">
        <v>199</v>
      </c>
      <c r="E8" s="17" t="s">
        <v>200</v>
      </c>
      <c r="F8" s="17" t="s">
        <v>201</v>
      </c>
      <c r="G8" s="18" t="s">
        <v>202</v>
      </c>
    </row>
    <row r="9" spans="1:7" ht="34.700000000000003" customHeight="1">
      <c r="A9" s="7" t="s">
        <v>203</v>
      </c>
      <c r="B9" s="8" t="s">
        <v>204</v>
      </c>
      <c r="C9" s="8" t="s">
        <v>205</v>
      </c>
      <c r="D9" s="8" t="s">
        <v>206</v>
      </c>
      <c r="E9" s="8" t="s">
        <v>207</v>
      </c>
      <c r="F9" s="8" t="s">
        <v>208</v>
      </c>
      <c r="G9" s="9" t="s">
        <v>209</v>
      </c>
    </row>
    <row r="10" spans="1:7" ht="34.700000000000003" customHeight="1">
      <c r="A10" s="16" t="s">
        <v>210</v>
      </c>
      <c r="B10" s="17" t="s">
        <v>211</v>
      </c>
      <c r="C10" s="17" t="s">
        <v>212</v>
      </c>
      <c r="D10" s="17" t="s">
        <v>213</v>
      </c>
      <c r="E10" s="17" t="s">
        <v>214</v>
      </c>
      <c r="F10" s="17" t="s">
        <v>215</v>
      </c>
      <c r="G10" s="18" t="s">
        <v>216</v>
      </c>
    </row>
    <row r="11" spans="1:7" ht="34.700000000000003" customHeight="1">
      <c r="A11" s="7" t="s">
        <v>217</v>
      </c>
      <c r="B11" s="8" t="s">
        <v>218</v>
      </c>
      <c r="C11" s="8" t="s">
        <v>219</v>
      </c>
      <c r="D11" s="8" t="s">
        <v>220</v>
      </c>
      <c r="E11" s="8" t="s">
        <v>221</v>
      </c>
      <c r="F11" s="8" t="s">
        <v>222</v>
      </c>
      <c r="G11" s="9" t="s">
        <v>223</v>
      </c>
    </row>
    <row r="12" spans="1:7" ht="34.700000000000003" customHeight="1">
      <c r="A12" s="19" t="s">
        <v>224</v>
      </c>
      <c r="B12" s="20" t="s">
        <v>225</v>
      </c>
      <c r="C12" s="20" t="s">
        <v>226</v>
      </c>
      <c r="D12" s="20" t="s">
        <v>227</v>
      </c>
      <c r="E12" s="20" t="s">
        <v>228</v>
      </c>
      <c r="F12" s="20" t="s">
        <v>229</v>
      </c>
      <c r="G12" s="21" t="s">
        <v>230</v>
      </c>
    </row>
    <row r="14" spans="1:7" ht="9.75" customHeight="1">
      <c r="A14" s="254" t="s">
        <v>38</v>
      </c>
      <c r="B14" s="254"/>
      <c r="C14" s="254"/>
      <c r="D14" s="254"/>
      <c r="E14" s="254"/>
      <c r="F14" s="254"/>
      <c r="G14" s="254"/>
    </row>
  </sheetData>
  <mergeCells count="3">
    <mergeCell ref="A1:G1"/>
    <mergeCell ref="A2:G2"/>
    <mergeCell ref="A14:G14"/>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sheetPr>
  <dimension ref="A1:F12"/>
  <sheetViews>
    <sheetView workbookViewId="0">
      <selection sqref="A1:F1"/>
    </sheetView>
  </sheetViews>
  <sheetFormatPr defaultRowHeight="14.25"/>
  <cols>
    <col min="1" max="1" width="18" customWidth="1"/>
    <col min="2" max="2" width="34" customWidth="1"/>
    <col min="3" max="3" width="40" customWidth="1"/>
    <col min="4" max="4" width="34" customWidth="1"/>
    <col min="5" max="5" width="38" customWidth="1"/>
    <col min="6" max="6" width="20" customWidth="1"/>
  </cols>
  <sheetData>
    <row r="1" spans="1:6" ht="15.2" customHeight="1">
      <c r="A1" s="266" t="s">
        <v>231</v>
      </c>
      <c r="B1" s="266"/>
      <c r="C1" s="266"/>
      <c r="D1" s="266"/>
      <c r="E1" s="266"/>
      <c r="F1" s="266"/>
    </row>
    <row r="2" spans="1:6" ht="11.1" customHeight="1">
      <c r="A2" s="267" t="s">
        <v>232</v>
      </c>
      <c r="B2" s="267"/>
      <c r="C2" s="267"/>
      <c r="D2" s="267"/>
      <c r="E2" s="267"/>
      <c r="F2" s="267"/>
    </row>
    <row r="3" spans="1:6" ht="16.899999999999999" customHeight="1">
      <c r="A3" s="282" t="s">
        <v>233</v>
      </c>
      <c r="B3" s="282"/>
      <c r="C3" s="282"/>
      <c r="D3" s="282"/>
      <c r="E3" s="282"/>
      <c r="F3" s="282"/>
    </row>
    <row r="4" spans="1:6" ht="15.2" customHeight="1">
      <c r="A4" s="1" t="s">
        <v>234</v>
      </c>
      <c r="B4" s="2" t="s">
        <v>235</v>
      </c>
      <c r="C4" s="2" t="s">
        <v>236</v>
      </c>
      <c r="D4" s="2" t="s">
        <v>237</v>
      </c>
      <c r="E4" s="2" t="s">
        <v>238</v>
      </c>
      <c r="F4" s="3" t="s">
        <v>171</v>
      </c>
    </row>
    <row r="5" spans="1:6" ht="31.15" customHeight="1">
      <c r="A5" s="4" t="s">
        <v>239</v>
      </c>
      <c r="B5" s="5" t="s">
        <v>240</v>
      </c>
      <c r="C5" s="5" t="s">
        <v>241</v>
      </c>
      <c r="D5" s="5" t="s">
        <v>242</v>
      </c>
      <c r="E5" s="5" t="s">
        <v>243</v>
      </c>
      <c r="F5" s="6" t="s">
        <v>244</v>
      </c>
    </row>
    <row r="6" spans="1:6" ht="31.15" customHeight="1">
      <c r="A6" s="7" t="s">
        <v>245</v>
      </c>
      <c r="B6" s="8" t="s">
        <v>246</v>
      </c>
      <c r="C6" s="8" t="s">
        <v>247</v>
      </c>
      <c r="D6" s="8" t="s">
        <v>248</v>
      </c>
      <c r="E6" s="8" t="s">
        <v>249</v>
      </c>
      <c r="F6" s="9" t="s">
        <v>250</v>
      </c>
    </row>
    <row r="7" spans="1:6" ht="31.15" customHeight="1">
      <c r="A7" s="7" t="s">
        <v>251</v>
      </c>
      <c r="B7" s="8" t="s">
        <v>252</v>
      </c>
      <c r="C7" s="8" t="s">
        <v>253</v>
      </c>
      <c r="D7" s="8" t="s">
        <v>254</v>
      </c>
      <c r="E7" s="8" t="s">
        <v>255</v>
      </c>
      <c r="F7" s="9" t="s">
        <v>250</v>
      </c>
    </row>
    <row r="8" spans="1:6" ht="31.15" customHeight="1">
      <c r="A8" s="7" t="s">
        <v>256</v>
      </c>
      <c r="B8" s="8" t="s">
        <v>257</v>
      </c>
      <c r="C8" s="8" t="s">
        <v>258</v>
      </c>
      <c r="D8" s="8" t="s">
        <v>259</v>
      </c>
      <c r="E8" s="8" t="s">
        <v>260</v>
      </c>
      <c r="F8" s="9" t="s">
        <v>261</v>
      </c>
    </row>
    <row r="9" spans="1:6" ht="31.15" customHeight="1">
      <c r="A9" s="10" t="s">
        <v>262</v>
      </c>
      <c r="B9" s="11" t="s">
        <v>263</v>
      </c>
      <c r="C9" s="11" t="s">
        <v>264</v>
      </c>
      <c r="D9" s="11" t="s">
        <v>265</v>
      </c>
      <c r="E9" s="11" t="s">
        <v>266</v>
      </c>
      <c r="F9" s="12" t="s">
        <v>267</v>
      </c>
    </row>
    <row r="12" spans="1:6" ht="9.75" customHeight="1">
      <c r="A12" s="254" t="s">
        <v>38</v>
      </c>
      <c r="B12" s="254"/>
      <c r="C12" s="254"/>
      <c r="D12" s="254"/>
      <c r="E12" s="254"/>
      <c r="F12" s="254"/>
    </row>
  </sheetData>
  <mergeCells count="4">
    <mergeCell ref="A1:F1"/>
    <mergeCell ref="A2:F2"/>
    <mergeCell ref="A12:F12"/>
    <mergeCell ref="A3:F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sheetPr>
  <dimension ref="A1:F48"/>
  <sheetViews>
    <sheetView workbookViewId="0">
      <selection sqref="A1:D1"/>
    </sheetView>
  </sheetViews>
  <sheetFormatPr defaultRowHeight="14.25"/>
  <cols>
    <col min="1" max="1" width="31" customWidth="1"/>
    <col min="2" max="3" width="38" customWidth="1"/>
    <col min="4" max="4" width="32" customWidth="1"/>
    <col min="5" max="5" width="35" customWidth="1"/>
    <col min="6" max="6" width="36" customWidth="1"/>
  </cols>
  <sheetData>
    <row r="1" spans="1:6" ht="15.2" customHeight="1">
      <c r="A1" s="295" t="s">
        <v>268</v>
      </c>
      <c r="B1" s="295"/>
      <c r="C1" s="295"/>
      <c r="D1" s="295"/>
      <c r="E1" s="69"/>
      <c r="F1" s="69"/>
    </row>
    <row r="2" spans="1:6" ht="12.4" customHeight="1">
      <c r="A2" s="296" t="s">
        <v>269</v>
      </c>
      <c r="B2" s="296"/>
      <c r="C2" s="296"/>
      <c r="D2" s="296"/>
      <c r="E2" s="70"/>
      <c r="F2" s="70"/>
    </row>
    <row r="4" spans="1:6" ht="11.1" customHeight="1">
      <c r="A4" s="297" t="s">
        <v>270</v>
      </c>
      <c r="B4" s="298"/>
      <c r="C4" s="298"/>
      <c r="D4" s="299"/>
      <c r="E4" s="300"/>
      <c r="F4" s="300"/>
    </row>
    <row r="5" spans="1:6" ht="28.35" customHeight="1">
      <c r="A5" s="294" t="s">
        <v>271</v>
      </c>
      <c r="B5" s="294"/>
      <c r="C5" s="294"/>
      <c r="D5" s="294"/>
      <c r="E5" s="294"/>
      <c r="F5" s="294"/>
    </row>
    <row r="6" spans="1:6" ht="28.35" customHeight="1">
      <c r="A6" s="294"/>
      <c r="B6" s="294"/>
      <c r="C6" s="294"/>
      <c r="D6" s="294"/>
      <c r="E6" s="294"/>
      <c r="F6" s="294"/>
    </row>
    <row r="7" spans="1:6" ht="28.35" customHeight="1">
      <c r="A7" s="28"/>
      <c r="B7" s="8"/>
      <c r="C7" s="8"/>
      <c r="D7" s="27"/>
    </row>
    <row r="8" spans="1:6" ht="11.1" customHeight="1">
      <c r="A8" s="301" t="s">
        <v>272</v>
      </c>
      <c r="B8" s="302"/>
      <c r="C8" s="302"/>
      <c r="D8" s="303"/>
      <c r="E8" s="283"/>
      <c r="F8" s="283"/>
    </row>
    <row r="9" spans="1:6" ht="16.899999999999999" customHeight="1">
      <c r="A9" s="71" t="s">
        <v>9</v>
      </c>
      <c r="B9" s="72" t="s">
        <v>273</v>
      </c>
      <c r="C9" s="72" t="s">
        <v>236</v>
      </c>
      <c r="D9" s="73" t="s">
        <v>274</v>
      </c>
      <c r="E9" s="72" t="s">
        <v>275</v>
      </c>
      <c r="F9" s="72" t="s">
        <v>276</v>
      </c>
    </row>
    <row r="10" spans="1:6" ht="34.700000000000003" customHeight="1">
      <c r="A10" s="82" t="s">
        <v>13</v>
      </c>
      <c r="B10" s="104" t="s">
        <v>277</v>
      </c>
      <c r="C10" s="104" t="s">
        <v>278</v>
      </c>
      <c r="D10" s="105" t="s">
        <v>279</v>
      </c>
      <c r="E10" s="104" t="s">
        <v>280</v>
      </c>
      <c r="F10" s="106" t="s">
        <v>281</v>
      </c>
    </row>
    <row r="11" spans="1:6" ht="34.700000000000003" customHeight="1">
      <c r="A11" s="83" t="s">
        <v>17</v>
      </c>
      <c r="B11" s="98" t="s">
        <v>282</v>
      </c>
      <c r="C11" s="98" t="s">
        <v>283</v>
      </c>
      <c r="D11" s="107" t="s">
        <v>284</v>
      </c>
      <c r="E11" s="98" t="s">
        <v>285</v>
      </c>
      <c r="F11" s="99" t="s">
        <v>286</v>
      </c>
    </row>
    <row r="12" spans="1:6" ht="34.700000000000003" customHeight="1">
      <c r="A12" s="84" t="s">
        <v>21</v>
      </c>
      <c r="B12" s="108" t="s">
        <v>287</v>
      </c>
      <c r="C12" s="108" t="s">
        <v>288</v>
      </c>
      <c r="D12" s="109" t="s">
        <v>289</v>
      </c>
      <c r="E12" s="110" t="s">
        <v>290</v>
      </c>
      <c r="F12" s="111" t="s">
        <v>291</v>
      </c>
    </row>
    <row r="13" spans="1:6" ht="34.700000000000003" customHeight="1">
      <c r="A13" s="83" t="s">
        <v>25</v>
      </c>
      <c r="B13" s="98" t="s">
        <v>292</v>
      </c>
      <c r="C13" s="98" t="s">
        <v>293</v>
      </c>
      <c r="D13" s="107" t="s">
        <v>294</v>
      </c>
      <c r="E13" s="98" t="s">
        <v>295</v>
      </c>
      <c r="F13" s="99" t="s">
        <v>296</v>
      </c>
    </row>
    <row r="14" spans="1:6" ht="34.700000000000003" customHeight="1">
      <c r="A14" s="85" t="s">
        <v>29</v>
      </c>
      <c r="B14" s="112" t="s">
        <v>297</v>
      </c>
      <c r="C14" s="112" t="s">
        <v>298</v>
      </c>
      <c r="D14" s="113" t="s">
        <v>299</v>
      </c>
      <c r="E14" s="112" t="s">
        <v>300</v>
      </c>
      <c r="F14" s="114" t="s">
        <v>301</v>
      </c>
    </row>
    <row r="15" spans="1:6" ht="28.35" customHeight="1">
      <c r="A15" s="30"/>
      <c r="B15" s="31"/>
      <c r="C15" s="31"/>
      <c r="D15" s="32"/>
    </row>
    <row r="16" spans="1:6" ht="11.1" customHeight="1">
      <c r="A16" s="304" t="s">
        <v>302</v>
      </c>
      <c r="B16" s="305"/>
      <c r="C16" s="305"/>
      <c r="D16" s="306"/>
      <c r="E16" s="283"/>
      <c r="F16" s="283"/>
    </row>
    <row r="17" spans="1:6" ht="17.850000000000001" customHeight="1">
      <c r="A17" s="86" t="s">
        <v>303</v>
      </c>
      <c r="B17" s="87" t="s">
        <v>304</v>
      </c>
      <c r="C17" s="87" t="s">
        <v>171</v>
      </c>
      <c r="D17" s="88" t="s">
        <v>305</v>
      </c>
      <c r="E17" s="89" t="s">
        <v>12</v>
      </c>
      <c r="F17" s="89" t="s">
        <v>306</v>
      </c>
    </row>
    <row r="18" spans="1:6" ht="33.75" customHeight="1">
      <c r="A18" s="93" t="s">
        <v>182</v>
      </c>
      <c r="B18" s="94" t="s">
        <v>307</v>
      </c>
      <c r="C18" s="94" t="s">
        <v>308</v>
      </c>
      <c r="D18" s="95" t="s">
        <v>309</v>
      </c>
      <c r="E18" s="94" t="s">
        <v>187</v>
      </c>
      <c r="F18" s="96" t="s">
        <v>310</v>
      </c>
    </row>
    <row r="19" spans="1:6" ht="33.75" customHeight="1">
      <c r="A19" s="97" t="s">
        <v>189</v>
      </c>
      <c r="B19" s="67" t="s">
        <v>311</v>
      </c>
      <c r="C19" s="67" t="s">
        <v>312</v>
      </c>
      <c r="D19" s="68" t="s">
        <v>313</v>
      </c>
      <c r="E19" s="98" t="s">
        <v>194</v>
      </c>
      <c r="F19" s="99" t="s">
        <v>314</v>
      </c>
    </row>
    <row r="20" spans="1:6" ht="33.75" customHeight="1">
      <c r="A20" s="100" t="s">
        <v>315</v>
      </c>
      <c r="B20" s="101" t="s">
        <v>316</v>
      </c>
      <c r="C20" s="101" t="s">
        <v>317</v>
      </c>
      <c r="D20" s="101" t="s">
        <v>318</v>
      </c>
      <c r="E20" s="101" t="s">
        <v>201</v>
      </c>
      <c r="F20" s="102" t="s">
        <v>319</v>
      </c>
    </row>
    <row r="21" spans="1:6" ht="33.75" customHeight="1">
      <c r="A21" s="103" t="s">
        <v>320</v>
      </c>
      <c r="B21" s="98" t="s">
        <v>321</v>
      </c>
      <c r="C21" s="98" t="s">
        <v>322</v>
      </c>
      <c r="D21" s="98" t="s">
        <v>323</v>
      </c>
      <c r="E21" s="98" t="s">
        <v>324</v>
      </c>
      <c r="F21" s="99" t="s">
        <v>325</v>
      </c>
    </row>
    <row r="22" spans="1:6" ht="33.75" customHeight="1">
      <c r="A22" s="100" t="s">
        <v>326</v>
      </c>
      <c r="B22" s="101" t="s">
        <v>327</v>
      </c>
      <c r="C22" s="101" t="s">
        <v>328</v>
      </c>
      <c r="D22" s="101" t="s">
        <v>329</v>
      </c>
      <c r="E22" s="101" t="s">
        <v>330</v>
      </c>
      <c r="F22" s="102" t="s">
        <v>331</v>
      </c>
    </row>
    <row r="24" spans="1:6" ht="11.1" customHeight="1">
      <c r="A24" s="283" t="s">
        <v>332</v>
      </c>
      <c r="B24" s="283"/>
      <c r="C24" s="283"/>
      <c r="D24" s="283"/>
      <c r="E24" s="283"/>
      <c r="F24" s="283"/>
    </row>
    <row r="25" spans="1:6" ht="20.45" customHeight="1">
      <c r="A25" s="72" t="s">
        <v>333</v>
      </c>
      <c r="B25" s="72" t="s">
        <v>334</v>
      </c>
      <c r="C25" s="72" t="s">
        <v>335</v>
      </c>
      <c r="D25" s="72" t="s">
        <v>336</v>
      </c>
      <c r="E25" s="72" t="s">
        <v>337</v>
      </c>
      <c r="F25" s="72" t="s">
        <v>338</v>
      </c>
    </row>
    <row r="26" spans="1:6" ht="39.200000000000003" customHeight="1">
      <c r="A26" s="91" t="s">
        <v>339</v>
      </c>
      <c r="B26" s="75" t="s">
        <v>340</v>
      </c>
      <c r="C26" s="75" t="s">
        <v>341</v>
      </c>
      <c r="D26" s="75" t="s">
        <v>342</v>
      </c>
      <c r="E26" s="75" t="s">
        <v>343</v>
      </c>
      <c r="F26" s="76" t="s">
        <v>344</v>
      </c>
    </row>
    <row r="27" spans="1:6" ht="39.200000000000003" customHeight="1">
      <c r="A27" s="92" t="s">
        <v>345</v>
      </c>
      <c r="B27" s="80" t="s">
        <v>346</v>
      </c>
      <c r="C27" s="80" t="s">
        <v>347</v>
      </c>
      <c r="D27" s="80" t="s">
        <v>342</v>
      </c>
      <c r="E27" s="80" t="s">
        <v>348</v>
      </c>
      <c r="F27" s="81" t="s">
        <v>349</v>
      </c>
    </row>
    <row r="28" spans="1:6" ht="39.200000000000003" customHeight="1">
      <c r="A28" s="74" t="s">
        <v>350</v>
      </c>
      <c r="B28" s="8" t="s">
        <v>351</v>
      </c>
      <c r="C28" s="8" t="s">
        <v>352</v>
      </c>
      <c r="D28" s="8" t="s">
        <v>342</v>
      </c>
      <c r="E28" s="8" t="s">
        <v>353</v>
      </c>
      <c r="F28" s="77" t="s">
        <v>354</v>
      </c>
    </row>
    <row r="29" spans="1:6" ht="39.200000000000003" customHeight="1">
      <c r="A29" s="92" t="s">
        <v>355</v>
      </c>
      <c r="B29" s="80" t="s">
        <v>356</v>
      </c>
      <c r="C29" s="80" t="s">
        <v>357</v>
      </c>
      <c r="D29" s="80" t="s">
        <v>358</v>
      </c>
      <c r="E29" s="80" t="s">
        <v>359</v>
      </c>
      <c r="F29" s="81" t="s">
        <v>360</v>
      </c>
    </row>
    <row r="30" spans="1:6" ht="39.200000000000003" customHeight="1">
      <c r="A30" s="74" t="s">
        <v>361</v>
      </c>
      <c r="B30" s="8" t="s">
        <v>362</v>
      </c>
      <c r="C30" s="8" t="s">
        <v>363</v>
      </c>
      <c r="D30" s="8" t="s">
        <v>364</v>
      </c>
      <c r="E30" s="8" t="s">
        <v>365</v>
      </c>
      <c r="F30" s="77" t="s">
        <v>366</v>
      </c>
    </row>
    <row r="31" spans="1:6" ht="39.200000000000003" customHeight="1">
      <c r="A31" s="92" t="s">
        <v>367</v>
      </c>
      <c r="B31" s="80" t="s">
        <v>368</v>
      </c>
      <c r="C31" s="80" t="s">
        <v>369</v>
      </c>
      <c r="D31" s="80" t="s">
        <v>370</v>
      </c>
      <c r="E31" s="80" t="s">
        <v>371</v>
      </c>
      <c r="F31" s="81" t="s">
        <v>372</v>
      </c>
    </row>
    <row r="32" spans="1:6" ht="39.200000000000003" customHeight="1">
      <c r="A32" s="74" t="s">
        <v>373</v>
      </c>
      <c r="B32" s="8" t="s">
        <v>374</v>
      </c>
      <c r="C32" s="8" t="s">
        <v>375</v>
      </c>
      <c r="D32" s="8" t="s">
        <v>376</v>
      </c>
      <c r="E32" s="8" t="s">
        <v>377</v>
      </c>
      <c r="F32" s="77" t="s">
        <v>378</v>
      </c>
    </row>
    <row r="33" spans="1:6" ht="39.200000000000003" customHeight="1">
      <c r="A33" s="92" t="s">
        <v>379</v>
      </c>
      <c r="B33" s="80" t="s">
        <v>380</v>
      </c>
      <c r="C33" s="80" t="s">
        <v>381</v>
      </c>
      <c r="D33" s="80" t="s">
        <v>376</v>
      </c>
      <c r="E33" s="80" t="s">
        <v>382</v>
      </c>
      <c r="F33" s="81" t="s">
        <v>383</v>
      </c>
    </row>
    <row r="34" spans="1:6" ht="39.200000000000003" customHeight="1">
      <c r="A34" s="74" t="s">
        <v>384</v>
      </c>
      <c r="B34" s="8" t="s">
        <v>385</v>
      </c>
      <c r="C34" s="8" t="s">
        <v>386</v>
      </c>
      <c r="D34" s="8" t="s">
        <v>387</v>
      </c>
      <c r="E34" s="8" t="s">
        <v>388</v>
      </c>
      <c r="F34" s="77" t="s">
        <v>389</v>
      </c>
    </row>
    <row r="35" spans="1:6" ht="39.200000000000003" customHeight="1">
      <c r="A35" s="92" t="s">
        <v>390</v>
      </c>
      <c r="B35" s="80" t="s">
        <v>391</v>
      </c>
      <c r="C35" s="80" t="s">
        <v>392</v>
      </c>
      <c r="D35" s="80" t="s">
        <v>393</v>
      </c>
      <c r="E35" s="80" t="s">
        <v>394</v>
      </c>
      <c r="F35" s="81" t="s">
        <v>395</v>
      </c>
    </row>
    <row r="36" spans="1:6" ht="39.200000000000003" customHeight="1">
      <c r="A36" s="74" t="s">
        <v>396</v>
      </c>
      <c r="B36" s="8" t="s">
        <v>397</v>
      </c>
      <c r="C36" s="8" t="s">
        <v>398</v>
      </c>
      <c r="D36" s="8" t="s">
        <v>399</v>
      </c>
      <c r="E36" s="8" t="s">
        <v>400</v>
      </c>
      <c r="F36" s="77" t="s">
        <v>401</v>
      </c>
    </row>
    <row r="37" spans="1:6" ht="39.200000000000003" customHeight="1">
      <c r="A37" s="92" t="s">
        <v>402</v>
      </c>
      <c r="B37" s="80" t="s">
        <v>403</v>
      </c>
      <c r="C37" s="80" t="s">
        <v>404</v>
      </c>
      <c r="D37" s="80" t="s">
        <v>405</v>
      </c>
      <c r="E37" s="80" t="s">
        <v>406</v>
      </c>
      <c r="F37" s="81" t="s">
        <v>407</v>
      </c>
    </row>
    <row r="38" spans="1:6" ht="39.200000000000003" customHeight="1">
      <c r="A38" s="74" t="s">
        <v>408</v>
      </c>
      <c r="B38" s="8" t="s">
        <v>409</v>
      </c>
      <c r="C38" s="8" t="s">
        <v>410</v>
      </c>
      <c r="D38" s="8" t="s">
        <v>411</v>
      </c>
      <c r="E38" s="8" t="s">
        <v>412</v>
      </c>
      <c r="F38" s="77" t="s">
        <v>413</v>
      </c>
    </row>
    <row r="39" spans="1:6" ht="39.200000000000003" customHeight="1">
      <c r="A39" s="92" t="s">
        <v>414</v>
      </c>
      <c r="B39" s="80" t="s">
        <v>415</v>
      </c>
      <c r="C39" s="80" t="s">
        <v>416</v>
      </c>
      <c r="D39" s="80" t="s">
        <v>342</v>
      </c>
      <c r="E39" s="80" t="s">
        <v>417</v>
      </c>
      <c r="F39" s="81" t="s">
        <v>418</v>
      </c>
    </row>
    <row r="40" spans="1:6" ht="39.200000000000003" customHeight="1">
      <c r="A40" s="74" t="s">
        <v>419</v>
      </c>
      <c r="B40" s="8" t="s">
        <v>420</v>
      </c>
      <c r="C40" s="8" t="s">
        <v>421</v>
      </c>
      <c r="D40" s="8" t="s">
        <v>422</v>
      </c>
      <c r="E40" s="8" t="s">
        <v>423</v>
      </c>
      <c r="F40" s="77" t="s">
        <v>424</v>
      </c>
    </row>
    <row r="41" spans="1:6" ht="39.200000000000003" customHeight="1">
      <c r="A41" s="92" t="s">
        <v>425</v>
      </c>
      <c r="B41" s="80" t="s">
        <v>426</v>
      </c>
      <c r="C41" s="80" t="s">
        <v>427</v>
      </c>
      <c r="D41" s="80" t="s">
        <v>428</v>
      </c>
      <c r="E41" s="80" t="s">
        <v>429</v>
      </c>
      <c r="F41" s="81" t="s">
        <v>430</v>
      </c>
    </row>
    <row r="42" spans="1:6" ht="39.200000000000003" customHeight="1">
      <c r="A42" s="90" t="s">
        <v>431</v>
      </c>
      <c r="B42" s="78" t="s">
        <v>432</v>
      </c>
      <c r="C42" s="78" t="s">
        <v>433</v>
      </c>
      <c r="D42" s="78" t="s">
        <v>434</v>
      </c>
      <c r="E42" s="78" t="s">
        <v>435</v>
      </c>
      <c r="F42" s="79" t="s">
        <v>436</v>
      </c>
    </row>
    <row r="44" spans="1:6">
      <c r="A44" s="284" t="s">
        <v>437</v>
      </c>
      <c r="B44" s="285"/>
      <c r="C44" s="285"/>
      <c r="D44" s="285"/>
      <c r="E44" s="285"/>
      <c r="F44" s="286"/>
    </row>
    <row r="45" spans="1:6">
      <c r="A45" s="287"/>
      <c r="B45" s="288"/>
      <c r="C45" s="288"/>
      <c r="D45" s="288"/>
      <c r="E45" s="288"/>
      <c r="F45" s="289"/>
    </row>
    <row r="46" spans="1:6">
      <c r="A46" s="290"/>
      <c r="B46" s="291"/>
      <c r="C46" s="291"/>
      <c r="D46" s="291"/>
      <c r="E46" s="291"/>
      <c r="F46" s="292"/>
    </row>
    <row r="48" spans="1:6" ht="9.75" customHeight="1">
      <c r="A48" s="293" t="s">
        <v>438</v>
      </c>
      <c r="B48" s="293"/>
      <c r="C48" s="293"/>
      <c r="D48" s="293"/>
      <c r="E48" s="293"/>
      <c r="F48" s="293"/>
    </row>
  </sheetData>
  <mergeCells count="9">
    <mergeCell ref="A24:F24"/>
    <mergeCell ref="A44:F46"/>
    <mergeCell ref="A48:F48"/>
    <mergeCell ref="A5:F6"/>
    <mergeCell ref="A1:D1"/>
    <mergeCell ref="A2:D2"/>
    <mergeCell ref="A4:F4"/>
    <mergeCell ref="A8:F8"/>
    <mergeCell ref="A16:F16"/>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X49"/>
  <sheetViews>
    <sheetView topLeftCell="A6" zoomScaleNormal="100" workbookViewId="0">
      <selection activeCell="K24" sqref="K24"/>
    </sheetView>
  </sheetViews>
  <sheetFormatPr defaultRowHeight="14.25"/>
  <cols>
    <col min="1" max="1" width="31" customWidth="1"/>
    <col min="2" max="2" width="15" customWidth="1"/>
    <col min="3" max="3" width="16" customWidth="1"/>
    <col min="4" max="5" width="14" customWidth="1"/>
    <col min="6" max="6" width="39" customWidth="1"/>
    <col min="7" max="7" width="3" customWidth="1"/>
    <col min="8" max="8" width="27" customWidth="1"/>
    <col min="9" max="10" width="15" customWidth="1"/>
    <col min="11" max="11" width="13" customWidth="1"/>
    <col min="12" max="12" width="20" customWidth="1"/>
    <col min="13" max="13" width="35" customWidth="1"/>
    <col min="14" max="14" width="23" customWidth="1"/>
    <col min="15" max="24" width="12" customWidth="1"/>
  </cols>
  <sheetData>
    <row r="1" spans="1:24" ht="22.7" customHeight="1">
      <c r="A1" s="246" t="s">
        <v>585</v>
      </c>
      <c r="B1" s="246"/>
      <c r="C1" s="246"/>
      <c r="D1" s="246"/>
      <c r="E1" s="246"/>
      <c r="F1" s="246"/>
      <c r="G1" s="246"/>
      <c r="H1" s="246"/>
      <c r="I1" s="246"/>
      <c r="J1" s="246"/>
      <c r="K1" s="246"/>
      <c r="L1" s="246"/>
      <c r="M1" s="246"/>
      <c r="N1" s="246"/>
      <c r="O1" s="246"/>
      <c r="P1" s="246"/>
      <c r="Q1" s="246"/>
      <c r="R1" s="246"/>
      <c r="S1" s="246"/>
      <c r="T1" s="246"/>
      <c r="U1" s="246"/>
      <c r="V1" s="246"/>
      <c r="W1" s="246"/>
      <c r="X1" s="246"/>
    </row>
    <row r="2" spans="1:24" ht="18.600000000000001" customHeight="1">
      <c r="A2" s="247" t="s">
        <v>586</v>
      </c>
      <c r="B2" s="247"/>
      <c r="C2" s="247"/>
      <c r="D2" s="247"/>
      <c r="E2" s="247"/>
      <c r="F2" s="247"/>
      <c r="G2" s="247"/>
      <c r="H2" s="247"/>
      <c r="I2" s="247"/>
      <c r="J2" s="247"/>
      <c r="K2" s="247"/>
      <c r="L2" s="247"/>
      <c r="M2" s="247"/>
      <c r="N2" s="247"/>
      <c r="O2" s="247"/>
      <c r="P2" s="247"/>
      <c r="Q2" s="247"/>
      <c r="R2" s="247"/>
      <c r="S2" s="247"/>
      <c r="T2" s="247"/>
      <c r="U2" s="247"/>
      <c r="V2" s="247"/>
      <c r="W2" s="247"/>
      <c r="X2" s="247"/>
    </row>
    <row r="4" spans="1:24">
      <c r="A4" s="307" t="s">
        <v>587</v>
      </c>
      <c r="B4" s="308"/>
      <c r="C4" s="308"/>
      <c r="D4" s="308"/>
      <c r="E4" s="308"/>
      <c r="F4" s="308"/>
      <c r="G4" s="308"/>
      <c r="H4" s="308"/>
      <c r="I4" s="308"/>
      <c r="J4" s="308"/>
      <c r="K4" s="308"/>
      <c r="L4" s="308"/>
      <c r="M4" s="308"/>
      <c r="N4" s="309"/>
    </row>
    <row r="5" spans="1:24">
      <c r="A5" s="310"/>
      <c r="B5" s="311"/>
      <c r="C5" s="311"/>
      <c r="D5" s="311"/>
      <c r="E5" s="311"/>
      <c r="F5" s="311"/>
      <c r="G5" s="311"/>
      <c r="H5" s="311"/>
      <c r="I5" s="311"/>
      <c r="J5" s="311"/>
      <c r="K5" s="311"/>
      <c r="L5" s="311"/>
      <c r="M5" s="311"/>
      <c r="N5" s="312"/>
    </row>
    <row r="6" spans="1:24">
      <c r="A6" s="313"/>
      <c r="B6" s="314"/>
      <c r="C6" s="314"/>
      <c r="D6" s="314"/>
      <c r="E6" s="314"/>
      <c r="F6" s="314"/>
      <c r="G6" s="314"/>
      <c r="H6" s="314"/>
      <c r="I6" s="314"/>
      <c r="J6" s="314"/>
      <c r="K6" s="314"/>
      <c r="L6" s="314"/>
      <c r="M6" s="314"/>
      <c r="N6" s="315"/>
    </row>
    <row r="8" spans="1:24" ht="18.600000000000001" customHeight="1">
      <c r="A8" s="316" t="s">
        <v>525</v>
      </c>
      <c r="B8" s="316"/>
      <c r="C8" s="316" t="s">
        <v>588</v>
      </c>
      <c r="D8" s="316"/>
      <c r="E8" s="316" t="s">
        <v>589</v>
      </c>
      <c r="F8" s="316"/>
      <c r="G8" s="316" t="s">
        <v>556</v>
      </c>
      <c r="H8" s="316"/>
      <c r="I8" s="316" t="s">
        <v>558</v>
      </c>
      <c r="J8" s="316"/>
      <c r="K8" s="316" t="s">
        <v>590</v>
      </c>
      <c r="L8" s="316"/>
      <c r="M8" s="316" t="s">
        <v>591</v>
      </c>
      <c r="N8" s="316"/>
    </row>
    <row r="9" spans="1:24">
      <c r="A9" s="317">
        <f>'2025 Monthly Detail'!B18</f>
        <v>149000</v>
      </c>
      <c r="B9" s="318"/>
      <c r="C9" s="321">
        <f>'2025 Monthly Detail'!D18/'2025 Monthly Detail'!B18</f>
        <v>0.97722818791946309</v>
      </c>
      <c r="D9" s="322"/>
      <c r="E9" s="321">
        <f>'2025 Monthly Detail'!H18/'2025 Monthly Detail'!F18</f>
        <v>0.98289382852409224</v>
      </c>
      <c r="F9" s="322"/>
      <c r="G9" s="317">
        <f>'2025 Monthly Detail'!J18</f>
        <v>367465</v>
      </c>
      <c r="H9" s="318"/>
      <c r="I9" s="321">
        <f>'2025 Monthly Detail'!AP18</f>
        <v>0.89043854516756693</v>
      </c>
      <c r="J9" s="322"/>
      <c r="K9" s="321">
        <f>'2025 Monthly Detail'!AN18</f>
        <v>0.93661709278434679</v>
      </c>
      <c r="L9" s="322"/>
      <c r="M9" s="321">
        <f>'2025 Monthly Detail'!AQ18</f>
        <v>4.6178547616779829E-2</v>
      </c>
      <c r="N9" s="322"/>
    </row>
    <row r="10" spans="1:24">
      <c r="A10" s="319"/>
      <c r="B10" s="320"/>
      <c r="C10" s="323"/>
      <c r="D10" s="324"/>
      <c r="E10" s="323"/>
      <c r="F10" s="324"/>
      <c r="G10" s="319"/>
      <c r="H10" s="320"/>
      <c r="I10" s="323"/>
      <c r="J10" s="324"/>
      <c r="K10" s="323"/>
      <c r="L10" s="324"/>
      <c r="M10" s="323"/>
      <c r="N10" s="324"/>
    </row>
    <row r="12" spans="1:24" ht="16.7" customHeight="1">
      <c r="A12" s="248" t="s">
        <v>592</v>
      </c>
      <c r="B12" s="248"/>
      <c r="C12" s="248"/>
      <c r="D12" s="248"/>
      <c r="E12" s="248"/>
      <c r="F12" s="248"/>
      <c r="H12" s="248" t="s">
        <v>593</v>
      </c>
      <c r="I12" s="248"/>
      <c r="J12" s="248"/>
      <c r="K12" s="248"/>
      <c r="L12" s="248"/>
      <c r="M12" s="248"/>
      <c r="N12" s="248"/>
    </row>
    <row r="13" spans="1:24" ht="27.95" customHeight="1">
      <c r="A13" s="134" t="s">
        <v>594</v>
      </c>
      <c r="B13" s="134" t="s">
        <v>595</v>
      </c>
      <c r="C13" s="134" t="s">
        <v>596</v>
      </c>
      <c r="D13" s="134" t="s">
        <v>597</v>
      </c>
      <c r="E13" s="134" t="s">
        <v>598</v>
      </c>
      <c r="F13" s="134" t="s">
        <v>599</v>
      </c>
      <c r="H13" s="155" t="s">
        <v>600</v>
      </c>
      <c r="I13" s="155" t="s">
        <v>601</v>
      </c>
      <c r="J13" s="155" t="s">
        <v>602</v>
      </c>
      <c r="K13" s="155" t="s">
        <v>603</v>
      </c>
      <c r="L13" s="155" t="s">
        <v>604</v>
      </c>
      <c r="M13" s="155" t="s">
        <v>605</v>
      </c>
      <c r="N13" s="155" t="s">
        <v>606</v>
      </c>
    </row>
    <row r="14" spans="1:24" ht="32.1" customHeight="1">
      <c r="A14" s="116" t="s">
        <v>607</v>
      </c>
      <c r="B14" s="186">
        <f>'2025 Monthly Detail'!B18</f>
        <v>149000</v>
      </c>
      <c r="C14" s="186">
        <v>0</v>
      </c>
      <c r="D14" s="189">
        <v>1</v>
      </c>
      <c r="E14" s="189">
        <v>1</v>
      </c>
      <c r="F14" s="118" t="s">
        <v>608</v>
      </c>
      <c r="H14" s="190" t="s">
        <v>609</v>
      </c>
      <c r="I14" s="205">
        <f>'2025 Monthly Detail'!J18</f>
        <v>367465</v>
      </c>
      <c r="J14" s="205">
        <f>I14</f>
        <v>367465</v>
      </c>
      <c r="K14" s="210">
        <f>ABS(I14)/'2025 Monthly Detail'!J18</f>
        <v>1</v>
      </c>
      <c r="L14" s="191" t="s">
        <v>610</v>
      </c>
      <c r="M14" s="191" t="s">
        <v>611</v>
      </c>
      <c r="N14" s="192" t="s">
        <v>612</v>
      </c>
    </row>
    <row r="15" spans="1:24" ht="32.1" customHeight="1">
      <c r="A15" s="119" t="s">
        <v>613</v>
      </c>
      <c r="B15" s="187">
        <f>'2025 Monthly Detail'!D18</f>
        <v>145607</v>
      </c>
      <c r="C15" s="187">
        <f>B14-B15</f>
        <v>3393</v>
      </c>
      <c r="D15" s="131">
        <f>B15/B14</f>
        <v>0.97722818791946309</v>
      </c>
      <c r="E15" s="131">
        <f>B15/B14</f>
        <v>0.97722818791946309</v>
      </c>
      <c r="F15" s="120" t="s">
        <v>614</v>
      </c>
      <c r="H15" s="193" t="s">
        <v>615</v>
      </c>
      <c r="I15" s="206">
        <f>-'2025 Monthly Detail'!M18</f>
        <v>-23185</v>
      </c>
      <c r="J15" s="206">
        <f>J14+I15</f>
        <v>344280</v>
      </c>
      <c r="K15" s="211">
        <f>ABS(I15)/'2025 Monthly Detail'!J18</f>
        <v>6.3094444368851449E-2</v>
      </c>
      <c r="L15" s="194" t="s">
        <v>616</v>
      </c>
      <c r="M15" s="194" t="s">
        <v>617</v>
      </c>
      <c r="N15" s="195" t="s">
        <v>618</v>
      </c>
    </row>
    <row r="16" spans="1:24" ht="32.1" customHeight="1">
      <c r="A16" s="119" t="s">
        <v>619</v>
      </c>
      <c r="B16" s="187">
        <f>'2025 Monthly Detail'!F18</f>
        <v>144860</v>
      </c>
      <c r="C16" s="187">
        <f>B15-B16</f>
        <v>747</v>
      </c>
      <c r="D16" s="131">
        <f>B16/B15</f>
        <v>0.99486975214103712</v>
      </c>
      <c r="E16" s="131">
        <f>B16/B14</f>
        <v>0.97221476510067117</v>
      </c>
      <c r="F16" s="120" t="s">
        <v>620</v>
      </c>
      <c r="H16" s="193" t="s">
        <v>621</v>
      </c>
      <c r="I16" s="206">
        <f>-'2025 Monthly Detail'!N18</f>
        <v>-4416</v>
      </c>
      <c r="J16" s="206">
        <f>J15+I16</f>
        <v>339864</v>
      </c>
      <c r="K16" s="211">
        <f>ABS(I16)/'2025 Monthly Detail'!J18</f>
        <v>1.2017471051664784E-2</v>
      </c>
      <c r="L16" s="194" t="s">
        <v>622</v>
      </c>
      <c r="M16" s="194" t="s">
        <v>623</v>
      </c>
      <c r="N16" s="195" t="s">
        <v>618</v>
      </c>
    </row>
    <row r="17" spans="1:14" ht="32.1" customHeight="1">
      <c r="A17" s="121" t="s">
        <v>624</v>
      </c>
      <c r="B17" s="188">
        <f>'2025 Monthly Detail'!H18</f>
        <v>142382</v>
      </c>
      <c r="C17" s="188">
        <f>B16-B17</f>
        <v>2478</v>
      </c>
      <c r="D17" s="133">
        <f>B17/B16</f>
        <v>0.98289382852409224</v>
      </c>
      <c r="E17" s="133">
        <f>B17/B14</f>
        <v>0.95558389261744969</v>
      </c>
      <c r="F17" s="123" t="s">
        <v>625</v>
      </c>
      <c r="H17" s="193" t="s">
        <v>626</v>
      </c>
      <c r="I17" s="206">
        <f>-'2025 Monthly Detail'!O18</f>
        <v>-2277</v>
      </c>
      <c r="J17" s="206">
        <f>J16+I17</f>
        <v>337587</v>
      </c>
      <c r="K17" s="211">
        <f>ABS(I17)/'2025 Monthly Detail'!J18</f>
        <v>6.1965085110146541E-3</v>
      </c>
      <c r="L17" s="194" t="s">
        <v>627</v>
      </c>
      <c r="M17" s="194" t="s">
        <v>628</v>
      </c>
      <c r="N17" s="195" t="s">
        <v>629</v>
      </c>
    </row>
    <row r="18" spans="1:14" ht="32.1" customHeight="1">
      <c r="H18" s="193" t="s">
        <v>630</v>
      </c>
      <c r="I18" s="206">
        <f>-'2025 Monthly Detail'!P18</f>
        <v>-8912</v>
      </c>
      <c r="J18" s="206">
        <f>J17+I18</f>
        <v>328675</v>
      </c>
      <c r="K18" s="211">
        <f>ABS(I18)/'2025 Monthly Detail'!J18</f>
        <v>2.4252649912236541E-2</v>
      </c>
      <c r="L18" s="194" t="s">
        <v>631</v>
      </c>
      <c r="M18" s="194" t="s">
        <v>632</v>
      </c>
      <c r="N18" s="195" t="s">
        <v>633</v>
      </c>
    </row>
    <row r="19" spans="1:14" ht="32.1" customHeight="1">
      <c r="H19" s="193" t="s">
        <v>634</v>
      </c>
      <c r="I19" s="206">
        <f>-'2025 Monthly Detail'!Q18</f>
        <v>-1470</v>
      </c>
      <c r="J19" s="206">
        <f>J18+I19</f>
        <v>327205</v>
      </c>
      <c r="K19" s="211">
        <f>ABS(I19)/'2025 Monthly Detail'!J18</f>
        <v>4.0003809886655873E-3</v>
      </c>
      <c r="L19" s="194" t="s">
        <v>635</v>
      </c>
      <c r="M19" s="194" t="s">
        <v>636</v>
      </c>
      <c r="N19" s="195" t="s">
        <v>637</v>
      </c>
    </row>
    <row r="20" spans="1:14" ht="16.7" customHeight="1">
      <c r="A20" s="248" t="s">
        <v>638</v>
      </c>
      <c r="B20" s="248"/>
      <c r="C20" s="248"/>
      <c r="D20" s="248"/>
      <c r="E20" s="248"/>
      <c r="F20" s="248"/>
      <c r="H20" s="199" t="s">
        <v>639</v>
      </c>
      <c r="I20" s="207">
        <f>SUBTOTAL(109,I14:I19)</f>
        <v>327205</v>
      </c>
      <c r="J20" s="207">
        <f>'2025 Monthly Detail'!R18</f>
        <v>327205</v>
      </c>
      <c r="K20" s="212">
        <f>ABS(I20)/'2025 Monthly Detail'!J18</f>
        <v>0.89043854516756693</v>
      </c>
      <c r="L20" s="200" t="s">
        <v>640</v>
      </c>
      <c r="M20" s="200" t="s">
        <v>641</v>
      </c>
      <c r="N20" s="201" t="s">
        <v>642</v>
      </c>
    </row>
    <row r="21" spans="1:14" ht="25.35" customHeight="1">
      <c r="A21" s="185" t="s">
        <v>643</v>
      </c>
      <c r="B21" s="185" t="s">
        <v>644</v>
      </c>
      <c r="C21" s="185" t="s">
        <v>645</v>
      </c>
      <c r="D21" s="185" t="s">
        <v>646</v>
      </c>
      <c r="E21" s="185" t="s">
        <v>647</v>
      </c>
      <c r="F21" s="185" t="s">
        <v>648</v>
      </c>
      <c r="H21" s="196" t="s">
        <v>649</v>
      </c>
      <c r="I21" s="208">
        <f>'2025 Monthly Detail'!AH18</f>
        <v>14240</v>
      </c>
      <c r="J21" s="208">
        <f>J20+I21</f>
        <v>341445</v>
      </c>
      <c r="K21" s="213">
        <f>ABS(I21)/'2025 Monthly Detail'!J18</f>
        <v>3.8751989985440792E-2</v>
      </c>
      <c r="L21" s="197" t="s">
        <v>650</v>
      </c>
      <c r="M21" s="197" t="s">
        <v>651</v>
      </c>
      <c r="N21" s="198" t="s">
        <v>652</v>
      </c>
    </row>
    <row r="22" spans="1:14" ht="36.6" customHeight="1">
      <c r="A22" s="116" t="s">
        <v>653</v>
      </c>
      <c r="B22" s="186">
        <f>'2025 Monthly Detail'!S18+'2025 Monthly Detail'!W18+'2025 Monthly Detail'!Z18</f>
        <v>12308</v>
      </c>
      <c r="C22" s="186">
        <f>'2025 Monthly Detail'!AE18</f>
        <v>10093</v>
      </c>
      <c r="D22" s="186">
        <f>ROUND('2025 Monthly Detail'!S18*'2025 Model Assumptions'!$B$15*'2025 Model Assumptions'!$B$18+'2025 Monthly Detail'!W18*'2025 Model Assumptions'!$B$15*'2025 Model Assumptions'!$B$19+'2025 Monthly Detail'!Z18*'2025 Model Assumptions'!$B$20,0)</f>
        <v>8802</v>
      </c>
      <c r="E22" s="186">
        <f>B22-D22</f>
        <v>3506</v>
      </c>
      <c r="F22" s="118" t="s">
        <v>654</v>
      </c>
      <c r="H22" s="196" t="s">
        <v>655</v>
      </c>
      <c r="I22" s="208">
        <f>'2025 Monthly Detail'!AI18</f>
        <v>2105</v>
      </c>
      <c r="J22" s="208">
        <f>J21+I22</f>
        <v>343550</v>
      </c>
      <c r="K22" s="213">
        <f>ABS(I22)/'2025 Monthly Detail'!J18</f>
        <v>5.7284367218646678E-3</v>
      </c>
      <c r="L22" s="197" t="s">
        <v>656</v>
      </c>
      <c r="M22" s="197" t="s">
        <v>657</v>
      </c>
      <c r="N22" s="198" t="s">
        <v>658</v>
      </c>
    </row>
    <row r="23" spans="1:14" ht="36.6" customHeight="1">
      <c r="A23" s="119" t="s">
        <v>659</v>
      </c>
      <c r="B23" s="187">
        <f>'2025 Monthly Detail'!T18</f>
        <v>5332</v>
      </c>
      <c r="C23" s="187">
        <f>'2025 Monthly Detail'!AF18</f>
        <v>4265</v>
      </c>
      <c r="D23" s="187">
        <f>ROUND('2025 Monthly Detail'!T18*'2025 Model Assumptions'!$B$16*'2025 Model Assumptions'!$B$18,0)</f>
        <v>3967</v>
      </c>
      <c r="E23" s="187">
        <f>B23-D23</f>
        <v>1365</v>
      </c>
      <c r="F23" s="120" t="s">
        <v>660</v>
      </c>
      <c r="H23" s="196" t="s">
        <v>661</v>
      </c>
      <c r="I23" s="208">
        <f>'2025 Monthly Detail'!AJ18</f>
        <v>624</v>
      </c>
      <c r="J23" s="208">
        <f>J22+I23</f>
        <v>344174</v>
      </c>
      <c r="K23" s="213">
        <f>ABS(I23)/'2025 Monthly Detail'!J18</f>
        <v>1.6981209094743717E-3</v>
      </c>
      <c r="L23" s="197" t="s">
        <v>662</v>
      </c>
      <c r="M23" s="197" t="s">
        <v>663</v>
      </c>
      <c r="N23" s="198" t="s">
        <v>658</v>
      </c>
    </row>
    <row r="24" spans="1:14" ht="36.6" customHeight="1">
      <c r="A24" s="119" t="s">
        <v>664</v>
      </c>
      <c r="B24" s="187">
        <f>'2025 Monthly Detail'!U18+'2025 Monthly Detail'!X18+'2025 Monthly Detail'!AA18</f>
        <v>5838</v>
      </c>
      <c r="C24" s="187">
        <f>'2025 Monthly Detail'!AG18</f>
        <v>5139</v>
      </c>
      <c r="D24" s="187">
        <f>'2025 Monthly Detail'!AK18-D22-D23</f>
        <v>4200</v>
      </c>
      <c r="E24" s="187">
        <f>B24-D24</f>
        <v>1638</v>
      </c>
      <c r="F24" s="120" t="s">
        <v>665</v>
      </c>
      <c r="H24" s="202" t="s">
        <v>666</v>
      </c>
      <c r="I24" s="209">
        <f>I20+I21+I22+I23</f>
        <v>344174</v>
      </c>
      <c r="J24" s="209">
        <f>'2025 Monthly Detail'!AL18</f>
        <v>344174</v>
      </c>
      <c r="K24" s="214">
        <f>ABS(I24)/'2025 Monthly Detail'!J18</f>
        <v>0.93661709278434679</v>
      </c>
      <c r="L24" s="203" t="s">
        <v>667</v>
      </c>
      <c r="M24" s="203" t="s">
        <v>668</v>
      </c>
      <c r="N24" s="204" t="s">
        <v>669</v>
      </c>
    </row>
    <row r="25" spans="1:14" ht="36.6" customHeight="1">
      <c r="A25" s="119" t="s">
        <v>670</v>
      </c>
      <c r="B25" s="187">
        <f>'2025 Monthly Detail'!V18+'2025 Monthly Detail'!Y18+'2025 Monthly Detail'!P18+'2025 Monthly Detail'!Q18</f>
        <v>16782</v>
      </c>
      <c r="C25" s="187">
        <v>0</v>
      </c>
      <c r="D25" s="187">
        <v>0</v>
      </c>
      <c r="E25" s="187">
        <f>B25</f>
        <v>16782</v>
      </c>
      <c r="F25" s="120" t="s">
        <v>671</v>
      </c>
    </row>
    <row r="26" spans="1:14" ht="36.6" customHeight="1">
      <c r="A26" s="215" t="s">
        <v>672</v>
      </c>
      <c r="B26" s="165">
        <f>SUM(B22:B25)</f>
        <v>40260</v>
      </c>
      <c r="C26" s="165">
        <f>SUM(C22:C25)</f>
        <v>19497</v>
      </c>
      <c r="D26" s="165">
        <f>SUM(D22:D25)</f>
        <v>16969</v>
      </c>
      <c r="E26" s="165">
        <f>SUM(E22:E25)</f>
        <v>23291</v>
      </c>
      <c r="F26" s="156" t="s">
        <v>673</v>
      </c>
      <c r="G26" s="226">
        <f>'2025 Monthly Detail'!AK18-D26</f>
        <v>0</v>
      </c>
    </row>
    <row r="29" spans="1:14" ht="16.7" customHeight="1">
      <c r="A29" s="248" t="s">
        <v>674</v>
      </c>
      <c r="B29" s="248"/>
      <c r="C29" s="248"/>
      <c r="D29" s="248"/>
    </row>
    <row r="30" spans="1:14" ht="20.100000000000001" customHeight="1">
      <c r="A30" s="216" t="s">
        <v>524</v>
      </c>
      <c r="B30" s="216" t="s">
        <v>582</v>
      </c>
      <c r="C30" s="216" t="s">
        <v>580</v>
      </c>
      <c r="D30" s="216" t="s">
        <v>583</v>
      </c>
    </row>
    <row r="31" spans="1:14">
      <c r="A31" s="217" t="s">
        <v>675</v>
      </c>
      <c r="B31" s="220">
        <f>'2025 Monthly Detail'!AP6</f>
        <v>0.87802455119562905</v>
      </c>
      <c r="C31" s="220">
        <f>'2025 Monthly Detail'!AN6</f>
        <v>0.93312282693535797</v>
      </c>
      <c r="D31" s="221">
        <f>'2025 Monthly Detail'!AQ6</f>
        <v>5.5098275739728947E-2</v>
      </c>
    </row>
    <row r="32" spans="1:14">
      <c r="A32" s="218" t="s">
        <v>676</v>
      </c>
      <c r="B32" s="222">
        <f>'2025 Monthly Detail'!AP7</f>
        <v>0.87997958960527756</v>
      </c>
      <c r="C32" s="222">
        <f>'2025 Monthly Detail'!AN7</f>
        <v>0.93352042861828921</v>
      </c>
      <c r="D32" s="223">
        <f>'2025 Monthly Detail'!AQ7</f>
        <v>5.3540839013011626E-2</v>
      </c>
    </row>
    <row r="33" spans="1:6">
      <c r="A33" s="218" t="s">
        <v>677</v>
      </c>
      <c r="B33" s="222">
        <f>'2025 Monthly Detail'!AP8</f>
        <v>0.88200391072753015</v>
      </c>
      <c r="C33" s="222">
        <f>'2025 Monthly Detail'!AN8</f>
        <v>0.93382105050232622</v>
      </c>
      <c r="D33" s="223">
        <f>'2025 Monthly Detail'!AQ8</f>
        <v>5.1817139774796038E-2</v>
      </c>
    </row>
    <row r="34" spans="1:6">
      <c r="A34" s="218" t="s">
        <v>678</v>
      </c>
      <c r="B34" s="222">
        <f>'2025 Monthly Detail'!AP9</f>
        <v>0.8850119472357697</v>
      </c>
      <c r="C34" s="222">
        <f>'2025 Monthly Detail'!AN9</f>
        <v>0.93489574809335207</v>
      </c>
      <c r="D34" s="223">
        <f>'2025 Monthly Detail'!AQ9</f>
        <v>4.98838008575824E-2</v>
      </c>
    </row>
    <row r="35" spans="1:6">
      <c r="A35" s="218" t="s">
        <v>679</v>
      </c>
      <c r="B35" s="222">
        <f>'2025 Monthly Detail'!AP10</f>
        <v>0.88701593078568464</v>
      </c>
      <c r="C35" s="222">
        <f>'2025 Monthly Detail'!AN10</f>
        <v>0.93563834881716312</v>
      </c>
      <c r="D35" s="223">
        <f>'2025 Monthly Detail'!AQ10</f>
        <v>4.8622418031478466E-2</v>
      </c>
    </row>
    <row r="36" spans="1:6">
      <c r="A36" s="218" t="s">
        <v>680</v>
      </c>
      <c r="B36" s="222">
        <f>'2025 Monthly Detail'!AP11</f>
        <v>0.88899097621000822</v>
      </c>
      <c r="C36" s="222">
        <f>'2025 Monthly Detail'!AN11</f>
        <v>0.93568498769483188</v>
      </c>
      <c r="D36" s="223">
        <f>'2025 Monthly Detail'!AQ11</f>
        <v>4.6694011484823626E-2</v>
      </c>
    </row>
    <row r="37" spans="1:6">
      <c r="A37" s="218" t="s">
        <v>681</v>
      </c>
      <c r="B37" s="222">
        <f>'2025 Monthly Detail'!AP12</f>
        <v>0.89097780177204733</v>
      </c>
      <c r="C37" s="222">
        <f>'2025 Monthly Detail'!AN12</f>
        <v>0.93642224268792273</v>
      </c>
      <c r="D37" s="223">
        <f>'2025 Monthly Detail'!AQ12</f>
        <v>4.5444440915875385E-2</v>
      </c>
    </row>
    <row r="38" spans="1:6">
      <c r="A38" s="218" t="s">
        <v>682</v>
      </c>
      <c r="B38" s="222">
        <f>'2025 Monthly Detail'!AP13</f>
        <v>0.89301662118580993</v>
      </c>
      <c r="C38" s="222">
        <f>'2025 Monthly Detail'!AN13</f>
        <v>0.93674026296204416</v>
      </c>
      <c r="D38" s="223">
        <f>'2025 Monthly Detail'!AQ13</f>
        <v>4.3723641776234182E-2</v>
      </c>
    </row>
    <row r="39" spans="1:6">
      <c r="A39" s="218" t="s">
        <v>683</v>
      </c>
      <c r="B39" s="222">
        <f>'2025 Monthly Detail'!AP14</f>
        <v>0.89498981410746115</v>
      </c>
      <c r="C39" s="222">
        <f>'2025 Monthly Detail'!AN14</f>
        <v>0.93786605551311431</v>
      </c>
      <c r="D39" s="223">
        <f>'2025 Monthly Detail'!AQ14</f>
        <v>4.2876241405653173E-2</v>
      </c>
    </row>
    <row r="40" spans="1:6">
      <c r="A40" s="218" t="s">
        <v>684</v>
      </c>
      <c r="B40" s="222">
        <f>'2025 Monthly Detail'!AP15</f>
        <v>0.89799447798780307</v>
      </c>
      <c r="C40" s="222">
        <f>'2025 Monthly Detail'!AN15</f>
        <v>0.93916684365423708</v>
      </c>
      <c r="D40" s="223">
        <f>'2025 Monthly Detail'!AQ15</f>
        <v>4.1172365666434056E-2</v>
      </c>
    </row>
    <row r="41" spans="1:6">
      <c r="A41" s="218" t="s">
        <v>685</v>
      </c>
      <c r="B41" s="222">
        <f>'2025 Monthly Detail'!AP16</f>
        <v>0.90098569157392683</v>
      </c>
      <c r="C41" s="222">
        <f>'2025 Monthly Detail'!AN16</f>
        <v>0.94063593004769475</v>
      </c>
      <c r="D41" s="223">
        <f>'2025 Monthly Detail'!AQ16</f>
        <v>3.9650238473767883E-2</v>
      </c>
    </row>
    <row r="42" spans="1:6">
      <c r="A42" s="219" t="s">
        <v>686</v>
      </c>
      <c r="B42" s="224">
        <f>'2025 Monthly Detail'!AP17</f>
        <v>0.90300307245036171</v>
      </c>
      <c r="C42" s="224">
        <f>'2025 Monthly Detail'!AN17</f>
        <v>0.9409296640126863</v>
      </c>
      <c r="D42" s="225">
        <f>'2025 Monthly Detail'!AQ17</f>
        <v>3.7926591562324488E-2</v>
      </c>
    </row>
    <row r="45" spans="1:6" ht="16.7" customHeight="1">
      <c r="A45" s="325" t="s">
        <v>687</v>
      </c>
      <c r="B45" s="325"/>
      <c r="C45" s="325"/>
      <c r="D45" s="325"/>
      <c r="E45" s="325"/>
      <c r="F45" s="325"/>
    </row>
    <row r="46" spans="1:6" ht="22.7" customHeight="1">
      <c r="A46" s="134" t="s">
        <v>688</v>
      </c>
      <c r="B46" s="134" t="s">
        <v>689</v>
      </c>
      <c r="C46" s="134" t="s">
        <v>690</v>
      </c>
      <c r="D46" s="134" t="s">
        <v>691</v>
      </c>
      <c r="E46" s="134" t="s">
        <v>692</v>
      </c>
      <c r="F46" s="134" t="s">
        <v>693</v>
      </c>
    </row>
    <row r="47" spans="1:6" ht="33.4" customHeight="1">
      <c r="A47" s="116" t="s">
        <v>694</v>
      </c>
      <c r="B47" s="117">
        <f>'2025 Monthly Detail'!B18-'2025 Monthly Detail'!C18-'2025 Monthly Detail'!E18-'2025 Monthly Detail'!G18-'2025 Monthly Detail'!H18</f>
        <v>0</v>
      </c>
      <c r="C47" s="117">
        <v>0</v>
      </c>
      <c r="D47" s="117" t="str">
        <f>IF(B47=C47,"PASS","REVIEW")</f>
        <v>PASS</v>
      </c>
      <c r="E47" s="117" t="s">
        <v>695</v>
      </c>
      <c r="F47" s="118" t="s">
        <v>696</v>
      </c>
    </row>
    <row r="48" spans="1:6" ht="33.4" customHeight="1">
      <c r="A48" s="119" t="s">
        <v>697</v>
      </c>
      <c r="B48" s="8">
        <f>'2025 Monthly Detail'!AO18</f>
        <v>0</v>
      </c>
      <c r="C48" s="8">
        <v>0</v>
      </c>
      <c r="D48" s="8" t="str">
        <f>IF(B48=C48,"PASS","REVIEW")</f>
        <v>PASS</v>
      </c>
      <c r="E48" s="8" t="s">
        <v>698</v>
      </c>
      <c r="F48" s="120" t="s">
        <v>699</v>
      </c>
    </row>
    <row r="49" spans="1:6" ht="33.4" customHeight="1">
      <c r="A49" s="121" t="s">
        <v>700</v>
      </c>
      <c r="B49" s="122">
        <f>'2025 Monthly Detail'!AL18-'2025 Monthly Detail'!R18-'2025 Monthly Detail'!AK18</f>
        <v>0</v>
      </c>
      <c r="C49" s="122">
        <v>0</v>
      </c>
      <c r="D49" s="122" t="str">
        <f>IF(B49=C49,"PASS","REVIEW")</f>
        <v>PASS</v>
      </c>
      <c r="E49" s="122" t="s">
        <v>701</v>
      </c>
      <c r="F49" s="123" t="s">
        <v>702</v>
      </c>
    </row>
  </sheetData>
  <mergeCells count="22">
    <mergeCell ref="A45:F45"/>
    <mergeCell ref="M9:N10"/>
    <mergeCell ref="A12:F12"/>
    <mergeCell ref="H12:N12"/>
    <mergeCell ref="A20:F20"/>
    <mergeCell ref="A29:D29"/>
    <mergeCell ref="A1:X1"/>
    <mergeCell ref="A2:X2"/>
    <mergeCell ref="A4:N6"/>
    <mergeCell ref="A8:B8"/>
    <mergeCell ref="A9:B10"/>
    <mergeCell ref="C8:D8"/>
    <mergeCell ref="C9:D10"/>
    <mergeCell ref="E8:F8"/>
    <mergeCell ref="E9:F10"/>
    <mergeCell ref="G8:H8"/>
    <mergeCell ref="G9:H10"/>
    <mergeCell ref="I8:J8"/>
    <mergeCell ref="I9:J10"/>
    <mergeCell ref="K8:L8"/>
    <mergeCell ref="K9:L10"/>
    <mergeCell ref="M8:N8"/>
  </mergeCells>
  <conditionalFormatting sqref="D47:D49">
    <cfRule type="expression" dxfId="4" priority="1">
      <formula>D47="PASS"</formula>
    </cfRule>
    <cfRule type="expression" dxfId="3" priority="2">
      <formula>D47="REVIEW"</formula>
    </cfRule>
  </conditionalFormatting>
  <conditionalFormatting sqref="G26">
    <cfRule type="expression" dxfId="2" priority="3">
      <formula>G26&lt;&gt;0</formula>
    </cfRule>
  </conditionalFormatting>
  <pageMargins left="0.7" right="0.7" top="0.75" bottom="0.75" header="0.3" footer="0.3"/>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A1:AQ23"/>
  <sheetViews>
    <sheetView topLeftCell="B1" zoomScale="85" zoomScaleNormal="85" workbookViewId="0">
      <selection activeCell="H24" sqref="H24"/>
    </sheetView>
  </sheetViews>
  <sheetFormatPr defaultRowHeight="14.25"/>
  <cols>
    <col min="1" max="1" width="20" bestFit="1" customWidth="1"/>
    <col min="2" max="8" width="14" customWidth="1"/>
    <col min="9" max="9" width="15" customWidth="1"/>
    <col min="10" max="27" width="14" customWidth="1"/>
    <col min="28" max="39" width="15" customWidth="1"/>
    <col min="40" max="43" width="14" customWidth="1"/>
  </cols>
  <sheetData>
    <row r="1" spans="1:43" ht="22.7" customHeight="1">
      <c r="A1" s="246" t="s">
        <v>539</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row>
    <row r="2" spans="1:43" ht="18.600000000000001" customHeight="1">
      <c r="A2" s="247" t="s">
        <v>540</v>
      </c>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7"/>
      <c r="AO2" s="247"/>
      <c r="AP2" s="247"/>
      <c r="AQ2" s="247"/>
    </row>
    <row r="3" spans="1:43" ht="18.600000000000001" customHeight="1">
      <c r="A3" s="241" t="s">
        <v>711</v>
      </c>
    </row>
    <row r="4" spans="1:43" ht="16.7" customHeight="1">
      <c r="A4" s="248" t="s">
        <v>541</v>
      </c>
      <c r="B4" s="248"/>
      <c r="C4" s="249" t="s">
        <v>542</v>
      </c>
      <c r="D4" s="249"/>
      <c r="E4" s="249"/>
      <c r="F4" s="249"/>
      <c r="G4" s="248" t="s">
        <v>543</v>
      </c>
      <c r="H4" s="248"/>
      <c r="I4" s="249" t="s">
        <v>544</v>
      </c>
      <c r="J4" s="249"/>
      <c r="K4" s="249"/>
      <c r="L4" s="249"/>
      <c r="M4" s="249"/>
      <c r="N4" s="249"/>
      <c r="O4" s="249"/>
      <c r="P4" s="249"/>
      <c r="Q4" s="249"/>
      <c r="R4" s="249"/>
      <c r="S4" s="248" t="s">
        <v>545</v>
      </c>
      <c r="T4" s="248"/>
      <c r="U4" s="248"/>
      <c r="V4" s="248"/>
      <c r="W4" s="248"/>
      <c r="X4" s="248"/>
      <c r="Y4" s="248"/>
      <c r="Z4" s="248"/>
      <c r="AA4" s="248"/>
      <c r="AB4" s="249" t="s">
        <v>546</v>
      </c>
      <c r="AC4" s="249"/>
      <c r="AD4" s="249"/>
      <c r="AE4" s="249"/>
      <c r="AF4" s="249"/>
      <c r="AG4" s="249"/>
      <c r="AH4" s="248" t="s">
        <v>547</v>
      </c>
      <c r="AI4" s="248"/>
      <c r="AJ4" s="248"/>
      <c r="AK4" s="248"/>
      <c r="AL4" s="248"/>
      <c r="AM4" s="248"/>
      <c r="AN4" s="249" t="s">
        <v>548</v>
      </c>
      <c r="AO4" s="249"/>
      <c r="AP4" s="249"/>
      <c r="AQ4" s="249"/>
    </row>
    <row r="5" spans="1:43" ht="34.700000000000003" customHeight="1">
      <c r="A5" s="155" t="s">
        <v>524</v>
      </c>
      <c r="B5" s="155" t="s">
        <v>549</v>
      </c>
      <c r="C5" s="155" t="s">
        <v>550</v>
      </c>
      <c r="D5" s="155" t="s">
        <v>551</v>
      </c>
      <c r="E5" s="155" t="s">
        <v>552</v>
      </c>
      <c r="F5" s="155" t="s">
        <v>553</v>
      </c>
      <c r="G5" s="155" t="s">
        <v>554</v>
      </c>
      <c r="H5" s="155" t="s">
        <v>555</v>
      </c>
      <c r="I5" s="155" t="s">
        <v>529</v>
      </c>
      <c r="J5" s="155" t="s">
        <v>556</v>
      </c>
      <c r="K5" s="155" t="s">
        <v>54</v>
      </c>
      <c r="L5" s="155" t="s">
        <v>132</v>
      </c>
      <c r="M5" s="155" t="s">
        <v>65</v>
      </c>
      <c r="N5" s="155" t="s">
        <v>96</v>
      </c>
      <c r="O5" s="155" t="s">
        <v>117</v>
      </c>
      <c r="P5" s="155" t="s">
        <v>142</v>
      </c>
      <c r="Q5" s="155" t="s">
        <v>557</v>
      </c>
      <c r="R5" s="155" t="s">
        <v>558</v>
      </c>
      <c r="S5" s="155" t="s">
        <v>559</v>
      </c>
      <c r="T5" s="155" t="s">
        <v>560</v>
      </c>
      <c r="U5" s="155" t="s">
        <v>561</v>
      </c>
      <c r="V5" s="155" t="s">
        <v>562</v>
      </c>
      <c r="W5" s="155" t="s">
        <v>563</v>
      </c>
      <c r="X5" s="155" t="s">
        <v>564</v>
      </c>
      <c r="Y5" s="155" t="s">
        <v>565</v>
      </c>
      <c r="Z5" s="155" t="s">
        <v>566</v>
      </c>
      <c r="AA5" s="155" t="s">
        <v>567</v>
      </c>
      <c r="AB5" s="155" t="s">
        <v>568</v>
      </c>
      <c r="AC5" s="155" t="s">
        <v>569</v>
      </c>
      <c r="AD5" s="155" t="s">
        <v>570</v>
      </c>
      <c r="AE5" s="155" t="s">
        <v>571</v>
      </c>
      <c r="AF5" s="155" t="s">
        <v>572</v>
      </c>
      <c r="AG5" s="155" t="s">
        <v>573</v>
      </c>
      <c r="AH5" s="155" t="s">
        <v>574</v>
      </c>
      <c r="AI5" s="155" t="s">
        <v>575</v>
      </c>
      <c r="AJ5" s="155" t="s">
        <v>576</v>
      </c>
      <c r="AK5" s="155" t="s">
        <v>577</v>
      </c>
      <c r="AL5" s="155" t="s">
        <v>578</v>
      </c>
      <c r="AM5" s="155" t="s">
        <v>579</v>
      </c>
      <c r="AN5" s="155" t="s">
        <v>580</v>
      </c>
      <c r="AO5" s="155" t="s">
        <v>581</v>
      </c>
      <c r="AP5" s="155" t="s">
        <v>582</v>
      </c>
      <c r="AQ5" s="155" t="s">
        <v>583</v>
      </c>
    </row>
    <row r="6" spans="1:43" ht="20.100000000000001" customHeight="1">
      <c r="A6" s="157">
        <f>'2025 Model Assumptions'!A25</f>
        <v>45658</v>
      </c>
      <c r="B6" s="161">
        <f>'2025 Model Assumptions'!B25</f>
        <v>11850</v>
      </c>
      <c r="C6" s="161">
        <f>ROUND(B6*'2025 Model Assumptions'!C25,0)</f>
        <v>344</v>
      </c>
      <c r="D6" s="161">
        <f t="shared" ref="D6:D17" si="0">B6-C6</f>
        <v>11506</v>
      </c>
      <c r="E6" s="161">
        <f>ROUND(D6*'2025 Model Assumptions'!D25,0)</f>
        <v>81</v>
      </c>
      <c r="F6" s="161">
        <f t="shared" ref="F6:F17" si="1">D6-E6</f>
        <v>11425</v>
      </c>
      <c r="G6" s="161">
        <f>ROUND(F6*'2025 Model Assumptions'!E25,0)</f>
        <v>240</v>
      </c>
      <c r="H6" s="161">
        <f t="shared" ref="H6:H17" si="2">F6-G6</f>
        <v>11185</v>
      </c>
      <c r="I6" s="166">
        <f>'2025 Model Assumptions'!F25</f>
        <v>2.52</v>
      </c>
      <c r="J6" s="161">
        <f t="shared" ref="J6:J17" si="3">ROUND(H6*I6,0)</f>
        <v>28186</v>
      </c>
      <c r="K6" s="161">
        <f>ROUND(J6*'2025 Model Assumptions'!G25,0)</f>
        <v>24663</v>
      </c>
      <c r="L6" s="161">
        <f>ROUND(J6*'2025 Model Assumptions'!H25,0)</f>
        <v>85</v>
      </c>
      <c r="M6" s="161">
        <f>ROUND(J6*'2025 Model Assumptions'!I25,0)</f>
        <v>2086</v>
      </c>
      <c r="N6" s="161">
        <f>ROUND(J6*'2025 Model Assumptions'!J25,0)</f>
        <v>423</v>
      </c>
      <c r="O6" s="161">
        <f>ROUND(J6*'2025 Model Assumptions'!K25,0)</f>
        <v>254</v>
      </c>
      <c r="P6" s="161">
        <f>ROUND(J6*'2025 Model Assumptions'!L25,0)</f>
        <v>564</v>
      </c>
      <c r="Q6" s="161">
        <f t="shared" ref="Q6:Q17" si="4">J6-SUM(K6:P6)</f>
        <v>111</v>
      </c>
      <c r="R6" s="161">
        <f t="shared" ref="R6:R17" si="5">K6+L6</f>
        <v>24748</v>
      </c>
      <c r="S6" s="161">
        <f>ROUND(M6*'2025 Model Assumptions'!$B$6,0)</f>
        <v>876</v>
      </c>
      <c r="T6" s="161">
        <f>ROUND(M6*'2025 Model Assumptions'!$B$7,0)</f>
        <v>480</v>
      </c>
      <c r="U6" s="161">
        <f>ROUND(M6*'2025 Model Assumptions'!$B$8,0)</f>
        <v>313</v>
      </c>
      <c r="V6" s="161">
        <f t="shared" ref="V6:V17" si="6">M6-SUM(S6:U6)</f>
        <v>417</v>
      </c>
      <c r="W6" s="161">
        <f>ROUND(N6*'2025 Model Assumptions'!$B$10,0)</f>
        <v>148</v>
      </c>
      <c r="X6" s="161">
        <f>ROUND(N6*'2025 Model Assumptions'!$B$11,0)</f>
        <v>106</v>
      </c>
      <c r="Y6" s="161">
        <f t="shared" ref="Y6:Y17" si="7">N6-W6-X6</f>
        <v>169</v>
      </c>
      <c r="Z6" s="161">
        <f>ROUND(O6*'2025 Model Assumptions'!$B$13,0)</f>
        <v>114</v>
      </c>
      <c r="AA6" s="161">
        <f t="shared" ref="AA6:AA17" si="8">O6-Z6</f>
        <v>140</v>
      </c>
      <c r="AB6" s="161">
        <f t="shared" ref="AB6:AB17" si="9">S6+W6+Z6</f>
        <v>1138</v>
      </c>
      <c r="AC6" s="161">
        <f t="shared" ref="AC6:AC17" si="10">T6</f>
        <v>480</v>
      </c>
      <c r="AD6" s="161">
        <f t="shared" ref="AD6:AD17" si="11">U6+X6+AA6</f>
        <v>559</v>
      </c>
      <c r="AE6" s="161">
        <f>ROUND(AB6*'2025 Model Assumptions'!$B$15,0)</f>
        <v>933</v>
      </c>
      <c r="AF6" s="161">
        <f>ROUND(AC6*'2025 Model Assumptions'!$B$16,0)</f>
        <v>384</v>
      </c>
      <c r="AG6" s="161">
        <f>ROUND(AD6*'2025 Model Assumptions'!$B$17,0)</f>
        <v>492</v>
      </c>
      <c r="AH6" s="161">
        <f>ROUND(S6*'2025 Model Assumptions'!$B$15*'2025 Model Assumptions'!$B$18+T6*'2025 Model Assumptions'!$B$16*'2025 Model Assumptions'!$B$18+U6*'2025 Model Assumptions'!$B$17*'2025 Model Assumptions'!$B$18,0)</f>
        <v>1281</v>
      </c>
      <c r="AI6" s="161">
        <f>ROUND(W6*'2025 Model Assumptions'!$B$15*'2025 Model Assumptions'!$B$19+X6*'2025 Model Assumptions'!$B$17*'2025 Model Assumptions'!$B$19,0)</f>
        <v>202</v>
      </c>
      <c r="AJ6" s="161">
        <f>ROUND(Z6*'2025 Model Assumptions'!$B$20+AA6*'2025 Model Assumptions'!$B$21,0)</f>
        <v>70</v>
      </c>
      <c r="AK6" s="161">
        <f t="shared" ref="AK6:AK17" si="12">SUM(AH6:AJ6)</f>
        <v>1553</v>
      </c>
      <c r="AL6" s="161">
        <f t="shared" ref="AL6:AL17" si="13">R6+AK6</f>
        <v>26301</v>
      </c>
      <c r="AM6" s="161">
        <f t="shared" ref="AM6:AM17" si="14">M6+N6+O6-AK6</f>
        <v>1210</v>
      </c>
      <c r="AN6" s="171">
        <f t="shared" ref="AN6:AN18" si="15">AL6/J6</f>
        <v>0.93312282693535797</v>
      </c>
      <c r="AO6" s="176">
        <f t="shared" ref="AO6:AO18" si="16">J6-(AL6+AM6+P6+Q6)</f>
        <v>0</v>
      </c>
      <c r="AP6" s="171">
        <f t="shared" ref="AP6:AP18" si="17">R6/J6</f>
        <v>0.87802455119562905</v>
      </c>
      <c r="AQ6" s="181">
        <f t="shared" ref="AQ6:AQ18" si="18">AK6/J6</f>
        <v>5.5098275739728947E-2</v>
      </c>
    </row>
    <row r="7" spans="1:43" ht="20.100000000000001" customHeight="1">
      <c r="A7" s="158">
        <f>'2025 Model Assumptions'!A26</f>
        <v>45689</v>
      </c>
      <c r="B7" s="162">
        <f>'2025 Model Assumptions'!B26</f>
        <v>11420</v>
      </c>
      <c r="C7" s="162">
        <f>ROUND(B7*'2025 Model Assumptions'!C26,0)</f>
        <v>320</v>
      </c>
      <c r="D7" s="162">
        <f t="shared" si="0"/>
        <v>11100</v>
      </c>
      <c r="E7" s="162">
        <f>ROUND(D7*'2025 Model Assumptions'!D26,0)</f>
        <v>78</v>
      </c>
      <c r="F7" s="162">
        <f t="shared" si="1"/>
        <v>11022</v>
      </c>
      <c r="G7" s="162">
        <f>ROUND(F7*'2025 Model Assumptions'!E26,0)</f>
        <v>220</v>
      </c>
      <c r="H7" s="162">
        <f t="shared" si="2"/>
        <v>10802</v>
      </c>
      <c r="I7" s="167">
        <f>'2025 Model Assumptions'!F26</f>
        <v>2.54</v>
      </c>
      <c r="J7" s="162">
        <f t="shared" si="3"/>
        <v>27437</v>
      </c>
      <c r="K7" s="162">
        <f>ROUND(J7*'2025 Model Assumptions'!G26,0)</f>
        <v>24062</v>
      </c>
      <c r="L7" s="162">
        <f>ROUND(J7*'2025 Model Assumptions'!H26,0)</f>
        <v>82</v>
      </c>
      <c r="M7" s="162">
        <f>ROUND(J7*'2025 Model Assumptions'!I26,0)</f>
        <v>1975</v>
      </c>
      <c r="N7" s="162">
        <f>ROUND(J7*'2025 Model Assumptions'!J26,0)</f>
        <v>412</v>
      </c>
      <c r="O7" s="162">
        <f>ROUND(J7*'2025 Model Assumptions'!K26,0)</f>
        <v>219</v>
      </c>
      <c r="P7" s="162">
        <f>ROUND(J7*'2025 Model Assumptions'!L26,0)</f>
        <v>576</v>
      </c>
      <c r="Q7" s="162">
        <f t="shared" si="4"/>
        <v>111</v>
      </c>
      <c r="R7" s="162">
        <f t="shared" si="5"/>
        <v>24144</v>
      </c>
      <c r="S7" s="162">
        <f>ROUND(M7*'2025 Model Assumptions'!$B$6,0)</f>
        <v>830</v>
      </c>
      <c r="T7" s="162">
        <f>ROUND(M7*'2025 Model Assumptions'!$B$7,0)</f>
        <v>454</v>
      </c>
      <c r="U7" s="162">
        <f>ROUND(M7*'2025 Model Assumptions'!$B$8,0)</f>
        <v>296</v>
      </c>
      <c r="V7" s="162">
        <f t="shared" si="6"/>
        <v>395</v>
      </c>
      <c r="W7" s="162">
        <f>ROUND(N7*'2025 Model Assumptions'!$B$10,0)</f>
        <v>144</v>
      </c>
      <c r="X7" s="162">
        <f>ROUND(N7*'2025 Model Assumptions'!$B$11,0)</f>
        <v>103</v>
      </c>
      <c r="Y7" s="162">
        <f t="shared" si="7"/>
        <v>165</v>
      </c>
      <c r="Z7" s="162">
        <f>ROUND(O7*'2025 Model Assumptions'!$B$13,0)</f>
        <v>99</v>
      </c>
      <c r="AA7" s="162">
        <f t="shared" si="8"/>
        <v>120</v>
      </c>
      <c r="AB7" s="162">
        <f t="shared" si="9"/>
        <v>1073</v>
      </c>
      <c r="AC7" s="162">
        <f t="shared" si="10"/>
        <v>454</v>
      </c>
      <c r="AD7" s="162">
        <f t="shared" si="11"/>
        <v>519</v>
      </c>
      <c r="AE7" s="162">
        <f>ROUND(AB7*'2025 Model Assumptions'!$B$15,0)</f>
        <v>880</v>
      </c>
      <c r="AF7" s="162">
        <f>ROUND(AC7*'2025 Model Assumptions'!$B$16,0)</f>
        <v>363</v>
      </c>
      <c r="AG7" s="162">
        <f>ROUND(AD7*'2025 Model Assumptions'!$B$17,0)</f>
        <v>457</v>
      </c>
      <c r="AH7" s="162">
        <f>ROUND(S7*'2025 Model Assumptions'!$B$15*'2025 Model Assumptions'!$B$18+T7*'2025 Model Assumptions'!$B$16*'2025 Model Assumptions'!$B$18+U7*'2025 Model Assumptions'!$B$17*'2025 Model Assumptions'!$B$18,0)</f>
        <v>1213</v>
      </c>
      <c r="AI7" s="162">
        <f>ROUND(W7*'2025 Model Assumptions'!$B$15*'2025 Model Assumptions'!$B$19+X7*'2025 Model Assumptions'!$B$17*'2025 Model Assumptions'!$B$19,0)</f>
        <v>196</v>
      </c>
      <c r="AJ7" s="162">
        <f>ROUND(Z7*'2025 Model Assumptions'!$B$20+AA7*'2025 Model Assumptions'!$B$21,0)</f>
        <v>60</v>
      </c>
      <c r="AK7" s="162">
        <f t="shared" si="12"/>
        <v>1469</v>
      </c>
      <c r="AL7" s="162">
        <f t="shared" si="13"/>
        <v>25613</v>
      </c>
      <c r="AM7" s="162">
        <f t="shared" si="14"/>
        <v>1137</v>
      </c>
      <c r="AN7" s="172">
        <f t="shared" si="15"/>
        <v>0.93352042861828921</v>
      </c>
      <c r="AO7" s="177">
        <f t="shared" si="16"/>
        <v>0</v>
      </c>
      <c r="AP7" s="172">
        <f t="shared" si="17"/>
        <v>0.87997958960527756</v>
      </c>
      <c r="AQ7" s="182">
        <f t="shared" si="18"/>
        <v>5.3540839013011626E-2</v>
      </c>
    </row>
    <row r="8" spans="1:43" ht="20.100000000000001" customHeight="1">
      <c r="A8" s="159">
        <f>'2025 Model Assumptions'!A27</f>
        <v>45717</v>
      </c>
      <c r="B8" s="163">
        <f>'2025 Model Assumptions'!B27</f>
        <v>12260</v>
      </c>
      <c r="C8" s="163">
        <f>ROUND(B8*'2025 Model Assumptions'!C27,0)</f>
        <v>331</v>
      </c>
      <c r="D8" s="163">
        <f t="shared" si="0"/>
        <v>11929</v>
      </c>
      <c r="E8" s="163">
        <f>ROUND(D8*'2025 Model Assumptions'!D27,0)</f>
        <v>72</v>
      </c>
      <c r="F8" s="163">
        <f t="shared" si="1"/>
        <v>11857</v>
      </c>
      <c r="G8" s="163">
        <f>ROUND(F8*'2025 Model Assumptions'!E27,0)</f>
        <v>225</v>
      </c>
      <c r="H8" s="163">
        <f t="shared" si="2"/>
        <v>11632</v>
      </c>
      <c r="I8" s="168">
        <f>'2025 Model Assumptions'!F27</f>
        <v>2.5499999999999998</v>
      </c>
      <c r="J8" s="163">
        <f t="shared" si="3"/>
        <v>29662</v>
      </c>
      <c r="K8" s="163">
        <f>ROUND(J8*'2025 Model Assumptions'!G27,0)</f>
        <v>26073</v>
      </c>
      <c r="L8" s="163">
        <f>ROUND(J8*'2025 Model Assumptions'!H27,0)</f>
        <v>89</v>
      </c>
      <c r="M8" s="163">
        <f>ROUND(J8*'2025 Model Assumptions'!I27,0)</f>
        <v>2076</v>
      </c>
      <c r="N8" s="163">
        <f>ROUND(J8*'2025 Model Assumptions'!J27,0)</f>
        <v>415</v>
      </c>
      <c r="O8" s="163">
        <f>ROUND(J8*'2025 Model Assumptions'!K27,0)</f>
        <v>237</v>
      </c>
      <c r="P8" s="163">
        <f>ROUND(J8*'2025 Model Assumptions'!L27,0)</f>
        <v>653</v>
      </c>
      <c r="Q8" s="163">
        <f t="shared" si="4"/>
        <v>119</v>
      </c>
      <c r="R8" s="163">
        <f t="shared" si="5"/>
        <v>26162</v>
      </c>
      <c r="S8" s="163">
        <f>ROUND(M8*'2025 Model Assumptions'!$B$6,0)</f>
        <v>872</v>
      </c>
      <c r="T8" s="163">
        <f>ROUND(M8*'2025 Model Assumptions'!$B$7,0)</f>
        <v>477</v>
      </c>
      <c r="U8" s="163">
        <f>ROUND(M8*'2025 Model Assumptions'!$B$8,0)</f>
        <v>311</v>
      </c>
      <c r="V8" s="163">
        <f t="shared" si="6"/>
        <v>416</v>
      </c>
      <c r="W8" s="163">
        <f>ROUND(N8*'2025 Model Assumptions'!$B$10,0)</f>
        <v>145</v>
      </c>
      <c r="X8" s="163">
        <f>ROUND(N8*'2025 Model Assumptions'!$B$11,0)</f>
        <v>104</v>
      </c>
      <c r="Y8" s="163">
        <f t="shared" si="7"/>
        <v>166</v>
      </c>
      <c r="Z8" s="163">
        <f>ROUND(O8*'2025 Model Assumptions'!$B$13,0)</f>
        <v>107</v>
      </c>
      <c r="AA8" s="163">
        <f t="shared" si="8"/>
        <v>130</v>
      </c>
      <c r="AB8" s="163">
        <f t="shared" si="9"/>
        <v>1124</v>
      </c>
      <c r="AC8" s="163">
        <f t="shared" si="10"/>
        <v>477</v>
      </c>
      <c r="AD8" s="163">
        <f t="shared" si="11"/>
        <v>545</v>
      </c>
      <c r="AE8" s="163">
        <f>ROUND(AB8*'2025 Model Assumptions'!$B$15,0)</f>
        <v>922</v>
      </c>
      <c r="AF8" s="163">
        <f>ROUND(AC8*'2025 Model Assumptions'!$B$16,0)</f>
        <v>382</v>
      </c>
      <c r="AG8" s="163">
        <f>ROUND(AD8*'2025 Model Assumptions'!$B$17,0)</f>
        <v>480</v>
      </c>
      <c r="AH8" s="163">
        <f>ROUND(S8*'2025 Model Assumptions'!$B$15*'2025 Model Assumptions'!$B$18+T8*'2025 Model Assumptions'!$B$16*'2025 Model Assumptions'!$B$18+U8*'2025 Model Assumptions'!$B$17*'2025 Model Assumptions'!$B$18,0)</f>
        <v>1274</v>
      </c>
      <c r="AI8" s="163">
        <f>ROUND(W8*'2025 Model Assumptions'!$B$15*'2025 Model Assumptions'!$B$19+X8*'2025 Model Assumptions'!$B$17*'2025 Model Assumptions'!$B$19,0)</f>
        <v>198</v>
      </c>
      <c r="AJ8" s="163">
        <f>ROUND(Z8*'2025 Model Assumptions'!$B$20+AA8*'2025 Model Assumptions'!$B$21,0)</f>
        <v>65</v>
      </c>
      <c r="AK8" s="163">
        <f t="shared" si="12"/>
        <v>1537</v>
      </c>
      <c r="AL8" s="163">
        <f t="shared" si="13"/>
        <v>27699</v>
      </c>
      <c r="AM8" s="163">
        <f t="shared" si="14"/>
        <v>1191</v>
      </c>
      <c r="AN8" s="173">
        <f t="shared" si="15"/>
        <v>0.93382105050232622</v>
      </c>
      <c r="AO8" s="178">
        <f t="shared" si="16"/>
        <v>0</v>
      </c>
      <c r="AP8" s="173">
        <f t="shared" si="17"/>
        <v>0.88200391072753015</v>
      </c>
      <c r="AQ8" s="183">
        <f t="shared" si="18"/>
        <v>5.1817139774796038E-2</v>
      </c>
    </row>
    <row r="9" spans="1:43" ht="20.100000000000001" customHeight="1">
      <c r="A9" s="158">
        <f>'2025 Model Assumptions'!A28</f>
        <v>45748</v>
      </c>
      <c r="B9" s="162">
        <f>'2025 Model Assumptions'!B28</f>
        <v>12540</v>
      </c>
      <c r="C9" s="162">
        <f>ROUND(B9*'2025 Model Assumptions'!C28,0)</f>
        <v>314</v>
      </c>
      <c r="D9" s="162">
        <f t="shared" si="0"/>
        <v>12226</v>
      </c>
      <c r="E9" s="162">
        <f>ROUND(D9*'2025 Model Assumptions'!D28,0)</f>
        <v>73</v>
      </c>
      <c r="F9" s="162">
        <f t="shared" si="1"/>
        <v>12153</v>
      </c>
      <c r="G9" s="162">
        <f>ROUND(F9*'2025 Model Assumptions'!E28,0)</f>
        <v>219</v>
      </c>
      <c r="H9" s="162">
        <f t="shared" si="2"/>
        <v>11934</v>
      </c>
      <c r="I9" s="167">
        <f>'2025 Model Assumptions'!F28</f>
        <v>2.56</v>
      </c>
      <c r="J9" s="162">
        <f t="shared" si="3"/>
        <v>30551</v>
      </c>
      <c r="K9" s="162">
        <f>ROUND(J9*'2025 Model Assumptions'!G28,0)</f>
        <v>26946</v>
      </c>
      <c r="L9" s="162">
        <f>ROUND(J9*'2025 Model Assumptions'!H28,0)</f>
        <v>92</v>
      </c>
      <c r="M9" s="162">
        <f>ROUND(J9*'2025 Model Assumptions'!I28,0)</f>
        <v>2077</v>
      </c>
      <c r="N9" s="162">
        <f>ROUND(J9*'2025 Model Assumptions'!J28,0)</f>
        <v>397</v>
      </c>
      <c r="O9" s="162">
        <f>ROUND(J9*'2025 Model Assumptions'!K28,0)</f>
        <v>214</v>
      </c>
      <c r="P9" s="162">
        <f>ROUND(J9*'2025 Model Assumptions'!L28,0)</f>
        <v>703</v>
      </c>
      <c r="Q9" s="162">
        <f t="shared" si="4"/>
        <v>122</v>
      </c>
      <c r="R9" s="162">
        <f t="shared" si="5"/>
        <v>27038</v>
      </c>
      <c r="S9" s="162">
        <f>ROUND(M9*'2025 Model Assumptions'!$B$6,0)</f>
        <v>872</v>
      </c>
      <c r="T9" s="162">
        <f>ROUND(M9*'2025 Model Assumptions'!$B$7,0)</f>
        <v>478</v>
      </c>
      <c r="U9" s="162">
        <f>ROUND(M9*'2025 Model Assumptions'!$B$8,0)</f>
        <v>312</v>
      </c>
      <c r="V9" s="162">
        <f t="shared" si="6"/>
        <v>415</v>
      </c>
      <c r="W9" s="162">
        <f>ROUND(N9*'2025 Model Assumptions'!$B$10,0)</f>
        <v>139</v>
      </c>
      <c r="X9" s="162">
        <f>ROUND(N9*'2025 Model Assumptions'!$B$11,0)</f>
        <v>99</v>
      </c>
      <c r="Y9" s="162">
        <f t="shared" si="7"/>
        <v>159</v>
      </c>
      <c r="Z9" s="162">
        <f>ROUND(O9*'2025 Model Assumptions'!$B$13,0)</f>
        <v>96</v>
      </c>
      <c r="AA9" s="162">
        <f t="shared" si="8"/>
        <v>118</v>
      </c>
      <c r="AB9" s="162">
        <f t="shared" si="9"/>
        <v>1107</v>
      </c>
      <c r="AC9" s="162">
        <f t="shared" si="10"/>
        <v>478</v>
      </c>
      <c r="AD9" s="162">
        <f t="shared" si="11"/>
        <v>529</v>
      </c>
      <c r="AE9" s="162">
        <f>ROUND(AB9*'2025 Model Assumptions'!$B$15,0)</f>
        <v>908</v>
      </c>
      <c r="AF9" s="162">
        <f>ROUND(AC9*'2025 Model Assumptions'!$B$16,0)</f>
        <v>382</v>
      </c>
      <c r="AG9" s="162">
        <f>ROUND(AD9*'2025 Model Assumptions'!$B$17,0)</f>
        <v>466</v>
      </c>
      <c r="AH9" s="162">
        <f>ROUND(S9*'2025 Model Assumptions'!$B$15*'2025 Model Assumptions'!$B$18+T9*'2025 Model Assumptions'!$B$16*'2025 Model Assumptions'!$B$18+U9*'2025 Model Assumptions'!$B$17*'2025 Model Assumptions'!$B$18,0)</f>
        <v>1276</v>
      </c>
      <c r="AI9" s="162">
        <f>ROUND(W9*'2025 Model Assumptions'!$B$15*'2025 Model Assumptions'!$B$19+X9*'2025 Model Assumptions'!$B$17*'2025 Model Assumptions'!$B$19,0)</f>
        <v>189</v>
      </c>
      <c r="AJ9" s="162">
        <f>ROUND(Z9*'2025 Model Assumptions'!$B$20+AA9*'2025 Model Assumptions'!$B$21,0)</f>
        <v>59</v>
      </c>
      <c r="AK9" s="162">
        <f t="shared" si="12"/>
        <v>1524</v>
      </c>
      <c r="AL9" s="162">
        <f t="shared" si="13"/>
        <v>28562</v>
      </c>
      <c r="AM9" s="162">
        <f t="shared" si="14"/>
        <v>1164</v>
      </c>
      <c r="AN9" s="172">
        <f t="shared" si="15"/>
        <v>0.93489574809335207</v>
      </c>
      <c r="AO9" s="177">
        <f t="shared" si="16"/>
        <v>0</v>
      </c>
      <c r="AP9" s="172">
        <f t="shared" si="17"/>
        <v>0.8850119472357697</v>
      </c>
      <c r="AQ9" s="182">
        <f t="shared" si="18"/>
        <v>4.98838008575824E-2</v>
      </c>
    </row>
    <row r="10" spans="1:43" ht="20.100000000000001" customHeight="1">
      <c r="A10" s="159">
        <f>'2025 Model Assumptions'!A29</f>
        <v>45778</v>
      </c>
      <c r="B10" s="163">
        <f>'2025 Model Assumptions'!B29</f>
        <v>12780</v>
      </c>
      <c r="C10" s="163">
        <f>ROUND(B10*'2025 Model Assumptions'!C29,0)</f>
        <v>307</v>
      </c>
      <c r="D10" s="163">
        <f t="shared" si="0"/>
        <v>12473</v>
      </c>
      <c r="E10" s="163">
        <f>ROUND(D10*'2025 Model Assumptions'!D29,0)</f>
        <v>62</v>
      </c>
      <c r="F10" s="163">
        <f t="shared" si="1"/>
        <v>12411</v>
      </c>
      <c r="G10" s="163">
        <f>ROUND(F10*'2025 Model Assumptions'!E29,0)</f>
        <v>223</v>
      </c>
      <c r="H10" s="163">
        <f t="shared" si="2"/>
        <v>12188</v>
      </c>
      <c r="I10" s="168">
        <f>'2025 Model Assumptions'!F29</f>
        <v>2.57</v>
      </c>
      <c r="J10" s="163">
        <f t="shared" si="3"/>
        <v>31323</v>
      </c>
      <c r="K10" s="163">
        <f>ROUND(J10*'2025 Model Assumptions'!G29,0)</f>
        <v>27690</v>
      </c>
      <c r="L10" s="163">
        <f>ROUND(J10*'2025 Model Assumptions'!H29,0)</f>
        <v>94</v>
      </c>
      <c r="M10" s="163">
        <f>ROUND(J10*'2025 Model Assumptions'!I29,0)</f>
        <v>2067</v>
      </c>
      <c r="N10" s="163">
        <f>ROUND(J10*'2025 Model Assumptions'!J29,0)</f>
        <v>407</v>
      </c>
      <c r="O10" s="163">
        <f>ROUND(J10*'2025 Model Assumptions'!K29,0)</f>
        <v>219</v>
      </c>
      <c r="P10" s="163">
        <f>ROUND(J10*'2025 Model Assumptions'!L29,0)</f>
        <v>720</v>
      </c>
      <c r="Q10" s="163">
        <f t="shared" si="4"/>
        <v>126</v>
      </c>
      <c r="R10" s="163">
        <f t="shared" si="5"/>
        <v>27784</v>
      </c>
      <c r="S10" s="163">
        <f>ROUND(M10*'2025 Model Assumptions'!$B$6,0)</f>
        <v>868</v>
      </c>
      <c r="T10" s="163">
        <f>ROUND(M10*'2025 Model Assumptions'!$B$7,0)</f>
        <v>475</v>
      </c>
      <c r="U10" s="163">
        <f>ROUND(M10*'2025 Model Assumptions'!$B$8,0)</f>
        <v>310</v>
      </c>
      <c r="V10" s="163">
        <f t="shared" si="6"/>
        <v>414</v>
      </c>
      <c r="W10" s="163">
        <f>ROUND(N10*'2025 Model Assumptions'!$B$10,0)</f>
        <v>142</v>
      </c>
      <c r="X10" s="163">
        <f>ROUND(N10*'2025 Model Assumptions'!$B$11,0)</f>
        <v>102</v>
      </c>
      <c r="Y10" s="163">
        <f t="shared" si="7"/>
        <v>163</v>
      </c>
      <c r="Z10" s="163">
        <f>ROUND(O10*'2025 Model Assumptions'!$B$13,0)</f>
        <v>99</v>
      </c>
      <c r="AA10" s="163">
        <f t="shared" si="8"/>
        <v>120</v>
      </c>
      <c r="AB10" s="163">
        <f t="shared" si="9"/>
        <v>1109</v>
      </c>
      <c r="AC10" s="163">
        <f t="shared" si="10"/>
        <v>475</v>
      </c>
      <c r="AD10" s="163">
        <f t="shared" si="11"/>
        <v>532</v>
      </c>
      <c r="AE10" s="163">
        <f>ROUND(AB10*'2025 Model Assumptions'!$B$15,0)</f>
        <v>909</v>
      </c>
      <c r="AF10" s="163">
        <f>ROUND(AC10*'2025 Model Assumptions'!$B$16,0)</f>
        <v>380</v>
      </c>
      <c r="AG10" s="163">
        <f>ROUND(AD10*'2025 Model Assumptions'!$B$17,0)</f>
        <v>468</v>
      </c>
      <c r="AH10" s="163">
        <f>ROUND(S10*'2025 Model Assumptions'!$B$15*'2025 Model Assumptions'!$B$18+T10*'2025 Model Assumptions'!$B$16*'2025 Model Assumptions'!$B$18+U10*'2025 Model Assumptions'!$B$17*'2025 Model Assumptions'!$B$18,0)</f>
        <v>1269</v>
      </c>
      <c r="AI10" s="163">
        <f>ROUND(W10*'2025 Model Assumptions'!$B$15*'2025 Model Assumptions'!$B$19+X10*'2025 Model Assumptions'!$B$17*'2025 Model Assumptions'!$B$19,0)</f>
        <v>194</v>
      </c>
      <c r="AJ10" s="163">
        <f>ROUND(Z10*'2025 Model Assumptions'!$B$20+AA10*'2025 Model Assumptions'!$B$21,0)</f>
        <v>60</v>
      </c>
      <c r="AK10" s="163">
        <f t="shared" si="12"/>
        <v>1523</v>
      </c>
      <c r="AL10" s="163">
        <f t="shared" si="13"/>
        <v>29307</v>
      </c>
      <c r="AM10" s="163">
        <f t="shared" si="14"/>
        <v>1170</v>
      </c>
      <c r="AN10" s="173">
        <f t="shared" si="15"/>
        <v>0.93563834881716312</v>
      </c>
      <c r="AO10" s="178">
        <f t="shared" si="16"/>
        <v>0</v>
      </c>
      <c r="AP10" s="173">
        <f t="shared" si="17"/>
        <v>0.88701593078568464</v>
      </c>
      <c r="AQ10" s="183">
        <f t="shared" si="18"/>
        <v>4.8622418031478466E-2</v>
      </c>
    </row>
    <row r="11" spans="1:43" ht="20.100000000000001" customHeight="1">
      <c r="A11" s="158">
        <f>'2025 Model Assumptions'!A30</f>
        <v>45809</v>
      </c>
      <c r="B11" s="162">
        <f>'2025 Model Assumptions'!B30</f>
        <v>12360</v>
      </c>
      <c r="C11" s="162">
        <f>ROUND(B11*'2025 Model Assumptions'!C30,0)</f>
        <v>284</v>
      </c>
      <c r="D11" s="162">
        <f t="shared" si="0"/>
        <v>12076</v>
      </c>
      <c r="E11" s="162">
        <f>ROUND(D11*'2025 Model Assumptions'!D30,0)</f>
        <v>60</v>
      </c>
      <c r="F11" s="162">
        <f t="shared" si="1"/>
        <v>12016</v>
      </c>
      <c r="G11" s="162">
        <f>ROUND(F11*'2025 Model Assumptions'!E30,0)</f>
        <v>204</v>
      </c>
      <c r="H11" s="162">
        <f t="shared" si="2"/>
        <v>11812</v>
      </c>
      <c r="I11" s="167">
        <f>'2025 Model Assumptions'!F30</f>
        <v>2.58</v>
      </c>
      <c r="J11" s="162">
        <f t="shared" si="3"/>
        <v>30475</v>
      </c>
      <c r="K11" s="162">
        <f>ROUND(J11*'2025 Model Assumptions'!G30,0)</f>
        <v>27001</v>
      </c>
      <c r="L11" s="162">
        <f>ROUND(J11*'2025 Model Assumptions'!H30,0)</f>
        <v>91</v>
      </c>
      <c r="M11" s="162">
        <f>ROUND(J11*'2025 Model Assumptions'!I30,0)</f>
        <v>1950</v>
      </c>
      <c r="N11" s="162">
        <f>ROUND(J11*'2025 Model Assumptions'!J30,0)</f>
        <v>366</v>
      </c>
      <c r="O11" s="162">
        <f>ROUND(J11*'2025 Model Assumptions'!K30,0)</f>
        <v>183</v>
      </c>
      <c r="P11" s="162">
        <f>ROUND(J11*'2025 Model Assumptions'!L30,0)</f>
        <v>762</v>
      </c>
      <c r="Q11" s="162">
        <f t="shared" si="4"/>
        <v>122</v>
      </c>
      <c r="R11" s="162">
        <f t="shared" si="5"/>
        <v>27092</v>
      </c>
      <c r="S11" s="162">
        <f>ROUND(M11*'2025 Model Assumptions'!$B$6,0)</f>
        <v>819</v>
      </c>
      <c r="T11" s="162">
        <f>ROUND(M11*'2025 Model Assumptions'!$B$7,0)</f>
        <v>449</v>
      </c>
      <c r="U11" s="162">
        <f>ROUND(M11*'2025 Model Assumptions'!$B$8,0)</f>
        <v>293</v>
      </c>
      <c r="V11" s="162">
        <f t="shared" si="6"/>
        <v>389</v>
      </c>
      <c r="W11" s="162">
        <f>ROUND(N11*'2025 Model Assumptions'!$B$10,0)</f>
        <v>128</v>
      </c>
      <c r="X11" s="162">
        <f>ROUND(N11*'2025 Model Assumptions'!$B$11,0)</f>
        <v>92</v>
      </c>
      <c r="Y11" s="162">
        <f t="shared" si="7"/>
        <v>146</v>
      </c>
      <c r="Z11" s="162">
        <f>ROUND(O11*'2025 Model Assumptions'!$B$13,0)</f>
        <v>82</v>
      </c>
      <c r="AA11" s="162">
        <f t="shared" si="8"/>
        <v>101</v>
      </c>
      <c r="AB11" s="162">
        <f t="shared" si="9"/>
        <v>1029</v>
      </c>
      <c r="AC11" s="162">
        <f t="shared" si="10"/>
        <v>449</v>
      </c>
      <c r="AD11" s="162">
        <f t="shared" si="11"/>
        <v>486</v>
      </c>
      <c r="AE11" s="162">
        <f>ROUND(AB11*'2025 Model Assumptions'!$B$15,0)</f>
        <v>844</v>
      </c>
      <c r="AF11" s="162">
        <f>ROUND(AC11*'2025 Model Assumptions'!$B$16,0)</f>
        <v>359</v>
      </c>
      <c r="AG11" s="162">
        <f>ROUND(AD11*'2025 Model Assumptions'!$B$17,0)</f>
        <v>428</v>
      </c>
      <c r="AH11" s="162">
        <f>ROUND(S11*'2025 Model Assumptions'!$B$15*'2025 Model Assumptions'!$B$18+T11*'2025 Model Assumptions'!$B$16*'2025 Model Assumptions'!$B$18+U11*'2025 Model Assumptions'!$B$17*'2025 Model Assumptions'!$B$18,0)</f>
        <v>1198</v>
      </c>
      <c r="AI11" s="162">
        <f>ROUND(W11*'2025 Model Assumptions'!$B$15*'2025 Model Assumptions'!$B$19+X11*'2025 Model Assumptions'!$B$17*'2025 Model Assumptions'!$B$19,0)</f>
        <v>175</v>
      </c>
      <c r="AJ11" s="162">
        <f>ROUND(Z11*'2025 Model Assumptions'!$B$20+AA11*'2025 Model Assumptions'!$B$21,0)</f>
        <v>50</v>
      </c>
      <c r="AK11" s="162">
        <f t="shared" si="12"/>
        <v>1423</v>
      </c>
      <c r="AL11" s="162">
        <f t="shared" si="13"/>
        <v>28515</v>
      </c>
      <c r="AM11" s="162">
        <f t="shared" si="14"/>
        <v>1076</v>
      </c>
      <c r="AN11" s="172">
        <f t="shared" si="15"/>
        <v>0.93568498769483188</v>
      </c>
      <c r="AO11" s="177">
        <f t="shared" si="16"/>
        <v>0</v>
      </c>
      <c r="AP11" s="172">
        <f t="shared" si="17"/>
        <v>0.88899097621000822</v>
      </c>
      <c r="AQ11" s="182">
        <f t="shared" si="18"/>
        <v>4.6694011484823626E-2</v>
      </c>
    </row>
    <row r="12" spans="1:43" ht="20.100000000000001" customHeight="1">
      <c r="A12" s="159">
        <f>'2025 Model Assumptions'!A31</f>
        <v>45839</v>
      </c>
      <c r="B12" s="163">
        <f>'2025 Model Assumptions'!B31</f>
        <v>12710</v>
      </c>
      <c r="C12" s="163">
        <f>ROUND(B12*'2025 Model Assumptions'!C31,0)</f>
        <v>280</v>
      </c>
      <c r="D12" s="163">
        <f t="shared" si="0"/>
        <v>12430</v>
      </c>
      <c r="E12" s="163">
        <f>ROUND(D12*'2025 Model Assumptions'!D31,0)</f>
        <v>62</v>
      </c>
      <c r="F12" s="163">
        <f t="shared" si="1"/>
        <v>12368</v>
      </c>
      <c r="G12" s="163">
        <f>ROUND(F12*'2025 Model Assumptions'!E31,0)</f>
        <v>210</v>
      </c>
      <c r="H12" s="163">
        <f t="shared" si="2"/>
        <v>12158</v>
      </c>
      <c r="I12" s="168">
        <f>'2025 Model Assumptions'!F31</f>
        <v>2.59</v>
      </c>
      <c r="J12" s="163">
        <f t="shared" si="3"/>
        <v>31489</v>
      </c>
      <c r="K12" s="163">
        <f>ROUND(J12*'2025 Model Assumptions'!G31,0)</f>
        <v>27962</v>
      </c>
      <c r="L12" s="163">
        <f>ROUND(J12*'2025 Model Assumptions'!H31,0)</f>
        <v>94</v>
      </c>
      <c r="M12" s="163">
        <f>ROUND(J12*'2025 Model Assumptions'!I31,0)</f>
        <v>1952</v>
      </c>
      <c r="N12" s="163">
        <f>ROUND(J12*'2025 Model Assumptions'!J31,0)</f>
        <v>378</v>
      </c>
      <c r="O12" s="163">
        <f>ROUND(J12*'2025 Model Assumptions'!K31,0)</f>
        <v>189</v>
      </c>
      <c r="P12" s="163">
        <f>ROUND(J12*'2025 Model Assumptions'!L31,0)</f>
        <v>787</v>
      </c>
      <c r="Q12" s="163">
        <f t="shared" si="4"/>
        <v>127</v>
      </c>
      <c r="R12" s="163">
        <f t="shared" si="5"/>
        <v>28056</v>
      </c>
      <c r="S12" s="163">
        <f>ROUND(M12*'2025 Model Assumptions'!$B$6,0)</f>
        <v>820</v>
      </c>
      <c r="T12" s="163">
        <f>ROUND(M12*'2025 Model Assumptions'!$B$7,0)</f>
        <v>449</v>
      </c>
      <c r="U12" s="163">
        <f>ROUND(M12*'2025 Model Assumptions'!$B$8,0)</f>
        <v>293</v>
      </c>
      <c r="V12" s="163">
        <f t="shared" si="6"/>
        <v>390</v>
      </c>
      <c r="W12" s="163">
        <f>ROUND(N12*'2025 Model Assumptions'!$B$10,0)</f>
        <v>132</v>
      </c>
      <c r="X12" s="163">
        <f>ROUND(N12*'2025 Model Assumptions'!$B$11,0)</f>
        <v>95</v>
      </c>
      <c r="Y12" s="163">
        <f t="shared" si="7"/>
        <v>151</v>
      </c>
      <c r="Z12" s="163">
        <f>ROUND(O12*'2025 Model Assumptions'!$B$13,0)</f>
        <v>85</v>
      </c>
      <c r="AA12" s="163">
        <f t="shared" si="8"/>
        <v>104</v>
      </c>
      <c r="AB12" s="163">
        <f t="shared" si="9"/>
        <v>1037</v>
      </c>
      <c r="AC12" s="163">
        <f t="shared" si="10"/>
        <v>449</v>
      </c>
      <c r="AD12" s="163">
        <f t="shared" si="11"/>
        <v>492</v>
      </c>
      <c r="AE12" s="163">
        <f>ROUND(AB12*'2025 Model Assumptions'!$B$15,0)</f>
        <v>850</v>
      </c>
      <c r="AF12" s="163">
        <f>ROUND(AC12*'2025 Model Assumptions'!$B$16,0)</f>
        <v>359</v>
      </c>
      <c r="AG12" s="163">
        <f>ROUND(AD12*'2025 Model Assumptions'!$B$17,0)</f>
        <v>433</v>
      </c>
      <c r="AH12" s="163">
        <f>ROUND(S12*'2025 Model Assumptions'!$B$15*'2025 Model Assumptions'!$B$18+T12*'2025 Model Assumptions'!$B$16*'2025 Model Assumptions'!$B$18+U12*'2025 Model Assumptions'!$B$17*'2025 Model Assumptions'!$B$18,0)</f>
        <v>1199</v>
      </c>
      <c r="AI12" s="163">
        <f>ROUND(W12*'2025 Model Assumptions'!$B$15*'2025 Model Assumptions'!$B$19+X12*'2025 Model Assumptions'!$B$17*'2025 Model Assumptions'!$B$19,0)</f>
        <v>180</v>
      </c>
      <c r="AJ12" s="163">
        <f>ROUND(Z12*'2025 Model Assumptions'!$B$20+AA12*'2025 Model Assumptions'!$B$21,0)</f>
        <v>52</v>
      </c>
      <c r="AK12" s="163">
        <f t="shared" si="12"/>
        <v>1431</v>
      </c>
      <c r="AL12" s="163">
        <f t="shared" si="13"/>
        <v>29487</v>
      </c>
      <c r="AM12" s="163">
        <f t="shared" si="14"/>
        <v>1088</v>
      </c>
      <c r="AN12" s="173">
        <f t="shared" si="15"/>
        <v>0.93642224268792273</v>
      </c>
      <c r="AO12" s="178">
        <f t="shared" si="16"/>
        <v>0</v>
      </c>
      <c r="AP12" s="173">
        <f t="shared" si="17"/>
        <v>0.89097780177204733</v>
      </c>
      <c r="AQ12" s="183">
        <f t="shared" si="18"/>
        <v>4.5444440915875385E-2</v>
      </c>
    </row>
    <row r="13" spans="1:43" ht="20.100000000000001" customHeight="1">
      <c r="A13" s="158">
        <f>'2025 Model Assumptions'!A32</f>
        <v>45870</v>
      </c>
      <c r="B13" s="162">
        <f>'2025 Model Assumptions'!B32</f>
        <v>12940</v>
      </c>
      <c r="C13" s="162">
        <f>ROUND(B13*'2025 Model Assumptions'!C32,0)</f>
        <v>272</v>
      </c>
      <c r="D13" s="162">
        <f t="shared" si="0"/>
        <v>12668</v>
      </c>
      <c r="E13" s="162">
        <f>ROUND(D13*'2025 Model Assumptions'!D32,0)</f>
        <v>63</v>
      </c>
      <c r="F13" s="162">
        <f t="shared" si="1"/>
        <v>12605</v>
      </c>
      <c r="G13" s="162">
        <f>ROUND(F13*'2025 Model Assumptions'!E32,0)</f>
        <v>202</v>
      </c>
      <c r="H13" s="162">
        <f t="shared" si="2"/>
        <v>12403</v>
      </c>
      <c r="I13" s="167">
        <f>'2025 Model Assumptions'!F32</f>
        <v>2.6</v>
      </c>
      <c r="J13" s="162">
        <f t="shared" si="3"/>
        <v>32248</v>
      </c>
      <c r="K13" s="162">
        <f>ROUND(J13*'2025 Model Assumptions'!G32,0)</f>
        <v>28701</v>
      </c>
      <c r="L13" s="162">
        <f>ROUND(J13*'2025 Model Assumptions'!H32,0)</f>
        <v>97</v>
      </c>
      <c r="M13" s="162">
        <f>ROUND(J13*'2025 Model Assumptions'!I32,0)</f>
        <v>1935</v>
      </c>
      <c r="N13" s="162">
        <f>ROUND(J13*'2025 Model Assumptions'!J32,0)</f>
        <v>355</v>
      </c>
      <c r="O13" s="162">
        <f>ROUND(J13*'2025 Model Assumptions'!K32,0)</f>
        <v>193</v>
      </c>
      <c r="P13" s="162">
        <f>ROUND(J13*'2025 Model Assumptions'!L32,0)</f>
        <v>838</v>
      </c>
      <c r="Q13" s="162">
        <f t="shared" si="4"/>
        <v>129</v>
      </c>
      <c r="R13" s="162">
        <f t="shared" si="5"/>
        <v>28798</v>
      </c>
      <c r="S13" s="162">
        <f>ROUND(M13*'2025 Model Assumptions'!$B$6,0)</f>
        <v>813</v>
      </c>
      <c r="T13" s="162">
        <f>ROUND(M13*'2025 Model Assumptions'!$B$7,0)</f>
        <v>445</v>
      </c>
      <c r="U13" s="162">
        <f>ROUND(M13*'2025 Model Assumptions'!$B$8,0)</f>
        <v>290</v>
      </c>
      <c r="V13" s="162">
        <f t="shared" si="6"/>
        <v>387</v>
      </c>
      <c r="W13" s="162">
        <f>ROUND(N13*'2025 Model Assumptions'!$B$10,0)</f>
        <v>124</v>
      </c>
      <c r="X13" s="162">
        <f>ROUND(N13*'2025 Model Assumptions'!$B$11,0)</f>
        <v>89</v>
      </c>
      <c r="Y13" s="162">
        <f t="shared" si="7"/>
        <v>142</v>
      </c>
      <c r="Z13" s="162">
        <f>ROUND(O13*'2025 Model Assumptions'!$B$13,0)</f>
        <v>87</v>
      </c>
      <c r="AA13" s="162">
        <f t="shared" si="8"/>
        <v>106</v>
      </c>
      <c r="AB13" s="162">
        <f t="shared" si="9"/>
        <v>1024</v>
      </c>
      <c r="AC13" s="162">
        <f t="shared" si="10"/>
        <v>445</v>
      </c>
      <c r="AD13" s="162">
        <f t="shared" si="11"/>
        <v>485</v>
      </c>
      <c r="AE13" s="162">
        <f>ROUND(AB13*'2025 Model Assumptions'!$B$15,0)</f>
        <v>840</v>
      </c>
      <c r="AF13" s="162">
        <f>ROUND(AC13*'2025 Model Assumptions'!$B$16,0)</f>
        <v>356</v>
      </c>
      <c r="AG13" s="162">
        <f>ROUND(AD13*'2025 Model Assumptions'!$B$17,0)</f>
        <v>427</v>
      </c>
      <c r="AH13" s="162">
        <f>ROUND(S13*'2025 Model Assumptions'!$B$15*'2025 Model Assumptions'!$B$18+T13*'2025 Model Assumptions'!$B$16*'2025 Model Assumptions'!$B$18+U13*'2025 Model Assumptions'!$B$17*'2025 Model Assumptions'!$B$18,0)</f>
        <v>1188</v>
      </c>
      <c r="AI13" s="162">
        <f>ROUND(W13*'2025 Model Assumptions'!$B$15*'2025 Model Assumptions'!$B$19+X13*'2025 Model Assumptions'!$B$17*'2025 Model Assumptions'!$B$19,0)</f>
        <v>169</v>
      </c>
      <c r="AJ13" s="162">
        <f>ROUND(Z13*'2025 Model Assumptions'!$B$20+AA13*'2025 Model Assumptions'!$B$21,0)</f>
        <v>53</v>
      </c>
      <c r="AK13" s="162">
        <f t="shared" si="12"/>
        <v>1410</v>
      </c>
      <c r="AL13" s="162">
        <f t="shared" si="13"/>
        <v>30208</v>
      </c>
      <c r="AM13" s="162">
        <f t="shared" si="14"/>
        <v>1073</v>
      </c>
      <c r="AN13" s="172">
        <f t="shared" si="15"/>
        <v>0.93674026296204416</v>
      </c>
      <c r="AO13" s="177">
        <f t="shared" si="16"/>
        <v>0</v>
      </c>
      <c r="AP13" s="172">
        <f t="shared" si="17"/>
        <v>0.89301662118580993</v>
      </c>
      <c r="AQ13" s="182">
        <f t="shared" si="18"/>
        <v>4.3723641776234182E-2</v>
      </c>
    </row>
    <row r="14" spans="1:43" ht="20.100000000000001" customHeight="1">
      <c r="A14" s="159">
        <f>'2025 Model Assumptions'!A33</f>
        <v>45901</v>
      </c>
      <c r="B14" s="163">
        <f>'2025 Model Assumptions'!B33</f>
        <v>12580</v>
      </c>
      <c r="C14" s="163">
        <f>ROUND(B14*'2025 Model Assumptions'!C33,0)</f>
        <v>252</v>
      </c>
      <c r="D14" s="163">
        <f t="shared" si="0"/>
        <v>12328</v>
      </c>
      <c r="E14" s="163">
        <f>ROUND(D14*'2025 Model Assumptions'!D33,0)</f>
        <v>49</v>
      </c>
      <c r="F14" s="163">
        <f t="shared" si="1"/>
        <v>12279</v>
      </c>
      <c r="G14" s="163">
        <f>ROUND(F14*'2025 Model Assumptions'!E33,0)</f>
        <v>196</v>
      </c>
      <c r="H14" s="163">
        <f t="shared" si="2"/>
        <v>12083</v>
      </c>
      <c r="I14" s="168">
        <f>'2025 Model Assumptions'!F33</f>
        <v>2.6</v>
      </c>
      <c r="J14" s="163">
        <f t="shared" si="3"/>
        <v>31416</v>
      </c>
      <c r="K14" s="163">
        <f>ROUND(J14*'2025 Model Assumptions'!G33,0)</f>
        <v>28023</v>
      </c>
      <c r="L14" s="163">
        <f>ROUND(J14*'2025 Model Assumptions'!H33,0)</f>
        <v>94</v>
      </c>
      <c r="M14" s="163">
        <f>ROUND(J14*'2025 Model Assumptions'!I33,0)</f>
        <v>1854</v>
      </c>
      <c r="N14" s="163">
        <f>ROUND(J14*'2025 Model Assumptions'!J33,0)</f>
        <v>346</v>
      </c>
      <c r="O14" s="163">
        <f>ROUND(J14*'2025 Model Assumptions'!K33,0)</f>
        <v>157</v>
      </c>
      <c r="P14" s="163">
        <f>ROUND(J14*'2025 Model Assumptions'!L33,0)</f>
        <v>817</v>
      </c>
      <c r="Q14" s="163">
        <f t="shared" si="4"/>
        <v>125</v>
      </c>
      <c r="R14" s="163">
        <f t="shared" si="5"/>
        <v>28117</v>
      </c>
      <c r="S14" s="163">
        <f>ROUND(M14*'2025 Model Assumptions'!$B$6,0)</f>
        <v>779</v>
      </c>
      <c r="T14" s="163">
        <f>ROUND(M14*'2025 Model Assumptions'!$B$7,0)</f>
        <v>426</v>
      </c>
      <c r="U14" s="163">
        <f>ROUND(M14*'2025 Model Assumptions'!$B$8,0)</f>
        <v>278</v>
      </c>
      <c r="V14" s="163">
        <f t="shared" si="6"/>
        <v>371</v>
      </c>
      <c r="W14" s="163">
        <f>ROUND(N14*'2025 Model Assumptions'!$B$10,0)</f>
        <v>121</v>
      </c>
      <c r="X14" s="163">
        <f>ROUND(N14*'2025 Model Assumptions'!$B$11,0)</f>
        <v>87</v>
      </c>
      <c r="Y14" s="163">
        <f t="shared" si="7"/>
        <v>138</v>
      </c>
      <c r="Z14" s="163">
        <f>ROUND(O14*'2025 Model Assumptions'!$B$13,0)</f>
        <v>71</v>
      </c>
      <c r="AA14" s="163">
        <f t="shared" si="8"/>
        <v>86</v>
      </c>
      <c r="AB14" s="163">
        <f t="shared" si="9"/>
        <v>971</v>
      </c>
      <c r="AC14" s="163">
        <f t="shared" si="10"/>
        <v>426</v>
      </c>
      <c r="AD14" s="163">
        <f t="shared" si="11"/>
        <v>451</v>
      </c>
      <c r="AE14" s="163">
        <f>ROUND(AB14*'2025 Model Assumptions'!$B$15,0)</f>
        <v>796</v>
      </c>
      <c r="AF14" s="163">
        <f>ROUND(AC14*'2025 Model Assumptions'!$B$16,0)</f>
        <v>341</v>
      </c>
      <c r="AG14" s="163">
        <f>ROUND(AD14*'2025 Model Assumptions'!$B$17,0)</f>
        <v>397</v>
      </c>
      <c r="AH14" s="163">
        <f>ROUND(S14*'2025 Model Assumptions'!$B$15*'2025 Model Assumptions'!$B$18+T14*'2025 Model Assumptions'!$B$16*'2025 Model Assumptions'!$B$18+U14*'2025 Model Assumptions'!$B$17*'2025 Model Assumptions'!$B$18,0)</f>
        <v>1139</v>
      </c>
      <c r="AI14" s="163">
        <f>ROUND(W14*'2025 Model Assumptions'!$B$15*'2025 Model Assumptions'!$B$19+X14*'2025 Model Assumptions'!$B$17*'2025 Model Assumptions'!$B$19,0)</f>
        <v>165</v>
      </c>
      <c r="AJ14" s="163">
        <f>ROUND(Z14*'2025 Model Assumptions'!$B$20+AA14*'2025 Model Assumptions'!$B$21,0)</f>
        <v>43</v>
      </c>
      <c r="AK14" s="163">
        <f t="shared" si="12"/>
        <v>1347</v>
      </c>
      <c r="AL14" s="163">
        <f t="shared" si="13"/>
        <v>29464</v>
      </c>
      <c r="AM14" s="163">
        <f t="shared" si="14"/>
        <v>1010</v>
      </c>
      <c r="AN14" s="173">
        <f t="shared" si="15"/>
        <v>0.93786605551311431</v>
      </c>
      <c r="AO14" s="178">
        <f t="shared" si="16"/>
        <v>0</v>
      </c>
      <c r="AP14" s="173">
        <f t="shared" si="17"/>
        <v>0.89498981410746115</v>
      </c>
      <c r="AQ14" s="183">
        <f t="shared" si="18"/>
        <v>4.2876241405653173E-2</v>
      </c>
    </row>
    <row r="15" spans="1:43" ht="20.100000000000001" customHeight="1">
      <c r="A15" s="158">
        <f>'2025 Model Assumptions'!A34</f>
        <v>45931</v>
      </c>
      <c r="B15" s="162">
        <f>'2025 Model Assumptions'!B34</f>
        <v>13120</v>
      </c>
      <c r="C15" s="162">
        <f>ROUND(B15*'2025 Model Assumptions'!C34,0)</f>
        <v>249</v>
      </c>
      <c r="D15" s="162">
        <f t="shared" si="0"/>
        <v>12871</v>
      </c>
      <c r="E15" s="162">
        <f>ROUND(D15*'2025 Model Assumptions'!D34,0)</f>
        <v>51</v>
      </c>
      <c r="F15" s="162">
        <f t="shared" si="1"/>
        <v>12820</v>
      </c>
      <c r="G15" s="162">
        <f>ROUND(F15*'2025 Model Assumptions'!E34,0)</f>
        <v>192</v>
      </c>
      <c r="H15" s="162">
        <f t="shared" si="2"/>
        <v>12628</v>
      </c>
      <c r="I15" s="167">
        <f>'2025 Model Assumptions'!F34</f>
        <v>2.61</v>
      </c>
      <c r="J15" s="162">
        <f t="shared" si="3"/>
        <v>32959</v>
      </c>
      <c r="K15" s="162">
        <f>ROUND(J15*'2025 Model Assumptions'!G34,0)</f>
        <v>29498</v>
      </c>
      <c r="L15" s="162">
        <f>ROUND(J15*'2025 Model Assumptions'!H34,0)</f>
        <v>99</v>
      </c>
      <c r="M15" s="162">
        <f>ROUND(J15*'2025 Model Assumptions'!I34,0)</f>
        <v>1879</v>
      </c>
      <c r="N15" s="162">
        <f>ROUND(J15*'2025 Model Assumptions'!J34,0)</f>
        <v>330</v>
      </c>
      <c r="O15" s="162">
        <f>ROUND(J15*'2025 Model Assumptions'!K34,0)</f>
        <v>165</v>
      </c>
      <c r="P15" s="162">
        <f>ROUND(J15*'2025 Model Assumptions'!L34,0)</f>
        <v>857</v>
      </c>
      <c r="Q15" s="162">
        <f t="shared" si="4"/>
        <v>131</v>
      </c>
      <c r="R15" s="162">
        <f t="shared" si="5"/>
        <v>29597</v>
      </c>
      <c r="S15" s="162">
        <f>ROUND(M15*'2025 Model Assumptions'!$B$6,0)</f>
        <v>789</v>
      </c>
      <c r="T15" s="162">
        <f>ROUND(M15*'2025 Model Assumptions'!$B$7,0)</f>
        <v>432</v>
      </c>
      <c r="U15" s="162">
        <f>ROUND(M15*'2025 Model Assumptions'!$B$8,0)</f>
        <v>282</v>
      </c>
      <c r="V15" s="162">
        <f t="shared" si="6"/>
        <v>376</v>
      </c>
      <c r="W15" s="162">
        <f>ROUND(N15*'2025 Model Assumptions'!$B$10,0)</f>
        <v>116</v>
      </c>
      <c r="X15" s="162">
        <f>ROUND(N15*'2025 Model Assumptions'!$B$11,0)</f>
        <v>83</v>
      </c>
      <c r="Y15" s="162">
        <f t="shared" si="7"/>
        <v>131</v>
      </c>
      <c r="Z15" s="162">
        <f>ROUND(O15*'2025 Model Assumptions'!$B$13,0)</f>
        <v>74</v>
      </c>
      <c r="AA15" s="162">
        <f t="shared" si="8"/>
        <v>91</v>
      </c>
      <c r="AB15" s="162">
        <f t="shared" si="9"/>
        <v>979</v>
      </c>
      <c r="AC15" s="162">
        <f t="shared" si="10"/>
        <v>432</v>
      </c>
      <c r="AD15" s="162">
        <f t="shared" si="11"/>
        <v>456</v>
      </c>
      <c r="AE15" s="162">
        <f>ROUND(AB15*'2025 Model Assumptions'!$B$15,0)</f>
        <v>803</v>
      </c>
      <c r="AF15" s="162">
        <f>ROUND(AC15*'2025 Model Assumptions'!$B$16,0)</f>
        <v>346</v>
      </c>
      <c r="AG15" s="162">
        <f>ROUND(AD15*'2025 Model Assumptions'!$B$17,0)</f>
        <v>401</v>
      </c>
      <c r="AH15" s="162">
        <f>ROUND(S15*'2025 Model Assumptions'!$B$15*'2025 Model Assumptions'!$B$18+T15*'2025 Model Assumptions'!$B$16*'2025 Model Assumptions'!$B$18+U15*'2025 Model Assumptions'!$B$17*'2025 Model Assumptions'!$B$18,0)</f>
        <v>1154</v>
      </c>
      <c r="AI15" s="162">
        <f>ROUND(W15*'2025 Model Assumptions'!$B$15*'2025 Model Assumptions'!$B$19+X15*'2025 Model Assumptions'!$B$17*'2025 Model Assumptions'!$B$19,0)</f>
        <v>158</v>
      </c>
      <c r="AJ15" s="162">
        <f>ROUND(Z15*'2025 Model Assumptions'!$B$20+AA15*'2025 Model Assumptions'!$B$21,0)</f>
        <v>45</v>
      </c>
      <c r="AK15" s="162">
        <f t="shared" si="12"/>
        <v>1357</v>
      </c>
      <c r="AL15" s="162">
        <f t="shared" si="13"/>
        <v>30954</v>
      </c>
      <c r="AM15" s="162">
        <f t="shared" si="14"/>
        <v>1017</v>
      </c>
      <c r="AN15" s="172">
        <f t="shared" si="15"/>
        <v>0.93916684365423708</v>
      </c>
      <c r="AO15" s="177">
        <f t="shared" si="16"/>
        <v>0</v>
      </c>
      <c r="AP15" s="172">
        <f t="shared" si="17"/>
        <v>0.89799447798780307</v>
      </c>
      <c r="AQ15" s="182">
        <f t="shared" si="18"/>
        <v>4.1172365666434056E-2</v>
      </c>
    </row>
    <row r="16" spans="1:43" ht="20.100000000000001" customHeight="1">
      <c r="A16" s="159">
        <f>'2025 Model Assumptions'!A35</f>
        <v>45962</v>
      </c>
      <c r="B16" s="163">
        <f>'2025 Model Assumptions'!B35</f>
        <v>12460</v>
      </c>
      <c r="C16" s="163">
        <f>ROUND(B16*'2025 Model Assumptions'!C35,0)</f>
        <v>224</v>
      </c>
      <c r="D16" s="163">
        <f t="shared" si="0"/>
        <v>12236</v>
      </c>
      <c r="E16" s="163">
        <f>ROUND(D16*'2025 Model Assumptions'!D35,0)</f>
        <v>49</v>
      </c>
      <c r="F16" s="163">
        <f t="shared" si="1"/>
        <v>12187</v>
      </c>
      <c r="G16" s="163">
        <f>ROUND(F16*'2025 Model Assumptions'!E35,0)</f>
        <v>183</v>
      </c>
      <c r="H16" s="163">
        <f t="shared" si="2"/>
        <v>12004</v>
      </c>
      <c r="I16" s="168">
        <f>'2025 Model Assumptions'!F35</f>
        <v>2.62</v>
      </c>
      <c r="J16" s="163">
        <f t="shared" si="3"/>
        <v>31450</v>
      </c>
      <c r="K16" s="163">
        <f>ROUND(J16*'2025 Model Assumptions'!G35,0)</f>
        <v>28242</v>
      </c>
      <c r="L16" s="163">
        <f>ROUND(J16*'2025 Model Assumptions'!H35,0)</f>
        <v>94</v>
      </c>
      <c r="M16" s="163">
        <f>ROUND(J16*'2025 Model Assumptions'!I35,0)</f>
        <v>1730</v>
      </c>
      <c r="N16" s="163">
        <f>ROUND(J16*'2025 Model Assumptions'!J35,0)</f>
        <v>315</v>
      </c>
      <c r="O16" s="163">
        <f>ROUND(J16*'2025 Model Assumptions'!K35,0)</f>
        <v>126</v>
      </c>
      <c r="P16" s="163">
        <f>ROUND(J16*'2025 Model Assumptions'!L35,0)</f>
        <v>818</v>
      </c>
      <c r="Q16" s="163">
        <f t="shared" si="4"/>
        <v>125</v>
      </c>
      <c r="R16" s="163">
        <f t="shared" si="5"/>
        <v>28336</v>
      </c>
      <c r="S16" s="163">
        <f>ROUND(M16*'2025 Model Assumptions'!$B$6,0)</f>
        <v>727</v>
      </c>
      <c r="T16" s="163">
        <f>ROUND(M16*'2025 Model Assumptions'!$B$7,0)</f>
        <v>398</v>
      </c>
      <c r="U16" s="163">
        <f>ROUND(M16*'2025 Model Assumptions'!$B$8,0)</f>
        <v>260</v>
      </c>
      <c r="V16" s="163">
        <f t="shared" si="6"/>
        <v>345</v>
      </c>
      <c r="W16" s="163">
        <f>ROUND(N16*'2025 Model Assumptions'!$B$10,0)</f>
        <v>110</v>
      </c>
      <c r="X16" s="163">
        <f>ROUND(N16*'2025 Model Assumptions'!$B$11,0)</f>
        <v>79</v>
      </c>
      <c r="Y16" s="163">
        <f t="shared" si="7"/>
        <v>126</v>
      </c>
      <c r="Z16" s="163">
        <f>ROUND(O16*'2025 Model Assumptions'!$B$13,0)</f>
        <v>57</v>
      </c>
      <c r="AA16" s="163">
        <f t="shared" si="8"/>
        <v>69</v>
      </c>
      <c r="AB16" s="163">
        <f t="shared" si="9"/>
        <v>894</v>
      </c>
      <c r="AC16" s="163">
        <f t="shared" si="10"/>
        <v>398</v>
      </c>
      <c r="AD16" s="163">
        <f t="shared" si="11"/>
        <v>408</v>
      </c>
      <c r="AE16" s="163">
        <f>ROUND(AB16*'2025 Model Assumptions'!$B$15,0)</f>
        <v>733</v>
      </c>
      <c r="AF16" s="163">
        <f>ROUND(AC16*'2025 Model Assumptions'!$B$16,0)</f>
        <v>318</v>
      </c>
      <c r="AG16" s="163">
        <f>ROUND(AD16*'2025 Model Assumptions'!$B$17,0)</f>
        <v>359</v>
      </c>
      <c r="AH16" s="163">
        <f>ROUND(S16*'2025 Model Assumptions'!$B$15*'2025 Model Assumptions'!$B$18+T16*'2025 Model Assumptions'!$B$16*'2025 Model Assumptions'!$B$18+U16*'2025 Model Assumptions'!$B$17*'2025 Model Assumptions'!$B$18,0)</f>
        <v>1063</v>
      </c>
      <c r="AI16" s="163">
        <f>ROUND(W16*'2025 Model Assumptions'!$B$15*'2025 Model Assumptions'!$B$19+X16*'2025 Model Assumptions'!$B$17*'2025 Model Assumptions'!$B$19,0)</f>
        <v>150</v>
      </c>
      <c r="AJ16" s="163">
        <f>ROUND(Z16*'2025 Model Assumptions'!$B$20+AA16*'2025 Model Assumptions'!$B$21,0)</f>
        <v>34</v>
      </c>
      <c r="AK16" s="163">
        <f t="shared" si="12"/>
        <v>1247</v>
      </c>
      <c r="AL16" s="163">
        <f t="shared" si="13"/>
        <v>29583</v>
      </c>
      <c r="AM16" s="163">
        <f t="shared" si="14"/>
        <v>924</v>
      </c>
      <c r="AN16" s="173">
        <f t="shared" si="15"/>
        <v>0.94063593004769475</v>
      </c>
      <c r="AO16" s="178">
        <f t="shared" si="16"/>
        <v>0</v>
      </c>
      <c r="AP16" s="173">
        <f t="shared" si="17"/>
        <v>0.90098569157392683</v>
      </c>
      <c r="AQ16" s="183">
        <f t="shared" si="18"/>
        <v>3.9650238473767883E-2</v>
      </c>
    </row>
    <row r="17" spans="1:43" ht="20.100000000000001" customHeight="1">
      <c r="A17" s="160">
        <f>'2025 Model Assumptions'!A36</f>
        <v>45992</v>
      </c>
      <c r="B17" s="164">
        <f>'2025 Model Assumptions'!B36</f>
        <v>11980</v>
      </c>
      <c r="C17" s="164">
        <f>ROUND(B17*'2025 Model Assumptions'!C36,0)</f>
        <v>216</v>
      </c>
      <c r="D17" s="164">
        <f t="shared" si="0"/>
        <v>11764</v>
      </c>
      <c r="E17" s="164">
        <f>ROUND(D17*'2025 Model Assumptions'!D36,0)</f>
        <v>47</v>
      </c>
      <c r="F17" s="164">
        <f t="shared" si="1"/>
        <v>11717</v>
      </c>
      <c r="G17" s="164">
        <f>ROUND(F17*'2025 Model Assumptions'!E36,0)</f>
        <v>164</v>
      </c>
      <c r="H17" s="164">
        <f t="shared" si="2"/>
        <v>11553</v>
      </c>
      <c r="I17" s="169">
        <f>'2025 Model Assumptions'!F36</f>
        <v>2.62</v>
      </c>
      <c r="J17" s="164">
        <f t="shared" si="3"/>
        <v>30269</v>
      </c>
      <c r="K17" s="164">
        <f>ROUND(J17*'2025 Model Assumptions'!G36,0)</f>
        <v>27242</v>
      </c>
      <c r="L17" s="164">
        <f>ROUND(J17*'2025 Model Assumptions'!H36,0)</f>
        <v>91</v>
      </c>
      <c r="M17" s="164">
        <f>ROUND(J17*'2025 Model Assumptions'!I36,0)</f>
        <v>1604</v>
      </c>
      <c r="N17" s="164">
        <f>ROUND(J17*'2025 Model Assumptions'!J36,0)</f>
        <v>272</v>
      </c>
      <c r="O17" s="164">
        <f>ROUND(J17*'2025 Model Assumptions'!K36,0)</f>
        <v>121</v>
      </c>
      <c r="P17" s="164">
        <f>ROUND(J17*'2025 Model Assumptions'!L36,0)</f>
        <v>817</v>
      </c>
      <c r="Q17" s="164">
        <f t="shared" si="4"/>
        <v>122</v>
      </c>
      <c r="R17" s="164">
        <f t="shared" si="5"/>
        <v>27333</v>
      </c>
      <c r="S17" s="164">
        <f>ROUND(M17*'2025 Model Assumptions'!$B$6,0)</f>
        <v>674</v>
      </c>
      <c r="T17" s="164">
        <f>ROUND(M17*'2025 Model Assumptions'!$B$7,0)</f>
        <v>369</v>
      </c>
      <c r="U17" s="164">
        <f>ROUND(M17*'2025 Model Assumptions'!$B$8,0)</f>
        <v>241</v>
      </c>
      <c r="V17" s="164">
        <f t="shared" si="6"/>
        <v>320</v>
      </c>
      <c r="W17" s="164">
        <f>ROUND(N17*'2025 Model Assumptions'!$B$10,0)</f>
        <v>95</v>
      </c>
      <c r="X17" s="164">
        <f>ROUND(N17*'2025 Model Assumptions'!$B$11,0)</f>
        <v>68</v>
      </c>
      <c r="Y17" s="164">
        <f t="shared" si="7"/>
        <v>109</v>
      </c>
      <c r="Z17" s="164">
        <f>ROUND(O17*'2025 Model Assumptions'!$B$13,0)</f>
        <v>54</v>
      </c>
      <c r="AA17" s="164">
        <f t="shared" si="8"/>
        <v>67</v>
      </c>
      <c r="AB17" s="164">
        <f t="shared" si="9"/>
        <v>823</v>
      </c>
      <c r="AC17" s="164">
        <f t="shared" si="10"/>
        <v>369</v>
      </c>
      <c r="AD17" s="164">
        <f t="shared" si="11"/>
        <v>376</v>
      </c>
      <c r="AE17" s="164">
        <f>ROUND(AB17*'2025 Model Assumptions'!$B$15,0)</f>
        <v>675</v>
      </c>
      <c r="AF17" s="164">
        <f>ROUND(AC17*'2025 Model Assumptions'!$B$16,0)</f>
        <v>295</v>
      </c>
      <c r="AG17" s="164">
        <f>ROUND(AD17*'2025 Model Assumptions'!$B$17,0)</f>
        <v>331</v>
      </c>
      <c r="AH17" s="164">
        <f>ROUND(S17*'2025 Model Assumptions'!$B$15*'2025 Model Assumptions'!$B$18+T17*'2025 Model Assumptions'!$B$16*'2025 Model Assumptions'!$B$18+U17*'2025 Model Assumptions'!$B$17*'2025 Model Assumptions'!$B$18,0)</f>
        <v>986</v>
      </c>
      <c r="AI17" s="164">
        <f>ROUND(W17*'2025 Model Assumptions'!$B$15*'2025 Model Assumptions'!$B$19+X17*'2025 Model Assumptions'!$B$17*'2025 Model Assumptions'!$B$19,0)</f>
        <v>129</v>
      </c>
      <c r="AJ17" s="164">
        <f>ROUND(Z17*'2025 Model Assumptions'!$B$20+AA17*'2025 Model Assumptions'!$B$21,0)</f>
        <v>33</v>
      </c>
      <c r="AK17" s="164">
        <f t="shared" si="12"/>
        <v>1148</v>
      </c>
      <c r="AL17" s="164">
        <f t="shared" si="13"/>
        <v>28481</v>
      </c>
      <c r="AM17" s="164">
        <f t="shared" si="14"/>
        <v>849</v>
      </c>
      <c r="AN17" s="174">
        <f t="shared" si="15"/>
        <v>0.9409296640126863</v>
      </c>
      <c r="AO17" s="179">
        <f t="shared" si="16"/>
        <v>0</v>
      </c>
      <c r="AP17" s="174">
        <f t="shared" si="17"/>
        <v>0.90300307245036171</v>
      </c>
      <c r="AQ17" s="184">
        <f t="shared" si="18"/>
        <v>3.7926591562324488E-2</v>
      </c>
    </row>
    <row r="18" spans="1:43" ht="22.7" customHeight="1">
      <c r="A18" s="156" t="s">
        <v>584</v>
      </c>
      <c r="B18" s="165">
        <f t="shared" ref="B18:H18" si="19">SUM(B6:B17)</f>
        <v>149000</v>
      </c>
      <c r="C18" s="165">
        <f t="shared" si="19"/>
        <v>3393</v>
      </c>
      <c r="D18" s="165">
        <f t="shared" si="19"/>
        <v>145607</v>
      </c>
      <c r="E18" s="165">
        <f t="shared" si="19"/>
        <v>747</v>
      </c>
      <c r="F18" s="165">
        <f t="shared" si="19"/>
        <v>144860</v>
      </c>
      <c r="G18" s="165">
        <f t="shared" si="19"/>
        <v>2478</v>
      </c>
      <c r="H18" s="165">
        <f t="shared" si="19"/>
        <v>142382</v>
      </c>
      <c r="I18" s="170">
        <f>J18/H18</f>
        <v>2.5808388700818923</v>
      </c>
      <c r="J18" s="165">
        <f t="shared" ref="J18:AM18" si="20">SUM(J6:J17)</f>
        <v>367465</v>
      </c>
      <c r="K18" s="165">
        <f t="shared" si="20"/>
        <v>326103</v>
      </c>
      <c r="L18" s="165">
        <f t="shared" si="20"/>
        <v>1102</v>
      </c>
      <c r="M18" s="165">
        <f t="shared" si="20"/>
        <v>23185</v>
      </c>
      <c r="N18" s="165">
        <f t="shared" si="20"/>
        <v>4416</v>
      </c>
      <c r="O18" s="165">
        <f t="shared" si="20"/>
        <v>2277</v>
      </c>
      <c r="P18" s="165">
        <f t="shared" si="20"/>
        <v>8912</v>
      </c>
      <c r="Q18" s="165">
        <f t="shared" si="20"/>
        <v>1470</v>
      </c>
      <c r="R18" s="165">
        <f t="shared" si="20"/>
        <v>327205</v>
      </c>
      <c r="S18" s="165">
        <f t="shared" si="20"/>
        <v>9739</v>
      </c>
      <c r="T18" s="165">
        <f t="shared" si="20"/>
        <v>5332</v>
      </c>
      <c r="U18" s="165">
        <f t="shared" si="20"/>
        <v>3479</v>
      </c>
      <c r="V18" s="165">
        <f t="shared" si="20"/>
        <v>4635</v>
      </c>
      <c r="W18" s="165">
        <f t="shared" si="20"/>
        <v>1544</v>
      </c>
      <c r="X18" s="165">
        <f t="shared" si="20"/>
        <v>1107</v>
      </c>
      <c r="Y18" s="165">
        <f t="shared" si="20"/>
        <v>1765</v>
      </c>
      <c r="Z18" s="165">
        <f t="shared" si="20"/>
        <v>1025</v>
      </c>
      <c r="AA18" s="165">
        <f t="shared" si="20"/>
        <v>1252</v>
      </c>
      <c r="AB18" s="165">
        <f t="shared" si="20"/>
        <v>12308</v>
      </c>
      <c r="AC18" s="165">
        <f t="shared" si="20"/>
        <v>5332</v>
      </c>
      <c r="AD18" s="165">
        <f t="shared" si="20"/>
        <v>5838</v>
      </c>
      <c r="AE18" s="165">
        <f t="shared" si="20"/>
        <v>10093</v>
      </c>
      <c r="AF18" s="165">
        <f t="shared" si="20"/>
        <v>4265</v>
      </c>
      <c r="AG18" s="165">
        <f t="shared" si="20"/>
        <v>5139</v>
      </c>
      <c r="AH18" s="165">
        <f t="shared" si="20"/>
        <v>14240</v>
      </c>
      <c r="AI18" s="165">
        <f t="shared" si="20"/>
        <v>2105</v>
      </c>
      <c r="AJ18" s="165">
        <f t="shared" si="20"/>
        <v>624</v>
      </c>
      <c r="AK18" s="165">
        <f t="shared" si="20"/>
        <v>16969</v>
      </c>
      <c r="AL18" s="165">
        <f t="shared" si="20"/>
        <v>344174</v>
      </c>
      <c r="AM18" s="165">
        <f t="shared" si="20"/>
        <v>12909</v>
      </c>
      <c r="AN18" s="175">
        <f t="shared" si="15"/>
        <v>0.93661709278434679</v>
      </c>
      <c r="AO18" s="180">
        <f t="shared" si="16"/>
        <v>0</v>
      </c>
      <c r="AP18" s="175">
        <f t="shared" si="17"/>
        <v>0.89043854516756693</v>
      </c>
      <c r="AQ18" s="175">
        <f t="shared" si="18"/>
        <v>4.6178547616779829E-2</v>
      </c>
    </row>
    <row r="19" spans="1:43" ht="15" thickBot="1"/>
    <row r="20" spans="1:43" ht="15">
      <c r="A20" s="241" t="s">
        <v>712</v>
      </c>
      <c r="B20" s="242" t="s">
        <v>704</v>
      </c>
      <c r="C20" s="243"/>
      <c r="D20" s="244" t="s">
        <v>705</v>
      </c>
      <c r="E20" s="245"/>
      <c r="F20" s="244" t="s">
        <v>708</v>
      </c>
      <c r="G20" s="245"/>
    </row>
    <row r="21" spans="1:43" ht="34.5" thickBot="1">
      <c r="A21" s="227" t="s">
        <v>524</v>
      </c>
      <c r="B21" s="232" t="s">
        <v>549</v>
      </c>
      <c r="C21" s="233" t="s">
        <v>703</v>
      </c>
      <c r="D21" s="229" t="s">
        <v>707</v>
      </c>
      <c r="E21" s="230" t="s">
        <v>706</v>
      </c>
      <c r="F21" s="238" t="s">
        <v>709</v>
      </c>
      <c r="G21" s="230" t="s">
        <v>710</v>
      </c>
    </row>
    <row r="22" spans="1:43" ht="15.75" thickTop="1" thickBot="1">
      <c r="A22" s="228" t="s">
        <v>584</v>
      </c>
      <c r="B22" s="231">
        <f>B18</f>
        <v>149000</v>
      </c>
      <c r="C22" s="234">
        <f>H18</f>
        <v>142382</v>
      </c>
      <c r="D22" s="235"/>
      <c r="E22" s="237">
        <v>367465</v>
      </c>
      <c r="F22" s="239"/>
      <c r="G22" s="240">
        <v>367465</v>
      </c>
    </row>
    <row r="23" spans="1:43">
      <c r="C23" s="236">
        <f>C22/B22</f>
        <v>0.95558389261744969</v>
      </c>
    </row>
  </sheetData>
  <mergeCells count="13">
    <mergeCell ref="B20:C20"/>
    <mergeCell ref="D20:E20"/>
    <mergeCell ref="F20:G20"/>
    <mergeCell ref="A1:AQ1"/>
    <mergeCell ref="A2:AQ2"/>
    <mergeCell ref="A4:B4"/>
    <mergeCell ref="C4:F4"/>
    <mergeCell ref="G4:H4"/>
    <mergeCell ref="I4:R4"/>
    <mergeCell ref="S4:AA4"/>
    <mergeCell ref="AB4:AG4"/>
    <mergeCell ref="AH4:AM4"/>
    <mergeCell ref="AN4:AQ4"/>
  </mergeCells>
  <conditionalFormatting sqref="AN6:AN18">
    <cfRule type="colorScale" priority="2">
      <colorScale>
        <cfvo type="min"/>
        <cfvo type="percentile" val="50"/>
        <cfvo type="max"/>
        <color rgb="FFFCE8E6"/>
        <color rgb="FFFFF3DD"/>
        <color rgb="FFEAF4F1"/>
      </colorScale>
    </cfRule>
  </conditionalFormatting>
  <conditionalFormatting sqref="AO6:AO18">
    <cfRule type="expression" dxfId="1" priority="1">
      <formula>AO6&lt;&gt;0</formula>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N41"/>
  <sheetViews>
    <sheetView topLeftCell="A11" workbookViewId="0">
      <selection activeCell="F25" sqref="F25"/>
    </sheetView>
  </sheetViews>
  <sheetFormatPr defaultRowHeight="14.25"/>
  <cols>
    <col min="1" max="1" width="27" customWidth="1"/>
    <col min="2" max="2" width="15" customWidth="1"/>
    <col min="3" max="3" width="17" customWidth="1"/>
    <col min="4" max="4" width="38" customWidth="1"/>
    <col min="5" max="5" width="16" customWidth="1"/>
    <col min="6" max="6" width="20" customWidth="1"/>
    <col min="7" max="13" width="13" customWidth="1"/>
    <col min="14" max="14" width="16" customWidth="1"/>
  </cols>
  <sheetData>
    <row r="1" spans="1:14" ht="22.7" customHeight="1">
      <c r="A1" s="246" t="s">
        <v>477</v>
      </c>
      <c r="B1" s="246"/>
      <c r="C1" s="246"/>
      <c r="D1" s="246"/>
      <c r="E1" s="246"/>
      <c r="F1" s="246"/>
      <c r="G1" s="246"/>
      <c r="H1" s="246"/>
      <c r="I1" s="246"/>
      <c r="J1" s="246"/>
      <c r="K1" s="246"/>
      <c r="L1" s="246"/>
      <c r="M1" s="246"/>
      <c r="N1" s="246"/>
    </row>
    <row r="2" spans="1:14" ht="18.600000000000001" customHeight="1">
      <c r="A2" s="247" t="s">
        <v>478</v>
      </c>
      <c r="B2" s="247"/>
      <c r="C2" s="247"/>
      <c r="D2" s="247"/>
      <c r="E2" s="247"/>
      <c r="F2" s="247"/>
      <c r="G2" s="247"/>
      <c r="H2" s="247"/>
      <c r="I2" s="247"/>
      <c r="J2" s="247"/>
      <c r="K2" s="247"/>
      <c r="L2" s="247"/>
      <c r="M2" s="247"/>
      <c r="N2" s="247"/>
    </row>
    <row r="4" spans="1:14" ht="16.7" customHeight="1">
      <c r="A4" s="325" t="s">
        <v>479</v>
      </c>
      <c r="B4" s="325"/>
      <c r="C4" s="325"/>
      <c r="D4" s="325"/>
    </row>
    <row r="5" spans="1:14" ht="22.7" customHeight="1">
      <c r="A5" s="115" t="s">
        <v>480</v>
      </c>
      <c r="B5" s="115" t="s">
        <v>481</v>
      </c>
      <c r="C5" s="115" t="s">
        <v>482</v>
      </c>
      <c r="D5" s="115" t="s">
        <v>483</v>
      </c>
    </row>
    <row r="6" spans="1:14" ht="24">
      <c r="A6" s="124" t="s">
        <v>484</v>
      </c>
      <c r="B6" s="130">
        <v>0.42</v>
      </c>
      <c r="C6" s="125" t="s">
        <v>485</v>
      </c>
      <c r="D6" s="126" t="s">
        <v>486</v>
      </c>
    </row>
    <row r="7" spans="1:14" ht="24">
      <c r="A7" s="119" t="s">
        <v>487</v>
      </c>
      <c r="B7" s="131">
        <v>0.23</v>
      </c>
      <c r="C7" s="8" t="s">
        <v>485</v>
      </c>
      <c r="D7" s="120" t="s">
        <v>488</v>
      </c>
    </row>
    <row r="8" spans="1:14" ht="24">
      <c r="A8" s="127" t="s">
        <v>489</v>
      </c>
      <c r="B8" s="132">
        <v>0.15</v>
      </c>
      <c r="C8" s="128" t="s">
        <v>485</v>
      </c>
      <c r="D8" s="129" t="s">
        <v>490</v>
      </c>
    </row>
    <row r="9" spans="1:14" ht="24">
      <c r="A9" s="119" t="s">
        <v>491</v>
      </c>
      <c r="B9" s="131">
        <f>1-SUM(B6:B8)</f>
        <v>0.19999999999999996</v>
      </c>
      <c r="C9" s="8" t="s">
        <v>485</v>
      </c>
      <c r="D9" s="120" t="s">
        <v>492</v>
      </c>
    </row>
    <row r="10" spans="1:14" ht="24">
      <c r="A10" s="127" t="s">
        <v>493</v>
      </c>
      <c r="B10" s="132">
        <v>0.35</v>
      </c>
      <c r="C10" s="128" t="s">
        <v>494</v>
      </c>
      <c r="D10" s="129" t="s">
        <v>495</v>
      </c>
    </row>
    <row r="11" spans="1:14" ht="24">
      <c r="A11" s="119" t="s">
        <v>496</v>
      </c>
      <c r="B11" s="131">
        <v>0.25</v>
      </c>
      <c r="C11" s="8" t="s">
        <v>494</v>
      </c>
      <c r="D11" s="120" t="s">
        <v>497</v>
      </c>
    </row>
    <row r="12" spans="1:14" ht="24">
      <c r="A12" s="127" t="s">
        <v>498</v>
      </c>
      <c r="B12" s="132">
        <f>1-SUM(B10:B11)</f>
        <v>0.4</v>
      </c>
      <c r="C12" s="128" t="s">
        <v>494</v>
      </c>
      <c r="D12" s="129" t="s">
        <v>499</v>
      </c>
    </row>
    <row r="13" spans="1:14" ht="24">
      <c r="A13" s="119" t="s">
        <v>500</v>
      </c>
      <c r="B13" s="131">
        <v>0.45</v>
      </c>
      <c r="C13" s="8" t="s">
        <v>501</v>
      </c>
      <c r="D13" s="120" t="s">
        <v>502</v>
      </c>
    </row>
    <row r="14" spans="1:14" ht="24">
      <c r="A14" s="127" t="s">
        <v>503</v>
      </c>
      <c r="B14" s="132">
        <f>1-B13</f>
        <v>0.55000000000000004</v>
      </c>
      <c r="C14" s="128" t="s">
        <v>501</v>
      </c>
      <c r="D14" s="129" t="s">
        <v>504</v>
      </c>
    </row>
    <row r="15" spans="1:14" ht="24">
      <c r="A15" s="119" t="s">
        <v>505</v>
      </c>
      <c r="B15" s="131">
        <v>0.82</v>
      </c>
      <c r="C15" s="8" t="s">
        <v>506</v>
      </c>
      <c r="D15" s="120" t="s">
        <v>507</v>
      </c>
    </row>
    <row r="16" spans="1:14" ht="24">
      <c r="A16" s="127" t="s">
        <v>508</v>
      </c>
      <c r="B16" s="132">
        <v>0.8</v>
      </c>
      <c r="C16" s="128" t="s">
        <v>506</v>
      </c>
      <c r="D16" s="129" t="s">
        <v>509</v>
      </c>
    </row>
    <row r="17" spans="1:14" ht="24">
      <c r="A17" s="119" t="s">
        <v>510</v>
      </c>
      <c r="B17" s="131">
        <v>0.88</v>
      </c>
      <c r="C17" s="8" t="s">
        <v>506</v>
      </c>
      <c r="D17" s="120" t="s">
        <v>511</v>
      </c>
    </row>
    <row r="18" spans="1:14" ht="24">
      <c r="A18" s="127" t="s">
        <v>512</v>
      </c>
      <c r="B18" s="132">
        <v>0.93</v>
      </c>
      <c r="C18" s="128" t="s">
        <v>513</v>
      </c>
      <c r="D18" s="129" t="s">
        <v>514</v>
      </c>
    </row>
    <row r="19" spans="1:14" ht="24">
      <c r="A19" s="119" t="s">
        <v>515</v>
      </c>
      <c r="B19" s="131">
        <v>0.94</v>
      </c>
      <c r="C19" s="8" t="s">
        <v>516</v>
      </c>
      <c r="D19" s="120" t="s">
        <v>517</v>
      </c>
    </row>
    <row r="20" spans="1:14" ht="24">
      <c r="A20" s="127" t="s">
        <v>518</v>
      </c>
      <c r="B20" s="132">
        <v>0.18</v>
      </c>
      <c r="C20" s="128" t="s">
        <v>519</v>
      </c>
      <c r="D20" s="129" t="s">
        <v>520</v>
      </c>
    </row>
    <row r="21" spans="1:14" ht="24">
      <c r="A21" s="121" t="s">
        <v>521</v>
      </c>
      <c r="B21" s="133">
        <v>0.35</v>
      </c>
      <c r="C21" s="122" t="s">
        <v>519</v>
      </c>
      <c r="D21" s="123" t="s">
        <v>522</v>
      </c>
    </row>
    <row r="23" spans="1:14" ht="16.7" customHeight="1">
      <c r="A23" s="248" t="s">
        <v>523</v>
      </c>
      <c r="B23" s="248"/>
      <c r="C23" s="248"/>
      <c r="D23" s="248"/>
      <c r="E23" s="248"/>
      <c r="F23" s="248"/>
      <c r="G23" s="248"/>
      <c r="H23" s="248"/>
      <c r="I23" s="248"/>
      <c r="J23" s="248"/>
      <c r="K23" s="248"/>
      <c r="L23" s="248"/>
      <c r="M23" s="248"/>
      <c r="N23" s="248"/>
    </row>
    <row r="24" spans="1:14" ht="25.35" customHeight="1">
      <c r="A24" s="134" t="s">
        <v>524</v>
      </c>
      <c r="B24" s="134" t="s">
        <v>525</v>
      </c>
      <c r="C24" s="134" t="s">
        <v>526</v>
      </c>
      <c r="D24" s="134" t="s">
        <v>527</v>
      </c>
      <c r="E24" s="134" t="s">
        <v>528</v>
      </c>
      <c r="F24" s="134" t="s">
        <v>529</v>
      </c>
      <c r="G24" s="134" t="s">
        <v>530</v>
      </c>
      <c r="H24" s="134" t="s">
        <v>531</v>
      </c>
      <c r="I24" s="134" t="s">
        <v>532</v>
      </c>
      <c r="J24" s="134" t="s">
        <v>533</v>
      </c>
      <c r="K24" s="134" t="s">
        <v>534</v>
      </c>
      <c r="L24" s="134" t="s">
        <v>535</v>
      </c>
      <c r="M24" s="134" t="s">
        <v>536</v>
      </c>
      <c r="N24" s="134" t="s">
        <v>537</v>
      </c>
    </row>
    <row r="25" spans="1:14">
      <c r="A25" s="135">
        <v>45658</v>
      </c>
      <c r="B25" s="139">
        <v>11850</v>
      </c>
      <c r="C25" s="143">
        <v>2.9000000000000001E-2</v>
      </c>
      <c r="D25" s="143">
        <v>7.0000000000000001E-3</v>
      </c>
      <c r="E25" s="143">
        <v>2.1000000000000001E-2</v>
      </c>
      <c r="F25" s="147">
        <v>2.52</v>
      </c>
      <c r="G25" s="143">
        <v>0.875</v>
      </c>
      <c r="H25" s="143">
        <v>3.0000000000000001E-3</v>
      </c>
      <c r="I25" s="143">
        <v>7.3999999999999996E-2</v>
      </c>
      <c r="J25" s="143">
        <v>1.4999999999999999E-2</v>
      </c>
      <c r="K25" s="143">
        <v>8.9999999999999993E-3</v>
      </c>
      <c r="L25" s="143">
        <f t="shared" ref="L25:L36" si="0">1-SUM(G25:K25)-M25</f>
        <v>2.0000000000000021E-2</v>
      </c>
      <c r="M25" s="143">
        <v>4.0000000000000001E-3</v>
      </c>
      <c r="N25" s="151">
        <f t="shared" ref="N25:N36" si="1">SUM(G25:M25)</f>
        <v>1</v>
      </c>
    </row>
    <row r="26" spans="1:14">
      <c r="A26" s="136">
        <v>45689</v>
      </c>
      <c r="B26" s="140">
        <v>11420</v>
      </c>
      <c r="C26" s="144">
        <v>2.8000000000000001E-2</v>
      </c>
      <c r="D26" s="144">
        <v>7.0000000000000001E-3</v>
      </c>
      <c r="E26" s="144">
        <v>0.02</v>
      </c>
      <c r="F26" s="148">
        <v>2.54</v>
      </c>
      <c r="G26" s="144">
        <v>0.877</v>
      </c>
      <c r="H26" s="144">
        <v>3.0000000000000001E-3</v>
      </c>
      <c r="I26" s="144">
        <v>7.1999999999999995E-2</v>
      </c>
      <c r="J26" s="144">
        <v>1.4999999999999999E-2</v>
      </c>
      <c r="K26" s="144">
        <v>8.0000000000000002E-3</v>
      </c>
      <c r="L26" s="144">
        <f t="shared" si="0"/>
        <v>2.1000000000000022E-2</v>
      </c>
      <c r="M26" s="144">
        <v>4.0000000000000001E-3</v>
      </c>
      <c r="N26" s="152">
        <f t="shared" si="1"/>
        <v>1</v>
      </c>
    </row>
    <row r="27" spans="1:14">
      <c r="A27" s="137">
        <v>45717</v>
      </c>
      <c r="B27" s="141">
        <v>12260</v>
      </c>
      <c r="C27" s="145">
        <v>2.7E-2</v>
      </c>
      <c r="D27" s="145">
        <v>6.0000000000000001E-3</v>
      </c>
      <c r="E27" s="145">
        <v>1.9E-2</v>
      </c>
      <c r="F27" s="149">
        <v>2.5499999999999998</v>
      </c>
      <c r="G27" s="145">
        <v>0.879</v>
      </c>
      <c r="H27" s="145">
        <v>3.0000000000000001E-3</v>
      </c>
      <c r="I27" s="145">
        <v>7.0000000000000007E-2</v>
      </c>
      <c r="J27" s="145">
        <v>1.4E-2</v>
      </c>
      <c r="K27" s="145">
        <v>8.0000000000000002E-3</v>
      </c>
      <c r="L27" s="145">
        <f t="shared" si="0"/>
        <v>2.2000000000000023E-2</v>
      </c>
      <c r="M27" s="145">
        <v>4.0000000000000001E-3</v>
      </c>
      <c r="N27" s="153">
        <f t="shared" si="1"/>
        <v>1</v>
      </c>
    </row>
    <row r="28" spans="1:14">
      <c r="A28" s="136">
        <v>45748</v>
      </c>
      <c r="B28" s="140">
        <v>12540</v>
      </c>
      <c r="C28" s="144">
        <v>2.5000000000000001E-2</v>
      </c>
      <c r="D28" s="144">
        <v>6.0000000000000001E-3</v>
      </c>
      <c r="E28" s="144">
        <v>1.7999999999999999E-2</v>
      </c>
      <c r="F28" s="148">
        <v>2.56</v>
      </c>
      <c r="G28" s="144">
        <v>0.88200000000000001</v>
      </c>
      <c r="H28" s="144">
        <v>3.0000000000000001E-3</v>
      </c>
      <c r="I28" s="144">
        <v>6.8000000000000005E-2</v>
      </c>
      <c r="J28" s="144">
        <v>1.2999999999999999E-2</v>
      </c>
      <c r="K28" s="144">
        <v>7.0000000000000001E-3</v>
      </c>
      <c r="L28" s="144">
        <f t="shared" si="0"/>
        <v>2.2999999999999913E-2</v>
      </c>
      <c r="M28" s="144">
        <v>4.0000000000000001E-3</v>
      </c>
      <c r="N28" s="152">
        <f t="shared" si="1"/>
        <v>1</v>
      </c>
    </row>
    <row r="29" spans="1:14">
      <c r="A29" s="137">
        <v>45778</v>
      </c>
      <c r="B29" s="141">
        <v>12780</v>
      </c>
      <c r="C29" s="145">
        <v>2.4E-2</v>
      </c>
      <c r="D29" s="145">
        <v>5.0000000000000001E-3</v>
      </c>
      <c r="E29" s="145">
        <v>1.7999999999999999E-2</v>
      </c>
      <c r="F29" s="149">
        <v>2.57</v>
      </c>
      <c r="G29" s="145">
        <v>0.88400000000000001</v>
      </c>
      <c r="H29" s="145">
        <v>3.0000000000000001E-3</v>
      </c>
      <c r="I29" s="145">
        <v>6.6000000000000003E-2</v>
      </c>
      <c r="J29" s="145">
        <v>1.2999999999999999E-2</v>
      </c>
      <c r="K29" s="145">
        <v>7.0000000000000001E-3</v>
      </c>
      <c r="L29" s="145">
        <f t="shared" si="0"/>
        <v>2.2999999999999913E-2</v>
      </c>
      <c r="M29" s="145">
        <v>4.0000000000000001E-3</v>
      </c>
      <c r="N29" s="153">
        <f t="shared" si="1"/>
        <v>1</v>
      </c>
    </row>
    <row r="30" spans="1:14">
      <c r="A30" s="136">
        <v>45809</v>
      </c>
      <c r="B30" s="140">
        <v>12360</v>
      </c>
      <c r="C30" s="144">
        <v>2.3E-2</v>
      </c>
      <c r="D30" s="144">
        <v>5.0000000000000001E-3</v>
      </c>
      <c r="E30" s="144">
        <v>1.7000000000000001E-2</v>
      </c>
      <c r="F30" s="148">
        <v>2.58</v>
      </c>
      <c r="G30" s="144">
        <v>0.88600000000000001</v>
      </c>
      <c r="H30" s="144">
        <v>3.0000000000000001E-3</v>
      </c>
      <c r="I30" s="144">
        <v>6.4000000000000001E-2</v>
      </c>
      <c r="J30" s="144">
        <v>1.2E-2</v>
      </c>
      <c r="K30" s="144">
        <v>6.0000000000000001E-3</v>
      </c>
      <c r="L30" s="144">
        <f t="shared" si="0"/>
        <v>2.4999999999999915E-2</v>
      </c>
      <c r="M30" s="144">
        <v>4.0000000000000001E-3</v>
      </c>
      <c r="N30" s="152">
        <f t="shared" si="1"/>
        <v>1</v>
      </c>
    </row>
    <row r="31" spans="1:14">
      <c r="A31" s="137">
        <v>45839</v>
      </c>
      <c r="B31" s="141">
        <v>12710</v>
      </c>
      <c r="C31" s="145">
        <v>2.1999999999999999E-2</v>
      </c>
      <c r="D31" s="145">
        <v>5.0000000000000001E-3</v>
      </c>
      <c r="E31" s="145">
        <v>1.7000000000000001E-2</v>
      </c>
      <c r="F31" s="149">
        <v>2.59</v>
      </c>
      <c r="G31" s="145">
        <v>0.88800000000000001</v>
      </c>
      <c r="H31" s="145">
        <v>3.0000000000000001E-3</v>
      </c>
      <c r="I31" s="145">
        <v>6.2E-2</v>
      </c>
      <c r="J31" s="145">
        <v>1.2E-2</v>
      </c>
      <c r="K31" s="145">
        <v>6.0000000000000001E-3</v>
      </c>
      <c r="L31" s="145">
        <f t="shared" si="0"/>
        <v>2.4999999999999915E-2</v>
      </c>
      <c r="M31" s="145">
        <v>4.0000000000000001E-3</v>
      </c>
      <c r="N31" s="153">
        <f t="shared" si="1"/>
        <v>1</v>
      </c>
    </row>
    <row r="32" spans="1:14">
      <c r="A32" s="136">
        <v>45870</v>
      </c>
      <c r="B32" s="140">
        <v>12940</v>
      </c>
      <c r="C32" s="144">
        <v>2.1000000000000001E-2</v>
      </c>
      <c r="D32" s="144">
        <v>5.0000000000000001E-3</v>
      </c>
      <c r="E32" s="144">
        <v>1.6E-2</v>
      </c>
      <c r="F32" s="148">
        <v>2.6</v>
      </c>
      <c r="G32" s="144">
        <v>0.89</v>
      </c>
      <c r="H32" s="144">
        <v>3.0000000000000001E-3</v>
      </c>
      <c r="I32" s="144">
        <v>0.06</v>
      </c>
      <c r="J32" s="144">
        <v>1.0999999999999999E-2</v>
      </c>
      <c r="K32" s="144">
        <v>6.0000000000000001E-3</v>
      </c>
      <c r="L32" s="144">
        <f t="shared" si="0"/>
        <v>2.5999999999999916E-2</v>
      </c>
      <c r="M32" s="144">
        <v>4.0000000000000001E-3</v>
      </c>
      <c r="N32" s="152">
        <f t="shared" si="1"/>
        <v>1</v>
      </c>
    </row>
    <row r="33" spans="1:14">
      <c r="A33" s="137">
        <v>45901</v>
      </c>
      <c r="B33" s="141">
        <v>12580</v>
      </c>
      <c r="C33" s="145">
        <v>0.02</v>
      </c>
      <c r="D33" s="145">
        <v>4.0000000000000001E-3</v>
      </c>
      <c r="E33" s="145">
        <v>1.6E-2</v>
      </c>
      <c r="F33" s="149">
        <v>2.6</v>
      </c>
      <c r="G33" s="145">
        <v>0.89200000000000002</v>
      </c>
      <c r="H33" s="145">
        <v>3.0000000000000001E-3</v>
      </c>
      <c r="I33" s="145">
        <v>5.8999999999999997E-2</v>
      </c>
      <c r="J33" s="145">
        <v>1.0999999999999999E-2</v>
      </c>
      <c r="K33" s="145">
        <v>5.0000000000000001E-3</v>
      </c>
      <c r="L33" s="145">
        <f t="shared" si="0"/>
        <v>2.6000000000000027E-2</v>
      </c>
      <c r="M33" s="145">
        <v>4.0000000000000001E-3</v>
      </c>
      <c r="N33" s="153">
        <f t="shared" si="1"/>
        <v>1</v>
      </c>
    </row>
    <row r="34" spans="1:14">
      <c r="A34" s="136">
        <v>45931</v>
      </c>
      <c r="B34" s="140">
        <v>13120</v>
      </c>
      <c r="C34" s="144">
        <v>1.9E-2</v>
      </c>
      <c r="D34" s="144">
        <v>4.0000000000000001E-3</v>
      </c>
      <c r="E34" s="144">
        <v>1.4999999999999999E-2</v>
      </c>
      <c r="F34" s="148">
        <v>2.61</v>
      </c>
      <c r="G34" s="144">
        <v>0.89500000000000002</v>
      </c>
      <c r="H34" s="144">
        <v>3.0000000000000001E-3</v>
      </c>
      <c r="I34" s="144">
        <v>5.7000000000000002E-2</v>
      </c>
      <c r="J34" s="144">
        <v>0.01</v>
      </c>
      <c r="K34" s="144">
        <v>5.0000000000000001E-3</v>
      </c>
      <c r="L34" s="144">
        <f t="shared" si="0"/>
        <v>2.5999999999999916E-2</v>
      </c>
      <c r="M34" s="144">
        <v>4.0000000000000001E-3</v>
      </c>
      <c r="N34" s="152">
        <f t="shared" si="1"/>
        <v>1</v>
      </c>
    </row>
    <row r="35" spans="1:14">
      <c r="A35" s="137">
        <v>45962</v>
      </c>
      <c r="B35" s="141">
        <v>12460</v>
      </c>
      <c r="C35" s="145">
        <v>1.7999999999999999E-2</v>
      </c>
      <c r="D35" s="145">
        <v>4.0000000000000001E-3</v>
      </c>
      <c r="E35" s="145">
        <v>1.4999999999999999E-2</v>
      </c>
      <c r="F35" s="149">
        <v>2.62</v>
      </c>
      <c r="G35" s="145">
        <v>0.89800000000000002</v>
      </c>
      <c r="H35" s="145">
        <v>3.0000000000000001E-3</v>
      </c>
      <c r="I35" s="145">
        <v>5.5E-2</v>
      </c>
      <c r="J35" s="145">
        <v>0.01</v>
      </c>
      <c r="K35" s="145">
        <v>4.0000000000000001E-3</v>
      </c>
      <c r="L35" s="145">
        <f t="shared" si="0"/>
        <v>2.5999999999999916E-2</v>
      </c>
      <c r="M35" s="145">
        <v>4.0000000000000001E-3</v>
      </c>
      <c r="N35" s="153">
        <f t="shared" si="1"/>
        <v>1</v>
      </c>
    </row>
    <row r="36" spans="1:14">
      <c r="A36" s="138">
        <v>45992</v>
      </c>
      <c r="B36" s="142">
        <v>11980</v>
      </c>
      <c r="C36" s="146">
        <v>1.7999999999999999E-2</v>
      </c>
      <c r="D36" s="146">
        <v>4.0000000000000001E-3</v>
      </c>
      <c r="E36" s="146">
        <v>1.4E-2</v>
      </c>
      <c r="F36" s="150">
        <v>2.62</v>
      </c>
      <c r="G36" s="146">
        <v>0.9</v>
      </c>
      <c r="H36" s="146">
        <v>3.0000000000000001E-3</v>
      </c>
      <c r="I36" s="146">
        <v>5.2999999999999999E-2</v>
      </c>
      <c r="J36" s="146">
        <v>8.9999999999999993E-3</v>
      </c>
      <c r="K36" s="146">
        <v>4.0000000000000001E-3</v>
      </c>
      <c r="L36" s="146">
        <f t="shared" si="0"/>
        <v>2.6999999999999916E-2</v>
      </c>
      <c r="M36" s="146">
        <v>4.0000000000000001E-3</v>
      </c>
      <c r="N36" s="154">
        <f t="shared" si="1"/>
        <v>1</v>
      </c>
    </row>
    <row r="38" spans="1:14">
      <c r="A38" s="307" t="s">
        <v>538</v>
      </c>
      <c r="B38" s="308"/>
      <c r="C38" s="308"/>
      <c r="D38" s="308"/>
      <c r="E38" s="308"/>
      <c r="F38" s="308"/>
      <c r="G38" s="308"/>
      <c r="H38" s="308"/>
      <c r="I38" s="308"/>
      <c r="J38" s="308"/>
      <c r="K38" s="308"/>
      <c r="L38" s="308"/>
      <c r="M38" s="308"/>
      <c r="N38" s="309"/>
    </row>
    <row r="39" spans="1:14">
      <c r="A39" s="310"/>
      <c r="B39" s="311"/>
      <c r="C39" s="311"/>
      <c r="D39" s="311"/>
      <c r="E39" s="311"/>
      <c r="F39" s="311"/>
      <c r="G39" s="311"/>
      <c r="H39" s="311"/>
      <c r="I39" s="311"/>
      <c r="J39" s="311"/>
      <c r="K39" s="311"/>
      <c r="L39" s="311"/>
      <c r="M39" s="311"/>
      <c r="N39" s="312"/>
    </row>
    <row r="40" spans="1:14">
      <c r="A40" s="310"/>
      <c r="B40" s="311"/>
      <c r="C40" s="311"/>
      <c r="D40" s="311"/>
      <c r="E40" s="311"/>
      <c r="F40" s="311"/>
      <c r="G40" s="311"/>
      <c r="H40" s="311"/>
      <c r="I40" s="311"/>
      <c r="J40" s="311"/>
      <c r="K40" s="311"/>
      <c r="L40" s="311"/>
      <c r="M40" s="311"/>
      <c r="N40" s="312"/>
    </row>
    <row r="41" spans="1:14">
      <c r="A41" s="313"/>
      <c r="B41" s="314"/>
      <c r="C41" s="314"/>
      <c r="D41" s="314"/>
      <c r="E41" s="314"/>
      <c r="F41" s="314"/>
      <c r="G41" s="314"/>
      <c r="H41" s="314"/>
      <c r="I41" s="314"/>
      <c r="J41" s="314"/>
      <c r="K41" s="314"/>
      <c r="L41" s="314"/>
      <c r="M41" s="314"/>
      <c r="N41" s="315"/>
    </row>
  </sheetData>
  <mergeCells count="5">
    <mergeCell ref="A1:N1"/>
    <mergeCell ref="A2:N2"/>
    <mergeCell ref="A4:D4"/>
    <mergeCell ref="A23:N23"/>
    <mergeCell ref="A38:N41"/>
  </mergeCells>
  <conditionalFormatting sqref="N25:N36">
    <cfRule type="expression" dxfId="0" priority="1">
      <formula>ABS(N25-1)&gt;0.00001</formula>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D12"/>
  <sheetViews>
    <sheetView workbookViewId="0">
      <selection sqref="A1:D1"/>
    </sheetView>
  </sheetViews>
  <sheetFormatPr defaultRowHeight="14.25"/>
  <cols>
    <col min="1" max="1" width="36" customWidth="1"/>
    <col min="2" max="2" width="42" customWidth="1"/>
    <col min="3" max="3" width="70" customWidth="1"/>
    <col min="4" max="4" width="42" customWidth="1"/>
  </cols>
  <sheetData>
    <row r="1" spans="1:4" ht="15.2" customHeight="1">
      <c r="A1" s="266" t="s">
        <v>439</v>
      </c>
      <c r="B1" s="266"/>
      <c r="C1" s="266"/>
      <c r="D1" s="266"/>
    </row>
    <row r="2" spans="1:4" ht="11.1" customHeight="1">
      <c r="A2" s="267" t="s">
        <v>440</v>
      </c>
      <c r="B2" s="267"/>
      <c r="C2" s="267"/>
      <c r="D2" s="267"/>
    </row>
    <row r="4" spans="1:4" ht="15.2" customHeight="1">
      <c r="A4" s="1" t="s">
        <v>441</v>
      </c>
      <c r="B4" s="2" t="s">
        <v>442</v>
      </c>
      <c r="C4" s="2" t="s">
        <v>443</v>
      </c>
      <c r="D4" s="3" t="s">
        <v>444</v>
      </c>
    </row>
    <row r="5" spans="1:4" ht="35.65" customHeight="1">
      <c r="A5" s="4" t="s">
        <v>445</v>
      </c>
      <c r="B5" s="5" t="s">
        <v>446</v>
      </c>
      <c r="C5" s="5" t="s">
        <v>447</v>
      </c>
      <c r="D5" s="6" t="s">
        <v>448</v>
      </c>
    </row>
    <row r="6" spans="1:4" ht="35.65" customHeight="1">
      <c r="A6" s="13" t="s">
        <v>449</v>
      </c>
      <c r="B6" s="14" t="s">
        <v>450</v>
      </c>
      <c r="C6" s="14" t="s">
        <v>451</v>
      </c>
      <c r="D6" s="15" t="s">
        <v>452</v>
      </c>
    </row>
    <row r="7" spans="1:4" ht="35.65" customHeight="1">
      <c r="A7" s="7" t="s">
        <v>453</v>
      </c>
      <c r="B7" s="8" t="s">
        <v>454</v>
      </c>
      <c r="C7" s="8" t="s">
        <v>455</v>
      </c>
      <c r="D7" s="9" t="s">
        <v>456</v>
      </c>
    </row>
    <row r="8" spans="1:4" ht="35.65" customHeight="1">
      <c r="A8" s="13" t="s">
        <v>457</v>
      </c>
      <c r="B8" s="14" t="s">
        <v>458</v>
      </c>
      <c r="C8" s="14" t="s">
        <v>459</v>
      </c>
      <c r="D8" s="15" t="s">
        <v>460</v>
      </c>
    </row>
    <row r="9" spans="1:4" ht="35.65" customHeight="1">
      <c r="A9" s="10" t="s">
        <v>461</v>
      </c>
      <c r="B9" s="11" t="s">
        <v>462</v>
      </c>
      <c r="C9" s="11" t="s">
        <v>463</v>
      </c>
      <c r="D9" s="12" t="s">
        <v>464</v>
      </c>
    </row>
    <row r="10" spans="1:4" ht="35.65" customHeight="1">
      <c r="A10" s="33" t="s">
        <v>465</v>
      </c>
      <c r="B10" s="34" t="s">
        <v>466</v>
      </c>
      <c r="C10" s="34" t="s">
        <v>467</v>
      </c>
      <c r="D10" s="35" t="s">
        <v>468</v>
      </c>
    </row>
    <row r="11" spans="1:4" ht="38.25" customHeight="1">
      <c r="A11" s="64" t="s">
        <v>469</v>
      </c>
      <c r="B11" s="65" t="s">
        <v>470</v>
      </c>
      <c r="C11" s="65" t="s">
        <v>471</v>
      </c>
      <c r="D11" s="66" t="s">
        <v>472</v>
      </c>
    </row>
    <row r="12" spans="1:4" ht="9.75" customHeight="1">
      <c r="A12" s="254" t="s">
        <v>473</v>
      </c>
      <c r="B12" s="254" t="s">
        <v>474</v>
      </c>
      <c r="C12" s="254" t="s">
        <v>475</v>
      </c>
      <c r="D12" s="254" t="s">
        <v>476</v>
      </c>
    </row>
  </sheetData>
  <mergeCells count="3">
    <mergeCell ref="A1:D1"/>
    <mergeCell ref="A2:D2"/>
    <mergeCell ref="A12: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Provider Action Matrix</vt:lpstr>
      <vt:lpstr>Control by Layer</vt:lpstr>
      <vt:lpstr>MAO-002 Early Warning</vt:lpstr>
      <vt:lpstr>Plan Data Requirements</vt:lpstr>
      <vt:lpstr>2025 Annual Waterfall</vt:lpstr>
      <vt:lpstr>2025 Monthly Detail</vt:lpstr>
      <vt:lpstr>2025 Model Assumptions</vt:lpstr>
      <vt:lpstr>Sources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Rawat</dc:creator>
  <cp:lastModifiedBy>Samir Rawat</cp:lastModifiedBy>
  <dcterms:created xsi:type="dcterms:W3CDTF">2026-06-10T16:04:38Z</dcterms:created>
  <dcterms:modified xsi:type="dcterms:W3CDTF">2026-06-24T05:38:30Z</dcterms:modified>
</cp:coreProperties>
</file>