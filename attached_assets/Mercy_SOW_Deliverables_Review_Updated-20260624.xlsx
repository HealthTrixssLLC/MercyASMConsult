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f1e4e1c72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6de30d2b953940b0"/>
    <x:sheet xmlns:r="http://schemas.openxmlformats.org/officeDocument/2006/relationships" name="Deliverables Review" sheetId="2" r:id="R49dcabf432884fa3"/>
    <x:sheet xmlns:r="http://schemas.openxmlformats.org/officeDocument/2006/relationships" name="Changes Since Prior" sheetId="3" r:id="Rfe46293dc1744790"/>
    <x:sheet xmlns:r="http://schemas.openxmlformats.org/officeDocument/2006/relationships" name="Evidence Map" sheetId="4" r:id="Ra13635d384cf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E9F1F7"/>
      </x:patternFill>
    </x:fill>
    <x:fill>
      <x:patternFill patternType="solid">
        <x:fgColor rgb="FFFFF2CC"/>
      </x:patternFill>
    </x:fill>
    <x:fill>
      <x:patternFill patternType="solid">
        <x:fgColor rgb="FFDFF3E4"/>
      </x:patternFill>
    </x:fill>
  </x:fills>
  <x:borders count="5">
    <x:border/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c0c9bcbc7442f" /><Relationship Type="http://schemas.openxmlformats.org/officeDocument/2006/relationships/theme" Target="/xl/theme/theme1.xml" Id="R5812e1b71b4f4813" /><Relationship Type="http://schemas.openxmlformats.org/officeDocument/2006/relationships/sharedStrings" Target="/xl/sharedStrings.xml" Id="R3359eb08eacc4f7a" /><Relationship Type="http://schemas.openxmlformats.org/officeDocument/2006/relationships/worksheet" Target="/xl/worksheets/sheet1.xml" Id="R6de30d2b953940b0" /><Relationship Type="http://schemas.openxmlformats.org/officeDocument/2006/relationships/worksheet" Target="/xl/worksheets/sheet2.xml" Id="R49dcabf432884fa3" /><Relationship Type="http://schemas.openxmlformats.org/officeDocument/2006/relationships/worksheet" Target="/xl/worksheets/sheet3.xml" Id="Rfe46293dc1744790" /><Relationship Type="http://schemas.openxmlformats.org/officeDocument/2006/relationships/worksheet" Target="/xl/worksheets/sheet4.xml" Id="Ra13635d384cf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4" t="str">
        <x:v>Mercy ASM Discovery Deliverables Review — Updated Repo Analysis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Reperformed review of the MercyASMConsult repository against the signed SOW after the latest git updates. This version supersedes the earlier pass.</x:v>
      </x:c>
      <x:c r="B2" s="10"/>
      <x:c r="C2" s="10"/>
      <x:c r="D2" s="10"/>
      <x:c r="E2" s="10"/>
      <x:c r="F2" s="10"/>
      <x:c r="G2" s="10"/>
      <x:c r="H2" s="11"/>
    </x:row>
    <x:row r="3"/>
    <x:row r="4" ht="15" hidden="0" customHeight="1">
      <x:c r="A4" s="18" t="str">
        <x:v>Metric</x:v>
      </x:c>
      <x:c r="B4" s="18" t="str">
        <x:v>Value</x:v>
      </x:c>
      <x:c r="D4" s="18" t="str">
        <x:v>Updated Assessment</x:v>
      </x:c>
      <x:c r="E4" s="18"/>
      <x:c r="F4" s="18"/>
      <x:c r="G4" s="18"/>
      <x:c r="H4" s="18"/>
    </x:row>
    <x:row r="5" ht="26.399999618530273" hidden="0" customHeight="1">
      <x:c r="A5" s="21" t="str">
        <x:v>Total deliverables reviewed</x:v>
      </x:c>
      <x:c r="B5" s="21" t="n">
        <x:v>5</x:v>
      </x:c>
      <x:c r="D5" s="21" t="str">
        <x:v>The updated repo closes one of the biggest prior gaps: it now has a clear consolidated findings register and stronger discovery-planning artifacts. The main remaining open SOW gap is the lack of a formal future-state options package with ROM estimates and timeline ranges.</x:v>
      </x:c>
      <x:c r="E5" s="21"/>
      <x:c r="F5" s="21"/>
      <x:c r="G5" s="21"/>
      <x:c r="H5" s="21"/>
    </x:row>
    <x:row r="6" ht="15" hidden="0" customHeight="1">
      <x:c r="A6" s="21" t="str">
        <x:v>Completed</x:v>
      </x:c>
      <x:c r="B6" s="21" t="n">
        <x:f>COUNTIF('Deliverables Review'!C2:C6,"Completed")</x:f>
        <x:v>2</x:v>
      </x:c>
      <x:c r="D6" s="21"/>
      <x:c r="E6" s="21"/>
      <x:c r="F6" s="21"/>
      <x:c r="G6" s="21"/>
      <x:c r="H6" s="21"/>
    </x:row>
    <x:row r="7" ht="15" hidden="0" customHeight="1">
      <x:c r="A7" s="21" t="str">
        <x:v>Partial</x:v>
      </x:c>
      <x:c r="B7" s="21" t="n">
        <x:f>COUNTIF('Deliverables Review'!C2:C6,"Partial")</x:f>
        <x:v>2</x:v>
      </x:c>
      <x:c r="D7" s="21"/>
      <x:c r="E7" s="21"/>
      <x:c r="F7" s="21"/>
      <x:c r="G7" s="21"/>
      <x:c r="H7" s="21"/>
    </x:row>
    <x:row r="8" ht="15" hidden="0" customHeight="1">
      <x:c r="A8" s="21" t="str">
        <x:v>Open</x:v>
      </x:c>
      <x:c r="B8" s="21" t="n">
        <x:f>COUNTIF('Deliverables Review'!C2:C6,"Open")</x:f>
        <x:v>0</x:v>
      </x:c>
      <x:c r="D8" s="21"/>
      <x:c r="E8" s="21"/>
      <x:c r="F8" s="21"/>
      <x:c r="G8" s="21"/>
      <x:c r="H8" s="21"/>
    </x:row>
    <x:row r="9" ht="15" hidden="0" customHeight="1">
      <x:c r="A9" s="21" t="str">
        <x:v>Average completion</x:v>
      </x:c>
      <x:c r="B9" s="22" t="n">
        <x:f>AVERAGE('Deliverables Review'!D2:D6)</x:f>
        <x:v>0.7625000000000001</x:v>
      </x:c>
      <x:c r="D9" s="21"/>
      <x:c r="E9" s="21"/>
      <x:c r="F9" s="21"/>
      <x:c r="G9" s="21"/>
      <x:c r="H9" s="21"/>
    </x:row>
    <x:row r="10"/>
    <x:row r="11" ht="15" hidden="0" customHeight="1">
      <x:c r="A11" s="18" t="str">
        <x:v>Bottom line</x:v>
      </x:c>
      <x:c r="B11" s="18"/>
      <x:c r="C11" s="18"/>
      <x:c r="D11" s="18"/>
      <x:c r="E11" s="18"/>
      <x:c r="F11" s="18"/>
      <x:c r="G11" s="18"/>
      <x:c r="H11" s="18"/>
    </x:row>
    <x:row r="12">
      <x:c r="A12" s="21" t="str">
        <x:v>Compared with the prior review, the repo now appears substantially complete for Current-State Assessment, Gap and Risk Register, and Executive Readout support. Discovery Workplan coverage is stronger but still not fully packaged as a working tracker. Future-State Options Summary remains the main contractual shortfall.</x:v>
      </x:c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</x:sheetData>
  <x:mergeCells>
    <x:mergeCell ref="A1:H1"/>
    <x:mergeCell ref="A2:H2"/>
    <x:mergeCell ref="D4:H4"/>
    <x:mergeCell ref="D5:H9"/>
    <x:mergeCell ref="A11:H1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8" hidden="0" customWidth="1"/>
    <x:col min="6" max="6" width="38" hidden="0" customWidth="1"/>
    <x:col min="7" max="7" width="34" hidden="0" customWidth="1"/>
    <x:col min="8" max="8" width="34" hidden="0" customWidth="1"/>
  </x:cols>
  <x:sheetData>
    <x:row r="1" ht="19.200000762939453" hidden="0" customHeight="1">
      <x:c r="A1" s="4" t="str">
        <x:v>Deliverables Review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18" t="str">
        <x:v>ID</x:v>
      </x:c>
      <x:c r="B2" s="18" t="str">
        <x:v>SOW Deliverable</x:v>
      </x:c>
      <x:c r="C2" s="18" t="str">
        <x:v>Status</x:v>
      </x:c>
      <x:c r="D2" s="18" t="str">
        <x:v>Completion %</x:v>
      </x:c>
      <x:c r="E2" s="18" t="str">
        <x:v>Change vs Prior Review</x:v>
      </x:c>
      <x:c r="F2" s="18" t="str">
        <x:v>Updated Assessment</x:v>
      </x:c>
      <x:c r="G2" s="18" t="str">
        <x:v>Remaining Gap</x:v>
      </x:c>
      <x:c r="H2" s="18" t="str">
        <x:v>Primary Evidence</x:v>
      </x:c>
    </x:row>
    <x:row r="3" ht="52.79999923706055" hidden="0" customHeight="1">
      <x:c r="A3" s="21" t="str">
        <x:v>D1</x:v>
      </x:c>
      <x:c r="B3" s="21" t="str">
        <x:v>Discovery Workplan and session schedule</x:v>
      </x:c>
      <x:c r="C3" s="25" t="str">
        <x:v>Partial</x:v>
      </x:c>
      <x:c r="D3" s="22" t="n">
        <x:v>0.7</x:v>
      </x:c>
      <x:c r="E3" s="21" t="str">
        <x:v>Improved materially</x:v>
      </x:c>
      <x:c r="F3" s="21" t="str">
        <x:v>The updated repo now includes a 4-week discovery process, weekly inputs and outcomes, working model, and working assumptions surfaced on the Kickoff page.</x:v>
      </x:c>
      <x:c r="G3" s="21" t="str">
        <x:v>Still not a standalone maintained tracker or spreadsheet-style session schedule, so it does not fully meet the SOW wording as a working document.</x:v>
      </x:c>
      <x:c r="H3" s="21" t="str">
        <x:v>Kickoff page plus DiscoveryProcess and DiscoveryCadence components.</x:v>
      </x:c>
    </x:row>
    <x:row r="4" ht="39.599998474121094" hidden="0" customHeight="1">
      <x:c r="A4" s="21" t="str">
        <x:v>D2</x:v>
      </x:c>
      <x:c r="B4" s="21" t="str">
        <x:v>Current-State Assessment Summary</x:v>
      </x:c>
      <x:c r="C4" s="28" t="str">
        <x:v>Completed</x:v>
      </x:c>
      <x:c r="D4" s="22" t="n">
        <x:v>1</x:v>
      </x:c>
      <x:c r="E4" s="21" t="str">
        <x:v>No change</x:v>
      </x:c>
      <x:c r="F4" s="21" t="str">
        <x:v>The repo still has strong current-state coverage across kickoff, discovery sessions, artifact analysis, and current-vs-future-state walkthroughs.</x:v>
      </x:c>
      <x:c r="G4" s="21" t="str">
        <x:v>This remains one of the strongest completed deliverables in the repo.</x:v>
      </x:c>
      <x:c r="H4" s="21" t="str">
        <x:v>SOW page, Kickoff, Discussion pages, ASM Analysis Current, MAO Data Gap Analysis.</x:v>
      </x:c>
    </x:row>
    <x:row r="5" ht="52.79999923706055" hidden="0" customHeight="1">
      <x:c r="A5" s="21" t="str">
        <x:v>D3</x:v>
      </x:c>
      <x:c r="B5" s="21" t="str">
        <x:v>Gap and Risk Register</x:v>
      </x:c>
      <x:c r="C5" s="28" t="str">
        <x:v>Completed</x:v>
      </x:c>
      <x:c r="D5" s="22" t="n">
        <x:v>0.9</x:v>
      </x:c>
      <x:c r="E5" s="21" t="str">
        <x:v>Improved materially</x:v>
      </x:c>
      <x:c r="F5" s="21" t="str">
        <x:v>The repo now has a dedicated Findings page that acts as a consolidated, de-duplicated gap and risk register with stable IDs, source traceability, and resolution lanes.</x:v>
      </x:c>
      <x:c r="G5" s="21" t="str">
        <x:v>It is stronger than the prior scattered evidence, though it is findings-first rather than a classic spreadsheet register with severity/owner columns on every row.</x:v>
      </x:c>
      <x:c r="H5" s="21" t="str">
        <x:v>Findings page and findings data with traceability mappings.</x:v>
      </x:c>
    </x:row>
    <x:row r="6" ht="66" hidden="0" customHeight="1">
      <x:c r="A6" s="21" t="str">
        <x:v>D4</x:v>
      </x:c>
      <x:c r="B6" s="21" t="str">
        <x:v>Future-State Options Summary with ROM and timeline ranges</x:v>
      </x:c>
      <x:c r="C6" s="25" t="str">
        <x:v>Partial</x:v>
      </x:c>
      <x:c r="D6" s="22" t="n">
        <x:v>0.45</x:v>
      </x:c>
      <x:c r="E6" s="21" t="str">
        <x:v>No meaningful change</x:v>
      </x:c>
      <x:c r="F6" s="21" t="str">
        <x:v>The updated repo still has robust submission and reconciliation recommendations and roadmaps, but not a formal options comparison with multiple alternative paths and planning-level ROM estimates.</x:v>
      </x:c>
      <x:c r="G6" s="21" t="str">
        <x:v>Roadmaps are present, but the SOW asked for option-level scope, assumptions, benefits, tradeoffs, risks, sequencing, dependencies, ROM, and timeline ranges.</x:v>
      </x:c>
      <x:c r="H6" s="21" t="str">
        <x:v>Submission Strategy and Reconciliation Strategy lanes.</x:v>
      </x:c>
    </x:row>
    <x:row r="7" ht="52.79999923706055" hidden="0" customHeight="1">
      <x:c r="A7" s="21" t="str">
        <x:v>D5</x:v>
      </x:c>
      <x:c r="B7" s="21" t="str">
        <x:v>Executive Readout materials and final recommendation summary</x:v>
      </x:c>
      <x:c r="C7" s="28" t="str">
        <x:v>Completed</x:v>
      </x:c>
      <x:c r="D7" s="22" t="n">
        <x:v>0.95</x:v>
      </x:c>
      <x:c r="E7" s="21" t="str">
        <x:v>Improved slightly</x:v>
      </x:c>
      <x:c r="F7" s="21" t="str">
        <x:v>The repo continues to show strong readout and recommendation coverage, now with additional findings traceability and MAO data-gap analysis that better supports the recommendation narrative.</x:v>
      </x:c>
      <x:c r="G7" s="21" t="str">
        <x:v>This appears substantially complete from a content perspective.</x:v>
      </x:c>
      <x:c r="H7" s="21" t="str">
        <x:v>Kickoff PDFs/PPTX, recommendation lanes, findings page, MAO Data Gap Analysis.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0" hidden="0" customWidth="1"/>
  </x:cols>
  <x:sheetData>
    <x:row r="1" ht="19.200000762939453" hidden="0" customHeight="1">
      <x:c r="A1" s="4" t="str">
        <x:v>Changes Since Prior Review</x:v>
      </x:c>
      <x:c r="B1" s="4"/>
      <x:c r="C1" s="4"/>
    </x:row>
    <x:row r="2" ht="15" hidden="0" customHeight="1">
      <x:c r="A2" s="18" t="str">
        <x:v>Changed Area</x:v>
      </x:c>
      <x:c r="B2" s="18" t="str">
        <x:v>What Changed</x:v>
      </x:c>
      <x:c r="C2" s="18" t="str">
        <x:v>Evidence</x:v>
      </x:c>
    </x:row>
    <x:row r="3" ht="26.399999618530273" hidden="0" customHeight="1">
      <x:c r="A3" s="21" t="str">
        <x:v>Discovery workplan moved from Open to Partial</x:v>
      </x:c>
      <x:c r="B3" s="21" t="str">
        <x:v>New kickoff timeline and cadence artifacts now document a 4-week process, Mercy inputs, and weekly outcomes.</x:v>
      </x:c>
      <x:c r="C3" s="21" t="str">
        <x:v>Kickoff.tsx, DiscoveryProcess.tsx, DiscoveryCadence.tsx, replit.md</x:v>
      </x:c>
    </x:row>
    <x:row r="4" ht="39.599998474121094" hidden="0" customHeight="1">
      <x:c r="A4" s="21" t="str">
        <x:v>Gap and risk register moved from Partial to Completed</x:v>
      </x:c>
      <x:c r="B4" s="21" t="str">
        <x:v>A dedicated Findings page now consolidates engagement findings and traces each one to source pages and resolution lanes.</x:v>
      </x:c>
      <x:c r="C4" s="21" t="str">
        <x:v>Findings.tsx, findings.ts, replit.md</x:v>
      </x:c>
    </x:row>
    <x:row r="5" ht="39.599998474121094" hidden="0" customHeight="1">
      <x:c r="A5" s="21" t="str">
        <x:v>Future-state options summary remains Partial</x:v>
      </x:c>
      <x:c r="B5" s="21" t="str">
        <x:v>The repo still does not show multiple formal option paths with ROM estimates and timeline ranges as called for in the SOW.</x:v>
      </x:c>
      <x:c r="C5" s="21" t="str">
        <x:v>SubmissionStrategy.tsx, ReconciliationStrategy.tsx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4" hidden="0" customWidth="1"/>
    <x:col min="4" max="4" width="44" hidden="0" customWidth="1"/>
  </x:cols>
  <x:sheetData>
    <x:row r="1" ht="19.200000762939453" hidden="0" customHeight="1">
      <x:c r="A1" s="4" t="str">
        <x:v>Evidence Map</x:v>
      </x:c>
      <x:c r="B1" s="4"/>
      <x:c r="C1" s="4"/>
      <x:c r="D1" s="4"/>
    </x:row>
    <x:row r="2" ht="15" hidden="0" customHeight="1">
      <x:c r="A2" s="18" t="str">
        <x:v>Evidence Area</x:v>
      </x:c>
      <x:c r="B2" s="18" t="str">
        <x:v>Why It Matters</x:v>
      </x:c>
      <x:c r="C2" s="18" t="str">
        <x:v>Primary File</x:v>
      </x:c>
      <x:c r="D2" s="18" t="str">
        <x:v>Secondary File</x:v>
      </x:c>
    </x:row>
    <x:row r="3" ht="39.599998474121094" hidden="0" customHeight="1">
      <x:c r="A3" s="21" t="str">
        <x:v>Structured kickoff workplan proxy</x:v>
      </x:c>
      <x:c r="B3" s="21" t="str">
        <x:v>Kickoff now includes tabs for timeline and discovery cadence, which materially improve workplan coverage.</x:v>
      </x:c>
      <x:c r="C3" s="21" t="str">
        <x:v>/Volumes/ExternalData/Projects/MercyASMConsult/artifacts/engagement-portal/src/pages/Kickoff.tsx</x:v>
      </x:c>
      <x:c r="D3" s="21" t="str">
        <x:v>/Volumes/ExternalData/Projects/MercyASMConsult/artifacts/engagement-portal/src/components/DiscoveryProcess.tsx</x:v>
      </x:c>
    </x:row>
    <x:row r="4" ht="39.599998474121094" hidden="0" customHeight="1">
      <x:c r="A4" s="21" t="str">
        <x:v>Working assumptions and cadence</x:v>
      </x:c>
      <x:c r="B4" s="21" t="str">
        <x:v>The cadence component captures proposed working model and working assumptions, strengthening the planning evidence.</x:v>
      </x:c>
      <x:c r="C4" s="21" t="str">
        <x:v>/Volumes/ExternalData/Projects/MercyASMConsult/artifacts/engagement-portal/src/components/DiscoveryCadence.tsx</x:v>
      </x:c>
      <x:c r="D4" s="21" t="str">
        <x:v>/Volumes/ExternalData/Projects/MercyASMConsult/replit.md</x:v>
      </x:c>
    </x:row>
    <x:row r="5" ht="39.599998474121094" hidden="0" customHeight="1">
      <x:c r="A5" s="21" t="str">
        <x:v>Consolidated findings register</x:v>
      </x:c>
      <x:c r="B5" s="21" t="str">
        <x:v>The findings page provides the clearest SOW-aligned evidence for a gap and risk register in the updated repo.</x:v>
      </x:c>
      <x:c r="C5" s="21" t="str">
        <x:v>/Volumes/ExternalData/Projects/MercyASMConsult/artifacts/engagement-portal/src/pages/Findings.tsx</x:v>
      </x:c>
      <x:c r="D5" s="21" t="str">
        <x:v>/Volumes/ExternalData/Projects/MercyASMConsult/artifacts/engagement-portal/src/data/findings.ts</x:v>
      </x:c>
    </x:row>
    <x:row r="6" ht="39.599998474121094" hidden="0" customHeight="1">
      <x:c r="A6" s="21" t="str">
        <x:v>Recommendation traceability</x:v>
      </x:c>
      <x:c r="B6" s="21" t="str">
        <x:v>Recommendation lanes now link recommendations back to findings, improving readout readiness and auditability.</x:v>
      </x:c>
      <x:c r="C6" s="21" t="str">
        <x:v>/Volumes/ExternalData/Projects/MercyASMConsult/artifacts/engagement-portal/src/data/traceability.ts</x:v>
      </x:c>
      <x:c r="D6" s="21" t="str">
        <x:v>/Volumes/ExternalData/Projects/MercyASMConsult/replit.md</x:v>
      </x:c>
    </x:row>
  </x:sheetData>
  <x:mergeCells>
    <x:mergeCell ref="A1:D1"/>
  </x:mergeCells>
  <x:pageMargins left="0.7" right="0.7" top="0.75" bottom="0.75" header="0.3" footer="0.3"/>
</x:worksheet>
</file>