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951a66331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9bfdf6abfb884a5f"/>
    <x:sheet xmlns:r="http://schemas.openxmlformats.org/officeDocument/2006/relationships" name="Deliverables Review" sheetId="2" r:id="R98a9525805984c54"/>
    <x:sheet xmlns:r="http://schemas.openxmlformats.org/officeDocument/2006/relationships" name="Evidence Map" sheetId="3" r:id="R5c397891e4f9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AFC"/>
      </x:patternFill>
    </x:fill>
    <x:fill>
      <x:patternFill patternType="solid">
        <x:fgColor rgb="FFE9F1F7"/>
      </x:patternFill>
    </x:fill>
    <x:fill>
      <x:patternFill patternType="solid">
        <x:fgColor rgb="FFFDE7E9"/>
      </x:patternFill>
    </x:fill>
    <x:fill>
      <x:patternFill patternType="solid">
        <x:fgColor rgb="FFDFF3E4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C9D4DF"/>
      </x:left>
      <x:top style="thin">
        <x:color rgb="FFC9D4DF"/>
      </x:top>
      <x:bottom style="thin">
        <x:color rgb="FFC9D4DF"/>
      </x:bottom>
    </x:border>
    <x:border>
      <x:top style="thin">
        <x:color rgb="FFC9D4DF"/>
      </x:top>
      <x:bottom style="thin">
        <x:color rgb="FFC9D4DF"/>
      </x:bottom>
    </x:border>
    <x:border>
      <x:right style="thin">
        <x:color rgb="FFC9D4DF"/>
      </x:right>
      <x:top style="thin">
        <x:color rgb="FFC9D4DF"/>
      </x:top>
      <x:bottom style="thin">
        <x:color rgb="FFC9D4DF"/>
      </x:bottom>
    </x:border>
    <x:border>
      <x:left style="thin">
        <x:color rgb="FFC9D4DF"/>
      </x:left>
      <x:right style="thin">
        <x:color rgb="FFC9D4DF"/>
      </x:right>
      <x:top style="thin">
        <x:color rgb="FFC9D4DF"/>
      </x:top>
      <x:bottom style="thin">
        <x:color rgb="FFC9D4DF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horizontal="center"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horizontal="center"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ec6f4774944f9" /><Relationship Type="http://schemas.openxmlformats.org/officeDocument/2006/relationships/theme" Target="/xl/theme/theme1.xml" Id="R8263cd50379d4198" /><Relationship Type="http://schemas.openxmlformats.org/officeDocument/2006/relationships/sharedStrings" Target="/xl/sharedStrings.xml" Id="Ra58f89dd7c5f4e56" /><Relationship Type="http://schemas.openxmlformats.org/officeDocument/2006/relationships/worksheet" Target="/xl/worksheets/sheet1.xml" Id="R9bfdf6abfb884a5f" /><Relationship Type="http://schemas.openxmlformats.org/officeDocument/2006/relationships/worksheet" Target="/xl/worksheets/sheet2.xml" Id="R98a9525805984c54" /><Relationship Type="http://schemas.openxmlformats.org/officeDocument/2006/relationships/worksheet" Target="/xl/worksheets/sheet3.xml" Id="R5c397891e4f94c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9.200000762939453" hidden="0" customHeight="1">
      <x:c r="A1" s="5" t="str">
        <x:v>Mercy ASM Discovery Deliverables Review</x:v>
      </x:c>
      <x:c r="B1" s="5"/>
      <x:c r="C1" s="5"/>
      <x:c r="D1" s="5"/>
      <x:c r="E1" s="5"/>
      <x:c r="F1" s="5"/>
      <x:c r="G1" s="5"/>
      <x:c r="H1" s="5"/>
    </x:row>
    <x:row r="2" ht="15" hidden="0" customHeight="1">
      <x:c r="A2" s="8" t="str">
        <x:v>Review workbook comparing the signed SOW deliverables against the MercyASMConsult repository contents. Agreement signed March 11, 2026.</x:v>
      </x:c>
      <x:c r="B2" s="9"/>
      <x:c r="C2" s="9"/>
      <x:c r="D2" s="9"/>
      <x:c r="E2" s="9"/>
      <x:c r="F2" s="9"/>
      <x:c r="G2" s="9"/>
      <x:c r="H2" s="10"/>
    </x:row>
    <x:row r="3"/>
    <x:row r="4" ht="15" hidden="0" customHeight="1">
      <x:c r="A4" s="17" t="str">
        <x:v>Metric</x:v>
      </x:c>
      <x:c r="B4" s="17" t="str">
        <x:v>Value</x:v>
      </x:c>
      <x:c r="D4" s="17" t="str">
        <x:v>Review Takeaways</x:v>
      </x:c>
      <x:c r="E4" s="17"/>
      <x:c r="F4" s="17"/>
      <x:c r="G4" s="17"/>
      <x:c r="H4" s="17"/>
    </x:row>
    <x:row r="5" ht="26.399999618530273" hidden="0" customHeight="1">
      <x:c r="A5" s="20" t="str">
        <x:v>Total deliverables reviewed</x:v>
      </x:c>
      <x:c r="B5" s="21" t="n">
        <x:v>5</x:v>
      </x:c>
      <x:c r="D5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E5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F5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G5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H5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</x:row>
    <x:row r="6" ht="15" hidden="0" customHeight="1">
      <x:c r="A6" s="20" t="str">
        <x:v>Completed</x:v>
      </x:c>
      <x:c r="B6" s="21" t="n">
        <x:f>COUNTIF('Deliverables Review'!D2:D6,"Completed")</x:f>
        <x:v>1</x:v>
      </x:c>
      <x:c r="D6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E6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F6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G6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H6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</x:row>
    <x:row r="7" ht="15" hidden="0" customHeight="1">
      <x:c r="A7" s="20" t="str">
        <x:v>Partial</x:v>
      </x:c>
      <x:c r="B7" s="21" t="n">
        <x:f>COUNTIF('Deliverables Review'!D2:D6,"Partial")</x:f>
        <x:v>2</x:v>
      </x:c>
      <x:c r="D7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E7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F7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G7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H7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</x:row>
    <x:row r="8" ht="15" hidden="0" customHeight="1">
      <x:c r="A8" s="20" t="str">
        <x:v>Open</x:v>
      </x:c>
      <x:c r="B8" s="21" t="n">
        <x:f>COUNTIF('Deliverables Review'!D2:D6,"Open")</x:f>
        <x:v>1</x:v>
      </x:c>
      <x:c r="D8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E8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F8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G8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H8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</x:row>
    <x:row r="9" ht="15" hidden="0" customHeight="1">
      <x:c r="A9" s="20" t="str">
        <x:v>Average completion</x:v>
      </x:c>
      <x:c r="B9" s="22" t="n">
        <x:f>AVERAGE('Deliverables Review'!E2:E6)</x:f>
        <x:v>0.5750000000000001</x:v>
      </x:c>
      <x:c r="D9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E9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F9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G9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  <x:c r="H9" s="20" t="str">
        <x:v>The repo is strongest on current-state assessment and future-state recommendations. The main open items are the formal SOW packaging artifacts: a workplan, a consolidated gap/risk register, and an options summary with ROM estimates and timeline ranges.</x:v>
      </x:c>
    </x:row>
    <x:row r="10"/>
    <x:row r="11" ht="15" hidden="0" customHeight="1">
      <x:c r="A11" s="17" t="str">
        <x:v>Recommended next review actions</x:v>
      </x:c>
      <x:c r="B11" s="17"/>
      <x:c r="C11" s="17"/>
      <x:c r="D11" s="17"/>
      <x:c r="E11" s="17"/>
      <x:c r="F11" s="17"/>
      <x:c r="G11" s="17"/>
      <x:c r="H11" s="17"/>
    </x:row>
    <x:row r="12">
      <x:c r="A12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B12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C12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D12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E12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F12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G12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H12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</x:row>
    <x:row r="13">
      <x:c r="A13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B13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C13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D13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E13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F13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G13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H13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</x:row>
    <x:row r="14">
      <x:c r="A14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B14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C14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D14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E14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F14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G14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H14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</x:row>
    <x:row r="15">
      <x:c r="A15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B15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C15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D15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E15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F15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G15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  <x:c r="H15" s="20" t="str">
        <x:v>1. Create a formal discovery workplan and session tracker. 2. Consolidate the scattered findings into a single gap and risk register. 3. Add a future-state options comparison with ROM estimates and indicative timing. 4. Package the existing portal content into a final client-facing deliverables bundle.</x:v>
      </x:c>
    </x:row>
  </x:sheetData>
  <x:mergeCells>
    <x:mergeCell ref="A1:H1"/>
    <x:mergeCell ref="A2:H2"/>
    <x:mergeCell ref="D4:H4"/>
    <x:mergeCell ref="D5:H9"/>
    <x:mergeCell ref="A11:H11"/>
    <x:mergeCell ref="A12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14" hidden="0" customWidth="1"/>
    <x:col min="5" max="5" width="14" hidden="0" customWidth="1"/>
    <x:col min="6" max="6" width="42" hidden="0" customWidth="1"/>
    <x:col min="7" max="7" width="46" hidden="0" customWidth="1"/>
    <x:col min="8" max="8" width="42" hidden="0" customWidth="1"/>
  </x:cols>
  <x:sheetData>
    <x:row r="1" ht="19.200000762939453" hidden="0" customHeight="1">
      <x:c r="A1" s="5" t="str">
        <x:v>Deliverables Review</x:v>
      </x:c>
      <x:c r="B1" s="5"/>
      <x:c r="C1" s="5"/>
      <x:c r="D1" s="5"/>
      <x:c r="E1" s="5"/>
      <x:c r="F1" s="5"/>
      <x:c r="G1" s="5"/>
      <x:c r="H1" s="5"/>
    </x:row>
    <x:row r="2" ht="15" hidden="0" customHeight="1">
      <x:c r="A2" s="17" t="str">
        <x:v>ID</x:v>
      </x:c>
      <x:c r="B2" s="17" t="str">
        <x:v>SOW Deliverable</x:v>
      </x:c>
      <x:c r="C2" s="17" t="str">
        <x:v>Reference</x:v>
      </x:c>
      <x:c r="D2" s="17" t="str">
        <x:v>Repo Status</x:v>
      </x:c>
      <x:c r="E2" s="17" t="str">
        <x:v>Completion %</x:v>
      </x:c>
      <x:c r="F2" s="17" t="str">
        <x:v>Assessment</x:v>
      </x:c>
      <x:c r="G2" s="17" t="str">
        <x:v>Repo Evidence</x:v>
      </x:c>
      <x:c r="H2" s="17" t="str">
        <x:v>Recommended Next Step</x:v>
      </x:c>
    </x:row>
    <x:row r="3" ht="39.599998474121094" hidden="0" customHeight="1">
      <x:c r="A3" s="20" t="str">
        <x:v>D1</x:v>
      </x:c>
      <x:c r="B3" s="20" t="str">
        <x:v>Discovery Workplan and session schedule</x:v>
      </x:c>
      <x:c r="C3" s="20" t="str">
        <x:v>SOW Section 3</x:v>
      </x:c>
      <x:c r="D3" s="25" t="str">
        <x:v>Open</x:v>
      </x:c>
      <x:c r="E3" s="22" t="n">
        <x:v>0.2</x:v>
      </x:c>
      <x:c r="F3" s="20" t="str">
        <x:v>Kickoff planning context exists in the portal, but no formal workplan or maintained schedule artifact was found.</x:v>
      </x:c>
      <x:c r="G3" s="20" t="str">
        <x:v>KickoffPlanning page; kickoff notes; discovery discussion artifacts.</x:v>
      </x:c>
      <x:c r="H3" s="20" t="str">
        <x:v>Create a standalone workplan workbook or schedule tracker with sessions, dates, participants, requested artifacts, and status.</x:v>
      </x:c>
    </x:row>
    <x:row r="4" ht="39.599998474121094" hidden="0" customHeight="1">
      <x:c r="A4" s="20" t="str">
        <x:v>D2</x:v>
      </x:c>
      <x:c r="B4" s="20" t="str">
        <x:v>Current-State Assessment Summary</x:v>
      </x:c>
      <x:c r="C4" s="20" t="str">
        <x:v>SOW Section 3</x:v>
      </x:c>
      <x:c r="D4" s="28" t="str">
        <x:v>Completed</x:v>
      </x:c>
      <x:c r="E4" s="22" t="n">
        <x:v>1</x:v>
      </x:c>
      <x:c r="F4" s="20" t="str">
        <x:v>Strong current-state coverage exists across kickoff, artifact analysis, current/future-state walkthroughs, and discussion summaries.</x:v>
      </x:c>
      <x:c r="G4" s="20" t="str">
        <x:v>Phase1, Kickoff, DiscussionJun08, DiscussionJun10, DiscussionJun12, DiscussionJun17, HpLayoutSql, attached SQL/layout/source artifacts.</x:v>
      </x:c>
      <x:c r="H4" s="20" t="str">
        <x:v>Package the existing material as a named final assessment document if Mercy wants a single-file deliverable.</x:v>
      </x:c>
    </x:row>
    <x:row r="5" ht="39.599998474121094" hidden="0" customHeight="1">
      <x:c r="A5" s="20" t="str">
        <x:v>D3</x:v>
      </x:c>
      <x:c r="B5" s="20" t="str">
        <x:v>Gap and Risk Register</x:v>
      </x:c>
      <x:c r="C5" s="20" t="str">
        <x:v>SOW Section 3</x:v>
      </x:c>
      <x:c r="D5" s="31" t="str">
        <x:v>Partial</x:v>
      </x:c>
      <x:c r="E5" s="22" t="n">
        <x:v>0.65</x:v>
      </x:c>
      <x:c r="F5" s="20" t="str">
        <x:v>Gaps and risks are documented throughout the portal and recommendation packets, but not as one consolidated register.</x:v>
      </x:c>
      <x:c r="G5" s="20" t="str">
        <x:v>Phase1 risk/deliverables sections; Submission Strategy register; Reconciliation Strategy register; June 12 and June 17 findings.</x:v>
      </x:c>
      <x:c r="H5" s="20" t="str">
        <x:v>Create a dedicated register with severity, impact, mitigation, owner, and disposition.</x:v>
      </x:c>
    </x:row>
    <x:row r="6" ht="39.599998474121094" hidden="0" customHeight="1">
      <x:c r="A6" s="20" t="str">
        <x:v>D4</x:v>
      </x:c>
      <x:c r="B6" s="20" t="str">
        <x:v>Future-State Options Summary with ROM and timeline ranges</x:v>
      </x:c>
      <x:c r="C6" s="20" t="str">
        <x:v>SOW Section 3</x:v>
      </x:c>
      <x:c r="D6" s="31" t="str">
        <x:v>Partial</x:v>
      </x:c>
      <x:c r="E6" s="22" t="n">
        <x:v>0.45</x:v>
      </x:c>
      <x:c r="F6" s="20" t="str">
        <x:v>Future-state recommendations are well developed, but the repo does not show a formal options matrix with multiple option paths and planning-level ROM estimates.</x:v>
      </x:c>
      <x:c r="G6" s="20" t="str">
        <x:v>Submission Strategy and Reconciliation Strategy packets; future-state architecture and roadmap content.</x:v>
      </x:c>
      <x:c r="H6" s="20" t="str">
        <x:v>Add an options sheet with incremental vs broader transformation paths, tradeoffs, dependencies, ROM estimates, and indicative timing.</x:v>
      </x:c>
    </x:row>
    <x:row r="7" ht="39.599998474121094" hidden="0" customHeight="1">
      <x:c r="A7" s="20" t="str">
        <x:v>D5</x:v>
      </x:c>
      <x:c r="B7" s="20" t="str">
        <x:v>Executive Readout materials and final recommendation summary</x:v>
      </x:c>
      <x:c r="C7" s="20" t="str">
        <x:v>SOW Section 3</x:v>
      </x:c>
      <x:c r="D7" s="28" t="str">
        <x:v>Completed</x:v>
      </x:c>
      <x:c r="E7" s="22" t="n">
        <x:v>0.9</x:v>
      </x:c>
      <x:c r="F7" s="20" t="str">
        <x:v>Readout-style materials and recommendation packets are present, including kickoff/future-state decks and the portal recommendation pages.</x:v>
      </x:c>
      <x:c r="G7" s="20" t="str">
        <x:v>MercyKickoff deck, MercyFutureState PDF, Submission Strategy page, Reconciliation Strategy page, recommendation packet source workbooks.</x:v>
      </x:c>
      <x:c r="H7" s="20" t="str">
        <x:v>Optionally assemble a final executive deck/package that mirrors the SOW naming one-to-one.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6" hidden="0" customWidth="1"/>
    <x:col min="4" max="4" width="46" hidden="0" customWidth="1"/>
  </x:cols>
  <x:sheetData>
    <x:row r="1" ht="19.200000762939453" hidden="0" customHeight="1">
      <x:c r="A1" s="5" t="str">
        <x:v>Evidence Map</x:v>
      </x:c>
      <x:c r="B1" s="5"/>
      <x:c r="C1" s="5"/>
      <x:c r="D1" s="5"/>
    </x:row>
    <x:row r="2" ht="15" hidden="0" customHeight="1">
      <x:c r="A2" s="17" t="str">
        <x:v>Evidence Area</x:v>
      </x:c>
      <x:c r="B2" s="17" t="str">
        <x:v>What It Supports</x:v>
      </x:c>
      <x:c r="C2" s="17" t="str">
        <x:v>Primary File / Folder</x:v>
      </x:c>
      <x:c r="D2" s="17" t="str">
        <x:v>Secondary File / Folder</x:v>
      </x:c>
    </x:row>
    <x:row r="3" ht="39.599998474121094" hidden="0" customHeight="1">
      <x:c r="A3" s="20" t="str">
        <x:v>Portal routes and navigation</x:v>
      </x:c>
      <x:c r="B3" s="20" t="str">
        <x:v>The portal includes routes for SOW, kickoff, discussion dates, current-state analysis, submission strategy, and reconciliation strategy.</x:v>
      </x:c>
      <x:c r="C3" s="20" t="str">
        <x:v>/Volumes/ExternalData/Projects/MercyASMConsult/artifacts/engagement-portal/src/App.tsx</x:v>
      </x:c>
      <x:c r="D3" s="20" t="str">
        <x:v>/Volumes/ExternalData/Projects/MercyASMConsult/artifacts/engagement-portal/src/components/layout/Sidebar.tsx</x:v>
      </x:c>
    </x:row>
    <x:row r="4" ht="39.599998474121094" hidden="0" customHeight="1">
      <x:c r="A4" s="20" t="str">
        <x:v>Current-state and artifact analysis</x:v>
      </x:c>
      <x:c r="B4" s="20" t="str">
        <x:v>The current-state review is supported by a dedicated ASM artifacts analysis page and multiple discovery discussion pages.</x:v>
      </x:c>
      <x:c r="C4" s="20" t="str">
        <x:v>/Volumes/ExternalData/Projects/MercyASMConsult/artifacts/engagement-portal/src/pages/HpLayoutSql.tsx</x:v>
      </x:c>
      <x:c r="D4" s="20" t="str">
        <x:v>/Volumes/ExternalData/Projects/MercyASMConsult/artifacts/engagement-portal/src/pages/DiscussionJun12.tsx</x:v>
      </x:c>
    </x:row>
    <x:row r="5" ht="39.599998474121094" hidden="0" customHeight="1">
      <x:c r="A5" s="20" t="str">
        <x:v>Submission recommendation packet</x:v>
      </x:c>
      <x:c r="B5" s="20" t="str">
        <x:v>The submission path recommendation is implemented as a full packet with executive overview, register, blueprint, governance, QA, roadmap, and sources.</x:v>
      </x:c>
      <x:c r="C5" s="20" t="str">
        <x:v>/Volumes/ExternalData/Projects/MercyASMConsult/artifacts/engagement-portal/src/pages/SubmissionStrategy.tsx</x:v>
      </x:c>
      <x:c r="D5" s="20" t="str">
        <x:v>/Volumes/ExternalData/Projects/MercyASMConsult/artifacts/engagement-portal/src/data/submissionStrategy.ts</x:v>
      </x:c>
    </x:row>
    <x:row r="6" ht="39.599998474121094" hidden="0" customHeight="1">
      <x:c r="A6" s="20" t="str">
        <x:v>Reconciliation recommendation packet</x:v>
      </x:c>
      <x:c r="B6" s="20" t="str">
        <x:v>The reconciliation path recommendation is implemented as a full packet with intake, MAO analytics, root cause, controls, roadmap, and sources.</x:v>
      </x:c>
      <x:c r="C6" s="20" t="str">
        <x:v>/Volumes/ExternalData/Projects/MercyASMConsult/artifacts/engagement-portal/src/pages/ReconciliationStrategy.tsx</x:v>
      </x:c>
      <x:c r="D6" s="20" t="str">
        <x:v>/Volumes/ExternalData/Projects/MercyASMConsult/artifacts/engagement-portal/src/data/reconciliationStrategy.ts</x:v>
      </x:c>
    </x:row>
    <x:row r="7" ht="39.599998474121094" hidden="0" customHeight="1">
      <x:c r="A7" s="20" t="str">
        <x:v>Source decks and workbooks</x:v>
      </x:c>
      <x:c r="B7" s="20" t="str">
        <x:v>The repo includes kickoff decks, future-state PDFs, SQL samples, layout files, and source recommendation workbooks used to prepare the portal content.</x:v>
      </x:c>
      <x:c r="C7" s="20" t="str">
        <x:v>/Volumes/ExternalData/Projects/MercyASMConsult/attached_assets</x:v>
      </x:c>
      <x:c r="D7" s="20" t="str">
        <x:v>/Volumes/ExternalData/Projects/MercyASMConsult/replit.md</x:v>
      </x:c>
    </x:row>
  </x:sheetData>
  <x:mergeCells>
    <x:mergeCell ref="A1:D1"/>
  </x:mergeCells>
  <x:pageMargins left="0.7" right="0.7" top="0.75" bottom="0.75" header="0.3" footer="0.3"/>
</x:worksheet>
</file>