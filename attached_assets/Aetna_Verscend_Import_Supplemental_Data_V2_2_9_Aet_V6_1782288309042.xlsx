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smrcy-my.sharepoint.com/personal/lareed4_mercy_net/Documents/All Payer Sweeps/Aetna Sweeps/"/>
    </mc:Choice>
  </mc:AlternateContent>
  <xr:revisionPtr revIDLastSave="0" documentId="13_ncr:1_{931A4D7C-166B-4D86-801E-D43242B04A5E}" xr6:coauthVersionLast="47" xr6:coauthVersionMax="47" xr10:uidLastSave="{00000000-0000-0000-0000-000000000000}"/>
  <workbookProtection workbookAlgorithmName="SHA-512" workbookHashValue="3OtLhG0eN8XVo6+krniufeiazeCeLuOuUvqpGhxORALJkqI26QxTyWf1V7QGyh/wRT/JbTLaVl5izhC5vxvcSg==" workbookSaltValue="pMwJMrS2eeS8w52qSTtYnA==" workbookSpinCount="100000" lockStructure="1"/>
  <bookViews>
    <workbookView xWindow="-120" yWindow="-120" windowWidth="29040" windowHeight="15720" tabRatio="603" xr2:uid="{00000000-000D-0000-FFFF-FFFF00000000}"/>
  </bookViews>
  <sheets>
    <sheet name="File Information" sheetId="4" r:id="rId1"/>
    <sheet name="HeaderRecord" sheetId="5" r:id="rId2"/>
    <sheet name="DetailRecord" sheetId="6" r:id="rId3"/>
    <sheet name="FooterRecord" sheetId="7" r:id="rId4"/>
    <sheet name="Change Tracker" sheetId="8" r:id="rId5"/>
  </sheets>
  <externalReferences>
    <externalReference r:id="rId6"/>
  </externalReferences>
  <definedNames>
    <definedName name="_xlnm._FilterDatabase" localSheetId="2" hidden="1">DetailRecord!$A$6:$H$242</definedName>
    <definedName name="_xlnm._FilterDatabase" localSheetId="3" hidden="1">FooterRecord!$A$6:$H$6</definedName>
    <definedName name="_xlnm._FilterDatabase" localSheetId="1" hidden="1">HeaderRecord!$A$6:$H$28</definedName>
    <definedName name="_xlnm.Print_Area" localSheetId="2">DetailRecord!$A$1:$I$249</definedName>
    <definedName name="_xlnm.Print_Area" localSheetId="0">'File Information'!$A$1:$C$13</definedName>
    <definedName name="_xlnm.Print_Area" localSheetId="3">FooterRecord!$A$1:$I$16</definedName>
    <definedName name="_xlnm.Print_Area" localSheetId="1">HeaderRecord!$A$1:$I$33</definedName>
    <definedName name="_xlnm.Print_Titles" localSheetId="2">DetailRecord!$6:$6</definedName>
    <definedName name="_xlnm.Print_Titles" localSheetId="3">FooterRecord!$6:$6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 i="7" l="1"/>
  <c r="A9" i="7" s="1"/>
  <c r="A10" i="7" s="1"/>
  <c r="A11" i="7" s="1"/>
  <c r="A12" i="7" s="1"/>
  <c r="A8" i="6"/>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8" i="5"/>
  <c r="A9" i="5" s="1"/>
  <c r="A10" i="5" s="1"/>
  <c r="A11" i="5" s="1"/>
  <c r="A12" i="5" s="1"/>
  <c r="A13" i="5" s="1"/>
  <c r="A14" i="5" s="1"/>
  <c r="A15" i="5" s="1"/>
  <c r="A16" i="5" s="1"/>
  <c r="A17" i="5" s="1"/>
  <c r="A18" i="5" s="1"/>
  <c r="A19" i="5" s="1"/>
  <c r="A20" i="5" s="1"/>
  <c r="A21" i="5" s="1"/>
  <c r="A22" i="5" s="1"/>
  <c r="A23" i="5" s="1"/>
  <c r="A24" i="5" s="1"/>
  <c r="A25" i="5" s="1"/>
  <c r="A26" i="5" s="1"/>
  <c r="A27" i="5" s="1"/>
  <c r="A28" i="5" s="1"/>
</calcChain>
</file>

<file path=xl/sharedStrings.xml><?xml version="1.0" encoding="utf-8"?>
<sst xmlns="http://schemas.openxmlformats.org/spreadsheetml/2006/main" count="1208" uniqueCount="602">
  <si>
    <t>File Information</t>
  </si>
  <si>
    <t>Characteristic</t>
  </si>
  <si>
    <t>Description</t>
  </si>
  <si>
    <t>File Type</t>
  </si>
  <si>
    <t>File Name</t>
  </si>
  <si>
    <t>Field Delimiter</t>
  </si>
  <si>
    <t>Tilde (~)</t>
  </si>
  <si>
    <t>Record Delimiter</t>
  </si>
  <si>
    <t>Caret (^) and CR/LF together</t>
  </si>
  <si>
    <t>Invalid Field Character values</t>
  </si>
  <si>
    <t>Tilde, Grave, Asterisk, Colon, Caret, Quotation, Pipe (~ ` * : ^ " |)</t>
  </si>
  <si>
    <t>Req Column</t>
  </si>
  <si>
    <t>Header Record</t>
  </si>
  <si>
    <t>Header Record Layout</t>
  </si>
  <si>
    <t>Field Index</t>
  </si>
  <si>
    <t>Field</t>
  </si>
  <si>
    <t>Comments</t>
  </si>
  <si>
    <t>Data Example</t>
  </si>
  <si>
    <t>Req</t>
  </si>
  <si>
    <t>Format</t>
  </si>
  <si>
    <t>Width</t>
  </si>
  <si>
    <t>Record Type</t>
  </si>
  <si>
    <t>H</t>
  </si>
  <si>
    <t>R</t>
  </si>
  <si>
    <t>VH Header Version</t>
  </si>
  <si>
    <t>2.0.0</t>
  </si>
  <si>
    <t>File Category</t>
  </si>
  <si>
    <t>Defines type of data within file</t>
  </si>
  <si>
    <t>Additional Diagnosis</t>
  </si>
  <si>
    <t>Additional Diag</t>
  </si>
  <si>
    <t>File Category Trailer Version</t>
  </si>
  <si>
    <t>1.0.0</t>
  </si>
  <si>
    <t>File Standard Body</t>
  </si>
  <si>
    <t>Proprietary</t>
  </si>
  <si>
    <t>Supplemental</t>
  </si>
  <si>
    <t>File Version</t>
  </si>
  <si>
    <t>Version of the specification used for the file.</t>
  </si>
  <si>
    <t>2.2.9</t>
  </si>
  <si>
    <t>File SubType</t>
  </si>
  <si>
    <t>Describes a subtype of the file if one exists. Used for clarification if multiple subtypes can exist.</t>
  </si>
  <si>
    <t>[Not used, leave blank]</t>
  </si>
  <si>
    <t>N</t>
  </si>
  <si>
    <t>File ID</t>
  </si>
  <si>
    <t>Unique identifier for the file as designated by the sender.</t>
  </si>
  <si>
    <t>[Values are client defined]</t>
  </si>
  <si>
    <t>AbcHealth201903311209</t>
  </si>
  <si>
    <t>File Revision</t>
  </si>
  <si>
    <t>Reserved for internal use. Client to send as 0</t>
  </si>
  <si>
    <t>File Create Date</t>
  </si>
  <si>
    <t>Date/time of file creation. Does not need to match file name date/time</t>
  </si>
  <si>
    <t>CCYYMMDDHHmmss</t>
  </si>
  <si>
    <t>Production Indicator</t>
  </si>
  <si>
    <t>Indicates the file is a Production or Test file.</t>
  </si>
  <si>
    <t>PROD -or- TEST</t>
  </si>
  <si>
    <t>PROD</t>
  </si>
  <si>
    <t>Client ID</t>
  </si>
  <si>
    <t>Identifier Verisk Health assigns to a distinct client</t>
  </si>
  <si>
    <t>[Value as defined by Verscend Health]</t>
  </si>
  <si>
    <t>AET</t>
  </si>
  <si>
    <t>Vendor ID</t>
  </si>
  <si>
    <t>Identifier Client uses to specify a specific vendor for reporting purposes.</t>
  </si>
  <si>
    <t>System Source</t>
  </si>
  <si>
    <t>Client data extraction source system.</t>
  </si>
  <si>
    <t>EDS</t>
  </si>
  <si>
    <t>Line of Business</t>
  </si>
  <si>
    <t>Medicare</t>
  </si>
  <si>
    <t>State</t>
  </si>
  <si>
    <t>Two character state abbreviation when either Medicaid -or- Dual is populated in LOB field.</t>
  </si>
  <si>
    <t>RESERVED</t>
  </si>
  <si>
    <t>Reserved for future use.</t>
  </si>
  <si>
    <t>End of Record Indicator</t>
  </si>
  <si>
    <t>^</t>
  </si>
  <si>
    <t>Mock Demo Header Record:</t>
  </si>
  <si>
    <t>Detail Record</t>
  </si>
  <si>
    <t>Detail Record Layout</t>
  </si>
  <si>
    <t xml:space="preserve">D </t>
  </si>
  <si>
    <t>D</t>
  </si>
  <si>
    <t>Record ID</t>
  </si>
  <si>
    <t>F</t>
  </si>
  <si>
    <t>Claim Type Indicator</t>
  </si>
  <si>
    <t xml:space="preserve">I-Institutional P-Professional D-Dental (where applicable) </t>
  </si>
  <si>
    <t xml:space="preserve">I, P, D </t>
  </si>
  <si>
    <t>P</t>
  </si>
  <si>
    <t>Supplemental Type</t>
  </si>
  <si>
    <t>AD</t>
  </si>
  <si>
    <t>Original Record ID</t>
  </si>
  <si>
    <t xml:space="preserve">Record ID of the submission that should be replaced/voided </t>
  </si>
  <si>
    <t xml:space="preserve">Plan's claim processing system source </t>
  </si>
  <si>
    <t>DEFAULT</t>
  </si>
  <si>
    <t>Claim Indicator</t>
  </si>
  <si>
    <t>Plan Claim Number</t>
  </si>
  <si>
    <t xml:space="preserve">Unique plan claim identifier </t>
  </si>
  <si>
    <t>Original Plan Claim ID</t>
  </si>
  <si>
    <t xml:space="preserve">Plan Claim ID of the submission that should be voided </t>
  </si>
  <si>
    <t>CMS Contract Number</t>
  </si>
  <si>
    <t xml:space="preserve">Contract number as assigned by CMS </t>
  </si>
  <si>
    <t>H0523</t>
  </si>
  <si>
    <t xml:space="preserve">Member's Medicare ID </t>
  </si>
  <si>
    <t>7GV9AD1NV31</t>
  </si>
  <si>
    <t>Member ID</t>
  </si>
  <si>
    <t xml:space="preserve">Plan member identifier </t>
  </si>
  <si>
    <t>MEBP8SMZ</t>
  </si>
  <si>
    <t>Member Last Name</t>
  </si>
  <si>
    <t xml:space="preserve">Required to be populated for potential standalone encounters (unable to match a record to an encounter). When not present on a standalone encounter, will create in errors in EDSQ. </t>
  </si>
  <si>
    <t>GARDNER</t>
  </si>
  <si>
    <t xml:space="preserve">F = Aetna will try to identify if not provided; Lack of data will result in Supplemental Fatal error </t>
  </si>
  <si>
    <t>Member First Name</t>
  </si>
  <si>
    <t>MARY</t>
  </si>
  <si>
    <t>Member Middle Name</t>
  </si>
  <si>
    <t xml:space="preserve">Middle name or middle initial of member </t>
  </si>
  <si>
    <t>A</t>
  </si>
  <si>
    <t>Member Name Suffix</t>
  </si>
  <si>
    <t xml:space="preserve">Name suffix of member </t>
  </si>
  <si>
    <t>Member Address 1</t>
  </si>
  <si>
    <t>16601 MCPHERSON AVE</t>
  </si>
  <si>
    <t>Member Address 2</t>
  </si>
  <si>
    <t xml:space="preserve">Street address 2 for member </t>
  </si>
  <si>
    <t>Member City</t>
  </si>
  <si>
    <t>LAKE ELSINORE</t>
  </si>
  <si>
    <t>Member State</t>
  </si>
  <si>
    <t>CA</t>
  </si>
  <si>
    <t>Member Postal Code</t>
  </si>
  <si>
    <t>Member Zip+4</t>
  </si>
  <si>
    <t xml:space="preserve">If not populated, will be defaulted in the event the record must be submitted as stand alone encounter. </t>
  </si>
  <si>
    <t>Member County of Residence</t>
  </si>
  <si>
    <t>Member Country</t>
  </si>
  <si>
    <t xml:space="preserve">Required if NOT the United States </t>
  </si>
  <si>
    <t>Member Country Subdivision</t>
  </si>
  <si>
    <t>Member Group Number</t>
  </si>
  <si>
    <t>Member DOB</t>
  </si>
  <si>
    <t>19330603</t>
  </si>
  <si>
    <t xml:space="preserve">CCYYMMDD </t>
  </si>
  <si>
    <t>Member Gender</t>
  </si>
  <si>
    <t>Member SSN</t>
  </si>
  <si>
    <t>Members PCP ID</t>
  </si>
  <si>
    <t>Members PCP Last Name</t>
  </si>
  <si>
    <t>Members PCP First Name</t>
  </si>
  <si>
    <t>Patient Account Number</t>
  </si>
  <si>
    <t>Provider Type</t>
  </si>
  <si>
    <t>Required; Allows for values INPT,OUTP,PHYS or 01,02,10, or 20</t>
  </si>
  <si>
    <t>01</t>
  </si>
  <si>
    <t>Subcontracted Provider Last Name</t>
  </si>
  <si>
    <t xml:space="preserve">When applicable for audit compliance purposes </t>
  </si>
  <si>
    <t>Subcontracted Provider First Name</t>
  </si>
  <si>
    <t>Subcontracted Provider ID</t>
  </si>
  <si>
    <t>Subcontracted Provider Credential</t>
  </si>
  <si>
    <t>Rendering Provider Organization Name</t>
  </si>
  <si>
    <t xml:space="preserve">Name of a group or facility rendering provider </t>
  </si>
  <si>
    <t>Rendering Provider Group ID</t>
  </si>
  <si>
    <t xml:space="preserve">Group ID of the rendering provider </t>
  </si>
  <si>
    <t>Rendering Provider Last Name</t>
  </si>
  <si>
    <t xml:space="preserve">Required to be populated in the event that a record does not match and encounter. Will create errors in EDSQ if not present on stand alone. </t>
  </si>
  <si>
    <t>ALTOBELLI</t>
  </si>
  <si>
    <t>Rendering Provider First Name</t>
  </si>
  <si>
    <t>JANINE</t>
  </si>
  <si>
    <t>Rendering Provider Middle Name</t>
  </si>
  <si>
    <t xml:space="preserve">Middle name or initial of the rendering provider, if applicable </t>
  </si>
  <si>
    <t>Rendering Provider Name Suffix</t>
  </si>
  <si>
    <t xml:space="preserve">Name suffix of the rendering provider, if applicable </t>
  </si>
  <si>
    <t>Rendering Provider Address Line 1</t>
  </si>
  <si>
    <t>7534 E 2ND ST</t>
  </si>
  <si>
    <t>Rendering Provider Address Line 2</t>
  </si>
  <si>
    <t xml:space="preserve">Line 2 of rendering provider address, if applicable </t>
  </si>
  <si>
    <t>STE 102</t>
  </si>
  <si>
    <t>Rendering Provider City</t>
  </si>
  <si>
    <t>SCOTTSDALE</t>
  </si>
  <si>
    <t>Rendering Provider Address State Code</t>
  </si>
  <si>
    <t>AZ</t>
  </si>
  <si>
    <t>Rendering Provider Postal Code</t>
  </si>
  <si>
    <t>Rendering Provider zip+4</t>
  </si>
  <si>
    <t>Rendering Provider NPI</t>
  </si>
  <si>
    <t>Rendering Provider Tax ID</t>
  </si>
  <si>
    <t>Rendering Provider Taxonomy Code</t>
  </si>
  <si>
    <t>Rendering Provider State License Number</t>
  </si>
  <si>
    <t>Rendering Provider UPIN</t>
  </si>
  <si>
    <t>Rendering Provider Plan Provider ID</t>
  </si>
  <si>
    <t>Rendering Provider Location Number</t>
  </si>
  <si>
    <t>Rendering Provider Contact Last Name</t>
  </si>
  <si>
    <t>Rendering Provider Contact First Name</t>
  </si>
  <si>
    <t>Rendering Provider Credential</t>
  </si>
  <si>
    <t xml:space="preserve">Example: MD, DO, PA, NP, LPN, RN </t>
  </si>
  <si>
    <t>Rendering Provider Contact Phone</t>
  </si>
  <si>
    <t>Oversight Provider Last Name</t>
  </si>
  <si>
    <t xml:space="preserve">If applicable by state law </t>
  </si>
  <si>
    <t>Oversight Provider First Name</t>
  </si>
  <si>
    <t>Oversight Provider Middle Name</t>
  </si>
  <si>
    <t>Oversight Provider Name Suffix</t>
  </si>
  <si>
    <t>Oversight Provider Address Line 1</t>
  </si>
  <si>
    <t>Oversight Provider Address Line 2</t>
  </si>
  <si>
    <t>Oversight Provider City</t>
  </si>
  <si>
    <t>Oversight Provider Address State Code</t>
  </si>
  <si>
    <t>Oversight Provider Postal Code</t>
  </si>
  <si>
    <t>Oversight Provider zip+4</t>
  </si>
  <si>
    <t>Oversight Provider Credential</t>
  </si>
  <si>
    <t xml:space="preserve">Example: MD, DO, PA, NP </t>
  </si>
  <si>
    <t>Service Start Date</t>
  </si>
  <si>
    <t>Service End Date</t>
  </si>
  <si>
    <t>If not populated, field will default to Service Start Date for matching and stand alone submission purposes whenever possible</t>
  </si>
  <si>
    <t>Service Facility Name</t>
  </si>
  <si>
    <t>Diagnosis Code 1</t>
  </si>
  <si>
    <t xml:space="preserve">At least one valid diagnosis code is required </t>
  </si>
  <si>
    <t>I4891</t>
  </si>
  <si>
    <t>Institutional Other Diagnosis Code Present on Admission Indicator 1</t>
  </si>
  <si>
    <t xml:space="preserve">Y-Yes, N-No, U-Unknown, W-Not Applicable </t>
  </si>
  <si>
    <t>Diagnosis Code 1 Qualifier</t>
  </si>
  <si>
    <t xml:space="preserve">ICD9 = BF ICD10 = ABF </t>
  </si>
  <si>
    <t>ABF</t>
  </si>
  <si>
    <t>Risk Assessment Code Diagnosis 1</t>
  </si>
  <si>
    <t xml:space="preserve">A = Diagnosis code comes from a clinical setting. B = Diagnosis code comes from a non-clinical setting and originates in a visit where all requirements WERE met for a First Annual Wellness Visit or Subsequent Annual Wellness Visit. C = Diagnosis code comes from a non-clinical setting and originates in a visit where all requirements WERE NOT met for a First Annual Wellness Visit or Subsequent Annual Wellness Visit. </t>
  </si>
  <si>
    <t>Delete Diag1</t>
  </si>
  <si>
    <t xml:space="preserve">Optional; Blank or "Y"; Use "Y" to send a deleted diag1 to CMS </t>
  </si>
  <si>
    <t>Diagnosis Code 2</t>
  </si>
  <si>
    <t xml:space="preserve">Diagnosis code/Other Diagnosis Code Institutional </t>
  </si>
  <si>
    <t>I739</t>
  </si>
  <si>
    <t>Institutional Other Diagnosis Code Present on Admission Indicator 2</t>
  </si>
  <si>
    <t>Diagnosis Code 2 Qualifier</t>
  </si>
  <si>
    <t xml:space="preserve">Required to be populated if diagnosis code is populated </t>
  </si>
  <si>
    <t>Risk Assessment Code Diagnosis 2</t>
  </si>
  <si>
    <t>Delete Diag2</t>
  </si>
  <si>
    <t xml:space="preserve">Optional; Blank or "Y"; Use "Y" to send a deleted diag2 to CMS </t>
  </si>
  <si>
    <t>Diagnosis Code 3</t>
  </si>
  <si>
    <t>Institutional Other Diagnosis Code Present on Admission Indicator 3</t>
  </si>
  <si>
    <t>N183</t>
  </si>
  <si>
    <t>Diagnosis Code 3 Qualifier</t>
  </si>
  <si>
    <t>Risk Assessment Code Diagnosis 3</t>
  </si>
  <si>
    <t>Delete Diag3</t>
  </si>
  <si>
    <t xml:space="preserve">Optional; Blank or "Y"; Use "Y" to send a deleted diag3 to CMS </t>
  </si>
  <si>
    <t>Diagnosis Code 4</t>
  </si>
  <si>
    <t>Institutional Other Diagnosis Code Present on Admission Indicator 4</t>
  </si>
  <si>
    <t>Diagnosis Code 4 Qualifier</t>
  </si>
  <si>
    <t>Risk Assessment Code Diagnosis 4</t>
  </si>
  <si>
    <t>Delete Diag4</t>
  </si>
  <si>
    <t xml:space="preserve">Optional; Blank or "Y"; Use "Y" to send a deleted diag4 to CMS </t>
  </si>
  <si>
    <t>Diagnosis Code 5</t>
  </si>
  <si>
    <t>Institutional Other Diagnosis Code Present on Admission Indicator 5</t>
  </si>
  <si>
    <t>Diagnosis Code 5 Qualifier</t>
  </si>
  <si>
    <t>Risk Assessment Code Diagnosis 5</t>
  </si>
  <si>
    <t>Delete Diag5</t>
  </si>
  <si>
    <t xml:space="preserve">Optional; Blank or "Y"; Use "Y" to send a deleted diag5 to CMS </t>
  </si>
  <si>
    <t>Diagnosis Code 6</t>
  </si>
  <si>
    <t>Institutional Other Diagnosis Code Present on Admission Indicator 6</t>
  </si>
  <si>
    <t>Diagnosis Code 6 Qualifier</t>
  </si>
  <si>
    <t>Risk Assessment Code Diagnosis 6</t>
  </si>
  <si>
    <t>Delete Diag6</t>
  </si>
  <si>
    <t xml:space="preserve">Optional; Blank or "Y"; Use "Y" to send a deleted diag6 to CMS </t>
  </si>
  <si>
    <t>Diagnosis Code 7</t>
  </si>
  <si>
    <t>Institutional Other Diagnosis Code Present on Admission Indicator 7</t>
  </si>
  <si>
    <t>Diagnosis Code 7 Qualifier</t>
  </si>
  <si>
    <t>Risk Assessment Code Diagnosis 7</t>
  </si>
  <si>
    <t>Delete Diag7</t>
  </si>
  <si>
    <t xml:space="preserve">Optional; Blank or "Y"; Use "Y" to send a deleted diag7 to CMS </t>
  </si>
  <si>
    <t>Diagnosis Code 8</t>
  </si>
  <si>
    <t>Institutional Other Diagnosis Code Present on Admission Indicator 8</t>
  </si>
  <si>
    <t>Diagnosis Code 8 Qualifier</t>
  </si>
  <si>
    <t>Risk Assessment Code Diagnosis 8</t>
  </si>
  <si>
    <t>Delete Diag8</t>
  </si>
  <si>
    <t xml:space="preserve">Optional; Blank or "Y"; Use "Y" to send a deleted diag8 to CMS </t>
  </si>
  <si>
    <t>Diagnosis Code 9</t>
  </si>
  <si>
    <t>Institutional Other Diagnosis Code Present on Admission Indicator 9</t>
  </si>
  <si>
    <t>Diagnosis Code 9 Qualifier</t>
  </si>
  <si>
    <t>Risk Assessment Code Diagnosis 9</t>
  </si>
  <si>
    <t>Delete Diag9</t>
  </si>
  <si>
    <t xml:space="preserve">Optional; Blank or "Y"; Use "Y" to send a deleted diag9 to CMS </t>
  </si>
  <si>
    <t>Diagnosis Code 10</t>
  </si>
  <si>
    <t>Institutional Other Diagnosis Code Present on Admission Indicator 10</t>
  </si>
  <si>
    <t>Diagnosis Code 10 Qualifier</t>
  </si>
  <si>
    <t>Risk Assessment Code Diagnosis 10</t>
  </si>
  <si>
    <t>Delete Diag10</t>
  </si>
  <si>
    <t xml:space="preserve">Optional; Blank or "Y"; Use "Y" to send a deleted diag10 to CMS </t>
  </si>
  <si>
    <t>Diagnosis Code 11</t>
  </si>
  <si>
    <t>Institutional Other Diagnosis Code Present on Admission Indicator 11</t>
  </si>
  <si>
    <t>Diagnosis Code 11 Qualifier</t>
  </si>
  <si>
    <t>Risk Assessment Code Diagnosis 11</t>
  </si>
  <si>
    <t>Delete Diag11</t>
  </si>
  <si>
    <t xml:space="preserve">Optional; Blank or "Y"; Use "Y" to send a deleted diag11 to CMS </t>
  </si>
  <si>
    <t>Diagnosis Code 12</t>
  </si>
  <si>
    <t>Institutional Other Diagnosis Code Present on Admission Indicator 12</t>
  </si>
  <si>
    <t>Diagnosis Code 12 Qualifier</t>
  </si>
  <si>
    <t>Risk Assessment Code Diagnosis 12</t>
  </si>
  <si>
    <t>Delete Diag12</t>
  </si>
  <si>
    <t xml:space="preserve">Optional; Blank or "Y"; Use "Y" to send a deleted diag12 to CMS </t>
  </si>
  <si>
    <t>Diagnosis Code 13</t>
  </si>
  <si>
    <t xml:space="preserve">Primary diagnosis code Physician/Other Diagnosis Code Institutional </t>
  </si>
  <si>
    <t>Institutional Other Diagnosis Code Present on Admission Indicator 13</t>
  </si>
  <si>
    <t>Diagnosis Code 13 Qualifier</t>
  </si>
  <si>
    <t>Risk Assessment Code Diagnosis 13</t>
  </si>
  <si>
    <t>Delete Diag13</t>
  </si>
  <si>
    <t xml:space="preserve">Optional; Blank or "Y"; Use "Y" to send a deleted diag13 to CMS </t>
  </si>
  <si>
    <t>Diagnosis Code 14</t>
  </si>
  <si>
    <t>Institutional Other Diagnosis Code Present on Admission Indicator 14</t>
  </si>
  <si>
    <t>Diagnosis Code 14 Qualifier</t>
  </si>
  <si>
    <t>Risk Assessment Code Diagnosis 14</t>
  </si>
  <si>
    <t>Delete Diag14</t>
  </si>
  <si>
    <t xml:space="preserve">Optional; Blank or "Y"; Use "Y" to send a deleted diag14 to CMS </t>
  </si>
  <si>
    <t>Diagnosis Code 15</t>
  </si>
  <si>
    <t>Institutional Other Diagnosis Code Present on Admission Indicator 15</t>
  </si>
  <si>
    <t>Diagnosis Code 15 Qualifier</t>
  </si>
  <si>
    <t>Risk Assessment Code Diagnosis 15</t>
  </si>
  <si>
    <t>Delete Diag15</t>
  </si>
  <si>
    <t xml:space="preserve">Optional; Blank or "Y"; Use "Y" to send a deleted diag15 to CMS </t>
  </si>
  <si>
    <t>Diagnosis Code 16</t>
  </si>
  <si>
    <t>Institutional Other Diagnosis Code Present on Admission Indicator 16</t>
  </si>
  <si>
    <t>Diagnosis Code 16 Qualifier</t>
  </si>
  <si>
    <t>Risk Assessment Code Diagnosis 16</t>
  </si>
  <si>
    <t>Delete Diag16</t>
  </si>
  <si>
    <t xml:space="preserve">Optional; Blank or "Y"; Use "Y" to send a deleted diag16 to CMS </t>
  </si>
  <si>
    <t>Diagnosis Code 17</t>
  </si>
  <si>
    <t>Institutional Other Diagnosis Code Present on Admission Indicator 17</t>
  </si>
  <si>
    <t>Diagnosis Code 17 Qualifier</t>
  </si>
  <si>
    <t>Risk Assessment Code Diagnosis 17</t>
  </si>
  <si>
    <t>Delete Diag17</t>
  </si>
  <si>
    <t xml:space="preserve">Optional; Blank or "Y"; Use "Y" to send a deleted diag17 to CMS </t>
  </si>
  <si>
    <t>Diagnosis Code 18</t>
  </si>
  <si>
    <t>Institutional Other Diagnosis Code Present on Admission Indicator 18</t>
  </si>
  <si>
    <t>Diagnosis Code 18 Qualifier</t>
  </si>
  <si>
    <t>Risk Assessment Code Diagnosis 18</t>
  </si>
  <si>
    <t>Delete Diag18</t>
  </si>
  <si>
    <t xml:space="preserve">Optional; Blank or "Y"; Use "Y" to send a deleted diag18 to CMS </t>
  </si>
  <si>
    <t>Diagnosis Code 19</t>
  </si>
  <si>
    <t>Institutional Other Diagnosis Code Present on Admission Indicator 19</t>
  </si>
  <si>
    <t>Diagnosis Code 19 Qualifier</t>
  </si>
  <si>
    <t>Risk Assessment Code Diagnosis 19</t>
  </si>
  <si>
    <t>Delete Diag19</t>
  </si>
  <si>
    <t xml:space="preserve">Optional; Blank or "Y"; Use "Y" to send a deleted diag19 to CMS </t>
  </si>
  <si>
    <t>Diagnosis Code 20</t>
  </si>
  <si>
    <t>Institutional Other Diagnosis Code Present on Admission Indicator 20</t>
  </si>
  <si>
    <t>Diagnosis Code 20 Qualifier</t>
  </si>
  <si>
    <t>Risk Assessment Code Diagnosis 20</t>
  </si>
  <si>
    <t>Delete Diag20</t>
  </si>
  <si>
    <t xml:space="preserve">Optional; Blank or "Y"; Use "Y" to send a deleted diag20 to CMS </t>
  </si>
  <si>
    <t>Diagnosis Code 21</t>
  </si>
  <si>
    <t>Institutional Other Diagnosis Code Present on Admission Indicator 21</t>
  </si>
  <si>
    <t>Diagnosis Code 21 Qualifier</t>
  </si>
  <si>
    <t>Risk Assessment Code Diagnosis 21</t>
  </si>
  <si>
    <t>Delete Diag21</t>
  </si>
  <si>
    <t xml:space="preserve">Optional; Blank or "Y"; Use "Y" to send a deleted diag21 to CMS </t>
  </si>
  <si>
    <t>Diagnosis Code 22</t>
  </si>
  <si>
    <t>Institutional Other Diagnosis Code Present on Admission Indicator 22</t>
  </si>
  <si>
    <t>Diagnosis Code 22 Qualifier</t>
  </si>
  <si>
    <t>Risk Assessment Code Diagnosis 22</t>
  </si>
  <si>
    <t>Delete Diag22</t>
  </si>
  <si>
    <t xml:space="preserve">Optional; Blank or "Y"; Use "Y" to send a deleted diag22 to CMS </t>
  </si>
  <si>
    <t>Diagnosis Code 23</t>
  </si>
  <si>
    <t>Institutional Other Diagnosis Code Present on Admission Indicator 23</t>
  </si>
  <si>
    <t>Diagnosis Code 23 Qualifier</t>
  </si>
  <si>
    <t>Risk Assessment Code Diagnosis 23</t>
  </si>
  <si>
    <t>Delete Diag23</t>
  </si>
  <si>
    <t xml:space="preserve">Optional; Blank or "Y"; Use "Y" to send a deleted diag23 to CMS </t>
  </si>
  <si>
    <t>Diagnosis Code 24</t>
  </si>
  <si>
    <t>Institutional Other Diagnosis Code Present on Admission Indicator 24</t>
  </si>
  <si>
    <t>Diagnosis Code 24 Qualifier</t>
  </si>
  <si>
    <t>Risk Assessment Code Diagnosis 24</t>
  </si>
  <si>
    <t>Delete Diag24</t>
  </si>
  <si>
    <t xml:space="preserve">Optional; Blank or "Y"; Use "Y" to send a deleted diag24 to CMS </t>
  </si>
  <si>
    <t>Diagnosis Code 25</t>
  </si>
  <si>
    <t>Institutional Other Diagnosis Code Present on Admission Indicator 25</t>
  </si>
  <si>
    <t>Diagnosis Code 25 Qualifier</t>
  </si>
  <si>
    <t>Risk Assessment Code Diagnosis 25</t>
  </si>
  <si>
    <t>Delete Diag25</t>
  </si>
  <si>
    <t xml:space="preserve">Optional; Blank or "Y"; Use "Y" to send a deleted diag25 to CMS </t>
  </si>
  <si>
    <t>Diagnosis Code 26</t>
  </si>
  <si>
    <t>Institutional Other Diagnosis Code Present on Admission Indicator 26</t>
  </si>
  <si>
    <t>Diagnosis Code 26 Qualifier</t>
  </si>
  <si>
    <t>Risk Assessment Code Diagnosis 26</t>
  </si>
  <si>
    <t>Delete Diag26</t>
  </si>
  <si>
    <t xml:space="preserve">Optional; Blank or "Y"; Use "Y" to send a deleted diag26 to CMS </t>
  </si>
  <si>
    <t>Diagnosis Code 27</t>
  </si>
  <si>
    <t>Institutional Other Diagnosis Code Present on Admission Indicator 27</t>
  </si>
  <si>
    <t>Diagnosis Code 27 Qualifier</t>
  </si>
  <si>
    <t>Risk Assessment Code Diagnosis 27</t>
  </si>
  <si>
    <t>Delete Diag27</t>
  </si>
  <si>
    <t xml:space="preserve">Optional; Blank or "Y"; Use "Y" to send a deleted diag27 to CMS </t>
  </si>
  <si>
    <t>Diagnosis Code 28</t>
  </si>
  <si>
    <t>Institutional Other Diagnosis Code Present on Admission Indicator 28</t>
  </si>
  <si>
    <t>Diagnosis Code 28 Qualifier</t>
  </si>
  <si>
    <t>Risk Assessment Code Diagnosis 28</t>
  </si>
  <si>
    <t>Delete Diag28</t>
  </si>
  <si>
    <t xml:space="preserve">Optional; Blank or "Y"; Use "Y" to send a deleted diag28 to CMS </t>
  </si>
  <si>
    <t>Diagnosis Code 29</t>
  </si>
  <si>
    <t>Institutional Other Diagnosis Code Present on Admission Indicator 29</t>
  </si>
  <si>
    <t>Diagnosis Code 29 Qualifier</t>
  </si>
  <si>
    <t>Risk Assessment Code Diagnosis 29</t>
  </si>
  <si>
    <t>Delete Diag29</t>
  </si>
  <si>
    <t xml:space="preserve">Optional; Blank or "Y"; Use "Y" to send a deleted diag29 to CMS </t>
  </si>
  <si>
    <t>Diagnosis Code 30</t>
  </si>
  <si>
    <t>Institutional Other Diagnosis Code Present on Admission Indicator 30</t>
  </si>
  <si>
    <t>Diagnosis Code 30 Qualifier</t>
  </si>
  <si>
    <t>Risk Assessment Code Diagnosis 30</t>
  </si>
  <si>
    <t>Delete Diag30</t>
  </si>
  <si>
    <t xml:space="preserve">Optional; Blank or "Y"; Use "Y" to send a deleted diag30 to CMS </t>
  </si>
  <si>
    <t>OPTIONAL REPORTING INDICATOR 1</t>
  </si>
  <si>
    <t xml:space="preserve">Reserved for future use. </t>
  </si>
  <si>
    <t>DO NOT POPULATE</t>
  </si>
  <si>
    <t>OPTIONAL REPORTING INDICATOR 2</t>
  </si>
  <si>
    <t>OPTIONAL REPORTING INDICATOR 3</t>
  </si>
  <si>
    <t>OPTIONAL REPORTING INDICATOR 4</t>
  </si>
  <si>
    <t>Encounter ID 1</t>
  </si>
  <si>
    <t>Encounter ID 2</t>
  </si>
  <si>
    <t>Procedure Code</t>
  </si>
  <si>
    <t>Procedure Code identified for the supplemental record</t>
  </si>
  <si>
    <t>OPTIONAL REPORTING INDICATOR 9</t>
  </si>
  <si>
    <t xml:space="preserve">[Not used, leave blank] </t>
  </si>
  <si>
    <t>OPTIONAL REPORTING INDICATOR 10</t>
  </si>
  <si>
    <t xml:space="preserve">^ </t>
  </si>
  <si>
    <t>Footer Record Layout</t>
  </si>
  <si>
    <t xml:space="preserve">Record Type </t>
  </si>
  <si>
    <t xml:space="preserve">T </t>
  </si>
  <si>
    <t>T</t>
  </si>
  <si>
    <t xml:space="preserve">File ID </t>
  </si>
  <si>
    <t xml:space="preserve">Unique File Identifier </t>
  </si>
  <si>
    <t xml:space="preserve">Must match header File ID </t>
  </si>
  <si>
    <t xml:space="preserve">Total Number of Detail Records </t>
  </si>
  <si>
    <t xml:space="preserve">Count of the number of record type D </t>
  </si>
  <si>
    <t xml:space="preserve">Do not include comma </t>
  </si>
  <si>
    <t xml:space="preserve">Total Number of Diagnoses </t>
  </si>
  <si>
    <t xml:space="preserve">Count of the number of diagnoses sent throughout the file </t>
  </si>
  <si>
    <t xml:space="preserve">Total End of Record Indicators </t>
  </si>
  <si>
    <t xml:space="preserve">Count of the Number of Total End of Record Indicators (^) including trailer record </t>
  </si>
  <si>
    <t xml:space="preserve">End of Record Indicator </t>
  </si>
  <si>
    <t>Mock Demo Footer Record:</t>
  </si>
  <si>
    <t>Footer Record</t>
  </si>
  <si>
    <t>T~AbcHealth201903311209~7536~13784~7538~^</t>
  </si>
  <si>
    <t>201903311209</t>
  </si>
  <si>
    <t>ABCHealth</t>
  </si>
  <si>
    <t>H~2.0.0~Additional diag~1.0.0~Proprietary~supplemental~2.2.9~~AbcHealth201903311209~0~201903311209~PROD~AET~ABCHealth~EDS~Medicare~~~~~~^</t>
  </si>
  <si>
    <t>MBI</t>
  </si>
  <si>
    <t xml:space="preserve">Include Create Date/Time </t>
  </si>
  <si>
    <t>Procedure Code aka CPT code</t>
  </si>
  <si>
    <t>Place of Service Code / Bill Type</t>
  </si>
  <si>
    <t>Medicare Risk Adjustment Submission File Naming Outline</t>
  </si>
  <si>
    <t>Variables</t>
  </si>
  <si>
    <t xml:space="preserve">Field Data </t>
  </si>
  <si>
    <t>AbcHealth</t>
  </si>
  <si>
    <t>Type of file</t>
  </si>
  <si>
    <t>MRA (Medicare risk adjustment)</t>
  </si>
  <si>
    <t>Batch or date</t>
  </si>
  <si>
    <t>YYYYMMDD - 20200328</t>
  </si>
  <si>
    <t>Date</t>
  </si>
  <si>
    <t>Change</t>
  </si>
  <si>
    <t xml:space="preserve">Added file naming information to File Information Tab. </t>
  </si>
  <si>
    <t>Version</t>
  </si>
  <si>
    <t>Tab</t>
  </si>
  <si>
    <t>V2_2_9_Aet_V2  (no version change)</t>
  </si>
  <si>
    <t>RiskAdj@aetna.com</t>
  </si>
  <si>
    <t>Tracey Sankar</t>
  </si>
  <si>
    <t>SankarT@aetna.com</t>
  </si>
  <si>
    <t>Added contact information to File Information Tab</t>
  </si>
  <si>
    <t>V2_2_9_Aet_V3</t>
  </si>
  <si>
    <t>V2_2_9_Aet_V4</t>
  </si>
  <si>
    <t xml:space="preserve">1 = Original (Add Records)                   8 = Void (Delete Records) </t>
  </si>
  <si>
    <t>Used for reporting back to the client.</t>
  </si>
  <si>
    <t>N/R</t>
  </si>
  <si>
    <t>At least 1 Diagnosis code must accompany an add record; only 1 diagnosis code is permitted per delete record</t>
  </si>
  <si>
    <t xml:space="preserve">Multiple diagnosis codes are not permitted on delete records. </t>
  </si>
  <si>
    <t>AD - Additional Diagnosis; CR - Chart Review; PA - Prospective Assessment; RA - Retrospective Activity; WV - Wellness Visit;</t>
  </si>
  <si>
    <t>Mock Add Records Detail:</t>
  </si>
  <si>
    <t>Updated Comment and Requirement for field 5 and 9 - delete record requirements</t>
  </si>
  <si>
    <t>Added delete record requirements to comply with CMS requirements</t>
  </si>
  <si>
    <t xml:space="preserve">Unique record identifier to tie submitted data to the original submission file. </t>
  </si>
  <si>
    <t>V2_2_9_Aet_V5</t>
  </si>
  <si>
    <t>Comment Removed:  "If data is provided at the Diagnosis level, the client/vendor must provide that data with one RecordID per Diagnosis "</t>
  </si>
  <si>
    <t>Notes</t>
  </si>
  <si>
    <t>Comment Added:  Aetna Internal Provider ID issued</t>
  </si>
  <si>
    <r>
      <rPr>
        <b/>
        <u/>
        <sz val="11"/>
        <color theme="1"/>
        <rFont val="Calibri"/>
        <family val="2"/>
        <scheme val="minor"/>
      </rPr>
      <t>From:</t>
    </r>
    <r>
      <rPr>
        <sz val="11"/>
        <color theme="1"/>
        <rFont val="Calibri"/>
        <family val="2"/>
        <scheme val="minor"/>
      </rPr>
      <t xml:space="preserve"> Aetna will try to identify if not provided; Lack of data will result in Supplemental Fatal error;  </t>
    </r>
    <r>
      <rPr>
        <b/>
        <u/>
        <sz val="11"/>
        <color theme="1"/>
        <rFont val="Calibri"/>
        <family val="2"/>
        <scheme val="minor"/>
      </rPr>
      <t>To:</t>
    </r>
    <r>
      <rPr>
        <b/>
        <sz val="11"/>
        <color theme="1"/>
        <rFont val="Calibri"/>
        <family val="2"/>
        <scheme val="minor"/>
      </rPr>
      <t xml:space="preserve"> </t>
    </r>
    <r>
      <rPr>
        <sz val="11"/>
        <color theme="1"/>
        <rFont val="Calibri"/>
        <family val="2"/>
        <scheme val="minor"/>
      </rPr>
      <t xml:space="preserve">Aetna Internal Provider ID issued; Aetna will try to map Aetna Provider ID if NPI is provided. </t>
    </r>
  </si>
  <si>
    <r>
      <rPr>
        <b/>
        <u/>
        <sz val="11"/>
        <color theme="1"/>
        <rFont val="Calibri"/>
        <family val="2"/>
        <scheme val="minor"/>
      </rPr>
      <t>From:</t>
    </r>
    <r>
      <rPr>
        <sz val="11"/>
        <color theme="1"/>
        <rFont val="Calibri"/>
        <family val="2"/>
        <scheme val="minor"/>
      </rPr>
      <t xml:space="preserve"> F = Aetna will try to identify if not provided; Lack of data will result in Supplemental Fatal error;  </t>
    </r>
    <r>
      <rPr>
        <b/>
        <u/>
        <sz val="11"/>
        <color theme="1"/>
        <rFont val="Calibri"/>
        <family val="2"/>
        <scheme val="minor"/>
      </rPr>
      <t>To:</t>
    </r>
    <r>
      <rPr>
        <sz val="11"/>
        <color theme="1"/>
        <rFont val="Calibri"/>
        <family val="2"/>
        <scheme val="minor"/>
      </rPr>
      <t xml:space="preserve">  Aetna will try to identify if a valid Provider ID is provided (field 56); If NPI is available please submit.  Lack of data will result in Supplemental Fatal error </t>
    </r>
  </si>
  <si>
    <t>Updated maximum field length from 10 to 9</t>
  </si>
  <si>
    <r>
      <rPr>
        <b/>
        <u/>
        <sz val="11"/>
        <color theme="1"/>
        <rFont val="Calibri"/>
        <family val="2"/>
        <scheme val="minor"/>
      </rPr>
      <t>From:</t>
    </r>
    <r>
      <rPr>
        <sz val="11"/>
        <color theme="1"/>
        <rFont val="Calibri"/>
        <family val="2"/>
        <scheme val="minor"/>
      </rPr>
      <t xml:space="preserve"> FileID is usually File name;  </t>
    </r>
    <r>
      <rPr>
        <b/>
        <u/>
        <sz val="11"/>
        <color theme="1"/>
        <rFont val="Calibri"/>
        <family val="2"/>
        <scheme val="minor"/>
      </rPr>
      <t>To:</t>
    </r>
    <r>
      <rPr>
        <sz val="11"/>
        <color theme="1"/>
        <rFont val="Calibri"/>
        <family val="2"/>
        <scheme val="minor"/>
      </rPr>
      <t xml:space="preserve"> FileID is the submitted file name; same as file name in header record</t>
    </r>
  </si>
  <si>
    <t>Maximum field width reduced from 40 to 29 to accommodate the vendorID being added as a prefix</t>
  </si>
  <si>
    <t>May not be required if submission is Vendor CL files.</t>
  </si>
  <si>
    <t>BillType is required to process Institutional Claim_Type records;  May not be required if submission is Vendor CL files.</t>
  </si>
  <si>
    <r>
      <rPr>
        <b/>
        <u/>
        <sz val="11"/>
        <color theme="1"/>
        <rFont val="Calibri"/>
        <family val="2"/>
        <scheme val="minor"/>
      </rPr>
      <t>From:</t>
    </r>
    <r>
      <rPr>
        <b/>
        <sz val="11"/>
        <color theme="1"/>
        <rFont val="Calibri"/>
        <family val="2"/>
        <scheme val="minor"/>
      </rPr>
      <t xml:space="preserve"> </t>
    </r>
    <r>
      <rPr>
        <sz val="11"/>
        <color theme="1"/>
        <rFont val="Calibri"/>
        <family val="2"/>
        <scheme val="minor"/>
      </rPr>
      <t xml:space="preserve"> Not required when  Supplemental Type = CR (field 4);  </t>
    </r>
    <r>
      <rPr>
        <b/>
        <u/>
        <sz val="11"/>
        <color theme="1"/>
        <rFont val="Calibri"/>
        <family val="2"/>
        <scheme val="minor"/>
      </rPr>
      <t>To</t>
    </r>
    <r>
      <rPr>
        <sz val="11"/>
        <color theme="1"/>
        <rFont val="Calibri"/>
        <family val="2"/>
        <scheme val="minor"/>
      </rPr>
      <t>:  May not be required if submission is Vendor CL files.</t>
    </r>
  </si>
  <si>
    <t>Rendering Provider NPI (field 51) comment update</t>
  </si>
  <si>
    <t>Changed to "F" from "R"</t>
  </si>
  <si>
    <t>Changed to "R" from "F"</t>
  </si>
  <si>
    <t>Rendering Provider Plan Provider ID (field 56) requirement indicator changed to "R" from "F"</t>
  </si>
  <si>
    <t>Rendering Provider Plan Provider ID (field 56) comment updated</t>
  </si>
  <si>
    <t>Vendor ID (field 14) - updated maximum field width to 9</t>
  </si>
  <si>
    <t>Record ID (field 2) - updated maximum field width to 29</t>
  </si>
  <si>
    <r>
      <rPr>
        <b/>
        <u/>
        <sz val="11"/>
        <color theme="1"/>
        <rFont val="Calibri"/>
        <family val="2"/>
        <scheme val="minor"/>
      </rPr>
      <t>From:</t>
    </r>
    <r>
      <rPr>
        <sz val="11"/>
        <color theme="1"/>
        <rFont val="Calibri"/>
        <family val="2"/>
        <scheme val="minor"/>
      </rPr>
      <t xml:space="preserve">  Not required when  Supplemental Type = CR (field 4); </t>
    </r>
    <r>
      <rPr>
        <b/>
        <u/>
        <sz val="11"/>
        <color theme="1"/>
        <rFont val="Calibri"/>
        <family val="2"/>
        <scheme val="minor"/>
      </rPr>
      <t>To:</t>
    </r>
    <r>
      <rPr>
        <sz val="11"/>
        <color theme="1"/>
        <rFont val="Calibri"/>
        <family val="2"/>
        <scheme val="minor"/>
      </rPr>
      <t xml:space="preserve"> BillType is required to process Institutional Claim_Type records;  May not be required if submission is Vendor CL files.</t>
    </r>
  </si>
  <si>
    <t>Removed comment from Record ID (field 2) (comment was not valid)</t>
  </si>
  <si>
    <t>Added comment to Rendering Provider Plan Provider ID (field 56)</t>
  </si>
  <si>
    <t>Rendering Provider NPI (field 51) Updated field requirement indicator to "R"- Required from "F"</t>
  </si>
  <si>
    <t xml:space="preserve">File ID (field 9) - Updated comment </t>
  </si>
  <si>
    <t>Procedure Code (field 232) - updated comment field to clarify for provider submission files</t>
  </si>
  <si>
    <t>Place of Service/Bill Type (field 233) - updated comment field</t>
  </si>
  <si>
    <t>Total sum of all records including header, trailer and detail records.</t>
  </si>
  <si>
    <t>Total End of Record Indicators (field 5) - added comment</t>
  </si>
  <si>
    <t>Added comment:  Total sum of all records including header, trailer and detail records.</t>
  </si>
  <si>
    <t>Provider Network</t>
  </si>
  <si>
    <t>EarleyJ@cvshealth.com</t>
  </si>
  <si>
    <t>Jim Earley</t>
  </si>
  <si>
    <t>Added Jim Earley to MRA Distribution List</t>
  </si>
  <si>
    <t>Aetna_Verscend_Import_Supplemental_Data_V2_2_9_Aet_V6.xlsx</t>
  </si>
  <si>
    <t xml:space="preserve">1. Supplemental MRA delete files are accepted in the same format as add files.  </t>
  </si>
  <si>
    <t>4. Each record within the file can only contain 1 diagnosis code to be deleted</t>
  </si>
  <si>
    <r>
      <t xml:space="preserve">5. Field 7 - </t>
    </r>
    <r>
      <rPr>
        <i/>
        <sz val="11"/>
        <color theme="1"/>
        <rFont val="Calibri"/>
        <family val="2"/>
        <scheme val="minor"/>
      </rPr>
      <t>Claim_Indicator</t>
    </r>
    <r>
      <rPr>
        <sz val="11"/>
        <color theme="1"/>
        <rFont val="Calibri"/>
        <family val="2"/>
        <scheme val="minor"/>
      </rPr>
      <t xml:space="preserve"> must be set to “8”</t>
    </r>
  </si>
  <si>
    <t>MRA Submission File / Inquiry Distribution List</t>
  </si>
  <si>
    <t>Medicare Risk Adjustment</t>
  </si>
  <si>
    <t>Field 17 - State, changed requirement indicator to N</t>
  </si>
  <si>
    <t>Default to value in Data Example Column</t>
  </si>
  <si>
    <t>V2_2_9_Aet_V6</t>
  </si>
  <si>
    <t>Provider submitted files are considered additional diagnosis records and should be coded as "AD"</t>
  </si>
  <si>
    <t>Additional Comment</t>
  </si>
  <si>
    <t>Include "Delete" or "Test" within the file name</t>
  </si>
  <si>
    <t>File Name Examples:</t>
  </si>
  <si>
    <t>Delete or Test File</t>
  </si>
  <si>
    <t>AbcHealth_MRA_20200328.sup;  AbcHealth_MRA_Delete_20200328.sup;  AbcHealth_MRA_Test_20200328.sup</t>
  </si>
  <si>
    <r>
      <t xml:space="preserve">1. Files can be submitted via secure email or SFTP - </t>
    </r>
    <r>
      <rPr>
        <i/>
        <sz val="11"/>
        <color theme="9" tint="-0.249977111117893"/>
        <rFont val="Calibri"/>
        <family val="2"/>
        <scheme val="minor"/>
      </rPr>
      <t>MedicareStars/ProviderProd</t>
    </r>
    <r>
      <rPr>
        <sz val="11"/>
        <color theme="1"/>
        <rFont val="Calibri"/>
        <family val="2"/>
        <scheme val="minor"/>
      </rPr>
      <t xml:space="preserve"> in the </t>
    </r>
    <r>
      <rPr>
        <i/>
        <sz val="11"/>
        <color theme="9" tint="-0.249977111117893"/>
        <rFont val="Calibri"/>
        <family val="2"/>
        <scheme val="minor"/>
      </rPr>
      <t>ToAetna</t>
    </r>
    <r>
      <rPr>
        <sz val="11"/>
        <color theme="1"/>
        <rFont val="Calibri"/>
        <family val="2"/>
        <scheme val="minor"/>
      </rPr>
      <t xml:space="preserve"> folder</t>
    </r>
  </si>
  <si>
    <t>4. Files names should contain "_MRA_" to ensure they are routed correctly.</t>
  </si>
  <si>
    <t>If sending inquiries regarding a submitted file, please include the file name.</t>
  </si>
  <si>
    <t>Blank Values</t>
  </si>
  <si>
    <t>Updated File Information Section to include blank value description</t>
  </si>
  <si>
    <t>3. A Delete file can only contain Delete records (no add records)</t>
  </si>
  <si>
    <r>
      <t>6. Field 9 - If the delete is from a previously submitted claim, if possible populate with the O</t>
    </r>
    <r>
      <rPr>
        <i/>
        <sz val="11"/>
        <color theme="1"/>
        <rFont val="Calibri"/>
        <family val="2"/>
        <scheme val="minor"/>
      </rPr>
      <t>riginal_plan_claim_ID</t>
    </r>
    <r>
      <rPr>
        <sz val="11"/>
        <color theme="1"/>
        <rFont val="Calibri"/>
        <family val="2"/>
        <scheme val="minor"/>
      </rPr>
      <t xml:space="preserve">. </t>
    </r>
  </si>
  <si>
    <t>7. Field 5 - If the delete is from a previously submitted supplemental file submission, populate the - Original Record ID if possible.</t>
  </si>
  <si>
    <t>File Submission - Production &amp; Test</t>
  </si>
  <si>
    <t xml:space="preserve">2. When submitting a MRA file please send an email notice to the below distribution indicating the file name(s) transferred.  Once we have received the file(s), we will confirm receipt.  This email correspondence will serve as a point of contact should any questions arise while processing. </t>
  </si>
  <si>
    <t xml:space="preserve">3. Test files are submitted via the same path as production files and should indicate "TEST" within the file name.  Each test file received is reviewed and a response outlining the observations is returned.   When corrections are required the test cycle continues until the file is production ready. </t>
  </si>
  <si>
    <t>Delete File Submissions</t>
  </si>
  <si>
    <t>2. The file name should contain the word ‘DELETE’ [example:  AbcHealth_MRA_Delete_20211209.sup]</t>
  </si>
  <si>
    <r>
      <t xml:space="preserve">8. Field 80 - </t>
    </r>
    <r>
      <rPr>
        <i/>
        <sz val="11"/>
        <color theme="1"/>
        <rFont val="Calibri"/>
        <family val="2"/>
        <scheme val="minor"/>
      </rPr>
      <t xml:space="preserve">Delete_Diag1 </t>
    </r>
    <r>
      <rPr>
        <sz val="11"/>
        <color theme="1"/>
        <rFont val="Calibri"/>
        <family val="2"/>
        <scheme val="minor"/>
      </rPr>
      <t>must be populated with “Y” – indicating the diag is to be deleted</t>
    </r>
  </si>
  <si>
    <t xml:space="preserve">6. File submission DOS collection dates correspond with the CMS open dates of collection.   Please reach out for each collection period's internal cut-off which allows time for processing and submission prior to the CMS cut-off. </t>
  </si>
  <si>
    <t>FileID is the submission file's name</t>
  </si>
  <si>
    <t xml:space="preserve">Aetna = AET or NextGen = AETIH; either is acceptable </t>
  </si>
  <si>
    <t>R/N</t>
  </si>
  <si>
    <t>"Prod" for Production data, "TEST" for test data</t>
  </si>
  <si>
    <t xml:space="preserve">Any other identifiers are optional and can be included (e.g. Aetna, or in-house requirements). </t>
  </si>
  <si>
    <t xml:space="preserve">Fields with blank values should remain empty, please do not populate with "Unknown", "Zero", "0", "N/A", "99999", etc. </t>
  </si>
  <si>
    <t>submitting Organization/Provider name - abbreviate when necessary</t>
  </si>
  <si>
    <t>Not required for provider submission data; blank for non Dual or Medicaid files</t>
  </si>
  <si>
    <t>Last Review: 12/14/2021</t>
  </si>
  <si>
    <t xml:space="preserve">A unique record ID within each file.  Can be assigned sequentially starting with 1, 100, 1000 etc. </t>
  </si>
  <si>
    <t>Requested for Void/Delete records; Original Record ID is the record ID from the corresponding original supplemental add record perviously submitted</t>
  </si>
  <si>
    <t>Field 5 - Original Record ID</t>
  </si>
  <si>
    <t xml:space="preserve">Indicating if claim is an original add or delete record. </t>
  </si>
  <si>
    <t xml:space="preserve">Add and Delete records must be submitted in separate files. </t>
  </si>
  <si>
    <t>Field 7 - Claim Indicator</t>
  </si>
  <si>
    <t>Updated File Submission - Production &amp; Test section</t>
  </si>
  <si>
    <t>Requested if the void/delete originated from a Claim; Plan Claim Number is the Claim ID number</t>
  </si>
  <si>
    <t>Updated naming convention section</t>
  </si>
  <si>
    <t>See comment above for field 11</t>
  </si>
  <si>
    <t>Either field 11 or 12  must be provided, populating both fields is preferred; Aetna will try to identify whichever is not provided; Lack of data will result in Fatal error</t>
  </si>
  <si>
    <t xml:space="preserve">Required to be populated for potential standalone encounters (unable to match a record to an encounter). </t>
  </si>
  <si>
    <t>Field 27 - Member DOB</t>
  </si>
  <si>
    <t>Required to be populated for potential standalone encounters (unable to match a record to an encounter).</t>
  </si>
  <si>
    <t>F = Aetna will try to identify if not provided; Lack of data will result in Supplemental Fatal error.  Please populate whenever possible</t>
  </si>
  <si>
    <t>F = Aetna will try to identify if not provided; Lack of data will result in Supplemental Fatal error.  Please populate whenever possible.</t>
  </si>
  <si>
    <t xml:space="preserve">When Field 3 - Claim_Type is Institutional then Provider_Type must be either INPT ("01" or "02") or OUTP("10").  When Claim Type is Professional, Provider_Type must be PHYS ("20"). Either numeric or alpha values accepted. </t>
  </si>
  <si>
    <t>Field 34 - Provider_Type</t>
  </si>
  <si>
    <t xml:space="preserve">Aetna will try to identify if a valid Aetna Provider ID is provided (field 56); whenever NPI is available please submit.  Lack of data will result in Supplemental Fatal error </t>
  </si>
  <si>
    <t>Can be defaulted to "ABF" for DOS &gt; 2015</t>
  </si>
  <si>
    <t>Field 78 - Diagnosis Code 1 Qualifier</t>
  </si>
  <si>
    <t>Added Additional Comment, previously blank</t>
  </si>
  <si>
    <t>Expected field values = "A", "B" or "C"</t>
  </si>
  <si>
    <t>Changed Requirement field from "N" to "N/R"; added Additional Comment - "Required value "Y" for delete record submissions", previously blank</t>
  </si>
  <si>
    <t>Field 80 - Delete Diag1</t>
  </si>
  <si>
    <t>Field 79 - Risk Assessment Code Diagnosis 1</t>
  </si>
  <si>
    <t>Added Additional Comment "Expected field values = "A", "B" or "C"", previously blank</t>
  </si>
  <si>
    <t>Place of Service for Professional Claim Type records or Bill Type for Institutional records as identified in field 3.</t>
  </si>
  <si>
    <t>POS codes identify the entity where service(s) were rendered (ex: office = "11"); Bill Type codes describe the type of bill a provider is submitting (Hospital Outpatient = "13").</t>
  </si>
  <si>
    <t>Field 233 - Place of Service Code / Bill Type</t>
  </si>
  <si>
    <t>Updated Comment to include examples</t>
  </si>
  <si>
    <t>D~10~I~AD~~~1~~~H1608~1AA3HG2NS04~2345678~Kremly~Joseph~~~2827 First Ave~~ERIE~PA~16508~~~~~~19440120~M~~~~~~OUTP~~~~~~~GUTIERREZ MD,MATTHEW J~GUTIERREZ MD,MATTHEW J~~~3330 PEACH ST~~ERIE~33~16508~~1508860552~251-25-03~~~~40394459~~~~~~~~~~~~~~~~~20151026~20151026~~I10~~ABF~A~~E785~~ABF~A~~~~~~~~~~~~~~~~~~~~~~~~~~~~~~~~~~~~~~~~~~~~~~~~~~~~~~~~~~~~~~~~~~~~~~~~~~~~~~~~~~~~~~~~~~~~~~~~~~~~~~~~~~~~~~~~~~~~~~~~~~~~~~~~~~~~~~~~~~~~~~~~~~~~83036~13~~~^</t>
  </si>
  <si>
    <t>D~1~P~AD~~~1~~~H5521~1BB3HG2NS04~1234567~Singh~Fred~~~2800 Main Street~~SPRINGFIELD~IL~62703~~~~~~19390416~M~~~~~~PHYS~~~~~~~MATOS MD,GABOR F~MATOS MD,GABOR F~~~PO BOX 19257~~SPRINGFIELD~PO~62794~~1639251747~371-07-18~~~~60263691~~~~~~~~~~~~~~~~~20151130~20151130~~E039~~ABF~A~~~~~~~~~~~~~~~~~~~~~~~~~~~~~~~~~~~~~~~~~~~~~~~~~~~~~~~~~~~~~~~~~~~~~~~~~~~~~~~~~~~~~~~~~~~~~~~~~~~~~~~~~~~~~~~~~~~~~~~~~~~~~~~~~~~~~~~~~~~~~~~~~~~~~~~~~99381~11~~~^</t>
  </si>
  <si>
    <t>Default to "R"</t>
  </si>
  <si>
    <t>Field 1 - Record Type</t>
  </si>
  <si>
    <t>Field 2 - File ID</t>
  </si>
  <si>
    <t xml:space="preserve">Updated Additional Comment Field  </t>
  </si>
  <si>
    <t>Changed required indicator to "R"; edited comment to "Must be provided to validate member and retrieve related demographic data for members. Lack of data will result in Supplemental Fatal error"</t>
  </si>
  <si>
    <t>Must be provided to validate member and retrieve related demographic data for members. Lack of data will result in Supplemental Fatal error.</t>
  </si>
  <si>
    <t>Changed Comment field from "Indicating if claim is original or void. If Void is used, all diagnoses included in record will be flagged as Delete Diagnoses " to "Indicating if claim is an original add or delete record. "; Added Additional Comment "Add and Delete records must be submitted in separate files. "</t>
  </si>
  <si>
    <t xml:space="preserve">Field 9 - Original Plan Claim ID </t>
  </si>
  <si>
    <t>N/R/F</t>
  </si>
  <si>
    <t>Not required for add records; Only requested for delete record submissions</t>
  </si>
  <si>
    <t xml:space="preserve">Updated Comment and Additional Comment field;  Updated Requirement field form "N/R" to "N/R/F" </t>
  </si>
  <si>
    <t>Changed Required indicator From "N/R" to "N/R/F";  Updated Additional Comment field</t>
  </si>
  <si>
    <t>R = Required
N = Not Required
F = This field is required however if unable to populate, Aetna will attemp to map missing values. Please submit record even if data value does not exist</t>
  </si>
  <si>
    <t>Fields 1-7, added Additional Comment</t>
  </si>
  <si>
    <t>Updated Additional Comment field to "Default to value in Data Example Column", previously blank</t>
  </si>
  <si>
    <t>Updated Requirement indicator field From: "R" To: "N"</t>
  </si>
  <si>
    <t>Added Blank Value description: "blank fields should remain empty, please do not populate with "Unknown", "Zero", "0", "N/A", "99999", etc. "</t>
  </si>
  <si>
    <t>Updated Naming Convention section to include Delete and Test file name examples and reworded comment on additional variable</t>
  </si>
  <si>
    <t>Update Delete file section</t>
  </si>
  <si>
    <t>Added additional instructions for clarity and reworded requirement for recordID and ClaimID</t>
  </si>
  <si>
    <t xml:space="preserve">Added additional comments to included SFTP transfer location, file transfer notice instructions, cadence preferemce, test file instructions. </t>
  </si>
  <si>
    <t>Indicates the LOB (Line of Business) for  product submissions</t>
  </si>
  <si>
    <t>Not required for provider submission files</t>
  </si>
  <si>
    <t>Updated required field indicator  "R" to "R/N"Comment field updated to "Not required for provider submission data; blank for non Dual or Medicaid files"</t>
  </si>
  <si>
    <t xml:space="preserve">Field 16 - Line of Business </t>
  </si>
  <si>
    <t>Field 4 -  Supplemental Type</t>
  </si>
  <si>
    <r>
      <t xml:space="preserve">Updated Additional Comment From: blank content, </t>
    </r>
    <r>
      <rPr>
        <sz val="11"/>
        <rFont val="Calibri"/>
        <family val="2"/>
        <scheme val="minor"/>
      </rPr>
      <t>To:</t>
    </r>
    <r>
      <rPr>
        <sz val="11"/>
        <color theme="1"/>
        <rFont val="Calibri"/>
        <family val="2"/>
        <scheme val="minor"/>
      </rPr>
      <t xml:space="preserve"> "Provider submitted files are considered additional diagnosis records and should be coded as "AD""; Updated Description Column, Removed "WV - Wellness Visit;"</t>
    </r>
  </si>
  <si>
    <t xml:space="preserve">Not required for add records; Claim ID is only requested for Delete records, claim Id originates from the claim </t>
  </si>
  <si>
    <t>Required value "Y" only for delete record submissions</t>
  </si>
  <si>
    <t>D~100~P~CR~~~1~~~H3192~1CC3HG2NS04~3456789~Rubble~Betty~~~805 Long Lane~~TAYLORVILLE~IL~62568~~~~~~19290823~F~~~~~~20~~~~~~~GILL MD,PAVINDERPAL S~GILL MD,PAVINDERPAL S~~~PO BOX 19260~~SPRINGFIELD~PO~62794~~1245336148~370-70-13~~~~6044289~~~~~~~~~~~~~~~~~20151112~20151112~~I771~~ABF~A~~I509~~ABF~A~~E11622~~ABF~A~~L98499~~ABF~A~~E785~~ABF~A~~M810~~ABF~A~~H4011X0~~ABF~A~~I129~~ABF~A~~G40209~~ABF~A~~L409~~ABF~A~~~~~~~~~~~~~~~~~~~~~~~~~~~~~~~~~~~~~~~~~~~~~~~~~~~~~~~~~~~~~~~~~~~~~~~~~~~~~~~~~~~~~~~~~~~~~~~~~~~~~~~~~~~~99381~11~~~^</t>
  </si>
  <si>
    <t xml:space="preserve">Dual -or- Medicaid -or- Medicare </t>
  </si>
  <si>
    <t xml:space="preserve">Aetna's Internal Provider ID issued; Aetna will attempt to map Aetna Provider ID if NPI is provided. </t>
  </si>
  <si>
    <t>FileID is the submitted file name; same as value  as fileID in header record</t>
  </si>
  <si>
    <t xml:space="preserve">A count of all diagnosis codes within file (not unique). </t>
  </si>
  <si>
    <t xml:space="preserve">5.  Monthly submissions are recommend to give the most timely information.  Each month's file should contain new data. </t>
  </si>
  <si>
    <t>File Type - added .TXT format to files accepted</t>
  </si>
  <si>
    <t>ASCII, .TXT or .SUP extensions</t>
  </si>
  <si>
    <t>Added .TXT file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</si>
</sst>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i/>
      <sz val="11"/>
      <color theme="1"/>
      <name val="Calibri"/>
      <family val="2"/>
      <scheme val="minor"/>
    </font>
    <font>
      <b/>
      <sz val="14"/>
      <color theme="1"/>
      <name val="Calibri"/>
      <family val="2"/>
      <scheme val="minor"/>
    </font>
    <font>
      <b/>
      <sz val="10"/>
      <color theme="0"/>
      <name val="Calibri"/>
      <family val="2"/>
      <scheme val="minor"/>
    </font>
    <font>
      <sz val="10"/>
      <color theme="1"/>
      <name val="Calibri"/>
      <family val="2"/>
      <scheme val="minor"/>
    </font>
    <font>
      <b/>
      <sz val="10"/>
      <name val="Calibri"/>
      <family val="2"/>
      <scheme val="minor"/>
    </font>
    <font>
      <sz val="10"/>
      <color rgb="FFFF0000"/>
      <name val="Calibri"/>
      <family val="2"/>
      <scheme val="minor"/>
    </font>
    <font>
      <sz val="10"/>
      <color rgb="FF000000"/>
      <name val="Calibri"/>
      <family val="2"/>
      <scheme val="minor"/>
    </font>
    <font>
      <sz val="10"/>
      <name val="Arial"/>
      <family val="2"/>
    </font>
    <font>
      <sz val="11"/>
      <color rgb="FF000000"/>
      <name val="Calibri"/>
      <family val="2"/>
    </font>
    <font>
      <sz val="10"/>
      <color theme="1"/>
      <name val="Times New Roman"/>
      <family val="1"/>
    </font>
    <font>
      <sz val="11"/>
      <color rgb="FF000000"/>
      <name val="Calibri"/>
      <family val="2"/>
      <scheme val="minor"/>
    </font>
    <font>
      <i/>
      <sz val="8"/>
      <color rgb="FF000000"/>
      <name val="Calibri"/>
      <family val="2"/>
    </font>
    <font>
      <b/>
      <sz val="11"/>
      <color rgb="FF000000"/>
      <name val="Calibri"/>
      <family val="2"/>
    </font>
    <font>
      <sz val="14"/>
      <color theme="1"/>
      <name val="Calibri"/>
      <family val="2"/>
      <scheme val="minor"/>
    </font>
    <font>
      <u/>
      <sz val="11"/>
      <color theme="10"/>
      <name val="Calibri"/>
      <family val="2"/>
      <scheme val="minor"/>
    </font>
    <font>
      <i/>
      <sz val="11"/>
      <color theme="1"/>
      <name val="Calibri"/>
      <family val="2"/>
      <scheme val="minor"/>
    </font>
    <font>
      <b/>
      <sz val="11"/>
      <color theme="1"/>
      <name val="Calibri"/>
      <family val="2"/>
      <scheme val="minor"/>
    </font>
    <font>
      <b/>
      <u/>
      <sz val="11"/>
      <color theme="1"/>
      <name val="Calibri"/>
      <family val="2"/>
      <scheme val="minor"/>
    </font>
    <font>
      <b/>
      <sz val="10.5"/>
      <color rgb="FF000000"/>
      <name val="Calibri"/>
      <family val="2"/>
      <scheme val="minor"/>
    </font>
    <font>
      <i/>
      <sz val="11"/>
      <color theme="9" tint="-0.249977111117893"/>
      <name val="Calibri"/>
      <family val="2"/>
      <scheme val="minor"/>
    </font>
    <font>
      <sz val="11"/>
      <name val="Calibri"/>
      <family val="2"/>
      <scheme val="minor"/>
    </font>
  </fonts>
  <fills count="6">
    <fill>
      <patternFill patternType="none"/>
    </fill>
    <fill>
      <patternFill patternType="gray125"/>
    </fill>
    <fill>
      <patternFill patternType="solid">
        <fgColor theme="4"/>
        <bgColor indexed="64"/>
      </patternFill>
    </fill>
    <fill>
      <patternFill patternType="solid">
        <fgColor rgb="FFFFFF66"/>
        <bgColor indexed="64"/>
      </patternFill>
    </fill>
    <fill>
      <patternFill patternType="solid">
        <fgColor theme="4" tint="0.59999389629810485"/>
        <bgColor indexed="64"/>
      </patternFill>
    </fill>
    <fill>
      <patternFill patternType="solid">
        <fgColor theme="0" tint="-0.14999847407452621"/>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s>
  <cellStyleXfs count="3">
    <xf numFmtId="0" fontId="0" fillId="0" borderId="0"/>
    <xf numFmtId="0" fontId="8" fillId="0" borderId="0"/>
    <xf numFmtId="0" fontId="15" fillId="0" borderId="0" applyNumberFormat="0" applyFill="0" applyBorder="0" applyAlignment="0" applyProtection="0"/>
  </cellStyleXfs>
  <cellXfs count="74">
    <xf numFmtId="0" fontId="0" fillId="0" borderId="0" xfId="0"/>
    <xf numFmtId="0" fontId="1" fillId="0" borderId="0" xfId="0" applyFont="1"/>
    <xf numFmtId="0" fontId="3" fillId="2" borderId="3" xfId="0" applyFont="1" applyFill="1" applyBorder="1"/>
    <xf numFmtId="0" fontId="4" fillId="0" borderId="4" xfId="0" applyFont="1" applyBorder="1"/>
    <xf numFmtId="0" fontId="4" fillId="0" borderId="4" xfId="0" applyFont="1" applyBorder="1" applyAlignment="1">
      <alignment horizontal="left" vertical="center"/>
    </xf>
    <xf numFmtId="0" fontId="4" fillId="0" borderId="4" xfId="0" applyFont="1" applyBorder="1" applyAlignment="1">
      <alignment wrapText="1"/>
    </xf>
    <xf numFmtId="0" fontId="0" fillId="0" borderId="0" xfId="0" applyAlignment="1">
      <alignment wrapText="1"/>
    </xf>
    <xf numFmtId="0" fontId="2" fillId="0" borderId="5" xfId="0" applyFont="1" applyBorder="1"/>
    <xf numFmtId="0" fontId="3" fillId="2" borderId="4" xfId="0" applyFont="1" applyFill="1" applyBorder="1" applyAlignment="1">
      <alignment vertical="center" wrapText="1"/>
    </xf>
    <xf numFmtId="0" fontId="3" fillId="2" borderId="3" xfId="0" applyFont="1" applyFill="1" applyBorder="1" applyAlignment="1">
      <alignment vertical="center"/>
    </xf>
    <xf numFmtId="0" fontId="3" fillId="2" borderId="3" xfId="0" applyFont="1" applyFill="1" applyBorder="1" applyAlignment="1">
      <alignment vertical="center" wrapText="1"/>
    </xf>
    <xf numFmtId="0" fontId="5" fillId="3" borderId="3" xfId="0" applyFont="1" applyFill="1" applyBorder="1" applyAlignment="1">
      <alignment vertical="center"/>
    </xf>
    <xf numFmtId="0" fontId="3" fillId="2" borderId="3" xfId="0" applyFont="1" applyFill="1" applyBorder="1" applyAlignment="1">
      <alignment horizontal="center" vertical="center"/>
    </xf>
    <xf numFmtId="0" fontId="4" fillId="0" borderId="0" xfId="0" applyFont="1" applyAlignment="1">
      <alignment vertical="center"/>
    </xf>
    <xf numFmtId="0" fontId="0" fillId="0" borderId="0" xfId="0" applyAlignment="1">
      <alignment horizontal="center"/>
    </xf>
    <xf numFmtId="0" fontId="4" fillId="0" borderId="4" xfId="0" applyFont="1" applyBorder="1" applyAlignment="1">
      <alignment horizontal="center"/>
    </xf>
    <xf numFmtId="0" fontId="4" fillId="0" borderId="4" xfId="0" applyFont="1" applyBorder="1" applyAlignment="1">
      <alignment horizontal="left"/>
    </xf>
    <xf numFmtId="0" fontId="6" fillId="0" borderId="4" xfId="0" applyFont="1" applyBorder="1" applyAlignment="1">
      <alignment wrapText="1"/>
    </xf>
    <xf numFmtId="49" fontId="4" fillId="0" borderId="4" xfId="0" applyNumberFormat="1" applyFont="1" applyBorder="1"/>
    <xf numFmtId="0" fontId="0" fillId="0" borderId="0" xfId="0" applyAlignment="1">
      <alignment horizontal="center" wrapText="1"/>
    </xf>
    <xf numFmtId="0" fontId="3" fillId="2" borderId="3" xfId="0" applyFont="1" applyFill="1" applyBorder="1" applyAlignment="1">
      <alignment horizontal="center" vertical="center" wrapText="1"/>
    </xf>
    <xf numFmtId="0" fontId="0" fillId="0" borderId="0" xfId="0" applyAlignment="1">
      <alignment vertical="center"/>
    </xf>
    <xf numFmtId="0" fontId="7" fillId="0" borderId="4" xfId="0" applyFont="1" applyBorder="1" applyAlignment="1">
      <alignment vertical="center" wrapText="1"/>
    </xf>
    <xf numFmtId="0" fontId="4" fillId="0" borderId="0" xfId="0" applyFont="1"/>
    <xf numFmtId="0" fontId="7" fillId="0" borderId="4" xfId="0" applyFont="1" applyBorder="1" applyAlignment="1">
      <alignment horizontal="left" vertical="center" wrapText="1"/>
    </xf>
    <xf numFmtId="49" fontId="4" fillId="0" borderId="0" xfId="0" applyNumberFormat="1" applyFont="1" applyAlignment="1">
      <alignment vertical="center"/>
    </xf>
    <xf numFmtId="0" fontId="6" fillId="0" borderId="4" xfId="0" applyFont="1" applyBorder="1" applyAlignment="1">
      <alignment vertical="center" wrapText="1"/>
    </xf>
    <xf numFmtId="49" fontId="4" fillId="0" borderId="0" xfId="0" applyNumberFormat="1" applyFont="1" applyAlignment="1">
      <alignment horizontal="left" vertical="center"/>
    </xf>
    <xf numFmtId="0" fontId="7" fillId="0" borderId="4" xfId="0" quotePrefix="1" applyFont="1" applyBorder="1" applyAlignment="1">
      <alignment vertical="center" wrapText="1"/>
    </xf>
    <xf numFmtId="49" fontId="7" fillId="0" borderId="4" xfId="0" applyNumberFormat="1" applyFont="1" applyBorder="1" applyAlignment="1">
      <alignment vertical="center" wrapText="1"/>
    </xf>
    <xf numFmtId="0" fontId="4" fillId="0" borderId="0" xfId="0" applyFont="1" applyAlignment="1">
      <alignment wrapText="1"/>
    </xf>
    <xf numFmtId="0" fontId="4" fillId="0" borderId="0" xfId="0" applyFont="1" applyAlignment="1">
      <alignment horizontal="center" wrapText="1"/>
    </xf>
    <xf numFmtId="0" fontId="0" fillId="0" borderId="0" xfId="0" applyAlignment="1">
      <alignment horizontal="left"/>
    </xf>
    <xf numFmtId="0" fontId="7" fillId="0" borderId="4" xfId="0" applyFont="1" applyBorder="1" applyAlignment="1">
      <alignment horizontal="center" vertical="center" wrapText="1"/>
    </xf>
    <xf numFmtId="0" fontId="10" fillId="0" borderId="0" xfId="0" applyFont="1"/>
    <xf numFmtId="0" fontId="9" fillId="0" borderId="0" xfId="0" applyFont="1" applyAlignment="1">
      <alignment vertical="center"/>
    </xf>
    <xf numFmtId="0" fontId="9" fillId="0" borderId="0" xfId="0" quotePrefix="1" applyFont="1" applyAlignment="1">
      <alignment horizontal="left" vertical="center"/>
    </xf>
    <xf numFmtId="0" fontId="12" fillId="0" borderId="0" xfId="0" applyFont="1" applyAlignment="1">
      <alignment vertical="center"/>
    </xf>
    <xf numFmtId="14" fontId="0" fillId="0" borderId="0" xfId="0" applyNumberFormat="1"/>
    <xf numFmtId="0" fontId="0" fillId="4" borderId="4" xfId="0" applyFill="1" applyBorder="1"/>
    <xf numFmtId="0" fontId="13" fillId="0" borderId="0" xfId="0" applyFont="1" applyAlignment="1">
      <alignment horizontal="left" vertical="center" wrapText="1"/>
    </xf>
    <xf numFmtId="0" fontId="15" fillId="0" borderId="0" xfId="2"/>
    <xf numFmtId="0" fontId="0" fillId="0" borderId="0" xfId="0" applyAlignment="1">
      <alignment horizontal="left" vertical="center" indent="1"/>
    </xf>
    <xf numFmtId="0" fontId="0" fillId="4" borderId="6" xfId="0" applyFill="1" applyBorder="1"/>
    <xf numFmtId="0" fontId="4" fillId="0" borderId="4" xfId="0" applyFont="1" applyBorder="1" applyAlignment="1">
      <alignment horizontal="left" vertical="top" wrapText="1"/>
    </xf>
    <xf numFmtId="0" fontId="0" fillId="0" borderId="0" xfId="0" applyAlignment="1">
      <alignment horizontal="left" vertical="center"/>
    </xf>
    <xf numFmtId="0" fontId="9" fillId="5" borderId="7" xfId="0" applyFont="1" applyFill="1" applyBorder="1" applyAlignment="1">
      <alignment vertical="center"/>
    </xf>
    <xf numFmtId="0" fontId="9" fillId="5" borderId="8" xfId="0" applyFont="1" applyFill="1" applyBorder="1" applyAlignment="1">
      <alignment vertical="center"/>
    </xf>
    <xf numFmtId="0" fontId="9" fillId="0" borderId="9" xfId="0" applyFont="1" applyBorder="1" applyAlignment="1">
      <alignment vertical="center"/>
    </xf>
    <xf numFmtId="0" fontId="11" fillId="0" borderId="10" xfId="0" applyFont="1" applyBorder="1"/>
    <xf numFmtId="0" fontId="9" fillId="0" borderId="11" xfId="0" applyFont="1" applyBorder="1" applyAlignment="1">
      <alignment vertical="center"/>
    </xf>
    <xf numFmtId="0" fontId="11" fillId="0" borderId="12" xfId="0" applyFont="1" applyBorder="1"/>
    <xf numFmtId="0" fontId="9" fillId="0" borderId="12" xfId="0" quotePrefix="1" applyFont="1" applyBorder="1" applyAlignment="1">
      <alignment horizontal="left" vertical="center"/>
    </xf>
    <xf numFmtId="0" fontId="17" fillId="0" borderId="0" xfId="0" applyFont="1"/>
    <xf numFmtId="0" fontId="6" fillId="0" borderId="4" xfId="0" applyFont="1" applyBorder="1" applyAlignment="1">
      <alignment horizontal="left" vertical="center" wrapText="1"/>
    </xf>
    <xf numFmtId="0" fontId="6" fillId="0" borderId="4" xfId="0" applyFont="1" applyBorder="1"/>
    <xf numFmtId="0" fontId="14" fillId="4" borderId="1" xfId="0" applyFont="1" applyFill="1" applyBorder="1" applyAlignment="1">
      <alignment horizontal="center"/>
    </xf>
    <xf numFmtId="0" fontId="14" fillId="4" borderId="5" xfId="0" applyFont="1" applyFill="1" applyBorder="1" applyAlignment="1">
      <alignment horizontal="center"/>
    </xf>
    <xf numFmtId="0" fontId="2" fillId="0" borderId="1" xfId="0" applyFont="1" applyBorder="1" applyAlignment="1">
      <alignment horizontal="center"/>
    </xf>
    <xf numFmtId="0" fontId="2" fillId="0" borderId="5" xfId="0" applyFont="1" applyBorder="1" applyAlignment="1">
      <alignment horizontal="center"/>
    </xf>
    <xf numFmtId="0" fontId="19" fillId="0" borderId="13" xfId="0" applyFont="1" applyBorder="1" applyAlignment="1">
      <alignment horizontal="left" vertical="center" wrapText="1"/>
    </xf>
    <xf numFmtId="0" fontId="19" fillId="0" borderId="14" xfId="0" applyFont="1" applyBorder="1" applyAlignment="1">
      <alignment horizontal="left" vertical="center" wrapText="1"/>
    </xf>
    <xf numFmtId="0" fontId="0" fillId="0" borderId="0" xfId="0" applyAlignment="1">
      <alignment horizontal="left" vertical="center"/>
    </xf>
    <xf numFmtId="0" fontId="14" fillId="4" borderId="15" xfId="0" applyFont="1" applyFill="1" applyBorder="1" applyAlignment="1">
      <alignment horizontal="center"/>
    </xf>
    <xf numFmtId="0" fontId="14" fillId="4" borderId="8"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wrapText="1"/>
    </xf>
    <xf numFmtId="0" fontId="0" fillId="0" borderId="14" xfId="0" applyBorder="1" applyAlignment="1">
      <alignment horizontal="left" vertical="center" wrapText="1"/>
    </xf>
    <xf numFmtId="0" fontId="2" fillId="0" borderId="2" xfId="0" applyFont="1" applyBorder="1" applyAlignment="1">
      <alignment horizontal="center"/>
    </xf>
  </cellXfs>
  <cellStyles count="3">
    <cellStyle name="Hyperlink" xfId="2" builtinId="8"/>
    <cellStyle name="Normal" xfId="0" builtinId="0"/>
    <cellStyle name="Normal 2" xfId="1" xr:uid="{00000000-0005-0000-0000-000001000000}"/>
  </cellStyles>
  <dxfs count="8">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0000"/>
        </patternFill>
      </fill>
    </dxf>
    <dxf>
      <fill>
        <patternFill>
          <bgColor rgb="FF00B0F0"/>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lbp-oa-023\FldrRedir_2$\Users\bbeesley\Desktop\Fidelis\022519\updated\updated%20after%20DAT\DAT_review_tool_20180329.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EarleyJ@cvshealth.com" TargetMode="External"/><Relationship Id="rId2" Type="http://schemas.openxmlformats.org/officeDocument/2006/relationships/hyperlink" Target="mailto:SankarT@aetna.com" TargetMode="External"/><Relationship Id="rId1" Type="http://schemas.openxmlformats.org/officeDocument/2006/relationships/hyperlink" Target="mailto:RiskAdj@aetna.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8"/>
  <sheetViews>
    <sheetView tabSelected="1" zoomScaleNormal="100" workbookViewId="0">
      <selection activeCell="G13" sqref="G13"/>
    </sheetView>
  </sheetViews>
  <sheetFormatPr defaultRowHeight="15" x14ac:dyDescent="0.25"/>
  <cols>
    <col min="1" max="1" width="4.7109375" customWidth="1"/>
    <col min="2" max="2" width="26" customWidth="1"/>
    <col min="3" max="3" width="101" customWidth="1"/>
  </cols>
  <sheetData>
    <row r="1" spans="1:8" x14ac:dyDescent="0.25">
      <c r="A1" s="1" t="s">
        <v>492</v>
      </c>
    </row>
    <row r="2" spans="1:8" x14ac:dyDescent="0.25">
      <c r="A2" t="s">
        <v>530</v>
      </c>
    </row>
    <row r="3" spans="1:8" ht="15.75" thickBot="1" x14ac:dyDescent="0.3"/>
    <row r="4" spans="1:8" ht="19.5" thickBot="1" x14ac:dyDescent="0.35">
      <c r="B4" s="58" t="s">
        <v>0</v>
      </c>
      <c r="C4" s="59"/>
    </row>
    <row r="5" spans="1:8" ht="30" customHeight="1" x14ac:dyDescent="0.25">
      <c r="B5" s="2" t="s">
        <v>1</v>
      </c>
      <c r="C5" s="2" t="s">
        <v>2</v>
      </c>
    </row>
    <row r="6" spans="1:8" x14ac:dyDescent="0.25">
      <c r="B6" s="3" t="s">
        <v>3</v>
      </c>
      <c r="C6" s="3" t="s">
        <v>600</v>
      </c>
    </row>
    <row r="7" spans="1:8" x14ac:dyDescent="0.25">
      <c r="B7" s="3" t="s">
        <v>4</v>
      </c>
      <c r="C7" s="3" t="s">
        <v>426</v>
      </c>
    </row>
    <row r="8" spans="1:8" x14ac:dyDescent="0.25">
      <c r="B8" s="3" t="s">
        <v>5</v>
      </c>
      <c r="C8" s="3" t="s">
        <v>6</v>
      </c>
    </row>
    <row r="9" spans="1:8" x14ac:dyDescent="0.25">
      <c r="B9" s="3" t="s">
        <v>7</v>
      </c>
      <c r="C9" s="3" t="s">
        <v>8</v>
      </c>
    </row>
    <row r="10" spans="1:8" x14ac:dyDescent="0.25">
      <c r="B10" s="3" t="s">
        <v>9</v>
      </c>
      <c r="C10" s="3" t="s">
        <v>10</v>
      </c>
    </row>
    <row r="11" spans="1:8" x14ac:dyDescent="0.25">
      <c r="B11" s="3" t="s">
        <v>510</v>
      </c>
      <c r="C11" s="3" t="s">
        <v>527</v>
      </c>
    </row>
    <row r="12" spans="1:8" ht="52.9" customHeight="1" x14ac:dyDescent="0.25">
      <c r="B12" s="4" t="s">
        <v>11</v>
      </c>
      <c r="C12" s="44" t="s">
        <v>576</v>
      </c>
    </row>
    <row r="14" spans="1:8" ht="15.75" thickBot="1" x14ac:dyDescent="0.3"/>
    <row r="15" spans="1:8" ht="19.5" thickBot="1" x14ac:dyDescent="0.35">
      <c r="B15" s="56" t="s">
        <v>429</v>
      </c>
      <c r="C15" s="57"/>
      <c r="G15" s="34"/>
      <c r="H15" s="34"/>
    </row>
    <row r="16" spans="1:8" x14ac:dyDescent="0.25">
      <c r="B16" s="46" t="s">
        <v>430</v>
      </c>
      <c r="C16" s="47" t="s">
        <v>431</v>
      </c>
      <c r="G16" s="34"/>
      <c r="H16" s="34"/>
    </row>
    <row r="17" spans="2:8" x14ac:dyDescent="0.25">
      <c r="B17" s="48" t="s">
        <v>488</v>
      </c>
      <c r="C17" s="49" t="s">
        <v>432</v>
      </c>
      <c r="G17" s="34"/>
      <c r="H17" s="34"/>
    </row>
    <row r="18" spans="2:8" x14ac:dyDescent="0.25">
      <c r="B18" s="50" t="s">
        <v>433</v>
      </c>
      <c r="C18" s="51" t="s">
        <v>434</v>
      </c>
      <c r="E18" s="34"/>
      <c r="F18" s="34"/>
      <c r="G18" s="34"/>
      <c r="H18" s="34"/>
    </row>
    <row r="19" spans="2:8" x14ac:dyDescent="0.25">
      <c r="B19" s="50" t="s">
        <v>435</v>
      </c>
      <c r="C19" s="52" t="s">
        <v>436</v>
      </c>
      <c r="D19" s="34"/>
      <c r="E19" s="34"/>
      <c r="F19" s="34"/>
      <c r="G19" s="34"/>
      <c r="H19" s="34"/>
    </row>
    <row r="20" spans="2:8" x14ac:dyDescent="0.25">
      <c r="B20" s="50" t="s">
        <v>505</v>
      </c>
      <c r="C20" s="52" t="s">
        <v>503</v>
      </c>
      <c r="D20" s="34"/>
      <c r="E20" s="34"/>
      <c r="F20" s="34"/>
      <c r="G20" s="34"/>
      <c r="H20" s="34"/>
    </row>
    <row r="21" spans="2:8" x14ac:dyDescent="0.25">
      <c r="B21" s="50" t="s">
        <v>504</v>
      </c>
      <c r="C21" s="51" t="s">
        <v>506</v>
      </c>
      <c r="E21" s="34"/>
      <c r="F21" s="34"/>
      <c r="G21" s="34"/>
      <c r="H21" s="34"/>
    </row>
    <row r="22" spans="2:8" ht="14.45" customHeight="1" x14ac:dyDescent="0.25">
      <c r="B22" s="60" t="s">
        <v>526</v>
      </c>
      <c r="C22" s="61"/>
      <c r="D22" s="40"/>
      <c r="E22" s="40"/>
      <c r="F22" s="40"/>
      <c r="G22" s="34"/>
      <c r="H22" s="34"/>
    </row>
    <row r="23" spans="2:8" ht="15.75" thickBot="1" x14ac:dyDescent="0.3">
      <c r="B23" s="34"/>
      <c r="C23" s="34"/>
      <c r="D23" s="34"/>
      <c r="E23" s="34"/>
      <c r="F23" s="34"/>
      <c r="G23" s="34"/>
      <c r="H23" s="34"/>
    </row>
    <row r="24" spans="2:8" ht="18.75" x14ac:dyDescent="0.3">
      <c r="B24" s="63" t="s">
        <v>515</v>
      </c>
      <c r="C24" s="64"/>
      <c r="D24" s="35"/>
      <c r="E24" s="36"/>
      <c r="F24" s="35"/>
    </row>
    <row r="25" spans="2:8" ht="16.899999999999999" customHeight="1" x14ac:dyDescent="0.25">
      <c r="B25" s="67" t="s">
        <v>507</v>
      </c>
      <c r="C25" s="68"/>
      <c r="D25" s="35"/>
      <c r="E25" s="36"/>
      <c r="F25" s="35"/>
    </row>
    <row r="26" spans="2:8" ht="42" customHeight="1" x14ac:dyDescent="0.25">
      <c r="B26" s="65" t="s">
        <v>516</v>
      </c>
      <c r="C26" s="66"/>
    </row>
    <row r="27" spans="2:8" ht="41.45" customHeight="1" x14ac:dyDescent="0.25">
      <c r="B27" s="65" t="s">
        <v>517</v>
      </c>
      <c r="C27" s="66"/>
    </row>
    <row r="28" spans="2:8" ht="15" customHeight="1" x14ac:dyDescent="0.25">
      <c r="B28" s="69" t="s">
        <v>508</v>
      </c>
      <c r="C28" s="70"/>
    </row>
    <row r="29" spans="2:8" ht="14.45" customHeight="1" x14ac:dyDescent="0.25">
      <c r="B29" s="69" t="s">
        <v>598</v>
      </c>
      <c r="C29" s="70"/>
      <c r="D29" s="34"/>
      <c r="E29" s="34"/>
      <c r="F29" s="34"/>
      <c r="G29" s="34"/>
      <c r="H29" s="34"/>
    </row>
    <row r="30" spans="2:8" ht="28.15" customHeight="1" x14ac:dyDescent="0.25">
      <c r="B30" s="71" t="s">
        <v>521</v>
      </c>
      <c r="C30" s="72"/>
      <c r="D30" s="34"/>
      <c r="E30" s="34"/>
      <c r="F30" s="34"/>
      <c r="G30" s="34"/>
      <c r="H30" s="34"/>
    </row>
    <row r="31" spans="2:8" ht="15.75" thickBot="1" x14ac:dyDescent="0.3">
      <c r="B31" s="34"/>
      <c r="C31" s="34"/>
      <c r="D31" s="34"/>
      <c r="E31" s="34"/>
      <c r="F31" s="34"/>
      <c r="G31" s="34"/>
      <c r="H31" s="34"/>
    </row>
    <row r="32" spans="2:8" ht="19.5" thickBot="1" x14ac:dyDescent="0.35">
      <c r="B32" s="56" t="s">
        <v>518</v>
      </c>
      <c r="C32" s="57"/>
      <c r="D32" s="34"/>
      <c r="E32" s="34"/>
      <c r="F32" s="34"/>
      <c r="G32" s="35"/>
      <c r="H32" s="35"/>
    </row>
    <row r="33" spans="2:8" x14ac:dyDescent="0.25">
      <c r="B33" s="62" t="s">
        <v>493</v>
      </c>
      <c r="C33" s="62"/>
      <c r="D33" s="35"/>
      <c r="E33" s="36"/>
      <c r="F33" s="35"/>
      <c r="G33" s="37"/>
      <c r="H33" s="37"/>
    </row>
    <row r="34" spans="2:8" x14ac:dyDescent="0.25">
      <c r="B34" s="62" t="s">
        <v>519</v>
      </c>
      <c r="C34" s="62"/>
      <c r="D34" s="35"/>
      <c r="E34" s="36"/>
      <c r="F34" s="35"/>
    </row>
    <row r="35" spans="2:8" ht="16.5" customHeight="1" x14ac:dyDescent="0.25">
      <c r="B35" s="62" t="s">
        <v>512</v>
      </c>
      <c r="C35" s="62"/>
      <c r="D35" s="35"/>
      <c r="E35" s="36"/>
      <c r="F35" s="35"/>
    </row>
    <row r="36" spans="2:8" x14ac:dyDescent="0.25">
      <c r="B36" s="62" t="s">
        <v>494</v>
      </c>
      <c r="C36" s="62"/>
      <c r="D36" s="35"/>
      <c r="E36" s="36"/>
      <c r="F36" s="35"/>
    </row>
    <row r="37" spans="2:8" x14ac:dyDescent="0.25">
      <c r="B37" s="62" t="s">
        <v>495</v>
      </c>
      <c r="C37" s="62"/>
      <c r="D37" s="35"/>
      <c r="E37" s="36"/>
      <c r="F37" s="35"/>
    </row>
    <row r="38" spans="2:8" x14ac:dyDescent="0.25">
      <c r="B38" s="62" t="s">
        <v>513</v>
      </c>
      <c r="C38" s="62"/>
      <c r="D38" s="35"/>
      <c r="E38" s="36"/>
      <c r="F38" s="35"/>
    </row>
    <row r="39" spans="2:8" x14ac:dyDescent="0.25">
      <c r="B39" s="45" t="s">
        <v>514</v>
      </c>
      <c r="C39" s="45"/>
      <c r="D39" s="35"/>
      <c r="E39" s="36"/>
      <c r="F39" s="35"/>
    </row>
    <row r="40" spans="2:8" x14ac:dyDescent="0.25">
      <c r="B40" s="62" t="s">
        <v>520</v>
      </c>
      <c r="C40" s="62"/>
      <c r="D40" s="35"/>
      <c r="E40" s="36"/>
      <c r="F40" s="35"/>
    </row>
    <row r="41" spans="2:8" x14ac:dyDescent="0.25">
      <c r="B41" s="42"/>
      <c r="C41" s="36"/>
      <c r="D41" s="35"/>
      <c r="E41" s="36"/>
      <c r="F41" s="35"/>
    </row>
    <row r="42" spans="2:8" ht="15.75" thickBot="1" x14ac:dyDescent="0.3"/>
    <row r="43" spans="2:8" ht="19.5" thickBot="1" x14ac:dyDescent="0.35">
      <c r="B43" s="56" t="s">
        <v>496</v>
      </c>
      <c r="C43" s="57"/>
    </row>
    <row r="44" spans="2:8" x14ac:dyDescent="0.25">
      <c r="B44" s="41" t="s">
        <v>443</v>
      </c>
      <c r="C44" t="s">
        <v>497</v>
      </c>
    </row>
    <row r="45" spans="2:8" x14ac:dyDescent="0.25">
      <c r="B45" s="41" t="s">
        <v>445</v>
      </c>
      <c r="C45" t="s">
        <v>444</v>
      </c>
    </row>
    <row r="46" spans="2:8" x14ac:dyDescent="0.25">
      <c r="B46" s="41" t="s">
        <v>489</v>
      </c>
      <c r="C46" t="s">
        <v>490</v>
      </c>
    </row>
    <row r="47" spans="2:8" x14ac:dyDescent="0.25">
      <c r="B47" s="41"/>
    </row>
    <row r="48" spans="2:8" x14ac:dyDescent="0.25">
      <c r="B48" s="53" t="s">
        <v>509</v>
      </c>
    </row>
    <row r="58" ht="15.75" customHeight="1" x14ac:dyDescent="0.25"/>
  </sheetData>
  <sheetProtection algorithmName="SHA-512" hashValue="JiV0POoRljtdVbWWs0g2hXhtQrORoWZdaLxjK1umDDSsy5CpDP432JX5LscKFA9rAmAmQStm7amvFxFPdTqP3Q==" saltValue="AQ2zmA1BATRGHN148fE/yA==" spinCount="100000" sheet="1" objects="1" scenarios="1"/>
  <mergeCells count="19">
    <mergeCell ref="B43:C43"/>
    <mergeCell ref="B34:C34"/>
    <mergeCell ref="B35:C35"/>
    <mergeCell ref="B36:C36"/>
    <mergeCell ref="B37:C37"/>
    <mergeCell ref="B38:C38"/>
    <mergeCell ref="B15:C15"/>
    <mergeCell ref="B4:C4"/>
    <mergeCell ref="B22:C22"/>
    <mergeCell ref="B40:C40"/>
    <mergeCell ref="B33:C33"/>
    <mergeCell ref="B24:C24"/>
    <mergeCell ref="B26:C26"/>
    <mergeCell ref="B27:C27"/>
    <mergeCell ref="B25:C25"/>
    <mergeCell ref="B29:C29"/>
    <mergeCell ref="B28:C28"/>
    <mergeCell ref="B30:C30"/>
    <mergeCell ref="B32:C32"/>
  </mergeCells>
  <hyperlinks>
    <hyperlink ref="B44" r:id="rId1" display="mailto:RiskAdj@aetna.com" xr:uid="{A4A0F546-B434-491F-AD24-35DAD37D16AB}"/>
    <hyperlink ref="B45" r:id="rId2" xr:uid="{3F716659-FAC4-4F64-8DDC-9683C104EE8E}"/>
    <hyperlink ref="B46" r:id="rId3" display="mailto:EarleyJ@cvshealth.com" xr:uid="{3EEE1DD4-1FE1-4560-AB86-30A5D99D09E5}"/>
  </hyperlinks>
  <pageMargins left="0.7" right="0.7" top="0.75" bottom="0.75" header="0.3" footer="0.3"/>
  <pageSetup scale="77"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66"/>
    <pageSetUpPr fitToPage="1"/>
  </sheetPr>
  <dimension ref="A1:I32"/>
  <sheetViews>
    <sheetView zoomScale="90" zoomScaleNormal="90" workbookViewId="0">
      <pane xSplit="2" ySplit="6" topLeftCell="C7" activePane="bottomRight" state="frozen"/>
      <selection sqref="A1:H14"/>
      <selection pane="topRight" sqref="A1:H14"/>
      <selection pane="bottomLeft" sqref="A1:H14"/>
      <selection pane="bottomRight" activeCell="C2" sqref="C2"/>
    </sheetView>
  </sheetViews>
  <sheetFormatPr defaultRowHeight="15" x14ac:dyDescent="0.25"/>
  <cols>
    <col min="1" max="1" width="6.7109375" customWidth="1"/>
    <col min="2" max="2" width="26.5703125" bestFit="1" customWidth="1"/>
    <col min="3" max="3" width="38" style="6" customWidth="1"/>
    <col min="4" max="4" width="39.28515625" bestFit="1" customWidth="1"/>
    <col min="5" max="5" width="24.28515625" customWidth="1"/>
    <col min="9" max="9" width="36.28515625" customWidth="1"/>
  </cols>
  <sheetData>
    <row r="1" spans="1:9" x14ac:dyDescent="0.25">
      <c r="A1" s="1" t="s">
        <v>12</v>
      </c>
    </row>
    <row r="2" spans="1:9" x14ac:dyDescent="0.25">
      <c r="A2" s="1" t="s">
        <v>492</v>
      </c>
    </row>
    <row r="3" spans="1:9" x14ac:dyDescent="0.25">
      <c r="A3" t="s">
        <v>530</v>
      </c>
    </row>
    <row r="4" spans="1:9" ht="15.75" thickBot="1" x14ac:dyDescent="0.3"/>
    <row r="5" spans="1:9" ht="17.25" customHeight="1" thickBot="1" x14ac:dyDescent="0.35">
      <c r="B5" s="58" t="s">
        <v>13</v>
      </c>
      <c r="C5" s="73"/>
      <c r="D5" s="73"/>
      <c r="E5" s="73"/>
      <c r="F5" s="73"/>
      <c r="G5" s="73"/>
      <c r="H5" s="73"/>
      <c r="I5" s="7"/>
    </row>
    <row r="6" spans="1:9" s="13" customFormat="1" ht="36.75" customHeight="1" x14ac:dyDescent="0.25">
      <c r="A6" s="8" t="s">
        <v>14</v>
      </c>
      <c r="B6" s="9" t="s">
        <v>15</v>
      </c>
      <c r="C6" s="10" t="s">
        <v>2</v>
      </c>
      <c r="D6" s="9" t="s">
        <v>16</v>
      </c>
      <c r="E6" s="11" t="s">
        <v>17</v>
      </c>
      <c r="F6" s="12" t="s">
        <v>18</v>
      </c>
      <c r="G6" s="12" t="s">
        <v>19</v>
      </c>
      <c r="H6" s="12" t="s">
        <v>20</v>
      </c>
      <c r="I6" s="10" t="s">
        <v>502</v>
      </c>
    </row>
    <row r="7" spans="1:9" x14ac:dyDescent="0.25">
      <c r="A7" s="14">
        <v>1</v>
      </c>
      <c r="B7" s="3" t="s">
        <v>21</v>
      </c>
      <c r="C7" s="5"/>
      <c r="D7" s="5" t="s">
        <v>22</v>
      </c>
      <c r="E7" s="5" t="s">
        <v>22</v>
      </c>
      <c r="F7" s="15" t="s">
        <v>23</v>
      </c>
      <c r="G7" s="15"/>
      <c r="H7" s="15">
        <v>1</v>
      </c>
      <c r="I7" s="17" t="s">
        <v>499</v>
      </c>
    </row>
    <row r="8" spans="1:9" x14ac:dyDescent="0.25">
      <c r="A8" s="14">
        <f>A7+1</f>
        <v>2</v>
      </c>
      <c r="B8" s="3" t="s">
        <v>24</v>
      </c>
      <c r="C8" s="5"/>
      <c r="D8" s="5" t="s">
        <v>25</v>
      </c>
      <c r="E8" s="5" t="s">
        <v>25</v>
      </c>
      <c r="F8" s="15" t="s">
        <v>23</v>
      </c>
      <c r="G8" s="15"/>
      <c r="H8" s="15">
        <v>11</v>
      </c>
      <c r="I8" s="17" t="s">
        <v>499</v>
      </c>
    </row>
    <row r="9" spans="1:9" x14ac:dyDescent="0.25">
      <c r="A9" s="14">
        <f t="shared" ref="A9:A28" si="0">A8+1</f>
        <v>3</v>
      </c>
      <c r="B9" s="3" t="s">
        <v>26</v>
      </c>
      <c r="C9" s="5" t="s">
        <v>27</v>
      </c>
      <c r="D9" s="3" t="s">
        <v>28</v>
      </c>
      <c r="E9" s="3" t="s">
        <v>29</v>
      </c>
      <c r="F9" s="15" t="s">
        <v>23</v>
      </c>
      <c r="G9" s="15"/>
      <c r="H9" s="15">
        <v>15</v>
      </c>
      <c r="I9" s="17" t="s">
        <v>499</v>
      </c>
    </row>
    <row r="10" spans="1:9" x14ac:dyDescent="0.25">
      <c r="A10" s="14">
        <f t="shared" si="0"/>
        <v>4</v>
      </c>
      <c r="B10" s="3" t="s">
        <v>30</v>
      </c>
      <c r="C10" s="5"/>
      <c r="D10" s="5" t="s">
        <v>31</v>
      </c>
      <c r="E10" s="5" t="s">
        <v>31</v>
      </c>
      <c r="F10" s="15" t="s">
        <v>23</v>
      </c>
      <c r="G10" s="15"/>
      <c r="H10" s="15">
        <v>11</v>
      </c>
      <c r="I10" s="17" t="s">
        <v>499</v>
      </c>
    </row>
    <row r="11" spans="1:9" x14ac:dyDescent="0.25">
      <c r="A11" s="14">
        <f t="shared" si="0"/>
        <v>5</v>
      </c>
      <c r="B11" s="3" t="s">
        <v>32</v>
      </c>
      <c r="C11" s="5"/>
      <c r="D11" s="5" t="s">
        <v>33</v>
      </c>
      <c r="E11" s="5" t="s">
        <v>33</v>
      </c>
      <c r="F11" s="15" t="s">
        <v>23</v>
      </c>
      <c r="G11" s="15"/>
      <c r="H11" s="15">
        <v>15</v>
      </c>
      <c r="I11" s="17" t="s">
        <v>499</v>
      </c>
    </row>
    <row r="12" spans="1:9" x14ac:dyDescent="0.25">
      <c r="A12" s="14">
        <f t="shared" si="0"/>
        <v>6</v>
      </c>
      <c r="B12" s="3" t="s">
        <v>3</v>
      </c>
      <c r="C12" s="5"/>
      <c r="D12" s="5" t="s">
        <v>34</v>
      </c>
      <c r="E12" s="5" t="s">
        <v>34</v>
      </c>
      <c r="F12" s="15" t="s">
        <v>23</v>
      </c>
      <c r="G12" s="15"/>
      <c r="H12" s="15">
        <v>15</v>
      </c>
      <c r="I12" s="17" t="s">
        <v>499</v>
      </c>
    </row>
    <row r="13" spans="1:9" x14ac:dyDescent="0.25">
      <c r="A13" s="14">
        <f t="shared" si="0"/>
        <v>7</v>
      </c>
      <c r="B13" s="3" t="s">
        <v>35</v>
      </c>
      <c r="C13" s="5" t="s">
        <v>36</v>
      </c>
      <c r="D13" s="3" t="s">
        <v>37</v>
      </c>
      <c r="E13" s="3" t="s">
        <v>37</v>
      </c>
      <c r="F13" s="15" t="s">
        <v>23</v>
      </c>
      <c r="G13" s="15"/>
      <c r="H13" s="15">
        <v>15</v>
      </c>
      <c r="I13" s="17" t="s">
        <v>499</v>
      </c>
    </row>
    <row r="14" spans="1:9" ht="39" x14ac:dyDescent="0.25">
      <c r="A14" s="14">
        <f t="shared" si="0"/>
        <v>8</v>
      </c>
      <c r="B14" s="3" t="s">
        <v>38</v>
      </c>
      <c r="C14" s="5" t="s">
        <v>39</v>
      </c>
      <c r="D14" s="3" t="s">
        <v>40</v>
      </c>
      <c r="E14" s="3"/>
      <c r="F14" s="15" t="s">
        <v>41</v>
      </c>
      <c r="G14" s="15"/>
      <c r="H14" s="15">
        <v>15</v>
      </c>
      <c r="I14" s="16"/>
    </row>
    <row r="15" spans="1:9" ht="26.25" x14ac:dyDescent="0.25">
      <c r="A15" s="14">
        <f t="shared" si="0"/>
        <v>9</v>
      </c>
      <c r="B15" s="3" t="s">
        <v>42</v>
      </c>
      <c r="C15" s="5" t="s">
        <v>43</v>
      </c>
      <c r="D15" s="3" t="s">
        <v>44</v>
      </c>
      <c r="E15" s="4" t="s">
        <v>45</v>
      </c>
      <c r="F15" s="15" t="s">
        <v>23</v>
      </c>
      <c r="G15" s="15"/>
      <c r="H15" s="15">
        <v>50</v>
      </c>
      <c r="I15" s="17" t="s">
        <v>522</v>
      </c>
    </row>
    <row r="16" spans="1:9" x14ac:dyDescent="0.25">
      <c r="A16" s="14">
        <f t="shared" si="0"/>
        <v>10</v>
      </c>
      <c r="B16" s="3" t="s">
        <v>46</v>
      </c>
      <c r="C16" s="5" t="s">
        <v>47</v>
      </c>
      <c r="D16" s="16">
        <v>0</v>
      </c>
      <c r="E16" s="16">
        <v>0</v>
      </c>
      <c r="F16" s="15" t="s">
        <v>41</v>
      </c>
      <c r="G16" s="15"/>
      <c r="H16" s="15">
        <v>4</v>
      </c>
      <c r="I16" s="16"/>
    </row>
    <row r="17" spans="1:9" ht="26.25" x14ac:dyDescent="0.25">
      <c r="A17" s="14">
        <f t="shared" si="0"/>
        <v>11</v>
      </c>
      <c r="B17" s="3" t="s">
        <v>48</v>
      </c>
      <c r="C17" s="5" t="s">
        <v>49</v>
      </c>
      <c r="D17" s="3" t="s">
        <v>50</v>
      </c>
      <c r="E17" s="18" t="s">
        <v>422</v>
      </c>
      <c r="F17" s="15" t="s">
        <v>23</v>
      </c>
      <c r="G17" s="15"/>
      <c r="H17" s="15">
        <v>14</v>
      </c>
      <c r="I17" s="16"/>
    </row>
    <row r="18" spans="1:9" ht="27.75" customHeight="1" x14ac:dyDescent="0.25">
      <c r="A18" s="14">
        <f t="shared" si="0"/>
        <v>12</v>
      </c>
      <c r="B18" s="3" t="s">
        <v>51</v>
      </c>
      <c r="C18" s="5" t="s">
        <v>52</v>
      </c>
      <c r="D18" s="3" t="s">
        <v>53</v>
      </c>
      <c r="E18" s="3" t="s">
        <v>54</v>
      </c>
      <c r="F18" s="15" t="s">
        <v>23</v>
      </c>
      <c r="G18" s="15"/>
      <c r="H18" s="15">
        <v>4</v>
      </c>
      <c r="I18" s="17" t="s">
        <v>525</v>
      </c>
    </row>
    <row r="19" spans="1:9" ht="26.25" x14ac:dyDescent="0.25">
      <c r="A19" s="14">
        <f t="shared" si="0"/>
        <v>13</v>
      </c>
      <c r="B19" s="3" t="s">
        <v>55</v>
      </c>
      <c r="C19" s="5" t="s">
        <v>56</v>
      </c>
      <c r="D19" s="3" t="s">
        <v>57</v>
      </c>
      <c r="E19" s="3" t="s">
        <v>58</v>
      </c>
      <c r="F19" s="15" t="s">
        <v>23</v>
      </c>
      <c r="G19" s="15"/>
      <c r="H19" s="15">
        <v>5</v>
      </c>
      <c r="I19" s="17" t="s">
        <v>523</v>
      </c>
    </row>
    <row r="20" spans="1:9" ht="26.25" x14ac:dyDescent="0.25">
      <c r="A20" s="14">
        <f t="shared" si="0"/>
        <v>14</v>
      </c>
      <c r="B20" s="3" t="s">
        <v>59</v>
      </c>
      <c r="C20" s="5" t="s">
        <v>60</v>
      </c>
      <c r="D20" s="3" t="s">
        <v>44</v>
      </c>
      <c r="E20" s="3" t="s">
        <v>423</v>
      </c>
      <c r="F20" s="15" t="s">
        <v>23</v>
      </c>
      <c r="G20" s="15"/>
      <c r="H20" s="15">
        <v>9</v>
      </c>
      <c r="I20" s="17" t="s">
        <v>528</v>
      </c>
    </row>
    <row r="21" spans="1:9" x14ac:dyDescent="0.25">
      <c r="A21" s="14">
        <f t="shared" si="0"/>
        <v>15</v>
      </c>
      <c r="B21" s="3" t="s">
        <v>61</v>
      </c>
      <c r="C21" s="5" t="s">
        <v>62</v>
      </c>
      <c r="D21" s="3" t="s">
        <v>44</v>
      </c>
      <c r="E21" s="3" t="s">
        <v>63</v>
      </c>
      <c r="F21" s="15" t="s">
        <v>41</v>
      </c>
      <c r="G21" s="15"/>
      <c r="H21" s="15">
        <v>30</v>
      </c>
      <c r="I21" s="16"/>
    </row>
    <row r="22" spans="1:9" ht="26.25" x14ac:dyDescent="0.25">
      <c r="A22" s="14">
        <f t="shared" si="0"/>
        <v>16</v>
      </c>
      <c r="B22" s="3" t="s">
        <v>64</v>
      </c>
      <c r="C22" s="5" t="s">
        <v>585</v>
      </c>
      <c r="D22" s="3" t="s">
        <v>594</v>
      </c>
      <c r="E22" s="3" t="s">
        <v>65</v>
      </c>
      <c r="F22" s="15" t="s">
        <v>524</v>
      </c>
      <c r="G22" s="15"/>
      <c r="H22" s="15">
        <v>30</v>
      </c>
      <c r="I22" s="55" t="s">
        <v>586</v>
      </c>
    </row>
    <row r="23" spans="1:9" ht="26.25" x14ac:dyDescent="0.25">
      <c r="A23" s="14">
        <f t="shared" si="0"/>
        <v>17</v>
      </c>
      <c r="B23" s="3" t="s">
        <v>66</v>
      </c>
      <c r="C23" s="5"/>
      <c r="D23" s="5" t="s">
        <v>67</v>
      </c>
      <c r="E23" s="5"/>
      <c r="F23" s="15" t="s">
        <v>524</v>
      </c>
      <c r="G23" s="15"/>
      <c r="H23" s="15">
        <v>2</v>
      </c>
      <c r="I23" s="17" t="s">
        <v>529</v>
      </c>
    </row>
    <row r="24" spans="1:9" x14ac:dyDescent="0.25">
      <c r="A24" s="14">
        <f t="shared" si="0"/>
        <v>18</v>
      </c>
      <c r="B24" s="3" t="s">
        <v>68</v>
      </c>
      <c r="C24" s="5" t="s">
        <v>69</v>
      </c>
      <c r="D24" s="3" t="s">
        <v>40</v>
      </c>
      <c r="E24" s="3"/>
      <c r="F24" s="15" t="s">
        <v>41</v>
      </c>
      <c r="G24" s="15"/>
      <c r="H24" s="15">
        <v>30</v>
      </c>
      <c r="I24" s="16"/>
    </row>
    <row r="25" spans="1:9" x14ac:dyDescent="0.25">
      <c r="A25" s="14">
        <f t="shared" si="0"/>
        <v>19</v>
      </c>
      <c r="B25" s="3" t="s">
        <v>68</v>
      </c>
      <c r="C25" s="5" t="s">
        <v>69</v>
      </c>
      <c r="D25" s="3" t="s">
        <v>40</v>
      </c>
      <c r="E25" s="3"/>
      <c r="F25" s="15" t="s">
        <v>41</v>
      </c>
      <c r="G25" s="15"/>
      <c r="H25" s="15">
        <v>30</v>
      </c>
      <c r="I25" s="16"/>
    </row>
    <row r="26" spans="1:9" x14ac:dyDescent="0.25">
      <c r="A26" s="14">
        <f t="shared" si="0"/>
        <v>20</v>
      </c>
      <c r="B26" s="3" t="s">
        <v>68</v>
      </c>
      <c r="C26" s="5" t="s">
        <v>69</v>
      </c>
      <c r="D26" s="3" t="s">
        <v>40</v>
      </c>
      <c r="E26" s="3"/>
      <c r="F26" s="15" t="s">
        <v>41</v>
      </c>
      <c r="G26" s="15"/>
      <c r="H26" s="15">
        <v>30</v>
      </c>
      <c r="I26" s="16"/>
    </row>
    <row r="27" spans="1:9" x14ac:dyDescent="0.25">
      <c r="A27" s="14">
        <f t="shared" si="0"/>
        <v>21</v>
      </c>
      <c r="B27" s="3" t="s">
        <v>68</v>
      </c>
      <c r="C27" s="5" t="s">
        <v>69</v>
      </c>
      <c r="D27" s="3" t="s">
        <v>40</v>
      </c>
      <c r="E27" s="3"/>
      <c r="F27" s="15" t="s">
        <v>41</v>
      </c>
      <c r="G27" s="15"/>
      <c r="H27" s="15">
        <v>30</v>
      </c>
      <c r="I27" s="16"/>
    </row>
    <row r="28" spans="1:9" x14ac:dyDescent="0.25">
      <c r="A28" s="14">
        <f t="shared" si="0"/>
        <v>22</v>
      </c>
      <c r="B28" s="3" t="s">
        <v>70</v>
      </c>
      <c r="C28" s="5"/>
      <c r="D28" s="3" t="s">
        <v>71</v>
      </c>
      <c r="E28" s="3" t="s">
        <v>71</v>
      </c>
      <c r="F28" s="15" t="s">
        <v>23</v>
      </c>
      <c r="G28" s="15"/>
      <c r="H28" s="15">
        <v>1</v>
      </c>
      <c r="I28" s="16"/>
    </row>
    <row r="31" spans="1:9" x14ac:dyDescent="0.25">
      <c r="A31" t="s">
        <v>72</v>
      </c>
    </row>
    <row r="32" spans="1:9" x14ac:dyDescent="0.25">
      <c r="A32" t="s">
        <v>424</v>
      </c>
    </row>
  </sheetData>
  <sheetProtection algorithmName="SHA-512" hashValue="gNALhbkEEGkc65tk2xcrwbJwMs8rHVt6uiD+BQ9ywWO9HPzlJT7zN4KEHqp3Kv6F0CqGg/MVkMsDF8ZS0eoJww==" saltValue="w4nisSU7kz6I2H8gTQem/w==" spinCount="100000" sheet="1" objects="1" scenarios="1"/>
  <mergeCells count="1">
    <mergeCell ref="B5:H5"/>
  </mergeCells>
  <pageMargins left="0.5" right="0.5" top="0.5" bottom="0.5" header="0.3" footer="0.3"/>
  <pageSetup scale="50" orientation="portrait" r:id="rId1"/>
  <headerFooter>
    <oddFooter>&amp;F&amp;RPage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pageSetUpPr fitToPage="1"/>
  </sheetPr>
  <dimension ref="A1:J249"/>
  <sheetViews>
    <sheetView zoomScale="90" zoomScaleNormal="90" workbookViewId="0">
      <pane xSplit="2" ySplit="6" topLeftCell="C7" activePane="bottomRight" state="frozen"/>
      <selection sqref="A1:C14"/>
      <selection pane="topRight" sqref="A1:C14"/>
      <selection pane="bottomLeft" sqref="A1:C14"/>
      <selection pane="bottomRight" activeCell="B2" sqref="B2"/>
    </sheetView>
  </sheetViews>
  <sheetFormatPr defaultColWidth="9.28515625" defaultRowHeight="15" x14ac:dyDescent="0.25"/>
  <cols>
    <col min="1" max="1" width="7.42578125" style="23" customWidth="1"/>
    <col min="2" max="2" width="36.42578125" style="23" customWidth="1"/>
    <col min="3" max="3" width="33.28515625" style="30" bestFit="1" customWidth="1"/>
    <col min="4" max="4" width="30.5703125" style="30" bestFit="1" customWidth="1"/>
    <col min="5" max="5" width="14.7109375" style="30" customWidth="1"/>
    <col min="6" max="6" width="7.28515625" style="31" customWidth="1"/>
    <col min="7" max="7" width="10.5703125" style="31" customWidth="1"/>
    <col min="8" max="8" width="7.28515625" style="31" customWidth="1"/>
    <col min="9" max="9" width="31.7109375" style="23" customWidth="1"/>
    <col min="10" max="10" width="8.7109375" customWidth="1"/>
    <col min="11" max="16384" width="9.28515625" style="23"/>
  </cols>
  <sheetData>
    <row r="1" spans="1:10" customFormat="1" x14ac:dyDescent="0.25">
      <c r="A1" s="1" t="s">
        <v>73</v>
      </c>
      <c r="C1" s="6"/>
      <c r="H1" s="19"/>
    </row>
    <row r="2" spans="1:10" customFormat="1" x14ac:dyDescent="0.25">
      <c r="A2" s="1" t="s">
        <v>492</v>
      </c>
      <c r="C2" s="6"/>
      <c r="H2" s="19"/>
    </row>
    <row r="3" spans="1:10" customFormat="1" x14ac:dyDescent="0.25">
      <c r="A3" t="s">
        <v>530</v>
      </c>
      <c r="C3" s="6"/>
      <c r="E3" s="6"/>
      <c r="F3" s="19"/>
      <c r="G3" s="19"/>
      <c r="H3" s="19"/>
    </row>
    <row r="4" spans="1:10" customFormat="1" ht="15.75" thickBot="1" x14ac:dyDescent="0.3">
      <c r="C4" s="6"/>
      <c r="D4" s="6"/>
      <c r="E4" s="6"/>
      <c r="F4" s="19"/>
      <c r="G4" s="19"/>
      <c r="H4" s="19"/>
    </row>
    <row r="5" spans="1:10" customFormat="1" ht="19.5" thickBot="1" x14ac:dyDescent="0.35">
      <c r="B5" s="58" t="s">
        <v>74</v>
      </c>
      <c r="C5" s="73"/>
      <c r="D5" s="73"/>
      <c r="E5" s="73"/>
      <c r="F5" s="73"/>
      <c r="G5" s="73"/>
      <c r="H5" s="73"/>
      <c r="I5" s="7"/>
    </row>
    <row r="6" spans="1:10" s="21" customFormat="1" ht="30" customHeight="1" x14ac:dyDescent="0.25">
      <c r="A6" s="8" t="s">
        <v>14</v>
      </c>
      <c r="B6" s="9" t="s">
        <v>15</v>
      </c>
      <c r="C6" s="10" t="s">
        <v>2</v>
      </c>
      <c r="D6" s="10" t="s">
        <v>16</v>
      </c>
      <c r="E6" s="11" t="s">
        <v>17</v>
      </c>
      <c r="F6" s="20" t="s">
        <v>18</v>
      </c>
      <c r="G6" s="20" t="s">
        <v>19</v>
      </c>
      <c r="H6" s="20" t="s">
        <v>20</v>
      </c>
      <c r="I6" s="10" t="s">
        <v>502</v>
      </c>
      <c r="J6"/>
    </row>
    <row r="7" spans="1:10" x14ac:dyDescent="0.25">
      <c r="A7" s="14">
        <v>1</v>
      </c>
      <c r="B7" s="22" t="s">
        <v>21</v>
      </c>
      <c r="C7" s="22"/>
      <c r="D7" s="22" t="s">
        <v>75</v>
      </c>
      <c r="E7" s="22" t="s">
        <v>76</v>
      </c>
      <c r="F7" s="22" t="s">
        <v>23</v>
      </c>
      <c r="G7" s="22"/>
      <c r="H7" s="22">
        <v>1</v>
      </c>
      <c r="I7" s="26"/>
    </row>
    <row r="8" spans="1:10" ht="43.9" customHeight="1" x14ac:dyDescent="0.25">
      <c r="A8" s="14">
        <f>A7+1</f>
        <v>2</v>
      </c>
      <c r="B8" s="22" t="s">
        <v>77</v>
      </c>
      <c r="C8" s="22" t="s">
        <v>458</v>
      </c>
      <c r="D8" s="22"/>
      <c r="E8" s="24">
        <v>1598211789</v>
      </c>
      <c r="F8" s="22" t="s">
        <v>23</v>
      </c>
      <c r="G8" s="22"/>
      <c r="H8" s="22">
        <v>29</v>
      </c>
      <c r="I8" s="26" t="s">
        <v>531</v>
      </c>
    </row>
    <row r="9" spans="1:10" ht="25.5" x14ac:dyDescent="0.25">
      <c r="A9" s="14">
        <f t="shared" ref="A9:A72" si="0">A8+1</f>
        <v>3</v>
      </c>
      <c r="B9" s="22" t="s">
        <v>79</v>
      </c>
      <c r="C9" s="22" t="s">
        <v>80</v>
      </c>
      <c r="D9" s="22" t="s">
        <v>81</v>
      </c>
      <c r="E9" s="22" t="s">
        <v>82</v>
      </c>
      <c r="F9" s="22" t="s">
        <v>23</v>
      </c>
      <c r="G9" s="22"/>
      <c r="H9" s="22">
        <v>1</v>
      </c>
      <c r="I9" s="26"/>
    </row>
    <row r="10" spans="1:10" ht="65.25" customHeight="1" x14ac:dyDescent="0.25">
      <c r="A10" s="14">
        <f t="shared" si="0"/>
        <v>4</v>
      </c>
      <c r="B10" s="22" t="s">
        <v>83</v>
      </c>
      <c r="C10" s="22"/>
      <c r="D10" s="22" t="s">
        <v>454</v>
      </c>
      <c r="E10" s="22" t="s">
        <v>84</v>
      </c>
      <c r="F10" s="22" t="s">
        <v>23</v>
      </c>
      <c r="G10" s="22"/>
      <c r="H10" s="22">
        <v>2</v>
      </c>
      <c r="I10" s="26" t="s">
        <v>501</v>
      </c>
    </row>
    <row r="11" spans="1:10" ht="63.6" customHeight="1" x14ac:dyDescent="0.25">
      <c r="A11" s="14">
        <f t="shared" si="0"/>
        <v>5</v>
      </c>
      <c r="B11" s="22" t="s">
        <v>85</v>
      </c>
      <c r="C11" s="22" t="s">
        <v>86</v>
      </c>
      <c r="D11" s="22" t="s">
        <v>532</v>
      </c>
      <c r="E11" s="22"/>
      <c r="F11" s="22" t="s">
        <v>572</v>
      </c>
      <c r="G11" s="22"/>
      <c r="H11" s="22">
        <v>40</v>
      </c>
      <c r="I11" s="26" t="s">
        <v>573</v>
      </c>
    </row>
    <row r="12" spans="1:10" ht="24.4" customHeight="1" x14ac:dyDescent="0.25">
      <c r="A12" s="14">
        <f t="shared" si="0"/>
        <v>6</v>
      </c>
      <c r="B12" s="22" t="s">
        <v>61</v>
      </c>
      <c r="C12" s="22"/>
      <c r="D12" s="22" t="s">
        <v>87</v>
      </c>
      <c r="E12" s="25" t="s">
        <v>88</v>
      </c>
      <c r="F12" s="22" t="s">
        <v>41</v>
      </c>
      <c r="G12" s="22"/>
      <c r="H12" s="22">
        <v>30</v>
      </c>
      <c r="I12" s="26"/>
    </row>
    <row r="13" spans="1:10" ht="51.6" customHeight="1" x14ac:dyDescent="0.25">
      <c r="A13" s="14">
        <f t="shared" si="0"/>
        <v>7</v>
      </c>
      <c r="B13" s="22" t="s">
        <v>89</v>
      </c>
      <c r="C13" s="22" t="s">
        <v>534</v>
      </c>
      <c r="D13" s="22" t="s">
        <v>449</v>
      </c>
      <c r="E13" s="24">
        <v>1</v>
      </c>
      <c r="F13" s="22" t="s">
        <v>23</v>
      </c>
      <c r="G13" s="22"/>
      <c r="H13" s="22">
        <v>20</v>
      </c>
      <c r="I13" s="26" t="s">
        <v>535</v>
      </c>
    </row>
    <row r="14" spans="1:10" ht="22.5" customHeight="1" x14ac:dyDescent="0.25">
      <c r="A14" s="14">
        <f t="shared" si="0"/>
        <v>8</v>
      </c>
      <c r="B14" s="22" t="s">
        <v>90</v>
      </c>
      <c r="C14" s="22" t="s">
        <v>91</v>
      </c>
      <c r="D14" s="22" t="s">
        <v>450</v>
      </c>
      <c r="E14" s="22"/>
      <c r="F14" s="22" t="s">
        <v>41</v>
      </c>
      <c r="G14" s="22"/>
      <c r="H14" s="22">
        <v>20</v>
      </c>
      <c r="I14" s="26"/>
    </row>
    <row r="15" spans="1:10" ht="50.45" customHeight="1" x14ac:dyDescent="0.25">
      <c r="A15" s="14">
        <f t="shared" si="0"/>
        <v>9</v>
      </c>
      <c r="B15" s="22" t="s">
        <v>92</v>
      </c>
      <c r="C15" s="22" t="s">
        <v>93</v>
      </c>
      <c r="D15" s="22" t="s">
        <v>538</v>
      </c>
      <c r="E15" s="22"/>
      <c r="F15" s="22" t="s">
        <v>572</v>
      </c>
      <c r="G15" s="22"/>
      <c r="H15" s="22">
        <v>40</v>
      </c>
      <c r="I15" s="26" t="s">
        <v>591</v>
      </c>
    </row>
    <row r="16" spans="1:10" x14ac:dyDescent="0.25">
      <c r="A16" s="14">
        <f t="shared" si="0"/>
        <v>10</v>
      </c>
      <c r="B16" s="22" t="s">
        <v>94</v>
      </c>
      <c r="C16" s="22" t="s">
        <v>95</v>
      </c>
      <c r="D16" s="22"/>
      <c r="E16" s="22" t="s">
        <v>96</v>
      </c>
      <c r="F16" s="22" t="s">
        <v>78</v>
      </c>
      <c r="G16" s="22"/>
      <c r="H16" s="22">
        <v>5</v>
      </c>
      <c r="I16" s="26"/>
    </row>
    <row r="17" spans="1:9" ht="72" customHeight="1" x14ac:dyDescent="0.25">
      <c r="A17" s="14">
        <f t="shared" si="0"/>
        <v>11</v>
      </c>
      <c r="B17" s="22" t="s">
        <v>425</v>
      </c>
      <c r="C17" s="22" t="s">
        <v>97</v>
      </c>
      <c r="D17" s="22"/>
      <c r="E17" s="22" t="s">
        <v>98</v>
      </c>
      <c r="F17" s="22" t="s">
        <v>23</v>
      </c>
      <c r="G17" s="22"/>
      <c r="H17" s="22">
        <v>20</v>
      </c>
      <c r="I17" s="26" t="s">
        <v>541</v>
      </c>
    </row>
    <row r="18" spans="1:9" x14ac:dyDescent="0.25">
      <c r="A18" s="14">
        <f t="shared" si="0"/>
        <v>12</v>
      </c>
      <c r="B18" s="22" t="s">
        <v>99</v>
      </c>
      <c r="C18" s="22" t="s">
        <v>100</v>
      </c>
      <c r="D18" s="22"/>
      <c r="E18" s="22" t="s">
        <v>101</v>
      </c>
      <c r="F18" s="22" t="s">
        <v>23</v>
      </c>
      <c r="G18" s="22"/>
      <c r="H18" s="22">
        <v>80</v>
      </c>
      <c r="I18" s="26" t="s">
        <v>540</v>
      </c>
    </row>
    <row r="19" spans="1:9" ht="69" customHeight="1" x14ac:dyDescent="0.25">
      <c r="A19" s="14">
        <f t="shared" si="0"/>
        <v>13</v>
      </c>
      <c r="B19" s="22" t="s">
        <v>102</v>
      </c>
      <c r="C19" s="22" t="s">
        <v>544</v>
      </c>
      <c r="D19" s="22"/>
      <c r="E19" s="22" t="s">
        <v>104</v>
      </c>
      <c r="F19" s="22" t="s">
        <v>78</v>
      </c>
      <c r="G19" s="22"/>
      <c r="H19" s="22">
        <v>60</v>
      </c>
      <c r="I19" s="26" t="s">
        <v>545</v>
      </c>
    </row>
    <row r="20" spans="1:9" ht="69" customHeight="1" x14ac:dyDescent="0.25">
      <c r="A20" s="14">
        <f t="shared" si="0"/>
        <v>14</v>
      </c>
      <c r="B20" s="22" t="s">
        <v>106</v>
      </c>
      <c r="C20" s="22" t="s">
        <v>542</v>
      </c>
      <c r="D20" s="22"/>
      <c r="E20" s="22" t="s">
        <v>107</v>
      </c>
      <c r="F20" s="22" t="s">
        <v>78</v>
      </c>
      <c r="G20" s="22"/>
      <c r="H20" s="22">
        <v>35</v>
      </c>
      <c r="I20" s="26" t="s">
        <v>546</v>
      </c>
    </row>
    <row r="21" spans="1:9" ht="39.6" customHeight="1" x14ac:dyDescent="0.25">
      <c r="A21" s="14">
        <f t="shared" si="0"/>
        <v>15</v>
      </c>
      <c r="B21" s="22" t="s">
        <v>108</v>
      </c>
      <c r="C21" s="22" t="s">
        <v>109</v>
      </c>
      <c r="D21" s="22"/>
      <c r="E21" s="22" t="s">
        <v>110</v>
      </c>
      <c r="F21" s="22" t="s">
        <v>41</v>
      </c>
      <c r="G21" s="22"/>
      <c r="H21" s="22">
        <v>25</v>
      </c>
      <c r="I21" s="26"/>
    </row>
    <row r="22" spans="1:9" x14ac:dyDescent="0.25">
      <c r="A22" s="14">
        <f t="shared" si="0"/>
        <v>16</v>
      </c>
      <c r="B22" s="22" t="s">
        <v>111</v>
      </c>
      <c r="C22" s="22" t="s">
        <v>112</v>
      </c>
      <c r="D22" s="22"/>
      <c r="E22" s="22"/>
      <c r="F22" s="22" t="s">
        <v>41</v>
      </c>
      <c r="G22" s="22"/>
      <c r="H22" s="22">
        <v>10</v>
      </c>
      <c r="I22" s="26"/>
    </row>
    <row r="23" spans="1:9" ht="65.45" customHeight="1" x14ac:dyDescent="0.25">
      <c r="A23" s="14">
        <f t="shared" si="0"/>
        <v>17</v>
      </c>
      <c r="B23" s="22" t="s">
        <v>113</v>
      </c>
      <c r="C23" s="22" t="s">
        <v>542</v>
      </c>
      <c r="D23" s="22"/>
      <c r="E23" s="22" t="s">
        <v>114</v>
      </c>
      <c r="F23" s="22" t="s">
        <v>78</v>
      </c>
      <c r="G23" s="22"/>
      <c r="H23" s="22">
        <v>55</v>
      </c>
      <c r="I23" s="26" t="s">
        <v>546</v>
      </c>
    </row>
    <row r="24" spans="1:9" x14ac:dyDescent="0.25">
      <c r="A24" s="14">
        <f t="shared" si="0"/>
        <v>18</v>
      </c>
      <c r="B24" s="22" t="s">
        <v>115</v>
      </c>
      <c r="C24" s="22" t="s">
        <v>116</v>
      </c>
      <c r="D24" s="22"/>
      <c r="E24" s="22"/>
      <c r="F24" s="22" t="s">
        <v>41</v>
      </c>
      <c r="G24" s="22"/>
      <c r="H24" s="22">
        <v>55</v>
      </c>
      <c r="I24" s="26"/>
    </row>
    <row r="25" spans="1:9" ht="69" customHeight="1" x14ac:dyDescent="0.25">
      <c r="A25" s="14">
        <f t="shared" si="0"/>
        <v>19</v>
      </c>
      <c r="B25" s="22" t="s">
        <v>117</v>
      </c>
      <c r="C25" s="22" t="s">
        <v>544</v>
      </c>
      <c r="D25" s="22"/>
      <c r="E25" s="22" t="s">
        <v>118</v>
      </c>
      <c r="F25" s="22" t="s">
        <v>78</v>
      </c>
      <c r="G25" s="22"/>
      <c r="H25" s="22">
        <v>30</v>
      </c>
      <c r="I25" s="26" t="s">
        <v>546</v>
      </c>
    </row>
    <row r="26" spans="1:9" ht="69" customHeight="1" x14ac:dyDescent="0.25">
      <c r="A26" s="14">
        <f t="shared" si="0"/>
        <v>20</v>
      </c>
      <c r="B26" s="22" t="s">
        <v>119</v>
      </c>
      <c r="C26" s="22" t="s">
        <v>542</v>
      </c>
      <c r="D26" s="22"/>
      <c r="E26" s="22" t="s">
        <v>120</v>
      </c>
      <c r="F26" s="22" t="s">
        <v>78</v>
      </c>
      <c r="G26" s="22"/>
      <c r="H26" s="22">
        <v>2</v>
      </c>
      <c r="I26" s="26" t="s">
        <v>546</v>
      </c>
    </row>
    <row r="27" spans="1:9" ht="69" customHeight="1" x14ac:dyDescent="0.25">
      <c r="A27" s="14">
        <f t="shared" si="0"/>
        <v>21</v>
      </c>
      <c r="B27" s="22" t="s">
        <v>121</v>
      </c>
      <c r="C27" s="22" t="s">
        <v>542</v>
      </c>
      <c r="D27" s="22"/>
      <c r="E27" s="24">
        <v>92530</v>
      </c>
      <c r="F27" s="22" t="s">
        <v>78</v>
      </c>
      <c r="G27" s="22"/>
      <c r="H27" s="22">
        <v>5</v>
      </c>
      <c r="I27" s="26" t="s">
        <v>546</v>
      </c>
    </row>
    <row r="28" spans="1:9" ht="38.25" x14ac:dyDescent="0.25">
      <c r="A28" s="14">
        <f t="shared" si="0"/>
        <v>22</v>
      </c>
      <c r="B28" s="22" t="s">
        <v>122</v>
      </c>
      <c r="C28" s="22" t="s">
        <v>123</v>
      </c>
      <c r="D28" s="22"/>
      <c r="E28" s="24">
        <v>4849</v>
      </c>
      <c r="F28" s="22" t="s">
        <v>41</v>
      </c>
      <c r="G28" s="22"/>
      <c r="H28" s="22">
        <v>4</v>
      </c>
      <c r="I28" s="26"/>
    </row>
    <row r="29" spans="1:9" x14ac:dyDescent="0.25">
      <c r="A29" s="14">
        <f t="shared" si="0"/>
        <v>23</v>
      </c>
      <c r="B29" s="22" t="s">
        <v>124</v>
      </c>
      <c r="C29" s="22"/>
      <c r="D29" s="22"/>
      <c r="E29" s="22"/>
      <c r="F29" s="22" t="s">
        <v>41</v>
      </c>
      <c r="G29" s="22"/>
      <c r="H29" s="22">
        <v>30</v>
      </c>
      <c r="I29" s="26"/>
    </row>
    <row r="30" spans="1:9" x14ac:dyDescent="0.25">
      <c r="A30" s="14">
        <f t="shared" si="0"/>
        <v>24</v>
      </c>
      <c r="B30" s="22" t="s">
        <v>125</v>
      </c>
      <c r="C30" s="22" t="s">
        <v>126</v>
      </c>
      <c r="D30" s="22"/>
      <c r="E30" s="22"/>
      <c r="F30" s="22" t="s">
        <v>41</v>
      </c>
      <c r="G30" s="22"/>
      <c r="H30" s="22">
        <v>3</v>
      </c>
      <c r="I30" s="26"/>
    </row>
    <row r="31" spans="1:9" x14ac:dyDescent="0.25">
      <c r="A31" s="14">
        <f t="shared" si="0"/>
        <v>25</v>
      </c>
      <c r="B31" s="22" t="s">
        <v>127</v>
      </c>
      <c r="C31" s="22" t="s">
        <v>126</v>
      </c>
      <c r="D31" s="22"/>
      <c r="E31" s="22"/>
      <c r="F31" s="22" t="s">
        <v>41</v>
      </c>
      <c r="G31" s="22"/>
      <c r="H31" s="22">
        <v>3</v>
      </c>
      <c r="I31" s="26"/>
    </row>
    <row r="32" spans="1:9" x14ac:dyDescent="0.25">
      <c r="A32" s="14">
        <f t="shared" si="0"/>
        <v>26</v>
      </c>
      <c r="B32" s="22" t="s">
        <v>128</v>
      </c>
      <c r="C32" s="22"/>
      <c r="D32" s="22"/>
      <c r="E32" s="22"/>
      <c r="F32" s="22" t="s">
        <v>41</v>
      </c>
      <c r="G32" s="22"/>
      <c r="H32" s="22">
        <v>50</v>
      </c>
      <c r="I32" s="26"/>
    </row>
    <row r="33" spans="1:9" ht="69.599999999999994" customHeight="1" x14ac:dyDescent="0.25">
      <c r="A33" s="14">
        <f t="shared" si="0"/>
        <v>27</v>
      </c>
      <c r="B33" s="22" t="s">
        <v>129</v>
      </c>
      <c r="C33" s="22" t="s">
        <v>542</v>
      </c>
      <c r="D33" s="22"/>
      <c r="E33" s="27" t="s">
        <v>130</v>
      </c>
      <c r="F33" s="22" t="s">
        <v>23</v>
      </c>
      <c r="G33" s="22" t="s">
        <v>131</v>
      </c>
      <c r="H33" s="22">
        <v>10</v>
      </c>
      <c r="I33" s="26" t="s">
        <v>569</v>
      </c>
    </row>
    <row r="34" spans="1:9" ht="78" customHeight="1" x14ac:dyDescent="0.25">
      <c r="A34" s="14">
        <f t="shared" si="0"/>
        <v>28</v>
      </c>
      <c r="B34" s="22" t="s">
        <v>132</v>
      </c>
      <c r="C34" s="22" t="s">
        <v>103</v>
      </c>
      <c r="D34" s="22"/>
      <c r="E34" s="22" t="s">
        <v>78</v>
      </c>
      <c r="F34" s="22" t="s">
        <v>78</v>
      </c>
      <c r="G34" s="22"/>
      <c r="H34" s="22">
        <v>15</v>
      </c>
      <c r="I34" s="26" t="s">
        <v>546</v>
      </c>
    </row>
    <row r="35" spans="1:9" x14ac:dyDescent="0.25">
      <c r="A35" s="14">
        <f t="shared" si="0"/>
        <v>29</v>
      </c>
      <c r="B35" s="22" t="s">
        <v>133</v>
      </c>
      <c r="C35" s="22"/>
      <c r="D35" s="22"/>
      <c r="E35" s="22"/>
      <c r="F35" s="22" t="s">
        <v>41</v>
      </c>
      <c r="G35" s="22"/>
      <c r="H35" s="22">
        <v>11</v>
      </c>
      <c r="I35" s="26"/>
    </row>
    <row r="36" spans="1:9" x14ac:dyDescent="0.25">
      <c r="A36" s="14">
        <f t="shared" si="0"/>
        <v>30</v>
      </c>
      <c r="B36" s="22" t="s">
        <v>134</v>
      </c>
      <c r="C36" s="22"/>
      <c r="D36" s="22"/>
      <c r="E36" s="22"/>
      <c r="F36" s="22" t="s">
        <v>41</v>
      </c>
      <c r="G36" s="22"/>
      <c r="H36" s="22">
        <v>50</v>
      </c>
      <c r="I36" s="26"/>
    </row>
    <row r="37" spans="1:9" x14ac:dyDescent="0.25">
      <c r="A37" s="14">
        <f t="shared" si="0"/>
        <v>31</v>
      </c>
      <c r="B37" s="22" t="s">
        <v>135</v>
      </c>
      <c r="C37" s="22"/>
      <c r="D37" s="22"/>
      <c r="E37" s="22"/>
      <c r="F37" s="22" t="s">
        <v>41</v>
      </c>
      <c r="G37" s="22"/>
      <c r="H37" s="22">
        <v>60</v>
      </c>
      <c r="I37" s="26"/>
    </row>
    <row r="38" spans="1:9" x14ac:dyDescent="0.25">
      <c r="A38" s="14">
        <f t="shared" si="0"/>
        <v>32</v>
      </c>
      <c r="B38" s="22" t="s">
        <v>136</v>
      </c>
      <c r="C38" s="22"/>
      <c r="D38" s="22"/>
      <c r="E38" s="22"/>
      <c r="F38" s="22" t="s">
        <v>41</v>
      </c>
      <c r="G38" s="22"/>
      <c r="H38" s="22">
        <v>35</v>
      </c>
      <c r="I38" s="26"/>
    </row>
    <row r="39" spans="1:9" x14ac:dyDescent="0.25">
      <c r="A39" s="14">
        <f t="shared" si="0"/>
        <v>33</v>
      </c>
      <c r="B39" s="22" t="s">
        <v>137</v>
      </c>
      <c r="C39" s="22"/>
      <c r="D39" s="22"/>
      <c r="E39" s="22"/>
      <c r="F39" s="22" t="s">
        <v>41</v>
      </c>
      <c r="G39" s="22"/>
      <c r="H39" s="22">
        <v>40</v>
      </c>
      <c r="I39" s="26"/>
    </row>
    <row r="40" spans="1:9" ht="89.25" x14ac:dyDescent="0.25">
      <c r="A40" s="14">
        <f t="shared" si="0"/>
        <v>34</v>
      </c>
      <c r="B40" s="22" t="s">
        <v>138</v>
      </c>
      <c r="C40" s="22"/>
      <c r="D40" s="22" t="s">
        <v>139</v>
      </c>
      <c r="E40" s="28" t="s">
        <v>140</v>
      </c>
      <c r="F40" s="22" t="s">
        <v>23</v>
      </c>
      <c r="G40" s="22"/>
      <c r="H40" s="22">
        <v>15</v>
      </c>
      <c r="I40" s="26" t="s">
        <v>547</v>
      </c>
    </row>
    <row r="41" spans="1:9" ht="25.5" x14ac:dyDescent="0.25">
      <c r="A41" s="14">
        <f t="shared" si="0"/>
        <v>35</v>
      </c>
      <c r="B41" s="22" t="s">
        <v>141</v>
      </c>
      <c r="C41" s="22" t="s">
        <v>142</v>
      </c>
      <c r="D41" s="22"/>
      <c r="E41" s="22"/>
      <c r="F41" s="22" t="s">
        <v>41</v>
      </c>
      <c r="G41" s="22"/>
      <c r="H41" s="22">
        <v>60</v>
      </c>
      <c r="I41" s="26"/>
    </row>
    <row r="42" spans="1:9" ht="25.5" x14ac:dyDescent="0.25">
      <c r="A42" s="14">
        <f t="shared" si="0"/>
        <v>36</v>
      </c>
      <c r="B42" s="22" t="s">
        <v>143</v>
      </c>
      <c r="C42" s="22" t="s">
        <v>142</v>
      </c>
      <c r="D42" s="22"/>
      <c r="E42" s="22"/>
      <c r="F42" s="22" t="s">
        <v>41</v>
      </c>
      <c r="G42" s="22"/>
      <c r="H42" s="22">
        <v>60</v>
      </c>
      <c r="I42" s="26"/>
    </row>
    <row r="43" spans="1:9" ht="25.5" x14ac:dyDescent="0.25">
      <c r="A43" s="14">
        <f t="shared" si="0"/>
        <v>37</v>
      </c>
      <c r="B43" s="22" t="s">
        <v>144</v>
      </c>
      <c r="C43" s="22" t="s">
        <v>142</v>
      </c>
      <c r="D43" s="22"/>
      <c r="E43" s="22"/>
      <c r="F43" s="22" t="s">
        <v>41</v>
      </c>
      <c r="G43" s="22"/>
      <c r="H43" s="22">
        <v>50</v>
      </c>
      <c r="I43" s="26"/>
    </row>
    <row r="44" spans="1:9" ht="25.5" x14ac:dyDescent="0.25">
      <c r="A44" s="14">
        <f t="shared" si="0"/>
        <v>38</v>
      </c>
      <c r="B44" s="22" t="s">
        <v>145</v>
      </c>
      <c r="C44" s="22" t="s">
        <v>142</v>
      </c>
      <c r="D44" s="22"/>
      <c r="E44" s="22"/>
      <c r="F44" s="22" t="s">
        <v>41</v>
      </c>
      <c r="G44" s="22"/>
      <c r="H44" s="22">
        <v>50</v>
      </c>
      <c r="I44" s="26"/>
    </row>
    <row r="45" spans="1:9" ht="25.5" x14ac:dyDescent="0.25">
      <c r="A45" s="14">
        <f t="shared" si="0"/>
        <v>39</v>
      </c>
      <c r="B45" s="22" t="s">
        <v>146</v>
      </c>
      <c r="C45" s="22" t="s">
        <v>147</v>
      </c>
      <c r="D45" s="22"/>
      <c r="E45" s="22"/>
      <c r="F45" s="22" t="s">
        <v>41</v>
      </c>
      <c r="G45" s="22"/>
      <c r="H45" s="22">
        <v>60</v>
      </c>
      <c r="I45" s="26"/>
    </row>
    <row r="46" spans="1:9" x14ac:dyDescent="0.25">
      <c r="A46" s="14">
        <f t="shared" si="0"/>
        <v>40</v>
      </c>
      <c r="B46" s="22" t="s">
        <v>148</v>
      </c>
      <c r="C46" s="22" t="s">
        <v>149</v>
      </c>
      <c r="D46" s="22"/>
      <c r="E46" s="22"/>
      <c r="F46" s="22" t="s">
        <v>41</v>
      </c>
      <c r="G46" s="22"/>
      <c r="H46" s="22">
        <v>50</v>
      </c>
      <c r="I46" s="26"/>
    </row>
    <row r="47" spans="1:9" ht="51" x14ac:dyDescent="0.25">
      <c r="A47" s="14">
        <f t="shared" si="0"/>
        <v>41</v>
      </c>
      <c r="B47" s="22" t="s">
        <v>150</v>
      </c>
      <c r="C47" s="22" t="s">
        <v>151</v>
      </c>
      <c r="D47" s="22"/>
      <c r="E47" s="22" t="s">
        <v>152</v>
      </c>
      <c r="F47" s="22" t="s">
        <v>78</v>
      </c>
      <c r="G47" s="22"/>
      <c r="H47" s="22">
        <v>60</v>
      </c>
      <c r="I47" s="26" t="s">
        <v>105</v>
      </c>
    </row>
    <row r="48" spans="1:9" ht="51" x14ac:dyDescent="0.25">
      <c r="A48" s="14">
        <f t="shared" si="0"/>
        <v>42</v>
      </c>
      <c r="B48" s="22" t="s">
        <v>153</v>
      </c>
      <c r="C48" s="22" t="s">
        <v>151</v>
      </c>
      <c r="D48" s="22"/>
      <c r="E48" s="22" t="s">
        <v>154</v>
      </c>
      <c r="F48" s="22" t="s">
        <v>78</v>
      </c>
      <c r="G48" s="22"/>
      <c r="H48" s="22">
        <v>35</v>
      </c>
      <c r="I48" s="26" t="s">
        <v>105</v>
      </c>
    </row>
    <row r="49" spans="1:9" ht="25.5" x14ac:dyDescent="0.25">
      <c r="A49" s="14">
        <f t="shared" si="0"/>
        <v>43</v>
      </c>
      <c r="B49" s="22" t="s">
        <v>155</v>
      </c>
      <c r="C49" s="22" t="s">
        <v>156</v>
      </c>
      <c r="D49" s="22"/>
      <c r="E49" s="22"/>
      <c r="F49" s="22" t="s">
        <v>41</v>
      </c>
      <c r="G49" s="22"/>
      <c r="H49" s="22">
        <v>25</v>
      </c>
      <c r="I49" s="26"/>
    </row>
    <row r="50" spans="1:9" ht="25.5" x14ac:dyDescent="0.25">
      <c r="A50" s="14">
        <f t="shared" si="0"/>
        <v>44</v>
      </c>
      <c r="B50" s="22" t="s">
        <v>157</v>
      </c>
      <c r="C50" s="22" t="s">
        <v>158</v>
      </c>
      <c r="D50" s="22"/>
      <c r="E50" s="22"/>
      <c r="F50" s="22" t="s">
        <v>41</v>
      </c>
      <c r="G50" s="22"/>
      <c r="H50" s="22">
        <v>10</v>
      </c>
      <c r="I50" s="26"/>
    </row>
    <row r="51" spans="1:9" ht="63.75" x14ac:dyDescent="0.25">
      <c r="A51" s="14">
        <f t="shared" si="0"/>
        <v>45</v>
      </c>
      <c r="B51" s="22" t="s">
        <v>159</v>
      </c>
      <c r="C51" s="22" t="s">
        <v>103</v>
      </c>
      <c r="D51" s="22"/>
      <c r="E51" s="22" t="s">
        <v>160</v>
      </c>
      <c r="F51" s="22" t="s">
        <v>78</v>
      </c>
      <c r="G51" s="22"/>
      <c r="H51" s="22">
        <v>55</v>
      </c>
      <c r="I51" s="26" t="s">
        <v>546</v>
      </c>
    </row>
    <row r="52" spans="1:9" ht="25.5" x14ac:dyDescent="0.25">
      <c r="A52" s="14">
        <f t="shared" si="0"/>
        <v>46</v>
      </c>
      <c r="B52" s="22" t="s">
        <v>161</v>
      </c>
      <c r="C52" s="22" t="s">
        <v>162</v>
      </c>
      <c r="D52" s="22"/>
      <c r="E52" s="22" t="s">
        <v>163</v>
      </c>
      <c r="F52" s="22" t="s">
        <v>41</v>
      </c>
      <c r="G52" s="22"/>
      <c r="H52" s="22">
        <v>55</v>
      </c>
      <c r="I52" s="26"/>
    </row>
    <row r="53" spans="1:9" ht="77.45" customHeight="1" x14ac:dyDescent="0.25">
      <c r="A53" s="14">
        <f t="shared" si="0"/>
        <v>47</v>
      </c>
      <c r="B53" s="22" t="s">
        <v>164</v>
      </c>
      <c r="C53" s="22" t="s">
        <v>103</v>
      </c>
      <c r="D53" s="22"/>
      <c r="E53" s="22" t="s">
        <v>165</v>
      </c>
      <c r="F53" s="22" t="s">
        <v>78</v>
      </c>
      <c r="G53" s="22"/>
      <c r="H53" s="22">
        <v>30</v>
      </c>
      <c r="I53" s="26" t="s">
        <v>546</v>
      </c>
    </row>
    <row r="54" spans="1:9" ht="76.150000000000006" customHeight="1" x14ac:dyDescent="0.25">
      <c r="A54" s="14">
        <f t="shared" si="0"/>
        <v>48</v>
      </c>
      <c r="B54" s="22" t="s">
        <v>166</v>
      </c>
      <c r="C54" s="22" t="s">
        <v>103</v>
      </c>
      <c r="D54" s="22"/>
      <c r="E54" s="22" t="s">
        <v>167</v>
      </c>
      <c r="F54" s="22" t="s">
        <v>78</v>
      </c>
      <c r="G54" s="22"/>
      <c r="H54" s="22">
        <v>2</v>
      </c>
      <c r="I54" s="26" t="s">
        <v>546</v>
      </c>
    </row>
    <row r="55" spans="1:9" ht="78" customHeight="1" x14ac:dyDescent="0.25">
      <c r="A55" s="14">
        <f t="shared" si="0"/>
        <v>49</v>
      </c>
      <c r="B55" s="22" t="s">
        <v>168</v>
      </c>
      <c r="C55" s="22" t="s">
        <v>103</v>
      </c>
      <c r="D55" s="22"/>
      <c r="E55" s="24">
        <v>85251</v>
      </c>
      <c r="F55" s="22" t="s">
        <v>78</v>
      </c>
      <c r="G55" s="22"/>
      <c r="H55" s="22">
        <v>5</v>
      </c>
      <c r="I55" s="26" t="s">
        <v>546</v>
      </c>
    </row>
    <row r="56" spans="1:9" ht="38.25" x14ac:dyDescent="0.25">
      <c r="A56" s="14">
        <f t="shared" si="0"/>
        <v>50</v>
      </c>
      <c r="B56" s="22" t="s">
        <v>169</v>
      </c>
      <c r="C56" s="22" t="s">
        <v>123</v>
      </c>
      <c r="D56" s="22"/>
      <c r="E56" s="24">
        <v>4548</v>
      </c>
      <c r="F56" s="22" t="s">
        <v>41</v>
      </c>
      <c r="G56" s="22"/>
      <c r="H56" s="22">
        <v>4</v>
      </c>
      <c r="I56" s="26"/>
    </row>
    <row r="57" spans="1:9" ht="63.75" x14ac:dyDescent="0.25">
      <c r="A57" s="14">
        <f t="shared" si="0"/>
        <v>51</v>
      </c>
      <c r="B57" s="22" t="s">
        <v>170</v>
      </c>
      <c r="C57" s="22"/>
      <c r="D57" s="22"/>
      <c r="E57" s="24">
        <v>1023489192</v>
      </c>
      <c r="F57" s="22" t="s">
        <v>23</v>
      </c>
      <c r="G57" s="22"/>
      <c r="H57" s="22">
        <v>10</v>
      </c>
      <c r="I57" s="26" t="s">
        <v>549</v>
      </c>
    </row>
    <row r="58" spans="1:9" ht="75" customHeight="1" x14ac:dyDescent="0.25">
      <c r="A58" s="14">
        <f t="shared" si="0"/>
        <v>52</v>
      </c>
      <c r="B58" s="22" t="s">
        <v>171</v>
      </c>
      <c r="C58" s="22" t="s">
        <v>103</v>
      </c>
      <c r="D58" s="22"/>
      <c r="E58" s="24">
        <v>331031866</v>
      </c>
      <c r="F58" s="22" t="s">
        <v>78</v>
      </c>
      <c r="G58" s="22"/>
      <c r="H58" s="22">
        <v>9</v>
      </c>
      <c r="I58" s="26" t="s">
        <v>546</v>
      </c>
    </row>
    <row r="59" spans="1:9" x14ac:dyDescent="0.25">
      <c r="A59" s="14">
        <f t="shared" si="0"/>
        <v>53</v>
      </c>
      <c r="B59" s="22" t="s">
        <v>172</v>
      </c>
      <c r="C59" s="22"/>
      <c r="D59" s="22"/>
      <c r="E59" s="22"/>
      <c r="F59" s="22" t="s">
        <v>41</v>
      </c>
      <c r="G59" s="22"/>
      <c r="H59" s="22">
        <v>10</v>
      </c>
      <c r="I59" s="26"/>
    </row>
    <row r="60" spans="1:9" ht="21.75" customHeight="1" x14ac:dyDescent="0.25">
      <c r="A60" s="14">
        <f t="shared" si="0"/>
        <v>54</v>
      </c>
      <c r="B60" s="22" t="s">
        <v>173</v>
      </c>
      <c r="C60" s="22"/>
      <c r="D60" s="22"/>
      <c r="E60" s="22"/>
      <c r="F60" s="22" t="s">
        <v>41</v>
      </c>
      <c r="G60" s="22"/>
      <c r="H60" s="22">
        <v>50</v>
      </c>
      <c r="I60" s="26"/>
    </row>
    <row r="61" spans="1:9" x14ac:dyDescent="0.25">
      <c r="A61" s="14">
        <f t="shared" si="0"/>
        <v>55</v>
      </c>
      <c r="B61" s="22" t="s">
        <v>174</v>
      </c>
      <c r="C61" s="22"/>
      <c r="D61" s="22"/>
      <c r="E61" s="22"/>
      <c r="F61" s="22" t="s">
        <v>41</v>
      </c>
      <c r="G61" s="22"/>
      <c r="H61" s="22">
        <v>50</v>
      </c>
      <c r="I61" s="26"/>
    </row>
    <row r="62" spans="1:9" ht="38.25" x14ac:dyDescent="0.25">
      <c r="A62" s="14">
        <f t="shared" si="0"/>
        <v>56</v>
      </c>
      <c r="B62" s="22" t="s">
        <v>175</v>
      </c>
      <c r="C62" s="22"/>
      <c r="D62" s="22"/>
      <c r="E62" s="22">
        <v>3101278</v>
      </c>
      <c r="F62" s="22" t="s">
        <v>78</v>
      </c>
      <c r="G62" s="22"/>
      <c r="H62" s="22">
        <v>50</v>
      </c>
      <c r="I62" s="26" t="s">
        <v>595</v>
      </c>
    </row>
    <row r="63" spans="1:9" ht="30" customHeight="1" x14ac:dyDescent="0.25">
      <c r="A63" s="14">
        <f t="shared" si="0"/>
        <v>57</v>
      </c>
      <c r="B63" s="22" t="s">
        <v>176</v>
      </c>
      <c r="C63" s="22"/>
      <c r="D63" s="22"/>
      <c r="E63" s="22"/>
      <c r="F63" s="22" t="s">
        <v>41</v>
      </c>
      <c r="G63" s="22"/>
      <c r="H63" s="22">
        <v>10</v>
      </c>
      <c r="I63" s="26"/>
    </row>
    <row r="64" spans="1:9" x14ac:dyDescent="0.25">
      <c r="A64" s="14">
        <f t="shared" si="0"/>
        <v>58</v>
      </c>
      <c r="B64" s="22" t="s">
        <v>177</v>
      </c>
      <c r="C64" s="22"/>
      <c r="D64" s="22"/>
      <c r="E64" s="22"/>
      <c r="F64" s="22" t="s">
        <v>41</v>
      </c>
      <c r="G64" s="22"/>
      <c r="H64" s="22">
        <v>60</v>
      </c>
      <c r="I64" s="26"/>
    </row>
    <row r="65" spans="1:9" x14ac:dyDescent="0.25">
      <c r="A65" s="14">
        <f t="shared" si="0"/>
        <v>59</v>
      </c>
      <c r="B65" s="22" t="s">
        <v>178</v>
      </c>
      <c r="C65" s="22"/>
      <c r="D65" s="22"/>
      <c r="E65" s="22"/>
      <c r="F65" s="22" t="s">
        <v>41</v>
      </c>
      <c r="G65" s="22"/>
      <c r="H65" s="22">
        <v>35</v>
      </c>
      <c r="I65" s="26"/>
    </row>
    <row r="66" spans="1:9" x14ac:dyDescent="0.25">
      <c r="A66" s="14">
        <f t="shared" si="0"/>
        <v>60</v>
      </c>
      <c r="B66" s="22" t="s">
        <v>179</v>
      </c>
      <c r="C66" s="22" t="s">
        <v>180</v>
      </c>
      <c r="D66" s="22"/>
      <c r="E66" s="22"/>
      <c r="F66" s="22" t="s">
        <v>41</v>
      </c>
      <c r="G66" s="22"/>
      <c r="H66" s="22">
        <v>50</v>
      </c>
      <c r="I66" s="26"/>
    </row>
    <row r="67" spans="1:9" x14ac:dyDescent="0.25">
      <c r="A67" s="14">
        <f t="shared" si="0"/>
        <v>61</v>
      </c>
      <c r="B67" s="22" t="s">
        <v>181</v>
      </c>
      <c r="C67" s="22"/>
      <c r="D67" s="22"/>
      <c r="E67" s="22"/>
      <c r="F67" s="22" t="s">
        <v>41</v>
      </c>
      <c r="G67" s="22"/>
      <c r="H67" s="22">
        <v>14</v>
      </c>
      <c r="I67" s="26"/>
    </row>
    <row r="68" spans="1:9" x14ac:dyDescent="0.25">
      <c r="A68" s="14">
        <f t="shared" si="0"/>
        <v>62</v>
      </c>
      <c r="B68" s="22" t="s">
        <v>182</v>
      </c>
      <c r="C68" s="22" t="s">
        <v>183</v>
      </c>
      <c r="D68" s="22"/>
      <c r="E68" s="22"/>
      <c r="F68" s="22" t="s">
        <v>41</v>
      </c>
      <c r="G68" s="22"/>
      <c r="H68" s="22">
        <v>60</v>
      </c>
      <c r="I68" s="26"/>
    </row>
    <row r="69" spans="1:9" x14ac:dyDescent="0.25">
      <c r="A69" s="14">
        <f t="shared" si="0"/>
        <v>63</v>
      </c>
      <c r="B69" s="22" t="s">
        <v>184</v>
      </c>
      <c r="C69" s="22" t="s">
        <v>183</v>
      </c>
      <c r="D69" s="22"/>
      <c r="E69" s="22"/>
      <c r="F69" s="22" t="s">
        <v>41</v>
      </c>
      <c r="G69" s="22"/>
      <c r="H69" s="22">
        <v>35</v>
      </c>
      <c r="I69" s="26"/>
    </row>
    <row r="70" spans="1:9" x14ac:dyDescent="0.25">
      <c r="A70" s="14">
        <f t="shared" si="0"/>
        <v>64</v>
      </c>
      <c r="B70" s="22" t="s">
        <v>185</v>
      </c>
      <c r="C70" s="22" t="s">
        <v>183</v>
      </c>
      <c r="D70" s="22"/>
      <c r="E70" s="22"/>
      <c r="F70" s="22" t="s">
        <v>41</v>
      </c>
      <c r="G70" s="22"/>
      <c r="H70" s="22">
        <v>25</v>
      </c>
      <c r="I70" s="26"/>
    </row>
    <row r="71" spans="1:9" x14ac:dyDescent="0.25">
      <c r="A71" s="14">
        <f t="shared" si="0"/>
        <v>65</v>
      </c>
      <c r="B71" s="22" t="s">
        <v>186</v>
      </c>
      <c r="C71" s="22" t="s">
        <v>183</v>
      </c>
      <c r="D71" s="22"/>
      <c r="E71" s="22"/>
      <c r="F71" s="22" t="s">
        <v>41</v>
      </c>
      <c r="G71" s="22"/>
      <c r="H71" s="22">
        <v>10</v>
      </c>
      <c r="I71" s="26"/>
    </row>
    <row r="72" spans="1:9" x14ac:dyDescent="0.25">
      <c r="A72" s="14">
        <f t="shared" si="0"/>
        <v>66</v>
      </c>
      <c r="B72" s="22" t="s">
        <v>187</v>
      </c>
      <c r="C72" s="22" t="s">
        <v>183</v>
      </c>
      <c r="D72" s="22"/>
      <c r="E72" s="22"/>
      <c r="F72" s="22" t="s">
        <v>41</v>
      </c>
      <c r="G72" s="22"/>
      <c r="H72" s="22">
        <v>55</v>
      </c>
      <c r="I72" s="26"/>
    </row>
    <row r="73" spans="1:9" x14ac:dyDescent="0.25">
      <c r="A73" s="14">
        <f t="shared" ref="A73:A136" si="1">A72+1</f>
        <v>67</v>
      </c>
      <c r="B73" s="22" t="s">
        <v>188</v>
      </c>
      <c r="C73" s="22" t="s">
        <v>183</v>
      </c>
      <c r="D73" s="22"/>
      <c r="E73" s="22"/>
      <c r="F73" s="22" t="s">
        <v>41</v>
      </c>
      <c r="G73" s="22"/>
      <c r="H73" s="22">
        <v>55</v>
      </c>
      <c r="I73" s="26"/>
    </row>
    <row r="74" spans="1:9" x14ac:dyDescent="0.25">
      <c r="A74" s="14">
        <f t="shared" si="1"/>
        <v>68</v>
      </c>
      <c r="B74" s="22" t="s">
        <v>189</v>
      </c>
      <c r="C74" s="22" t="s">
        <v>183</v>
      </c>
      <c r="D74" s="22"/>
      <c r="E74" s="22"/>
      <c r="F74" s="22" t="s">
        <v>41</v>
      </c>
      <c r="G74" s="22"/>
      <c r="H74" s="22">
        <v>30</v>
      </c>
      <c r="I74" s="26"/>
    </row>
    <row r="75" spans="1:9" x14ac:dyDescent="0.25">
      <c r="A75" s="14">
        <f t="shared" si="1"/>
        <v>69</v>
      </c>
      <c r="B75" s="22" t="s">
        <v>190</v>
      </c>
      <c r="C75" s="22" t="s">
        <v>183</v>
      </c>
      <c r="D75" s="22"/>
      <c r="E75" s="22"/>
      <c r="F75" s="22" t="s">
        <v>41</v>
      </c>
      <c r="G75" s="22"/>
      <c r="H75" s="22">
        <v>2</v>
      </c>
      <c r="I75" s="26"/>
    </row>
    <row r="76" spans="1:9" x14ac:dyDescent="0.25">
      <c r="A76" s="14">
        <f t="shared" si="1"/>
        <v>70</v>
      </c>
      <c r="B76" s="22" t="s">
        <v>191</v>
      </c>
      <c r="C76" s="22" t="s">
        <v>183</v>
      </c>
      <c r="D76" s="22"/>
      <c r="E76" s="22"/>
      <c r="F76" s="22" t="s">
        <v>41</v>
      </c>
      <c r="G76" s="22"/>
      <c r="H76" s="22">
        <v>5</v>
      </c>
      <c r="I76" s="26"/>
    </row>
    <row r="77" spans="1:9" x14ac:dyDescent="0.25">
      <c r="A77" s="14">
        <f t="shared" si="1"/>
        <v>71</v>
      </c>
      <c r="B77" s="22" t="s">
        <v>192</v>
      </c>
      <c r="C77" s="22" t="s">
        <v>183</v>
      </c>
      <c r="D77" s="22"/>
      <c r="E77" s="22"/>
      <c r="F77" s="22" t="s">
        <v>41</v>
      </c>
      <c r="G77" s="22"/>
      <c r="H77" s="22">
        <v>4</v>
      </c>
      <c r="I77" s="26"/>
    </row>
    <row r="78" spans="1:9" x14ac:dyDescent="0.25">
      <c r="A78" s="14">
        <f t="shared" si="1"/>
        <v>72</v>
      </c>
      <c r="B78" s="22" t="s">
        <v>193</v>
      </c>
      <c r="C78" s="22" t="s">
        <v>194</v>
      </c>
      <c r="D78" s="22"/>
      <c r="E78" s="22"/>
      <c r="F78" s="22" t="s">
        <v>41</v>
      </c>
      <c r="G78" s="22"/>
      <c r="H78" s="22">
        <v>50</v>
      </c>
      <c r="I78" s="26"/>
    </row>
    <row r="79" spans="1:9" x14ac:dyDescent="0.25">
      <c r="A79" s="14">
        <f t="shared" si="1"/>
        <v>73</v>
      </c>
      <c r="B79" s="22" t="s">
        <v>195</v>
      </c>
      <c r="C79" s="22"/>
      <c r="D79" s="22"/>
      <c r="E79" s="29">
        <v>20180116</v>
      </c>
      <c r="F79" s="22" t="s">
        <v>23</v>
      </c>
      <c r="G79" s="22" t="s">
        <v>131</v>
      </c>
      <c r="H79" s="22">
        <v>10</v>
      </c>
      <c r="I79" s="26"/>
    </row>
    <row r="80" spans="1:9" ht="51" x14ac:dyDescent="0.25">
      <c r="A80" s="14">
        <f t="shared" si="1"/>
        <v>74</v>
      </c>
      <c r="B80" s="22" t="s">
        <v>196</v>
      </c>
      <c r="C80" s="22" t="s">
        <v>197</v>
      </c>
      <c r="D80" s="22"/>
      <c r="E80" s="29">
        <v>20180116</v>
      </c>
      <c r="F80" s="22" t="s">
        <v>23</v>
      </c>
      <c r="G80" s="22" t="s">
        <v>131</v>
      </c>
      <c r="H80" s="22">
        <v>10</v>
      </c>
      <c r="I80" s="26"/>
    </row>
    <row r="81" spans="1:9" x14ac:dyDescent="0.25">
      <c r="A81" s="14">
        <f t="shared" si="1"/>
        <v>75</v>
      </c>
      <c r="B81" s="22" t="s">
        <v>198</v>
      </c>
      <c r="C81" s="22"/>
      <c r="D81" s="22"/>
      <c r="E81" s="22"/>
      <c r="F81" s="22" t="s">
        <v>41</v>
      </c>
      <c r="G81" s="22"/>
      <c r="H81" s="22">
        <v>60</v>
      </c>
      <c r="I81" s="26"/>
    </row>
    <row r="82" spans="1:9" ht="51" x14ac:dyDescent="0.25">
      <c r="A82" s="14">
        <f t="shared" si="1"/>
        <v>76</v>
      </c>
      <c r="B82" s="22" t="s">
        <v>199</v>
      </c>
      <c r="C82" s="22" t="s">
        <v>200</v>
      </c>
      <c r="D82" s="22"/>
      <c r="E82" s="22" t="s">
        <v>201</v>
      </c>
      <c r="F82" s="22" t="s">
        <v>23</v>
      </c>
      <c r="G82" s="22"/>
      <c r="H82" s="22">
        <v>8</v>
      </c>
      <c r="I82" s="26" t="s">
        <v>452</v>
      </c>
    </row>
    <row r="83" spans="1:9" ht="25.5" x14ac:dyDescent="0.25">
      <c r="A83" s="14">
        <f t="shared" si="1"/>
        <v>77</v>
      </c>
      <c r="B83" s="22" t="s">
        <v>202</v>
      </c>
      <c r="C83" s="22" t="s">
        <v>203</v>
      </c>
      <c r="D83" s="22"/>
      <c r="E83" s="22"/>
      <c r="F83" s="22" t="s">
        <v>41</v>
      </c>
      <c r="G83" s="22"/>
      <c r="H83" s="22">
        <v>15</v>
      </c>
      <c r="I83" s="26"/>
    </row>
    <row r="84" spans="1:9" ht="25.5" x14ac:dyDescent="0.25">
      <c r="A84" s="14">
        <f t="shared" si="1"/>
        <v>78</v>
      </c>
      <c r="B84" s="22" t="s">
        <v>204</v>
      </c>
      <c r="C84" s="22" t="s">
        <v>205</v>
      </c>
      <c r="D84" s="22"/>
      <c r="E84" s="22" t="s">
        <v>206</v>
      </c>
      <c r="F84" s="22" t="s">
        <v>23</v>
      </c>
      <c r="G84" s="22"/>
      <c r="H84" s="22">
        <v>3</v>
      </c>
      <c r="I84" s="26" t="s">
        <v>550</v>
      </c>
    </row>
    <row r="85" spans="1:9" ht="159" customHeight="1" x14ac:dyDescent="0.25">
      <c r="A85" s="14">
        <f t="shared" si="1"/>
        <v>79</v>
      </c>
      <c r="B85" s="22" t="s">
        <v>207</v>
      </c>
      <c r="C85" s="22" t="s">
        <v>208</v>
      </c>
      <c r="D85" s="22"/>
      <c r="E85" s="22" t="s">
        <v>110</v>
      </c>
      <c r="F85" s="22" t="s">
        <v>23</v>
      </c>
      <c r="G85" s="22"/>
      <c r="H85" s="22">
        <v>1</v>
      </c>
      <c r="I85" s="26" t="s">
        <v>553</v>
      </c>
    </row>
    <row r="86" spans="1:9" ht="25.5" x14ac:dyDescent="0.25">
      <c r="A86" s="14">
        <f t="shared" si="1"/>
        <v>80</v>
      </c>
      <c r="B86" s="22" t="s">
        <v>209</v>
      </c>
      <c r="C86" s="22" t="s">
        <v>210</v>
      </c>
      <c r="D86" s="22"/>
      <c r="E86" s="22"/>
      <c r="F86" s="22" t="s">
        <v>451</v>
      </c>
      <c r="G86" s="22"/>
      <c r="H86" s="22">
        <v>1</v>
      </c>
      <c r="I86" s="26" t="s">
        <v>592</v>
      </c>
    </row>
    <row r="87" spans="1:9" ht="25.5" x14ac:dyDescent="0.25">
      <c r="A87" s="14">
        <f t="shared" si="1"/>
        <v>81</v>
      </c>
      <c r="B87" s="22" t="s">
        <v>211</v>
      </c>
      <c r="C87" s="22" t="s">
        <v>212</v>
      </c>
      <c r="D87" s="22"/>
      <c r="E87" s="22" t="s">
        <v>213</v>
      </c>
      <c r="F87" s="22" t="s">
        <v>41</v>
      </c>
      <c r="G87" s="22"/>
      <c r="H87" s="22">
        <v>8</v>
      </c>
      <c r="I87" s="26" t="s">
        <v>453</v>
      </c>
    </row>
    <row r="88" spans="1:9" ht="25.5" x14ac:dyDescent="0.25">
      <c r="A88" s="14">
        <f t="shared" si="1"/>
        <v>82</v>
      </c>
      <c r="B88" s="22" t="s">
        <v>214</v>
      </c>
      <c r="C88" s="22" t="s">
        <v>203</v>
      </c>
      <c r="D88" s="22"/>
      <c r="E88" s="22"/>
      <c r="F88" s="22" t="s">
        <v>41</v>
      </c>
      <c r="G88" s="22"/>
      <c r="H88" s="22">
        <v>15</v>
      </c>
      <c r="I88" s="26"/>
    </row>
    <row r="89" spans="1:9" ht="25.5" x14ac:dyDescent="0.25">
      <c r="A89" s="14">
        <f t="shared" si="1"/>
        <v>83</v>
      </c>
      <c r="B89" s="22" t="s">
        <v>215</v>
      </c>
      <c r="C89" s="22" t="s">
        <v>216</v>
      </c>
      <c r="D89" s="22"/>
      <c r="E89" s="22" t="s">
        <v>206</v>
      </c>
      <c r="F89" s="22" t="s">
        <v>41</v>
      </c>
      <c r="G89" s="22"/>
      <c r="H89" s="22">
        <v>3</v>
      </c>
      <c r="I89" s="26"/>
    </row>
    <row r="90" spans="1:9" ht="159.75" customHeight="1" x14ac:dyDescent="0.25">
      <c r="A90" s="14">
        <f t="shared" si="1"/>
        <v>84</v>
      </c>
      <c r="B90" s="22" t="s">
        <v>217</v>
      </c>
      <c r="C90" s="22" t="s">
        <v>208</v>
      </c>
      <c r="D90" s="22"/>
      <c r="E90" s="22" t="s">
        <v>110</v>
      </c>
      <c r="F90" s="22" t="s">
        <v>41</v>
      </c>
      <c r="G90" s="22"/>
      <c r="H90" s="22">
        <v>1</v>
      </c>
      <c r="I90" s="26"/>
    </row>
    <row r="91" spans="1:9" ht="25.5" x14ac:dyDescent="0.25">
      <c r="A91" s="14">
        <f t="shared" si="1"/>
        <v>85</v>
      </c>
      <c r="B91" s="22" t="s">
        <v>218</v>
      </c>
      <c r="C91" s="22" t="s">
        <v>219</v>
      </c>
      <c r="D91" s="22"/>
      <c r="E91" s="22"/>
      <c r="F91" s="22" t="s">
        <v>41</v>
      </c>
      <c r="G91" s="22"/>
      <c r="H91" s="22">
        <v>1</v>
      </c>
      <c r="I91" s="26"/>
    </row>
    <row r="92" spans="1:9" ht="25.5" x14ac:dyDescent="0.25">
      <c r="A92" s="14">
        <f t="shared" si="1"/>
        <v>86</v>
      </c>
      <c r="B92" s="22" t="s">
        <v>220</v>
      </c>
      <c r="C92" s="22" t="s">
        <v>212</v>
      </c>
      <c r="D92" s="22"/>
      <c r="E92" s="22"/>
      <c r="F92" s="22" t="s">
        <v>41</v>
      </c>
      <c r="G92" s="22"/>
      <c r="H92" s="22">
        <v>8</v>
      </c>
      <c r="I92" s="26" t="s">
        <v>453</v>
      </c>
    </row>
    <row r="93" spans="1:9" ht="25.5" x14ac:dyDescent="0.25">
      <c r="A93" s="14">
        <f t="shared" si="1"/>
        <v>87</v>
      </c>
      <c r="B93" s="22" t="s">
        <v>221</v>
      </c>
      <c r="C93" s="22" t="s">
        <v>203</v>
      </c>
      <c r="D93" s="22"/>
      <c r="E93" s="22" t="s">
        <v>222</v>
      </c>
      <c r="F93" s="22" t="s">
        <v>41</v>
      </c>
      <c r="G93" s="22"/>
      <c r="H93" s="22">
        <v>15</v>
      </c>
      <c r="I93" s="26"/>
    </row>
    <row r="94" spans="1:9" ht="25.5" x14ac:dyDescent="0.25">
      <c r="A94" s="14">
        <f t="shared" si="1"/>
        <v>88</v>
      </c>
      <c r="B94" s="22" t="s">
        <v>223</v>
      </c>
      <c r="C94" s="22" t="s">
        <v>216</v>
      </c>
      <c r="D94" s="22"/>
      <c r="E94" s="22" t="s">
        <v>206</v>
      </c>
      <c r="F94" s="22" t="s">
        <v>41</v>
      </c>
      <c r="G94" s="22"/>
      <c r="H94" s="22">
        <v>3</v>
      </c>
      <c r="I94" s="26"/>
    </row>
    <row r="95" spans="1:9" ht="153" x14ac:dyDescent="0.25">
      <c r="A95" s="14">
        <f t="shared" si="1"/>
        <v>89</v>
      </c>
      <c r="B95" s="22" t="s">
        <v>224</v>
      </c>
      <c r="C95" s="22" t="s">
        <v>208</v>
      </c>
      <c r="D95" s="22"/>
      <c r="E95" s="22" t="s">
        <v>110</v>
      </c>
      <c r="F95" s="22" t="s">
        <v>41</v>
      </c>
      <c r="G95" s="22"/>
      <c r="H95" s="22">
        <v>1</v>
      </c>
      <c r="I95" s="26"/>
    </row>
    <row r="96" spans="1:9" ht="25.5" x14ac:dyDescent="0.25">
      <c r="A96" s="14">
        <f t="shared" si="1"/>
        <v>90</v>
      </c>
      <c r="B96" s="22" t="s">
        <v>225</v>
      </c>
      <c r="C96" s="22" t="s">
        <v>226</v>
      </c>
      <c r="D96" s="22"/>
      <c r="E96" s="22"/>
      <c r="F96" s="22" t="s">
        <v>41</v>
      </c>
      <c r="G96" s="22"/>
      <c r="H96" s="22">
        <v>1</v>
      </c>
      <c r="I96" s="26"/>
    </row>
    <row r="97" spans="1:9" ht="25.5" x14ac:dyDescent="0.25">
      <c r="A97" s="14">
        <f t="shared" si="1"/>
        <v>91</v>
      </c>
      <c r="B97" s="22" t="s">
        <v>227</v>
      </c>
      <c r="C97" s="22" t="s">
        <v>212</v>
      </c>
      <c r="D97" s="22"/>
      <c r="E97" s="22"/>
      <c r="F97" s="22" t="s">
        <v>41</v>
      </c>
      <c r="G97" s="22"/>
      <c r="H97" s="22">
        <v>8</v>
      </c>
      <c r="I97" s="26" t="s">
        <v>453</v>
      </c>
    </row>
    <row r="98" spans="1:9" ht="25.5" x14ac:dyDescent="0.25">
      <c r="A98" s="14">
        <f t="shared" si="1"/>
        <v>92</v>
      </c>
      <c r="B98" s="22" t="s">
        <v>228</v>
      </c>
      <c r="C98" s="22" t="s">
        <v>203</v>
      </c>
      <c r="D98" s="22"/>
      <c r="E98" s="22"/>
      <c r="F98" s="22" t="s">
        <v>41</v>
      </c>
      <c r="G98" s="22"/>
      <c r="H98" s="22">
        <v>15</v>
      </c>
      <c r="I98" s="26"/>
    </row>
    <row r="99" spans="1:9" ht="25.5" x14ac:dyDescent="0.25">
      <c r="A99" s="14">
        <f t="shared" si="1"/>
        <v>93</v>
      </c>
      <c r="B99" s="22" t="s">
        <v>229</v>
      </c>
      <c r="C99" s="22" t="s">
        <v>216</v>
      </c>
      <c r="D99" s="22"/>
      <c r="E99" s="22"/>
      <c r="F99" s="22" t="s">
        <v>41</v>
      </c>
      <c r="G99" s="22"/>
      <c r="H99" s="22">
        <v>3</v>
      </c>
      <c r="I99" s="26"/>
    </row>
    <row r="100" spans="1:9" ht="153" x14ac:dyDescent="0.25">
      <c r="A100" s="14">
        <f t="shared" si="1"/>
        <v>94</v>
      </c>
      <c r="B100" s="22" t="s">
        <v>230</v>
      </c>
      <c r="C100" s="22" t="s">
        <v>208</v>
      </c>
      <c r="D100" s="22"/>
      <c r="E100" s="22"/>
      <c r="F100" s="22" t="s">
        <v>41</v>
      </c>
      <c r="G100" s="22"/>
      <c r="H100" s="22">
        <v>1</v>
      </c>
      <c r="I100" s="26"/>
    </row>
    <row r="101" spans="1:9" ht="25.5" x14ac:dyDescent="0.25">
      <c r="A101" s="14">
        <f t="shared" si="1"/>
        <v>95</v>
      </c>
      <c r="B101" s="22" t="s">
        <v>231</v>
      </c>
      <c r="C101" s="22" t="s">
        <v>232</v>
      </c>
      <c r="D101" s="22"/>
      <c r="E101" s="22"/>
      <c r="F101" s="22" t="s">
        <v>41</v>
      </c>
      <c r="G101" s="22"/>
      <c r="H101" s="22">
        <v>1</v>
      </c>
      <c r="I101" s="26"/>
    </row>
    <row r="102" spans="1:9" ht="25.5" x14ac:dyDescent="0.25">
      <c r="A102" s="14">
        <f t="shared" si="1"/>
        <v>96</v>
      </c>
      <c r="B102" s="22" t="s">
        <v>233</v>
      </c>
      <c r="C102" s="22" t="s">
        <v>212</v>
      </c>
      <c r="D102" s="22"/>
      <c r="E102" s="22"/>
      <c r="F102" s="22" t="s">
        <v>41</v>
      </c>
      <c r="G102" s="22"/>
      <c r="H102" s="22">
        <v>8</v>
      </c>
      <c r="I102" s="26" t="s">
        <v>453</v>
      </c>
    </row>
    <row r="103" spans="1:9" ht="25.5" x14ac:dyDescent="0.25">
      <c r="A103" s="14">
        <f t="shared" si="1"/>
        <v>97</v>
      </c>
      <c r="B103" s="22" t="s">
        <v>234</v>
      </c>
      <c r="C103" s="22" t="s">
        <v>203</v>
      </c>
      <c r="D103" s="22"/>
      <c r="E103" s="22"/>
      <c r="F103" s="22" t="s">
        <v>41</v>
      </c>
      <c r="G103" s="22"/>
      <c r="H103" s="22">
        <v>15</v>
      </c>
      <c r="I103" s="26"/>
    </row>
    <row r="104" spans="1:9" ht="25.5" x14ac:dyDescent="0.25">
      <c r="A104" s="14">
        <f t="shared" si="1"/>
        <v>98</v>
      </c>
      <c r="B104" s="22" t="s">
        <v>235</v>
      </c>
      <c r="C104" s="22" t="s">
        <v>216</v>
      </c>
      <c r="D104" s="22"/>
      <c r="E104" s="22"/>
      <c r="F104" s="22" t="s">
        <v>41</v>
      </c>
      <c r="G104" s="22"/>
      <c r="H104" s="22">
        <v>3</v>
      </c>
      <c r="I104" s="26"/>
    </row>
    <row r="105" spans="1:9" ht="153" x14ac:dyDescent="0.25">
      <c r="A105" s="14">
        <f t="shared" si="1"/>
        <v>99</v>
      </c>
      <c r="B105" s="22" t="s">
        <v>236</v>
      </c>
      <c r="C105" s="22" t="s">
        <v>208</v>
      </c>
      <c r="D105" s="22"/>
      <c r="E105" s="22"/>
      <c r="F105" s="22" t="s">
        <v>41</v>
      </c>
      <c r="G105" s="22"/>
      <c r="H105" s="22">
        <v>1</v>
      </c>
      <c r="I105" s="26"/>
    </row>
    <row r="106" spans="1:9" ht="25.5" x14ac:dyDescent="0.25">
      <c r="A106" s="14">
        <f t="shared" si="1"/>
        <v>100</v>
      </c>
      <c r="B106" s="22" t="s">
        <v>237</v>
      </c>
      <c r="C106" s="22" t="s">
        <v>238</v>
      </c>
      <c r="D106" s="22"/>
      <c r="E106" s="22"/>
      <c r="F106" s="22" t="s">
        <v>41</v>
      </c>
      <c r="G106" s="22"/>
      <c r="H106" s="22">
        <v>1</v>
      </c>
      <c r="I106" s="26"/>
    </row>
    <row r="107" spans="1:9" ht="25.5" x14ac:dyDescent="0.25">
      <c r="A107" s="14">
        <f t="shared" si="1"/>
        <v>101</v>
      </c>
      <c r="B107" s="22" t="s">
        <v>239</v>
      </c>
      <c r="C107" s="22" t="s">
        <v>212</v>
      </c>
      <c r="D107" s="22"/>
      <c r="E107" s="22"/>
      <c r="F107" s="22" t="s">
        <v>41</v>
      </c>
      <c r="G107" s="22"/>
      <c r="H107" s="22">
        <v>8</v>
      </c>
      <c r="I107" s="26" t="s">
        <v>453</v>
      </c>
    </row>
    <row r="108" spans="1:9" ht="25.5" x14ac:dyDescent="0.25">
      <c r="A108" s="14">
        <f t="shared" si="1"/>
        <v>102</v>
      </c>
      <c r="B108" s="22" t="s">
        <v>240</v>
      </c>
      <c r="C108" s="22" t="s">
        <v>203</v>
      </c>
      <c r="D108" s="22"/>
      <c r="E108" s="22"/>
      <c r="F108" s="22" t="s">
        <v>41</v>
      </c>
      <c r="G108" s="22"/>
      <c r="H108" s="22">
        <v>15</v>
      </c>
      <c r="I108" s="26"/>
    </row>
    <row r="109" spans="1:9" ht="25.5" x14ac:dyDescent="0.25">
      <c r="A109" s="14">
        <f t="shared" si="1"/>
        <v>103</v>
      </c>
      <c r="B109" s="22" t="s">
        <v>241</v>
      </c>
      <c r="C109" s="22" t="s">
        <v>216</v>
      </c>
      <c r="D109" s="22"/>
      <c r="E109" s="22"/>
      <c r="F109" s="22" t="s">
        <v>41</v>
      </c>
      <c r="G109" s="22"/>
      <c r="H109" s="22">
        <v>3</v>
      </c>
      <c r="I109" s="26"/>
    </row>
    <row r="110" spans="1:9" ht="162" customHeight="1" x14ac:dyDescent="0.25">
      <c r="A110" s="14">
        <f t="shared" si="1"/>
        <v>104</v>
      </c>
      <c r="B110" s="22" t="s">
        <v>242</v>
      </c>
      <c r="C110" s="22" t="s">
        <v>208</v>
      </c>
      <c r="D110" s="22"/>
      <c r="E110" s="22"/>
      <c r="F110" s="22" t="s">
        <v>41</v>
      </c>
      <c r="G110" s="22"/>
      <c r="H110" s="22">
        <v>1</v>
      </c>
      <c r="I110" s="26"/>
    </row>
    <row r="111" spans="1:9" ht="25.5" x14ac:dyDescent="0.25">
      <c r="A111" s="14">
        <f t="shared" si="1"/>
        <v>105</v>
      </c>
      <c r="B111" s="22" t="s">
        <v>243</v>
      </c>
      <c r="C111" s="22" t="s">
        <v>244</v>
      </c>
      <c r="D111" s="22"/>
      <c r="E111" s="22"/>
      <c r="F111" s="22" t="s">
        <v>41</v>
      </c>
      <c r="G111" s="22"/>
      <c r="H111" s="22">
        <v>1</v>
      </c>
      <c r="I111" s="26"/>
    </row>
    <row r="112" spans="1:9" ht="25.5" x14ac:dyDescent="0.25">
      <c r="A112" s="14">
        <f t="shared" si="1"/>
        <v>106</v>
      </c>
      <c r="B112" s="22" t="s">
        <v>245</v>
      </c>
      <c r="C112" s="22" t="s">
        <v>212</v>
      </c>
      <c r="D112" s="22"/>
      <c r="E112" s="22"/>
      <c r="F112" s="22" t="s">
        <v>41</v>
      </c>
      <c r="G112" s="22"/>
      <c r="H112" s="22">
        <v>8</v>
      </c>
      <c r="I112" s="26" t="s">
        <v>453</v>
      </c>
    </row>
    <row r="113" spans="1:9" ht="25.5" x14ac:dyDescent="0.25">
      <c r="A113" s="14">
        <f t="shared" si="1"/>
        <v>107</v>
      </c>
      <c r="B113" s="22" t="s">
        <v>246</v>
      </c>
      <c r="C113" s="22" t="s">
        <v>203</v>
      </c>
      <c r="D113" s="22"/>
      <c r="E113" s="22"/>
      <c r="F113" s="22" t="s">
        <v>41</v>
      </c>
      <c r="G113" s="22"/>
      <c r="H113" s="22">
        <v>15</v>
      </c>
      <c r="I113" s="26"/>
    </row>
    <row r="114" spans="1:9" ht="25.5" x14ac:dyDescent="0.25">
      <c r="A114" s="14">
        <f t="shared" si="1"/>
        <v>108</v>
      </c>
      <c r="B114" s="22" t="s">
        <v>247</v>
      </c>
      <c r="C114" s="22" t="s">
        <v>216</v>
      </c>
      <c r="D114" s="22"/>
      <c r="E114" s="22"/>
      <c r="F114" s="22" t="s">
        <v>41</v>
      </c>
      <c r="G114" s="22"/>
      <c r="H114" s="22">
        <v>3</v>
      </c>
      <c r="I114" s="26"/>
    </row>
    <row r="115" spans="1:9" ht="153" x14ac:dyDescent="0.25">
      <c r="A115" s="14">
        <f t="shared" si="1"/>
        <v>109</v>
      </c>
      <c r="B115" s="22" t="s">
        <v>248</v>
      </c>
      <c r="C115" s="22" t="s">
        <v>208</v>
      </c>
      <c r="D115" s="22"/>
      <c r="E115" s="22"/>
      <c r="F115" s="22" t="s">
        <v>41</v>
      </c>
      <c r="G115" s="22"/>
      <c r="H115" s="22">
        <v>1</v>
      </c>
      <c r="I115" s="26"/>
    </row>
    <row r="116" spans="1:9" ht="25.5" x14ac:dyDescent="0.25">
      <c r="A116" s="14">
        <f t="shared" si="1"/>
        <v>110</v>
      </c>
      <c r="B116" s="22" t="s">
        <v>249</v>
      </c>
      <c r="C116" s="22" t="s">
        <v>250</v>
      </c>
      <c r="D116" s="22"/>
      <c r="E116" s="22"/>
      <c r="F116" s="22" t="s">
        <v>41</v>
      </c>
      <c r="G116" s="22"/>
      <c r="H116" s="22">
        <v>1</v>
      </c>
      <c r="I116" s="26"/>
    </row>
    <row r="117" spans="1:9" ht="25.5" x14ac:dyDescent="0.25">
      <c r="A117" s="14">
        <f t="shared" si="1"/>
        <v>111</v>
      </c>
      <c r="B117" s="22" t="s">
        <v>251</v>
      </c>
      <c r="C117" s="22" t="s">
        <v>212</v>
      </c>
      <c r="D117" s="22"/>
      <c r="E117" s="22"/>
      <c r="F117" s="22" t="s">
        <v>41</v>
      </c>
      <c r="G117" s="22"/>
      <c r="H117" s="22">
        <v>8</v>
      </c>
      <c r="I117" s="26" t="s">
        <v>453</v>
      </c>
    </row>
    <row r="118" spans="1:9" ht="25.5" x14ac:dyDescent="0.25">
      <c r="A118" s="14">
        <f t="shared" si="1"/>
        <v>112</v>
      </c>
      <c r="B118" s="22" t="s">
        <v>252</v>
      </c>
      <c r="C118" s="22" t="s">
        <v>203</v>
      </c>
      <c r="D118" s="22"/>
      <c r="E118" s="22"/>
      <c r="F118" s="22" t="s">
        <v>41</v>
      </c>
      <c r="G118" s="22"/>
      <c r="H118" s="22">
        <v>15</v>
      </c>
      <c r="I118" s="26"/>
    </row>
    <row r="119" spans="1:9" ht="25.5" x14ac:dyDescent="0.25">
      <c r="A119" s="14">
        <f t="shared" si="1"/>
        <v>113</v>
      </c>
      <c r="B119" s="22" t="s">
        <v>253</v>
      </c>
      <c r="C119" s="22" t="s">
        <v>216</v>
      </c>
      <c r="D119" s="22"/>
      <c r="E119" s="22"/>
      <c r="F119" s="22" t="s">
        <v>41</v>
      </c>
      <c r="G119" s="22"/>
      <c r="H119" s="22">
        <v>3</v>
      </c>
      <c r="I119" s="26"/>
    </row>
    <row r="120" spans="1:9" ht="153" x14ac:dyDescent="0.25">
      <c r="A120" s="14">
        <f t="shared" si="1"/>
        <v>114</v>
      </c>
      <c r="B120" s="22" t="s">
        <v>254</v>
      </c>
      <c r="C120" s="22" t="s">
        <v>208</v>
      </c>
      <c r="D120" s="22"/>
      <c r="E120" s="22"/>
      <c r="F120" s="22" t="s">
        <v>41</v>
      </c>
      <c r="G120" s="22"/>
      <c r="H120" s="22">
        <v>1</v>
      </c>
      <c r="I120" s="26"/>
    </row>
    <row r="121" spans="1:9" ht="25.5" x14ac:dyDescent="0.25">
      <c r="A121" s="14">
        <f t="shared" si="1"/>
        <v>115</v>
      </c>
      <c r="B121" s="22" t="s">
        <v>255</v>
      </c>
      <c r="C121" s="22" t="s">
        <v>256</v>
      </c>
      <c r="D121" s="22"/>
      <c r="E121" s="22"/>
      <c r="F121" s="22" t="s">
        <v>41</v>
      </c>
      <c r="G121" s="22"/>
      <c r="H121" s="22">
        <v>1</v>
      </c>
      <c r="I121" s="26"/>
    </row>
    <row r="122" spans="1:9" ht="25.5" x14ac:dyDescent="0.25">
      <c r="A122" s="14">
        <f t="shared" si="1"/>
        <v>116</v>
      </c>
      <c r="B122" s="22" t="s">
        <v>257</v>
      </c>
      <c r="C122" s="22" t="s">
        <v>212</v>
      </c>
      <c r="D122" s="22"/>
      <c r="E122" s="22"/>
      <c r="F122" s="22" t="s">
        <v>41</v>
      </c>
      <c r="G122" s="22"/>
      <c r="H122" s="22">
        <v>8</v>
      </c>
      <c r="I122" s="26" t="s">
        <v>453</v>
      </c>
    </row>
    <row r="123" spans="1:9" ht="25.5" x14ac:dyDescent="0.25">
      <c r="A123" s="14">
        <f t="shared" si="1"/>
        <v>117</v>
      </c>
      <c r="B123" s="22" t="s">
        <v>258</v>
      </c>
      <c r="C123" s="22" t="s">
        <v>203</v>
      </c>
      <c r="D123" s="22"/>
      <c r="E123" s="22"/>
      <c r="F123" s="22" t="s">
        <v>41</v>
      </c>
      <c r="G123" s="22"/>
      <c r="H123" s="22">
        <v>15</v>
      </c>
      <c r="I123" s="26"/>
    </row>
    <row r="124" spans="1:9" ht="25.5" x14ac:dyDescent="0.25">
      <c r="A124" s="14">
        <f t="shared" si="1"/>
        <v>118</v>
      </c>
      <c r="B124" s="22" t="s">
        <v>259</v>
      </c>
      <c r="C124" s="22" t="s">
        <v>216</v>
      </c>
      <c r="D124" s="22"/>
      <c r="E124" s="22"/>
      <c r="F124" s="22" t="s">
        <v>41</v>
      </c>
      <c r="G124" s="22"/>
      <c r="H124" s="22">
        <v>3</v>
      </c>
      <c r="I124" s="26"/>
    </row>
    <row r="125" spans="1:9" ht="159" customHeight="1" x14ac:dyDescent="0.25">
      <c r="A125" s="14">
        <f t="shared" si="1"/>
        <v>119</v>
      </c>
      <c r="B125" s="22" t="s">
        <v>260</v>
      </c>
      <c r="C125" s="22" t="s">
        <v>208</v>
      </c>
      <c r="D125" s="22"/>
      <c r="E125" s="22"/>
      <c r="F125" s="22" t="s">
        <v>41</v>
      </c>
      <c r="G125" s="22"/>
      <c r="H125" s="22">
        <v>1</v>
      </c>
      <c r="I125" s="26"/>
    </row>
    <row r="126" spans="1:9" ht="25.5" x14ac:dyDescent="0.25">
      <c r="A126" s="14">
        <f t="shared" si="1"/>
        <v>120</v>
      </c>
      <c r="B126" s="22" t="s">
        <v>261</v>
      </c>
      <c r="C126" s="22" t="s">
        <v>262</v>
      </c>
      <c r="D126" s="22"/>
      <c r="E126" s="22"/>
      <c r="F126" s="22" t="s">
        <v>41</v>
      </c>
      <c r="G126" s="22"/>
      <c r="H126" s="22">
        <v>1</v>
      </c>
      <c r="I126" s="26"/>
    </row>
    <row r="127" spans="1:9" ht="25.5" x14ac:dyDescent="0.25">
      <c r="A127" s="14">
        <f t="shared" si="1"/>
        <v>121</v>
      </c>
      <c r="B127" s="22" t="s">
        <v>263</v>
      </c>
      <c r="C127" s="22" t="s">
        <v>212</v>
      </c>
      <c r="D127" s="22"/>
      <c r="E127" s="22"/>
      <c r="F127" s="22" t="s">
        <v>41</v>
      </c>
      <c r="G127" s="22"/>
      <c r="H127" s="22">
        <v>8</v>
      </c>
      <c r="I127" s="26" t="s">
        <v>453</v>
      </c>
    </row>
    <row r="128" spans="1:9" ht="25.5" x14ac:dyDescent="0.25">
      <c r="A128" s="14">
        <f t="shared" si="1"/>
        <v>122</v>
      </c>
      <c r="B128" s="22" t="s">
        <v>264</v>
      </c>
      <c r="C128" s="22" t="s">
        <v>203</v>
      </c>
      <c r="D128" s="22"/>
      <c r="E128" s="22"/>
      <c r="F128" s="22" t="s">
        <v>41</v>
      </c>
      <c r="G128" s="22"/>
      <c r="H128" s="22">
        <v>15</v>
      </c>
      <c r="I128" s="26"/>
    </row>
    <row r="129" spans="1:9" ht="25.5" x14ac:dyDescent="0.25">
      <c r="A129" s="14">
        <f t="shared" si="1"/>
        <v>123</v>
      </c>
      <c r="B129" s="22" t="s">
        <v>265</v>
      </c>
      <c r="C129" s="22" t="s">
        <v>216</v>
      </c>
      <c r="D129" s="22"/>
      <c r="E129" s="22"/>
      <c r="F129" s="22" t="s">
        <v>41</v>
      </c>
      <c r="G129" s="22"/>
      <c r="H129" s="22">
        <v>3</v>
      </c>
      <c r="I129" s="26"/>
    </row>
    <row r="130" spans="1:9" ht="153" x14ac:dyDescent="0.25">
      <c r="A130" s="14">
        <f t="shared" si="1"/>
        <v>124</v>
      </c>
      <c r="B130" s="22" t="s">
        <v>266</v>
      </c>
      <c r="C130" s="22" t="s">
        <v>208</v>
      </c>
      <c r="D130" s="22"/>
      <c r="E130" s="22"/>
      <c r="F130" s="22" t="s">
        <v>41</v>
      </c>
      <c r="G130" s="22"/>
      <c r="H130" s="22">
        <v>1</v>
      </c>
      <c r="I130" s="26"/>
    </row>
    <row r="131" spans="1:9" ht="25.5" x14ac:dyDescent="0.25">
      <c r="A131" s="14">
        <f t="shared" si="1"/>
        <v>125</v>
      </c>
      <c r="B131" s="22" t="s">
        <v>267</v>
      </c>
      <c r="C131" s="22" t="s">
        <v>268</v>
      </c>
      <c r="D131" s="22"/>
      <c r="E131" s="22"/>
      <c r="F131" s="22" t="s">
        <v>41</v>
      </c>
      <c r="G131" s="22"/>
      <c r="H131" s="22">
        <v>1</v>
      </c>
      <c r="I131" s="26"/>
    </row>
    <row r="132" spans="1:9" ht="25.5" x14ac:dyDescent="0.25">
      <c r="A132" s="14">
        <f t="shared" si="1"/>
        <v>126</v>
      </c>
      <c r="B132" s="22" t="s">
        <v>269</v>
      </c>
      <c r="C132" s="22" t="s">
        <v>212</v>
      </c>
      <c r="D132" s="22"/>
      <c r="E132" s="22"/>
      <c r="F132" s="22" t="s">
        <v>41</v>
      </c>
      <c r="G132" s="22"/>
      <c r="H132" s="22">
        <v>8</v>
      </c>
      <c r="I132" s="26" t="s">
        <v>453</v>
      </c>
    </row>
    <row r="133" spans="1:9" ht="25.5" x14ac:dyDescent="0.25">
      <c r="A133" s="14">
        <f t="shared" si="1"/>
        <v>127</v>
      </c>
      <c r="B133" s="22" t="s">
        <v>270</v>
      </c>
      <c r="C133" s="22" t="s">
        <v>203</v>
      </c>
      <c r="D133" s="22"/>
      <c r="E133" s="22"/>
      <c r="F133" s="22" t="s">
        <v>41</v>
      </c>
      <c r="G133" s="22"/>
      <c r="H133" s="22">
        <v>15</v>
      </c>
      <c r="I133" s="26"/>
    </row>
    <row r="134" spans="1:9" ht="25.5" x14ac:dyDescent="0.25">
      <c r="A134" s="14">
        <f t="shared" si="1"/>
        <v>128</v>
      </c>
      <c r="B134" s="22" t="s">
        <v>271</v>
      </c>
      <c r="C134" s="22" t="s">
        <v>216</v>
      </c>
      <c r="D134" s="22"/>
      <c r="E134" s="22"/>
      <c r="F134" s="22" t="s">
        <v>41</v>
      </c>
      <c r="G134" s="22"/>
      <c r="H134" s="22">
        <v>3</v>
      </c>
      <c r="I134" s="26"/>
    </row>
    <row r="135" spans="1:9" ht="153" x14ac:dyDescent="0.25">
      <c r="A135" s="14">
        <f t="shared" si="1"/>
        <v>129</v>
      </c>
      <c r="B135" s="22" t="s">
        <v>272</v>
      </c>
      <c r="C135" s="22" t="s">
        <v>208</v>
      </c>
      <c r="D135" s="22"/>
      <c r="E135" s="22"/>
      <c r="F135" s="22" t="s">
        <v>41</v>
      </c>
      <c r="G135" s="22"/>
      <c r="H135" s="22">
        <v>1</v>
      </c>
      <c r="I135" s="26"/>
    </row>
    <row r="136" spans="1:9" ht="25.5" x14ac:dyDescent="0.25">
      <c r="A136" s="14">
        <f t="shared" si="1"/>
        <v>130</v>
      </c>
      <c r="B136" s="22" t="s">
        <v>273</v>
      </c>
      <c r="C136" s="22" t="s">
        <v>274</v>
      </c>
      <c r="D136" s="22"/>
      <c r="E136" s="22"/>
      <c r="F136" s="22" t="s">
        <v>41</v>
      </c>
      <c r="G136" s="22"/>
      <c r="H136" s="22">
        <v>1</v>
      </c>
      <c r="I136" s="26"/>
    </row>
    <row r="137" spans="1:9" ht="25.5" x14ac:dyDescent="0.25">
      <c r="A137" s="14">
        <f t="shared" ref="A137:A200" si="2">A136+1</f>
        <v>131</v>
      </c>
      <c r="B137" s="22" t="s">
        <v>275</v>
      </c>
      <c r="C137" s="22"/>
      <c r="D137" s="22"/>
      <c r="E137" s="22"/>
      <c r="F137" s="22" t="s">
        <v>41</v>
      </c>
      <c r="G137" s="22"/>
      <c r="H137" s="22">
        <v>8</v>
      </c>
      <c r="I137" s="26" t="s">
        <v>453</v>
      </c>
    </row>
    <row r="138" spans="1:9" ht="25.5" x14ac:dyDescent="0.25">
      <c r="A138" s="14">
        <f t="shared" si="2"/>
        <v>132</v>
      </c>
      <c r="B138" s="22" t="s">
        <v>276</v>
      </c>
      <c r="C138" s="22"/>
      <c r="D138" s="22" t="s">
        <v>203</v>
      </c>
      <c r="E138" s="22"/>
      <c r="F138" s="22" t="s">
        <v>41</v>
      </c>
      <c r="G138" s="22"/>
      <c r="H138" s="22">
        <v>15</v>
      </c>
      <c r="I138" s="26"/>
    </row>
    <row r="139" spans="1:9" ht="25.5" x14ac:dyDescent="0.25">
      <c r="A139" s="14">
        <f t="shared" si="2"/>
        <v>133</v>
      </c>
      <c r="B139" s="22" t="s">
        <v>277</v>
      </c>
      <c r="C139" s="22" t="s">
        <v>205</v>
      </c>
      <c r="D139" s="22" t="s">
        <v>216</v>
      </c>
      <c r="E139" s="22"/>
      <c r="F139" s="22" t="s">
        <v>41</v>
      </c>
      <c r="G139" s="22"/>
      <c r="H139" s="22">
        <v>3</v>
      </c>
      <c r="I139" s="26"/>
    </row>
    <row r="140" spans="1:9" ht="158.25" customHeight="1" x14ac:dyDescent="0.25">
      <c r="A140" s="14">
        <f t="shared" si="2"/>
        <v>134</v>
      </c>
      <c r="B140" s="22" t="s">
        <v>278</v>
      </c>
      <c r="C140" s="22" t="s">
        <v>208</v>
      </c>
      <c r="D140" s="22"/>
      <c r="E140" s="22"/>
      <c r="F140" s="22" t="s">
        <v>41</v>
      </c>
      <c r="G140" s="22"/>
      <c r="H140" s="22">
        <v>1</v>
      </c>
      <c r="I140" s="26"/>
    </row>
    <row r="141" spans="1:9" ht="25.5" x14ac:dyDescent="0.25">
      <c r="A141" s="14">
        <f t="shared" si="2"/>
        <v>135</v>
      </c>
      <c r="B141" s="22" t="s">
        <v>279</v>
      </c>
      <c r="C141" s="22" t="s">
        <v>280</v>
      </c>
      <c r="D141" s="22"/>
      <c r="E141" s="22"/>
      <c r="F141" s="22" t="s">
        <v>41</v>
      </c>
      <c r="G141" s="22"/>
      <c r="H141" s="22">
        <v>1</v>
      </c>
      <c r="I141" s="26"/>
    </row>
    <row r="142" spans="1:9" ht="35.25" customHeight="1" x14ac:dyDescent="0.25">
      <c r="A142" s="14">
        <f t="shared" si="2"/>
        <v>136</v>
      </c>
      <c r="B142" s="22" t="s">
        <v>281</v>
      </c>
      <c r="C142" s="22" t="s">
        <v>282</v>
      </c>
      <c r="D142" s="22"/>
      <c r="E142" s="22"/>
      <c r="F142" s="22" t="s">
        <v>41</v>
      </c>
      <c r="G142" s="22"/>
      <c r="H142" s="22">
        <v>8</v>
      </c>
      <c r="I142" s="26" t="s">
        <v>453</v>
      </c>
    </row>
    <row r="143" spans="1:9" ht="25.5" x14ac:dyDescent="0.25">
      <c r="A143" s="14">
        <f t="shared" si="2"/>
        <v>137</v>
      </c>
      <c r="B143" s="22" t="s">
        <v>283</v>
      </c>
      <c r="C143" s="22" t="s">
        <v>203</v>
      </c>
      <c r="D143" s="22"/>
      <c r="E143" s="22"/>
      <c r="F143" s="22" t="s">
        <v>41</v>
      </c>
      <c r="G143" s="22"/>
      <c r="H143" s="22">
        <v>15</v>
      </c>
      <c r="I143" s="26"/>
    </row>
    <row r="144" spans="1:9" ht="25.5" x14ac:dyDescent="0.25">
      <c r="A144" s="14">
        <f t="shared" si="2"/>
        <v>138</v>
      </c>
      <c r="B144" s="22" t="s">
        <v>284</v>
      </c>
      <c r="C144" s="22" t="s">
        <v>205</v>
      </c>
      <c r="D144" s="22" t="s">
        <v>216</v>
      </c>
      <c r="E144" s="22"/>
      <c r="F144" s="22" t="s">
        <v>41</v>
      </c>
      <c r="G144" s="22"/>
      <c r="H144" s="22">
        <v>3</v>
      </c>
      <c r="I144" s="26"/>
    </row>
    <row r="145" spans="1:9" ht="153" x14ac:dyDescent="0.25">
      <c r="A145" s="14">
        <f t="shared" si="2"/>
        <v>139</v>
      </c>
      <c r="B145" s="22" t="s">
        <v>285</v>
      </c>
      <c r="C145" s="22" t="s">
        <v>208</v>
      </c>
      <c r="D145" s="22"/>
      <c r="E145" s="22"/>
      <c r="F145" s="22" t="s">
        <v>41</v>
      </c>
      <c r="G145" s="22"/>
      <c r="H145" s="22">
        <v>1</v>
      </c>
      <c r="I145" s="26"/>
    </row>
    <row r="146" spans="1:9" ht="25.5" x14ac:dyDescent="0.25">
      <c r="A146" s="14">
        <f t="shared" si="2"/>
        <v>140</v>
      </c>
      <c r="B146" s="22" t="s">
        <v>286</v>
      </c>
      <c r="C146" s="22" t="s">
        <v>287</v>
      </c>
      <c r="D146" s="22"/>
      <c r="E146" s="22"/>
      <c r="F146" s="22" t="s">
        <v>41</v>
      </c>
      <c r="G146" s="22"/>
      <c r="H146" s="22">
        <v>1</v>
      </c>
      <c r="I146" s="26"/>
    </row>
    <row r="147" spans="1:9" ht="25.5" x14ac:dyDescent="0.25">
      <c r="A147" s="14">
        <f t="shared" si="2"/>
        <v>141</v>
      </c>
      <c r="B147" s="22" t="s">
        <v>288</v>
      </c>
      <c r="C147" s="22" t="s">
        <v>212</v>
      </c>
      <c r="D147" s="22"/>
      <c r="E147" s="22"/>
      <c r="F147" s="22" t="s">
        <v>41</v>
      </c>
      <c r="G147" s="22"/>
      <c r="H147" s="22">
        <v>8</v>
      </c>
      <c r="I147" s="26" t="s">
        <v>453</v>
      </c>
    </row>
    <row r="148" spans="1:9" ht="25.5" x14ac:dyDescent="0.25">
      <c r="A148" s="14">
        <f t="shared" si="2"/>
        <v>142</v>
      </c>
      <c r="B148" s="22" t="s">
        <v>289</v>
      </c>
      <c r="C148" s="22" t="s">
        <v>203</v>
      </c>
      <c r="D148" s="22"/>
      <c r="E148" s="22"/>
      <c r="F148" s="22" t="s">
        <v>41</v>
      </c>
      <c r="G148" s="22"/>
      <c r="H148" s="22">
        <v>15</v>
      </c>
      <c r="I148" s="26"/>
    </row>
    <row r="149" spans="1:9" ht="25.5" x14ac:dyDescent="0.25">
      <c r="A149" s="14">
        <f t="shared" si="2"/>
        <v>143</v>
      </c>
      <c r="B149" s="22" t="s">
        <v>290</v>
      </c>
      <c r="C149" s="22" t="s">
        <v>205</v>
      </c>
      <c r="D149" s="22" t="s">
        <v>216</v>
      </c>
      <c r="E149" s="22"/>
      <c r="F149" s="22" t="s">
        <v>41</v>
      </c>
      <c r="G149" s="22"/>
      <c r="H149" s="22">
        <v>3</v>
      </c>
      <c r="I149" s="26"/>
    </row>
    <row r="150" spans="1:9" ht="153" x14ac:dyDescent="0.25">
      <c r="A150" s="14">
        <f t="shared" si="2"/>
        <v>144</v>
      </c>
      <c r="B150" s="22" t="s">
        <v>291</v>
      </c>
      <c r="C150" s="22" t="s">
        <v>208</v>
      </c>
      <c r="D150" s="22"/>
      <c r="E150" s="22"/>
      <c r="F150" s="22" t="s">
        <v>41</v>
      </c>
      <c r="G150" s="22"/>
      <c r="H150" s="22">
        <v>1</v>
      </c>
      <c r="I150" s="26"/>
    </row>
    <row r="151" spans="1:9" ht="25.5" x14ac:dyDescent="0.25">
      <c r="A151" s="14">
        <f t="shared" si="2"/>
        <v>145</v>
      </c>
      <c r="B151" s="22" t="s">
        <v>292</v>
      </c>
      <c r="C151" s="22" t="s">
        <v>293</v>
      </c>
      <c r="D151" s="22"/>
      <c r="E151" s="22"/>
      <c r="F151" s="22" t="s">
        <v>41</v>
      </c>
      <c r="G151" s="22"/>
      <c r="H151" s="22">
        <v>1</v>
      </c>
      <c r="I151" s="26"/>
    </row>
    <row r="152" spans="1:9" ht="25.5" x14ac:dyDescent="0.25">
      <c r="A152" s="14">
        <f t="shared" si="2"/>
        <v>146</v>
      </c>
      <c r="B152" s="22" t="s">
        <v>294</v>
      </c>
      <c r="C152" s="22" t="s">
        <v>212</v>
      </c>
      <c r="D152" s="22"/>
      <c r="E152" s="22"/>
      <c r="F152" s="22" t="s">
        <v>41</v>
      </c>
      <c r="G152" s="22"/>
      <c r="H152" s="22">
        <v>8</v>
      </c>
      <c r="I152" s="26" t="s">
        <v>453</v>
      </c>
    </row>
    <row r="153" spans="1:9" ht="25.5" x14ac:dyDescent="0.25">
      <c r="A153" s="14">
        <f t="shared" si="2"/>
        <v>147</v>
      </c>
      <c r="B153" s="22" t="s">
        <v>295</v>
      </c>
      <c r="C153" s="22" t="s">
        <v>203</v>
      </c>
      <c r="D153" s="22"/>
      <c r="E153" s="22"/>
      <c r="F153" s="22" t="s">
        <v>41</v>
      </c>
      <c r="G153" s="22"/>
      <c r="H153" s="22">
        <v>15</v>
      </c>
      <c r="I153" s="26"/>
    </row>
    <row r="154" spans="1:9" ht="25.5" x14ac:dyDescent="0.25">
      <c r="A154" s="14">
        <f t="shared" si="2"/>
        <v>148</v>
      </c>
      <c r="B154" s="22" t="s">
        <v>296</v>
      </c>
      <c r="C154" s="22" t="s">
        <v>205</v>
      </c>
      <c r="D154" s="22" t="s">
        <v>216</v>
      </c>
      <c r="E154" s="22"/>
      <c r="F154" s="22" t="s">
        <v>41</v>
      </c>
      <c r="G154" s="22"/>
      <c r="H154" s="22">
        <v>3</v>
      </c>
      <c r="I154" s="26"/>
    </row>
    <row r="155" spans="1:9" ht="162.75" customHeight="1" x14ac:dyDescent="0.25">
      <c r="A155" s="14">
        <f t="shared" si="2"/>
        <v>149</v>
      </c>
      <c r="B155" s="22" t="s">
        <v>297</v>
      </c>
      <c r="C155" s="22" t="s">
        <v>208</v>
      </c>
      <c r="D155" s="22"/>
      <c r="E155" s="22"/>
      <c r="F155" s="22" t="s">
        <v>41</v>
      </c>
      <c r="G155" s="22"/>
      <c r="H155" s="22">
        <v>1</v>
      </c>
      <c r="I155" s="26"/>
    </row>
    <row r="156" spans="1:9" ht="25.5" x14ac:dyDescent="0.25">
      <c r="A156" s="14">
        <f t="shared" si="2"/>
        <v>150</v>
      </c>
      <c r="B156" s="22" t="s">
        <v>298</v>
      </c>
      <c r="C156" s="22" t="s">
        <v>299</v>
      </c>
      <c r="D156" s="22"/>
      <c r="E156" s="22"/>
      <c r="F156" s="22" t="s">
        <v>41</v>
      </c>
      <c r="G156" s="22"/>
      <c r="H156" s="22">
        <v>1</v>
      </c>
      <c r="I156" s="26"/>
    </row>
    <row r="157" spans="1:9" ht="25.5" x14ac:dyDescent="0.25">
      <c r="A157" s="14">
        <f t="shared" si="2"/>
        <v>151</v>
      </c>
      <c r="B157" s="22" t="s">
        <v>300</v>
      </c>
      <c r="C157" s="22" t="s">
        <v>212</v>
      </c>
      <c r="D157" s="22"/>
      <c r="E157" s="22"/>
      <c r="F157" s="22" t="s">
        <v>41</v>
      </c>
      <c r="G157" s="22"/>
      <c r="H157" s="22">
        <v>8</v>
      </c>
      <c r="I157" s="26" t="s">
        <v>453</v>
      </c>
    </row>
    <row r="158" spans="1:9" ht="25.5" x14ac:dyDescent="0.25">
      <c r="A158" s="14">
        <f t="shared" si="2"/>
        <v>152</v>
      </c>
      <c r="B158" s="22" t="s">
        <v>301</v>
      </c>
      <c r="C158" s="22" t="s">
        <v>203</v>
      </c>
      <c r="D158" s="22"/>
      <c r="E158" s="22"/>
      <c r="F158" s="22" t="s">
        <v>41</v>
      </c>
      <c r="G158" s="22"/>
      <c r="H158" s="22">
        <v>15</v>
      </c>
      <c r="I158" s="26"/>
    </row>
    <row r="159" spans="1:9" ht="25.5" x14ac:dyDescent="0.25">
      <c r="A159" s="14">
        <f t="shared" si="2"/>
        <v>153</v>
      </c>
      <c r="B159" s="22" t="s">
        <v>302</v>
      </c>
      <c r="C159" s="22" t="s">
        <v>205</v>
      </c>
      <c r="D159" s="22" t="s">
        <v>216</v>
      </c>
      <c r="E159" s="22"/>
      <c r="F159" s="22" t="s">
        <v>41</v>
      </c>
      <c r="G159" s="22"/>
      <c r="H159" s="22">
        <v>3</v>
      </c>
      <c r="I159" s="26"/>
    </row>
    <row r="160" spans="1:9" ht="153" x14ac:dyDescent="0.25">
      <c r="A160" s="14">
        <f t="shared" si="2"/>
        <v>154</v>
      </c>
      <c r="B160" s="22" t="s">
        <v>303</v>
      </c>
      <c r="C160" s="22" t="s">
        <v>208</v>
      </c>
      <c r="D160" s="22"/>
      <c r="E160" s="22"/>
      <c r="F160" s="22" t="s">
        <v>41</v>
      </c>
      <c r="G160" s="22"/>
      <c r="H160" s="22">
        <v>1</v>
      </c>
      <c r="I160" s="26"/>
    </row>
    <row r="161" spans="1:9" ht="25.5" x14ac:dyDescent="0.25">
      <c r="A161" s="14">
        <f t="shared" si="2"/>
        <v>155</v>
      </c>
      <c r="B161" s="22" t="s">
        <v>304</v>
      </c>
      <c r="C161" s="22" t="s">
        <v>305</v>
      </c>
      <c r="D161" s="22"/>
      <c r="E161" s="22"/>
      <c r="F161" s="22" t="s">
        <v>41</v>
      </c>
      <c r="G161" s="22"/>
      <c r="H161" s="22">
        <v>1</v>
      </c>
      <c r="I161" s="26"/>
    </row>
    <row r="162" spans="1:9" ht="25.5" x14ac:dyDescent="0.25">
      <c r="A162" s="14">
        <f t="shared" si="2"/>
        <v>156</v>
      </c>
      <c r="B162" s="22" t="s">
        <v>306</v>
      </c>
      <c r="C162" s="22" t="s">
        <v>212</v>
      </c>
      <c r="D162" s="22"/>
      <c r="E162" s="22"/>
      <c r="F162" s="22" t="s">
        <v>41</v>
      </c>
      <c r="G162" s="22"/>
      <c r="H162" s="22">
        <v>8</v>
      </c>
      <c r="I162" s="26" t="s">
        <v>453</v>
      </c>
    </row>
    <row r="163" spans="1:9" ht="25.5" x14ac:dyDescent="0.25">
      <c r="A163" s="14">
        <f t="shared" si="2"/>
        <v>157</v>
      </c>
      <c r="B163" s="22" t="s">
        <v>307</v>
      </c>
      <c r="C163" s="22" t="s">
        <v>203</v>
      </c>
      <c r="D163" s="22"/>
      <c r="E163" s="22"/>
      <c r="F163" s="22" t="s">
        <v>41</v>
      </c>
      <c r="G163" s="22"/>
      <c r="H163" s="22">
        <v>15</v>
      </c>
      <c r="I163" s="26"/>
    </row>
    <row r="164" spans="1:9" ht="25.5" x14ac:dyDescent="0.25">
      <c r="A164" s="14">
        <f t="shared" si="2"/>
        <v>158</v>
      </c>
      <c r="B164" s="22" t="s">
        <v>308</v>
      </c>
      <c r="C164" s="22" t="s">
        <v>205</v>
      </c>
      <c r="D164" s="22" t="s">
        <v>216</v>
      </c>
      <c r="E164" s="22"/>
      <c r="F164" s="22" t="s">
        <v>41</v>
      </c>
      <c r="G164" s="22"/>
      <c r="H164" s="22">
        <v>3</v>
      </c>
      <c r="I164" s="26"/>
    </row>
    <row r="165" spans="1:9" ht="153" x14ac:dyDescent="0.25">
      <c r="A165" s="14">
        <f t="shared" si="2"/>
        <v>159</v>
      </c>
      <c r="B165" s="22" t="s">
        <v>309</v>
      </c>
      <c r="C165" s="22" t="s">
        <v>208</v>
      </c>
      <c r="D165" s="22"/>
      <c r="E165" s="22"/>
      <c r="F165" s="22" t="s">
        <v>41</v>
      </c>
      <c r="G165" s="22"/>
      <c r="H165" s="22">
        <v>1</v>
      </c>
      <c r="I165" s="26"/>
    </row>
    <row r="166" spans="1:9" ht="25.5" x14ac:dyDescent="0.25">
      <c r="A166" s="14">
        <f t="shared" si="2"/>
        <v>160</v>
      </c>
      <c r="B166" s="22" t="s">
        <v>310</v>
      </c>
      <c r="C166" s="22" t="s">
        <v>311</v>
      </c>
      <c r="D166" s="22"/>
      <c r="E166" s="22"/>
      <c r="F166" s="22" t="s">
        <v>41</v>
      </c>
      <c r="G166" s="22"/>
      <c r="H166" s="22">
        <v>1</v>
      </c>
      <c r="I166" s="26"/>
    </row>
    <row r="167" spans="1:9" ht="25.5" x14ac:dyDescent="0.25">
      <c r="A167" s="14">
        <f t="shared" si="2"/>
        <v>161</v>
      </c>
      <c r="B167" s="22" t="s">
        <v>312</v>
      </c>
      <c r="C167" s="22" t="s">
        <v>212</v>
      </c>
      <c r="D167" s="22"/>
      <c r="E167" s="22"/>
      <c r="F167" s="22" t="s">
        <v>41</v>
      </c>
      <c r="G167" s="22"/>
      <c r="H167" s="22">
        <v>8</v>
      </c>
      <c r="I167" s="26" t="s">
        <v>453</v>
      </c>
    </row>
    <row r="168" spans="1:9" ht="25.5" x14ac:dyDescent="0.25">
      <c r="A168" s="14">
        <f t="shared" si="2"/>
        <v>162</v>
      </c>
      <c r="B168" s="22" t="s">
        <v>313</v>
      </c>
      <c r="C168" s="22" t="s">
        <v>203</v>
      </c>
      <c r="D168" s="22"/>
      <c r="E168" s="22"/>
      <c r="F168" s="22" t="s">
        <v>41</v>
      </c>
      <c r="G168" s="22"/>
      <c r="H168" s="22">
        <v>15</v>
      </c>
      <c r="I168" s="26"/>
    </row>
    <row r="169" spans="1:9" ht="25.5" x14ac:dyDescent="0.25">
      <c r="A169" s="14">
        <f t="shared" si="2"/>
        <v>163</v>
      </c>
      <c r="B169" s="22" t="s">
        <v>314</v>
      </c>
      <c r="C169" s="22" t="s">
        <v>205</v>
      </c>
      <c r="D169" s="22" t="s">
        <v>216</v>
      </c>
      <c r="E169" s="22"/>
      <c r="F169" s="22" t="s">
        <v>41</v>
      </c>
      <c r="G169" s="22"/>
      <c r="H169" s="22">
        <v>3</v>
      </c>
      <c r="I169" s="26"/>
    </row>
    <row r="170" spans="1:9" ht="158.25" customHeight="1" x14ac:dyDescent="0.25">
      <c r="A170" s="14">
        <f t="shared" si="2"/>
        <v>164</v>
      </c>
      <c r="B170" s="22" t="s">
        <v>315</v>
      </c>
      <c r="C170" s="22" t="s">
        <v>208</v>
      </c>
      <c r="D170" s="22"/>
      <c r="E170" s="22"/>
      <c r="F170" s="22" t="s">
        <v>41</v>
      </c>
      <c r="G170" s="22"/>
      <c r="H170" s="22">
        <v>1</v>
      </c>
      <c r="I170" s="26"/>
    </row>
    <row r="171" spans="1:9" ht="25.5" x14ac:dyDescent="0.25">
      <c r="A171" s="14">
        <f t="shared" si="2"/>
        <v>165</v>
      </c>
      <c r="B171" s="22" t="s">
        <v>316</v>
      </c>
      <c r="C171" s="22" t="s">
        <v>317</v>
      </c>
      <c r="D171" s="22"/>
      <c r="E171" s="22"/>
      <c r="F171" s="22" t="s">
        <v>41</v>
      </c>
      <c r="G171" s="22"/>
      <c r="H171" s="22">
        <v>1</v>
      </c>
      <c r="I171" s="26"/>
    </row>
    <row r="172" spans="1:9" ht="25.5" x14ac:dyDescent="0.25">
      <c r="A172" s="14">
        <f t="shared" si="2"/>
        <v>166</v>
      </c>
      <c r="B172" s="22" t="s">
        <v>318</v>
      </c>
      <c r="C172" s="22" t="s">
        <v>212</v>
      </c>
      <c r="D172" s="22"/>
      <c r="E172" s="22"/>
      <c r="F172" s="22" t="s">
        <v>41</v>
      </c>
      <c r="G172" s="22"/>
      <c r="H172" s="22">
        <v>8</v>
      </c>
      <c r="I172" s="26" t="s">
        <v>453</v>
      </c>
    </row>
    <row r="173" spans="1:9" ht="25.5" x14ac:dyDescent="0.25">
      <c r="A173" s="14">
        <f t="shared" si="2"/>
        <v>167</v>
      </c>
      <c r="B173" s="22" t="s">
        <v>319</v>
      </c>
      <c r="C173" s="22" t="s">
        <v>203</v>
      </c>
      <c r="D173" s="22"/>
      <c r="E173" s="22"/>
      <c r="F173" s="22" t="s">
        <v>41</v>
      </c>
      <c r="G173" s="22"/>
      <c r="H173" s="22">
        <v>15</v>
      </c>
      <c r="I173" s="26"/>
    </row>
    <row r="174" spans="1:9" ht="25.5" x14ac:dyDescent="0.25">
      <c r="A174" s="14">
        <f t="shared" si="2"/>
        <v>168</v>
      </c>
      <c r="B174" s="22" t="s">
        <v>320</v>
      </c>
      <c r="C174" s="22" t="s">
        <v>205</v>
      </c>
      <c r="D174" s="22" t="s">
        <v>216</v>
      </c>
      <c r="E174" s="22"/>
      <c r="F174" s="22" t="s">
        <v>41</v>
      </c>
      <c r="G174" s="22"/>
      <c r="H174" s="22">
        <v>3</v>
      </c>
      <c r="I174" s="26"/>
    </row>
    <row r="175" spans="1:9" ht="159" customHeight="1" x14ac:dyDescent="0.25">
      <c r="A175" s="14">
        <f t="shared" si="2"/>
        <v>169</v>
      </c>
      <c r="B175" s="22" t="s">
        <v>321</v>
      </c>
      <c r="C175" s="22" t="s">
        <v>208</v>
      </c>
      <c r="D175" s="22"/>
      <c r="E175" s="22"/>
      <c r="F175" s="22" t="s">
        <v>41</v>
      </c>
      <c r="G175" s="22"/>
      <c r="H175" s="22">
        <v>1</v>
      </c>
      <c r="I175" s="26"/>
    </row>
    <row r="176" spans="1:9" ht="25.5" x14ac:dyDescent="0.25">
      <c r="A176" s="14">
        <f t="shared" si="2"/>
        <v>170</v>
      </c>
      <c r="B176" s="22" t="s">
        <v>322</v>
      </c>
      <c r="C176" s="22" t="s">
        <v>323</v>
      </c>
      <c r="D176" s="22"/>
      <c r="E176" s="22"/>
      <c r="F176" s="22" t="s">
        <v>41</v>
      </c>
      <c r="G176" s="22"/>
      <c r="H176" s="22">
        <v>1</v>
      </c>
      <c r="I176" s="26"/>
    </row>
    <row r="177" spans="1:9" ht="25.5" x14ac:dyDescent="0.25">
      <c r="A177" s="14">
        <f t="shared" si="2"/>
        <v>171</v>
      </c>
      <c r="B177" s="22" t="s">
        <v>324</v>
      </c>
      <c r="C177" s="22" t="s">
        <v>212</v>
      </c>
      <c r="D177" s="22"/>
      <c r="E177" s="22"/>
      <c r="F177" s="22" t="s">
        <v>41</v>
      </c>
      <c r="G177" s="22"/>
      <c r="H177" s="22">
        <v>8</v>
      </c>
      <c r="I177" s="26" t="s">
        <v>453</v>
      </c>
    </row>
    <row r="178" spans="1:9" ht="25.5" x14ac:dyDescent="0.25">
      <c r="A178" s="14">
        <f t="shared" si="2"/>
        <v>172</v>
      </c>
      <c r="B178" s="22" t="s">
        <v>325</v>
      </c>
      <c r="C178" s="22" t="s">
        <v>203</v>
      </c>
      <c r="D178" s="22"/>
      <c r="E178" s="22"/>
      <c r="F178" s="22" t="s">
        <v>41</v>
      </c>
      <c r="G178" s="22"/>
      <c r="H178" s="22">
        <v>15</v>
      </c>
      <c r="I178" s="26"/>
    </row>
    <row r="179" spans="1:9" ht="25.5" x14ac:dyDescent="0.25">
      <c r="A179" s="14">
        <f t="shared" si="2"/>
        <v>173</v>
      </c>
      <c r="B179" s="22" t="s">
        <v>326</v>
      </c>
      <c r="C179" s="22" t="s">
        <v>205</v>
      </c>
      <c r="D179" s="22" t="s">
        <v>216</v>
      </c>
      <c r="E179" s="22"/>
      <c r="F179" s="22" t="s">
        <v>41</v>
      </c>
      <c r="G179" s="22"/>
      <c r="H179" s="22">
        <v>3</v>
      </c>
      <c r="I179" s="26"/>
    </row>
    <row r="180" spans="1:9" ht="153" x14ac:dyDescent="0.25">
      <c r="A180" s="14">
        <f t="shared" si="2"/>
        <v>174</v>
      </c>
      <c r="B180" s="22" t="s">
        <v>327</v>
      </c>
      <c r="C180" s="22" t="s">
        <v>208</v>
      </c>
      <c r="D180" s="22"/>
      <c r="E180" s="22"/>
      <c r="F180" s="22" t="s">
        <v>41</v>
      </c>
      <c r="G180" s="22"/>
      <c r="H180" s="22">
        <v>1</v>
      </c>
      <c r="I180" s="26"/>
    </row>
    <row r="181" spans="1:9" ht="25.5" x14ac:dyDescent="0.25">
      <c r="A181" s="14">
        <f t="shared" si="2"/>
        <v>175</v>
      </c>
      <c r="B181" s="22" t="s">
        <v>328</v>
      </c>
      <c r="C181" s="22" t="s">
        <v>329</v>
      </c>
      <c r="D181" s="22"/>
      <c r="E181" s="22"/>
      <c r="F181" s="22" t="s">
        <v>41</v>
      </c>
      <c r="G181" s="22"/>
      <c r="H181" s="22">
        <v>1</v>
      </c>
      <c r="I181" s="26"/>
    </row>
    <row r="182" spans="1:9" ht="25.5" x14ac:dyDescent="0.25">
      <c r="A182" s="14">
        <f t="shared" si="2"/>
        <v>176</v>
      </c>
      <c r="B182" s="22" t="s">
        <v>330</v>
      </c>
      <c r="C182" s="22" t="s">
        <v>212</v>
      </c>
      <c r="D182" s="22"/>
      <c r="E182" s="22"/>
      <c r="F182" s="22" t="s">
        <v>41</v>
      </c>
      <c r="G182" s="22"/>
      <c r="H182" s="22">
        <v>8</v>
      </c>
      <c r="I182" s="26" t="s">
        <v>453</v>
      </c>
    </row>
    <row r="183" spans="1:9" ht="25.5" x14ac:dyDescent="0.25">
      <c r="A183" s="14">
        <f t="shared" si="2"/>
        <v>177</v>
      </c>
      <c r="B183" s="22" t="s">
        <v>331</v>
      </c>
      <c r="C183" s="22" t="s">
        <v>203</v>
      </c>
      <c r="D183" s="22"/>
      <c r="E183" s="22"/>
      <c r="F183" s="22" t="s">
        <v>41</v>
      </c>
      <c r="G183" s="22"/>
      <c r="H183" s="22">
        <v>15</v>
      </c>
      <c r="I183" s="26"/>
    </row>
    <row r="184" spans="1:9" ht="25.5" x14ac:dyDescent="0.25">
      <c r="A184" s="14">
        <f t="shared" si="2"/>
        <v>178</v>
      </c>
      <c r="B184" s="22" t="s">
        <v>332</v>
      </c>
      <c r="C184" s="22" t="s">
        <v>205</v>
      </c>
      <c r="D184" s="22" t="s">
        <v>216</v>
      </c>
      <c r="E184" s="22"/>
      <c r="F184" s="22" t="s">
        <v>41</v>
      </c>
      <c r="G184" s="22"/>
      <c r="H184" s="22">
        <v>3</v>
      </c>
      <c r="I184" s="26"/>
    </row>
    <row r="185" spans="1:9" ht="160.5" customHeight="1" x14ac:dyDescent="0.25">
      <c r="A185" s="14">
        <f t="shared" si="2"/>
        <v>179</v>
      </c>
      <c r="B185" s="22" t="s">
        <v>333</v>
      </c>
      <c r="C185" s="22" t="s">
        <v>208</v>
      </c>
      <c r="D185" s="22"/>
      <c r="E185" s="22"/>
      <c r="F185" s="22" t="s">
        <v>41</v>
      </c>
      <c r="G185" s="22"/>
      <c r="H185" s="22">
        <v>1</v>
      </c>
      <c r="I185" s="26"/>
    </row>
    <row r="186" spans="1:9" ht="25.5" x14ac:dyDescent="0.25">
      <c r="A186" s="14">
        <f t="shared" si="2"/>
        <v>180</v>
      </c>
      <c r="B186" s="22" t="s">
        <v>334</v>
      </c>
      <c r="C186" s="22" t="s">
        <v>335</v>
      </c>
      <c r="D186" s="22"/>
      <c r="E186" s="22"/>
      <c r="F186" s="22" t="s">
        <v>41</v>
      </c>
      <c r="G186" s="22"/>
      <c r="H186" s="22">
        <v>1</v>
      </c>
      <c r="I186" s="26"/>
    </row>
    <row r="187" spans="1:9" ht="25.5" x14ac:dyDescent="0.25">
      <c r="A187" s="14">
        <f t="shared" si="2"/>
        <v>181</v>
      </c>
      <c r="B187" s="22" t="s">
        <v>336</v>
      </c>
      <c r="C187" s="22" t="s">
        <v>212</v>
      </c>
      <c r="D187" s="22"/>
      <c r="E187" s="22"/>
      <c r="F187" s="22" t="s">
        <v>41</v>
      </c>
      <c r="G187" s="22"/>
      <c r="H187" s="22">
        <v>8</v>
      </c>
      <c r="I187" s="26" t="s">
        <v>453</v>
      </c>
    </row>
    <row r="188" spans="1:9" ht="25.5" x14ac:dyDescent="0.25">
      <c r="A188" s="14">
        <f t="shared" si="2"/>
        <v>182</v>
      </c>
      <c r="B188" s="22" t="s">
        <v>337</v>
      </c>
      <c r="C188" s="22" t="s">
        <v>203</v>
      </c>
      <c r="D188" s="22"/>
      <c r="E188" s="22"/>
      <c r="F188" s="22" t="s">
        <v>41</v>
      </c>
      <c r="G188" s="22"/>
      <c r="H188" s="22">
        <v>15</v>
      </c>
      <c r="I188" s="26"/>
    </row>
    <row r="189" spans="1:9" ht="25.5" x14ac:dyDescent="0.25">
      <c r="A189" s="14">
        <f t="shared" si="2"/>
        <v>183</v>
      </c>
      <c r="B189" s="22" t="s">
        <v>338</v>
      </c>
      <c r="C189" s="22" t="s">
        <v>205</v>
      </c>
      <c r="D189" s="22" t="s">
        <v>216</v>
      </c>
      <c r="E189" s="22"/>
      <c r="F189" s="22" t="s">
        <v>41</v>
      </c>
      <c r="G189" s="22"/>
      <c r="H189" s="22">
        <v>3</v>
      </c>
      <c r="I189" s="26"/>
    </row>
    <row r="190" spans="1:9" ht="158.25" customHeight="1" x14ac:dyDescent="0.25">
      <c r="A190" s="14">
        <f t="shared" si="2"/>
        <v>184</v>
      </c>
      <c r="B190" s="22" t="s">
        <v>339</v>
      </c>
      <c r="C190" s="22" t="s">
        <v>208</v>
      </c>
      <c r="D190" s="22"/>
      <c r="E190" s="22"/>
      <c r="F190" s="22" t="s">
        <v>41</v>
      </c>
      <c r="G190" s="22"/>
      <c r="H190" s="22">
        <v>1</v>
      </c>
      <c r="I190" s="26"/>
    </row>
    <row r="191" spans="1:9" ht="25.5" x14ac:dyDescent="0.25">
      <c r="A191" s="14">
        <f t="shared" si="2"/>
        <v>185</v>
      </c>
      <c r="B191" s="22" t="s">
        <v>340</v>
      </c>
      <c r="C191" s="22" t="s">
        <v>341</v>
      </c>
      <c r="D191" s="22"/>
      <c r="E191" s="22"/>
      <c r="F191" s="22" t="s">
        <v>41</v>
      </c>
      <c r="G191" s="22"/>
      <c r="H191" s="22">
        <v>1</v>
      </c>
      <c r="I191" s="26"/>
    </row>
    <row r="192" spans="1:9" ht="25.5" x14ac:dyDescent="0.25">
      <c r="A192" s="14">
        <f t="shared" si="2"/>
        <v>186</v>
      </c>
      <c r="B192" s="22" t="s">
        <v>342</v>
      </c>
      <c r="C192" s="22" t="s">
        <v>212</v>
      </c>
      <c r="D192" s="22"/>
      <c r="E192" s="22"/>
      <c r="F192" s="22" t="s">
        <v>41</v>
      </c>
      <c r="G192" s="22"/>
      <c r="H192" s="22">
        <v>8</v>
      </c>
      <c r="I192" s="26" t="s">
        <v>453</v>
      </c>
    </row>
    <row r="193" spans="1:9" ht="25.5" x14ac:dyDescent="0.25">
      <c r="A193" s="14">
        <f t="shared" si="2"/>
        <v>187</v>
      </c>
      <c r="B193" s="22" t="s">
        <v>343</v>
      </c>
      <c r="C193" s="22" t="s">
        <v>203</v>
      </c>
      <c r="D193" s="22"/>
      <c r="E193" s="22"/>
      <c r="F193" s="22" t="s">
        <v>41</v>
      </c>
      <c r="G193" s="22"/>
      <c r="H193" s="22">
        <v>15</v>
      </c>
      <c r="I193" s="26"/>
    </row>
    <row r="194" spans="1:9" ht="25.5" x14ac:dyDescent="0.25">
      <c r="A194" s="14">
        <f t="shared" si="2"/>
        <v>188</v>
      </c>
      <c r="B194" s="22" t="s">
        <v>344</v>
      </c>
      <c r="C194" s="22" t="s">
        <v>205</v>
      </c>
      <c r="D194" s="22" t="s">
        <v>216</v>
      </c>
      <c r="E194" s="22"/>
      <c r="F194" s="22" t="s">
        <v>41</v>
      </c>
      <c r="G194" s="22"/>
      <c r="H194" s="22">
        <v>3</v>
      </c>
      <c r="I194" s="26"/>
    </row>
    <row r="195" spans="1:9" ht="158.25" customHeight="1" x14ac:dyDescent="0.25">
      <c r="A195" s="14">
        <f t="shared" si="2"/>
        <v>189</v>
      </c>
      <c r="B195" s="22" t="s">
        <v>345</v>
      </c>
      <c r="C195" s="22" t="s">
        <v>208</v>
      </c>
      <c r="D195" s="22"/>
      <c r="E195" s="22"/>
      <c r="F195" s="22" t="s">
        <v>41</v>
      </c>
      <c r="G195" s="22"/>
      <c r="H195" s="22">
        <v>1</v>
      </c>
      <c r="I195" s="26"/>
    </row>
    <row r="196" spans="1:9" ht="25.5" x14ac:dyDescent="0.25">
      <c r="A196" s="14">
        <f t="shared" si="2"/>
        <v>190</v>
      </c>
      <c r="B196" s="22" t="s">
        <v>346</v>
      </c>
      <c r="C196" s="22" t="s">
        <v>347</v>
      </c>
      <c r="D196" s="22"/>
      <c r="E196" s="22"/>
      <c r="F196" s="22" t="s">
        <v>41</v>
      </c>
      <c r="G196" s="22"/>
      <c r="H196" s="22">
        <v>1</v>
      </c>
      <c r="I196" s="26"/>
    </row>
    <row r="197" spans="1:9" ht="25.5" x14ac:dyDescent="0.25">
      <c r="A197" s="14">
        <f t="shared" si="2"/>
        <v>191</v>
      </c>
      <c r="B197" s="22" t="s">
        <v>348</v>
      </c>
      <c r="C197" s="22" t="s">
        <v>212</v>
      </c>
      <c r="D197" s="22"/>
      <c r="E197" s="22"/>
      <c r="F197" s="22" t="s">
        <v>41</v>
      </c>
      <c r="G197" s="22"/>
      <c r="H197" s="22">
        <v>8</v>
      </c>
      <c r="I197" s="26" t="s">
        <v>453</v>
      </c>
    </row>
    <row r="198" spans="1:9" ht="25.5" x14ac:dyDescent="0.25">
      <c r="A198" s="14">
        <f t="shared" si="2"/>
        <v>192</v>
      </c>
      <c r="B198" s="22" t="s">
        <v>349</v>
      </c>
      <c r="C198" s="22" t="s">
        <v>203</v>
      </c>
      <c r="D198" s="22"/>
      <c r="E198" s="22"/>
      <c r="F198" s="22" t="s">
        <v>41</v>
      </c>
      <c r="G198" s="22"/>
      <c r="H198" s="22">
        <v>15</v>
      </c>
      <c r="I198" s="26"/>
    </row>
    <row r="199" spans="1:9" ht="25.5" x14ac:dyDescent="0.25">
      <c r="A199" s="14">
        <f t="shared" si="2"/>
        <v>193</v>
      </c>
      <c r="B199" s="22" t="s">
        <v>350</v>
      </c>
      <c r="C199" s="22" t="s">
        <v>205</v>
      </c>
      <c r="D199" s="22" t="s">
        <v>216</v>
      </c>
      <c r="E199" s="22"/>
      <c r="F199" s="22" t="s">
        <v>41</v>
      </c>
      <c r="G199" s="22"/>
      <c r="H199" s="22">
        <v>3</v>
      </c>
      <c r="I199" s="26"/>
    </row>
    <row r="200" spans="1:9" ht="160.5" customHeight="1" x14ac:dyDescent="0.25">
      <c r="A200" s="14">
        <f t="shared" si="2"/>
        <v>194</v>
      </c>
      <c r="B200" s="22" t="s">
        <v>351</v>
      </c>
      <c r="C200" s="22" t="s">
        <v>208</v>
      </c>
      <c r="D200" s="22"/>
      <c r="E200" s="22"/>
      <c r="F200" s="22" t="s">
        <v>41</v>
      </c>
      <c r="G200" s="22"/>
      <c r="H200" s="22">
        <v>1</v>
      </c>
      <c r="I200" s="26"/>
    </row>
    <row r="201" spans="1:9" ht="25.5" x14ac:dyDescent="0.25">
      <c r="A201" s="14">
        <f t="shared" ref="A201:A242" si="3">A200+1</f>
        <v>195</v>
      </c>
      <c r="B201" s="22" t="s">
        <v>352</v>
      </c>
      <c r="C201" s="22" t="s">
        <v>353</v>
      </c>
      <c r="D201" s="22"/>
      <c r="E201" s="22"/>
      <c r="F201" s="22" t="s">
        <v>41</v>
      </c>
      <c r="G201" s="22"/>
      <c r="H201" s="22">
        <v>1</v>
      </c>
      <c r="I201" s="26"/>
    </row>
    <row r="202" spans="1:9" ht="25.5" x14ac:dyDescent="0.25">
      <c r="A202" s="14">
        <f t="shared" si="3"/>
        <v>196</v>
      </c>
      <c r="B202" s="22" t="s">
        <v>354</v>
      </c>
      <c r="C202" s="22" t="s">
        <v>212</v>
      </c>
      <c r="D202" s="22"/>
      <c r="E202" s="22"/>
      <c r="F202" s="22" t="s">
        <v>41</v>
      </c>
      <c r="G202" s="22"/>
      <c r="H202" s="22">
        <v>8</v>
      </c>
      <c r="I202" s="26" t="s">
        <v>453</v>
      </c>
    </row>
    <row r="203" spans="1:9" ht="25.5" x14ac:dyDescent="0.25">
      <c r="A203" s="14">
        <f t="shared" si="3"/>
        <v>197</v>
      </c>
      <c r="B203" s="22" t="s">
        <v>355</v>
      </c>
      <c r="C203" s="22" t="s">
        <v>203</v>
      </c>
      <c r="D203" s="22"/>
      <c r="E203" s="22"/>
      <c r="F203" s="22" t="s">
        <v>41</v>
      </c>
      <c r="G203" s="22"/>
      <c r="H203" s="22">
        <v>15</v>
      </c>
      <c r="I203" s="26"/>
    </row>
    <row r="204" spans="1:9" ht="25.5" x14ac:dyDescent="0.25">
      <c r="A204" s="14">
        <f t="shared" si="3"/>
        <v>198</v>
      </c>
      <c r="B204" s="22" t="s">
        <v>356</v>
      </c>
      <c r="C204" s="22" t="s">
        <v>205</v>
      </c>
      <c r="D204" s="22" t="s">
        <v>216</v>
      </c>
      <c r="E204" s="22"/>
      <c r="F204" s="22" t="s">
        <v>41</v>
      </c>
      <c r="G204" s="22"/>
      <c r="H204" s="22">
        <v>3</v>
      </c>
      <c r="I204" s="26"/>
    </row>
    <row r="205" spans="1:9" ht="153" x14ac:dyDescent="0.25">
      <c r="A205" s="14">
        <f t="shared" si="3"/>
        <v>199</v>
      </c>
      <c r="B205" s="22" t="s">
        <v>357</v>
      </c>
      <c r="C205" s="22" t="s">
        <v>208</v>
      </c>
      <c r="D205" s="22"/>
      <c r="E205" s="22"/>
      <c r="F205" s="22" t="s">
        <v>41</v>
      </c>
      <c r="G205" s="22"/>
      <c r="H205" s="22">
        <v>1</v>
      </c>
      <c r="I205" s="26"/>
    </row>
    <row r="206" spans="1:9" ht="25.5" x14ac:dyDescent="0.25">
      <c r="A206" s="14">
        <f t="shared" si="3"/>
        <v>200</v>
      </c>
      <c r="B206" s="22" t="s">
        <v>358</v>
      </c>
      <c r="C206" s="22" t="s">
        <v>359</v>
      </c>
      <c r="D206" s="22"/>
      <c r="E206" s="22"/>
      <c r="F206" s="22" t="s">
        <v>41</v>
      </c>
      <c r="G206" s="22"/>
      <c r="H206" s="22">
        <v>1</v>
      </c>
      <c r="I206" s="26"/>
    </row>
    <row r="207" spans="1:9" ht="25.5" x14ac:dyDescent="0.25">
      <c r="A207" s="14">
        <f t="shared" si="3"/>
        <v>201</v>
      </c>
      <c r="B207" s="22" t="s">
        <v>360</v>
      </c>
      <c r="C207" s="22" t="s">
        <v>212</v>
      </c>
      <c r="D207" s="22"/>
      <c r="E207" s="22"/>
      <c r="F207" s="22" t="s">
        <v>41</v>
      </c>
      <c r="G207" s="22"/>
      <c r="H207" s="22">
        <v>8</v>
      </c>
      <c r="I207" s="26" t="s">
        <v>453</v>
      </c>
    </row>
    <row r="208" spans="1:9" ht="25.5" x14ac:dyDescent="0.25">
      <c r="A208" s="14">
        <f t="shared" si="3"/>
        <v>202</v>
      </c>
      <c r="B208" s="22" t="s">
        <v>361</v>
      </c>
      <c r="C208" s="22" t="s">
        <v>203</v>
      </c>
      <c r="D208" s="22"/>
      <c r="E208" s="22"/>
      <c r="F208" s="22" t="s">
        <v>41</v>
      </c>
      <c r="G208" s="22"/>
      <c r="H208" s="22">
        <v>15</v>
      </c>
      <c r="I208" s="26"/>
    </row>
    <row r="209" spans="1:10" ht="25.5" x14ac:dyDescent="0.25">
      <c r="A209" s="14">
        <f t="shared" si="3"/>
        <v>203</v>
      </c>
      <c r="B209" s="22" t="s">
        <v>362</v>
      </c>
      <c r="C209" s="22" t="s">
        <v>205</v>
      </c>
      <c r="D209" s="22" t="s">
        <v>216</v>
      </c>
      <c r="E209" s="22"/>
      <c r="F209" s="22" t="s">
        <v>41</v>
      </c>
      <c r="G209" s="22"/>
      <c r="H209" s="22">
        <v>3</v>
      </c>
      <c r="I209" s="26"/>
    </row>
    <row r="210" spans="1:10" ht="160.5" customHeight="1" x14ac:dyDescent="0.25">
      <c r="A210" s="14">
        <f t="shared" si="3"/>
        <v>204</v>
      </c>
      <c r="B210" s="22" t="s">
        <v>363</v>
      </c>
      <c r="C210" s="22" t="s">
        <v>208</v>
      </c>
      <c r="D210" s="22"/>
      <c r="E210" s="22"/>
      <c r="F210" s="22" t="s">
        <v>41</v>
      </c>
      <c r="G210" s="22"/>
      <c r="H210" s="22">
        <v>1</v>
      </c>
      <c r="I210" s="26"/>
    </row>
    <row r="211" spans="1:10" ht="25.5" x14ac:dyDescent="0.25">
      <c r="A211" s="14">
        <f t="shared" si="3"/>
        <v>205</v>
      </c>
      <c r="B211" s="22" t="s">
        <v>364</v>
      </c>
      <c r="C211" s="22" t="s">
        <v>365</v>
      </c>
      <c r="D211" s="22"/>
      <c r="E211" s="22"/>
      <c r="F211" s="22" t="s">
        <v>41</v>
      </c>
      <c r="G211" s="22"/>
      <c r="H211" s="22">
        <v>1</v>
      </c>
      <c r="I211" s="26"/>
    </row>
    <row r="212" spans="1:10" ht="25.5" x14ac:dyDescent="0.25">
      <c r="A212" s="14">
        <f t="shared" si="3"/>
        <v>206</v>
      </c>
      <c r="B212" s="22" t="s">
        <v>366</v>
      </c>
      <c r="C212" s="22" t="s">
        <v>212</v>
      </c>
      <c r="D212" s="22"/>
      <c r="E212" s="22"/>
      <c r="F212" s="22" t="s">
        <v>41</v>
      </c>
      <c r="G212" s="22"/>
      <c r="H212" s="22">
        <v>8</v>
      </c>
      <c r="I212" s="26" t="s">
        <v>453</v>
      </c>
    </row>
    <row r="213" spans="1:10" ht="25.5" x14ac:dyDescent="0.25">
      <c r="A213" s="14">
        <f t="shared" si="3"/>
        <v>207</v>
      </c>
      <c r="B213" s="22" t="s">
        <v>367</v>
      </c>
      <c r="C213" s="22" t="s">
        <v>203</v>
      </c>
      <c r="D213" s="22"/>
      <c r="E213" s="22"/>
      <c r="F213" s="22" t="s">
        <v>41</v>
      </c>
      <c r="G213" s="22"/>
      <c r="H213" s="22">
        <v>15</v>
      </c>
      <c r="I213" s="26"/>
    </row>
    <row r="214" spans="1:10" ht="25.5" x14ac:dyDescent="0.25">
      <c r="A214" s="14">
        <f t="shared" si="3"/>
        <v>208</v>
      </c>
      <c r="B214" s="22" t="s">
        <v>368</v>
      </c>
      <c r="C214" s="22" t="s">
        <v>205</v>
      </c>
      <c r="D214" s="22" t="s">
        <v>216</v>
      </c>
      <c r="E214" s="22"/>
      <c r="F214" s="22" t="s">
        <v>41</v>
      </c>
      <c r="G214" s="22"/>
      <c r="H214" s="22">
        <v>3</v>
      </c>
      <c r="I214" s="26"/>
    </row>
    <row r="215" spans="1:10" s="30" customFormat="1" ht="164.25" customHeight="1" x14ac:dyDescent="0.25">
      <c r="A215" s="14">
        <f t="shared" si="3"/>
        <v>209</v>
      </c>
      <c r="B215" s="22" t="s">
        <v>369</v>
      </c>
      <c r="C215" s="22" t="s">
        <v>208</v>
      </c>
      <c r="D215" s="22"/>
      <c r="E215" s="22"/>
      <c r="F215" s="22" t="s">
        <v>41</v>
      </c>
      <c r="G215" s="22"/>
      <c r="H215" s="22">
        <v>1</v>
      </c>
      <c r="I215" s="26"/>
      <c r="J215"/>
    </row>
    <row r="216" spans="1:10" s="30" customFormat="1" ht="25.5" x14ac:dyDescent="0.25">
      <c r="A216" s="14">
        <f t="shared" si="3"/>
        <v>210</v>
      </c>
      <c r="B216" s="22" t="s">
        <v>370</v>
      </c>
      <c r="C216" s="22" t="s">
        <v>371</v>
      </c>
      <c r="D216" s="22"/>
      <c r="E216" s="22"/>
      <c r="F216" s="22" t="s">
        <v>41</v>
      </c>
      <c r="G216" s="22"/>
      <c r="H216" s="22">
        <v>1</v>
      </c>
      <c r="I216" s="26"/>
      <c r="J216"/>
    </row>
    <row r="217" spans="1:10" s="30" customFormat="1" ht="25.5" x14ac:dyDescent="0.25">
      <c r="A217" s="14">
        <f t="shared" si="3"/>
        <v>211</v>
      </c>
      <c r="B217" s="22" t="s">
        <v>372</v>
      </c>
      <c r="C217" s="22" t="s">
        <v>212</v>
      </c>
      <c r="D217" s="22"/>
      <c r="E217" s="22"/>
      <c r="F217" s="22" t="s">
        <v>41</v>
      </c>
      <c r="G217" s="22"/>
      <c r="H217" s="22">
        <v>8</v>
      </c>
      <c r="I217" s="26" t="s">
        <v>453</v>
      </c>
      <c r="J217"/>
    </row>
    <row r="218" spans="1:10" s="30" customFormat="1" ht="25.5" x14ac:dyDescent="0.25">
      <c r="A218" s="14">
        <f t="shared" si="3"/>
        <v>212</v>
      </c>
      <c r="B218" s="22" t="s">
        <v>373</v>
      </c>
      <c r="C218" s="22" t="s">
        <v>203</v>
      </c>
      <c r="D218" s="22"/>
      <c r="E218" s="22"/>
      <c r="F218" s="22" t="s">
        <v>41</v>
      </c>
      <c r="G218" s="22"/>
      <c r="H218" s="22">
        <v>15</v>
      </c>
      <c r="I218" s="26"/>
      <c r="J218"/>
    </row>
    <row r="219" spans="1:10" s="30" customFormat="1" ht="25.5" x14ac:dyDescent="0.25">
      <c r="A219" s="14">
        <f t="shared" si="3"/>
        <v>213</v>
      </c>
      <c r="B219" s="22" t="s">
        <v>374</v>
      </c>
      <c r="C219" s="22" t="s">
        <v>205</v>
      </c>
      <c r="D219" s="22" t="s">
        <v>216</v>
      </c>
      <c r="E219" s="22"/>
      <c r="F219" s="22" t="s">
        <v>41</v>
      </c>
      <c r="G219" s="22"/>
      <c r="H219" s="22">
        <v>3</v>
      </c>
      <c r="I219" s="26"/>
      <c r="J219"/>
    </row>
    <row r="220" spans="1:10" s="30" customFormat="1" ht="159.75" customHeight="1" x14ac:dyDescent="0.25">
      <c r="A220" s="14">
        <f t="shared" si="3"/>
        <v>214</v>
      </c>
      <c r="B220" s="22" t="s">
        <v>375</v>
      </c>
      <c r="C220" s="22" t="s">
        <v>208</v>
      </c>
      <c r="D220" s="22"/>
      <c r="E220" s="22"/>
      <c r="F220" s="22" t="s">
        <v>41</v>
      </c>
      <c r="G220" s="22"/>
      <c r="H220" s="22">
        <v>1</v>
      </c>
      <c r="I220" s="26"/>
      <c r="J220"/>
    </row>
    <row r="221" spans="1:10" s="30" customFormat="1" ht="25.5" x14ac:dyDescent="0.25">
      <c r="A221" s="14">
        <f t="shared" si="3"/>
        <v>215</v>
      </c>
      <c r="B221" s="22" t="s">
        <v>376</v>
      </c>
      <c r="C221" s="22" t="s">
        <v>377</v>
      </c>
      <c r="D221" s="22"/>
      <c r="E221" s="22"/>
      <c r="F221" s="22" t="s">
        <v>41</v>
      </c>
      <c r="G221" s="22"/>
      <c r="H221" s="22">
        <v>1</v>
      </c>
      <c r="I221" s="26"/>
      <c r="J221"/>
    </row>
    <row r="222" spans="1:10" s="30" customFormat="1" ht="25.5" x14ac:dyDescent="0.25">
      <c r="A222" s="14">
        <f t="shared" si="3"/>
        <v>216</v>
      </c>
      <c r="B222" s="22" t="s">
        <v>378</v>
      </c>
      <c r="C222" s="22" t="s">
        <v>212</v>
      </c>
      <c r="D222" s="22"/>
      <c r="E222" s="22"/>
      <c r="F222" s="22" t="s">
        <v>41</v>
      </c>
      <c r="G222" s="22"/>
      <c r="H222" s="22">
        <v>8</v>
      </c>
      <c r="I222" s="26" t="s">
        <v>453</v>
      </c>
      <c r="J222"/>
    </row>
    <row r="223" spans="1:10" s="30" customFormat="1" ht="25.5" x14ac:dyDescent="0.25">
      <c r="A223" s="14">
        <f t="shared" si="3"/>
        <v>217</v>
      </c>
      <c r="B223" s="22" t="s">
        <v>379</v>
      </c>
      <c r="C223" s="22" t="s">
        <v>203</v>
      </c>
      <c r="D223" s="22"/>
      <c r="E223" s="22"/>
      <c r="F223" s="22" t="s">
        <v>41</v>
      </c>
      <c r="G223" s="22"/>
      <c r="H223" s="22">
        <v>15</v>
      </c>
      <c r="I223" s="26"/>
      <c r="J223"/>
    </row>
    <row r="224" spans="1:10" s="30" customFormat="1" ht="25.5" x14ac:dyDescent="0.25">
      <c r="A224" s="14">
        <f t="shared" si="3"/>
        <v>218</v>
      </c>
      <c r="B224" s="22" t="s">
        <v>380</v>
      </c>
      <c r="C224" s="22" t="s">
        <v>205</v>
      </c>
      <c r="D224" s="22" t="s">
        <v>216</v>
      </c>
      <c r="E224" s="22"/>
      <c r="F224" s="22" t="s">
        <v>41</v>
      </c>
      <c r="G224" s="22"/>
      <c r="H224" s="22">
        <v>3</v>
      </c>
      <c r="I224" s="26"/>
      <c r="J224"/>
    </row>
    <row r="225" spans="1:10" s="30" customFormat="1" ht="160.5" customHeight="1" x14ac:dyDescent="0.25">
      <c r="A225" s="14">
        <f t="shared" si="3"/>
        <v>219</v>
      </c>
      <c r="B225" s="22" t="s">
        <v>381</v>
      </c>
      <c r="C225" s="22" t="s">
        <v>208</v>
      </c>
      <c r="D225" s="22"/>
      <c r="E225" s="22"/>
      <c r="F225" s="22" t="s">
        <v>41</v>
      </c>
      <c r="G225" s="22"/>
      <c r="H225" s="22">
        <v>1</v>
      </c>
      <c r="I225" s="26"/>
      <c r="J225"/>
    </row>
    <row r="226" spans="1:10" s="30" customFormat="1" ht="25.5" x14ac:dyDescent="0.25">
      <c r="A226" s="14">
        <f t="shared" si="3"/>
        <v>220</v>
      </c>
      <c r="B226" s="22" t="s">
        <v>382</v>
      </c>
      <c r="C226" s="22" t="s">
        <v>383</v>
      </c>
      <c r="D226" s="22"/>
      <c r="E226" s="22"/>
      <c r="F226" s="22" t="s">
        <v>41</v>
      </c>
      <c r="G226" s="22"/>
      <c r="H226" s="22">
        <v>1</v>
      </c>
      <c r="I226" s="26"/>
      <c r="J226"/>
    </row>
    <row r="227" spans="1:10" s="30" customFormat="1" ht="25.5" x14ac:dyDescent="0.25">
      <c r="A227" s="14">
        <f t="shared" si="3"/>
        <v>221</v>
      </c>
      <c r="B227" s="22" t="s">
        <v>384</v>
      </c>
      <c r="C227" s="22" t="s">
        <v>212</v>
      </c>
      <c r="D227" s="22"/>
      <c r="E227" s="22"/>
      <c r="F227" s="22" t="s">
        <v>41</v>
      </c>
      <c r="G227" s="22"/>
      <c r="H227" s="22">
        <v>8</v>
      </c>
      <c r="I227" s="26" t="s">
        <v>453</v>
      </c>
      <c r="J227"/>
    </row>
    <row r="228" spans="1:10" s="30" customFormat="1" ht="25.5" x14ac:dyDescent="0.25">
      <c r="A228" s="14">
        <f t="shared" si="3"/>
        <v>222</v>
      </c>
      <c r="B228" s="22" t="s">
        <v>385</v>
      </c>
      <c r="C228" s="22" t="s">
        <v>203</v>
      </c>
      <c r="D228" s="22"/>
      <c r="E228" s="22"/>
      <c r="F228" s="22" t="s">
        <v>41</v>
      </c>
      <c r="G228" s="22"/>
      <c r="H228" s="22">
        <v>15</v>
      </c>
      <c r="I228" s="26"/>
      <c r="J228"/>
    </row>
    <row r="229" spans="1:10" s="30" customFormat="1" ht="25.5" x14ac:dyDescent="0.25">
      <c r="A229" s="14">
        <f t="shared" si="3"/>
        <v>223</v>
      </c>
      <c r="B229" s="22" t="s">
        <v>386</v>
      </c>
      <c r="C229" s="22" t="s">
        <v>205</v>
      </c>
      <c r="D229" s="22" t="s">
        <v>216</v>
      </c>
      <c r="E229" s="22"/>
      <c r="F229" s="22" t="s">
        <v>41</v>
      </c>
      <c r="G229" s="22"/>
      <c r="H229" s="22">
        <v>3</v>
      </c>
      <c r="I229" s="26"/>
      <c r="J229"/>
    </row>
    <row r="230" spans="1:10" s="30" customFormat="1" ht="153" x14ac:dyDescent="0.25">
      <c r="A230" s="14">
        <f t="shared" si="3"/>
        <v>224</v>
      </c>
      <c r="B230" s="22" t="s">
        <v>387</v>
      </c>
      <c r="C230" s="22" t="s">
        <v>208</v>
      </c>
      <c r="D230" s="22"/>
      <c r="E230" s="22"/>
      <c r="F230" s="22" t="s">
        <v>41</v>
      </c>
      <c r="G230" s="22"/>
      <c r="H230" s="22">
        <v>1</v>
      </c>
      <c r="I230" s="26"/>
      <c r="J230"/>
    </row>
    <row r="231" spans="1:10" s="30" customFormat="1" ht="25.5" x14ac:dyDescent="0.25">
      <c r="A231" s="14">
        <f t="shared" si="3"/>
        <v>225</v>
      </c>
      <c r="B231" s="22" t="s">
        <v>388</v>
      </c>
      <c r="C231" s="22" t="s">
        <v>389</v>
      </c>
      <c r="D231" s="22"/>
      <c r="E231" s="22"/>
      <c r="F231" s="22" t="s">
        <v>41</v>
      </c>
      <c r="G231" s="22"/>
      <c r="H231" s="22">
        <v>1</v>
      </c>
      <c r="I231" s="26"/>
      <c r="J231"/>
    </row>
    <row r="232" spans="1:10" s="30" customFormat="1" x14ac:dyDescent="0.25">
      <c r="A232" s="14">
        <f t="shared" si="3"/>
        <v>226</v>
      </c>
      <c r="B232" s="22" t="s">
        <v>390</v>
      </c>
      <c r="C232" s="22" t="s">
        <v>391</v>
      </c>
      <c r="D232" s="22" t="s">
        <v>392</v>
      </c>
      <c r="E232" s="22"/>
      <c r="F232" s="22" t="s">
        <v>41</v>
      </c>
      <c r="G232" s="22"/>
      <c r="H232" s="22">
        <v>30</v>
      </c>
      <c r="I232" s="26"/>
      <c r="J232"/>
    </row>
    <row r="233" spans="1:10" s="30" customFormat="1" x14ac:dyDescent="0.25">
      <c r="A233" s="14">
        <f t="shared" si="3"/>
        <v>227</v>
      </c>
      <c r="B233" s="22" t="s">
        <v>393</v>
      </c>
      <c r="C233" s="22" t="s">
        <v>391</v>
      </c>
      <c r="D233" s="22" t="s">
        <v>392</v>
      </c>
      <c r="E233" s="22"/>
      <c r="F233" s="22" t="s">
        <v>41</v>
      </c>
      <c r="G233" s="22"/>
      <c r="H233" s="22">
        <v>30</v>
      </c>
      <c r="I233" s="26"/>
      <c r="J233"/>
    </row>
    <row r="234" spans="1:10" s="30" customFormat="1" x14ac:dyDescent="0.25">
      <c r="A234" s="14">
        <f t="shared" si="3"/>
        <v>228</v>
      </c>
      <c r="B234" s="22" t="s">
        <v>394</v>
      </c>
      <c r="C234" s="22" t="s">
        <v>391</v>
      </c>
      <c r="D234" s="22" t="s">
        <v>392</v>
      </c>
      <c r="E234" s="22"/>
      <c r="F234" s="22" t="s">
        <v>41</v>
      </c>
      <c r="G234" s="22"/>
      <c r="H234" s="22">
        <v>30</v>
      </c>
      <c r="I234" s="26"/>
      <c r="J234"/>
    </row>
    <row r="235" spans="1:10" s="30" customFormat="1" x14ac:dyDescent="0.25">
      <c r="A235" s="14">
        <f t="shared" si="3"/>
        <v>229</v>
      </c>
      <c r="B235" s="22" t="s">
        <v>395</v>
      </c>
      <c r="C235" s="22" t="s">
        <v>391</v>
      </c>
      <c r="D235" s="22" t="s">
        <v>392</v>
      </c>
      <c r="E235" s="22"/>
      <c r="F235" s="22" t="s">
        <v>41</v>
      </c>
      <c r="G235" s="22"/>
      <c r="H235" s="22">
        <v>30</v>
      </c>
      <c r="I235" s="26"/>
      <c r="J235"/>
    </row>
    <row r="236" spans="1:10" s="30" customFormat="1" x14ac:dyDescent="0.25">
      <c r="A236" s="14">
        <f t="shared" si="3"/>
        <v>230</v>
      </c>
      <c r="B236" s="22" t="s">
        <v>396</v>
      </c>
      <c r="C236" s="22" t="s">
        <v>391</v>
      </c>
      <c r="D236" s="22" t="s">
        <v>392</v>
      </c>
      <c r="E236" s="22"/>
      <c r="F236" s="22" t="s">
        <v>41</v>
      </c>
      <c r="G236" s="22"/>
      <c r="H236" s="22">
        <v>30</v>
      </c>
      <c r="I236" s="26"/>
      <c r="J236"/>
    </row>
    <row r="237" spans="1:10" s="30" customFormat="1" x14ac:dyDescent="0.25">
      <c r="A237" s="14">
        <f t="shared" si="3"/>
        <v>231</v>
      </c>
      <c r="B237" s="22" t="s">
        <v>397</v>
      </c>
      <c r="C237" s="22" t="s">
        <v>391</v>
      </c>
      <c r="D237" s="22" t="s">
        <v>392</v>
      </c>
      <c r="E237" s="22"/>
      <c r="F237" s="22" t="s">
        <v>41</v>
      </c>
      <c r="G237" s="22"/>
      <c r="H237" s="22">
        <v>30</v>
      </c>
      <c r="I237" s="26"/>
      <c r="J237"/>
    </row>
    <row r="238" spans="1:10" s="30" customFormat="1" ht="24.75" customHeight="1" x14ac:dyDescent="0.25">
      <c r="A238" s="14">
        <f t="shared" si="3"/>
        <v>232</v>
      </c>
      <c r="B238" s="22" t="s">
        <v>398</v>
      </c>
      <c r="C238" s="22" t="s">
        <v>427</v>
      </c>
      <c r="D238" s="22" t="s">
        <v>399</v>
      </c>
      <c r="E238" s="22"/>
      <c r="F238" s="22" t="s">
        <v>23</v>
      </c>
      <c r="G238" s="22"/>
      <c r="H238" s="22">
        <v>30</v>
      </c>
      <c r="I238" s="26" t="s">
        <v>468</v>
      </c>
      <c r="J238"/>
    </row>
    <row r="239" spans="1:10" s="30" customFormat="1" ht="72" customHeight="1" x14ac:dyDescent="0.25">
      <c r="A239" s="14">
        <f t="shared" si="3"/>
        <v>233</v>
      </c>
      <c r="B239" s="22" t="s">
        <v>428</v>
      </c>
      <c r="C239" s="22" t="s">
        <v>559</v>
      </c>
      <c r="D239" s="22" t="s">
        <v>558</v>
      </c>
      <c r="E239" s="22"/>
      <c r="F239" s="22" t="s">
        <v>23</v>
      </c>
      <c r="G239" s="22"/>
      <c r="H239" s="22">
        <v>3</v>
      </c>
      <c r="I239" s="26" t="s">
        <v>469</v>
      </c>
      <c r="J239"/>
    </row>
    <row r="240" spans="1:10" s="30" customFormat="1" x14ac:dyDescent="0.25">
      <c r="A240" s="14">
        <f t="shared" si="3"/>
        <v>234</v>
      </c>
      <c r="B240" s="22" t="s">
        <v>400</v>
      </c>
      <c r="C240" s="22" t="s">
        <v>391</v>
      </c>
      <c r="D240" s="22" t="s">
        <v>401</v>
      </c>
      <c r="E240" s="22"/>
      <c r="F240" s="22" t="s">
        <v>41</v>
      </c>
      <c r="G240" s="22"/>
      <c r="H240" s="22">
        <v>30</v>
      </c>
      <c r="I240" s="26"/>
      <c r="J240"/>
    </row>
    <row r="241" spans="1:10" s="30" customFormat="1" ht="29.25" customHeight="1" x14ac:dyDescent="0.25">
      <c r="A241" s="14">
        <f t="shared" si="3"/>
        <v>235</v>
      </c>
      <c r="B241" s="22" t="s">
        <v>402</v>
      </c>
      <c r="C241" s="22" t="s">
        <v>391</v>
      </c>
      <c r="D241" s="22" t="s">
        <v>401</v>
      </c>
      <c r="E241" s="22"/>
      <c r="F241" s="22" t="s">
        <v>41</v>
      </c>
      <c r="G241" s="22"/>
      <c r="H241" s="22">
        <v>30</v>
      </c>
      <c r="I241" s="26"/>
      <c r="J241"/>
    </row>
    <row r="242" spans="1:10" s="30" customFormat="1" x14ac:dyDescent="0.25">
      <c r="A242" s="14">
        <f t="shared" si="3"/>
        <v>236</v>
      </c>
      <c r="B242" s="22" t="s">
        <v>70</v>
      </c>
      <c r="C242" s="22"/>
      <c r="D242" s="22" t="s">
        <v>403</v>
      </c>
      <c r="E242" s="22" t="s">
        <v>403</v>
      </c>
      <c r="F242" s="22" t="s">
        <v>23</v>
      </c>
      <c r="G242" s="22"/>
      <c r="H242" s="22">
        <v>1</v>
      </c>
      <c r="I242" s="26"/>
      <c r="J242"/>
    </row>
    <row r="246" spans="1:10" x14ac:dyDescent="0.25">
      <c r="A246" t="s">
        <v>455</v>
      </c>
    </row>
    <row r="247" spans="1:10" x14ac:dyDescent="0.25">
      <c r="A247" t="s">
        <v>563</v>
      </c>
    </row>
    <row r="248" spans="1:10" x14ac:dyDescent="0.25">
      <c r="A248" t="s">
        <v>562</v>
      </c>
    </row>
    <row r="249" spans="1:10" x14ac:dyDescent="0.25">
      <c r="A249" t="s">
        <v>593</v>
      </c>
    </row>
  </sheetData>
  <sheetProtection algorithmName="SHA-512" hashValue="WJ9qdGBFXkP9E7moitMy1SrYNGiuWWqIvny1SkHBKmpCZe12PjRLeUCpjRWJIJroCO5qz+6YASSnNd9Ahf7WMw==" saltValue="3ynUtuQv1z+PBk5iQ9fvIQ==" spinCount="100000" sheet="1" objects="1" scenarios="1"/>
  <mergeCells count="1">
    <mergeCell ref="B5:H5"/>
  </mergeCells>
  <pageMargins left="0.5" right="0.5" top="0.5" bottom="0.5" header="0.3" footer="0.3"/>
  <pageSetup scale="54" fitToHeight="0" orientation="portrait" r:id="rId1"/>
  <headerFooter>
    <oddFooter>&amp;F&amp;RPage &amp;P</oddFooter>
  </headerFooter>
  <extLst>
    <ext xmlns:x14="http://schemas.microsoft.com/office/spreadsheetml/2009/9/main" uri="{78C0D931-6437-407d-A8EE-F0AAD7539E65}">
      <x14:conditionalFormattings>
        <x14:conditionalFormatting xmlns:xm="http://schemas.microsoft.com/office/excel/2006/main">
          <x14:cfRule type="expression" priority="5" id="{BD0A8E75-573C-4D6A-97CC-5DF5BC68B836}">
            <xm:f>AND(ISNUMBER('\\blbp-oa-023\FldrRedir_2$\Users\bbeesley\Desktop\Fidelis\022519\updated\updated after DAT\[DAT_review_tool_20180329.xlsb]Working'!#REF!),'\\blbp-oa-023\FldrRedir_2$\Users\bbeesley\Desktop\Fidelis\022519\updated\updated after DAT\[DAT_review_tool_20180329.xlsb]Working'!#REF! &gt;1)</xm:f>
            <x14:dxf>
              <fill>
                <patternFill>
                  <bgColor rgb="FF00B0F0"/>
                </patternFill>
              </fill>
            </x14:dxf>
          </x14:cfRule>
          <x14:cfRule type="expression" priority="6" id="{E4BDE4AC-1404-41D8-B31C-0A3F8D449DD0}">
            <xm:f>AND(ISNUMBER('\\blbp-oa-023\FldrRedir_2$\Users\bbeesley\Desktop\Fidelis\022519\updated\updated after DAT\[DAT_review_tool_20180329.xlsb]Working'!#REF!),'\\blbp-oa-023\FldrRedir_2$\Users\bbeesley\Desktop\Fidelis\022519\updated\updated after DAT\[DAT_review_tool_20180329.xlsb]Working'!#REF! &lt;0)</xm:f>
            <x14:dxf>
              <fill>
                <patternFill>
                  <bgColor rgb="FFFF0000"/>
                </patternFill>
              </fill>
            </x14:dxf>
          </x14:cfRule>
          <x14:cfRule type="expression" priority="7" id="{1E511069-043F-48F5-92A2-26B1EFB15035}">
            <xm:f>AND(ISNUMBER('\\blbp-oa-023\FldrRedir_2$\Users\bbeesley\Desktop\Fidelis\022519\updated\updated after DAT\[DAT_review_tool_20180329.xlsb]Working'!#REF!),'\\blbp-oa-023\FldrRedir_2$\Users\bbeesley\Desktop\Fidelis\022519\updated\updated after DAT\[DAT_review_tool_20180329.xlsb]Working'!#REF! &gt;1)</xm:f>
            <x14:dxf>
              <fill>
                <patternFill>
                  <bgColor rgb="FF00B0F0"/>
                </patternFill>
              </fill>
            </x14:dxf>
          </x14:cfRule>
          <x14:cfRule type="expression" priority="8" id="{6E15692F-3BA2-4EFD-A43D-846B77558E10}">
            <xm:f>AND(ISNUMBER('\\blbp-oa-023\FldrRedir_2$\Users\bbeesley\Desktop\Fidelis\022519\updated\updated after DAT\[DAT_review_tool_20180329.xlsb]Working'!#REF!),'\\blbp-oa-023\FldrRedir_2$\Users\bbeesley\Desktop\Fidelis\022519\updated\updated after DAT\[DAT_review_tool_20180329.xlsb]Working'!#REF! &lt;0)</xm:f>
            <x14:dxf>
              <fill>
                <patternFill>
                  <bgColor rgb="FFFF0000"/>
                </patternFill>
              </fill>
            </x14:dxf>
          </x14:cfRule>
          <xm:sqref>E12</xm:sqref>
        </x14:conditionalFormatting>
        <x14:conditionalFormatting xmlns:xm="http://schemas.microsoft.com/office/excel/2006/main">
          <x14:cfRule type="expression" priority="1" id="{A417CCDE-0E27-4DF2-80A2-348CD839B40E}">
            <xm:f>AND(ISNUMBER('\\blbp-oa-023\FldrRedir_2$\Users\bbeesley\Desktop\Fidelis\022519\updated\updated after DAT\[DAT_review_tool_20180329.xlsb]Working'!#REF!),'\\blbp-oa-023\FldrRedir_2$\Users\bbeesley\Desktop\Fidelis\022519\updated\updated after DAT\[DAT_review_tool_20180329.xlsb]Working'!#REF! &gt;1)</xm:f>
            <x14:dxf>
              <fill>
                <patternFill>
                  <bgColor rgb="FF00B0F0"/>
                </patternFill>
              </fill>
            </x14:dxf>
          </x14:cfRule>
          <x14:cfRule type="expression" priority="2" id="{1F8742BC-62F8-4794-BDBB-7187F2C1B99A}">
            <xm:f>AND(ISNUMBER('\\blbp-oa-023\FldrRedir_2$\Users\bbeesley\Desktop\Fidelis\022519\updated\updated after DAT\[DAT_review_tool_20180329.xlsb]Working'!#REF!),'\\blbp-oa-023\FldrRedir_2$\Users\bbeesley\Desktop\Fidelis\022519\updated\updated after DAT\[DAT_review_tool_20180329.xlsb]Working'!#REF! &lt;0)</xm:f>
            <x14:dxf>
              <fill>
                <patternFill>
                  <bgColor rgb="FFFF0000"/>
                </patternFill>
              </fill>
            </x14:dxf>
          </x14:cfRule>
          <x14:cfRule type="expression" priority="3" id="{A44576D8-7C4B-4A2B-9058-B2ABB5C9A9FE}">
            <xm:f>AND(ISNUMBER('\\blbp-oa-023\FldrRedir_2$\Users\bbeesley\Desktop\Fidelis\022519\updated\updated after DAT\[DAT_review_tool_20180329.xlsb]Working'!#REF!),'\\blbp-oa-023\FldrRedir_2$\Users\bbeesley\Desktop\Fidelis\022519\updated\updated after DAT\[DAT_review_tool_20180329.xlsb]Working'!#REF! &gt;1)</xm:f>
            <x14:dxf>
              <fill>
                <patternFill>
                  <bgColor rgb="FF00B0F0"/>
                </patternFill>
              </fill>
            </x14:dxf>
          </x14:cfRule>
          <x14:cfRule type="expression" priority="4" id="{8403F5A0-0932-4A31-A786-C6717A9A3392}">
            <xm:f>AND(ISNUMBER('\\blbp-oa-023\FldrRedir_2$\Users\bbeesley\Desktop\Fidelis\022519\updated\updated after DAT\[DAT_review_tool_20180329.xlsb]Working'!#REF!),'\\blbp-oa-023\FldrRedir_2$\Users\bbeesley\Desktop\Fidelis\022519\updated\updated after DAT\[DAT_review_tool_20180329.xlsb]Working'!#REF! &lt;0)</xm:f>
            <x14:dxf>
              <fill>
                <patternFill>
                  <bgColor rgb="FFFF0000"/>
                </patternFill>
              </fill>
            </x14:dxf>
          </x14:cfRule>
          <xm:sqref>E33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I16"/>
  <sheetViews>
    <sheetView zoomScale="90" zoomScaleNormal="90" workbookViewId="0">
      <pane xSplit="2" ySplit="6" topLeftCell="C7" activePane="bottomRight" state="frozen"/>
      <selection sqref="A1:H14"/>
      <selection pane="topRight" sqref="A1:H14"/>
      <selection pane="bottomLeft" sqref="A1:H14"/>
      <selection pane="bottomRight" activeCell="C23" sqref="C23"/>
    </sheetView>
  </sheetViews>
  <sheetFormatPr defaultRowHeight="15" x14ac:dyDescent="0.25"/>
  <cols>
    <col min="1" max="1" width="6.28515625" customWidth="1"/>
    <col min="2" max="2" width="27.7109375" customWidth="1"/>
    <col min="3" max="3" width="22" customWidth="1"/>
    <col min="4" max="4" width="18.7109375" bestFit="1" customWidth="1"/>
    <col min="5" max="5" width="21.7109375" customWidth="1"/>
    <col min="6" max="6" width="7.28515625" style="14" customWidth="1"/>
    <col min="7" max="7" width="7.28515625" customWidth="1"/>
    <col min="8" max="8" width="6.5703125" style="14" customWidth="1"/>
    <col min="9" max="9" width="26.7109375" style="32" customWidth="1"/>
  </cols>
  <sheetData>
    <row r="1" spans="1:9" x14ac:dyDescent="0.25">
      <c r="A1" s="1" t="s">
        <v>420</v>
      </c>
      <c r="F1"/>
      <c r="H1"/>
      <c r="I1"/>
    </row>
    <row r="2" spans="1:9" x14ac:dyDescent="0.25">
      <c r="A2" s="1" t="s">
        <v>492</v>
      </c>
      <c r="F2"/>
      <c r="H2"/>
      <c r="I2"/>
    </row>
    <row r="3" spans="1:9" x14ac:dyDescent="0.25">
      <c r="A3" t="s">
        <v>530</v>
      </c>
    </row>
    <row r="4" spans="1:9" ht="15.75" thickBot="1" x14ac:dyDescent="0.3"/>
    <row r="5" spans="1:9" ht="15.75" customHeight="1" thickBot="1" x14ac:dyDescent="0.35">
      <c r="B5" s="58" t="s">
        <v>404</v>
      </c>
      <c r="C5" s="73"/>
      <c r="D5" s="73"/>
      <c r="E5" s="73"/>
      <c r="F5" s="73"/>
      <c r="G5" s="73"/>
      <c r="H5" s="73"/>
      <c r="I5" s="7"/>
    </row>
    <row r="6" spans="1:9" s="13" customFormat="1" ht="35.25" customHeight="1" x14ac:dyDescent="0.25">
      <c r="A6" s="8" t="s">
        <v>14</v>
      </c>
      <c r="B6" s="9" t="s">
        <v>15</v>
      </c>
      <c r="C6" s="10" t="s">
        <v>2</v>
      </c>
      <c r="D6" s="10" t="s">
        <v>16</v>
      </c>
      <c r="E6" s="11" t="s">
        <v>17</v>
      </c>
      <c r="F6" s="20" t="s">
        <v>18</v>
      </c>
      <c r="G6" s="20" t="s">
        <v>19</v>
      </c>
      <c r="H6" s="20" t="s">
        <v>20</v>
      </c>
      <c r="I6" s="10" t="s">
        <v>502</v>
      </c>
    </row>
    <row r="7" spans="1:9" x14ac:dyDescent="0.25">
      <c r="A7" s="14">
        <v>1</v>
      </c>
      <c r="B7" s="22" t="s">
        <v>405</v>
      </c>
      <c r="C7" s="22"/>
      <c r="D7" s="22" t="s">
        <v>406</v>
      </c>
      <c r="E7" s="22" t="s">
        <v>407</v>
      </c>
      <c r="F7" s="33" t="s">
        <v>23</v>
      </c>
      <c r="G7" s="33"/>
      <c r="H7" s="33">
        <v>1</v>
      </c>
      <c r="I7" s="54" t="s">
        <v>564</v>
      </c>
    </row>
    <row r="8" spans="1:9" ht="56.45" customHeight="1" x14ac:dyDescent="0.25">
      <c r="A8" s="14">
        <f>A7+1</f>
        <v>2</v>
      </c>
      <c r="B8" s="22" t="s">
        <v>408</v>
      </c>
      <c r="C8" s="22" t="s">
        <v>409</v>
      </c>
      <c r="D8" s="22" t="s">
        <v>410</v>
      </c>
      <c r="E8" s="24" t="s">
        <v>45</v>
      </c>
      <c r="F8" s="33" t="s">
        <v>23</v>
      </c>
      <c r="G8" s="33"/>
      <c r="H8" s="33">
        <v>50</v>
      </c>
      <c r="I8" s="17" t="s">
        <v>596</v>
      </c>
    </row>
    <row r="9" spans="1:9" ht="25.5" x14ac:dyDescent="0.25">
      <c r="A9" s="14">
        <f t="shared" ref="A9:A12" si="0">A8+1</f>
        <v>3</v>
      </c>
      <c r="B9" s="22" t="s">
        <v>411</v>
      </c>
      <c r="C9" s="22" t="s">
        <v>412</v>
      </c>
      <c r="D9" s="22" t="s">
        <v>413</v>
      </c>
      <c r="E9" s="24">
        <v>7536</v>
      </c>
      <c r="F9" s="33" t="s">
        <v>23</v>
      </c>
      <c r="G9" s="33"/>
      <c r="H9" s="33">
        <v>10</v>
      </c>
      <c r="I9" s="24"/>
    </row>
    <row r="10" spans="1:9" ht="38.25" x14ac:dyDescent="0.25">
      <c r="A10" s="14">
        <f t="shared" si="0"/>
        <v>4</v>
      </c>
      <c r="B10" s="22" t="s">
        <v>414</v>
      </c>
      <c r="C10" s="22" t="s">
        <v>415</v>
      </c>
      <c r="D10" s="22" t="s">
        <v>413</v>
      </c>
      <c r="E10" s="24">
        <v>13784</v>
      </c>
      <c r="F10" s="33" t="s">
        <v>23</v>
      </c>
      <c r="G10" s="33"/>
      <c r="H10" s="33">
        <v>20</v>
      </c>
      <c r="I10" s="17" t="s">
        <v>597</v>
      </c>
    </row>
    <row r="11" spans="1:9" ht="51" x14ac:dyDescent="0.25">
      <c r="A11" s="14">
        <f t="shared" si="0"/>
        <v>5</v>
      </c>
      <c r="B11" s="22" t="s">
        <v>416</v>
      </c>
      <c r="C11" s="22" t="s">
        <v>417</v>
      </c>
      <c r="D11" s="22" t="s">
        <v>413</v>
      </c>
      <c r="E11" s="24">
        <v>7538</v>
      </c>
      <c r="F11" s="33" t="s">
        <v>23</v>
      </c>
      <c r="G11" s="33"/>
      <c r="H11" s="33">
        <v>10</v>
      </c>
      <c r="I11" s="17" t="s">
        <v>485</v>
      </c>
    </row>
    <row r="12" spans="1:9" x14ac:dyDescent="0.25">
      <c r="A12" s="14">
        <f t="shared" si="0"/>
        <v>6</v>
      </c>
      <c r="B12" s="22" t="s">
        <v>418</v>
      </c>
      <c r="C12" s="22"/>
      <c r="D12" s="22" t="s">
        <v>403</v>
      </c>
      <c r="E12" s="22" t="s">
        <v>403</v>
      </c>
      <c r="F12" s="33" t="s">
        <v>23</v>
      </c>
      <c r="G12" s="33"/>
      <c r="H12" s="33">
        <v>1</v>
      </c>
      <c r="I12" s="24"/>
    </row>
    <row r="13" spans="1:9" x14ac:dyDescent="0.25">
      <c r="A13" s="14"/>
    </row>
    <row r="15" spans="1:9" x14ac:dyDescent="0.25">
      <c r="A15" t="s">
        <v>419</v>
      </c>
    </row>
    <row r="16" spans="1:9" x14ac:dyDescent="0.25">
      <c r="A16" t="s">
        <v>421</v>
      </c>
    </row>
  </sheetData>
  <sheetProtection algorithmName="SHA-512" hashValue="uQZbk2IDGnod55NzO8Ui72fgy3QiROPt+t5KwpjdR9Eh08Opay8FNZavV2bjfR+jiznj6pD/vFrhQCNyiZnuuQ==" saltValue="4hUo7WMwJg93V6XJ81x9ug==" spinCount="100000" sheet="1" objects="1" scenarios="1"/>
  <mergeCells count="1">
    <mergeCell ref="B5:H5"/>
  </mergeCells>
  <pageMargins left="0.5" right="0.5" top="0.5" bottom="0.5" header="0.3" footer="0.3"/>
  <pageSetup scale="66" fitToHeight="0" orientation="portrait" r:id="rId1"/>
  <headerFooter>
    <oddFooter>&amp;F&amp;RPage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C6023-27F9-46EA-9D88-3CC8FF02E318}">
  <dimension ref="A1:E38"/>
  <sheetViews>
    <sheetView workbookViewId="0">
      <pane ySplit="1" topLeftCell="A22" activePane="bottomLeft" state="frozen"/>
      <selection pane="bottomLeft" activeCell="B49" sqref="B49"/>
    </sheetView>
  </sheetViews>
  <sheetFormatPr defaultRowHeight="15" x14ac:dyDescent="0.25"/>
  <cols>
    <col min="1" max="1" width="10.5703125" bestFit="1" customWidth="1"/>
    <col min="2" max="2" width="80.28515625" customWidth="1"/>
    <col min="3" max="3" width="25.28515625" customWidth="1"/>
    <col min="4" max="4" width="18.28515625" bestFit="1" customWidth="1"/>
    <col min="5" max="5" width="91.42578125" customWidth="1"/>
  </cols>
  <sheetData>
    <row r="1" spans="1:5" x14ac:dyDescent="0.25">
      <c r="A1" s="39" t="s">
        <v>437</v>
      </c>
      <c r="B1" s="39" t="s">
        <v>438</v>
      </c>
      <c r="C1" s="39" t="s">
        <v>441</v>
      </c>
      <c r="D1" s="39" t="s">
        <v>440</v>
      </c>
      <c r="E1" s="43" t="s">
        <v>461</v>
      </c>
    </row>
    <row r="2" spans="1:5" x14ac:dyDescent="0.25">
      <c r="A2" s="38">
        <v>43913</v>
      </c>
      <c r="B2" t="s">
        <v>439</v>
      </c>
      <c r="C2" t="s">
        <v>0</v>
      </c>
      <c r="D2" t="s">
        <v>442</v>
      </c>
    </row>
    <row r="3" spans="1:5" x14ac:dyDescent="0.25">
      <c r="A3" s="38">
        <v>43942</v>
      </c>
      <c r="B3" t="s">
        <v>446</v>
      </c>
      <c r="C3" t="s">
        <v>0</v>
      </c>
      <c r="D3" t="s">
        <v>447</v>
      </c>
    </row>
    <row r="4" spans="1:5" x14ac:dyDescent="0.25">
      <c r="A4" s="38">
        <v>44043</v>
      </c>
      <c r="B4" t="s">
        <v>457</v>
      </c>
      <c r="C4" t="s">
        <v>0</v>
      </c>
      <c r="D4" t="s">
        <v>448</v>
      </c>
    </row>
    <row r="5" spans="1:5" x14ac:dyDescent="0.25">
      <c r="A5" s="38">
        <v>44043</v>
      </c>
      <c r="B5" t="s">
        <v>456</v>
      </c>
      <c r="C5" t="s">
        <v>73</v>
      </c>
      <c r="D5" t="s">
        <v>448</v>
      </c>
    </row>
    <row r="6" spans="1:5" ht="30" x14ac:dyDescent="0.25">
      <c r="A6" s="38">
        <v>44242</v>
      </c>
      <c r="B6" s="6" t="s">
        <v>479</v>
      </c>
      <c r="C6" t="s">
        <v>73</v>
      </c>
      <c r="D6" t="s">
        <v>459</v>
      </c>
      <c r="E6" s="6" t="s">
        <v>460</v>
      </c>
    </row>
    <row r="7" spans="1:5" x14ac:dyDescent="0.25">
      <c r="A7" s="38">
        <v>44242</v>
      </c>
      <c r="B7" t="s">
        <v>480</v>
      </c>
      <c r="C7" t="s">
        <v>73</v>
      </c>
      <c r="D7" t="s">
        <v>459</v>
      </c>
      <c r="E7" t="s">
        <v>462</v>
      </c>
    </row>
    <row r="8" spans="1:5" x14ac:dyDescent="0.25">
      <c r="A8" s="38">
        <v>44242</v>
      </c>
      <c r="B8" t="s">
        <v>481</v>
      </c>
      <c r="C8" t="s">
        <v>73</v>
      </c>
      <c r="D8" t="s">
        <v>459</v>
      </c>
      <c r="E8" t="s">
        <v>472</v>
      </c>
    </row>
    <row r="9" spans="1:5" ht="45" x14ac:dyDescent="0.25">
      <c r="A9" s="38">
        <v>44242</v>
      </c>
      <c r="B9" t="s">
        <v>471</v>
      </c>
      <c r="C9" t="s">
        <v>73</v>
      </c>
      <c r="D9" t="s">
        <v>459</v>
      </c>
      <c r="E9" s="6" t="s">
        <v>464</v>
      </c>
    </row>
    <row r="10" spans="1:5" x14ac:dyDescent="0.25">
      <c r="A10" s="38">
        <v>44242</v>
      </c>
      <c r="B10" t="s">
        <v>474</v>
      </c>
      <c r="C10" t="s">
        <v>73</v>
      </c>
      <c r="D10" t="s">
        <v>459</v>
      </c>
      <c r="E10" t="s">
        <v>473</v>
      </c>
    </row>
    <row r="11" spans="1:5" ht="28.15" customHeight="1" x14ac:dyDescent="0.25">
      <c r="A11" s="38">
        <v>44242</v>
      </c>
      <c r="B11" t="s">
        <v>475</v>
      </c>
      <c r="C11" t="s">
        <v>73</v>
      </c>
      <c r="D11" t="s">
        <v>459</v>
      </c>
      <c r="E11" s="6" t="s">
        <v>463</v>
      </c>
    </row>
    <row r="12" spans="1:5" x14ac:dyDescent="0.25">
      <c r="A12" s="38">
        <v>44242</v>
      </c>
      <c r="B12" t="s">
        <v>476</v>
      </c>
      <c r="C12" t="s">
        <v>12</v>
      </c>
      <c r="D12" t="s">
        <v>459</v>
      </c>
      <c r="E12" t="s">
        <v>465</v>
      </c>
    </row>
    <row r="13" spans="1:5" ht="30" x14ac:dyDescent="0.25">
      <c r="A13" s="38">
        <v>44242</v>
      </c>
      <c r="B13" t="s">
        <v>482</v>
      </c>
      <c r="C13" t="s">
        <v>420</v>
      </c>
      <c r="D13" t="s">
        <v>459</v>
      </c>
      <c r="E13" s="6" t="s">
        <v>466</v>
      </c>
    </row>
    <row r="14" spans="1:5" x14ac:dyDescent="0.25">
      <c r="A14" s="38">
        <v>44242</v>
      </c>
      <c r="B14" t="s">
        <v>477</v>
      </c>
      <c r="C14" t="s">
        <v>73</v>
      </c>
      <c r="D14" t="s">
        <v>459</v>
      </c>
      <c r="E14" t="s">
        <v>467</v>
      </c>
    </row>
    <row r="15" spans="1:5" ht="32.65" customHeight="1" x14ac:dyDescent="0.25">
      <c r="A15" s="38">
        <v>44242</v>
      </c>
      <c r="B15" s="6" t="s">
        <v>483</v>
      </c>
      <c r="C15" t="s">
        <v>73</v>
      </c>
      <c r="D15" t="s">
        <v>459</v>
      </c>
      <c r="E15" s="6" t="s">
        <v>470</v>
      </c>
    </row>
    <row r="16" spans="1:5" ht="30" x14ac:dyDescent="0.25">
      <c r="A16" s="38">
        <v>44242</v>
      </c>
      <c r="B16" t="s">
        <v>484</v>
      </c>
      <c r="C16" t="s">
        <v>73</v>
      </c>
      <c r="D16" t="s">
        <v>459</v>
      </c>
      <c r="E16" s="6" t="s">
        <v>478</v>
      </c>
    </row>
    <row r="17" spans="1:5" x14ac:dyDescent="0.25">
      <c r="A17" s="38">
        <v>44242</v>
      </c>
      <c r="B17" t="s">
        <v>486</v>
      </c>
      <c r="C17" t="s">
        <v>420</v>
      </c>
      <c r="D17" t="s">
        <v>459</v>
      </c>
      <c r="E17" t="s">
        <v>487</v>
      </c>
    </row>
    <row r="18" spans="1:5" ht="30" x14ac:dyDescent="0.25">
      <c r="A18" s="38">
        <v>44544</v>
      </c>
      <c r="B18" t="s">
        <v>511</v>
      </c>
      <c r="C18" t="s">
        <v>0</v>
      </c>
      <c r="D18" t="s">
        <v>500</v>
      </c>
      <c r="E18" s="6" t="s">
        <v>580</v>
      </c>
    </row>
    <row r="19" spans="1:5" ht="30" x14ac:dyDescent="0.25">
      <c r="A19" s="38">
        <v>44544</v>
      </c>
      <c r="B19" t="s">
        <v>539</v>
      </c>
      <c r="C19" t="s">
        <v>0</v>
      </c>
      <c r="D19" t="s">
        <v>500</v>
      </c>
      <c r="E19" s="6" t="s">
        <v>581</v>
      </c>
    </row>
    <row r="20" spans="1:5" x14ac:dyDescent="0.25">
      <c r="A20" s="38">
        <v>44544</v>
      </c>
      <c r="B20" t="s">
        <v>582</v>
      </c>
      <c r="C20" t="s">
        <v>0</v>
      </c>
      <c r="D20" t="s">
        <v>500</v>
      </c>
      <c r="E20" s="6" t="s">
        <v>583</v>
      </c>
    </row>
    <row r="21" spans="1:5" ht="30" x14ac:dyDescent="0.25">
      <c r="A21" s="38">
        <v>44544</v>
      </c>
      <c r="B21" t="s">
        <v>537</v>
      </c>
      <c r="C21" t="s">
        <v>0</v>
      </c>
      <c r="D21" t="s">
        <v>500</v>
      </c>
      <c r="E21" s="6" t="s">
        <v>584</v>
      </c>
    </row>
    <row r="22" spans="1:5" x14ac:dyDescent="0.25">
      <c r="A22" s="38">
        <v>44544</v>
      </c>
      <c r="B22" t="s">
        <v>496</v>
      </c>
      <c r="C22" t="s">
        <v>0</v>
      </c>
      <c r="D22" t="s">
        <v>500</v>
      </c>
      <c r="E22" t="s">
        <v>491</v>
      </c>
    </row>
    <row r="23" spans="1:5" x14ac:dyDescent="0.25">
      <c r="A23" s="38">
        <v>44544</v>
      </c>
      <c r="B23" t="s">
        <v>577</v>
      </c>
      <c r="C23" t="s">
        <v>12</v>
      </c>
      <c r="D23" t="s">
        <v>500</v>
      </c>
      <c r="E23" t="s">
        <v>578</v>
      </c>
    </row>
    <row r="24" spans="1:5" x14ac:dyDescent="0.25">
      <c r="A24" s="38">
        <v>44544</v>
      </c>
      <c r="B24" t="s">
        <v>498</v>
      </c>
      <c r="C24" t="s">
        <v>12</v>
      </c>
      <c r="D24" t="s">
        <v>500</v>
      </c>
      <c r="E24" s="6" t="s">
        <v>579</v>
      </c>
    </row>
    <row r="25" spans="1:5" ht="30" x14ac:dyDescent="0.25">
      <c r="A25" s="38">
        <v>44544</v>
      </c>
      <c r="B25" t="s">
        <v>588</v>
      </c>
      <c r="C25" t="s">
        <v>12</v>
      </c>
      <c r="D25" t="s">
        <v>500</v>
      </c>
      <c r="E25" s="6" t="s">
        <v>587</v>
      </c>
    </row>
    <row r="26" spans="1:5" ht="45" x14ac:dyDescent="0.25">
      <c r="A26" s="38">
        <v>44544</v>
      </c>
      <c r="B26" t="s">
        <v>589</v>
      </c>
      <c r="C26" t="s">
        <v>73</v>
      </c>
      <c r="D26" t="s">
        <v>500</v>
      </c>
      <c r="E26" s="6" t="s">
        <v>590</v>
      </c>
    </row>
    <row r="27" spans="1:5" x14ac:dyDescent="0.25">
      <c r="A27" s="38">
        <v>44544</v>
      </c>
      <c r="B27" t="s">
        <v>533</v>
      </c>
      <c r="C27" t="s">
        <v>73</v>
      </c>
      <c r="D27" t="s">
        <v>500</v>
      </c>
      <c r="E27" t="s">
        <v>575</v>
      </c>
    </row>
    <row r="28" spans="1:5" ht="60" x14ac:dyDescent="0.25">
      <c r="A28" s="38">
        <v>44544</v>
      </c>
      <c r="B28" t="s">
        <v>536</v>
      </c>
      <c r="C28" t="s">
        <v>73</v>
      </c>
      <c r="D28" t="s">
        <v>500</v>
      </c>
      <c r="E28" s="6" t="s">
        <v>570</v>
      </c>
    </row>
    <row r="29" spans="1:5" ht="30" x14ac:dyDescent="0.25">
      <c r="A29" s="38">
        <v>44544</v>
      </c>
      <c r="B29" t="s">
        <v>571</v>
      </c>
      <c r="C29" t="s">
        <v>73</v>
      </c>
      <c r="D29" t="s">
        <v>500</v>
      </c>
      <c r="E29" s="6" t="s">
        <v>574</v>
      </c>
    </row>
    <row r="30" spans="1:5" ht="45" x14ac:dyDescent="0.25">
      <c r="A30" s="38">
        <v>44544</v>
      </c>
      <c r="B30" t="s">
        <v>543</v>
      </c>
      <c r="C30" t="s">
        <v>73</v>
      </c>
      <c r="D30" t="s">
        <v>500</v>
      </c>
      <c r="E30" s="6" t="s">
        <v>568</v>
      </c>
    </row>
    <row r="31" spans="1:5" x14ac:dyDescent="0.25">
      <c r="A31" s="38">
        <v>44544</v>
      </c>
      <c r="B31" t="s">
        <v>548</v>
      </c>
      <c r="C31" t="s">
        <v>73</v>
      </c>
      <c r="D31" t="s">
        <v>500</v>
      </c>
      <c r="E31" s="6" t="s">
        <v>552</v>
      </c>
    </row>
    <row r="32" spans="1:5" x14ac:dyDescent="0.25">
      <c r="A32" s="38">
        <v>44544</v>
      </c>
      <c r="B32" t="s">
        <v>551</v>
      </c>
      <c r="C32" t="s">
        <v>73</v>
      </c>
      <c r="D32" t="s">
        <v>500</v>
      </c>
      <c r="E32" s="6" t="s">
        <v>552</v>
      </c>
    </row>
    <row r="33" spans="1:5" x14ac:dyDescent="0.25">
      <c r="A33" s="38">
        <v>44544</v>
      </c>
      <c r="B33" t="s">
        <v>556</v>
      </c>
      <c r="C33" t="s">
        <v>73</v>
      </c>
      <c r="D33" t="s">
        <v>500</v>
      </c>
      <c r="E33" t="s">
        <v>557</v>
      </c>
    </row>
    <row r="34" spans="1:5" ht="30" x14ac:dyDescent="0.25">
      <c r="A34" s="38">
        <v>44544</v>
      </c>
      <c r="B34" t="s">
        <v>555</v>
      </c>
      <c r="C34" t="s">
        <v>73</v>
      </c>
      <c r="D34" t="s">
        <v>500</v>
      </c>
      <c r="E34" s="6" t="s">
        <v>554</v>
      </c>
    </row>
    <row r="35" spans="1:5" x14ac:dyDescent="0.25">
      <c r="A35" s="38">
        <v>44544</v>
      </c>
      <c r="B35" t="s">
        <v>560</v>
      </c>
      <c r="C35" t="s">
        <v>73</v>
      </c>
      <c r="D35" t="s">
        <v>500</v>
      </c>
      <c r="E35" s="6" t="s">
        <v>561</v>
      </c>
    </row>
    <row r="36" spans="1:5" x14ac:dyDescent="0.25">
      <c r="A36" s="38">
        <v>44544</v>
      </c>
      <c r="B36" t="s">
        <v>565</v>
      </c>
      <c r="C36" t="s">
        <v>420</v>
      </c>
      <c r="D36" t="s">
        <v>500</v>
      </c>
      <c r="E36" s="6" t="s">
        <v>552</v>
      </c>
    </row>
    <row r="37" spans="1:5" x14ac:dyDescent="0.25">
      <c r="A37" s="38">
        <v>44544</v>
      </c>
      <c r="B37" t="s">
        <v>566</v>
      </c>
      <c r="C37" t="s">
        <v>420</v>
      </c>
      <c r="D37" t="s">
        <v>500</v>
      </c>
      <c r="E37" s="6" t="s">
        <v>567</v>
      </c>
    </row>
    <row r="38" spans="1:5" x14ac:dyDescent="0.25">
      <c r="A38" s="38">
        <v>44544</v>
      </c>
      <c r="B38" t="s">
        <v>599</v>
      </c>
      <c r="C38" t="s">
        <v>0</v>
      </c>
      <c r="D38" t="s">
        <v>500</v>
      </c>
      <c r="E38" s="6" t="s">
        <v>601</v>
      </c>
    </row>
  </sheetData>
  <sheetProtection algorithmName="SHA-512" hashValue="fpV2D4fCGg9qRqKVSHoNFDteI9wNkZX/SB5fEPVv5JhZ7PF/+d6c81cW4lGpY6NfF952c1OdqvLYMfQeRrJcuw==" saltValue="IpbMNu6eHvx/r/oQbMuxM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File Information</vt:lpstr>
      <vt:lpstr>HeaderRecord</vt:lpstr>
      <vt:lpstr>DetailRecord</vt:lpstr>
      <vt:lpstr>FooterRecord</vt:lpstr>
      <vt:lpstr>Change Tracker</vt:lpstr>
      <vt:lpstr>DetailRecord!Print_Area</vt:lpstr>
      <vt:lpstr>'File Information'!Print_Area</vt:lpstr>
      <vt:lpstr>FooterRecord!Print_Area</vt:lpstr>
      <vt:lpstr>HeaderRecord!Print_Area</vt:lpstr>
      <vt:lpstr>DetailRecord!Print_Titles</vt:lpstr>
      <vt:lpstr>FooterRecord!Print_Titles</vt:lpstr>
    </vt:vector>
  </TitlesOfParts>
  <Company>Aetna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A770504</dc:creator>
  <cp:lastModifiedBy>Reed, Linda</cp:lastModifiedBy>
  <cp:lastPrinted>2019-05-21T12:31:25Z</cp:lastPrinted>
  <dcterms:created xsi:type="dcterms:W3CDTF">2019-03-31T18:07:31Z</dcterms:created>
  <dcterms:modified xsi:type="dcterms:W3CDTF">2026-06-16T21:47:05Z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7599526-06ca-49cc-9fa9-5307800a949a_Enabled">
    <vt:lpwstr>true</vt:lpwstr>
  </property>
  <property fmtid="{D5CDD505-2E9C-101B-9397-08002B2CF9AE}" pid="3" name="MSIP_Label_67599526-06ca-49cc-9fa9-5307800a949a_SetDate">
    <vt:lpwstr>2021-04-14T12:42:55Z</vt:lpwstr>
  </property>
  <property fmtid="{D5CDD505-2E9C-101B-9397-08002B2CF9AE}" pid="4" name="MSIP_Label_67599526-06ca-49cc-9fa9-5307800a949a_Method">
    <vt:lpwstr>Standard</vt:lpwstr>
  </property>
  <property fmtid="{D5CDD505-2E9C-101B-9397-08002B2CF9AE}" pid="5" name="MSIP_Label_67599526-06ca-49cc-9fa9-5307800a949a_Name">
    <vt:lpwstr>67599526-06ca-49cc-9fa9-5307800a949a</vt:lpwstr>
  </property>
  <property fmtid="{D5CDD505-2E9C-101B-9397-08002B2CF9AE}" pid="6" name="MSIP_Label_67599526-06ca-49cc-9fa9-5307800a949a_SiteId">
    <vt:lpwstr>fabb61b8-3afe-4e75-b934-a47f782b8cd7</vt:lpwstr>
  </property>
  <property fmtid="{D5CDD505-2E9C-101B-9397-08002B2CF9AE}" pid="7" name="MSIP_Label_67599526-06ca-49cc-9fa9-5307800a949a_ActionId">
    <vt:lpwstr>fb59220d-96ac-4b1b-93cd-62583a4e4362</vt:lpwstr>
  </property>
  <property fmtid="{D5CDD505-2E9C-101B-9397-08002B2CF9AE}" pid="8" name="MSIP_Label_67599526-06ca-49cc-9fa9-5307800a949a_ContentBits">
    <vt:lpwstr>0</vt:lpwstr>
  </property>
</Properties>
</file>