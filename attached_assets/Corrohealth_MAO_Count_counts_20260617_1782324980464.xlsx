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5189464-my.sharepoint.com/personal/samirrawat_healthtrixss_com/Documents/Desktop/"/>
    </mc:Choice>
  </mc:AlternateContent>
  <xr:revisionPtr revIDLastSave="39" documentId="8_{392100DC-6C5B-49EF-BC1E-D61960DF8971}" xr6:coauthVersionLast="47" xr6:coauthVersionMax="47" xr10:uidLastSave="{ED06CA88-54DC-4BF2-AD07-4DF37D49C5A3}"/>
  <bookViews>
    <workbookView xWindow="-120" yWindow="-120" windowWidth="29040" windowHeight="15720" activeTab="1" xr2:uid="{47B62C52-7876-405E-8FB4-30544FAA67FD}"/>
  </bookViews>
  <sheets>
    <sheet name="Pivot" sheetId="3" r:id="rId1"/>
    <sheet name="Analysis" sheetId="5" r:id="rId2"/>
    <sheet name="Sheet2" sheetId="4" r:id="rId3"/>
    <sheet name="Counts" sheetId="1" r:id="rId4"/>
    <sheet name="Logic" sheetId="2" r:id="rId5"/>
  </sheets>
  <definedNames>
    <definedName name="_xlnm._FilterDatabase" localSheetId="3" hidden="1">Counts!$A$1:$I$8105</definedName>
  </definedNames>
  <calcPr calcId="191029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5" l="1"/>
  <c r="J25" i="5"/>
  <c r="J26" i="5"/>
  <c r="J27" i="5"/>
  <c r="J28" i="5"/>
  <c r="K28" i="5" s="1"/>
  <c r="J29" i="5"/>
  <c r="J30" i="5"/>
  <c r="J31" i="5"/>
  <c r="J32" i="5"/>
  <c r="K32" i="5" s="1"/>
  <c r="J33" i="5"/>
  <c r="K33" i="5" s="1"/>
  <c r="J34" i="5"/>
  <c r="J35" i="5"/>
  <c r="K35" i="5" s="1"/>
  <c r="J36" i="5"/>
  <c r="K36" i="5" s="1"/>
  <c r="J37" i="5"/>
  <c r="K37" i="5" s="1"/>
  <c r="J38" i="5"/>
  <c r="K38" i="5" s="1"/>
  <c r="J23" i="5"/>
  <c r="K34" i="5"/>
  <c r="K31" i="5"/>
  <c r="K30" i="5"/>
  <c r="K29" i="5"/>
  <c r="K27" i="5"/>
  <c r="K26" i="5"/>
  <c r="K25" i="5"/>
  <c r="K24" i="5"/>
  <c r="K23" i="5"/>
  <c r="O24" i="5"/>
  <c r="O25" i="5"/>
  <c r="O26" i="5"/>
  <c r="O27" i="5"/>
  <c r="O28" i="5"/>
  <c r="P28" i="5" s="1"/>
  <c r="O29" i="5"/>
  <c r="P29" i="5" s="1"/>
  <c r="O30" i="5"/>
  <c r="P30" i="5" s="1"/>
  <c r="O31" i="5"/>
  <c r="O32" i="5"/>
  <c r="P32" i="5" s="1"/>
  <c r="O33" i="5"/>
  <c r="P33" i="5" s="1"/>
  <c r="O34" i="5"/>
  <c r="P34" i="5" s="1"/>
  <c r="O35" i="5"/>
  <c r="P35" i="5" s="1"/>
  <c r="O36" i="5"/>
  <c r="P36" i="5" s="1"/>
  <c r="O37" i="5"/>
  <c r="P37" i="5" s="1"/>
  <c r="O38" i="5"/>
  <c r="P38" i="5" s="1"/>
  <c r="O23" i="5"/>
  <c r="P31" i="5"/>
  <c r="P27" i="5"/>
  <c r="P26" i="5"/>
  <c r="P25" i="5"/>
  <c r="P24" i="5"/>
  <c r="P23" i="5"/>
  <c r="O17" i="5"/>
  <c r="P17" i="5" s="1"/>
  <c r="O18" i="5"/>
  <c r="P18" i="5" s="1"/>
  <c r="O19" i="5"/>
  <c r="P19" i="5" s="1"/>
  <c r="O16" i="5"/>
  <c r="P16" i="5" s="1"/>
  <c r="O5" i="5"/>
  <c r="P5" i="5" s="1"/>
  <c r="O6" i="5"/>
  <c r="O7" i="5"/>
  <c r="O8" i="5"/>
  <c r="O9" i="5"/>
  <c r="O10" i="5"/>
  <c r="O11" i="5"/>
  <c r="P11" i="5" s="1"/>
  <c r="O12" i="5"/>
  <c r="P12" i="5" s="1"/>
  <c r="O13" i="5"/>
  <c r="O14" i="5"/>
  <c r="O15" i="5"/>
  <c r="P15" i="5" s="1"/>
  <c r="O4" i="5"/>
  <c r="P7" i="5"/>
  <c r="P8" i="5"/>
  <c r="P9" i="5"/>
  <c r="P14" i="5"/>
  <c r="P4" i="5"/>
  <c r="P13" i="5"/>
  <c r="P10" i="5"/>
  <c r="P6" i="5"/>
  <c r="K18" i="5"/>
  <c r="J17" i="5"/>
  <c r="K17" i="5" s="1"/>
  <c r="J18" i="5"/>
  <c r="J19" i="5"/>
  <c r="K19" i="5" s="1"/>
  <c r="J16" i="5"/>
  <c r="K16" i="5" s="1"/>
  <c r="J5" i="5"/>
  <c r="K5" i="5" s="1"/>
  <c r="J6" i="5"/>
  <c r="K6" i="5" s="1"/>
  <c r="J7" i="5"/>
  <c r="K7" i="5" s="1"/>
  <c r="J8" i="5"/>
  <c r="K8" i="5" s="1"/>
  <c r="J9" i="5"/>
  <c r="K9" i="5" s="1"/>
  <c r="J10" i="5"/>
  <c r="K10" i="5" s="1"/>
  <c r="J11" i="5"/>
  <c r="K11" i="5" s="1"/>
  <c r="J12" i="5"/>
  <c r="K12" i="5" s="1"/>
  <c r="J13" i="5"/>
  <c r="K13" i="5" s="1"/>
  <c r="J14" i="5"/>
  <c r="K14" i="5" s="1"/>
  <c r="J15" i="5"/>
  <c r="K15" i="5" s="1"/>
  <c r="J4" i="5"/>
  <c r="K4" i="5" s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3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2" i="1"/>
</calcChain>
</file>

<file path=xl/sharedStrings.xml><?xml version="1.0" encoding="utf-8"?>
<sst xmlns="http://schemas.openxmlformats.org/spreadsheetml/2006/main" count="32526" uniqueCount="281">
  <si>
    <t>PAYER</t>
  </si>
  <si>
    <t>SRC_FILE_NM</t>
  </si>
  <si>
    <t>DOS_THRU_YYYYMM</t>
  </si>
  <si>
    <t>RECORD_CNT</t>
  </si>
  <si>
    <t>SUBMSN_RECORD_CNT</t>
  </si>
  <si>
    <t>RECORD_PCT</t>
  </si>
  <si>
    <t>DQS_CHECK_ID</t>
  </si>
  <si>
    <t>DQS_CHECK_NAME</t>
  </si>
  <si>
    <t>Aetna</t>
  </si>
  <si>
    <t>AETNA_MAO4_202404_20240505.txt</t>
  </si>
  <si>
    <t>DQS_MAO04_FILE_000_B</t>
  </si>
  <si>
    <t>RECORD COUNT by MBR_ID, DOS_THRU_DT, DX_CD Grain grouped by PAYER, SRC_FILE_NM, DOS_THRU_YYYYMM</t>
  </si>
  <si>
    <t>AETNA_MAO4_202405_20240604.txt</t>
  </si>
  <si>
    <t>AETNA_MAO4_202407_20240802.txt</t>
  </si>
  <si>
    <t>AETNA_MAO4_202409_20241002.txt</t>
  </si>
  <si>
    <t>AETNA_MAO4_202502_20250302.txt</t>
  </si>
  <si>
    <t>AETNA_MAO4_202505_20250602.txt</t>
  </si>
  <si>
    <t>Humana</t>
  </si>
  <si>
    <t>FINGLOBL_PE202401_REMAO004.TXT</t>
  </si>
  <si>
    <t>SGARMERC_PE202409_REMAO004.TXT</t>
  </si>
  <si>
    <t>SGARMERC_PE202411_REMAO004.TXT</t>
  </si>
  <si>
    <t>AETNA_MAO4_202410_20241102.txt</t>
  </si>
  <si>
    <t>UnitedHealthcare</t>
  </si>
  <si>
    <t>MERCYAFFILIATES_MAO_YTD_THRU_Aug_2025.txt</t>
  </si>
  <si>
    <t>BCBSOK</t>
  </si>
  <si>
    <t>FFV.MA_MAO004.MERCYOK.1214771.20250625.142410116.TXT</t>
  </si>
  <si>
    <t>FFV.MA_MAO004.MERCYOK.1214771.20250725.092840223.TXT</t>
  </si>
  <si>
    <t>SGARMERC_PE202502_REMAO004.TXT</t>
  </si>
  <si>
    <t>SGOKMRCY_PE202603_REMAO004.TXT</t>
  </si>
  <si>
    <t>FINGLOBL_PE202510_REMAO004.TXT</t>
  </si>
  <si>
    <t>FINGLOBL_PE202509_REMAO004.TXT</t>
  </si>
  <si>
    <t>SGARMERC_PE202503_REMAO004.TXT</t>
  </si>
  <si>
    <t>SGMRYCLN_PE202509_REMAO004.TXT</t>
  </si>
  <si>
    <t>SGARMERC_PE202601_REMAO004.TXT</t>
  </si>
  <si>
    <t>AETNA_MAO4_202401_20240202.txt</t>
  </si>
  <si>
    <t>AETNA_MAO4_202408_20240906.txt</t>
  </si>
  <si>
    <t>AETNA_MAO4_202504_20250502.txt</t>
  </si>
  <si>
    <t>MHS_MA_MAO4_202510_20251102.txt</t>
  </si>
  <si>
    <t>MHS_MA_MAO4_202511_20251202.txt</t>
  </si>
  <si>
    <t>MHS_MA_MAO4_202512_20260102.txt</t>
  </si>
  <si>
    <t>FINGLOBL_PE202406_REMAO004.TXT</t>
  </si>
  <si>
    <t>SGOKMRCY_PE202511_REMAO004.TXT</t>
  </si>
  <si>
    <t>MERCYAFFILIATES_MAO_YTD_THRU_Jan_2025_RUNOUT.txt</t>
  </si>
  <si>
    <t>FFV.MA_MAO004.MERCYOK.1214771.20241025.103201423.TXT</t>
  </si>
  <si>
    <t>FFV.MA_MAO004.MERCYOK.1214771.20260321.202024531.txt</t>
  </si>
  <si>
    <t>FFV.MA_MAO004.MERCYOK.1214771.20250827.131304584.TXT</t>
  </si>
  <si>
    <t>FINGLOBL_PE202505_REMAO004.TXT</t>
  </si>
  <si>
    <t>SGOKMRCY_PE202604_REMAO004.TXT</t>
  </si>
  <si>
    <t>SGOKMRCY_PE202506_REMAO004.TXT</t>
  </si>
  <si>
    <t>SGOKMRCY_PE202505_REMAO004.TXT</t>
  </si>
  <si>
    <t>SGMRYCLN_PE202402_REMAO004.TXT</t>
  </si>
  <si>
    <t>FINGLOBL_PE202503_REMAO004.TXT</t>
  </si>
  <si>
    <t>SGARMERC_PE202407_REMAO004.TXT</t>
  </si>
  <si>
    <t>SGOKMRCY_PE202504_REMAO004.TXT</t>
  </si>
  <si>
    <t>AETNA_MAO4_202403_20240403.txt</t>
  </si>
  <si>
    <t>AETNA_MAO4_202406_20240703.txt</t>
  </si>
  <si>
    <t>AETNA_MAO4_202501_20250202.txt</t>
  </si>
  <si>
    <t>MHS_MA_MAO4_202508_20250902.txt</t>
  </si>
  <si>
    <t>MHS_MA_MAO4_202605_20260602.txt</t>
  </si>
  <si>
    <t>SGARMERC_PE202401_REMAO004.TXT</t>
  </si>
  <si>
    <t>FINGLOBL_PE202601_REMAO004.TXT</t>
  </si>
  <si>
    <t>FINGLOBL_PE202402_REMAO004.TXT</t>
  </si>
  <si>
    <t>MHS_MA_MAO4_202509_20251004.txt</t>
  </si>
  <si>
    <t>FINGLOBL_PE202405_REMAO004.TXT</t>
  </si>
  <si>
    <t>FFV.MA_MAO004.MERCYOK.1214771.20240924.101434377.TXT</t>
  </si>
  <si>
    <t>FFV.MA_MAO004.MERCYOK.1214771.20250529.050643770.TXT</t>
  </si>
  <si>
    <t>FFV.MA_MAO004.MERCYOK.1214771.20240424.145736099.TXT</t>
  </si>
  <si>
    <t>FFV.MA_MAO004.MERCYOK.1214771.20250926.113235750.TXT</t>
  </si>
  <si>
    <t>FFV.MA_MAO004.MERCYOK.1214771.20240626.150235263.TXT</t>
  </si>
  <si>
    <t>SGMRYCLN_PE202510_REMAO004.TXT</t>
  </si>
  <si>
    <t>FINGLOBL_PE202502_REMAO004.TXT</t>
  </si>
  <si>
    <t>MERCYOKPHYS_MAO_YTD_THRU_Jul_2025.txt</t>
  </si>
  <si>
    <t>SGMRYCLN_PE202406_REMAO004.TXT</t>
  </si>
  <si>
    <t>SGOKMRCY_PE202407_REMAO004.TXT</t>
  </si>
  <si>
    <t>SGARMERC_PE202505_REMAO004.TXT</t>
  </si>
  <si>
    <t>MERCYSPRINGFIELD_MAO_YTD_THRU_Oct_2025.txt</t>
  </si>
  <si>
    <t>SGOKMRCY_PE202510_REMAO004.TXT</t>
  </si>
  <si>
    <t>AETNA_MAO4_202411_20241202.txt</t>
  </si>
  <si>
    <t>AETNA_MAO4_202506_20250702.txt</t>
  </si>
  <si>
    <t>SGOKMRCY_PE202405_REMAO004.TXT</t>
  </si>
  <si>
    <t>SGMRYCLN_PE202605_REMAO004.TXT</t>
  </si>
  <si>
    <t>FFV.MA_MAO004.MERCYOK.1214771.20260422.224531921.txt</t>
  </si>
  <si>
    <t>FFV.MA_MAO004.MERCYOK.1214771.20240522.101043496.TXT</t>
  </si>
  <si>
    <t>FFV.MA_MAO004.MERCYOK.1214771.20240327.164409360.TXT</t>
  </si>
  <si>
    <t>SGMRYCLN_PE202503_REMAO004.TXT</t>
  </si>
  <si>
    <t>SGARMERC_PE202512_REMAO004.TXT</t>
  </si>
  <si>
    <t>FINGLOBL_PE202409_REMAO004.TXT</t>
  </si>
  <si>
    <t>SGMRYCLN_PE202511_REMAO004.TXT</t>
  </si>
  <si>
    <t>SGMRYCLN_PE202604_REMAO004.TXT</t>
  </si>
  <si>
    <t>SGMRYCLN_PE202506_REMAO004.TXT</t>
  </si>
  <si>
    <t>SGARMERC_PE202412_REMAO004.TXT</t>
  </si>
  <si>
    <t>FINGLOBL_PE202408_REMAO004.TXT</t>
  </si>
  <si>
    <t>SGOKMRCY_PE202512_REMAO004.TXT</t>
  </si>
  <si>
    <t>AETNA_MAO4_202402_20240302.txt</t>
  </si>
  <si>
    <t>AETNA_MAO4_202412_20250102.txt</t>
  </si>
  <si>
    <t>AETNA_MAO4_202503_20250402.txt</t>
  </si>
  <si>
    <t>SGMRYCLN_PE202401_REMAO004.TXT</t>
  </si>
  <si>
    <t>SGARMERC_PE202508_REMAO004.TXT</t>
  </si>
  <si>
    <t>FINGLOBL_PE202606_REMAO004.TXT</t>
  </si>
  <si>
    <t>SGARMERC_PE202404_REMAO004.TXT</t>
  </si>
  <si>
    <t>MERCYAFFILIATES_MAO_YTD_THRU_Dec_2025.txt</t>
  </si>
  <si>
    <t>FFV.MA_MAO004.MERCYOK.1214771.20251221.101120609.TXT</t>
  </si>
  <si>
    <t>SGOKMRCY_PE202408_REMAO004.TXT</t>
  </si>
  <si>
    <t>SGARMERC_PE202408_REMAO004.TXT</t>
  </si>
  <si>
    <t>SGMRYCLN_PE202410_REMAO004.TXT</t>
  </si>
  <si>
    <t>FINGLOBL_PE202603_REMAO004.TXT</t>
  </si>
  <si>
    <t>FINGLOBL_PE202410_REMAO004.TXT</t>
  </si>
  <si>
    <t>MERCYSPRINGFIELD_MAO_YTD_THRU_Sep_2025.txt</t>
  </si>
  <si>
    <t>SGARMERC_PE202402_REMAO004.TXT</t>
  </si>
  <si>
    <t>FFV.MA_MAO004.MERCYOK.1214771.20240222.152547588.TXT</t>
  </si>
  <si>
    <t>SGMRYCLN_PE202505_REMAO004.TXT</t>
  </si>
  <si>
    <t>SGARMERC_PE202507_REMAO004.TXT</t>
  </si>
  <si>
    <t>MERCYOKPHYS_MAO_YTD_THRU_Nov_2025.txt</t>
  </si>
  <si>
    <t>SGMRYCLN_PE202602_REMAO004.TXT</t>
  </si>
  <si>
    <t>SGARMERC_PE202511_REMAO004.TXT</t>
  </si>
  <si>
    <t>SGMRYCLN_PE202407_REMAO004.TXT</t>
  </si>
  <si>
    <t>SGOKMRCY_PE202601_REMAO004.TXT</t>
  </si>
  <si>
    <t>SGARMERC_PE202509_REMAO004.TXT</t>
  </si>
  <si>
    <t>FINGLOBL_PE202501_REMAO004.TXT</t>
  </si>
  <si>
    <t>SGOKMRCY_PE202602_REMAO004.TXT</t>
  </si>
  <si>
    <t>SGOKMRCY_PE202412_REMAO004.TXT</t>
  </si>
  <si>
    <t>FINGLOBL_PE202407_REMAO004.TXT</t>
  </si>
  <si>
    <t>FINGLOBL_PE202404_REMAO004.TXT</t>
  </si>
  <si>
    <t>SGMRYCLN_PE202606_REMAO004.TXT</t>
  </si>
  <si>
    <t>FINGLOBL_PE202412_REMAO004.TXT</t>
  </si>
  <si>
    <t>FINGLOBL_PE202403_REMAO004.TXT</t>
  </si>
  <si>
    <t>SGMRYCLN_PE202412_REMAO004.TXT</t>
  </si>
  <si>
    <t>FINGLOBL_PE202411_REMAO004.TXT</t>
  </si>
  <si>
    <t>FINGLOBL_PE202506_REMAO004.TXT</t>
  </si>
  <si>
    <t>SGMRYCLN_PE202403_REMAO004.TXT</t>
  </si>
  <si>
    <t>SGARMERC_PE202605_REMAO004.TXT</t>
  </si>
  <si>
    <t>FINGLOBL_PE202604_REMAO004.TXT</t>
  </si>
  <si>
    <t>SGMRYCLN_PE202404_REMAO004.TXT</t>
  </si>
  <si>
    <t>SGOKMRCY_PE202508_REMAO004.TXT</t>
  </si>
  <si>
    <t>SGMRYCLN_PE202601_REMAO004.TXT</t>
  </si>
  <si>
    <t>FINGLOBL_PE202504_REMAO004.TXT</t>
  </si>
  <si>
    <t>SGOKMRCY_PE202501_REMAO004.TXT</t>
  </si>
  <si>
    <t>SGOKMRCY_PE202605_REMAO004.TXT</t>
  </si>
  <si>
    <t>SGARMERC_PE202501_REMAO004.TXT</t>
  </si>
  <si>
    <t>SGMRYCLN_PE202507_REMAO004.TXT</t>
  </si>
  <si>
    <t>SGMRYCLN_PE202408_REMAO004.TXT</t>
  </si>
  <si>
    <t>SGOKMRCY_PE202411_REMAO004.TXT</t>
  </si>
  <si>
    <t>SGOKMRCY_PE202502_REMAO004.TXT</t>
  </si>
  <si>
    <t>SGOKMRCY_PE202410_REMAO004.TXT</t>
  </si>
  <si>
    <t>SGMRYCLN_PE202508_REMAO004.TXT</t>
  </si>
  <si>
    <t>SGMRYCLN_PE202405_REMAO004.TXT</t>
  </si>
  <si>
    <t>MHS_MA_MAO4_202601_20260204.txt</t>
  </si>
  <si>
    <t>MHS_MA_MAO4_202603_20260407.txt</t>
  </si>
  <si>
    <t>MERCYSPRINGFIELD_MAO_YTD_THRU_Feb_2025_RUNOUT.txt</t>
  </si>
  <si>
    <t>SGMRYCLN_PE202411_REMAO004.TXT</t>
  </si>
  <si>
    <t>SGMRYCLN_PE202502_REMAO004.TXT</t>
  </si>
  <si>
    <t>MERCYSPRINGFIELD_MAO_YTD_THRU_Apr_2025_RUNOUT.txt</t>
  </si>
  <si>
    <t>FFV.MA_MAO004.MERCYOK.1214771.20240723.144648327.TXT</t>
  </si>
  <si>
    <t>MERCYAFFILIATES_MAO_YTD_THRU_Sep_2024_RUNOUT.txt</t>
  </si>
  <si>
    <t>MHS_MA_MAO4_202602_20260302.txt</t>
  </si>
  <si>
    <t>MERCYSPRINGFIELD_MAO_YTD_THRU_Nov_2025.txt</t>
  </si>
  <si>
    <t>SGMRYCLN_PE202504_REMAO004.TXT</t>
  </si>
  <si>
    <t>FFV.MA_MAO004.MERCYOK.1214771.20240821.103159907.TXT</t>
  </si>
  <si>
    <t>FFV.MA_MAO004.MERCYOK.1214771.20260521.180338616.txt</t>
  </si>
  <si>
    <t>FFV.MA_MAO004.MERCYOK.1214771.20241125.131337085.TXT</t>
  </si>
  <si>
    <t>FFV.MA_MAO004.MERCYOK.1214771.20251028.232935805.TXT</t>
  </si>
  <si>
    <t>MHS_MA_MAO4_202604_20260502.txt</t>
  </si>
  <si>
    <t>SGARMERC_PE202406_REMAO004.TXT</t>
  </si>
  <si>
    <t>FINGLOBL_PE202508_REMAO004.TXT</t>
  </si>
  <si>
    <t>FFV.MA_MAO004.MERCYOK.1214771.20241224.110503321.TXT</t>
  </si>
  <si>
    <t>FFV.MA_MAO004.MERCYOK.1214771.20260227.131832682.txt</t>
  </si>
  <si>
    <t>SGOKMRCY_PE202509_REMAO004.TXT</t>
  </si>
  <si>
    <t>SGOKMRCY_PE202402_REMAO004.TXT</t>
  </si>
  <si>
    <t>SGMRYCLN_PE202409_REMAO004.TXT</t>
  </si>
  <si>
    <t>SGOKMRCY_PE202409_REMAO004.TXT</t>
  </si>
  <si>
    <t>FINGLOBL_PE202512_REMAO004.TXT</t>
  </si>
  <si>
    <t>FINGLOBL_PE202507_REMAO004.TXT</t>
  </si>
  <si>
    <t>FFV.MA_MAO004.MERCYOK.1214771.20250122.153105538.TXT</t>
  </si>
  <si>
    <t>FFV.MA_MAO004.MERCYOK.1214771.20250325.193538008.TXT</t>
  </si>
  <si>
    <t>FFV.MA_MAO004.MERCYOK.1214771.20251124.151406883.TXT</t>
  </si>
  <si>
    <t>FFV.MA_MAO004.MERCYOK.1214771.20250225.145234355.TXT</t>
  </si>
  <si>
    <t>SGOKMRCY_PE202406_REMAO004.TXT</t>
  </si>
  <si>
    <t>MHS_MA_MAO4_202507_20250802.txt</t>
  </si>
  <si>
    <t>SGOKMRCY_PE202403_REMAO004.TXT</t>
  </si>
  <si>
    <t>SGMRYCLN_PE202512_REMAO004.TXT</t>
  </si>
  <si>
    <t>SGOKMRCY_PE202404_REMAO004.TXT</t>
  </si>
  <si>
    <t>SGARMERC_PE202506_REMAO004.TXT</t>
  </si>
  <si>
    <t>SGARMERC_PE202606_REMAO004.TXT</t>
  </si>
  <si>
    <t>FINGLOBL_PE202602_REMAO004.TXT</t>
  </si>
  <si>
    <t>MERCYSPRINGFIELD_MAO_YTD_THRU_Mar_2026.txt</t>
  </si>
  <si>
    <t>SGARMERC_PE202603_REMAO004.TXT</t>
  </si>
  <si>
    <t>SGARMERC_PE202504_REMAO004.TXT</t>
  </si>
  <si>
    <t>SGOKMRCY_PE202401_REMAO004.TXT</t>
  </si>
  <si>
    <t>SGOKMRCY_PE202507_REMAO004.TXT</t>
  </si>
  <si>
    <t>SGARMERC_PE202405_REMAO004.TXT</t>
  </si>
  <si>
    <t>FINGLOBL_PE202605_REMAO004.TXT</t>
  </si>
  <si>
    <t>SGARMERC_PE202510_REMAO004.TXT</t>
  </si>
  <si>
    <t>SGMRYCLN_PE202501_REMAO004.TXT</t>
  </si>
  <si>
    <t>SGOKMRCY_PE202503_REMAO004.TXT</t>
  </si>
  <si>
    <t>SGMRYCLN_PE202603_REMAO004.TXT</t>
  </si>
  <si>
    <t>MERCYSPRINGFIELD_MAO_YTD_THRU_Aug_2025.txt</t>
  </si>
  <si>
    <t>MERCYAFFILIATES_MAO_YTD_THRU_Jul_2025.txt</t>
  </si>
  <si>
    <t>FFV.MA_MAO004.MERCYOK.1214771.20260123.122553114.TXT</t>
  </si>
  <si>
    <t>SGARMERC_PE202604_REMAO004.TXT</t>
  </si>
  <si>
    <t>MERCYAFFILIATES_MAO_YTD_THRU_Oct_2025.txt</t>
  </si>
  <si>
    <t>MERCYOKPHYS_MAO_YTD_THRU_Mar_2025_RUNOUT.txt</t>
  </si>
  <si>
    <t>MERCYOKPHYS_MAO_YTD_THRU_Jan_2025_RUNOUT.txt</t>
  </si>
  <si>
    <t>MERCYAFFILIATES_MAO_YTD_THRU_Mar_2025_RUNOUT.txt</t>
  </si>
  <si>
    <t>MERCYSPRINGFIELD_MAO_YTD_THRU_Feb_2026.txt</t>
  </si>
  <si>
    <t>MERCYAFFILIATES_MAO_YTD_THRU_Nov_2025.txt</t>
  </si>
  <si>
    <t>FFV.MA_MAO004.MERCYOK.1214771.20240126.143710579.TXT</t>
  </si>
  <si>
    <t>SGARMERC_PE202403_REMAO004.TXT</t>
  </si>
  <si>
    <t>SGOKMRCY_PE202606_REMAO004.TXT</t>
  </si>
  <si>
    <t>MERCYAFFILIATES_MAO_YTD_THRU_Jun_2025.txt</t>
  </si>
  <si>
    <t>MERCYAFFILIATES_MAO_YTD_THRU_Mar_2026.txt</t>
  </si>
  <si>
    <t>FINGLOBL_PE202511_REMAO004.TXT</t>
  </si>
  <si>
    <t>MERCYSPRINGFIELD_MAO_YTD_THRU_Mar_2025_RUNOUT.txt</t>
  </si>
  <si>
    <t>MERCYAFFILIATES_MAO_YTD_THRU_Apr_2025_RUNOUT.txt</t>
  </si>
  <si>
    <t>MERCYAFFILIATES_MAO_YTD_THRU_Apr_2026.txt</t>
  </si>
  <si>
    <t>SGARMERC_PE202602_REMAO004.TXT</t>
  </si>
  <si>
    <t>FFV.MA_MAO004.MERCYOK.1214771.20250425.195942281.TXT</t>
  </si>
  <si>
    <t>MERCYSPRINGFIELD_MAO_YTD_THRU_Jul_2025.txt</t>
  </si>
  <si>
    <t>MERCYOKPHYS_MAO_YTD_THRU_Dec_2025.txt</t>
  </si>
  <si>
    <t>MERCYSPRINGFIELD_MAO_YTD_THRU_Dec_2025.txt</t>
  </si>
  <si>
    <t>MERCYOKPHYS_MAO_YTD_THRU_Apr_2026.txt</t>
  </si>
  <si>
    <t>MERCYAFFILIATES_MAO_YTD_THRU_Feb_2025_RUNOUT.txt</t>
  </si>
  <si>
    <t>SGARMERC_PE202410_REMAO004.TXT</t>
  </si>
  <si>
    <t>MERCYSPRINGFIELD_MAO_YTD_THRU_Jan_2025_RUNOUT.txt</t>
  </si>
  <si>
    <t>MERCYOKPHYS_MAO_YTD_THRU_Jun_2025.txt</t>
  </si>
  <si>
    <t>MERCYAFFILIATES_MAO_YTD_THRU_Sep_2025.txt</t>
  </si>
  <si>
    <t>MERCYOKPHYS_MAO_YTD_THRU_Apr_2025_RUNOUT.txt</t>
  </si>
  <si>
    <t>MERCYOKPHYS_MAO_YTD_THRU_Feb_2025_RUNOUT.txt</t>
  </si>
  <si>
    <t>MERCYOKPHYS_MAO_YTD_THRU_Oct_2025.txt</t>
  </si>
  <si>
    <t>MERCYSPRINGFIELD_MAO_YTD_THRU_Jun_2025.txt</t>
  </si>
  <si>
    <t>MERCYOKPHYS_MAO_YTD_THRU_Aug_2025.txt</t>
  </si>
  <si>
    <t>MERCYOKPHYS_MAO_YTD_THRU_Sep_2025.txt</t>
  </si>
  <si>
    <t>MERCYOKPHYS_MAO_YTD_THRU_Mar_2026.txt</t>
  </si>
  <si>
    <t>MERCYOKPHYS_MAO_YTD_THRU_Feb_2026.txt</t>
  </si>
  <si>
    <t>MERCYSPRINGFIELD_MAO_YTD_THRU_Jan_2026.txt</t>
  </si>
  <si>
    <t>MERCYSPRINGFIELD_MAO_YTD_THRU_Apr_2026.txt</t>
  </si>
  <si>
    <t>MERCYAFFILIATES_MAO_YTD_THRU_Jan_2026.txt</t>
  </si>
  <si>
    <t>MERCYOKPHYS_MAO_YTD_THRU_Jan_2026.txt</t>
  </si>
  <si>
    <t>MERCYAFFILIATES_MAO_YTD_THRU_Feb_2026.txt</t>
  </si>
  <si>
    <t>)</t>
  </si>
  <si>
    <t># Add DOS_THRU_YYYYMM (first 6 chars of DOS_THRU_DT) for grouping</t>
  </si>
  <si>
    <t># Parent count using same distinct grain at file level (PAYER + SRC_FILE_NM)</t>
  </si>
  <si>
    <t># Record count with grain of MEMBER_IDENTIFIER, DOS_THRU_DT, DX_CD grouped by PAYER, SRC_FILE_NM, DOS_THRU_YYYYMM</t>
  </si>
  <si>
    <t># Join parent count (distinct-to-distinct)</t>
  </si>
  <si>
    <t>    mao04_cnt_grain_parent,</t>
  </si>
  <si>
    <t>mao_df_with_mbr = mao_df.withColumn(</t>
  </si>
  <si>
    <t>    "MEMBER_IDENTIFIER",</t>
  </si>
  <si>
    <t>    when(col("PAYER") == "UnitedHealthcare", col("HICN_MBI")).otherwise(col("MBR_ID"))</t>
  </si>
  <si>
    <t>mao_df_with_mbr = mao_df_with_mbr.withColumn("DOS_THRU_YYYYMM", substring(col("DOS_THRU_DT"), 1, 6))</t>
  </si>
  <si>
    <t>mao04_cnt_grain_parent = mao_df_with_mbr.groupBy("PAYER", "SRC_FILE_NM").agg(</t>
  </si>
  <si>
    <t>    countDistinct("MEMBER_IDENTIFIER", "DOS_THRU_DT", "DX_CD").alias("SUBMSN_RECORD_CNT")</t>
  </si>
  <si>
    <t>mao04_cnt_grain_df = mao_df_with_mbr.groupBy("PAYER", "SRC_FILE_NM", "DOS_THRU_YYYYMM").agg(</t>
  </si>
  <si>
    <t>    countDistinct("MEMBER_IDENTIFIER", "DOS_THRU_DT", "DX_CD").alias("RECORD_CNT")</t>
  </si>
  <si>
    <t>mao04_cnt_grain_df = mao04_cnt_grain_df.join(</t>
  </si>
  <si>
    <t>    ["PAYER", "SRC_FILE_NM"],</t>
  </si>
  <si>
    <t>    "left"</t>
  </si>
  <si>
    <t>mao04_cnt_grain_df = mao04_cnt_grain_df.withColumn("RECORD_PCT", round((col("RECORD_CNT") / col("SUBMSN_RECORD_CNT")) * 100, 2))</t>
  </si>
  <si>
    <t>mao04_cnt_grain_df = mao04_cnt_grain_df.withColumn("DQS_CHECK_ID", lit("DQS_MAO04_FILE_000_B"))</t>
  </si>
  <si>
    <t>mao04_cnt_grain_df = mao04_cnt_grain_df.withColumn("DQS_CHECK_NAME", lit("RECORD COUNT by MBR_ID, DOS_THRU_DT, DX_CD Grain grouped by PAYER, SRC_FILE_NM, DOS_THRU_YYYYMM"))</t>
  </si>
  <si>
    <t>display(mao04_cnt_grain_df)</t>
  </si>
  <si>
    <t>Row Labels</t>
  </si>
  <si>
    <t>Grand Total</t>
  </si>
  <si>
    <t>Column Labels</t>
  </si>
  <si>
    <t>Sum of RECORD_CNT</t>
  </si>
  <si>
    <t>Year</t>
  </si>
  <si>
    <t>(Multiple Items)</t>
  </si>
  <si>
    <t>BCBS Arkansas</t>
  </si>
  <si>
    <t>Essence</t>
  </si>
  <si>
    <t>Global Health</t>
  </si>
  <si>
    <t>Dec2025 Membership</t>
  </si>
  <si>
    <t>BCBS Oklahoma</t>
  </si>
  <si>
    <t>Current Membershp</t>
  </si>
  <si>
    <t>Denominator Membership</t>
  </si>
  <si>
    <t>MAO Row Count</t>
  </si>
  <si>
    <t>HP</t>
  </si>
  <si>
    <t>Approx. Membership Size</t>
  </si>
  <si>
    <t>Row Per Member</t>
  </si>
  <si>
    <t>UHC</t>
  </si>
  <si>
    <t>Current</t>
  </si>
  <si>
    <t>Payer Membership</t>
  </si>
  <si>
    <t>BCBS OK</t>
  </si>
  <si>
    <t>MAO004 Row Count From Pivot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</si>
</sst>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Consolas"/>
      <family val="3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32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20" fillId="0" borderId="0" xfId="42"/>
    <xf numFmtId="3" fontId="20" fillId="0" borderId="0" xfId="42" applyNumberFormat="1"/>
    <xf numFmtId="0" fontId="20" fillId="0" borderId="0" xfId="42" pivotButton="1"/>
    <xf numFmtId="0" fontId="0" fillId="0" borderId="0" xfId="0" applyAlignment="1">
      <alignment horizontal="center"/>
    </xf>
    <xf numFmtId="0" fontId="20" fillId="0" borderId="0" xfId="42" applyAlignment="1">
      <alignment horizontal="left"/>
    </xf>
    <xf numFmtId="0" fontId="16" fillId="33" borderId="10" xfId="0" applyFont="1" applyFill="1" applyBorder="1" applyAlignment="1">
      <alignment wrapText="1"/>
    </xf>
    <xf numFmtId="3" fontId="0" fillId="0" borderId="0" xfId="0" applyNumberFormat="1"/>
    <xf numFmtId="0" fontId="16" fillId="33" borderId="0" xfId="0" applyFont="1" applyFill="1"/>
    <xf numFmtId="0" fontId="13" fillId="34" borderId="0" xfId="42" applyFont="1" applyFill="1" applyAlignment="1">
      <alignment vertical="top"/>
    </xf>
    <xf numFmtId="0" fontId="13" fillId="34" borderId="0" xfId="0" applyFont="1" applyFill="1" applyAlignment="1">
      <alignment vertical="top" wrapText="1"/>
    </xf>
    <xf numFmtId="0" fontId="16" fillId="33" borderId="11" xfId="0" applyFont="1" applyFill="1" applyBorder="1"/>
    <xf numFmtId="0" fontId="0" fillId="0" borderId="13" xfId="0" applyBorder="1" applyAlignment="1">
      <alignment horizontal="left"/>
    </xf>
    <xf numFmtId="164" fontId="0" fillId="0" borderId="14" xfId="0" applyNumberFormat="1" applyBorder="1"/>
    <xf numFmtId="0" fontId="0" fillId="0" borderId="15" xfId="0" applyBorder="1" applyAlignment="1">
      <alignment horizontal="left"/>
    </xf>
    <xf numFmtId="164" fontId="0" fillId="0" borderId="16" xfId="0" applyNumberFormat="1" applyBorder="1"/>
    <xf numFmtId="164" fontId="0" fillId="0" borderId="17" xfId="0" applyNumberFormat="1" applyBorder="1"/>
    <xf numFmtId="0" fontId="16" fillId="33" borderId="14" xfId="0" applyFont="1" applyFill="1" applyBorder="1"/>
    <xf numFmtId="43" fontId="0" fillId="0" borderId="14" xfId="0" applyNumberFormat="1" applyBorder="1"/>
    <xf numFmtId="3" fontId="0" fillId="0" borderId="16" xfId="0" applyNumberFormat="1" applyBorder="1"/>
    <xf numFmtId="43" fontId="0" fillId="0" borderId="17" xfId="0" applyNumberFormat="1" applyBorder="1"/>
    <xf numFmtId="0" fontId="16" fillId="33" borderId="12" xfId="0" applyFont="1" applyFill="1" applyBorder="1" applyAlignment="1">
      <alignment horizontal="center"/>
    </xf>
    <xf numFmtId="17" fontId="13" fillId="34" borderId="0" xfId="42" applyNumberFormat="1" applyFont="1" applyFill="1" applyAlignment="1">
      <alignment vertical="top" wrapText="1"/>
    </xf>
    <xf numFmtId="0" fontId="0" fillId="35" borderId="18" xfId="0" applyFill="1" applyBorder="1" applyAlignment="1">
      <alignment horizontal="center"/>
    </xf>
    <xf numFmtId="0" fontId="0" fillId="35" borderId="19" xfId="0" applyFill="1" applyBorder="1" applyAlignment="1">
      <alignment horizontal="center"/>
    </xf>
    <xf numFmtId="0" fontId="0" fillId="35" borderId="20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494EB88-5433-4061-BF9E-5BE184DBEA7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r Rawat" refreshedDate="46190.686876041669" createdVersion="8" refreshedVersion="8" minRefreshableVersion="3" recordCount="8104" xr:uid="{80288ABA-CC1B-451F-88B7-9C30DD0BCD1F}">
  <cacheSource type="worksheet">
    <worksheetSource ref="A1:I8105" sheet="Counts"/>
  </cacheSource>
  <cacheFields count="9">
    <cacheField name="PAYER" numFmtId="0">
      <sharedItems count="4">
        <s v="Aetna"/>
        <s v="BCBSOK"/>
        <s v="Humana"/>
        <s v="UnitedHealthcare"/>
      </sharedItems>
    </cacheField>
    <cacheField name="SRC_FILE_NM" numFmtId="0">
      <sharedItems/>
    </cacheField>
    <cacheField name="DOS_THRU_YYYYMM" numFmtId="0">
      <sharedItems containsSemiMixedTypes="0" containsString="0" containsNumber="1" containsInteger="1" minValue="201407" maxValue="202604" count="133">
        <n v="201510"/>
        <n v="201511"/>
        <n v="201607"/>
        <n v="201608"/>
        <n v="201609"/>
        <n v="201610"/>
        <n v="201702"/>
        <n v="201703"/>
        <n v="201704"/>
        <n v="201705"/>
        <n v="201706"/>
        <n v="201707"/>
        <n v="201708"/>
        <n v="201709"/>
        <n v="201710"/>
        <n v="201711"/>
        <n v="201712"/>
        <n v="201801"/>
        <n v="201802"/>
        <n v="201803"/>
        <n v="201804"/>
        <n v="201805"/>
        <n v="201806"/>
        <n v="201807"/>
        <n v="201808"/>
        <n v="201809"/>
        <n v="201810"/>
        <n v="201811"/>
        <n v="201812"/>
        <n v="201901"/>
        <n v="201902"/>
        <n v="201903"/>
        <n v="201904"/>
        <n v="201905"/>
        <n v="201906"/>
        <n v="201907"/>
        <n v="201908"/>
        <n v="201909"/>
        <n v="201910"/>
        <n v="201911"/>
        <n v="201912"/>
        <n v="202001"/>
        <n v="202002"/>
        <n v="202003"/>
        <n v="202004"/>
        <n v="202005"/>
        <n v="202006"/>
        <n v="202007"/>
        <n v="202008"/>
        <n v="202009"/>
        <n v="202010"/>
        <n v="202011"/>
        <n v="202012"/>
        <n v="202101"/>
        <n v="202102"/>
        <n v="202103"/>
        <n v="202104"/>
        <n v="202105"/>
        <n v="202106"/>
        <n v="202107"/>
        <n v="202108"/>
        <n v="202109"/>
        <n v="202110"/>
        <n v="202111"/>
        <n v="202112"/>
        <n v="202201"/>
        <n v="202202"/>
        <n v="202203"/>
        <n v="202204"/>
        <n v="202205"/>
        <n v="202206"/>
        <n v="202207"/>
        <n v="202208"/>
        <n v="202209"/>
        <n v="202210"/>
        <n v="202211"/>
        <n v="202212"/>
        <n v="202301"/>
        <n v="202302"/>
        <n v="202303"/>
        <n v="202304"/>
        <n v="202305"/>
        <n v="202306"/>
        <n v="202307"/>
        <n v="202308"/>
        <n v="202309"/>
        <n v="202310"/>
        <n v="202311"/>
        <n v="202312"/>
        <n v="202401"/>
        <n v="201412"/>
        <n v="201503"/>
        <n v="201504"/>
        <n v="201505"/>
        <n v="201506"/>
        <n v="201508"/>
        <n v="201509"/>
        <n v="202402"/>
        <n v="202403"/>
        <n v="202404"/>
        <n v="202405"/>
        <n v="201501"/>
        <n v="202406"/>
        <n v="202407"/>
        <n v="201502"/>
        <n v="202408"/>
        <n v="202409"/>
        <n v="202410"/>
        <n v="202411"/>
        <n v="202412"/>
        <n v="202501"/>
        <n v="202502"/>
        <n v="202503"/>
        <n v="202504"/>
        <n v="202505"/>
        <n v="202506"/>
        <n v="202507"/>
        <n v="202508"/>
        <n v="202509"/>
        <n v="202510"/>
        <n v="202511"/>
        <n v="202512"/>
        <n v="202601"/>
        <n v="202602"/>
        <n v="202603"/>
        <n v="202604"/>
        <n v="201601"/>
        <n v="201612"/>
        <n v="201512"/>
        <n v="201604"/>
        <n v="201701"/>
        <n v="201407"/>
        <n v="201611"/>
      </sharedItems>
    </cacheField>
    <cacheField name="Year" numFmtId="0">
      <sharedItems count="13">
        <s v="2015"/>
        <s v="2016"/>
        <s v="2017"/>
        <s v="2018"/>
        <s v="2019"/>
        <s v="2020"/>
        <s v="2021"/>
        <s v="2022"/>
        <s v="2023"/>
        <s v="2024"/>
        <s v="2014"/>
        <s v="2025"/>
        <s v="2026"/>
      </sharedItems>
    </cacheField>
    <cacheField name="RECORD_CNT" numFmtId="0">
      <sharedItems containsSemiMixedTypes="0" containsString="0" containsNumber="1" containsInteger="1" minValue="1" maxValue="721812"/>
    </cacheField>
    <cacheField name="SUBMSN_RECORD_CNT" numFmtId="0">
      <sharedItems containsSemiMixedTypes="0" containsString="0" containsNumber="1" containsInteger="1" minValue="32" maxValue="17369246"/>
    </cacheField>
    <cacheField name="RECORD_PCT" numFmtId="0">
      <sharedItems containsSemiMixedTypes="0" containsString="0" containsNumber="1" minValue="0" maxValue="100"/>
    </cacheField>
    <cacheField name="DQS_CHECK_ID" numFmtId="0">
      <sharedItems/>
    </cacheField>
    <cacheField name="DQS_CHECK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04">
  <r>
    <x v="0"/>
    <s v="AETNA_MAO4_202401_20240202.txt"/>
    <x v="0"/>
    <x v="0"/>
    <n v="8"/>
    <n v="9589535"/>
    <n v="0"/>
    <s v="DQS_MAO04_FILE_000_B"/>
    <s v="RECORD COUNT by MBR_ID, DOS_THRU_DT, DX_CD Grain grouped by PAYER, SRC_FILE_NM, DOS_THRU_YYYYMM"/>
  </r>
  <r>
    <x v="0"/>
    <s v="AETNA_MAO4_202401_20240202.txt"/>
    <x v="1"/>
    <x v="0"/>
    <n v="8"/>
    <n v="9589535"/>
    <n v="0"/>
    <s v="DQS_MAO04_FILE_000_B"/>
    <s v="RECORD COUNT by MBR_ID, DOS_THRU_DT, DX_CD Grain grouped by PAYER, SRC_FILE_NM, DOS_THRU_YYYYMM"/>
  </r>
  <r>
    <x v="0"/>
    <s v="AETNA_MAO4_202401_20240202.txt"/>
    <x v="2"/>
    <x v="1"/>
    <n v="2"/>
    <n v="9589535"/>
    <n v="0"/>
    <s v="DQS_MAO04_FILE_000_B"/>
    <s v="RECORD COUNT by MBR_ID, DOS_THRU_DT, DX_CD Grain grouped by PAYER, SRC_FILE_NM, DOS_THRU_YYYYMM"/>
  </r>
  <r>
    <x v="0"/>
    <s v="AETNA_MAO4_202401_20240202.txt"/>
    <x v="3"/>
    <x v="1"/>
    <n v="15"/>
    <n v="9589535"/>
    <n v="0"/>
    <s v="DQS_MAO04_FILE_000_B"/>
    <s v="RECORD COUNT by MBR_ID, DOS_THRU_DT, DX_CD Grain grouped by PAYER, SRC_FILE_NM, DOS_THRU_YYYYMM"/>
  </r>
  <r>
    <x v="0"/>
    <s v="AETNA_MAO4_202401_20240202.txt"/>
    <x v="4"/>
    <x v="1"/>
    <n v="12"/>
    <n v="9589535"/>
    <n v="0"/>
    <s v="DQS_MAO04_FILE_000_B"/>
    <s v="RECORD COUNT by MBR_ID, DOS_THRU_DT, DX_CD Grain grouped by PAYER, SRC_FILE_NM, DOS_THRU_YYYYMM"/>
  </r>
  <r>
    <x v="0"/>
    <s v="AETNA_MAO4_202401_20240202.txt"/>
    <x v="5"/>
    <x v="1"/>
    <n v="32"/>
    <n v="9589535"/>
    <n v="0"/>
    <s v="DQS_MAO04_FILE_000_B"/>
    <s v="RECORD COUNT by MBR_ID, DOS_THRU_DT, DX_CD Grain grouped by PAYER, SRC_FILE_NM, DOS_THRU_YYYYMM"/>
  </r>
  <r>
    <x v="0"/>
    <s v="AETNA_MAO4_202401_20240202.txt"/>
    <x v="6"/>
    <x v="2"/>
    <n v="7"/>
    <n v="9589535"/>
    <n v="0"/>
    <s v="DQS_MAO04_FILE_000_B"/>
    <s v="RECORD COUNT by MBR_ID, DOS_THRU_DT, DX_CD Grain grouped by PAYER, SRC_FILE_NM, DOS_THRU_YYYYMM"/>
  </r>
  <r>
    <x v="0"/>
    <s v="AETNA_MAO4_202401_20240202.txt"/>
    <x v="7"/>
    <x v="2"/>
    <n v="34"/>
    <n v="9589535"/>
    <n v="0"/>
    <s v="DQS_MAO04_FILE_000_B"/>
    <s v="RECORD COUNT by MBR_ID, DOS_THRU_DT, DX_CD Grain grouped by PAYER, SRC_FILE_NM, DOS_THRU_YYYYMM"/>
  </r>
  <r>
    <x v="0"/>
    <s v="AETNA_MAO4_202401_20240202.txt"/>
    <x v="8"/>
    <x v="2"/>
    <n v="13"/>
    <n v="9589535"/>
    <n v="0"/>
    <s v="DQS_MAO04_FILE_000_B"/>
    <s v="RECORD COUNT by MBR_ID, DOS_THRU_DT, DX_CD Grain grouped by PAYER, SRC_FILE_NM, DOS_THRU_YYYYMM"/>
  </r>
  <r>
    <x v="0"/>
    <s v="AETNA_MAO4_202401_20240202.txt"/>
    <x v="9"/>
    <x v="2"/>
    <n v="4"/>
    <n v="9589535"/>
    <n v="0"/>
    <s v="DQS_MAO04_FILE_000_B"/>
    <s v="RECORD COUNT by MBR_ID, DOS_THRU_DT, DX_CD Grain grouped by PAYER, SRC_FILE_NM, DOS_THRU_YYYYMM"/>
  </r>
  <r>
    <x v="0"/>
    <s v="AETNA_MAO4_202401_20240202.txt"/>
    <x v="10"/>
    <x v="2"/>
    <n v="10"/>
    <n v="9589535"/>
    <n v="0"/>
    <s v="DQS_MAO04_FILE_000_B"/>
    <s v="RECORD COUNT by MBR_ID, DOS_THRU_DT, DX_CD Grain grouped by PAYER, SRC_FILE_NM, DOS_THRU_YYYYMM"/>
  </r>
  <r>
    <x v="0"/>
    <s v="AETNA_MAO4_202401_20240202.txt"/>
    <x v="11"/>
    <x v="2"/>
    <n v="39"/>
    <n v="9589535"/>
    <n v="0"/>
    <s v="DQS_MAO04_FILE_000_B"/>
    <s v="RECORD COUNT by MBR_ID, DOS_THRU_DT, DX_CD Grain grouped by PAYER, SRC_FILE_NM, DOS_THRU_YYYYMM"/>
  </r>
  <r>
    <x v="0"/>
    <s v="AETNA_MAO4_202401_20240202.txt"/>
    <x v="12"/>
    <x v="2"/>
    <n v="52"/>
    <n v="9589535"/>
    <n v="0"/>
    <s v="DQS_MAO04_FILE_000_B"/>
    <s v="RECORD COUNT by MBR_ID, DOS_THRU_DT, DX_CD Grain grouped by PAYER, SRC_FILE_NM, DOS_THRU_YYYYMM"/>
  </r>
  <r>
    <x v="0"/>
    <s v="AETNA_MAO4_202401_20240202.txt"/>
    <x v="13"/>
    <x v="2"/>
    <n v="44"/>
    <n v="9589535"/>
    <n v="0"/>
    <s v="DQS_MAO04_FILE_000_B"/>
    <s v="RECORD COUNT by MBR_ID, DOS_THRU_DT, DX_CD Grain grouped by PAYER, SRC_FILE_NM, DOS_THRU_YYYYMM"/>
  </r>
  <r>
    <x v="0"/>
    <s v="AETNA_MAO4_202401_20240202.txt"/>
    <x v="14"/>
    <x v="2"/>
    <n v="45"/>
    <n v="9589535"/>
    <n v="0"/>
    <s v="DQS_MAO04_FILE_000_B"/>
    <s v="RECORD COUNT by MBR_ID, DOS_THRU_DT, DX_CD Grain grouped by PAYER, SRC_FILE_NM, DOS_THRU_YYYYMM"/>
  </r>
  <r>
    <x v="0"/>
    <s v="AETNA_MAO4_202401_20240202.txt"/>
    <x v="15"/>
    <x v="2"/>
    <n v="50"/>
    <n v="9589535"/>
    <n v="0"/>
    <s v="DQS_MAO04_FILE_000_B"/>
    <s v="RECORD COUNT by MBR_ID, DOS_THRU_DT, DX_CD Grain grouped by PAYER, SRC_FILE_NM, DOS_THRU_YYYYMM"/>
  </r>
  <r>
    <x v="0"/>
    <s v="AETNA_MAO4_202401_20240202.txt"/>
    <x v="16"/>
    <x v="2"/>
    <n v="33"/>
    <n v="9589535"/>
    <n v="0"/>
    <s v="DQS_MAO04_FILE_000_B"/>
    <s v="RECORD COUNT by MBR_ID, DOS_THRU_DT, DX_CD Grain grouped by PAYER, SRC_FILE_NM, DOS_THRU_YYYYMM"/>
  </r>
  <r>
    <x v="0"/>
    <s v="AETNA_MAO4_202401_20240202.txt"/>
    <x v="17"/>
    <x v="3"/>
    <n v="387"/>
    <n v="9589535"/>
    <n v="0"/>
    <s v="DQS_MAO04_FILE_000_B"/>
    <s v="RECORD COUNT by MBR_ID, DOS_THRU_DT, DX_CD Grain grouped by PAYER, SRC_FILE_NM, DOS_THRU_YYYYMM"/>
  </r>
  <r>
    <x v="0"/>
    <s v="AETNA_MAO4_202401_20240202.txt"/>
    <x v="18"/>
    <x v="3"/>
    <n v="285"/>
    <n v="9589535"/>
    <n v="0"/>
    <s v="DQS_MAO04_FILE_000_B"/>
    <s v="RECORD COUNT by MBR_ID, DOS_THRU_DT, DX_CD Grain grouped by PAYER, SRC_FILE_NM, DOS_THRU_YYYYMM"/>
  </r>
  <r>
    <x v="0"/>
    <s v="AETNA_MAO4_202401_20240202.txt"/>
    <x v="19"/>
    <x v="3"/>
    <n v="403"/>
    <n v="9589535"/>
    <n v="0"/>
    <s v="DQS_MAO04_FILE_000_B"/>
    <s v="RECORD COUNT by MBR_ID, DOS_THRU_DT, DX_CD Grain grouped by PAYER, SRC_FILE_NM, DOS_THRU_YYYYMM"/>
  </r>
  <r>
    <x v="0"/>
    <s v="AETNA_MAO4_202401_20240202.txt"/>
    <x v="20"/>
    <x v="3"/>
    <n v="385"/>
    <n v="9589535"/>
    <n v="0"/>
    <s v="DQS_MAO04_FILE_000_B"/>
    <s v="RECORD COUNT by MBR_ID, DOS_THRU_DT, DX_CD Grain grouped by PAYER, SRC_FILE_NM, DOS_THRU_YYYYMM"/>
  </r>
  <r>
    <x v="0"/>
    <s v="AETNA_MAO4_202401_20240202.txt"/>
    <x v="21"/>
    <x v="3"/>
    <n v="476"/>
    <n v="9589535"/>
    <n v="0"/>
    <s v="DQS_MAO04_FILE_000_B"/>
    <s v="RECORD COUNT by MBR_ID, DOS_THRU_DT, DX_CD Grain grouped by PAYER, SRC_FILE_NM, DOS_THRU_YYYYMM"/>
  </r>
  <r>
    <x v="0"/>
    <s v="AETNA_MAO4_202401_20240202.txt"/>
    <x v="22"/>
    <x v="3"/>
    <n v="384"/>
    <n v="9589535"/>
    <n v="0"/>
    <s v="DQS_MAO04_FILE_000_B"/>
    <s v="RECORD COUNT by MBR_ID, DOS_THRU_DT, DX_CD Grain grouped by PAYER, SRC_FILE_NM, DOS_THRU_YYYYMM"/>
  </r>
  <r>
    <x v="0"/>
    <s v="AETNA_MAO4_202401_20240202.txt"/>
    <x v="23"/>
    <x v="3"/>
    <n v="368"/>
    <n v="9589535"/>
    <n v="0"/>
    <s v="DQS_MAO04_FILE_000_B"/>
    <s v="RECORD COUNT by MBR_ID, DOS_THRU_DT, DX_CD Grain grouped by PAYER, SRC_FILE_NM, DOS_THRU_YYYYMM"/>
  </r>
  <r>
    <x v="0"/>
    <s v="AETNA_MAO4_202401_20240202.txt"/>
    <x v="24"/>
    <x v="3"/>
    <n v="709"/>
    <n v="9589535"/>
    <n v="0.01"/>
    <s v="DQS_MAO04_FILE_000_B"/>
    <s v="RECORD COUNT by MBR_ID, DOS_THRU_DT, DX_CD Grain grouped by PAYER, SRC_FILE_NM, DOS_THRU_YYYYMM"/>
  </r>
  <r>
    <x v="0"/>
    <s v="AETNA_MAO4_202401_20240202.txt"/>
    <x v="25"/>
    <x v="3"/>
    <n v="464"/>
    <n v="9589535"/>
    <n v="0"/>
    <s v="DQS_MAO04_FILE_000_B"/>
    <s v="RECORD COUNT by MBR_ID, DOS_THRU_DT, DX_CD Grain grouped by PAYER, SRC_FILE_NM, DOS_THRU_YYYYMM"/>
  </r>
  <r>
    <x v="0"/>
    <s v="AETNA_MAO4_202401_20240202.txt"/>
    <x v="26"/>
    <x v="3"/>
    <n v="813"/>
    <n v="9589535"/>
    <n v="0.01"/>
    <s v="DQS_MAO04_FILE_000_B"/>
    <s v="RECORD COUNT by MBR_ID, DOS_THRU_DT, DX_CD Grain grouped by PAYER, SRC_FILE_NM, DOS_THRU_YYYYMM"/>
  </r>
  <r>
    <x v="0"/>
    <s v="AETNA_MAO4_202401_20240202.txt"/>
    <x v="27"/>
    <x v="3"/>
    <n v="590"/>
    <n v="9589535"/>
    <n v="0.01"/>
    <s v="DQS_MAO04_FILE_000_B"/>
    <s v="RECORD COUNT by MBR_ID, DOS_THRU_DT, DX_CD Grain grouped by PAYER, SRC_FILE_NM, DOS_THRU_YYYYMM"/>
  </r>
  <r>
    <x v="0"/>
    <s v="AETNA_MAO4_202401_20240202.txt"/>
    <x v="28"/>
    <x v="3"/>
    <n v="779"/>
    <n v="9589535"/>
    <n v="0.01"/>
    <s v="DQS_MAO04_FILE_000_B"/>
    <s v="RECORD COUNT by MBR_ID, DOS_THRU_DT, DX_CD Grain grouped by PAYER, SRC_FILE_NM, DOS_THRU_YYYYMM"/>
  </r>
  <r>
    <x v="0"/>
    <s v="AETNA_MAO4_202401_20240202.txt"/>
    <x v="29"/>
    <x v="4"/>
    <n v="23186"/>
    <n v="9589535"/>
    <n v="0.24"/>
    <s v="DQS_MAO04_FILE_000_B"/>
    <s v="RECORD COUNT by MBR_ID, DOS_THRU_DT, DX_CD Grain grouped by PAYER, SRC_FILE_NM, DOS_THRU_YYYYMM"/>
  </r>
  <r>
    <x v="0"/>
    <s v="AETNA_MAO4_202401_20240202.txt"/>
    <x v="30"/>
    <x v="4"/>
    <n v="21915"/>
    <n v="9589535"/>
    <n v="0.23"/>
    <s v="DQS_MAO04_FILE_000_B"/>
    <s v="RECORD COUNT by MBR_ID, DOS_THRU_DT, DX_CD Grain grouped by PAYER, SRC_FILE_NM, DOS_THRU_YYYYMM"/>
  </r>
  <r>
    <x v="0"/>
    <s v="AETNA_MAO4_202401_20240202.txt"/>
    <x v="31"/>
    <x v="4"/>
    <n v="25159"/>
    <n v="9589535"/>
    <n v="0.26"/>
    <s v="DQS_MAO04_FILE_000_B"/>
    <s v="RECORD COUNT by MBR_ID, DOS_THRU_DT, DX_CD Grain grouped by PAYER, SRC_FILE_NM, DOS_THRU_YYYYMM"/>
  </r>
  <r>
    <x v="0"/>
    <s v="AETNA_MAO4_202401_20240202.txt"/>
    <x v="32"/>
    <x v="4"/>
    <n v="26127"/>
    <n v="9589535"/>
    <n v="0.27"/>
    <s v="DQS_MAO04_FILE_000_B"/>
    <s v="RECORD COUNT by MBR_ID, DOS_THRU_DT, DX_CD Grain grouped by PAYER, SRC_FILE_NM, DOS_THRU_YYYYMM"/>
  </r>
  <r>
    <x v="0"/>
    <s v="AETNA_MAO4_202401_20240202.txt"/>
    <x v="33"/>
    <x v="4"/>
    <n v="25629"/>
    <n v="9589535"/>
    <n v="0.27"/>
    <s v="DQS_MAO04_FILE_000_B"/>
    <s v="RECORD COUNT by MBR_ID, DOS_THRU_DT, DX_CD Grain grouped by PAYER, SRC_FILE_NM, DOS_THRU_YYYYMM"/>
  </r>
  <r>
    <x v="0"/>
    <s v="AETNA_MAO4_202401_20240202.txt"/>
    <x v="34"/>
    <x v="4"/>
    <n v="24569"/>
    <n v="9589535"/>
    <n v="0.26"/>
    <s v="DQS_MAO04_FILE_000_B"/>
    <s v="RECORD COUNT by MBR_ID, DOS_THRU_DT, DX_CD Grain grouped by PAYER, SRC_FILE_NM, DOS_THRU_YYYYMM"/>
  </r>
  <r>
    <x v="0"/>
    <s v="AETNA_MAO4_202401_20240202.txt"/>
    <x v="35"/>
    <x v="4"/>
    <n v="25747"/>
    <n v="9589535"/>
    <n v="0.27"/>
    <s v="DQS_MAO04_FILE_000_B"/>
    <s v="RECORD COUNT by MBR_ID, DOS_THRU_DT, DX_CD Grain grouped by PAYER, SRC_FILE_NM, DOS_THRU_YYYYMM"/>
  </r>
  <r>
    <x v="0"/>
    <s v="AETNA_MAO4_202401_20240202.txt"/>
    <x v="36"/>
    <x v="4"/>
    <n v="25947"/>
    <n v="9589535"/>
    <n v="0.27"/>
    <s v="DQS_MAO04_FILE_000_B"/>
    <s v="RECORD COUNT by MBR_ID, DOS_THRU_DT, DX_CD Grain grouped by PAYER, SRC_FILE_NM, DOS_THRU_YYYYMM"/>
  </r>
  <r>
    <x v="0"/>
    <s v="AETNA_MAO4_202401_20240202.txt"/>
    <x v="37"/>
    <x v="4"/>
    <n v="25373"/>
    <n v="9589535"/>
    <n v="0.26"/>
    <s v="DQS_MAO04_FILE_000_B"/>
    <s v="RECORD COUNT by MBR_ID, DOS_THRU_DT, DX_CD Grain grouped by PAYER, SRC_FILE_NM, DOS_THRU_YYYYMM"/>
  </r>
  <r>
    <x v="0"/>
    <s v="AETNA_MAO4_202401_20240202.txt"/>
    <x v="38"/>
    <x v="4"/>
    <n v="31364"/>
    <n v="9589535"/>
    <n v="0.33"/>
    <s v="DQS_MAO04_FILE_000_B"/>
    <s v="RECORD COUNT by MBR_ID, DOS_THRU_DT, DX_CD Grain grouped by PAYER, SRC_FILE_NM, DOS_THRU_YYYYMM"/>
  </r>
  <r>
    <x v="0"/>
    <s v="AETNA_MAO4_202401_20240202.txt"/>
    <x v="39"/>
    <x v="4"/>
    <n v="24612"/>
    <n v="9589535"/>
    <n v="0.26"/>
    <s v="DQS_MAO04_FILE_000_B"/>
    <s v="RECORD COUNT by MBR_ID, DOS_THRU_DT, DX_CD Grain grouped by PAYER, SRC_FILE_NM, DOS_THRU_YYYYMM"/>
  </r>
  <r>
    <x v="0"/>
    <s v="AETNA_MAO4_202401_20240202.txt"/>
    <x v="40"/>
    <x v="4"/>
    <n v="24631"/>
    <n v="9589535"/>
    <n v="0.26"/>
    <s v="DQS_MAO04_FILE_000_B"/>
    <s v="RECORD COUNT by MBR_ID, DOS_THRU_DT, DX_CD Grain grouped by PAYER, SRC_FILE_NM, DOS_THRU_YYYYMM"/>
  </r>
  <r>
    <x v="0"/>
    <s v="AETNA_MAO4_202401_20240202.txt"/>
    <x v="41"/>
    <x v="5"/>
    <n v="94406"/>
    <n v="9589535"/>
    <n v="0.98"/>
    <s v="DQS_MAO04_FILE_000_B"/>
    <s v="RECORD COUNT by MBR_ID, DOS_THRU_DT, DX_CD Grain grouped by PAYER, SRC_FILE_NM, DOS_THRU_YYYYMM"/>
  </r>
  <r>
    <x v="0"/>
    <s v="AETNA_MAO4_202401_20240202.txt"/>
    <x v="42"/>
    <x v="5"/>
    <n v="88080"/>
    <n v="9589535"/>
    <n v="0.92"/>
    <s v="DQS_MAO04_FILE_000_B"/>
    <s v="RECORD COUNT by MBR_ID, DOS_THRU_DT, DX_CD Grain grouped by PAYER, SRC_FILE_NM, DOS_THRU_YYYYMM"/>
  </r>
  <r>
    <x v="0"/>
    <s v="AETNA_MAO4_202401_20240202.txt"/>
    <x v="43"/>
    <x v="5"/>
    <n v="71443"/>
    <n v="9589535"/>
    <n v="0.75"/>
    <s v="DQS_MAO04_FILE_000_B"/>
    <s v="RECORD COUNT by MBR_ID, DOS_THRU_DT, DX_CD Grain grouped by PAYER, SRC_FILE_NM, DOS_THRU_YYYYMM"/>
  </r>
  <r>
    <x v="0"/>
    <s v="AETNA_MAO4_202401_20240202.txt"/>
    <x v="44"/>
    <x v="5"/>
    <n v="41779"/>
    <n v="9589535"/>
    <n v="0.44"/>
    <s v="DQS_MAO04_FILE_000_B"/>
    <s v="RECORD COUNT by MBR_ID, DOS_THRU_DT, DX_CD Grain grouped by PAYER, SRC_FILE_NM, DOS_THRU_YYYYMM"/>
  </r>
  <r>
    <x v="0"/>
    <s v="AETNA_MAO4_202401_20240202.txt"/>
    <x v="45"/>
    <x v="5"/>
    <n v="71228"/>
    <n v="9589535"/>
    <n v="0.74"/>
    <s v="DQS_MAO04_FILE_000_B"/>
    <s v="RECORD COUNT by MBR_ID, DOS_THRU_DT, DX_CD Grain grouped by PAYER, SRC_FILE_NM, DOS_THRU_YYYYMM"/>
  </r>
  <r>
    <x v="0"/>
    <s v="AETNA_MAO4_202401_20240202.txt"/>
    <x v="46"/>
    <x v="5"/>
    <n v="91901"/>
    <n v="9589535"/>
    <n v="0.96"/>
    <s v="DQS_MAO04_FILE_000_B"/>
    <s v="RECORD COUNT by MBR_ID, DOS_THRU_DT, DX_CD Grain grouped by PAYER, SRC_FILE_NM, DOS_THRU_YYYYMM"/>
  </r>
  <r>
    <x v="0"/>
    <s v="AETNA_MAO4_202401_20240202.txt"/>
    <x v="47"/>
    <x v="5"/>
    <n v="80730"/>
    <n v="9589535"/>
    <n v="0.84"/>
    <s v="DQS_MAO04_FILE_000_B"/>
    <s v="RECORD COUNT by MBR_ID, DOS_THRU_DT, DX_CD Grain grouped by PAYER, SRC_FILE_NM, DOS_THRU_YYYYMM"/>
  </r>
  <r>
    <x v="0"/>
    <s v="AETNA_MAO4_202401_20240202.txt"/>
    <x v="48"/>
    <x v="5"/>
    <n v="83698"/>
    <n v="9589535"/>
    <n v="0.87"/>
    <s v="DQS_MAO04_FILE_000_B"/>
    <s v="RECORD COUNT by MBR_ID, DOS_THRU_DT, DX_CD Grain grouped by PAYER, SRC_FILE_NM, DOS_THRU_YYYYMM"/>
  </r>
  <r>
    <x v="0"/>
    <s v="AETNA_MAO4_202401_20240202.txt"/>
    <x v="49"/>
    <x v="5"/>
    <n v="108801"/>
    <n v="9589535"/>
    <n v="1.1299999999999999"/>
    <s v="DQS_MAO04_FILE_000_B"/>
    <s v="RECORD COUNT by MBR_ID, DOS_THRU_DT, DX_CD Grain grouped by PAYER, SRC_FILE_NM, DOS_THRU_YYYYMM"/>
  </r>
  <r>
    <x v="0"/>
    <s v="AETNA_MAO4_202401_20240202.txt"/>
    <x v="50"/>
    <x v="5"/>
    <n v="137932"/>
    <n v="9589535"/>
    <n v="1.44"/>
    <s v="DQS_MAO04_FILE_000_B"/>
    <s v="RECORD COUNT by MBR_ID, DOS_THRU_DT, DX_CD Grain grouped by PAYER, SRC_FILE_NM, DOS_THRU_YYYYMM"/>
  </r>
  <r>
    <x v="0"/>
    <s v="AETNA_MAO4_202401_20240202.txt"/>
    <x v="51"/>
    <x v="5"/>
    <n v="99257"/>
    <n v="9589535"/>
    <n v="1.04"/>
    <s v="DQS_MAO04_FILE_000_B"/>
    <s v="RECORD COUNT by MBR_ID, DOS_THRU_DT, DX_CD Grain grouped by PAYER, SRC_FILE_NM, DOS_THRU_YYYYMM"/>
  </r>
  <r>
    <x v="0"/>
    <s v="AETNA_MAO4_202401_20240202.txt"/>
    <x v="52"/>
    <x v="5"/>
    <n v="110872"/>
    <n v="9589535"/>
    <n v="1.1599999999999999"/>
    <s v="DQS_MAO04_FILE_000_B"/>
    <s v="RECORD COUNT by MBR_ID, DOS_THRU_DT, DX_CD Grain grouped by PAYER, SRC_FILE_NM, DOS_THRU_YYYYMM"/>
  </r>
  <r>
    <x v="0"/>
    <s v="AETNA_MAO4_202401_20240202.txt"/>
    <x v="53"/>
    <x v="6"/>
    <n v="197125"/>
    <n v="9589535"/>
    <n v="2.06"/>
    <s v="DQS_MAO04_FILE_000_B"/>
    <s v="RECORD COUNT by MBR_ID, DOS_THRU_DT, DX_CD Grain grouped by PAYER, SRC_FILE_NM, DOS_THRU_YYYYMM"/>
  </r>
  <r>
    <x v="0"/>
    <s v="AETNA_MAO4_202401_20240202.txt"/>
    <x v="54"/>
    <x v="6"/>
    <n v="219262"/>
    <n v="9589535"/>
    <n v="2.29"/>
    <s v="DQS_MAO04_FILE_000_B"/>
    <s v="RECORD COUNT by MBR_ID, DOS_THRU_DT, DX_CD Grain grouped by PAYER, SRC_FILE_NM, DOS_THRU_YYYYMM"/>
  </r>
  <r>
    <x v="0"/>
    <s v="AETNA_MAO4_202401_20240202.txt"/>
    <x v="55"/>
    <x v="6"/>
    <n v="297373"/>
    <n v="9589535"/>
    <n v="3.1"/>
    <s v="DQS_MAO04_FILE_000_B"/>
    <s v="RECORD COUNT by MBR_ID, DOS_THRU_DT, DX_CD Grain grouped by PAYER, SRC_FILE_NM, DOS_THRU_YYYYMM"/>
  </r>
  <r>
    <x v="0"/>
    <s v="AETNA_MAO4_202401_20240202.txt"/>
    <x v="56"/>
    <x v="6"/>
    <n v="281835"/>
    <n v="9589535"/>
    <n v="2.94"/>
    <s v="DQS_MAO04_FILE_000_B"/>
    <s v="RECORD COUNT by MBR_ID, DOS_THRU_DT, DX_CD Grain grouped by PAYER, SRC_FILE_NM, DOS_THRU_YYYYMM"/>
  </r>
  <r>
    <x v="0"/>
    <s v="AETNA_MAO4_202401_20240202.txt"/>
    <x v="57"/>
    <x v="6"/>
    <n v="265854"/>
    <n v="9589535"/>
    <n v="2.77"/>
    <s v="DQS_MAO04_FILE_000_B"/>
    <s v="RECORD COUNT by MBR_ID, DOS_THRU_DT, DX_CD Grain grouped by PAYER, SRC_FILE_NM, DOS_THRU_YYYYMM"/>
  </r>
  <r>
    <x v="0"/>
    <s v="AETNA_MAO4_202401_20240202.txt"/>
    <x v="58"/>
    <x v="6"/>
    <n v="294380"/>
    <n v="9589535"/>
    <n v="3.07"/>
    <s v="DQS_MAO04_FILE_000_B"/>
    <s v="RECORD COUNT by MBR_ID, DOS_THRU_DT, DX_CD Grain grouped by PAYER, SRC_FILE_NM, DOS_THRU_YYYYMM"/>
  </r>
  <r>
    <x v="0"/>
    <s v="AETNA_MAO4_202401_20240202.txt"/>
    <x v="59"/>
    <x v="6"/>
    <n v="311794"/>
    <n v="9589535"/>
    <n v="3.25"/>
    <s v="DQS_MAO04_FILE_000_B"/>
    <s v="RECORD COUNT by MBR_ID, DOS_THRU_DT, DX_CD Grain grouped by PAYER, SRC_FILE_NM, DOS_THRU_YYYYMM"/>
  </r>
  <r>
    <x v="0"/>
    <s v="AETNA_MAO4_202401_20240202.txt"/>
    <x v="60"/>
    <x v="6"/>
    <n v="307457"/>
    <n v="9589535"/>
    <n v="3.21"/>
    <s v="DQS_MAO04_FILE_000_B"/>
    <s v="RECORD COUNT by MBR_ID, DOS_THRU_DT, DX_CD Grain grouped by PAYER, SRC_FILE_NM, DOS_THRU_YYYYMM"/>
  </r>
  <r>
    <x v="0"/>
    <s v="AETNA_MAO4_202401_20240202.txt"/>
    <x v="61"/>
    <x v="6"/>
    <n v="306365"/>
    <n v="9589535"/>
    <n v="3.19"/>
    <s v="DQS_MAO04_FILE_000_B"/>
    <s v="RECORD COUNT by MBR_ID, DOS_THRU_DT, DX_CD Grain grouped by PAYER, SRC_FILE_NM, DOS_THRU_YYYYMM"/>
  </r>
  <r>
    <x v="0"/>
    <s v="AETNA_MAO4_202401_20240202.txt"/>
    <x v="62"/>
    <x v="6"/>
    <n v="293489"/>
    <n v="9589535"/>
    <n v="3.06"/>
    <s v="DQS_MAO04_FILE_000_B"/>
    <s v="RECORD COUNT by MBR_ID, DOS_THRU_DT, DX_CD Grain grouped by PAYER, SRC_FILE_NM, DOS_THRU_YYYYMM"/>
  </r>
  <r>
    <x v="0"/>
    <s v="AETNA_MAO4_202401_20240202.txt"/>
    <x v="63"/>
    <x v="6"/>
    <n v="289336"/>
    <n v="9589535"/>
    <n v="3.02"/>
    <s v="DQS_MAO04_FILE_000_B"/>
    <s v="RECORD COUNT by MBR_ID, DOS_THRU_DT, DX_CD Grain grouped by PAYER, SRC_FILE_NM, DOS_THRU_YYYYMM"/>
  </r>
  <r>
    <x v="0"/>
    <s v="AETNA_MAO4_202401_20240202.txt"/>
    <x v="64"/>
    <x v="6"/>
    <n v="289656"/>
    <n v="9589535"/>
    <n v="3.02"/>
    <s v="DQS_MAO04_FILE_000_B"/>
    <s v="RECORD COUNT by MBR_ID, DOS_THRU_DT, DX_CD Grain grouped by PAYER, SRC_FILE_NM, DOS_THRU_YYYYMM"/>
  </r>
  <r>
    <x v="0"/>
    <s v="AETNA_MAO4_202401_20240202.txt"/>
    <x v="65"/>
    <x v="7"/>
    <n v="225243"/>
    <n v="9589535"/>
    <n v="2.35"/>
    <s v="DQS_MAO04_FILE_000_B"/>
    <s v="RECORD COUNT by MBR_ID, DOS_THRU_DT, DX_CD Grain grouped by PAYER, SRC_FILE_NM, DOS_THRU_YYYYMM"/>
  </r>
  <r>
    <x v="0"/>
    <s v="AETNA_MAO4_202401_20240202.txt"/>
    <x v="66"/>
    <x v="7"/>
    <n v="195266"/>
    <n v="9589535"/>
    <n v="2.04"/>
    <s v="DQS_MAO04_FILE_000_B"/>
    <s v="RECORD COUNT by MBR_ID, DOS_THRU_DT, DX_CD Grain grouped by PAYER, SRC_FILE_NM, DOS_THRU_YYYYMM"/>
  </r>
  <r>
    <x v="0"/>
    <s v="AETNA_MAO4_202401_20240202.txt"/>
    <x v="67"/>
    <x v="7"/>
    <n v="249374"/>
    <n v="9589535"/>
    <n v="2.6"/>
    <s v="DQS_MAO04_FILE_000_B"/>
    <s v="RECORD COUNT by MBR_ID, DOS_THRU_DT, DX_CD Grain grouped by PAYER, SRC_FILE_NM, DOS_THRU_YYYYMM"/>
  </r>
  <r>
    <x v="0"/>
    <s v="AETNA_MAO4_202401_20240202.txt"/>
    <x v="68"/>
    <x v="7"/>
    <n v="218839"/>
    <n v="9589535"/>
    <n v="2.2799999999999998"/>
    <s v="DQS_MAO04_FILE_000_B"/>
    <s v="RECORD COUNT by MBR_ID, DOS_THRU_DT, DX_CD Grain grouped by PAYER, SRC_FILE_NM, DOS_THRU_YYYYMM"/>
  </r>
  <r>
    <x v="0"/>
    <s v="AETNA_MAO4_202401_20240202.txt"/>
    <x v="69"/>
    <x v="7"/>
    <n v="222039"/>
    <n v="9589535"/>
    <n v="2.3199999999999998"/>
    <s v="DQS_MAO04_FILE_000_B"/>
    <s v="RECORD COUNT by MBR_ID, DOS_THRU_DT, DX_CD Grain grouped by PAYER, SRC_FILE_NM, DOS_THRU_YYYYMM"/>
  </r>
  <r>
    <x v="0"/>
    <s v="AETNA_MAO4_202401_20240202.txt"/>
    <x v="70"/>
    <x v="7"/>
    <n v="230884"/>
    <n v="9589535"/>
    <n v="2.41"/>
    <s v="DQS_MAO04_FILE_000_B"/>
    <s v="RECORD COUNT by MBR_ID, DOS_THRU_DT, DX_CD Grain grouped by PAYER, SRC_FILE_NM, DOS_THRU_YYYYMM"/>
  </r>
  <r>
    <x v="0"/>
    <s v="AETNA_MAO4_202401_20240202.txt"/>
    <x v="71"/>
    <x v="7"/>
    <n v="212614"/>
    <n v="9589535"/>
    <n v="2.2200000000000002"/>
    <s v="DQS_MAO04_FILE_000_B"/>
    <s v="RECORD COUNT by MBR_ID, DOS_THRU_DT, DX_CD Grain grouped by PAYER, SRC_FILE_NM, DOS_THRU_YYYYMM"/>
  </r>
  <r>
    <x v="0"/>
    <s v="AETNA_MAO4_202401_20240202.txt"/>
    <x v="72"/>
    <x v="7"/>
    <n v="236289"/>
    <n v="9589535"/>
    <n v="2.46"/>
    <s v="DQS_MAO04_FILE_000_B"/>
    <s v="RECORD COUNT by MBR_ID, DOS_THRU_DT, DX_CD Grain grouped by PAYER, SRC_FILE_NM, DOS_THRU_YYYYMM"/>
  </r>
  <r>
    <x v="0"/>
    <s v="AETNA_MAO4_202401_20240202.txt"/>
    <x v="73"/>
    <x v="7"/>
    <n v="218838"/>
    <n v="9589535"/>
    <n v="2.2799999999999998"/>
    <s v="DQS_MAO04_FILE_000_B"/>
    <s v="RECORD COUNT by MBR_ID, DOS_THRU_DT, DX_CD Grain grouped by PAYER, SRC_FILE_NM, DOS_THRU_YYYYMM"/>
  </r>
  <r>
    <x v="0"/>
    <s v="AETNA_MAO4_202401_20240202.txt"/>
    <x v="74"/>
    <x v="7"/>
    <n v="222632"/>
    <n v="9589535"/>
    <n v="2.3199999999999998"/>
    <s v="DQS_MAO04_FILE_000_B"/>
    <s v="RECORD COUNT by MBR_ID, DOS_THRU_DT, DX_CD Grain grouped by PAYER, SRC_FILE_NM, DOS_THRU_YYYYMM"/>
  </r>
  <r>
    <x v="0"/>
    <s v="AETNA_MAO4_202401_20240202.txt"/>
    <x v="75"/>
    <x v="7"/>
    <n v="218187"/>
    <n v="9589535"/>
    <n v="2.2799999999999998"/>
    <s v="DQS_MAO04_FILE_000_B"/>
    <s v="RECORD COUNT by MBR_ID, DOS_THRU_DT, DX_CD Grain grouped by PAYER, SRC_FILE_NM, DOS_THRU_YYYYMM"/>
  </r>
  <r>
    <x v="0"/>
    <s v="AETNA_MAO4_202401_20240202.txt"/>
    <x v="76"/>
    <x v="7"/>
    <n v="206419"/>
    <n v="9589535"/>
    <n v="2.15"/>
    <s v="DQS_MAO04_FILE_000_B"/>
    <s v="RECORD COUNT by MBR_ID, DOS_THRU_DT, DX_CD Grain grouped by PAYER, SRC_FILE_NM, DOS_THRU_YYYYMM"/>
  </r>
  <r>
    <x v="0"/>
    <s v="AETNA_MAO4_202401_20240202.txt"/>
    <x v="77"/>
    <x v="8"/>
    <n v="212709"/>
    <n v="9589535"/>
    <n v="2.2200000000000002"/>
    <s v="DQS_MAO04_FILE_000_B"/>
    <s v="RECORD COUNT by MBR_ID, DOS_THRU_DT, DX_CD Grain grouped by PAYER, SRC_FILE_NM, DOS_THRU_YYYYMM"/>
  </r>
  <r>
    <x v="0"/>
    <s v="AETNA_MAO4_202401_20240202.txt"/>
    <x v="78"/>
    <x v="8"/>
    <n v="201084"/>
    <n v="9589535"/>
    <n v="2.1"/>
    <s v="DQS_MAO04_FILE_000_B"/>
    <s v="RECORD COUNT by MBR_ID, DOS_THRU_DT, DX_CD Grain grouped by PAYER, SRC_FILE_NM, DOS_THRU_YYYYMM"/>
  </r>
  <r>
    <x v="0"/>
    <s v="AETNA_MAO4_202401_20240202.txt"/>
    <x v="79"/>
    <x v="8"/>
    <n v="218978"/>
    <n v="9589535"/>
    <n v="2.2799999999999998"/>
    <s v="DQS_MAO04_FILE_000_B"/>
    <s v="RECORD COUNT by MBR_ID, DOS_THRU_DT, DX_CD Grain grouped by PAYER, SRC_FILE_NM, DOS_THRU_YYYYMM"/>
  </r>
  <r>
    <x v="0"/>
    <s v="AETNA_MAO4_202401_20240202.txt"/>
    <x v="80"/>
    <x v="8"/>
    <n v="193787"/>
    <n v="9589535"/>
    <n v="2.02"/>
    <s v="DQS_MAO04_FILE_000_B"/>
    <s v="RECORD COUNT by MBR_ID, DOS_THRU_DT, DX_CD Grain grouped by PAYER, SRC_FILE_NM, DOS_THRU_YYYYMM"/>
  </r>
  <r>
    <x v="0"/>
    <s v="AETNA_MAO4_202401_20240202.txt"/>
    <x v="81"/>
    <x v="8"/>
    <n v="206016"/>
    <n v="9589535"/>
    <n v="2.15"/>
    <s v="DQS_MAO04_FILE_000_B"/>
    <s v="RECORD COUNT by MBR_ID, DOS_THRU_DT, DX_CD Grain grouped by PAYER, SRC_FILE_NM, DOS_THRU_YYYYMM"/>
  </r>
  <r>
    <x v="0"/>
    <s v="AETNA_MAO4_202401_20240202.txt"/>
    <x v="82"/>
    <x v="8"/>
    <n v="200094"/>
    <n v="9589535"/>
    <n v="2.09"/>
    <s v="DQS_MAO04_FILE_000_B"/>
    <s v="RECORD COUNT by MBR_ID, DOS_THRU_DT, DX_CD Grain grouped by PAYER, SRC_FILE_NM, DOS_THRU_YYYYMM"/>
  </r>
  <r>
    <x v="0"/>
    <s v="AETNA_MAO4_202401_20240202.txt"/>
    <x v="83"/>
    <x v="8"/>
    <n v="179197"/>
    <n v="9589535"/>
    <n v="1.87"/>
    <s v="DQS_MAO04_FILE_000_B"/>
    <s v="RECORD COUNT by MBR_ID, DOS_THRU_DT, DX_CD Grain grouped by PAYER, SRC_FILE_NM, DOS_THRU_YYYYMM"/>
  </r>
  <r>
    <x v="0"/>
    <s v="AETNA_MAO4_202401_20240202.txt"/>
    <x v="84"/>
    <x v="8"/>
    <n v="197343"/>
    <n v="9589535"/>
    <n v="2.06"/>
    <s v="DQS_MAO04_FILE_000_B"/>
    <s v="RECORD COUNT by MBR_ID, DOS_THRU_DT, DX_CD Grain grouped by PAYER, SRC_FILE_NM, DOS_THRU_YYYYMM"/>
  </r>
  <r>
    <x v="0"/>
    <s v="AETNA_MAO4_202401_20240202.txt"/>
    <x v="85"/>
    <x v="8"/>
    <n v="184748"/>
    <n v="9589535"/>
    <n v="1.93"/>
    <s v="DQS_MAO04_FILE_000_B"/>
    <s v="RECORD COUNT by MBR_ID, DOS_THRU_DT, DX_CD Grain grouped by PAYER, SRC_FILE_NM, DOS_THRU_YYYYMM"/>
  </r>
  <r>
    <x v="0"/>
    <s v="AETNA_MAO4_202401_20240202.txt"/>
    <x v="86"/>
    <x v="8"/>
    <n v="201605"/>
    <n v="9589535"/>
    <n v="2.1"/>
    <s v="DQS_MAO04_FILE_000_B"/>
    <s v="RECORD COUNT by MBR_ID, DOS_THRU_DT, DX_CD Grain grouped by PAYER, SRC_FILE_NM, DOS_THRU_YYYYMM"/>
  </r>
  <r>
    <x v="0"/>
    <s v="AETNA_MAO4_202401_20240202.txt"/>
    <x v="87"/>
    <x v="8"/>
    <n v="170341"/>
    <n v="9589535"/>
    <n v="1.78"/>
    <s v="DQS_MAO04_FILE_000_B"/>
    <s v="RECORD COUNT by MBR_ID, DOS_THRU_DT, DX_CD Grain grouped by PAYER, SRC_FILE_NM, DOS_THRU_YYYYMM"/>
  </r>
  <r>
    <x v="0"/>
    <s v="AETNA_MAO4_202401_20240202.txt"/>
    <x v="88"/>
    <x v="8"/>
    <n v="22246"/>
    <n v="9589535"/>
    <n v="0.23"/>
    <s v="DQS_MAO04_FILE_000_B"/>
    <s v="RECORD COUNT by MBR_ID, DOS_THRU_DT, DX_CD Grain grouped by PAYER, SRC_FILE_NM, DOS_THRU_YYYYMM"/>
  </r>
  <r>
    <x v="0"/>
    <s v="AETNA_MAO4_202402_20240302.txt"/>
    <x v="0"/>
    <x v="0"/>
    <n v="8"/>
    <n v="12488985"/>
    <n v="0"/>
    <s v="DQS_MAO04_FILE_000_B"/>
    <s v="RECORD COUNT by MBR_ID, DOS_THRU_DT, DX_CD Grain grouped by PAYER, SRC_FILE_NM, DOS_THRU_YYYYMM"/>
  </r>
  <r>
    <x v="0"/>
    <s v="AETNA_MAO4_202402_20240302.txt"/>
    <x v="1"/>
    <x v="0"/>
    <n v="8"/>
    <n v="12488985"/>
    <n v="0"/>
    <s v="DQS_MAO04_FILE_000_B"/>
    <s v="RECORD COUNT by MBR_ID, DOS_THRU_DT, DX_CD Grain grouped by PAYER, SRC_FILE_NM, DOS_THRU_YYYYMM"/>
  </r>
  <r>
    <x v="0"/>
    <s v="AETNA_MAO4_202402_20240302.txt"/>
    <x v="2"/>
    <x v="1"/>
    <n v="2"/>
    <n v="12488985"/>
    <n v="0"/>
    <s v="DQS_MAO04_FILE_000_B"/>
    <s v="RECORD COUNT by MBR_ID, DOS_THRU_DT, DX_CD Grain grouped by PAYER, SRC_FILE_NM, DOS_THRU_YYYYMM"/>
  </r>
  <r>
    <x v="0"/>
    <s v="AETNA_MAO4_202402_20240302.txt"/>
    <x v="3"/>
    <x v="1"/>
    <n v="15"/>
    <n v="12488985"/>
    <n v="0"/>
    <s v="DQS_MAO04_FILE_000_B"/>
    <s v="RECORD COUNT by MBR_ID, DOS_THRU_DT, DX_CD Grain grouped by PAYER, SRC_FILE_NM, DOS_THRU_YYYYMM"/>
  </r>
  <r>
    <x v="0"/>
    <s v="AETNA_MAO4_202402_20240302.txt"/>
    <x v="4"/>
    <x v="1"/>
    <n v="12"/>
    <n v="12488985"/>
    <n v="0"/>
    <s v="DQS_MAO04_FILE_000_B"/>
    <s v="RECORD COUNT by MBR_ID, DOS_THRU_DT, DX_CD Grain grouped by PAYER, SRC_FILE_NM, DOS_THRU_YYYYMM"/>
  </r>
  <r>
    <x v="0"/>
    <s v="AETNA_MAO4_202402_20240302.txt"/>
    <x v="5"/>
    <x v="1"/>
    <n v="32"/>
    <n v="12488985"/>
    <n v="0"/>
    <s v="DQS_MAO04_FILE_000_B"/>
    <s v="RECORD COUNT by MBR_ID, DOS_THRU_DT, DX_CD Grain grouped by PAYER, SRC_FILE_NM, DOS_THRU_YYYYMM"/>
  </r>
  <r>
    <x v="0"/>
    <s v="AETNA_MAO4_202402_20240302.txt"/>
    <x v="6"/>
    <x v="2"/>
    <n v="12"/>
    <n v="12488985"/>
    <n v="0"/>
    <s v="DQS_MAO04_FILE_000_B"/>
    <s v="RECORD COUNT by MBR_ID, DOS_THRU_DT, DX_CD Grain grouped by PAYER, SRC_FILE_NM, DOS_THRU_YYYYMM"/>
  </r>
  <r>
    <x v="0"/>
    <s v="AETNA_MAO4_202402_20240302.txt"/>
    <x v="7"/>
    <x v="2"/>
    <n v="34"/>
    <n v="12488985"/>
    <n v="0"/>
    <s v="DQS_MAO04_FILE_000_B"/>
    <s v="RECORD COUNT by MBR_ID, DOS_THRU_DT, DX_CD Grain grouped by PAYER, SRC_FILE_NM, DOS_THRU_YYYYMM"/>
  </r>
  <r>
    <x v="0"/>
    <s v="AETNA_MAO4_202402_20240302.txt"/>
    <x v="8"/>
    <x v="2"/>
    <n v="13"/>
    <n v="12488985"/>
    <n v="0"/>
    <s v="DQS_MAO04_FILE_000_B"/>
    <s v="RECORD COUNT by MBR_ID, DOS_THRU_DT, DX_CD Grain grouped by PAYER, SRC_FILE_NM, DOS_THRU_YYYYMM"/>
  </r>
  <r>
    <x v="0"/>
    <s v="AETNA_MAO4_202402_20240302.txt"/>
    <x v="9"/>
    <x v="2"/>
    <n v="4"/>
    <n v="12488985"/>
    <n v="0"/>
    <s v="DQS_MAO04_FILE_000_B"/>
    <s v="RECORD COUNT by MBR_ID, DOS_THRU_DT, DX_CD Grain grouped by PAYER, SRC_FILE_NM, DOS_THRU_YYYYMM"/>
  </r>
  <r>
    <x v="0"/>
    <s v="AETNA_MAO4_202402_20240302.txt"/>
    <x v="10"/>
    <x v="2"/>
    <n v="10"/>
    <n v="12488985"/>
    <n v="0"/>
    <s v="DQS_MAO04_FILE_000_B"/>
    <s v="RECORD COUNT by MBR_ID, DOS_THRU_DT, DX_CD Grain grouped by PAYER, SRC_FILE_NM, DOS_THRU_YYYYMM"/>
  </r>
  <r>
    <x v="0"/>
    <s v="AETNA_MAO4_202402_20240302.txt"/>
    <x v="11"/>
    <x v="2"/>
    <n v="39"/>
    <n v="12488985"/>
    <n v="0"/>
    <s v="DQS_MAO04_FILE_000_B"/>
    <s v="RECORD COUNT by MBR_ID, DOS_THRU_DT, DX_CD Grain grouped by PAYER, SRC_FILE_NM, DOS_THRU_YYYYMM"/>
  </r>
  <r>
    <x v="0"/>
    <s v="AETNA_MAO4_202402_20240302.txt"/>
    <x v="12"/>
    <x v="2"/>
    <n v="52"/>
    <n v="12488985"/>
    <n v="0"/>
    <s v="DQS_MAO04_FILE_000_B"/>
    <s v="RECORD COUNT by MBR_ID, DOS_THRU_DT, DX_CD Grain grouped by PAYER, SRC_FILE_NM, DOS_THRU_YYYYMM"/>
  </r>
  <r>
    <x v="0"/>
    <s v="AETNA_MAO4_202402_20240302.txt"/>
    <x v="13"/>
    <x v="2"/>
    <n v="44"/>
    <n v="12488985"/>
    <n v="0"/>
    <s v="DQS_MAO04_FILE_000_B"/>
    <s v="RECORD COUNT by MBR_ID, DOS_THRU_DT, DX_CD Grain grouped by PAYER, SRC_FILE_NM, DOS_THRU_YYYYMM"/>
  </r>
  <r>
    <x v="0"/>
    <s v="AETNA_MAO4_202402_20240302.txt"/>
    <x v="14"/>
    <x v="2"/>
    <n v="47"/>
    <n v="12488985"/>
    <n v="0"/>
    <s v="DQS_MAO04_FILE_000_B"/>
    <s v="RECORD COUNT by MBR_ID, DOS_THRU_DT, DX_CD Grain grouped by PAYER, SRC_FILE_NM, DOS_THRU_YYYYMM"/>
  </r>
  <r>
    <x v="0"/>
    <s v="AETNA_MAO4_202402_20240302.txt"/>
    <x v="15"/>
    <x v="2"/>
    <n v="50"/>
    <n v="12488985"/>
    <n v="0"/>
    <s v="DQS_MAO04_FILE_000_B"/>
    <s v="RECORD COUNT by MBR_ID, DOS_THRU_DT, DX_CD Grain grouped by PAYER, SRC_FILE_NM, DOS_THRU_YYYYMM"/>
  </r>
  <r>
    <x v="0"/>
    <s v="AETNA_MAO4_202402_20240302.txt"/>
    <x v="16"/>
    <x v="2"/>
    <n v="33"/>
    <n v="12488985"/>
    <n v="0"/>
    <s v="DQS_MAO04_FILE_000_B"/>
    <s v="RECORD COUNT by MBR_ID, DOS_THRU_DT, DX_CD Grain grouped by PAYER, SRC_FILE_NM, DOS_THRU_YYYYMM"/>
  </r>
  <r>
    <x v="0"/>
    <s v="AETNA_MAO4_202402_20240302.txt"/>
    <x v="17"/>
    <x v="3"/>
    <n v="540"/>
    <n v="12488985"/>
    <n v="0"/>
    <s v="DQS_MAO04_FILE_000_B"/>
    <s v="RECORD COUNT by MBR_ID, DOS_THRU_DT, DX_CD Grain grouped by PAYER, SRC_FILE_NM, DOS_THRU_YYYYMM"/>
  </r>
  <r>
    <x v="0"/>
    <s v="AETNA_MAO4_202402_20240302.txt"/>
    <x v="18"/>
    <x v="3"/>
    <n v="353"/>
    <n v="12488985"/>
    <n v="0"/>
    <s v="DQS_MAO04_FILE_000_B"/>
    <s v="RECORD COUNT by MBR_ID, DOS_THRU_DT, DX_CD Grain grouped by PAYER, SRC_FILE_NM, DOS_THRU_YYYYMM"/>
  </r>
  <r>
    <x v="0"/>
    <s v="AETNA_MAO4_202402_20240302.txt"/>
    <x v="19"/>
    <x v="3"/>
    <n v="469"/>
    <n v="12488985"/>
    <n v="0"/>
    <s v="DQS_MAO04_FILE_000_B"/>
    <s v="RECORD COUNT by MBR_ID, DOS_THRU_DT, DX_CD Grain grouped by PAYER, SRC_FILE_NM, DOS_THRU_YYYYMM"/>
  </r>
  <r>
    <x v="0"/>
    <s v="AETNA_MAO4_202402_20240302.txt"/>
    <x v="20"/>
    <x v="3"/>
    <n v="492"/>
    <n v="12488985"/>
    <n v="0"/>
    <s v="DQS_MAO04_FILE_000_B"/>
    <s v="RECORD COUNT by MBR_ID, DOS_THRU_DT, DX_CD Grain grouped by PAYER, SRC_FILE_NM, DOS_THRU_YYYYMM"/>
  </r>
  <r>
    <x v="0"/>
    <s v="AETNA_MAO4_202402_20240302.txt"/>
    <x v="21"/>
    <x v="3"/>
    <n v="541"/>
    <n v="12488985"/>
    <n v="0"/>
    <s v="DQS_MAO04_FILE_000_B"/>
    <s v="RECORD COUNT by MBR_ID, DOS_THRU_DT, DX_CD Grain grouped by PAYER, SRC_FILE_NM, DOS_THRU_YYYYMM"/>
  </r>
  <r>
    <x v="0"/>
    <s v="AETNA_MAO4_202402_20240302.txt"/>
    <x v="22"/>
    <x v="3"/>
    <n v="534"/>
    <n v="12488985"/>
    <n v="0"/>
    <s v="DQS_MAO04_FILE_000_B"/>
    <s v="RECORD COUNT by MBR_ID, DOS_THRU_DT, DX_CD Grain grouped by PAYER, SRC_FILE_NM, DOS_THRU_YYYYMM"/>
  </r>
  <r>
    <x v="0"/>
    <s v="AETNA_MAO4_202402_20240302.txt"/>
    <x v="23"/>
    <x v="3"/>
    <n v="500"/>
    <n v="12488985"/>
    <n v="0"/>
    <s v="DQS_MAO04_FILE_000_B"/>
    <s v="RECORD COUNT by MBR_ID, DOS_THRU_DT, DX_CD Grain grouped by PAYER, SRC_FILE_NM, DOS_THRU_YYYYMM"/>
  </r>
  <r>
    <x v="0"/>
    <s v="AETNA_MAO4_202402_20240302.txt"/>
    <x v="24"/>
    <x v="3"/>
    <n v="829"/>
    <n v="12488985"/>
    <n v="0.01"/>
    <s v="DQS_MAO04_FILE_000_B"/>
    <s v="RECORD COUNT by MBR_ID, DOS_THRU_DT, DX_CD Grain grouped by PAYER, SRC_FILE_NM, DOS_THRU_YYYYMM"/>
  </r>
  <r>
    <x v="0"/>
    <s v="AETNA_MAO4_202402_20240302.txt"/>
    <x v="25"/>
    <x v="3"/>
    <n v="488"/>
    <n v="12488985"/>
    <n v="0"/>
    <s v="DQS_MAO04_FILE_000_B"/>
    <s v="RECORD COUNT by MBR_ID, DOS_THRU_DT, DX_CD Grain grouped by PAYER, SRC_FILE_NM, DOS_THRU_YYYYMM"/>
  </r>
  <r>
    <x v="0"/>
    <s v="AETNA_MAO4_202402_20240302.txt"/>
    <x v="26"/>
    <x v="3"/>
    <n v="885"/>
    <n v="12488985"/>
    <n v="0.01"/>
    <s v="DQS_MAO04_FILE_000_B"/>
    <s v="RECORD COUNT by MBR_ID, DOS_THRU_DT, DX_CD Grain grouped by PAYER, SRC_FILE_NM, DOS_THRU_YYYYMM"/>
  </r>
  <r>
    <x v="0"/>
    <s v="AETNA_MAO4_202402_20240302.txt"/>
    <x v="27"/>
    <x v="3"/>
    <n v="680"/>
    <n v="12488985"/>
    <n v="0.01"/>
    <s v="DQS_MAO04_FILE_000_B"/>
    <s v="RECORD COUNT by MBR_ID, DOS_THRU_DT, DX_CD Grain grouped by PAYER, SRC_FILE_NM, DOS_THRU_YYYYMM"/>
  </r>
  <r>
    <x v="0"/>
    <s v="AETNA_MAO4_202402_20240302.txt"/>
    <x v="28"/>
    <x v="3"/>
    <n v="814"/>
    <n v="12488985"/>
    <n v="0.01"/>
    <s v="DQS_MAO04_FILE_000_B"/>
    <s v="RECORD COUNT by MBR_ID, DOS_THRU_DT, DX_CD Grain grouped by PAYER, SRC_FILE_NM, DOS_THRU_YYYYMM"/>
  </r>
  <r>
    <x v="0"/>
    <s v="AETNA_MAO4_202402_20240302.txt"/>
    <x v="29"/>
    <x v="4"/>
    <n v="25145"/>
    <n v="12488985"/>
    <n v="0.2"/>
    <s v="DQS_MAO04_FILE_000_B"/>
    <s v="RECORD COUNT by MBR_ID, DOS_THRU_DT, DX_CD Grain grouped by PAYER, SRC_FILE_NM, DOS_THRU_YYYYMM"/>
  </r>
  <r>
    <x v="0"/>
    <s v="AETNA_MAO4_202402_20240302.txt"/>
    <x v="30"/>
    <x v="4"/>
    <n v="22937"/>
    <n v="12488985"/>
    <n v="0.18"/>
    <s v="DQS_MAO04_FILE_000_B"/>
    <s v="RECORD COUNT by MBR_ID, DOS_THRU_DT, DX_CD Grain grouped by PAYER, SRC_FILE_NM, DOS_THRU_YYYYMM"/>
  </r>
  <r>
    <x v="0"/>
    <s v="AETNA_MAO4_202402_20240302.txt"/>
    <x v="31"/>
    <x v="4"/>
    <n v="25786"/>
    <n v="12488985"/>
    <n v="0.21"/>
    <s v="DQS_MAO04_FILE_000_B"/>
    <s v="RECORD COUNT by MBR_ID, DOS_THRU_DT, DX_CD Grain grouped by PAYER, SRC_FILE_NM, DOS_THRU_YYYYMM"/>
  </r>
  <r>
    <x v="0"/>
    <s v="AETNA_MAO4_202402_20240302.txt"/>
    <x v="32"/>
    <x v="4"/>
    <n v="27781"/>
    <n v="12488985"/>
    <n v="0.22"/>
    <s v="DQS_MAO04_FILE_000_B"/>
    <s v="RECORD COUNT by MBR_ID, DOS_THRU_DT, DX_CD Grain grouped by PAYER, SRC_FILE_NM, DOS_THRU_YYYYMM"/>
  </r>
  <r>
    <x v="0"/>
    <s v="AETNA_MAO4_202402_20240302.txt"/>
    <x v="33"/>
    <x v="4"/>
    <n v="26571"/>
    <n v="12488985"/>
    <n v="0.21"/>
    <s v="DQS_MAO04_FILE_000_B"/>
    <s v="RECORD COUNT by MBR_ID, DOS_THRU_DT, DX_CD Grain grouped by PAYER, SRC_FILE_NM, DOS_THRU_YYYYMM"/>
  </r>
  <r>
    <x v="0"/>
    <s v="AETNA_MAO4_202402_20240302.txt"/>
    <x v="34"/>
    <x v="4"/>
    <n v="26034"/>
    <n v="12488985"/>
    <n v="0.21"/>
    <s v="DQS_MAO04_FILE_000_B"/>
    <s v="RECORD COUNT by MBR_ID, DOS_THRU_DT, DX_CD Grain grouped by PAYER, SRC_FILE_NM, DOS_THRU_YYYYMM"/>
  </r>
  <r>
    <x v="0"/>
    <s v="AETNA_MAO4_202402_20240302.txt"/>
    <x v="35"/>
    <x v="4"/>
    <n v="27545"/>
    <n v="12488985"/>
    <n v="0.22"/>
    <s v="DQS_MAO04_FILE_000_B"/>
    <s v="RECORD COUNT by MBR_ID, DOS_THRU_DT, DX_CD Grain grouped by PAYER, SRC_FILE_NM, DOS_THRU_YYYYMM"/>
  </r>
  <r>
    <x v="0"/>
    <s v="AETNA_MAO4_202402_20240302.txt"/>
    <x v="36"/>
    <x v="4"/>
    <n v="27814"/>
    <n v="12488985"/>
    <n v="0.22"/>
    <s v="DQS_MAO04_FILE_000_B"/>
    <s v="RECORD COUNT by MBR_ID, DOS_THRU_DT, DX_CD Grain grouped by PAYER, SRC_FILE_NM, DOS_THRU_YYYYMM"/>
  </r>
  <r>
    <x v="0"/>
    <s v="AETNA_MAO4_202402_20240302.txt"/>
    <x v="37"/>
    <x v="4"/>
    <n v="26309"/>
    <n v="12488985"/>
    <n v="0.21"/>
    <s v="DQS_MAO04_FILE_000_B"/>
    <s v="RECORD COUNT by MBR_ID, DOS_THRU_DT, DX_CD Grain grouped by PAYER, SRC_FILE_NM, DOS_THRU_YYYYMM"/>
  </r>
  <r>
    <x v="0"/>
    <s v="AETNA_MAO4_202402_20240302.txt"/>
    <x v="38"/>
    <x v="4"/>
    <n v="31808"/>
    <n v="12488985"/>
    <n v="0.25"/>
    <s v="DQS_MAO04_FILE_000_B"/>
    <s v="RECORD COUNT by MBR_ID, DOS_THRU_DT, DX_CD Grain grouped by PAYER, SRC_FILE_NM, DOS_THRU_YYYYMM"/>
  </r>
  <r>
    <x v="0"/>
    <s v="AETNA_MAO4_202402_20240302.txt"/>
    <x v="39"/>
    <x v="4"/>
    <n v="25616"/>
    <n v="12488985"/>
    <n v="0.21"/>
    <s v="DQS_MAO04_FILE_000_B"/>
    <s v="RECORD COUNT by MBR_ID, DOS_THRU_DT, DX_CD Grain grouped by PAYER, SRC_FILE_NM, DOS_THRU_YYYYMM"/>
  </r>
  <r>
    <x v="0"/>
    <s v="AETNA_MAO4_202402_20240302.txt"/>
    <x v="40"/>
    <x v="4"/>
    <n v="25502"/>
    <n v="12488985"/>
    <n v="0.2"/>
    <s v="DQS_MAO04_FILE_000_B"/>
    <s v="RECORD COUNT by MBR_ID, DOS_THRU_DT, DX_CD Grain grouped by PAYER, SRC_FILE_NM, DOS_THRU_YYYYMM"/>
  </r>
  <r>
    <x v="0"/>
    <s v="AETNA_MAO4_202402_20240302.txt"/>
    <x v="41"/>
    <x v="5"/>
    <n v="96061"/>
    <n v="12488985"/>
    <n v="0.77"/>
    <s v="DQS_MAO04_FILE_000_B"/>
    <s v="RECORD COUNT by MBR_ID, DOS_THRU_DT, DX_CD Grain grouped by PAYER, SRC_FILE_NM, DOS_THRU_YYYYMM"/>
  </r>
  <r>
    <x v="0"/>
    <s v="AETNA_MAO4_202402_20240302.txt"/>
    <x v="42"/>
    <x v="5"/>
    <n v="89822"/>
    <n v="12488985"/>
    <n v="0.72"/>
    <s v="DQS_MAO04_FILE_000_B"/>
    <s v="RECORD COUNT by MBR_ID, DOS_THRU_DT, DX_CD Grain grouped by PAYER, SRC_FILE_NM, DOS_THRU_YYYYMM"/>
  </r>
  <r>
    <x v="0"/>
    <s v="AETNA_MAO4_202402_20240302.txt"/>
    <x v="43"/>
    <x v="5"/>
    <n v="78153"/>
    <n v="12488985"/>
    <n v="0.63"/>
    <s v="DQS_MAO04_FILE_000_B"/>
    <s v="RECORD COUNT by MBR_ID, DOS_THRU_DT, DX_CD Grain grouped by PAYER, SRC_FILE_NM, DOS_THRU_YYYYMM"/>
  </r>
  <r>
    <x v="0"/>
    <s v="AETNA_MAO4_202402_20240302.txt"/>
    <x v="44"/>
    <x v="5"/>
    <n v="44261"/>
    <n v="12488985"/>
    <n v="0.35"/>
    <s v="DQS_MAO04_FILE_000_B"/>
    <s v="RECORD COUNT by MBR_ID, DOS_THRU_DT, DX_CD Grain grouped by PAYER, SRC_FILE_NM, DOS_THRU_YYYYMM"/>
  </r>
  <r>
    <x v="0"/>
    <s v="AETNA_MAO4_202402_20240302.txt"/>
    <x v="45"/>
    <x v="5"/>
    <n v="76438"/>
    <n v="12488985"/>
    <n v="0.61"/>
    <s v="DQS_MAO04_FILE_000_B"/>
    <s v="RECORD COUNT by MBR_ID, DOS_THRU_DT, DX_CD Grain grouped by PAYER, SRC_FILE_NM, DOS_THRU_YYYYMM"/>
  </r>
  <r>
    <x v="0"/>
    <s v="AETNA_MAO4_202402_20240302.txt"/>
    <x v="46"/>
    <x v="5"/>
    <n v="100074"/>
    <n v="12488985"/>
    <n v="0.8"/>
    <s v="DQS_MAO04_FILE_000_B"/>
    <s v="RECORD COUNT by MBR_ID, DOS_THRU_DT, DX_CD Grain grouped by PAYER, SRC_FILE_NM, DOS_THRU_YYYYMM"/>
  </r>
  <r>
    <x v="0"/>
    <s v="AETNA_MAO4_202402_20240302.txt"/>
    <x v="47"/>
    <x v="5"/>
    <n v="87411"/>
    <n v="12488985"/>
    <n v="0.7"/>
    <s v="DQS_MAO04_FILE_000_B"/>
    <s v="RECORD COUNT by MBR_ID, DOS_THRU_DT, DX_CD Grain grouped by PAYER, SRC_FILE_NM, DOS_THRU_YYYYMM"/>
  </r>
  <r>
    <x v="0"/>
    <s v="AETNA_MAO4_202402_20240302.txt"/>
    <x v="48"/>
    <x v="5"/>
    <n v="88856"/>
    <n v="12488985"/>
    <n v="0.71"/>
    <s v="DQS_MAO04_FILE_000_B"/>
    <s v="RECORD COUNT by MBR_ID, DOS_THRU_DT, DX_CD Grain grouped by PAYER, SRC_FILE_NM, DOS_THRU_YYYYMM"/>
  </r>
  <r>
    <x v="0"/>
    <s v="AETNA_MAO4_202402_20240302.txt"/>
    <x v="49"/>
    <x v="5"/>
    <n v="103213"/>
    <n v="12488985"/>
    <n v="0.83"/>
    <s v="DQS_MAO04_FILE_000_B"/>
    <s v="RECORD COUNT by MBR_ID, DOS_THRU_DT, DX_CD Grain grouped by PAYER, SRC_FILE_NM, DOS_THRU_YYYYMM"/>
  </r>
  <r>
    <x v="0"/>
    <s v="AETNA_MAO4_202402_20240302.txt"/>
    <x v="50"/>
    <x v="5"/>
    <n v="135351"/>
    <n v="12488985"/>
    <n v="1.08"/>
    <s v="DQS_MAO04_FILE_000_B"/>
    <s v="RECORD COUNT by MBR_ID, DOS_THRU_DT, DX_CD Grain grouped by PAYER, SRC_FILE_NM, DOS_THRU_YYYYMM"/>
  </r>
  <r>
    <x v="0"/>
    <s v="AETNA_MAO4_202402_20240302.txt"/>
    <x v="51"/>
    <x v="5"/>
    <n v="95147"/>
    <n v="12488985"/>
    <n v="0.76"/>
    <s v="DQS_MAO04_FILE_000_B"/>
    <s v="RECORD COUNT by MBR_ID, DOS_THRU_DT, DX_CD Grain grouped by PAYER, SRC_FILE_NM, DOS_THRU_YYYYMM"/>
  </r>
  <r>
    <x v="0"/>
    <s v="AETNA_MAO4_202402_20240302.txt"/>
    <x v="52"/>
    <x v="5"/>
    <n v="102051"/>
    <n v="12488985"/>
    <n v="0.82"/>
    <s v="DQS_MAO04_FILE_000_B"/>
    <s v="RECORD COUNT by MBR_ID, DOS_THRU_DT, DX_CD Grain grouped by PAYER, SRC_FILE_NM, DOS_THRU_YYYYMM"/>
  </r>
  <r>
    <x v="0"/>
    <s v="AETNA_MAO4_202402_20240302.txt"/>
    <x v="53"/>
    <x v="6"/>
    <n v="154964"/>
    <n v="12488985"/>
    <n v="1.24"/>
    <s v="DQS_MAO04_FILE_000_B"/>
    <s v="RECORD COUNT by MBR_ID, DOS_THRU_DT, DX_CD Grain grouped by PAYER, SRC_FILE_NM, DOS_THRU_YYYYMM"/>
  </r>
  <r>
    <x v="0"/>
    <s v="AETNA_MAO4_202402_20240302.txt"/>
    <x v="54"/>
    <x v="6"/>
    <n v="132477"/>
    <n v="12488985"/>
    <n v="1.06"/>
    <s v="DQS_MAO04_FILE_000_B"/>
    <s v="RECORD COUNT by MBR_ID, DOS_THRU_DT, DX_CD Grain grouped by PAYER, SRC_FILE_NM, DOS_THRU_YYYYMM"/>
  </r>
  <r>
    <x v="0"/>
    <s v="AETNA_MAO4_202402_20240302.txt"/>
    <x v="55"/>
    <x v="6"/>
    <n v="179822"/>
    <n v="12488985"/>
    <n v="1.44"/>
    <s v="DQS_MAO04_FILE_000_B"/>
    <s v="RECORD COUNT by MBR_ID, DOS_THRU_DT, DX_CD Grain grouped by PAYER, SRC_FILE_NM, DOS_THRU_YYYYMM"/>
  </r>
  <r>
    <x v="0"/>
    <s v="AETNA_MAO4_202402_20240302.txt"/>
    <x v="56"/>
    <x v="6"/>
    <n v="307464"/>
    <n v="12488985"/>
    <n v="2.46"/>
    <s v="DQS_MAO04_FILE_000_B"/>
    <s v="RECORD COUNT by MBR_ID, DOS_THRU_DT, DX_CD Grain grouped by PAYER, SRC_FILE_NM, DOS_THRU_YYYYMM"/>
  </r>
  <r>
    <x v="0"/>
    <s v="AETNA_MAO4_202402_20240302.txt"/>
    <x v="57"/>
    <x v="6"/>
    <n v="330612"/>
    <n v="12488985"/>
    <n v="2.65"/>
    <s v="DQS_MAO04_FILE_000_B"/>
    <s v="RECORD COUNT by MBR_ID, DOS_THRU_DT, DX_CD Grain grouped by PAYER, SRC_FILE_NM, DOS_THRU_YYYYMM"/>
  </r>
  <r>
    <x v="0"/>
    <s v="AETNA_MAO4_202402_20240302.txt"/>
    <x v="58"/>
    <x v="6"/>
    <n v="368512"/>
    <n v="12488985"/>
    <n v="2.95"/>
    <s v="DQS_MAO04_FILE_000_B"/>
    <s v="RECORD COUNT by MBR_ID, DOS_THRU_DT, DX_CD Grain grouped by PAYER, SRC_FILE_NM, DOS_THRU_YYYYMM"/>
  </r>
  <r>
    <x v="0"/>
    <s v="AETNA_MAO4_202402_20240302.txt"/>
    <x v="59"/>
    <x v="6"/>
    <n v="386156"/>
    <n v="12488985"/>
    <n v="3.09"/>
    <s v="DQS_MAO04_FILE_000_B"/>
    <s v="RECORD COUNT by MBR_ID, DOS_THRU_DT, DX_CD Grain grouped by PAYER, SRC_FILE_NM, DOS_THRU_YYYYMM"/>
  </r>
  <r>
    <x v="0"/>
    <s v="AETNA_MAO4_202402_20240302.txt"/>
    <x v="60"/>
    <x v="6"/>
    <n v="385632"/>
    <n v="12488985"/>
    <n v="3.09"/>
    <s v="DQS_MAO04_FILE_000_B"/>
    <s v="RECORD COUNT by MBR_ID, DOS_THRU_DT, DX_CD Grain grouped by PAYER, SRC_FILE_NM, DOS_THRU_YYYYMM"/>
  </r>
  <r>
    <x v="0"/>
    <s v="AETNA_MAO4_202402_20240302.txt"/>
    <x v="61"/>
    <x v="6"/>
    <n v="384098"/>
    <n v="12488985"/>
    <n v="3.08"/>
    <s v="DQS_MAO04_FILE_000_B"/>
    <s v="RECORD COUNT by MBR_ID, DOS_THRU_DT, DX_CD Grain grouped by PAYER, SRC_FILE_NM, DOS_THRU_YYYYMM"/>
  </r>
  <r>
    <x v="0"/>
    <s v="AETNA_MAO4_202402_20240302.txt"/>
    <x v="62"/>
    <x v="6"/>
    <n v="369545"/>
    <n v="12488985"/>
    <n v="2.96"/>
    <s v="DQS_MAO04_FILE_000_B"/>
    <s v="RECORD COUNT by MBR_ID, DOS_THRU_DT, DX_CD Grain grouped by PAYER, SRC_FILE_NM, DOS_THRU_YYYYMM"/>
  </r>
  <r>
    <x v="0"/>
    <s v="AETNA_MAO4_202402_20240302.txt"/>
    <x v="63"/>
    <x v="6"/>
    <n v="366340"/>
    <n v="12488985"/>
    <n v="2.93"/>
    <s v="DQS_MAO04_FILE_000_B"/>
    <s v="RECORD COUNT by MBR_ID, DOS_THRU_DT, DX_CD Grain grouped by PAYER, SRC_FILE_NM, DOS_THRU_YYYYMM"/>
  </r>
  <r>
    <x v="0"/>
    <s v="AETNA_MAO4_202402_20240302.txt"/>
    <x v="64"/>
    <x v="6"/>
    <n v="367683"/>
    <n v="12488985"/>
    <n v="2.94"/>
    <s v="DQS_MAO04_FILE_000_B"/>
    <s v="RECORD COUNT by MBR_ID, DOS_THRU_DT, DX_CD Grain grouped by PAYER, SRC_FILE_NM, DOS_THRU_YYYYMM"/>
  </r>
  <r>
    <x v="0"/>
    <s v="AETNA_MAO4_202402_20240302.txt"/>
    <x v="65"/>
    <x v="7"/>
    <n v="299189"/>
    <n v="12488985"/>
    <n v="2.4"/>
    <s v="DQS_MAO04_FILE_000_B"/>
    <s v="RECORD COUNT by MBR_ID, DOS_THRU_DT, DX_CD Grain grouped by PAYER, SRC_FILE_NM, DOS_THRU_YYYYMM"/>
  </r>
  <r>
    <x v="0"/>
    <s v="AETNA_MAO4_202402_20240302.txt"/>
    <x v="66"/>
    <x v="7"/>
    <n v="259457"/>
    <n v="12488985"/>
    <n v="2.08"/>
    <s v="DQS_MAO04_FILE_000_B"/>
    <s v="RECORD COUNT by MBR_ID, DOS_THRU_DT, DX_CD Grain grouped by PAYER, SRC_FILE_NM, DOS_THRU_YYYYMM"/>
  </r>
  <r>
    <x v="0"/>
    <s v="AETNA_MAO4_202402_20240302.txt"/>
    <x v="67"/>
    <x v="7"/>
    <n v="332070"/>
    <n v="12488985"/>
    <n v="2.66"/>
    <s v="DQS_MAO04_FILE_000_B"/>
    <s v="RECORD COUNT by MBR_ID, DOS_THRU_DT, DX_CD Grain grouped by PAYER, SRC_FILE_NM, DOS_THRU_YYYYMM"/>
  </r>
  <r>
    <x v="0"/>
    <s v="AETNA_MAO4_202402_20240302.txt"/>
    <x v="68"/>
    <x v="7"/>
    <n v="293532"/>
    <n v="12488985"/>
    <n v="2.35"/>
    <s v="DQS_MAO04_FILE_000_B"/>
    <s v="RECORD COUNT by MBR_ID, DOS_THRU_DT, DX_CD Grain grouped by PAYER, SRC_FILE_NM, DOS_THRU_YYYYMM"/>
  </r>
  <r>
    <x v="0"/>
    <s v="AETNA_MAO4_202402_20240302.txt"/>
    <x v="69"/>
    <x v="7"/>
    <n v="298712"/>
    <n v="12488985"/>
    <n v="2.39"/>
    <s v="DQS_MAO04_FILE_000_B"/>
    <s v="RECORD COUNT by MBR_ID, DOS_THRU_DT, DX_CD Grain grouped by PAYER, SRC_FILE_NM, DOS_THRU_YYYYMM"/>
  </r>
  <r>
    <x v="0"/>
    <s v="AETNA_MAO4_202402_20240302.txt"/>
    <x v="70"/>
    <x v="7"/>
    <n v="309844"/>
    <n v="12488985"/>
    <n v="2.48"/>
    <s v="DQS_MAO04_FILE_000_B"/>
    <s v="RECORD COUNT by MBR_ID, DOS_THRU_DT, DX_CD Grain grouped by PAYER, SRC_FILE_NM, DOS_THRU_YYYYMM"/>
  </r>
  <r>
    <x v="0"/>
    <s v="AETNA_MAO4_202402_20240302.txt"/>
    <x v="71"/>
    <x v="7"/>
    <n v="288134"/>
    <n v="12488985"/>
    <n v="2.31"/>
    <s v="DQS_MAO04_FILE_000_B"/>
    <s v="RECORD COUNT by MBR_ID, DOS_THRU_DT, DX_CD Grain grouped by PAYER, SRC_FILE_NM, DOS_THRU_YYYYMM"/>
  </r>
  <r>
    <x v="0"/>
    <s v="AETNA_MAO4_202402_20240302.txt"/>
    <x v="72"/>
    <x v="7"/>
    <n v="321782"/>
    <n v="12488985"/>
    <n v="2.58"/>
    <s v="DQS_MAO04_FILE_000_B"/>
    <s v="RECORD COUNT by MBR_ID, DOS_THRU_DT, DX_CD Grain grouped by PAYER, SRC_FILE_NM, DOS_THRU_YYYYMM"/>
  </r>
  <r>
    <x v="0"/>
    <s v="AETNA_MAO4_202402_20240302.txt"/>
    <x v="73"/>
    <x v="7"/>
    <n v="301945"/>
    <n v="12488985"/>
    <n v="2.42"/>
    <s v="DQS_MAO04_FILE_000_B"/>
    <s v="RECORD COUNT by MBR_ID, DOS_THRU_DT, DX_CD Grain grouped by PAYER, SRC_FILE_NM, DOS_THRU_YYYYMM"/>
  </r>
  <r>
    <x v="0"/>
    <s v="AETNA_MAO4_202402_20240302.txt"/>
    <x v="74"/>
    <x v="7"/>
    <n v="307791"/>
    <n v="12488985"/>
    <n v="2.46"/>
    <s v="DQS_MAO04_FILE_000_B"/>
    <s v="RECORD COUNT by MBR_ID, DOS_THRU_DT, DX_CD Grain grouped by PAYER, SRC_FILE_NM, DOS_THRU_YYYYMM"/>
  </r>
  <r>
    <x v="0"/>
    <s v="AETNA_MAO4_202402_20240302.txt"/>
    <x v="75"/>
    <x v="7"/>
    <n v="301448"/>
    <n v="12488985"/>
    <n v="2.41"/>
    <s v="DQS_MAO04_FILE_000_B"/>
    <s v="RECORD COUNT by MBR_ID, DOS_THRU_DT, DX_CD Grain grouped by PAYER, SRC_FILE_NM, DOS_THRU_YYYYMM"/>
  </r>
  <r>
    <x v="0"/>
    <s v="AETNA_MAO4_202402_20240302.txt"/>
    <x v="76"/>
    <x v="7"/>
    <n v="282471"/>
    <n v="12488985"/>
    <n v="2.2599999999999998"/>
    <s v="DQS_MAO04_FILE_000_B"/>
    <s v="RECORD COUNT by MBR_ID, DOS_THRU_DT, DX_CD Grain grouped by PAYER, SRC_FILE_NM, DOS_THRU_YYYYMM"/>
  </r>
  <r>
    <x v="0"/>
    <s v="AETNA_MAO4_202402_20240302.txt"/>
    <x v="77"/>
    <x v="8"/>
    <n v="305562"/>
    <n v="12488985"/>
    <n v="2.4500000000000002"/>
    <s v="DQS_MAO04_FILE_000_B"/>
    <s v="RECORD COUNT by MBR_ID, DOS_THRU_DT, DX_CD Grain grouped by PAYER, SRC_FILE_NM, DOS_THRU_YYYYMM"/>
  </r>
  <r>
    <x v="0"/>
    <s v="AETNA_MAO4_202402_20240302.txt"/>
    <x v="78"/>
    <x v="8"/>
    <n v="297720"/>
    <n v="12488985"/>
    <n v="2.38"/>
    <s v="DQS_MAO04_FILE_000_B"/>
    <s v="RECORD COUNT by MBR_ID, DOS_THRU_DT, DX_CD Grain grouped by PAYER, SRC_FILE_NM, DOS_THRU_YYYYMM"/>
  </r>
  <r>
    <x v="0"/>
    <s v="AETNA_MAO4_202402_20240302.txt"/>
    <x v="79"/>
    <x v="8"/>
    <n v="329363"/>
    <n v="12488985"/>
    <n v="2.64"/>
    <s v="DQS_MAO04_FILE_000_B"/>
    <s v="RECORD COUNT by MBR_ID, DOS_THRU_DT, DX_CD Grain grouped by PAYER, SRC_FILE_NM, DOS_THRU_YYYYMM"/>
  </r>
  <r>
    <x v="0"/>
    <s v="AETNA_MAO4_202402_20240302.txt"/>
    <x v="80"/>
    <x v="8"/>
    <n v="297655"/>
    <n v="12488985"/>
    <n v="2.38"/>
    <s v="DQS_MAO04_FILE_000_B"/>
    <s v="RECORD COUNT by MBR_ID, DOS_THRU_DT, DX_CD Grain grouped by PAYER, SRC_FILE_NM, DOS_THRU_YYYYMM"/>
  </r>
  <r>
    <x v="0"/>
    <s v="AETNA_MAO4_202402_20240302.txt"/>
    <x v="81"/>
    <x v="8"/>
    <n v="314067"/>
    <n v="12488985"/>
    <n v="2.5099999999999998"/>
    <s v="DQS_MAO04_FILE_000_B"/>
    <s v="RECORD COUNT by MBR_ID, DOS_THRU_DT, DX_CD Grain grouped by PAYER, SRC_FILE_NM, DOS_THRU_YYYYMM"/>
  </r>
  <r>
    <x v="0"/>
    <s v="AETNA_MAO4_202402_20240302.txt"/>
    <x v="82"/>
    <x v="8"/>
    <n v="306816"/>
    <n v="12488985"/>
    <n v="2.46"/>
    <s v="DQS_MAO04_FILE_000_B"/>
    <s v="RECORD COUNT by MBR_ID, DOS_THRU_DT, DX_CD Grain grouped by PAYER, SRC_FILE_NM, DOS_THRU_YYYYMM"/>
  </r>
  <r>
    <x v="0"/>
    <s v="AETNA_MAO4_202402_20240302.txt"/>
    <x v="83"/>
    <x v="8"/>
    <n v="273816"/>
    <n v="12488985"/>
    <n v="2.19"/>
    <s v="DQS_MAO04_FILE_000_B"/>
    <s v="RECORD COUNT by MBR_ID, DOS_THRU_DT, DX_CD Grain grouped by PAYER, SRC_FILE_NM, DOS_THRU_YYYYMM"/>
  </r>
  <r>
    <x v="0"/>
    <s v="AETNA_MAO4_202402_20240302.txt"/>
    <x v="84"/>
    <x v="8"/>
    <n v="307178"/>
    <n v="12488985"/>
    <n v="2.46"/>
    <s v="DQS_MAO04_FILE_000_B"/>
    <s v="RECORD COUNT by MBR_ID, DOS_THRU_DT, DX_CD Grain grouped by PAYER, SRC_FILE_NM, DOS_THRU_YYYYMM"/>
  </r>
  <r>
    <x v="0"/>
    <s v="AETNA_MAO4_202402_20240302.txt"/>
    <x v="85"/>
    <x v="8"/>
    <n v="287674"/>
    <n v="12488985"/>
    <n v="2.2999999999999998"/>
    <s v="DQS_MAO04_FILE_000_B"/>
    <s v="RECORD COUNT by MBR_ID, DOS_THRU_DT, DX_CD Grain grouped by PAYER, SRC_FILE_NM, DOS_THRU_YYYYMM"/>
  </r>
  <r>
    <x v="0"/>
    <s v="AETNA_MAO4_202402_20240302.txt"/>
    <x v="86"/>
    <x v="8"/>
    <n v="311092"/>
    <n v="12488985"/>
    <n v="2.4900000000000002"/>
    <s v="DQS_MAO04_FILE_000_B"/>
    <s v="RECORD COUNT by MBR_ID, DOS_THRU_DT, DX_CD Grain grouped by PAYER, SRC_FILE_NM, DOS_THRU_YYYYMM"/>
  </r>
  <r>
    <x v="0"/>
    <s v="AETNA_MAO4_202402_20240302.txt"/>
    <x v="87"/>
    <x v="8"/>
    <n v="292303"/>
    <n v="12488985"/>
    <n v="2.34"/>
    <s v="DQS_MAO04_FILE_000_B"/>
    <s v="RECORD COUNT by MBR_ID, DOS_THRU_DT, DX_CD Grain grouped by PAYER, SRC_FILE_NM, DOS_THRU_YYYYMM"/>
  </r>
  <r>
    <x v="0"/>
    <s v="AETNA_MAO4_202402_20240302.txt"/>
    <x v="88"/>
    <x v="8"/>
    <n v="273705"/>
    <n v="12488985"/>
    <n v="2.19"/>
    <s v="DQS_MAO04_FILE_000_B"/>
    <s v="RECORD COUNT by MBR_ID, DOS_THRU_DT, DX_CD Grain grouped by PAYER, SRC_FILE_NM, DOS_THRU_YYYYMM"/>
  </r>
  <r>
    <x v="0"/>
    <s v="AETNA_MAO4_202402_20240302.txt"/>
    <x v="89"/>
    <x v="9"/>
    <n v="139128"/>
    <n v="12488985"/>
    <n v="1.1100000000000001"/>
    <s v="DQS_MAO04_FILE_000_B"/>
    <s v="RECORD COUNT by MBR_ID, DOS_THRU_DT, DX_CD Grain grouped by PAYER, SRC_FILE_NM, DOS_THRU_YYYYMM"/>
  </r>
  <r>
    <x v="0"/>
    <s v="AETNA_MAO4_202403_20240403.txt"/>
    <x v="0"/>
    <x v="0"/>
    <n v="8"/>
    <n v="12488985"/>
    <n v="0"/>
    <s v="DQS_MAO04_FILE_000_B"/>
    <s v="RECORD COUNT by MBR_ID, DOS_THRU_DT, DX_CD Grain grouped by PAYER, SRC_FILE_NM, DOS_THRU_YYYYMM"/>
  </r>
  <r>
    <x v="0"/>
    <s v="AETNA_MAO4_202403_20240403.txt"/>
    <x v="1"/>
    <x v="0"/>
    <n v="8"/>
    <n v="12488985"/>
    <n v="0"/>
    <s v="DQS_MAO04_FILE_000_B"/>
    <s v="RECORD COUNT by MBR_ID, DOS_THRU_DT, DX_CD Grain grouped by PAYER, SRC_FILE_NM, DOS_THRU_YYYYMM"/>
  </r>
  <r>
    <x v="0"/>
    <s v="AETNA_MAO4_202403_20240403.txt"/>
    <x v="2"/>
    <x v="1"/>
    <n v="2"/>
    <n v="12488985"/>
    <n v="0"/>
    <s v="DQS_MAO04_FILE_000_B"/>
    <s v="RECORD COUNT by MBR_ID, DOS_THRU_DT, DX_CD Grain grouped by PAYER, SRC_FILE_NM, DOS_THRU_YYYYMM"/>
  </r>
  <r>
    <x v="0"/>
    <s v="AETNA_MAO4_202403_20240403.txt"/>
    <x v="3"/>
    <x v="1"/>
    <n v="15"/>
    <n v="12488985"/>
    <n v="0"/>
    <s v="DQS_MAO04_FILE_000_B"/>
    <s v="RECORD COUNT by MBR_ID, DOS_THRU_DT, DX_CD Grain grouped by PAYER, SRC_FILE_NM, DOS_THRU_YYYYMM"/>
  </r>
  <r>
    <x v="0"/>
    <s v="AETNA_MAO4_202403_20240403.txt"/>
    <x v="4"/>
    <x v="1"/>
    <n v="12"/>
    <n v="12488985"/>
    <n v="0"/>
    <s v="DQS_MAO04_FILE_000_B"/>
    <s v="RECORD COUNT by MBR_ID, DOS_THRU_DT, DX_CD Grain grouped by PAYER, SRC_FILE_NM, DOS_THRU_YYYYMM"/>
  </r>
  <r>
    <x v="0"/>
    <s v="AETNA_MAO4_202403_20240403.txt"/>
    <x v="5"/>
    <x v="1"/>
    <n v="32"/>
    <n v="12488985"/>
    <n v="0"/>
    <s v="DQS_MAO04_FILE_000_B"/>
    <s v="RECORD COUNT by MBR_ID, DOS_THRU_DT, DX_CD Grain grouped by PAYER, SRC_FILE_NM, DOS_THRU_YYYYMM"/>
  </r>
  <r>
    <x v="0"/>
    <s v="AETNA_MAO4_202403_20240403.txt"/>
    <x v="6"/>
    <x v="2"/>
    <n v="12"/>
    <n v="12488985"/>
    <n v="0"/>
    <s v="DQS_MAO04_FILE_000_B"/>
    <s v="RECORD COUNT by MBR_ID, DOS_THRU_DT, DX_CD Grain grouped by PAYER, SRC_FILE_NM, DOS_THRU_YYYYMM"/>
  </r>
  <r>
    <x v="0"/>
    <s v="AETNA_MAO4_202403_20240403.txt"/>
    <x v="7"/>
    <x v="2"/>
    <n v="34"/>
    <n v="12488985"/>
    <n v="0"/>
    <s v="DQS_MAO04_FILE_000_B"/>
    <s v="RECORD COUNT by MBR_ID, DOS_THRU_DT, DX_CD Grain grouped by PAYER, SRC_FILE_NM, DOS_THRU_YYYYMM"/>
  </r>
  <r>
    <x v="0"/>
    <s v="AETNA_MAO4_202403_20240403.txt"/>
    <x v="8"/>
    <x v="2"/>
    <n v="13"/>
    <n v="12488985"/>
    <n v="0"/>
    <s v="DQS_MAO04_FILE_000_B"/>
    <s v="RECORD COUNT by MBR_ID, DOS_THRU_DT, DX_CD Grain grouped by PAYER, SRC_FILE_NM, DOS_THRU_YYYYMM"/>
  </r>
  <r>
    <x v="0"/>
    <s v="AETNA_MAO4_202403_20240403.txt"/>
    <x v="9"/>
    <x v="2"/>
    <n v="4"/>
    <n v="12488985"/>
    <n v="0"/>
    <s v="DQS_MAO04_FILE_000_B"/>
    <s v="RECORD COUNT by MBR_ID, DOS_THRU_DT, DX_CD Grain grouped by PAYER, SRC_FILE_NM, DOS_THRU_YYYYMM"/>
  </r>
  <r>
    <x v="0"/>
    <s v="AETNA_MAO4_202403_20240403.txt"/>
    <x v="10"/>
    <x v="2"/>
    <n v="10"/>
    <n v="12488985"/>
    <n v="0"/>
    <s v="DQS_MAO04_FILE_000_B"/>
    <s v="RECORD COUNT by MBR_ID, DOS_THRU_DT, DX_CD Grain grouped by PAYER, SRC_FILE_NM, DOS_THRU_YYYYMM"/>
  </r>
  <r>
    <x v="0"/>
    <s v="AETNA_MAO4_202403_20240403.txt"/>
    <x v="11"/>
    <x v="2"/>
    <n v="39"/>
    <n v="12488985"/>
    <n v="0"/>
    <s v="DQS_MAO04_FILE_000_B"/>
    <s v="RECORD COUNT by MBR_ID, DOS_THRU_DT, DX_CD Grain grouped by PAYER, SRC_FILE_NM, DOS_THRU_YYYYMM"/>
  </r>
  <r>
    <x v="0"/>
    <s v="AETNA_MAO4_202403_20240403.txt"/>
    <x v="12"/>
    <x v="2"/>
    <n v="52"/>
    <n v="12488985"/>
    <n v="0"/>
    <s v="DQS_MAO04_FILE_000_B"/>
    <s v="RECORD COUNT by MBR_ID, DOS_THRU_DT, DX_CD Grain grouped by PAYER, SRC_FILE_NM, DOS_THRU_YYYYMM"/>
  </r>
  <r>
    <x v="0"/>
    <s v="AETNA_MAO4_202403_20240403.txt"/>
    <x v="13"/>
    <x v="2"/>
    <n v="44"/>
    <n v="12488985"/>
    <n v="0"/>
    <s v="DQS_MAO04_FILE_000_B"/>
    <s v="RECORD COUNT by MBR_ID, DOS_THRU_DT, DX_CD Grain grouped by PAYER, SRC_FILE_NM, DOS_THRU_YYYYMM"/>
  </r>
  <r>
    <x v="0"/>
    <s v="AETNA_MAO4_202403_20240403.txt"/>
    <x v="14"/>
    <x v="2"/>
    <n v="47"/>
    <n v="12488985"/>
    <n v="0"/>
    <s v="DQS_MAO04_FILE_000_B"/>
    <s v="RECORD COUNT by MBR_ID, DOS_THRU_DT, DX_CD Grain grouped by PAYER, SRC_FILE_NM, DOS_THRU_YYYYMM"/>
  </r>
  <r>
    <x v="0"/>
    <s v="AETNA_MAO4_202403_20240403.txt"/>
    <x v="15"/>
    <x v="2"/>
    <n v="50"/>
    <n v="12488985"/>
    <n v="0"/>
    <s v="DQS_MAO04_FILE_000_B"/>
    <s v="RECORD COUNT by MBR_ID, DOS_THRU_DT, DX_CD Grain grouped by PAYER, SRC_FILE_NM, DOS_THRU_YYYYMM"/>
  </r>
  <r>
    <x v="0"/>
    <s v="AETNA_MAO4_202403_20240403.txt"/>
    <x v="16"/>
    <x v="2"/>
    <n v="33"/>
    <n v="12488985"/>
    <n v="0"/>
    <s v="DQS_MAO04_FILE_000_B"/>
    <s v="RECORD COUNT by MBR_ID, DOS_THRU_DT, DX_CD Grain grouped by PAYER, SRC_FILE_NM, DOS_THRU_YYYYMM"/>
  </r>
  <r>
    <x v="0"/>
    <s v="AETNA_MAO4_202403_20240403.txt"/>
    <x v="17"/>
    <x v="3"/>
    <n v="540"/>
    <n v="12488985"/>
    <n v="0"/>
    <s v="DQS_MAO04_FILE_000_B"/>
    <s v="RECORD COUNT by MBR_ID, DOS_THRU_DT, DX_CD Grain grouped by PAYER, SRC_FILE_NM, DOS_THRU_YYYYMM"/>
  </r>
  <r>
    <x v="0"/>
    <s v="AETNA_MAO4_202403_20240403.txt"/>
    <x v="18"/>
    <x v="3"/>
    <n v="353"/>
    <n v="12488985"/>
    <n v="0"/>
    <s v="DQS_MAO04_FILE_000_B"/>
    <s v="RECORD COUNT by MBR_ID, DOS_THRU_DT, DX_CD Grain grouped by PAYER, SRC_FILE_NM, DOS_THRU_YYYYMM"/>
  </r>
  <r>
    <x v="0"/>
    <s v="AETNA_MAO4_202403_20240403.txt"/>
    <x v="19"/>
    <x v="3"/>
    <n v="469"/>
    <n v="12488985"/>
    <n v="0"/>
    <s v="DQS_MAO04_FILE_000_B"/>
    <s v="RECORD COUNT by MBR_ID, DOS_THRU_DT, DX_CD Grain grouped by PAYER, SRC_FILE_NM, DOS_THRU_YYYYMM"/>
  </r>
  <r>
    <x v="0"/>
    <s v="AETNA_MAO4_202403_20240403.txt"/>
    <x v="20"/>
    <x v="3"/>
    <n v="492"/>
    <n v="12488985"/>
    <n v="0"/>
    <s v="DQS_MAO04_FILE_000_B"/>
    <s v="RECORD COUNT by MBR_ID, DOS_THRU_DT, DX_CD Grain grouped by PAYER, SRC_FILE_NM, DOS_THRU_YYYYMM"/>
  </r>
  <r>
    <x v="0"/>
    <s v="AETNA_MAO4_202403_20240403.txt"/>
    <x v="21"/>
    <x v="3"/>
    <n v="541"/>
    <n v="12488985"/>
    <n v="0"/>
    <s v="DQS_MAO04_FILE_000_B"/>
    <s v="RECORD COUNT by MBR_ID, DOS_THRU_DT, DX_CD Grain grouped by PAYER, SRC_FILE_NM, DOS_THRU_YYYYMM"/>
  </r>
  <r>
    <x v="0"/>
    <s v="AETNA_MAO4_202403_20240403.txt"/>
    <x v="22"/>
    <x v="3"/>
    <n v="534"/>
    <n v="12488985"/>
    <n v="0"/>
    <s v="DQS_MAO04_FILE_000_B"/>
    <s v="RECORD COUNT by MBR_ID, DOS_THRU_DT, DX_CD Grain grouped by PAYER, SRC_FILE_NM, DOS_THRU_YYYYMM"/>
  </r>
  <r>
    <x v="0"/>
    <s v="AETNA_MAO4_202403_20240403.txt"/>
    <x v="23"/>
    <x v="3"/>
    <n v="500"/>
    <n v="12488985"/>
    <n v="0"/>
    <s v="DQS_MAO04_FILE_000_B"/>
    <s v="RECORD COUNT by MBR_ID, DOS_THRU_DT, DX_CD Grain grouped by PAYER, SRC_FILE_NM, DOS_THRU_YYYYMM"/>
  </r>
  <r>
    <x v="0"/>
    <s v="AETNA_MAO4_202403_20240403.txt"/>
    <x v="24"/>
    <x v="3"/>
    <n v="829"/>
    <n v="12488985"/>
    <n v="0.01"/>
    <s v="DQS_MAO04_FILE_000_B"/>
    <s v="RECORD COUNT by MBR_ID, DOS_THRU_DT, DX_CD Grain grouped by PAYER, SRC_FILE_NM, DOS_THRU_YYYYMM"/>
  </r>
  <r>
    <x v="0"/>
    <s v="AETNA_MAO4_202403_20240403.txt"/>
    <x v="25"/>
    <x v="3"/>
    <n v="488"/>
    <n v="12488985"/>
    <n v="0"/>
    <s v="DQS_MAO04_FILE_000_B"/>
    <s v="RECORD COUNT by MBR_ID, DOS_THRU_DT, DX_CD Grain grouped by PAYER, SRC_FILE_NM, DOS_THRU_YYYYMM"/>
  </r>
  <r>
    <x v="0"/>
    <s v="AETNA_MAO4_202403_20240403.txt"/>
    <x v="26"/>
    <x v="3"/>
    <n v="885"/>
    <n v="12488985"/>
    <n v="0.01"/>
    <s v="DQS_MAO04_FILE_000_B"/>
    <s v="RECORD COUNT by MBR_ID, DOS_THRU_DT, DX_CD Grain grouped by PAYER, SRC_FILE_NM, DOS_THRU_YYYYMM"/>
  </r>
  <r>
    <x v="0"/>
    <s v="AETNA_MAO4_202403_20240403.txt"/>
    <x v="27"/>
    <x v="3"/>
    <n v="680"/>
    <n v="12488985"/>
    <n v="0.01"/>
    <s v="DQS_MAO04_FILE_000_B"/>
    <s v="RECORD COUNT by MBR_ID, DOS_THRU_DT, DX_CD Grain grouped by PAYER, SRC_FILE_NM, DOS_THRU_YYYYMM"/>
  </r>
  <r>
    <x v="0"/>
    <s v="AETNA_MAO4_202403_20240403.txt"/>
    <x v="28"/>
    <x v="3"/>
    <n v="814"/>
    <n v="12488985"/>
    <n v="0.01"/>
    <s v="DQS_MAO04_FILE_000_B"/>
    <s v="RECORD COUNT by MBR_ID, DOS_THRU_DT, DX_CD Grain grouped by PAYER, SRC_FILE_NM, DOS_THRU_YYYYMM"/>
  </r>
  <r>
    <x v="0"/>
    <s v="AETNA_MAO4_202403_20240403.txt"/>
    <x v="29"/>
    <x v="4"/>
    <n v="25145"/>
    <n v="12488985"/>
    <n v="0.2"/>
    <s v="DQS_MAO04_FILE_000_B"/>
    <s v="RECORD COUNT by MBR_ID, DOS_THRU_DT, DX_CD Grain grouped by PAYER, SRC_FILE_NM, DOS_THRU_YYYYMM"/>
  </r>
  <r>
    <x v="0"/>
    <s v="AETNA_MAO4_202403_20240403.txt"/>
    <x v="30"/>
    <x v="4"/>
    <n v="22937"/>
    <n v="12488985"/>
    <n v="0.18"/>
    <s v="DQS_MAO04_FILE_000_B"/>
    <s v="RECORD COUNT by MBR_ID, DOS_THRU_DT, DX_CD Grain grouped by PAYER, SRC_FILE_NM, DOS_THRU_YYYYMM"/>
  </r>
  <r>
    <x v="0"/>
    <s v="AETNA_MAO4_202403_20240403.txt"/>
    <x v="31"/>
    <x v="4"/>
    <n v="25786"/>
    <n v="12488985"/>
    <n v="0.21"/>
    <s v="DQS_MAO04_FILE_000_B"/>
    <s v="RECORD COUNT by MBR_ID, DOS_THRU_DT, DX_CD Grain grouped by PAYER, SRC_FILE_NM, DOS_THRU_YYYYMM"/>
  </r>
  <r>
    <x v="0"/>
    <s v="AETNA_MAO4_202403_20240403.txt"/>
    <x v="32"/>
    <x v="4"/>
    <n v="27781"/>
    <n v="12488985"/>
    <n v="0.22"/>
    <s v="DQS_MAO04_FILE_000_B"/>
    <s v="RECORD COUNT by MBR_ID, DOS_THRU_DT, DX_CD Grain grouped by PAYER, SRC_FILE_NM, DOS_THRU_YYYYMM"/>
  </r>
  <r>
    <x v="0"/>
    <s v="AETNA_MAO4_202403_20240403.txt"/>
    <x v="33"/>
    <x v="4"/>
    <n v="26571"/>
    <n v="12488985"/>
    <n v="0.21"/>
    <s v="DQS_MAO04_FILE_000_B"/>
    <s v="RECORD COUNT by MBR_ID, DOS_THRU_DT, DX_CD Grain grouped by PAYER, SRC_FILE_NM, DOS_THRU_YYYYMM"/>
  </r>
  <r>
    <x v="0"/>
    <s v="AETNA_MAO4_202403_20240403.txt"/>
    <x v="34"/>
    <x v="4"/>
    <n v="26034"/>
    <n v="12488985"/>
    <n v="0.21"/>
    <s v="DQS_MAO04_FILE_000_B"/>
    <s v="RECORD COUNT by MBR_ID, DOS_THRU_DT, DX_CD Grain grouped by PAYER, SRC_FILE_NM, DOS_THRU_YYYYMM"/>
  </r>
  <r>
    <x v="0"/>
    <s v="AETNA_MAO4_202403_20240403.txt"/>
    <x v="35"/>
    <x v="4"/>
    <n v="27545"/>
    <n v="12488985"/>
    <n v="0.22"/>
    <s v="DQS_MAO04_FILE_000_B"/>
    <s v="RECORD COUNT by MBR_ID, DOS_THRU_DT, DX_CD Grain grouped by PAYER, SRC_FILE_NM, DOS_THRU_YYYYMM"/>
  </r>
  <r>
    <x v="0"/>
    <s v="AETNA_MAO4_202403_20240403.txt"/>
    <x v="36"/>
    <x v="4"/>
    <n v="27814"/>
    <n v="12488985"/>
    <n v="0.22"/>
    <s v="DQS_MAO04_FILE_000_B"/>
    <s v="RECORD COUNT by MBR_ID, DOS_THRU_DT, DX_CD Grain grouped by PAYER, SRC_FILE_NM, DOS_THRU_YYYYMM"/>
  </r>
  <r>
    <x v="0"/>
    <s v="AETNA_MAO4_202403_20240403.txt"/>
    <x v="37"/>
    <x v="4"/>
    <n v="26309"/>
    <n v="12488985"/>
    <n v="0.21"/>
    <s v="DQS_MAO04_FILE_000_B"/>
    <s v="RECORD COUNT by MBR_ID, DOS_THRU_DT, DX_CD Grain grouped by PAYER, SRC_FILE_NM, DOS_THRU_YYYYMM"/>
  </r>
  <r>
    <x v="0"/>
    <s v="AETNA_MAO4_202403_20240403.txt"/>
    <x v="38"/>
    <x v="4"/>
    <n v="31808"/>
    <n v="12488985"/>
    <n v="0.25"/>
    <s v="DQS_MAO04_FILE_000_B"/>
    <s v="RECORD COUNT by MBR_ID, DOS_THRU_DT, DX_CD Grain grouped by PAYER, SRC_FILE_NM, DOS_THRU_YYYYMM"/>
  </r>
  <r>
    <x v="0"/>
    <s v="AETNA_MAO4_202403_20240403.txt"/>
    <x v="39"/>
    <x v="4"/>
    <n v="25616"/>
    <n v="12488985"/>
    <n v="0.21"/>
    <s v="DQS_MAO04_FILE_000_B"/>
    <s v="RECORD COUNT by MBR_ID, DOS_THRU_DT, DX_CD Grain grouped by PAYER, SRC_FILE_NM, DOS_THRU_YYYYMM"/>
  </r>
  <r>
    <x v="0"/>
    <s v="AETNA_MAO4_202403_20240403.txt"/>
    <x v="40"/>
    <x v="4"/>
    <n v="25502"/>
    <n v="12488985"/>
    <n v="0.2"/>
    <s v="DQS_MAO04_FILE_000_B"/>
    <s v="RECORD COUNT by MBR_ID, DOS_THRU_DT, DX_CD Grain grouped by PAYER, SRC_FILE_NM, DOS_THRU_YYYYMM"/>
  </r>
  <r>
    <x v="0"/>
    <s v="AETNA_MAO4_202403_20240403.txt"/>
    <x v="41"/>
    <x v="5"/>
    <n v="96061"/>
    <n v="12488985"/>
    <n v="0.77"/>
    <s v="DQS_MAO04_FILE_000_B"/>
    <s v="RECORD COUNT by MBR_ID, DOS_THRU_DT, DX_CD Grain grouped by PAYER, SRC_FILE_NM, DOS_THRU_YYYYMM"/>
  </r>
  <r>
    <x v="0"/>
    <s v="AETNA_MAO4_202403_20240403.txt"/>
    <x v="42"/>
    <x v="5"/>
    <n v="89822"/>
    <n v="12488985"/>
    <n v="0.72"/>
    <s v="DQS_MAO04_FILE_000_B"/>
    <s v="RECORD COUNT by MBR_ID, DOS_THRU_DT, DX_CD Grain grouped by PAYER, SRC_FILE_NM, DOS_THRU_YYYYMM"/>
  </r>
  <r>
    <x v="0"/>
    <s v="AETNA_MAO4_202403_20240403.txt"/>
    <x v="43"/>
    <x v="5"/>
    <n v="78153"/>
    <n v="12488985"/>
    <n v="0.63"/>
    <s v="DQS_MAO04_FILE_000_B"/>
    <s v="RECORD COUNT by MBR_ID, DOS_THRU_DT, DX_CD Grain grouped by PAYER, SRC_FILE_NM, DOS_THRU_YYYYMM"/>
  </r>
  <r>
    <x v="0"/>
    <s v="AETNA_MAO4_202403_20240403.txt"/>
    <x v="44"/>
    <x v="5"/>
    <n v="44261"/>
    <n v="12488985"/>
    <n v="0.35"/>
    <s v="DQS_MAO04_FILE_000_B"/>
    <s v="RECORD COUNT by MBR_ID, DOS_THRU_DT, DX_CD Grain grouped by PAYER, SRC_FILE_NM, DOS_THRU_YYYYMM"/>
  </r>
  <r>
    <x v="0"/>
    <s v="AETNA_MAO4_202403_20240403.txt"/>
    <x v="45"/>
    <x v="5"/>
    <n v="76438"/>
    <n v="12488985"/>
    <n v="0.61"/>
    <s v="DQS_MAO04_FILE_000_B"/>
    <s v="RECORD COUNT by MBR_ID, DOS_THRU_DT, DX_CD Grain grouped by PAYER, SRC_FILE_NM, DOS_THRU_YYYYMM"/>
  </r>
  <r>
    <x v="0"/>
    <s v="AETNA_MAO4_202403_20240403.txt"/>
    <x v="46"/>
    <x v="5"/>
    <n v="100074"/>
    <n v="12488985"/>
    <n v="0.8"/>
    <s v="DQS_MAO04_FILE_000_B"/>
    <s v="RECORD COUNT by MBR_ID, DOS_THRU_DT, DX_CD Grain grouped by PAYER, SRC_FILE_NM, DOS_THRU_YYYYMM"/>
  </r>
  <r>
    <x v="0"/>
    <s v="AETNA_MAO4_202403_20240403.txt"/>
    <x v="47"/>
    <x v="5"/>
    <n v="87411"/>
    <n v="12488985"/>
    <n v="0.7"/>
    <s v="DQS_MAO04_FILE_000_B"/>
    <s v="RECORD COUNT by MBR_ID, DOS_THRU_DT, DX_CD Grain grouped by PAYER, SRC_FILE_NM, DOS_THRU_YYYYMM"/>
  </r>
  <r>
    <x v="0"/>
    <s v="AETNA_MAO4_202403_20240403.txt"/>
    <x v="48"/>
    <x v="5"/>
    <n v="88856"/>
    <n v="12488985"/>
    <n v="0.71"/>
    <s v="DQS_MAO04_FILE_000_B"/>
    <s v="RECORD COUNT by MBR_ID, DOS_THRU_DT, DX_CD Grain grouped by PAYER, SRC_FILE_NM, DOS_THRU_YYYYMM"/>
  </r>
  <r>
    <x v="0"/>
    <s v="AETNA_MAO4_202403_20240403.txt"/>
    <x v="49"/>
    <x v="5"/>
    <n v="103213"/>
    <n v="12488985"/>
    <n v="0.83"/>
    <s v="DQS_MAO04_FILE_000_B"/>
    <s v="RECORD COUNT by MBR_ID, DOS_THRU_DT, DX_CD Grain grouped by PAYER, SRC_FILE_NM, DOS_THRU_YYYYMM"/>
  </r>
  <r>
    <x v="0"/>
    <s v="AETNA_MAO4_202403_20240403.txt"/>
    <x v="50"/>
    <x v="5"/>
    <n v="135351"/>
    <n v="12488985"/>
    <n v="1.08"/>
    <s v="DQS_MAO04_FILE_000_B"/>
    <s v="RECORD COUNT by MBR_ID, DOS_THRU_DT, DX_CD Grain grouped by PAYER, SRC_FILE_NM, DOS_THRU_YYYYMM"/>
  </r>
  <r>
    <x v="0"/>
    <s v="AETNA_MAO4_202403_20240403.txt"/>
    <x v="51"/>
    <x v="5"/>
    <n v="95147"/>
    <n v="12488985"/>
    <n v="0.76"/>
    <s v="DQS_MAO04_FILE_000_B"/>
    <s v="RECORD COUNT by MBR_ID, DOS_THRU_DT, DX_CD Grain grouped by PAYER, SRC_FILE_NM, DOS_THRU_YYYYMM"/>
  </r>
  <r>
    <x v="0"/>
    <s v="AETNA_MAO4_202403_20240403.txt"/>
    <x v="52"/>
    <x v="5"/>
    <n v="102051"/>
    <n v="12488985"/>
    <n v="0.82"/>
    <s v="DQS_MAO04_FILE_000_B"/>
    <s v="RECORD COUNT by MBR_ID, DOS_THRU_DT, DX_CD Grain grouped by PAYER, SRC_FILE_NM, DOS_THRU_YYYYMM"/>
  </r>
  <r>
    <x v="0"/>
    <s v="AETNA_MAO4_202403_20240403.txt"/>
    <x v="53"/>
    <x v="6"/>
    <n v="154964"/>
    <n v="12488985"/>
    <n v="1.24"/>
    <s v="DQS_MAO04_FILE_000_B"/>
    <s v="RECORD COUNT by MBR_ID, DOS_THRU_DT, DX_CD Grain grouped by PAYER, SRC_FILE_NM, DOS_THRU_YYYYMM"/>
  </r>
  <r>
    <x v="0"/>
    <s v="AETNA_MAO4_202403_20240403.txt"/>
    <x v="54"/>
    <x v="6"/>
    <n v="132477"/>
    <n v="12488985"/>
    <n v="1.06"/>
    <s v="DQS_MAO04_FILE_000_B"/>
    <s v="RECORD COUNT by MBR_ID, DOS_THRU_DT, DX_CD Grain grouped by PAYER, SRC_FILE_NM, DOS_THRU_YYYYMM"/>
  </r>
  <r>
    <x v="0"/>
    <s v="AETNA_MAO4_202403_20240403.txt"/>
    <x v="55"/>
    <x v="6"/>
    <n v="179822"/>
    <n v="12488985"/>
    <n v="1.44"/>
    <s v="DQS_MAO04_FILE_000_B"/>
    <s v="RECORD COUNT by MBR_ID, DOS_THRU_DT, DX_CD Grain grouped by PAYER, SRC_FILE_NM, DOS_THRU_YYYYMM"/>
  </r>
  <r>
    <x v="0"/>
    <s v="AETNA_MAO4_202403_20240403.txt"/>
    <x v="56"/>
    <x v="6"/>
    <n v="307464"/>
    <n v="12488985"/>
    <n v="2.46"/>
    <s v="DQS_MAO04_FILE_000_B"/>
    <s v="RECORD COUNT by MBR_ID, DOS_THRU_DT, DX_CD Grain grouped by PAYER, SRC_FILE_NM, DOS_THRU_YYYYMM"/>
  </r>
  <r>
    <x v="0"/>
    <s v="AETNA_MAO4_202403_20240403.txt"/>
    <x v="57"/>
    <x v="6"/>
    <n v="330612"/>
    <n v="12488985"/>
    <n v="2.65"/>
    <s v="DQS_MAO04_FILE_000_B"/>
    <s v="RECORD COUNT by MBR_ID, DOS_THRU_DT, DX_CD Grain grouped by PAYER, SRC_FILE_NM, DOS_THRU_YYYYMM"/>
  </r>
  <r>
    <x v="0"/>
    <s v="AETNA_MAO4_202403_20240403.txt"/>
    <x v="58"/>
    <x v="6"/>
    <n v="368512"/>
    <n v="12488985"/>
    <n v="2.95"/>
    <s v="DQS_MAO04_FILE_000_B"/>
    <s v="RECORD COUNT by MBR_ID, DOS_THRU_DT, DX_CD Grain grouped by PAYER, SRC_FILE_NM, DOS_THRU_YYYYMM"/>
  </r>
  <r>
    <x v="0"/>
    <s v="AETNA_MAO4_202403_20240403.txt"/>
    <x v="59"/>
    <x v="6"/>
    <n v="386156"/>
    <n v="12488985"/>
    <n v="3.09"/>
    <s v="DQS_MAO04_FILE_000_B"/>
    <s v="RECORD COUNT by MBR_ID, DOS_THRU_DT, DX_CD Grain grouped by PAYER, SRC_FILE_NM, DOS_THRU_YYYYMM"/>
  </r>
  <r>
    <x v="0"/>
    <s v="AETNA_MAO4_202403_20240403.txt"/>
    <x v="60"/>
    <x v="6"/>
    <n v="385632"/>
    <n v="12488985"/>
    <n v="3.09"/>
    <s v="DQS_MAO04_FILE_000_B"/>
    <s v="RECORD COUNT by MBR_ID, DOS_THRU_DT, DX_CD Grain grouped by PAYER, SRC_FILE_NM, DOS_THRU_YYYYMM"/>
  </r>
  <r>
    <x v="0"/>
    <s v="AETNA_MAO4_202403_20240403.txt"/>
    <x v="61"/>
    <x v="6"/>
    <n v="384098"/>
    <n v="12488985"/>
    <n v="3.08"/>
    <s v="DQS_MAO04_FILE_000_B"/>
    <s v="RECORD COUNT by MBR_ID, DOS_THRU_DT, DX_CD Grain grouped by PAYER, SRC_FILE_NM, DOS_THRU_YYYYMM"/>
  </r>
  <r>
    <x v="0"/>
    <s v="AETNA_MAO4_202403_20240403.txt"/>
    <x v="62"/>
    <x v="6"/>
    <n v="369545"/>
    <n v="12488985"/>
    <n v="2.96"/>
    <s v="DQS_MAO04_FILE_000_B"/>
    <s v="RECORD COUNT by MBR_ID, DOS_THRU_DT, DX_CD Grain grouped by PAYER, SRC_FILE_NM, DOS_THRU_YYYYMM"/>
  </r>
  <r>
    <x v="0"/>
    <s v="AETNA_MAO4_202403_20240403.txt"/>
    <x v="63"/>
    <x v="6"/>
    <n v="366340"/>
    <n v="12488985"/>
    <n v="2.93"/>
    <s v="DQS_MAO04_FILE_000_B"/>
    <s v="RECORD COUNT by MBR_ID, DOS_THRU_DT, DX_CD Grain grouped by PAYER, SRC_FILE_NM, DOS_THRU_YYYYMM"/>
  </r>
  <r>
    <x v="0"/>
    <s v="AETNA_MAO4_202403_20240403.txt"/>
    <x v="64"/>
    <x v="6"/>
    <n v="367683"/>
    <n v="12488985"/>
    <n v="2.94"/>
    <s v="DQS_MAO04_FILE_000_B"/>
    <s v="RECORD COUNT by MBR_ID, DOS_THRU_DT, DX_CD Grain grouped by PAYER, SRC_FILE_NM, DOS_THRU_YYYYMM"/>
  </r>
  <r>
    <x v="0"/>
    <s v="AETNA_MAO4_202403_20240403.txt"/>
    <x v="65"/>
    <x v="7"/>
    <n v="299189"/>
    <n v="12488985"/>
    <n v="2.4"/>
    <s v="DQS_MAO04_FILE_000_B"/>
    <s v="RECORD COUNT by MBR_ID, DOS_THRU_DT, DX_CD Grain grouped by PAYER, SRC_FILE_NM, DOS_THRU_YYYYMM"/>
  </r>
  <r>
    <x v="0"/>
    <s v="AETNA_MAO4_202403_20240403.txt"/>
    <x v="66"/>
    <x v="7"/>
    <n v="259457"/>
    <n v="12488985"/>
    <n v="2.08"/>
    <s v="DQS_MAO04_FILE_000_B"/>
    <s v="RECORD COUNT by MBR_ID, DOS_THRU_DT, DX_CD Grain grouped by PAYER, SRC_FILE_NM, DOS_THRU_YYYYMM"/>
  </r>
  <r>
    <x v="0"/>
    <s v="AETNA_MAO4_202403_20240403.txt"/>
    <x v="67"/>
    <x v="7"/>
    <n v="332070"/>
    <n v="12488985"/>
    <n v="2.66"/>
    <s v="DQS_MAO04_FILE_000_B"/>
    <s v="RECORD COUNT by MBR_ID, DOS_THRU_DT, DX_CD Grain grouped by PAYER, SRC_FILE_NM, DOS_THRU_YYYYMM"/>
  </r>
  <r>
    <x v="0"/>
    <s v="AETNA_MAO4_202403_20240403.txt"/>
    <x v="68"/>
    <x v="7"/>
    <n v="293532"/>
    <n v="12488985"/>
    <n v="2.35"/>
    <s v="DQS_MAO04_FILE_000_B"/>
    <s v="RECORD COUNT by MBR_ID, DOS_THRU_DT, DX_CD Grain grouped by PAYER, SRC_FILE_NM, DOS_THRU_YYYYMM"/>
  </r>
  <r>
    <x v="0"/>
    <s v="AETNA_MAO4_202403_20240403.txt"/>
    <x v="69"/>
    <x v="7"/>
    <n v="298712"/>
    <n v="12488985"/>
    <n v="2.39"/>
    <s v="DQS_MAO04_FILE_000_B"/>
    <s v="RECORD COUNT by MBR_ID, DOS_THRU_DT, DX_CD Grain grouped by PAYER, SRC_FILE_NM, DOS_THRU_YYYYMM"/>
  </r>
  <r>
    <x v="0"/>
    <s v="AETNA_MAO4_202403_20240403.txt"/>
    <x v="70"/>
    <x v="7"/>
    <n v="309844"/>
    <n v="12488985"/>
    <n v="2.48"/>
    <s v="DQS_MAO04_FILE_000_B"/>
    <s v="RECORD COUNT by MBR_ID, DOS_THRU_DT, DX_CD Grain grouped by PAYER, SRC_FILE_NM, DOS_THRU_YYYYMM"/>
  </r>
  <r>
    <x v="0"/>
    <s v="AETNA_MAO4_202403_20240403.txt"/>
    <x v="71"/>
    <x v="7"/>
    <n v="288134"/>
    <n v="12488985"/>
    <n v="2.31"/>
    <s v="DQS_MAO04_FILE_000_B"/>
    <s v="RECORD COUNT by MBR_ID, DOS_THRU_DT, DX_CD Grain grouped by PAYER, SRC_FILE_NM, DOS_THRU_YYYYMM"/>
  </r>
  <r>
    <x v="0"/>
    <s v="AETNA_MAO4_202403_20240403.txt"/>
    <x v="72"/>
    <x v="7"/>
    <n v="321782"/>
    <n v="12488985"/>
    <n v="2.58"/>
    <s v="DQS_MAO04_FILE_000_B"/>
    <s v="RECORD COUNT by MBR_ID, DOS_THRU_DT, DX_CD Grain grouped by PAYER, SRC_FILE_NM, DOS_THRU_YYYYMM"/>
  </r>
  <r>
    <x v="0"/>
    <s v="AETNA_MAO4_202403_20240403.txt"/>
    <x v="73"/>
    <x v="7"/>
    <n v="301945"/>
    <n v="12488985"/>
    <n v="2.42"/>
    <s v="DQS_MAO04_FILE_000_B"/>
    <s v="RECORD COUNT by MBR_ID, DOS_THRU_DT, DX_CD Grain grouped by PAYER, SRC_FILE_NM, DOS_THRU_YYYYMM"/>
  </r>
  <r>
    <x v="0"/>
    <s v="AETNA_MAO4_202403_20240403.txt"/>
    <x v="74"/>
    <x v="7"/>
    <n v="307791"/>
    <n v="12488985"/>
    <n v="2.46"/>
    <s v="DQS_MAO04_FILE_000_B"/>
    <s v="RECORD COUNT by MBR_ID, DOS_THRU_DT, DX_CD Grain grouped by PAYER, SRC_FILE_NM, DOS_THRU_YYYYMM"/>
  </r>
  <r>
    <x v="0"/>
    <s v="AETNA_MAO4_202403_20240403.txt"/>
    <x v="75"/>
    <x v="7"/>
    <n v="301448"/>
    <n v="12488985"/>
    <n v="2.41"/>
    <s v="DQS_MAO04_FILE_000_B"/>
    <s v="RECORD COUNT by MBR_ID, DOS_THRU_DT, DX_CD Grain grouped by PAYER, SRC_FILE_NM, DOS_THRU_YYYYMM"/>
  </r>
  <r>
    <x v="0"/>
    <s v="AETNA_MAO4_202403_20240403.txt"/>
    <x v="76"/>
    <x v="7"/>
    <n v="282471"/>
    <n v="12488985"/>
    <n v="2.2599999999999998"/>
    <s v="DQS_MAO04_FILE_000_B"/>
    <s v="RECORD COUNT by MBR_ID, DOS_THRU_DT, DX_CD Grain grouped by PAYER, SRC_FILE_NM, DOS_THRU_YYYYMM"/>
  </r>
  <r>
    <x v="0"/>
    <s v="AETNA_MAO4_202403_20240403.txt"/>
    <x v="77"/>
    <x v="8"/>
    <n v="305562"/>
    <n v="12488985"/>
    <n v="2.4500000000000002"/>
    <s v="DQS_MAO04_FILE_000_B"/>
    <s v="RECORD COUNT by MBR_ID, DOS_THRU_DT, DX_CD Grain grouped by PAYER, SRC_FILE_NM, DOS_THRU_YYYYMM"/>
  </r>
  <r>
    <x v="0"/>
    <s v="AETNA_MAO4_202403_20240403.txt"/>
    <x v="78"/>
    <x v="8"/>
    <n v="297720"/>
    <n v="12488985"/>
    <n v="2.38"/>
    <s v="DQS_MAO04_FILE_000_B"/>
    <s v="RECORD COUNT by MBR_ID, DOS_THRU_DT, DX_CD Grain grouped by PAYER, SRC_FILE_NM, DOS_THRU_YYYYMM"/>
  </r>
  <r>
    <x v="0"/>
    <s v="AETNA_MAO4_202403_20240403.txt"/>
    <x v="79"/>
    <x v="8"/>
    <n v="329363"/>
    <n v="12488985"/>
    <n v="2.64"/>
    <s v="DQS_MAO04_FILE_000_B"/>
    <s v="RECORD COUNT by MBR_ID, DOS_THRU_DT, DX_CD Grain grouped by PAYER, SRC_FILE_NM, DOS_THRU_YYYYMM"/>
  </r>
  <r>
    <x v="0"/>
    <s v="AETNA_MAO4_202403_20240403.txt"/>
    <x v="80"/>
    <x v="8"/>
    <n v="297655"/>
    <n v="12488985"/>
    <n v="2.38"/>
    <s v="DQS_MAO04_FILE_000_B"/>
    <s v="RECORD COUNT by MBR_ID, DOS_THRU_DT, DX_CD Grain grouped by PAYER, SRC_FILE_NM, DOS_THRU_YYYYMM"/>
  </r>
  <r>
    <x v="0"/>
    <s v="AETNA_MAO4_202403_20240403.txt"/>
    <x v="81"/>
    <x v="8"/>
    <n v="314067"/>
    <n v="12488985"/>
    <n v="2.5099999999999998"/>
    <s v="DQS_MAO04_FILE_000_B"/>
    <s v="RECORD COUNT by MBR_ID, DOS_THRU_DT, DX_CD Grain grouped by PAYER, SRC_FILE_NM, DOS_THRU_YYYYMM"/>
  </r>
  <r>
    <x v="0"/>
    <s v="AETNA_MAO4_202403_20240403.txt"/>
    <x v="82"/>
    <x v="8"/>
    <n v="306816"/>
    <n v="12488985"/>
    <n v="2.46"/>
    <s v="DQS_MAO04_FILE_000_B"/>
    <s v="RECORD COUNT by MBR_ID, DOS_THRU_DT, DX_CD Grain grouped by PAYER, SRC_FILE_NM, DOS_THRU_YYYYMM"/>
  </r>
  <r>
    <x v="0"/>
    <s v="AETNA_MAO4_202403_20240403.txt"/>
    <x v="83"/>
    <x v="8"/>
    <n v="273816"/>
    <n v="12488985"/>
    <n v="2.19"/>
    <s v="DQS_MAO04_FILE_000_B"/>
    <s v="RECORD COUNT by MBR_ID, DOS_THRU_DT, DX_CD Grain grouped by PAYER, SRC_FILE_NM, DOS_THRU_YYYYMM"/>
  </r>
  <r>
    <x v="0"/>
    <s v="AETNA_MAO4_202403_20240403.txt"/>
    <x v="84"/>
    <x v="8"/>
    <n v="307178"/>
    <n v="12488985"/>
    <n v="2.46"/>
    <s v="DQS_MAO04_FILE_000_B"/>
    <s v="RECORD COUNT by MBR_ID, DOS_THRU_DT, DX_CD Grain grouped by PAYER, SRC_FILE_NM, DOS_THRU_YYYYMM"/>
  </r>
  <r>
    <x v="0"/>
    <s v="AETNA_MAO4_202403_20240403.txt"/>
    <x v="85"/>
    <x v="8"/>
    <n v="287674"/>
    <n v="12488985"/>
    <n v="2.2999999999999998"/>
    <s v="DQS_MAO04_FILE_000_B"/>
    <s v="RECORD COUNT by MBR_ID, DOS_THRU_DT, DX_CD Grain grouped by PAYER, SRC_FILE_NM, DOS_THRU_YYYYMM"/>
  </r>
  <r>
    <x v="0"/>
    <s v="AETNA_MAO4_202403_20240403.txt"/>
    <x v="86"/>
    <x v="8"/>
    <n v="311092"/>
    <n v="12488985"/>
    <n v="2.4900000000000002"/>
    <s v="DQS_MAO04_FILE_000_B"/>
    <s v="RECORD COUNT by MBR_ID, DOS_THRU_DT, DX_CD Grain grouped by PAYER, SRC_FILE_NM, DOS_THRU_YYYYMM"/>
  </r>
  <r>
    <x v="0"/>
    <s v="AETNA_MAO4_202403_20240403.txt"/>
    <x v="87"/>
    <x v="8"/>
    <n v="292303"/>
    <n v="12488985"/>
    <n v="2.34"/>
    <s v="DQS_MAO04_FILE_000_B"/>
    <s v="RECORD COUNT by MBR_ID, DOS_THRU_DT, DX_CD Grain grouped by PAYER, SRC_FILE_NM, DOS_THRU_YYYYMM"/>
  </r>
  <r>
    <x v="0"/>
    <s v="AETNA_MAO4_202403_20240403.txt"/>
    <x v="88"/>
    <x v="8"/>
    <n v="273705"/>
    <n v="12488985"/>
    <n v="2.19"/>
    <s v="DQS_MAO04_FILE_000_B"/>
    <s v="RECORD COUNT by MBR_ID, DOS_THRU_DT, DX_CD Grain grouped by PAYER, SRC_FILE_NM, DOS_THRU_YYYYMM"/>
  </r>
  <r>
    <x v="0"/>
    <s v="AETNA_MAO4_202403_20240403.txt"/>
    <x v="89"/>
    <x v="9"/>
    <n v="139128"/>
    <n v="12488985"/>
    <n v="1.1100000000000001"/>
    <s v="DQS_MAO04_FILE_000_B"/>
    <s v="RECORD COUNT by MBR_ID, DOS_THRU_DT, DX_CD Grain grouped by PAYER, SRC_FILE_NM, DOS_THRU_YYYYMM"/>
  </r>
  <r>
    <x v="0"/>
    <s v="AETNA_MAO4_202404_20240505.txt"/>
    <x v="90"/>
    <x v="10"/>
    <n v="6"/>
    <n v="7061428"/>
    <n v="0"/>
    <s v="DQS_MAO04_FILE_000_B"/>
    <s v="RECORD COUNT by MBR_ID, DOS_THRU_DT, DX_CD Grain grouped by PAYER, SRC_FILE_NM, DOS_THRU_YYYYMM"/>
  </r>
  <r>
    <x v="0"/>
    <s v="AETNA_MAO4_202404_20240505.txt"/>
    <x v="91"/>
    <x v="0"/>
    <n v="2"/>
    <n v="7061428"/>
    <n v="0"/>
    <s v="DQS_MAO04_FILE_000_B"/>
    <s v="RECORD COUNT by MBR_ID, DOS_THRU_DT, DX_CD Grain grouped by PAYER, SRC_FILE_NM, DOS_THRU_YYYYMM"/>
  </r>
  <r>
    <x v="0"/>
    <s v="AETNA_MAO4_202404_20240505.txt"/>
    <x v="92"/>
    <x v="0"/>
    <n v="3"/>
    <n v="7061428"/>
    <n v="0"/>
    <s v="DQS_MAO04_FILE_000_B"/>
    <s v="RECORD COUNT by MBR_ID, DOS_THRU_DT, DX_CD Grain grouped by PAYER, SRC_FILE_NM, DOS_THRU_YYYYMM"/>
  </r>
  <r>
    <x v="0"/>
    <s v="AETNA_MAO4_202404_20240505.txt"/>
    <x v="93"/>
    <x v="0"/>
    <n v="8"/>
    <n v="7061428"/>
    <n v="0"/>
    <s v="DQS_MAO04_FILE_000_B"/>
    <s v="RECORD COUNT by MBR_ID, DOS_THRU_DT, DX_CD Grain grouped by PAYER, SRC_FILE_NM, DOS_THRU_YYYYMM"/>
  </r>
  <r>
    <x v="0"/>
    <s v="AETNA_MAO4_202404_20240505.txt"/>
    <x v="94"/>
    <x v="0"/>
    <n v="1"/>
    <n v="7061428"/>
    <n v="0"/>
    <s v="DQS_MAO04_FILE_000_B"/>
    <s v="RECORD COUNT by MBR_ID, DOS_THRU_DT, DX_CD Grain grouped by PAYER, SRC_FILE_NM, DOS_THRU_YYYYMM"/>
  </r>
  <r>
    <x v="0"/>
    <s v="AETNA_MAO4_202404_20240505.txt"/>
    <x v="95"/>
    <x v="0"/>
    <n v="8"/>
    <n v="7061428"/>
    <n v="0"/>
    <s v="DQS_MAO04_FILE_000_B"/>
    <s v="RECORD COUNT by MBR_ID, DOS_THRU_DT, DX_CD Grain grouped by PAYER, SRC_FILE_NM, DOS_THRU_YYYYMM"/>
  </r>
  <r>
    <x v="0"/>
    <s v="AETNA_MAO4_202404_20240505.txt"/>
    <x v="96"/>
    <x v="0"/>
    <n v="1"/>
    <n v="7061428"/>
    <n v="0"/>
    <s v="DQS_MAO04_FILE_000_B"/>
    <s v="RECORD COUNT by MBR_ID, DOS_THRU_DT, DX_CD Grain grouped by PAYER, SRC_FILE_NM, DOS_THRU_YYYYMM"/>
  </r>
  <r>
    <x v="0"/>
    <s v="AETNA_MAO4_202404_20240505.txt"/>
    <x v="0"/>
    <x v="0"/>
    <n v="7"/>
    <n v="7061428"/>
    <n v="0"/>
    <s v="DQS_MAO04_FILE_000_B"/>
    <s v="RECORD COUNT by MBR_ID, DOS_THRU_DT, DX_CD Grain grouped by PAYER, SRC_FILE_NM, DOS_THRU_YYYYMM"/>
  </r>
  <r>
    <x v="0"/>
    <s v="AETNA_MAO4_202404_20240505.txt"/>
    <x v="1"/>
    <x v="0"/>
    <n v="7"/>
    <n v="7061428"/>
    <n v="0"/>
    <s v="DQS_MAO04_FILE_000_B"/>
    <s v="RECORD COUNT by MBR_ID, DOS_THRU_DT, DX_CD Grain grouped by PAYER, SRC_FILE_NM, DOS_THRU_YYYYMM"/>
  </r>
  <r>
    <x v="0"/>
    <s v="AETNA_MAO4_202404_20240505.txt"/>
    <x v="3"/>
    <x v="1"/>
    <n v="6"/>
    <n v="7061428"/>
    <n v="0"/>
    <s v="DQS_MAO04_FILE_000_B"/>
    <s v="RECORD COUNT by MBR_ID, DOS_THRU_DT, DX_CD Grain grouped by PAYER, SRC_FILE_NM, DOS_THRU_YYYYMM"/>
  </r>
  <r>
    <x v="0"/>
    <s v="AETNA_MAO4_202404_20240505.txt"/>
    <x v="4"/>
    <x v="1"/>
    <n v="5"/>
    <n v="7061428"/>
    <n v="0"/>
    <s v="DQS_MAO04_FILE_000_B"/>
    <s v="RECORD COUNT by MBR_ID, DOS_THRU_DT, DX_CD Grain grouped by PAYER, SRC_FILE_NM, DOS_THRU_YYYYMM"/>
  </r>
  <r>
    <x v="0"/>
    <s v="AETNA_MAO4_202404_20240505.txt"/>
    <x v="5"/>
    <x v="1"/>
    <n v="11"/>
    <n v="7061428"/>
    <n v="0"/>
    <s v="DQS_MAO04_FILE_000_B"/>
    <s v="RECORD COUNT by MBR_ID, DOS_THRU_DT, DX_CD Grain grouped by PAYER, SRC_FILE_NM, DOS_THRU_YYYYMM"/>
  </r>
  <r>
    <x v="0"/>
    <s v="AETNA_MAO4_202404_20240505.txt"/>
    <x v="6"/>
    <x v="2"/>
    <n v="6"/>
    <n v="7061428"/>
    <n v="0"/>
    <s v="DQS_MAO04_FILE_000_B"/>
    <s v="RECORD COUNT by MBR_ID, DOS_THRU_DT, DX_CD Grain grouped by PAYER, SRC_FILE_NM, DOS_THRU_YYYYMM"/>
  </r>
  <r>
    <x v="0"/>
    <s v="AETNA_MAO4_202404_20240505.txt"/>
    <x v="7"/>
    <x v="2"/>
    <n v="8"/>
    <n v="7061428"/>
    <n v="0"/>
    <s v="DQS_MAO04_FILE_000_B"/>
    <s v="RECORD COUNT by MBR_ID, DOS_THRU_DT, DX_CD Grain grouped by PAYER, SRC_FILE_NM, DOS_THRU_YYYYMM"/>
  </r>
  <r>
    <x v="0"/>
    <s v="AETNA_MAO4_202404_20240505.txt"/>
    <x v="8"/>
    <x v="2"/>
    <n v="6"/>
    <n v="7061428"/>
    <n v="0"/>
    <s v="DQS_MAO04_FILE_000_B"/>
    <s v="RECORD COUNT by MBR_ID, DOS_THRU_DT, DX_CD Grain grouped by PAYER, SRC_FILE_NM, DOS_THRU_YYYYMM"/>
  </r>
  <r>
    <x v="0"/>
    <s v="AETNA_MAO4_202404_20240505.txt"/>
    <x v="9"/>
    <x v="2"/>
    <n v="3"/>
    <n v="7061428"/>
    <n v="0"/>
    <s v="DQS_MAO04_FILE_000_B"/>
    <s v="RECORD COUNT by MBR_ID, DOS_THRU_DT, DX_CD Grain grouped by PAYER, SRC_FILE_NM, DOS_THRU_YYYYMM"/>
  </r>
  <r>
    <x v="0"/>
    <s v="AETNA_MAO4_202404_20240505.txt"/>
    <x v="10"/>
    <x v="2"/>
    <n v="5"/>
    <n v="7061428"/>
    <n v="0"/>
    <s v="DQS_MAO04_FILE_000_B"/>
    <s v="RECORD COUNT by MBR_ID, DOS_THRU_DT, DX_CD Grain grouped by PAYER, SRC_FILE_NM, DOS_THRU_YYYYMM"/>
  </r>
  <r>
    <x v="0"/>
    <s v="AETNA_MAO4_202404_20240505.txt"/>
    <x v="11"/>
    <x v="2"/>
    <n v="27"/>
    <n v="7061428"/>
    <n v="0"/>
    <s v="DQS_MAO04_FILE_000_B"/>
    <s v="RECORD COUNT by MBR_ID, DOS_THRU_DT, DX_CD Grain grouped by PAYER, SRC_FILE_NM, DOS_THRU_YYYYMM"/>
  </r>
  <r>
    <x v="0"/>
    <s v="AETNA_MAO4_202404_20240505.txt"/>
    <x v="12"/>
    <x v="2"/>
    <n v="14"/>
    <n v="7061428"/>
    <n v="0"/>
    <s v="DQS_MAO04_FILE_000_B"/>
    <s v="RECORD COUNT by MBR_ID, DOS_THRU_DT, DX_CD Grain grouped by PAYER, SRC_FILE_NM, DOS_THRU_YYYYMM"/>
  </r>
  <r>
    <x v="0"/>
    <s v="AETNA_MAO4_202404_20240505.txt"/>
    <x v="13"/>
    <x v="2"/>
    <n v="25"/>
    <n v="7061428"/>
    <n v="0"/>
    <s v="DQS_MAO04_FILE_000_B"/>
    <s v="RECORD COUNT by MBR_ID, DOS_THRU_DT, DX_CD Grain grouped by PAYER, SRC_FILE_NM, DOS_THRU_YYYYMM"/>
  </r>
  <r>
    <x v="0"/>
    <s v="AETNA_MAO4_202404_20240505.txt"/>
    <x v="14"/>
    <x v="2"/>
    <n v="22"/>
    <n v="7061428"/>
    <n v="0"/>
    <s v="DQS_MAO04_FILE_000_B"/>
    <s v="RECORD COUNT by MBR_ID, DOS_THRU_DT, DX_CD Grain grouped by PAYER, SRC_FILE_NM, DOS_THRU_YYYYMM"/>
  </r>
  <r>
    <x v="0"/>
    <s v="AETNA_MAO4_202404_20240505.txt"/>
    <x v="15"/>
    <x v="2"/>
    <n v="25"/>
    <n v="7061428"/>
    <n v="0"/>
    <s v="DQS_MAO04_FILE_000_B"/>
    <s v="RECORD COUNT by MBR_ID, DOS_THRU_DT, DX_CD Grain grouped by PAYER, SRC_FILE_NM, DOS_THRU_YYYYMM"/>
  </r>
  <r>
    <x v="0"/>
    <s v="AETNA_MAO4_202404_20240505.txt"/>
    <x v="16"/>
    <x v="2"/>
    <n v="25"/>
    <n v="7061428"/>
    <n v="0"/>
    <s v="DQS_MAO04_FILE_000_B"/>
    <s v="RECORD COUNT by MBR_ID, DOS_THRU_DT, DX_CD Grain grouped by PAYER, SRC_FILE_NM, DOS_THRU_YYYYMM"/>
  </r>
  <r>
    <x v="0"/>
    <s v="AETNA_MAO4_202404_20240505.txt"/>
    <x v="17"/>
    <x v="3"/>
    <n v="260"/>
    <n v="7061428"/>
    <n v="0"/>
    <s v="DQS_MAO04_FILE_000_B"/>
    <s v="RECORD COUNT by MBR_ID, DOS_THRU_DT, DX_CD Grain grouped by PAYER, SRC_FILE_NM, DOS_THRU_YYYYMM"/>
  </r>
  <r>
    <x v="0"/>
    <s v="AETNA_MAO4_202404_20240505.txt"/>
    <x v="18"/>
    <x v="3"/>
    <n v="218"/>
    <n v="7061428"/>
    <n v="0"/>
    <s v="DQS_MAO04_FILE_000_B"/>
    <s v="RECORD COUNT by MBR_ID, DOS_THRU_DT, DX_CD Grain grouped by PAYER, SRC_FILE_NM, DOS_THRU_YYYYMM"/>
  </r>
  <r>
    <x v="0"/>
    <s v="AETNA_MAO4_202404_20240505.txt"/>
    <x v="19"/>
    <x v="3"/>
    <n v="213"/>
    <n v="7061428"/>
    <n v="0"/>
    <s v="DQS_MAO04_FILE_000_B"/>
    <s v="RECORD COUNT by MBR_ID, DOS_THRU_DT, DX_CD Grain grouped by PAYER, SRC_FILE_NM, DOS_THRU_YYYYMM"/>
  </r>
  <r>
    <x v="0"/>
    <s v="AETNA_MAO4_202404_20240505.txt"/>
    <x v="20"/>
    <x v="3"/>
    <n v="258"/>
    <n v="7061428"/>
    <n v="0"/>
    <s v="DQS_MAO04_FILE_000_B"/>
    <s v="RECORD COUNT by MBR_ID, DOS_THRU_DT, DX_CD Grain grouped by PAYER, SRC_FILE_NM, DOS_THRU_YYYYMM"/>
  </r>
  <r>
    <x v="0"/>
    <s v="AETNA_MAO4_202404_20240505.txt"/>
    <x v="21"/>
    <x v="3"/>
    <n v="240"/>
    <n v="7061428"/>
    <n v="0"/>
    <s v="DQS_MAO04_FILE_000_B"/>
    <s v="RECORD COUNT by MBR_ID, DOS_THRU_DT, DX_CD Grain grouped by PAYER, SRC_FILE_NM, DOS_THRU_YYYYMM"/>
  </r>
  <r>
    <x v="0"/>
    <s v="AETNA_MAO4_202404_20240505.txt"/>
    <x v="22"/>
    <x v="3"/>
    <n v="296"/>
    <n v="7061428"/>
    <n v="0"/>
    <s v="DQS_MAO04_FILE_000_B"/>
    <s v="RECORD COUNT by MBR_ID, DOS_THRU_DT, DX_CD Grain grouped by PAYER, SRC_FILE_NM, DOS_THRU_YYYYMM"/>
  </r>
  <r>
    <x v="0"/>
    <s v="AETNA_MAO4_202404_20240505.txt"/>
    <x v="23"/>
    <x v="3"/>
    <n v="224"/>
    <n v="7061428"/>
    <n v="0"/>
    <s v="DQS_MAO04_FILE_000_B"/>
    <s v="RECORD COUNT by MBR_ID, DOS_THRU_DT, DX_CD Grain grouped by PAYER, SRC_FILE_NM, DOS_THRU_YYYYMM"/>
  </r>
  <r>
    <x v="0"/>
    <s v="AETNA_MAO4_202404_20240505.txt"/>
    <x v="24"/>
    <x v="3"/>
    <n v="463"/>
    <n v="7061428"/>
    <n v="0.01"/>
    <s v="DQS_MAO04_FILE_000_B"/>
    <s v="RECORD COUNT by MBR_ID, DOS_THRU_DT, DX_CD Grain grouped by PAYER, SRC_FILE_NM, DOS_THRU_YYYYMM"/>
  </r>
  <r>
    <x v="0"/>
    <s v="AETNA_MAO4_202404_20240505.txt"/>
    <x v="25"/>
    <x v="3"/>
    <n v="266"/>
    <n v="7061428"/>
    <n v="0"/>
    <s v="DQS_MAO04_FILE_000_B"/>
    <s v="RECORD COUNT by MBR_ID, DOS_THRU_DT, DX_CD Grain grouped by PAYER, SRC_FILE_NM, DOS_THRU_YYYYMM"/>
  </r>
  <r>
    <x v="0"/>
    <s v="AETNA_MAO4_202404_20240505.txt"/>
    <x v="26"/>
    <x v="3"/>
    <n v="512"/>
    <n v="7061428"/>
    <n v="0.01"/>
    <s v="DQS_MAO04_FILE_000_B"/>
    <s v="RECORD COUNT by MBR_ID, DOS_THRU_DT, DX_CD Grain grouped by PAYER, SRC_FILE_NM, DOS_THRU_YYYYMM"/>
  </r>
  <r>
    <x v="0"/>
    <s v="AETNA_MAO4_202404_20240505.txt"/>
    <x v="27"/>
    <x v="3"/>
    <n v="372"/>
    <n v="7061428"/>
    <n v="0.01"/>
    <s v="DQS_MAO04_FILE_000_B"/>
    <s v="RECORD COUNT by MBR_ID, DOS_THRU_DT, DX_CD Grain grouped by PAYER, SRC_FILE_NM, DOS_THRU_YYYYMM"/>
  </r>
  <r>
    <x v="0"/>
    <s v="AETNA_MAO4_202404_20240505.txt"/>
    <x v="28"/>
    <x v="3"/>
    <n v="385"/>
    <n v="7061428"/>
    <n v="0.01"/>
    <s v="DQS_MAO04_FILE_000_B"/>
    <s v="RECORD COUNT by MBR_ID, DOS_THRU_DT, DX_CD Grain grouped by PAYER, SRC_FILE_NM, DOS_THRU_YYYYMM"/>
  </r>
  <r>
    <x v="0"/>
    <s v="AETNA_MAO4_202404_20240505.txt"/>
    <x v="29"/>
    <x v="4"/>
    <n v="12412"/>
    <n v="7061428"/>
    <n v="0.18"/>
    <s v="DQS_MAO04_FILE_000_B"/>
    <s v="RECORD COUNT by MBR_ID, DOS_THRU_DT, DX_CD Grain grouped by PAYER, SRC_FILE_NM, DOS_THRU_YYYYMM"/>
  </r>
  <r>
    <x v="0"/>
    <s v="AETNA_MAO4_202404_20240505.txt"/>
    <x v="30"/>
    <x v="4"/>
    <n v="10653"/>
    <n v="7061428"/>
    <n v="0.15"/>
    <s v="DQS_MAO04_FILE_000_B"/>
    <s v="RECORD COUNT by MBR_ID, DOS_THRU_DT, DX_CD Grain grouped by PAYER, SRC_FILE_NM, DOS_THRU_YYYYMM"/>
  </r>
  <r>
    <x v="0"/>
    <s v="AETNA_MAO4_202404_20240505.txt"/>
    <x v="31"/>
    <x v="4"/>
    <n v="12527"/>
    <n v="7061428"/>
    <n v="0.18"/>
    <s v="DQS_MAO04_FILE_000_B"/>
    <s v="RECORD COUNT by MBR_ID, DOS_THRU_DT, DX_CD Grain grouped by PAYER, SRC_FILE_NM, DOS_THRU_YYYYMM"/>
  </r>
  <r>
    <x v="0"/>
    <s v="AETNA_MAO4_202404_20240505.txt"/>
    <x v="32"/>
    <x v="4"/>
    <n v="13858"/>
    <n v="7061428"/>
    <n v="0.2"/>
    <s v="DQS_MAO04_FILE_000_B"/>
    <s v="RECORD COUNT by MBR_ID, DOS_THRU_DT, DX_CD Grain grouped by PAYER, SRC_FILE_NM, DOS_THRU_YYYYMM"/>
  </r>
  <r>
    <x v="0"/>
    <s v="AETNA_MAO4_202404_20240505.txt"/>
    <x v="33"/>
    <x v="4"/>
    <n v="12623"/>
    <n v="7061428"/>
    <n v="0.18"/>
    <s v="DQS_MAO04_FILE_000_B"/>
    <s v="RECORD COUNT by MBR_ID, DOS_THRU_DT, DX_CD Grain grouped by PAYER, SRC_FILE_NM, DOS_THRU_YYYYMM"/>
  </r>
  <r>
    <x v="0"/>
    <s v="AETNA_MAO4_202404_20240505.txt"/>
    <x v="34"/>
    <x v="4"/>
    <n v="12637"/>
    <n v="7061428"/>
    <n v="0.18"/>
    <s v="DQS_MAO04_FILE_000_B"/>
    <s v="RECORD COUNT by MBR_ID, DOS_THRU_DT, DX_CD Grain grouped by PAYER, SRC_FILE_NM, DOS_THRU_YYYYMM"/>
  </r>
  <r>
    <x v="0"/>
    <s v="AETNA_MAO4_202404_20240505.txt"/>
    <x v="35"/>
    <x v="4"/>
    <n v="13331"/>
    <n v="7061428"/>
    <n v="0.19"/>
    <s v="DQS_MAO04_FILE_000_B"/>
    <s v="RECORD COUNT by MBR_ID, DOS_THRU_DT, DX_CD Grain grouped by PAYER, SRC_FILE_NM, DOS_THRU_YYYYMM"/>
  </r>
  <r>
    <x v="0"/>
    <s v="AETNA_MAO4_202404_20240505.txt"/>
    <x v="36"/>
    <x v="4"/>
    <n v="13569"/>
    <n v="7061428"/>
    <n v="0.19"/>
    <s v="DQS_MAO04_FILE_000_B"/>
    <s v="RECORD COUNT by MBR_ID, DOS_THRU_DT, DX_CD Grain grouped by PAYER, SRC_FILE_NM, DOS_THRU_YYYYMM"/>
  </r>
  <r>
    <x v="0"/>
    <s v="AETNA_MAO4_202404_20240505.txt"/>
    <x v="37"/>
    <x v="4"/>
    <n v="12547"/>
    <n v="7061428"/>
    <n v="0.18"/>
    <s v="DQS_MAO04_FILE_000_B"/>
    <s v="RECORD COUNT by MBR_ID, DOS_THRU_DT, DX_CD Grain grouped by PAYER, SRC_FILE_NM, DOS_THRU_YYYYMM"/>
  </r>
  <r>
    <x v="0"/>
    <s v="AETNA_MAO4_202404_20240505.txt"/>
    <x v="38"/>
    <x v="4"/>
    <n v="15233"/>
    <n v="7061428"/>
    <n v="0.22"/>
    <s v="DQS_MAO04_FILE_000_B"/>
    <s v="RECORD COUNT by MBR_ID, DOS_THRU_DT, DX_CD Grain grouped by PAYER, SRC_FILE_NM, DOS_THRU_YYYYMM"/>
  </r>
  <r>
    <x v="0"/>
    <s v="AETNA_MAO4_202404_20240505.txt"/>
    <x v="39"/>
    <x v="4"/>
    <n v="12244"/>
    <n v="7061428"/>
    <n v="0.17"/>
    <s v="DQS_MAO04_FILE_000_B"/>
    <s v="RECORD COUNT by MBR_ID, DOS_THRU_DT, DX_CD Grain grouped by PAYER, SRC_FILE_NM, DOS_THRU_YYYYMM"/>
  </r>
  <r>
    <x v="0"/>
    <s v="AETNA_MAO4_202404_20240505.txt"/>
    <x v="40"/>
    <x v="4"/>
    <n v="11648"/>
    <n v="7061428"/>
    <n v="0.16"/>
    <s v="DQS_MAO04_FILE_000_B"/>
    <s v="RECORD COUNT by MBR_ID, DOS_THRU_DT, DX_CD Grain grouped by PAYER, SRC_FILE_NM, DOS_THRU_YYYYMM"/>
  </r>
  <r>
    <x v="0"/>
    <s v="AETNA_MAO4_202404_20240505.txt"/>
    <x v="41"/>
    <x v="5"/>
    <n v="46672"/>
    <n v="7061428"/>
    <n v="0.66"/>
    <s v="DQS_MAO04_FILE_000_B"/>
    <s v="RECORD COUNT by MBR_ID, DOS_THRU_DT, DX_CD Grain grouped by PAYER, SRC_FILE_NM, DOS_THRU_YYYYMM"/>
  </r>
  <r>
    <x v="0"/>
    <s v="AETNA_MAO4_202404_20240505.txt"/>
    <x v="42"/>
    <x v="5"/>
    <n v="44579"/>
    <n v="7061428"/>
    <n v="0.63"/>
    <s v="DQS_MAO04_FILE_000_B"/>
    <s v="RECORD COUNT by MBR_ID, DOS_THRU_DT, DX_CD Grain grouped by PAYER, SRC_FILE_NM, DOS_THRU_YYYYMM"/>
  </r>
  <r>
    <x v="0"/>
    <s v="AETNA_MAO4_202404_20240505.txt"/>
    <x v="43"/>
    <x v="5"/>
    <n v="39935"/>
    <n v="7061428"/>
    <n v="0.56999999999999995"/>
    <s v="DQS_MAO04_FILE_000_B"/>
    <s v="RECORD COUNT by MBR_ID, DOS_THRU_DT, DX_CD Grain grouped by PAYER, SRC_FILE_NM, DOS_THRU_YYYYMM"/>
  </r>
  <r>
    <x v="0"/>
    <s v="AETNA_MAO4_202404_20240505.txt"/>
    <x v="44"/>
    <x v="5"/>
    <n v="23107"/>
    <n v="7061428"/>
    <n v="0.33"/>
    <s v="DQS_MAO04_FILE_000_B"/>
    <s v="RECORD COUNT by MBR_ID, DOS_THRU_DT, DX_CD Grain grouped by PAYER, SRC_FILE_NM, DOS_THRU_YYYYMM"/>
  </r>
  <r>
    <x v="0"/>
    <s v="AETNA_MAO4_202404_20240505.txt"/>
    <x v="45"/>
    <x v="5"/>
    <n v="41657"/>
    <n v="7061428"/>
    <n v="0.59"/>
    <s v="DQS_MAO04_FILE_000_B"/>
    <s v="RECORD COUNT by MBR_ID, DOS_THRU_DT, DX_CD Grain grouped by PAYER, SRC_FILE_NM, DOS_THRU_YYYYMM"/>
  </r>
  <r>
    <x v="0"/>
    <s v="AETNA_MAO4_202404_20240505.txt"/>
    <x v="46"/>
    <x v="5"/>
    <n v="52149"/>
    <n v="7061428"/>
    <n v="0.74"/>
    <s v="DQS_MAO04_FILE_000_B"/>
    <s v="RECORD COUNT by MBR_ID, DOS_THRU_DT, DX_CD Grain grouped by PAYER, SRC_FILE_NM, DOS_THRU_YYYYMM"/>
  </r>
  <r>
    <x v="0"/>
    <s v="AETNA_MAO4_202404_20240505.txt"/>
    <x v="47"/>
    <x v="5"/>
    <n v="42545"/>
    <n v="7061428"/>
    <n v="0.6"/>
    <s v="DQS_MAO04_FILE_000_B"/>
    <s v="RECORD COUNT by MBR_ID, DOS_THRU_DT, DX_CD Grain grouped by PAYER, SRC_FILE_NM, DOS_THRU_YYYYMM"/>
  </r>
  <r>
    <x v="0"/>
    <s v="AETNA_MAO4_202404_20240505.txt"/>
    <x v="48"/>
    <x v="5"/>
    <n v="44035"/>
    <n v="7061428"/>
    <n v="0.62"/>
    <s v="DQS_MAO04_FILE_000_B"/>
    <s v="RECORD COUNT by MBR_ID, DOS_THRU_DT, DX_CD Grain grouped by PAYER, SRC_FILE_NM, DOS_THRU_YYYYMM"/>
  </r>
  <r>
    <x v="0"/>
    <s v="AETNA_MAO4_202404_20240505.txt"/>
    <x v="49"/>
    <x v="5"/>
    <n v="51439"/>
    <n v="7061428"/>
    <n v="0.73"/>
    <s v="DQS_MAO04_FILE_000_B"/>
    <s v="RECORD COUNT by MBR_ID, DOS_THRU_DT, DX_CD Grain grouped by PAYER, SRC_FILE_NM, DOS_THRU_YYYYMM"/>
  </r>
  <r>
    <x v="0"/>
    <s v="AETNA_MAO4_202404_20240505.txt"/>
    <x v="50"/>
    <x v="5"/>
    <n v="69049"/>
    <n v="7061428"/>
    <n v="0.98"/>
    <s v="DQS_MAO04_FILE_000_B"/>
    <s v="RECORD COUNT by MBR_ID, DOS_THRU_DT, DX_CD Grain grouped by PAYER, SRC_FILE_NM, DOS_THRU_YYYYMM"/>
  </r>
  <r>
    <x v="0"/>
    <s v="AETNA_MAO4_202404_20240505.txt"/>
    <x v="51"/>
    <x v="5"/>
    <n v="47985"/>
    <n v="7061428"/>
    <n v="0.68"/>
    <s v="DQS_MAO04_FILE_000_B"/>
    <s v="RECORD COUNT by MBR_ID, DOS_THRU_DT, DX_CD Grain grouped by PAYER, SRC_FILE_NM, DOS_THRU_YYYYMM"/>
  </r>
  <r>
    <x v="0"/>
    <s v="AETNA_MAO4_202404_20240505.txt"/>
    <x v="52"/>
    <x v="5"/>
    <n v="53793"/>
    <n v="7061428"/>
    <n v="0.76"/>
    <s v="DQS_MAO04_FILE_000_B"/>
    <s v="RECORD COUNT by MBR_ID, DOS_THRU_DT, DX_CD Grain grouped by PAYER, SRC_FILE_NM, DOS_THRU_YYYYMM"/>
  </r>
  <r>
    <x v="0"/>
    <s v="AETNA_MAO4_202404_20240505.txt"/>
    <x v="53"/>
    <x v="6"/>
    <n v="84563"/>
    <n v="7061428"/>
    <n v="1.2"/>
    <s v="DQS_MAO04_FILE_000_B"/>
    <s v="RECORD COUNT by MBR_ID, DOS_THRU_DT, DX_CD Grain grouped by PAYER, SRC_FILE_NM, DOS_THRU_YYYYMM"/>
  </r>
  <r>
    <x v="0"/>
    <s v="AETNA_MAO4_202404_20240505.txt"/>
    <x v="54"/>
    <x v="6"/>
    <n v="70858"/>
    <n v="7061428"/>
    <n v="1"/>
    <s v="DQS_MAO04_FILE_000_B"/>
    <s v="RECORD COUNT by MBR_ID, DOS_THRU_DT, DX_CD Grain grouped by PAYER, SRC_FILE_NM, DOS_THRU_YYYYMM"/>
  </r>
  <r>
    <x v="0"/>
    <s v="AETNA_MAO4_202404_20240505.txt"/>
    <x v="55"/>
    <x v="6"/>
    <n v="88469"/>
    <n v="7061428"/>
    <n v="1.25"/>
    <s v="DQS_MAO04_FILE_000_B"/>
    <s v="RECORD COUNT by MBR_ID, DOS_THRU_DT, DX_CD Grain grouped by PAYER, SRC_FILE_NM, DOS_THRU_YYYYMM"/>
  </r>
  <r>
    <x v="0"/>
    <s v="AETNA_MAO4_202404_20240505.txt"/>
    <x v="56"/>
    <x v="6"/>
    <n v="99191"/>
    <n v="7061428"/>
    <n v="1.4"/>
    <s v="DQS_MAO04_FILE_000_B"/>
    <s v="RECORD COUNT by MBR_ID, DOS_THRU_DT, DX_CD Grain grouped by PAYER, SRC_FILE_NM, DOS_THRU_YYYYMM"/>
  </r>
  <r>
    <x v="0"/>
    <s v="AETNA_MAO4_202404_20240505.txt"/>
    <x v="57"/>
    <x v="6"/>
    <n v="187509"/>
    <n v="7061428"/>
    <n v="2.66"/>
    <s v="DQS_MAO04_FILE_000_B"/>
    <s v="RECORD COUNT by MBR_ID, DOS_THRU_DT, DX_CD Grain grouped by PAYER, SRC_FILE_NM, DOS_THRU_YYYYMM"/>
  </r>
  <r>
    <x v="0"/>
    <s v="AETNA_MAO4_202404_20240505.txt"/>
    <x v="58"/>
    <x v="6"/>
    <n v="217516"/>
    <n v="7061428"/>
    <n v="3.08"/>
    <s v="DQS_MAO04_FILE_000_B"/>
    <s v="RECORD COUNT by MBR_ID, DOS_THRU_DT, DX_CD Grain grouped by PAYER, SRC_FILE_NM, DOS_THRU_YYYYMM"/>
  </r>
  <r>
    <x v="0"/>
    <s v="AETNA_MAO4_202404_20240505.txt"/>
    <x v="59"/>
    <x v="6"/>
    <n v="236189"/>
    <n v="7061428"/>
    <n v="3.34"/>
    <s v="DQS_MAO04_FILE_000_B"/>
    <s v="RECORD COUNT by MBR_ID, DOS_THRU_DT, DX_CD Grain grouped by PAYER, SRC_FILE_NM, DOS_THRU_YYYYMM"/>
  </r>
  <r>
    <x v="0"/>
    <s v="AETNA_MAO4_202404_20240505.txt"/>
    <x v="60"/>
    <x v="6"/>
    <n v="233931"/>
    <n v="7061428"/>
    <n v="3.31"/>
    <s v="DQS_MAO04_FILE_000_B"/>
    <s v="RECORD COUNT by MBR_ID, DOS_THRU_DT, DX_CD Grain grouped by PAYER, SRC_FILE_NM, DOS_THRU_YYYYMM"/>
  </r>
  <r>
    <x v="0"/>
    <s v="AETNA_MAO4_202404_20240505.txt"/>
    <x v="61"/>
    <x v="6"/>
    <n v="233913"/>
    <n v="7061428"/>
    <n v="3.31"/>
    <s v="DQS_MAO04_FILE_000_B"/>
    <s v="RECORD COUNT by MBR_ID, DOS_THRU_DT, DX_CD Grain grouped by PAYER, SRC_FILE_NM, DOS_THRU_YYYYMM"/>
  </r>
  <r>
    <x v="0"/>
    <s v="AETNA_MAO4_202404_20240505.txt"/>
    <x v="62"/>
    <x v="6"/>
    <n v="221440"/>
    <n v="7061428"/>
    <n v="3.14"/>
    <s v="DQS_MAO04_FILE_000_B"/>
    <s v="RECORD COUNT by MBR_ID, DOS_THRU_DT, DX_CD Grain grouped by PAYER, SRC_FILE_NM, DOS_THRU_YYYYMM"/>
  </r>
  <r>
    <x v="0"/>
    <s v="AETNA_MAO4_202404_20240505.txt"/>
    <x v="63"/>
    <x v="6"/>
    <n v="222374"/>
    <n v="7061428"/>
    <n v="3.15"/>
    <s v="DQS_MAO04_FILE_000_B"/>
    <s v="RECORD COUNT by MBR_ID, DOS_THRU_DT, DX_CD Grain grouped by PAYER, SRC_FILE_NM, DOS_THRU_YYYYMM"/>
  </r>
  <r>
    <x v="0"/>
    <s v="AETNA_MAO4_202404_20240505.txt"/>
    <x v="64"/>
    <x v="6"/>
    <n v="222169"/>
    <n v="7061428"/>
    <n v="3.15"/>
    <s v="DQS_MAO04_FILE_000_B"/>
    <s v="RECORD COUNT by MBR_ID, DOS_THRU_DT, DX_CD Grain grouped by PAYER, SRC_FILE_NM, DOS_THRU_YYYYMM"/>
  </r>
  <r>
    <x v="0"/>
    <s v="AETNA_MAO4_202404_20240505.txt"/>
    <x v="65"/>
    <x v="7"/>
    <n v="178899"/>
    <n v="7061428"/>
    <n v="2.5299999999999998"/>
    <s v="DQS_MAO04_FILE_000_B"/>
    <s v="RECORD COUNT by MBR_ID, DOS_THRU_DT, DX_CD Grain grouped by PAYER, SRC_FILE_NM, DOS_THRU_YYYYMM"/>
  </r>
  <r>
    <x v="0"/>
    <s v="AETNA_MAO4_202404_20240505.txt"/>
    <x v="66"/>
    <x v="7"/>
    <n v="154840"/>
    <n v="7061428"/>
    <n v="2.19"/>
    <s v="DQS_MAO04_FILE_000_B"/>
    <s v="RECORD COUNT by MBR_ID, DOS_THRU_DT, DX_CD Grain grouped by PAYER, SRC_FILE_NM, DOS_THRU_YYYYMM"/>
  </r>
  <r>
    <x v="0"/>
    <s v="AETNA_MAO4_202404_20240505.txt"/>
    <x v="67"/>
    <x v="7"/>
    <n v="197442"/>
    <n v="7061428"/>
    <n v="2.8"/>
    <s v="DQS_MAO04_FILE_000_B"/>
    <s v="RECORD COUNT by MBR_ID, DOS_THRU_DT, DX_CD Grain grouped by PAYER, SRC_FILE_NM, DOS_THRU_YYYYMM"/>
  </r>
  <r>
    <x v="0"/>
    <s v="AETNA_MAO4_202404_20240505.txt"/>
    <x v="68"/>
    <x v="7"/>
    <n v="170764"/>
    <n v="7061428"/>
    <n v="2.42"/>
    <s v="DQS_MAO04_FILE_000_B"/>
    <s v="RECORD COUNT by MBR_ID, DOS_THRU_DT, DX_CD Grain grouped by PAYER, SRC_FILE_NM, DOS_THRU_YYYYMM"/>
  </r>
  <r>
    <x v="0"/>
    <s v="AETNA_MAO4_202404_20240505.txt"/>
    <x v="69"/>
    <x v="7"/>
    <n v="175415"/>
    <n v="7061428"/>
    <n v="2.48"/>
    <s v="DQS_MAO04_FILE_000_B"/>
    <s v="RECORD COUNT by MBR_ID, DOS_THRU_DT, DX_CD Grain grouped by PAYER, SRC_FILE_NM, DOS_THRU_YYYYMM"/>
  </r>
  <r>
    <x v="0"/>
    <s v="AETNA_MAO4_202404_20240505.txt"/>
    <x v="70"/>
    <x v="7"/>
    <n v="177377"/>
    <n v="7061428"/>
    <n v="2.5099999999999998"/>
    <s v="DQS_MAO04_FILE_000_B"/>
    <s v="RECORD COUNT by MBR_ID, DOS_THRU_DT, DX_CD Grain grouped by PAYER, SRC_FILE_NM, DOS_THRU_YYYYMM"/>
  </r>
  <r>
    <x v="0"/>
    <s v="AETNA_MAO4_202404_20240505.txt"/>
    <x v="71"/>
    <x v="7"/>
    <n v="164207"/>
    <n v="7061428"/>
    <n v="2.33"/>
    <s v="DQS_MAO04_FILE_000_B"/>
    <s v="RECORD COUNT by MBR_ID, DOS_THRU_DT, DX_CD Grain grouped by PAYER, SRC_FILE_NM, DOS_THRU_YYYYMM"/>
  </r>
  <r>
    <x v="0"/>
    <s v="AETNA_MAO4_202404_20240505.txt"/>
    <x v="72"/>
    <x v="7"/>
    <n v="182585"/>
    <n v="7061428"/>
    <n v="2.59"/>
    <s v="DQS_MAO04_FILE_000_B"/>
    <s v="RECORD COUNT by MBR_ID, DOS_THRU_DT, DX_CD Grain grouped by PAYER, SRC_FILE_NM, DOS_THRU_YYYYMM"/>
  </r>
  <r>
    <x v="0"/>
    <s v="AETNA_MAO4_202404_20240505.txt"/>
    <x v="73"/>
    <x v="7"/>
    <n v="170947"/>
    <n v="7061428"/>
    <n v="2.42"/>
    <s v="DQS_MAO04_FILE_000_B"/>
    <s v="RECORD COUNT by MBR_ID, DOS_THRU_DT, DX_CD Grain grouped by PAYER, SRC_FILE_NM, DOS_THRU_YYYYMM"/>
  </r>
  <r>
    <x v="0"/>
    <s v="AETNA_MAO4_202404_20240505.txt"/>
    <x v="74"/>
    <x v="7"/>
    <n v="175260"/>
    <n v="7061428"/>
    <n v="2.48"/>
    <s v="DQS_MAO04_FILE_000_B"/>
    <s v="RECORD COUNT by MBR_ID, DOS_THRU_DT, DX_CD Grain grouped by PAYER, SRC_FILE_NM, DOS_THRU_YYYYMM"/>
  </r>
  <r>
    <x v="0"/>
    <s v="AETNA_MAO4_202404_20240505.txt"/>
    <x v="75"/>
    <x v="7"/>
    <n v="171684"/>
    <n v="7061428"/>
    <n v="2.4300000000000002"/>
    <s v="DQS_MAO04_FILE_000_B"/>
    <s v="RECORD COUNT by MBR_ID, DOS_THRU_DT, DX_CD Grain grouped by PAYER, SRC_FILE_NM, DOS_THRU_YYYYMM"/>
  </r>
  <r>
    <x v="0"/>
    <s v="AETNA_MAO4_202404_20240505.txt"/>
    <x v="76"/>
    <x v="7"/>
    <n v="159365"/>
    <n v="7061428"/>
    <n v="2.2599999999999998"/>
    <s v="DQS_MAO04_FILE_000_B"/>
    <s v="RECORD COUNT by MBR_ID, DOS_THRU_DT, DX_CD Grain grouped by PAYER, SRC_FILE_NM, DOS_THRU_YYYYMM"/>
  </r>
  <r>
    <x v="0"/>
    <s v="AETNA_MAO4_202404_20240505.txt"/>
    <x v="77"/>
    <x v="8"/>
    <n v="179639"/>
    <n v="7061428"/>
    <n v="2.54"/>
    <s v="DQS_MAO04_FILE_000_B"/>
    <s v="RECORD COUNT by MBR_ID, DOS_THRU_DT, DX_CD Grain grouped by PAYER, SRC_FILE_NM, DOS_THRU_YYYYMM"/>
  </r>
  <r>
    <x v="0"/>
    <s v="AETNA_MAO4_202404_20240505.txt"/>
    <x v="78"/>
    <x v="8"/>
    <n v="174737"/>
    <n v="7061428"/>
    <n v="2.4700000000000002"/>
    <s v="DQS_MAO04_FILE_000_B"/>
    <s v="RECORD COUNT by MBR_ID, DOS_THRU_DT, DX_CD Grain grouped by PAYER, SRC_FILE_NM, DOS_THRU_YYYYMM"/>
  </r>
  <r>
    <x v="0"/>
    <s v="AETNA_MAO4_202404_20240505.txt"/>
    <x v="79"/>
    <x v="8"/>
    <n v="192071"/>
    <n v="7061428"/>
    <n v="2.72"/>
    <s v="DQS_MAO04_FILE_000_B"/>
    <s v="RECORD COUNT by MBR_ID, DOS_THRU_DT, DX_CD Grain grouped by PAYER, SRC_FILE_NM, DOS_THRU_YYYYMM"/>
  </r>
  <r>
    <x v="0"/>
    <s v="AETNA_MAO4_202404_20240505.txt"/>
    <x v="80"/>
    <x v="8"/>
    <n v="170969"/>
    <n v="7061428"/>
    <n v="2.42"/>
    <s v="DQS_MAO04_FILE_000_B"/>
    <s v="RECORD COUNT by MBR_ID, DOS_THRU_DT, DX_CD Grain grouped by PAYER, SRC_FILE_NM, DOS_THRU_YYYYMM"/>
  </r>
  <r>
    <x v="0"/>
    <s v="AETNA_MAO4_202404_20240505.txt"/>
    <x v="81"/>
    <x v="8"/>
    <n v="178886"/>
    <n v="7061428"/>
    <n v="2.5299999999999998"/>
    <s v="DQS_MAO04_FILE_000_B"/>
    <s v="RECORD COUNT by MBR_ID, DOS_THRU_DT, DX_CD Grain grouped by PAYER, SRC_FILE_NM, DOS_THRU_YYYYMM"/>
  </r>
  <r>
    <x v="0"/>
    <s v="AETNA_MAO4_202404_20240505.txt"/>
    <x v="82"/>
    <x v="8"/>
    <n v="174949"/>
    <n v="7061428"/>
    <n v="2.48"/>
    <s v="DQS_MAO04_FILE_000_B"/>
    <s v="RECORD COUNT by MBR_ID, DOS_THRU_DT, DX_CD Grain grouped by PAYER, SRC_FILE_NM, DOS_THRU_YYYYMM"/>
  </r>
  <r>
    <x v="0"/>
    <s v="AETNA_MAO4_202404_20240505.txt"/>
    <x v="83"/>
    <x v="8"/>
    <n v="153130"/>
    <n v="7061428"/>
    <n v="2.17"/>
    <s v="DQS_MAO04_FILE_000_B"/>
    <s v="RECORD COUNT by MBR_ID, DOS_THRU_DT, DX_CD Grain grouped by PAYER, SRC_FILE_NM, DOS_THRU_YYYYMM"/>
  </r>
  <r>
    <x v="0"/>
    <s v="AETNA_MAO4_202404_20240505.txt"/>
    <x v="84"/>
    <x v="8"/>
    <n v="170192"/>
    <n v="7061428"/>
    <n v="2.41"/>
    <s v="DQS_MAO04_FILE_000_B"/>
    <s v="RECORD COUNT by MBR_ID, DOS_THRU_DT, DX_CD Grain grouped by PAYER, SRC_FILE_NM, DOS_THRU_YYYYMM"/>
  </r>
  <r>
    <x v="0"/>
    <s v="AETNA_MAO4_202404_20240505.txt"/>
    <x v="85"/>
    <x v="8"/>
    <n v="158983"/>
    <n v="7061428"/>
    <n v="2.25"/>
    <s v="DQS_MAO04_FILE_000_B"/>
    <s v="RECORD COUNT by MBR_ID, DOS_THRU_DT, DX_CD Grain grouped by PAYER, SRC_FILE_NM, DOS_THRU_YYYYMM"/>
  </r>
  <r>
    <x v="0"/>
    <s v="AETNA_MAO4_202404_20240505.txt"/>
    <x v="86"/>
    <x v="8"/>
    <n v="172497"/>
    <n v="7061428"/>
    <n v="2.44"/>
    <s v="DQS_MAO04_FILE_000_B"/>
    <s v="RECORD COUNT by MBR_ID, DOS_THRU_DT, DX_CD Grain grouped by PAYER, SRC_FILE_NM, DOS_THRU_YYYYMM"/>
  </r>
  <r>
    <x v="0"/>
    <s v="AETNA_MAO4_202404_20240505.txt"/>
    <x v="87"/>
    <x v="8"/>
    <n v="159180"/>
    <n v="7061428"/>
    <n v="2.25"/>
    <s v="DQS_MAO04_FILE_000_B"/>
    <s v="RECORD COUNT by MBR_ID, DOS_THRU_DT, DX_CD Grain grouped by PAYER, SRC_FILE_NM, DOS_THRU_YYYYMM"/>
  </r>
  <r>
    <x v="0"/>
    <s v="AETNA_MAO4_202404_20240505.txt"/>
    <x v="88"/>
    <x v="8"/>
    <n v="150527"/>
    <n v="7061428"/>
    <n v="2.13"/>
    <s v="DQS_MAO04_FILE_000_B"/>
    <s v="RECORD COUNT by MBR_ID, DOS_THRU_DT, DX_CD Grain grouped by PAYER, SRC_FILE_NM, DOS_THRU_YYYYMM"/>
  </r>
  <r>
    <x v="0"/>
    <s v="AETNA_MAO4_202404_20240505.txt"/>
    <x v="89"/>
    <x v="9"/>
    <n v="114596"/>
    <n v="7061428"/>
    <n v="1.62"/>
    <s v="DQS_MAO04_FILE_000_B"/>
    <s v="RECORD COUNT by MBR_ID, DOS_THRU_DT, DX_CD Grain grouped by PAYER, SRC_FILE_NM, DOS_THRU_YYYYMM"/>
  </r>
  <r>
    <x v="0"/>
    <s v="AETNA_MAO4_202405_20240604.txt"/>
    <x v="90"/>
    <x v="10"/>
    <n v="4"/>
    <n v="7514101"/>
    <n v="0"/>
    <s v="DQS_MAO04_FILE_000_B"/>
    <s v="RECORD COUNT by MBR_ID, DOS_THRU_DT, DX_CD Grain grouped by PAYER, SRC_FILE_NM, DOS_THRU_YYYYMM"/>
  </r>
  <r>
    <x v="0"/>
    <s v="AETNA_MAO4_202405_20240604.txt"/>
    <x v="91"/>
    <x v="0"/>
    <n v="2"/>
    <n v="7514101"/>
    <n v="0"/>
    <s v="DQS_MAO04_FILE_000_B"/>
    <s v="RECORD COUNT by MBR_ID, DOS_THRU_DT, DX_CD Grain grouped by PAYER, SRC_FILE_NM, DOS_THRU_YYYYMM"/>
  </r>
  <r>
    <x v="0"/>
    <s v="AETNA_MAO4_202405_20240604.txt"/>
    <x v="93"/>
    <x v="0"/>
    <n v="8"/>
    <n v="7514101"/>
    <n v="0"/>
    <s v="DQS_MAO04_FILE_000_B"/>
    <s v="RECORD COUNT by MBR_ID, DOS_THRU_DT, DX_CD Grain grouped by PAYER, SRC_FILE_NM, DOS_THRU_YYYYMM"/>
  </r>
  <r>
    <x v="0"/>
    <s v="AETNA_MAO4_202405_20240604.txt"/>
    <x v="94"/>
    <x v="0"/>
    <n v="1"/>
    <n v="7514101"/>
    <n v="0"/>
    <s v="DQS_MAO04_FILE_000_B"/>
    <s v="RECORD COUNT by MBR_ID, DOS_THRU_DT, DX_CD Grain grouped by PAYER, SRC_FILE_NM, DOS_THRU_YYYYMM"/>
  </r>
  <r>
    <x v="0"/>
    <s v="AETNA_MAO4_202405_20240604.txt"/>
    <x v="95"/>
    <x v="0"/>
    <n v="5"/>
    <n v="7514101"/>
    <n v="0"/>
    <s v="DQS_MAO04_FILE_000_B"/>
    <s v="RECORD COUNT by MBR_ID, DOS_THRU_DT, DX_CD Grain grouped by PAYER, SRC_FILE_NM, DOS_THRU_YYYYMM"/>
  </r>
  <r>
    <x v="0"/>
    <s v="AETNA_MAO4_202405_20240604.txt"/>
    <x v="96"/>
    <x v="0"/>
    <n v="1"/>
    <n v="7514101"/>
    <n v="0"/>
    <s v="DQS_MAO04_FILE_000_B"/>
    <s v="RECORD COUNT by MBR_ID, DOS_THRU_DT, DX_CD Grain grouped by PAYER, SRC_FILE_NM, DOS_THRU_YYYYMM"/>
  </r>
  <r>
    <x v="0"/>
    <s v="AETNA_MAO4_202405_20240604.txt"/>
    <x v="0"/>
    <x v="0"/>
    <n v="4"/>
    <n v="7514101"/>
    <n v="0"/>
    <s v="DQS_MAO04_FILE_000_B"/>
    <s v="RECORD COUNT by MBR_ID, DOS_THRU_DT, DX_CD Grain grouped by PAYER, SRC_FILE_NM, DOS_THRU_YYYYMM"/>
  </r>
  <r>
    <x v="0"/>
    <s v="AETNA_MAO4_202405_20240604.txt"/>
    <x v="3"/>
    <x v="1"/>
    <n v="9"/>
    <n v="7514101"/>
    <n v="0"/>
    <s v="DQS_MAO04_FILE_000_B"/>
    <s v="RECORD COUNT by MBR_ID, DOS_THRU_DT, DX_CD Grain grouped by PAYER, SRC_FILE_NM, DOS_THRU_YYYYMM"/>
  </r>
  <r>
    <x v="0"/>
    <s v="AETNA_MAO4_202405_20240604.txt"/>
    <x v="4"/>
    <x v="1"/>
    <n v="10"/>
    <n v="7514101"/>
    <n v="0"/>
    <s v="DQS_MAO04_FILE_000_B"/>
    <s v="RECORD COUNT by MBR_ID, DOS_THRU_DT, DX_CD Grain grouped by PAYER, SRC_FILE_NM, DOS_THRU_YYYYMM"/>
  </r>
  <r>
    <x v="0"/>
    <s v="AETNA_MAO4_202405_20240604.txt"/>
    <x v="5"/>
    <x v="1"/>
    <n v="6"/>
    <n v="7514101"/>
    <n v="0"/>
    <s v="DQS_MAO04_FILE_000_B"/>
    <s v="RECORD COUNT by MBR_ID, DOS_THRU_DT, DX_CD Grain grouped by PAYER, SRC_FILE_NM, DOS_THRU_YYYYMM"/>
  </r>
  <r>
    <x v="0"/>
    <s v="AETNA_MAO4_202405_20240604.txt"/>
    <x v="7"/>
    <x v="2"/>
    <n v="14"/>
    <n v="7514101"/>
    <n v="0"/>
    <s v="DQS_MAO04_FILE_000_B"/>
    <s v="RECORD COUNT by MBR_ID, DOS_THRU_DT, DX_CD Grain grouped by PAYER, SRC_FILE_NM, DOS_THRU_YYYYMM"/>
  </r>
  <r>
    <x v="0"/>
    <s v="AETNA_MAO4_202405_20240604.txt"/>
    <x v="8"/>
    <x v="2"/>
    <n v="5"/>
    <n v="7514101"/>
    <n v="0"/>
    <s v="DQS_MAO04_FILE_000_B"/>
    <s v="RECORD COUNT by MBR_ID, DOS_THRU_DT, DX_CD Grain grouped by PAYER, SRC_FILE_NM, DOS_THRU_YYYYMM"/>
  </r>
  <r>
    <x v="0"/>
    <s v="AETNA_MAO4_202405_20240604.txt"/>
    <x v="9"/>
    <x v="2"/>
    <n v="3"/>
    <n v="7514101"/>
    <n v="0"/>
    <s v="DQS_MAO04_FILE_000_B"/>
    <s v="RECORD COUNT by MBR_ID, DOS_THRU_DT, DX_CD Grain grouped by PAYER, SRC_FILE_NM, DOS_THRU_YYYYMM"/>
  </r>
  <r>
    <x v="0"/>
    <s v="AETNA_MAO4_202405_20240604.txt"/>
    <x v="10"/>
    <x v="2"/>
    <n v="4"/>
    <n v="7514101"/>
    <n v="0"/>
    <s v="DQS_MAO04_FILE_000_B"/>
    <s v="RECORD COUNT by MBR_ID, DOS_THRU_DT, DX_CD Grain grouped by PAYER, SRC_FILE_NM, DOS_THRU_YYYYMM"/>
  </r>
  <r>
    <x v="0"/>
    <s v="AETNA_MAO4_202405_20240604.txt"/>
    <x v="11"/>
    <x v="2"/>
    <n v="34"/>
    <n v="7514101"/>
    <n v="0"/>
    <s v="DQS_MAO04_FILE_000_B"/>
    <s v="RECORD COUNT by MBR_ID, DOS_THRU_DT, DX_CD Grain grouped by PAYER, SRC_FILE_NM, DOS_THRU_YYYYMM"/>
  </r>
  <r>
    <x v="0"/>
    <s v="AETNA_MAO4_202405_20240604.txt"/>
    <x v="12"/>
    <x v="2"/>
    <n v="16"/>
    <n v="7514101"/>
    <n v="0"/>
    <s v="DQS_MAO04_FILE_000_B"/>
    <s v="RECORD COUNT by MBR_ID, DOS_THRU_DT, DX_CD Grain grouped by PAYER, SRC_FILE_NM, DOS_THRU_YYYYMM"/>
  </r>
  <r>
    <x v="0"/>
    <s v="AETNA_MAO4_202405_20240604.txt"/>
    <x v="13"/>
    <x v="2"/>
    <n v="26"/>
    <n v="7514101"/>
    <n v="0"/>
    <s v="DQS_MAO04_FILE_000_B"/>
    <s v="RECORD COUNT by MBR_ID, DOS_THRU_DT, DX_CD Grain grouped by PAYER, SRC_FILE_NM, DOS_THRU_YYYYMM"/>
  </r>
  <r>
    <x v="0"/>
    <s v="AETNA_MAO4_202405_20240604.txt"/>
    <x v="14"/>
    <x v="2"/>
    <n v="13"/>
    <n v="7514101"/>
    <n v="0"/>
    <s v="DQS_MAO04_FILE_000_B"/>
    <s v="RECORD COUNT by MBR_ID, DOS_THRU_DT, DX_CD Grain grouped by PAYER, SRC_FILE_NM, DOS_THRU_YYYYMM"/>
  </r>
  <r>
    <x v="0"/>
    <s v="AETNA_MAO4_202405_20240604.txt"/>
    <x v="15"/>
    <x v="2"/>
    <n v="26"/>
    <n v="7514101"/>
    <n v="0"/>
    <s v="DQS_MAO04_FILE_000_B"/>
    <s v="RECORD COUNT by MBR_ID, DOS_THRU_DT, DX_CD Grain grouped by PAYER, SRC_FILE_NM, DOS_THRU_YYYYMM"/>
  </r>
  <r>
    <x v="0"/>
    <s v="AETNA_MAO4_202405_20240604.txt"/>
    <x v="16"/>
    <x v="2"/>
    <n v="22"/>
    <n v="7514101"/>
    <n v="0"/>
    <s v="DQS_MAO04_FILE_000_B"/>
    <s v="RECORD COUNT by MBR_ID, DOS_THRU_DT, DX_CD Grain grouped by PAYER, SRC_FILE_NM, DOS_THRU_YYYYMM"/>
  </r>
  <r>
    <x v="0"/>
    <s v="AETNA_MAO4_202405_20240604.txt"/>
    <x v="17"/>
    <x v="3"/>
    <n v="295"/>
    <n v="7514101"/>
    <n v="0"/>
    <s v="DQS_MAO04_FILE_000_B"/>
    <s v="RECORD COUNT by MBR_ID, DOS_THRU_DT, DX_CD Grain grouped by PAYER, SRC_FILE_NM, DOS_THRU_YYYYMM"/>
  </r>
  <r>
    <x v="0"/>
    <s v="AETNA_MAO4_202405_20240604.txt"/>
    <x v="18"/>
    <x v="3"/>
    <n v="153"/>
    <n v="7514101"/>
    <n v="0"/>
    <s v="DQS_MAO04_FILE_000_B"/>
    <s v="RECORD COUNT by MBR_ID, DOS_THRU_DT, DX_CD Grain grouped by PAYER, SRC_FILE_NM, DOS_THRU_YYYYMM"/>
  </r>
  <r>
    <x v="0"/>
    <s v="AETNA_MAO4_202405_20240604.txt"/>
    <x v="19"/>
    <x v="3"/>
    <n v="233"/>
    <n v="7514101"/>
    <n v="0"/>
    <s v="DQS_MAO04_FILE_000_B"/>
    <s v="RECORD COUNT by MBR_ID, DOS_THRU_DT, DX_CD Grain grouped by PAYER, SRC_FILE_NM, DOS_THRU_YYYYMM"/>
  </r>
  <r>
    <x v="0"/>
    <s v="AETNA_MAO4_202405_20240604.txt"/>
    <x v="20"/>
    <x v="3"/>
    <n v="228"/>
    <n v="7514101"/>
    <n v="0"/>
    <s v="DQS_MAO04_FILE_000_B"/>
    <s v="RECORD COUNT by MBR_ID, DOS_THRU_DT, DX_CD Grain grouped by PAYER, SRC_FILE_NM, DOS_THRU_YYYYMM"/>
  </r>
  <r>
    <x v="0"/>
    <s v="AETNA_MAO4_202405_20240604.txt"/>
    <x v="21"/>
    <x v="3"/>
    <n v="309"/>
    <n v="7514101"/>
    <n v="0"/>
    <s v="DQS_MAO04_FILE_000_B"/>
    <s v="RECORD COUNT by MBR_ID, DOS_THRU_DT, DX_CD Grain grouped by PAYER, SRC_FILE_NM, DOS_THRU_YYYYMM"/>
  </r>
  <r>
    <x v="0"/>
    <s v="AETNA_MAO4_202405_20240604.txt"/>
    <x v="22"/>
    <x v="3"/>
    <n v="261"/>
    <n v="7514101"/>
    <n v="0"/>
    <s v="DQS_MAO04_FILE_000_B"/>
    <s v="RECORD COUNT by MBR_ID, DOS_THRU_DT, DX_CD Grain grouped by PAYER, SRC_FILE_NM, DOS_THRU_YYYYMM"/>
  </r>
  <r>
    <x v="0"/>
    <s v="AETNA_MAO4_202405_20240604.txt"/>
    <x v="23"/>
    <x v="3"/>
    <n v="253"/>
    <n v="7514101"/>
    <n v="0"/>
    <s v="DQS_MAO04_FILE_000_B"/>
    <s v="RECORD COUNT by MBR_ID, DOS_THRU_DT, DX_CD Grain grouped by PAYER, SRC_FILE_NM, DOS_THRU_YYYYMM"/>
  </r>
  <r>
    <x v="0"/>
    <s v="AETNA_MAO4_202405_20240604.txt"/>
    <x v="24"/>
    <x v="3"/>
    <n v="465"/>
    <n v="7514101"/>
    <n v="0.01"/>
    <s v="DQS_MAO04_FILE_000_B"/>
    <s v="RECORD COUNT by MBR_ID, DOS_THRU_DT, DX_CD Grain grouped by PAYER, SRC_FILE_NM, DOS_THRU_YYYYMM"/>
  </r>
  <r>
    <x v="0"/>
    <s v="AETNA_MAO4_202405_20240604.txt"/>
    <x v="25"/>
    <x v="3"/>
    <n v="262"/>
    <n v="7514101"/>
    <n v="0"/>
    <s v="DQS_MAO04_FILE_000_B"/>
    <s v="RECORD COUNT by MBR_ID, DOS_THRU_DT, DX_CD Grain grouped by PAYER, SRC_FILE_NM, DOS_THRU_YYYYMM"/>
  </r>
  <r>
    <x v="0"/>
    <s v="AETNA_MAO4_202405_20240604.txt"/>
    <x v="26"/>
    <x v="3"/>
    <n v="537"/>
    <n v="7514101"/>
    <n v="0.01"/>
    <s v="DQS_MAO04_FILE_000_B"/>
    <s v="RECORD COUNT by MBR_ID, DOS_THRU_DT, DX_CD Grain grouped by PAYER, SRC_FILE_NM, DOS_THRU_YYYYMM"/>
  </r>
  <r>
    <x v="0"/>
    <s v="AETNA_MAO4_202405_20240604.txt"/>
    <x v="27"/>
    <x v="3"/>
    <n v="334"/>
    <n v="7514101"/>
    <n v="0"/>
    <s v="DQS_MAO04_FILE_000_B"/>
    <s v="RECORD COUNT by MBR_ID, DOS_THRU_DT, DX_CD Grain grouped by PAYER, SRC_FILE_NM, DOS_THRU_YYYYMM"/>
  </r>
  <r>
    <x v="0"/>
    <s v="AETNA_MAO4_202405_20240604.txt"/>
    <x v="28"/>
    <x v="3"/>
    <n v="457"/>
    <n v="7514101"/>
    <n v="0.01"/>
    <s v="DQS_MAO04_FILE_000_B"/>
    <s v="RECORD COUNT by MBR_ID, DOS_THRU_DT, DX_CD Grain grouped by PAYER, SRC_FILE_NM, DOS_THRU_YYYYMM"/>
  </r>
  <r>
    <x v="0"/>
    <s v="AETNA_MAO4_202405_20240604.txt"/>
    <x v="29"/>
    <x v="4"/>
    <n v="12450"/>
    <n v="7514101"/>
    <n v="0.17"/>
    <s v="DQS_MAO04_FILE_000_B"/>
    <s v="RECORD COUNT by MBR_ID, DOS_THRU_DT, DX_CD Grain grouped by PAYER, SRC_FILE_NM, DOS_THRU_YYYYMM"/>
  </r>
  <r>
    <x v="0"/>
    <s v="AETNA_MAO4_202405_20240604.txt"/>
    <x v="30"/>
    <x v="4"/>
    <n v="10821"/>
    <n v="7514101"/>
    <n v="0.14000000000000001"/>
    <s v="DQS_MAO04_FILE_000_B"/>
    <s v="RECORD COUNT by MBR_ID, DOS_THRU_DT, DX_CD Grain grouped by PAYER, SRC_FILE_NM, DOS_THRU_YYYYMM"/>
  </r>
  <r>
    <x v="0"/>
    <s v="AETNA_MAO4_202405_20240604.txt"/>
    <x v="31"/>
    <x v="4"/>
    <n v="12659"/>
    <n v="7514101"/>
    <n v="0.17"/>
    <s v="DQS_MAO04_FILE_000_B"/>
    <s v="RECORD COUNT by MBR_ID, DOS_THRU_DT, DX_CD Grain grouped by PAYER, SRC_FILE_NM, DOS_THRU_YYYYMM"/>
  </r>
  <r>
    <x v="0"/>
    <s v="AETNA_MAO4_202405_20240604.txt"/>
    <x v="32"/>
    <x v="4"/>
    <n v="14150"/>
    <n v="7514101"/>
    <n v="0.19"/>
    <s v="DQS_MAO04_FILE_000_B"/>
    <s v="RECORD COUNT by MBR_ID, DOS_THRU_DT, DX_CD Grain grouped by PAYER, SRC_FILE_NM, DOS_THRU_YYYYMM"/>
  </r>
  <r>
    <x v="0"/>
    <s v="AETNA_MAO4_202405_20240604.txt"/>
    <x v="33"/>
    <x v="4"/>
    <n v="12863"/>
    <n v="7514101"/>
    <n v="0.17"/>
    <s v="DQS_MAO04_FILE_000_B"/>
    <s v="RECORD COUNT by MBR_ID, DOS_THRU_DT, DX_CD Grain grouped by PAYER, SRC_FILE_NM, DOS_THRU_YYYYMM"/>
  </r>
  <r>
    <x v="0"/>
    <s v="AETNA_MAO4_202405_20240604.txt"/>
    <x v="34"/>
    <x v="4"/>
    <n v="13365"/>
    <n v="7514101"/>
    <n v="0.18"/>
    <s v="DQS_MAO04_FILE_000_B"/>
    <s v="RECORD COUNT by MBR_ID, DOS_THRU_DT, DX_CD Grain grouped by PAYER, SRC_FILE_NM, DOS_THRU_YYYYMM"/>
  </r>
  <r>
    <x v="0"/>
    <s v="AETNA_MAO4_202405_20240604.txt"/>
    <x v="35"/>
    <x v="4"/>
    <n v="13504"/>
    <n v="7514101"/>
    <n v="0.18"/>
    <s v="DQS_MAO04_FILE_000_B"/>
    <s v="RECORD COUNT by MBR_ID, DOS_THRU_DT, DX_CD Grain grouped by PAYER, SRC_FILE_NM, DOS_THRU_YYYYMM"/>
  </r>
  <r>
    <x v="0"/>
    <s v="AETNA_MAO4_202405_20240604.txt"/>
    <x v="36"/>
    <x v="4"/>
    <n v="14163"/>
    <n v="7514101"/>
    <n v="0.19"/>
    <s v="DQS_MAO04_FILE_000_B"/>
    <s v="RECORD COUNT by MBR_ID, DOS_THRU_DT, DX_CD Grain grouped by PAYER, SRC_FILE_NM, DOS_THRU_YYYYMM"/>
  </r>
  <r>
    <x v="0"/>
    <s v="AETNA_MAO4_202405_20240604.txt"/>
    <x v="37"/>
    <x v="4"/>
    <n v="12961"/>
    <n v="7514101"/>
    <n v="0.17"/>
    <s v="DQS_MAO04_FILE_000_B"/>
    <s v="RECORD COUNT by MBR_ID, DOS_THRU_DT, DX_CD Grain grouped by PAYER, SRC_FILE_NM, DOS_THRU_YYYYMM"/>
  </r>
  <r>
    <x v="0"/>
    <s v="AETNA_MAO4_202405_20240604.txt"/>
    <x v="38"/>
    <x v="4"/>
    <n v="15571"/>
    <n v="7514101"/>
    <n v="0.21"/>
    <s v="DQS_MAO04_FILE_000_B"/>
    <s v="RECORD COUNT by MBR_ID, DOS_THRU_DT, DX_CD Grain grouped by PAYER, SRC_FILE_NM, DOS_THRU_YYYYMM"/>
  </r>
  <r>
    <x v="0"/>
    <s v="AETNA_MAO4_202405_20240604.txt"/>
    <x v="39"/>
    <x v="4"/>
    <n v="12113"/>
    <n v="7514101"/>
    <n v="0.16"/>
    <s v="DQS_MAO04_FILE_000_B"/>
    <s v="RECORD COUNT by MBR_ID, DOS_THRU_DT, DX_CD Grain grouped by PAYER, SRC_FILE_NM, DOS_THRU_YYYYMM"/>
  </r>
  <r>
    <x v="0"/>
    <s v="AETNA_MAO4_202405_20240604.txt"/>
    <x v="40"/>
    <x v="4"/>
    <n v="11801"/>
    <n v="7514101"/>
    <n v="0.16"/>
    <s v="DQS_MAO04_FILE_000_B"/>
    <s v="RECORD COUNT by MBR_ID, DOS_THRU_DT, DX_CD Grain grouped by PAYER, SRC_FILE_NM, DOS_THRU_YYYYMM"/>
  </r>
  <r>
    <x v="0"/>
    <s v="AETNA_MAO4_202405_20240604.txt"/>
    <x v="41"/>
    <x v="5"/>
    <n v="48132"/>
    <n v="7514101"/>
    <n v="0.64"/>
    <s v="DQS_MAO04_FILE_000_B"/>
    <s v="RECORD COUNT by MBR_ID, DOS_THRU_DT, DX_CD Grain grouped by PAYER, SRC_FILE_NM, DOS_THRU_YYYYMM"/>
  </r>
  <r>
    <x v="0"/>
    <s v="AETNA_MAO4_202405_20240604.txt"/>
    <x v="42"/>
    <x v="5"/>
    <n v="44979"/>
    <n v="7514101"/>
    <n v="0.6"/>
    <s v="DQS_MAO04_FILE_000_B"/>
    <s v="RECORD COUNT by MBR_ID, DOS_THRU_DT, DX_CD Grain grouped by PAYER, SRC_FILE_NM, DOS_THRU_YYYYMM"/>
  </r>
  <r>
    <x v="0"/>
    <s v="AETNA_MAO4_202405_20240604.txt"/>
    <x v="43"/>
    <x v="5"/>
    <n v="40828"/>
    <n v="7514101"/>
    <n v="0.54"/>
    <s v="DQS_MAO04_FILE_000_B"/>
    <s v="RECORD COUNT by MBR_ID, DOS_THRU_DT, DX_CD Grain grouped by PAYER, SRC_FILE_NM, DOS_THRU_YYYYMM"/>
  </r>
  <r>
    <x v="0"/>
    <s v="AETNA_MAO4_202405_20240604.txt"/>
    <x v="44"/>
    <x v="5"/>
    <n v="23199"/>
    <n v="7514101"/>
    <n v="0.31"/>
    <s v="DQS_MAO04_FILE_000_B"/>
    <s v="RECORD COUNT by MBR_ID, DOS_THRU_DT, DX_CD Grain grouped by PAYER, SRC_FILE_NM, DOS_THRU_YYYYMM"/>
  </r>
  <r>
    <x v="0"/>
    <s v="AETNA_MAO4_202405_20240604.txt"/>
    <x v="45"/>
    <x v="5"/>
    <n v="43177"/>
    <n v="7514101"/>
    <n v="0.56999999999999995"/>
    <s v="DQS_MAO04_FILE_000_B"/>
    <s v="RECORD COUNT by MBR_ID, DOS_THRU_DT, DX_CD Grain grouped by PAYER, SRC_FILE_NM, DOS_THRU_YYYYMM"/>
  </r>
  <r>
    <x v="0"/>
    <s v="AETNA_MAO4_202405_20240604.txt"/>
    <x v="46"/>
    <x v="5"/>
    <n v="53879"/>
    <n v="7514101"/>
    <n v="0.72"/>
    <s v="DQS_MAO04_FILE_000_B"/>
    <s v="RECORD COUNT by MBR_ID, DOS_THRU_DT, DX_CD Grain grouped by PAYER, SRC_FILE_NM, DOS_THRU_YYYYMM"/>
  </r>
  <r>
    <x v="0"/>
    <s v="AETNA_MAO4_202405_20240604.txt"/>
    <x v="47"/>
    <x v="5"/>
    <n v="43898"/>
    <n v="7514101"/>
    <n v="0.57999999999999996"/>
    <s v="DQS_MAO04_FILE_000_B"/>
    <s v="RECORD COUNT by MBR_ID, DOS_THRU_DT, DX_CD Grain grouped by PAYER, SRC_FILE_NM, DOS_THRU_YYYYMM"/>
  </r>
  <r>
    <x v="0"/>
    <s v="AETNA_MAO4_202405_20240604.txt"/>
    <x v="48"/>
    <x v="5"/>
    <n v="45352"/>
    <n v="7514101"/>
    <n v="0.6"/>
    <s v="DQS_MAO04_FILE_000_B"/>
    <s v="RECORD COUNT by MBR_ID, DOS_THRU_DT, DX_CD Grain grouped by PAYER, SRC_FILE_NM, DOS_THRU_YYYYMM"/>
  </r>
  <r>
    <x v="0"/>
    <s v="AETNA_MAO4_202405_20240604.txt"/>
    <x v="49"/>
    <x v="5"/>
    <n v="52547"/>
    <n v="7514101"/>
    <n v="0.7"/>
    <s v="DQS_MAO04_FILE_000_B"/>
    <s v="RECORD COUNT by MBR_ID, DOS_THRU_DT, DX_CD Grain grouped by PAYER, SRC_FILE_NM, DOS_THRU_YYYYMM"/>
  </r>
  <r>
    <x v="0"/>
    <s v="AETNA_MAO4_202405_20240604.txt"/>
    <x v="50"/>
    <x v="5"/>
    <n v="70920"/>
    <n v="7514101"/>
    <n v="0.94"/>
    <s v="DQS_MAO04_FILE_000_B"/>
    <s v="RECORD COUNT by MBR_ID, DOS_THRU_DT, DX_CD Grain grouped by PAYER, SRC_FILE_NM, DOS_THRU_YYYYMM"/>
  </r>
  <r>
    <x v="0"/>
    <s v="AETNA_MAO4_202405_20240604.txt"/>
    <x v="51"/>
    <x v="5"/>
    <n v="49130"/>
    <n v="7514101"/>
    <n v="0.65"/>
    <s v="DQS_MAO04_FILE_000_B"/>
    <s v="RECORD COUNT by MBR_ID, DOS_THRU_DT, DX_CD Grain grouped by PAYER, SRC_FILE_NM, DOS_THRU_YYYYMM"/>
  </r>
  <r>
    <x v="0"/>
    <s v="AETNA_MAO4_202405_20240604.txt"/>
    <x v="52"/>
    <x v="5"/>
    <n v="54656"/>
    <n v="7514101"/>
    <n v="0.73"/>
    <s v="DQS_MAO04_FILE_000_B"/>
    <s v="RECORD COUNT by MBR_ID, DOS_THRU_DT, DX_CD Grain grouped by PAYER, SRC_FILE_NM, DOS_THRU_YYYYMM"/>
  </r>
  <r>
    <x v="0"/>
    <s v="AETNA_MAO4_202405_20240604.txt"/>
    <x v="53"/>
    <x v="6"/>
    <n v="88082"/>
    <n v="7514101"/>
    <n v="1.17"/>
    <s v="DQS_MAO04_FILE_000_B"/>
    <s v="RECORD COUNT by MBR_ID, DOS_THRU_DT, DX_CD Grain grouped by PAYER, SRC_FILE_NM, DOS_THRU_YYYYMM"/>
  </r>
  <r>
    <x v="0"/>
    <s v="AETNA_MAO4_202405_20240604.txt"/>
    <x v="54"/>
    <x v="6"/>
    <n v="71732"/>
    <n v="7514101"/>
    <n v="0.95"/>
    <s v="DQS_MAO04_FILE_000_B"/>
    <s v="RECORD COUNT by MBR_ID, DOS_THRU_DT, DX_CD Grain grouped by PAYER, SRC_FILE_NM, DOS_THRU_YYYYMM"/>
  </r>
  <r>
    <x v="0"/>
    <s v="AETNA_MAO4_202405_20240604.txt"/>
    <x v="55"/>
    <x v="6"/>
    <n v="87186"/>
    <n v="7514101"/>
    <n v="1.1599999999999999"/>
    <s v="DQS_MAO04_FILE_000_B"/>
    <s v="RECORD COUNT by MBR_ID, DOS_THRU_DT, DX_CD Grain grouped by PAYER, SRC_FILE_NM, DOS_THRU_YYYYMM"/>
  </r>
  <r>
    <x v="0"/>
    <s v="AETNA_MAO4_202405_20240604.txt"/>
    <x v="56"/>
    <x v="6"/>
    <n v="84823"/>
    <n v="7514101"/>
    <n v="1.1299999999999999"/>
    <s v="DQS_MAO04_FILE_000_B"/>
    <s v="RECORD COUNT by MBR_ID, DOS_THRU_DT, DX_CD Grain grouped by PAYER, SRC_FILE_NM, DOS_THRU_YYYYMM"/>
  </r>
  <r>
    <x v="0"/>
    <s v="AETNA_MAO4_202405_20240604.txt"/>
    <x v="57"/>
    <x v="6"/>
    <n v="93093"/>
    <n v="7514101"/>
    <n v="1.24"/>
    <s v="DQS_MAO04_FILE_000_B"/>
    <s v="RECORD COUNT by MBR_ID, DOS_THRU_DT, DX_CD Grain grouped by PAYER, SRC_FILE_NM, DOS_THRU_YYYYMM"/>
  </r>
  <r>
    <x v="0"/>
    <s v="AETNA_MAO4_202405_20240604.txt"/>
    <x v="58"/>
    <x v="6"/>
    <n v="205418"/>
    <n v="7514101"/>
    <n v="2.73"/>
    <s v="DQS_MAO04_FILE_000_B"/>
    <s v="RECORD COUNT by MBR_ID, DOS_THRU_DT, DX_CD Grain grouped by PAYER, SRC_FILE_NM, DOS_THRU_YYYYMM"/>
  </r>
  <r>
    <x v="0"/>
    <s v="AETNA_MAO4_202405_20240604.txt"/>
    <x v="59"/>
    <x v="6"/>
    <n v="245802"/>
    <n v="7514101"/>
    <n v="3.27"/>
    <s v="DQS_MAO04_FILE_000_B"/>
    <s v="RECORD COUNT by MBR_ID, DOS_THRU_DT, DX_CD Grain grouped by PAYER, SRC_FILE_NM, DOS_THRU_YYYYMM"/>
  </r>
  <r>
    <x v="0"/>
    <s v="AETNA_MAO4_202405_20240604.txt"/>
    <x v="60"/>
    <x v="6"/>
    <n v="243043"/>
    <n v="7514101"/>
    <n v="3.23"/>
    <s v="DQS_MAO04_FILE_000_B"/>
    <s v="RECORD COUNT by MBR_ID, DOS_THRU_DT, DX_CD Grain grouped by PAYER, SRC_FILE_NM, DOS_THRU_YYYYMM"/>
  </r>
  <r>
    <x v="0"/>
    <s v="AETNA_MAO4_202405_20240604.txt"/>
    <x v="61"/>
    <x v="6"/>
    <n v="243040"/>
    <n v="7514101"/>
    <n v="3.23"/>
    <s v="DQS_MAO04_FILE_000_B"/>
    <s v="RECORD COUNT by MBR_ID, DOS_THRU_DT, DX_CD Grain grouped by PAYER, SRC_FILE_NM, DOS_THRU_YYYYMM"/>
  </r>
  <r>
    <x v="0"/>
    <s v="AETNA_MAO4_202405_20240604.txt"/>
    <x v="62"/>
    <x v="6"/>
    <n v="230723"/>
    <n v="7514101"/>
    <n v="3.07"/>
    <s v="DQS_MAO04_FILE_000_B"/>
    <s v="RECORD COUNT by MBR_ID, DOS_THRU_DT, DX_CD Grain grouped by PAYER, SRC_FILE_NM, DOS_THRU_YYYYMM"/>
  </r>
  <r>
    <x v="0"/>
    <s v="AETNA_MAO4_202405_20240604.txt"/>
    <x v="63"/>
    <x v="6"/>
    <n v="231531"/>
    <n v="7514101"/>
    <n v="3.08"/>
    <s v="DQS_MAO04_FILE_000_B"/>
    <s v="RECORD COUNT by MBR_ID, DOS_THRU_DT, DX_CD Grain grouped by PAYER, SRC_FILE_NM, DOS_THRU_YYYYMM"/>
  </r>
  <r>
    <x v="0"/>
    <s v="AETNA_MAO4_202405_20240604.txt"/>
    <x v="64"/>
    <x v="6"/>
    <n v="230939"/>
    <n v="7514101"/>
    <n v="3.07"/>
    <s v="DQS_MAO04_FILE_000_B"/>
    <s v="RECORD COUNT by MBR_ID, DOS_THRU_DT, DX_CD Grain grouped by PAYER, SRC_FILE_NM, DOS_THRU_YYYYMM"/>
  </r>
  <r>
    <x v="0"/>
    <s v="AETNA_MAO4_202405_20240604.txt"/>
    <x v="65"/>
    <x v="7"/>
    <n v="185052"/>
    <n v="7514101"/>
    <n v="2.46"/>
    <s v="DQS_MAO04_FILE_000_B"/>
    <s v="RECORD COUNT by MBR_ID, DOS_THRU_DT, DX_CD Grain grouped by PAYER, SRC_FILE_NM, DOS_THRU_YYYYMM"/>
  </r>
  <r>
    <x v="0"/>
    <s v="AETNA_MAO4_202405_20240604.txt"/>
    <x v="66"/>
    <x v="7"/>
    <n v="159547"/>
    <n v="7514101"/>
    <n v="2.12"/>
    <s v="DQS_MAO04_FILE_000_B"/>
    <s v="RECORD COUNT by MBR_ID, DOS_THRU_DT, DX_CD Grain grouped by PAYER, SRC_FILE_NM, DOS_THRU_YYYYMM"/>
  </r>
  <r>
    <x v="0"/>
    <s v="AETNA_MAO4_202405_20240604.txt"/>
    <x v="67"/>
    <x v="7"/>
    <n v="203505"/>
    <n v="7514101"/>
    <n v="2.71"/>
    <s v="DQS_MAO04_FILE_000_B"/>
    <s v="RECORD COUNT by MBR_ID, DOS_THRU_DT, DX_CD Grain grouped by PAYER, SRC_FILE_NM, DOS_THRU_YYYYMM"/>
  </r>
  <r>
    <x v="0"/>
    <s v="AETNA_MAO4_202405_20240604.txt"/>
    <x v="68"/>
    <x v="7"/>
    <n v="177005"/>
    <n v="7514101"/>
    <n v="2.36"/>
    <s v="DQS_MAO04_FILE_000_B"/>
    <s v="RECORD COUNT by MBR_ID, DOS_THRU_DT, DX_CD Grain grouped by PAYER, SRC_FILE_NM, DOS_THRU_YYYYMM"/>
  </r>
  <r>
    <x v="0"/>
    <s v="AETNA_MAO4_202405_20240604.txt"/>
    <x v="69"/>
    <x v="7"/>
    <n v="180682"/>
    <n v="7514101"/>
    <n v="2.4"/>
    <s v="DQS_MAO04_FILE_000_B"/>
    <s v="RECORD COUNT by MBR_ID, DOS_THRU_DT, DX_CD Grain grouped by PAYER, SRC_FILE_NM, DOS_THRU_YYYYMM"/>
  </r>
  <r>
    <x v="0"/>
    <s v="AETNA_MAO4_202405_20240604.txt"/>
    <x v="70"/>
    <x v="7"/>
    <n v="183897"/>
    <n v="7514101"/>
    <n v="2.4500000000000002"/>
    <s v="DQS_MAO04_FILE_000_B"/>
    <s v="RECORD COUNT by MBR_ID, DOS_THRU_DT, DX_CD Grain grouped by PAYER, SRC_FILE_NM, DOS_THRU_YYYYMM"/>
  </r>
  <r>
    <x v="0"/>
    <s v="AETNA_MAO4_202405_20240604.txt"/>
    <x v="71"/>
    <x v="7"/>
    <n v="170265"/>
    <n v="7514101"/>
    <n v="2.27"/>
    <s v="DQS_MAO04_FILE_000_B"/>
    <s v="RECORD COUNT by MBR_ID, DOS_THRU_DT, DX_CD Grain grouped by PAYER, SRC_FILE_NM, DOS_THRU_YYYYMM"/>
  </r>
  <r>
    <x v="0"/>
    <s v="AETNA_MAO4_202405_20240604.txt"/>
    <x v="72"/>
    <x v="7"/>
    <n v="188765"/>
    <n v="7514101"/>
    <n v="2.5099999999999998"/>
    <s v="DQS_MAO04_FILE_000_B"/>
    <s v="RECORD COUNT by MBR_ID, DOS_THRU_DT, DX_CD Grain grouped by PAYER, SRC_FILE_NM, DOS_THRU_YYYYMM"/>
  </r>
  <r>
    <x v="0"/>
    <s v="AETNA_MAO4_202405_20240604.txt"/>
    <x v="73"/>
    <x v="7"/>
    <n v="176283"/>
    <n v="7514101"/>
    <n v="2.35"/>
    <s v="DQS_MAO04_FILE_000_B"/>
    <s v="RECORD COUNT by MBR_ID, DOS_THRU_DT, DX_CD Grain grouped by PAYER, SRC_FILE_NM, DOS_THRU_YYYYMM"/>
  </r>
  <r>
    <x v="0"/>
    <s v="AETNA_MAO4_202405_20240604.txt"/>
    <x v="74"/>
    <x v="7"/>
    <n v="182261"/>
    <n v="7514101"/>
    <n v="2.4300000000000002"/>
    <s v="DQS_MAO04_FILE_000_B"/>
    <s v="RECORD COUNT by MBR_ID, DOS_THRU_DT, DX_CD Grain grouped by PAYER, SRC_FILE_NM, DOS_THRU_YYYYMM"/>
  </r>
  <r>
    <x v="0"/>
    <s v="AETNA_MAO4_202405_20240604.txt"/>
    <x v="75"/>
    <x v="7"/>
    <n v="177576"/>
    <n v="7514101"/>
    <n v="2.36"/>
    <s v="DQS_MAO04_FILE_000_B"/>
    <s v="RECORD COUNT by MBR_ID, DOS_THRU_DT, DX_CD Grain grouped by PAYER, SRC_FILE_NM, DOS_THRU_YYYYMM"/>
  </r>
  <r>
    <x v="0"/>
    <s v="AETNA_MAO4_202405_20240604.txt"/>
    <x v="76"/>
    <x v="7"/>
    <n v="165403"/>
    <n v="7514101"/>
    <n v="2.2000000000000002"/>
    <s v="DQS_MAO04_FILE_000_B"/>
    <s v="RECORD COUNT by MBR_ID, DOS_THRU_DT, DX_CD Grain grouped by PAYER, SRC_FILE_NM, DOS_THRU_YYYYMM"/>
  </r>
  <r>
    <x v="0"/>
    <s v="AETNA_MAO4_202405_20240604.txt"/>
    <x v="77"/>
    <x v="8"/>
    <n v="186953"/>
    <n v="7514101"/>
    <n v="2.4900000000000002"/>
    <s v="DQS_MAO04_FILE_000_B"/>
    <s v="RECORD COUNT by MBR_ID, DOS_THRU_DT, DX_CD Grain grouped by PAYER, SRC_FILE_NM, DOS_THRU_YYYYMM"/>
  </r>
  <r>
    <x v="0"/>
    <s v="AETNA_MAO4_202405_20240604.txt"/>
    <x v="78"/>
    <x v="8"/>
    <n v="179987"/>
    <n v="7514101"/>
    <n v="2.4"/>
    <s v="DQS_MAO04_FILE_000_B"/>
    <s v="RECORD COUNT by MBR_ID, DOS_THRU_DT, DX_CD Grain grouped by PAYER, SRC_FILE_NM, DOS_THRU_YYYYMM"/>
  </r>
  <r>
    <x v="0"/>
    <s v="AETNA_MAO4_202405_20240604.txt"/>
    <x v="79"/>
    <x v="8"/>
    <n v="197049"/>
    <n v="7514101"/>
    <n v="2.62"/>
    <s v="DQS_MAO04_FILE_000_B"/>
    <s v="RECORD COUNT by MBR_ID, DOS_THRU_DT, DX_CD Grain grouped by PAYER, SRC_FILE_NM, DOS_THRU_YYYYMM"/>
  </r>
  <r>
    <x v="0"/>
    <s v="AETNA_MAO4_202405_20240604.txt"/>
    <x v="80"/>
    <x v="8"/>
    <n v="177100"/>
    <n v="7514101"/>
    <n v="2.36"/>
    <s v="DQS_MAO04_FILE_000_B"/>
    <s v="RECORD COUNT by MBR_ID, DOS_THRU_DT, DX_CD Grain grouped by PAYER, SRC_FILE_NM, DOS_THRU_YYYYMM"/>
  </r>
  <r>
    <x v="0"/>
    <s v="AETNA_MAO4_202405_20240604.txt"/>
    <x v="81"/>
    <x v="8"/>
    <n v="184856"/>
    <n v="7514101"/>
    <n v="2.46"/>
    <s v="DQS_MAO04_FILE_000_B"/>
    <s v="RECORD COUNT by MBR_ID, DOS_THRU_DT, DX_CD Grain grouped by PAYER, SRC_FILE_NM, DOS_THRU_YYYYMM"/>
  </r>
  <r>
    <x v="0"/>
    <s v="AETNA_MAO4_202405_20240604.txt"/>
    <x v="82"/>
    <x v="8"/>
    <n v="181504"/>
    <n v="7514101"/>
    <n v="2.42"/>
    <s v="DQS_MAO04_FILE_000_B"/>
    <s v="RECORD COUNT by MBR_ID, DOS_THRU_DT, DX_CD Grain grouped by PAYER, SRC_FILE_NM, DOS_THRU_YYYYMM"/>
  </r>
  <r>
    <x v="0"/>
    <s v="AETNA_MAO4_202405_20240604.txt"/>
    <x v="83"/>
    <x v="8"/>
    <n v="158935"/>
    <n v="7514101"/>
    <n v="2.12"/>
    <s v="DQS_MAO04_FILE_000_B"/>
    <s v="RECORD COUNT by MBR_ID, DOS_THRU_DT, DX_CD Grain grouped by PAYER, SRC_FILE_NM, DOS_THRU_YYYYMM"/>
  </r>
  <r>
    <x v="0"/>
    <s v="AETNA_MAO4_202405_20240604.txt"/>
    <x v="84"/>
    <x v="8"/>
    <n v="176209"/>
    <n v="7514101"/>
    <n v="2.35"/>
    <s v="DQS_MAO04_FILE_000_B"/>
    <s v="RECORD COUNT by MBR_ID, DOS_THRU_DT, DX_CD Grain grouped by PAYER, SRC_FILE_NM, DOS_THRU_YYYYMM"/>
  </r>
  <r>
    <x v="0"/>
    <s v="AETNA_MAO4_202405_20240604.txt"/>
    <x v="85"/>
    <x v="8"/>
    <n v="165754"/>
    <n v="7514101"/>
    <n v="2.21"/>
    <s v="DQS_MAO04_FILE_000_B"/>
    <s v="RECORD COUNT by MBR_ID, DOS_THRU_DT, DX_CD Grain grouped by PAYER, SRC_FILE_NM, DOS_THRU_YYYYMM"/>
  </r>
  <r>
    <x v="0"/>
    <s v="AETNA_MAO4_202405_20240604.txt"/>
    <x v="86"/>
    <x v="8"/>
    <n v="178858"/>
    <n v="7514101"/>
    <n v="2.38"/>
    <s v="DQS_MAO04_FILE_000_B"/>
    <s v="RECORD COUNT by MBR_ID, DOS_THRU_DT, DX_CD Grain grouped by PAYER, SRC_FILE_NM, DOS_THRU_YYYYMM"/>
  </r>
  <r>
    <x v="0"/>
    <s v="AETNA_MAO4_202405_20240604.txt"/>
    <x v="87"/>
    <x v="8"/>
    <n v="165416"/>
    <n v="7514101"/>
    <n v="2.2000000000000002"/>
    <s v="DQS_MAO04_FILE_000_B"/>
    <s v="RECORD COUNT by MBR_ID, DOS_THRU_DT, DX_CD Grain grouped by PAYER, SRC_FILE_NM, DOS_THRU_YYYYMM"/>
  </r>
  <r>
    <x v="0"/>
    <s v="AETNA_MAO4_202405_20240604.txt"/>
    <x v="88"/>
    <x v="8"/>
    <n v="157588"/>
    <n v="7514101"/>
    <n v="2.1"/>
    <s v="DQS_MAO04_FILE_000_B"/>
    <s v="RECORD COUNT by MBR_ID, DOS_THRU_DT, DX_CD Grain grouped by PAYER, SRC_FILE_NM, DOS_THRU_YYYYMM"/>
  </r>
  <r>
    <x v="0"/>
    <s v="AETNA_MAO4_202405_20240604.txt"/>
    <x v="89"/>
    <x v="9"/>
    <n v="224326"/>
    <n v="7514101"/>
    <n v="2.99"/>
    <s v="DQS_MAO04_FILE_000_B"/>
    <s v="RECORD COUNT by MBR_ID, DOS_THRU_DT, DX_CD Grain grouped by PAYER, SRC_FILE_NM, DOS_THRU_YYYYMM"/>
  </r>
  <r>
    <x v="0"/>
    <s v="AETNA_MAO4_202405_20240604.txt"/>
    <x v="97"/>
    <x v="9"/>
    <n v="202645"/>
    <n v="7514101"/>
    <n v="2.7"/>
    <s v="DQS_MAO04_FILE_000_B"/>
    <s v="RECORD COUNT by MBR_ID, DOS_THRU_DT, DX_CD Grain grouped by PAYER, SRC_FILE_NM, DOS_THRU_YYYYMM"/>
  </r>
  <r>
    <x v="0"/>
    <s v="AETNA_MAO4_202405_20240604.txt"/>
    <x v="98"/>
    <x v="9"/>
    <n v="40150"/>
    <n v="7514101"/>
    <n v="0.53"/>
    <s v="DQS_MAO04_FILE_000_B"/>
    <s v="RECORD COUNT by MBR_ID, DOS_THRU_DT, DX_CD Grain grouped by PAYER, SRC_FILE_NM, DOS_THRU_YYYYMM"/>
  </r>
  <r>
    <x v="0"/>
    <s v="AETNA_MAO4_202406_20240703.txt"/>
    <x v="90"/>
    <x v="10"/>
    <n v="4"/>
    <n v="7148578"/>
    <n v="0"/>
    <s v="DQS_MAO04_FILE_000_B"/>
    <s v="RECORD COUNT by MBR_ID, DOS_THRU_DT, DX_CD Grain grouped by PAYER, SRC_FILE_NM, DOS_THRU_YYYYMM"/>
  </r>
  <r>
    <x v="0"/>
    <s v="AETNA_MAO4_202406_20240703.txt"/>
    <x v="92"/>
    <x v="0"/>
    <n v="3"/>
    <n v="7148578"/>
    <n v="0"/>
    <s v="DQS_MAO04_FILE_000_B"/>
    <s v="RECORD COUNT by MBR_ID, DOS_THRU_DT, DX_CD Grain grouped by PAYER, SRC_FILE_NM, DOS_THRU_YYYYMM"/>
  </r>
  <r>
    <x v="0"/>
    <s v="AETNA_MAO4_202406_20240703.txt"/>
    <x v="93"/>
    <x v="0"/>
    <n v="2"/>
    <n v="7148578"/>
    <n v="0"/>
    <s v="DQS_MAO04_FILE_000_B"/>
    <s v="RECORD COUNT by MBR_ID, DOS_THRU_DT, DX_CD Grain grouped by PAYER, SRC_FILE_NM, DOS_THRU_YYYYMM"/>
  </r>
  <r>
    <x v="0"/>
    <s v="AETNA_MAO4_202406_20240703.txt"/>
    <x v="95"/>
    <x v="0"/>
    <n v="4"/>
    <n v="7148578"/>
    <n v="0"/>
    <s v="DQS_MAO04_FILE_000_B"/>
    <s v="RECORD COUNT by MBR_ID, DOS_THRU_DT, DX_CD Grain grouped by PAYER, SRC_FILE_NM, DOS_THRU_YYYYMM"/>
  </r>
  <r>
    <x v="0"/>
    <s v="AETNA_MAO4_202406_20240703.txt"/>
    <x v="0"/>
    <x v="0"/>
    <n v="2"/>
    <n v="7148578"/>
    <n v="0"/>
    <s v="DQS_MAO04_FILE_000_B"/>
    <s v="RECORD COUNT by MBR_ID, DOS_THRU_DT, DX_CD Grain grouped by PAYER, SRC_FILE_NM, DOS_THRU_YYYYMM"/>
  </r>
  <r>
    <x v="0"/>
    <s v="AETNA_MAO4_202406_20240703.txt"/>
    <x v="3"/>
    <x v="1"/>
    <n v="10"/>
    <n v="7148578"/>
    <n v="0"/>
    <s v="DQS_MAO04_FILE_000_B"/>
    <s v="RECORD COUNT by MBR_ID, DOS_THRU_DT, DX_CD Grain grouped by PAYER, SRC_FILE_NM, DOS_THRU_YYYYMM"/>
  </r>
  <r>
    <x v="0"/>
    <s v="AETNA_MAO4_202406_20240703.txt"/>
    <x v="4"/>
    <x v="1"/>
    <n v="10"/>
    <n v="7148578"/>
    <n v="0"/>
    <s v="DQS_MAO04_FILE_000_B"/>
    <s v="RECORD COUNT by MBR_ID, DOS_THRU_DT, DX_CD Grain grouped by PAYER, SRC_FILE_NM, DOS_THRU_YYYYMM"/>
  </r>
  <r>
    <x v="0"/>
    <s v="AETNA_MAO4_202406_20240703.txt"/>
    <x v="5"/>
    <x v="1"/>
    <n v="5"/>
    <n v="7148578"/>
    <n v="0"/>
    <s v="DQS_MAO04_FILE_000_B"/>
    <s v="RECORD COUNT by MBR_ID, DOS_THRU_DT, DX_CD Grain grouped by PAYER, SRC_FILE_NM, DOS_THRU_YYYYMM"/>
  </r>
  <r>
    <x v="0"/>
    <s v="AETNA_MAO4_202406_20240703.txt"/>
    <x v="7"/>
    <x v="2"/>
    <n v="6"/>
    <n v="7148578"/>
    <n v="0"/>
    <s v="DQS_MAO04_FILE_000_B"/>
    <s v="RECORD COUNT by MBR_ID, DOS_THRU_DT, DX_CD Grain grouped by PAYER, SRC_FILE_NM, DOS_THRU_YYYYMM"/>
  </r>
  <r>
    <x v="0"/>
    <s v="AETNA_MAO4_202406_20240703.txt"/>
    <x v="8"/>
    <x v="2"/>
    <n v="5"/>
    <n v="7148578"/>
    <n v="0"/>
    <s v="DQS_MAO04_FILE_000_B"/>
    <s v="RECORD COUNT by MBR_ID, DOS_THRU_DT, DX_CD Grain grouped by PAYER, SRC_FILE_NM, DOS_THRU_YYYYMM"/>
  </r>
  <r>
    <x v="0"/>
    <s v="AETNA_MAO4_202406_20240703.txt"/>
    <x v="10"/>
    <x v="2"/>
    <n v="4"/>
    <n v="7148578"/>
    <n v="0"/>
    <s v="DQS_MAO04_FILE_000_B"/>
    <s v="RECORD COUNT by MBR_ID, DOS_THRU_DT, DX_CD Grain grouped by PAYER, SRC_FILE_NM, DOS_THRU_YYYYMM"/>
  </r>
  <r>
    <x v="0"/>
    <s v="AETNA_MAO4_202406_20240703.txt"/>
    <x v="11"/>
    <x v="2"/>
    <n v="34"/>
    <n v="7148578"/>
    <n v="0"/>
    <s v="DQS_MAO04_FILE_000_B"/>
    <s v="RECORD COUNT by MBR_ID, DOS_THRU_DT, DX_CD Grain grouped by PAYER, SRC_FILE_NM, DOS_THRU_YYYYMM"/>
  </r>
  <r>
    <x v="0"/>
    <s v="AETNA_MAO4_202406_20240703.txt"/>
    <x v="12"/>
    <x v="2"/>
    <n v="12"/>
    <n v="7148578"/>
    <n v="0"/>
    <s v="DQS_MAO04_FILE_000_B"/>
    <s v="RECORD COUNT by MBR_ID, DOS_THRU_DT, DX_CD Grain grouped by PAYER, SRC_FILE_NM, DOS_THRU_YYYYMM"/>
  </r>
  <r>
    <x v="0"/>
    <s v="AETNA_MAO4_202406_20240703.txt"/>
    <x v="13"/>
    <x v="2"/>
    <n v="31"/>
    <n v="7148578"/>
    <n v="0"/>
    <s v="DQS_MAO04_FILE_000_B"/>
    <s v="RECORD COUNT by MBR_ID, DOS_THRU_DT, DX_CD Grain grouped by PAYER, SRC_FILE_NM, DOS_THRU_YYYYMM"/>
  </r>
  <r>
    <x v="0"/>
    <s v="AETNA_MAO4_202406_20240703.txt"/>
    <x v="14"/>
    <x v="2"/>
    <n v="23"/>
    <n v="7148578"/>
    <n v="0"/>
    <s v="DQS_MAO04_FILE_000_B"/>
    <s v="RECORD COUNT by MBR_ID, DOS_THRU_DT, DX_CD Grain grouped by PAYER, SRC_FILE_NM, DOS_THRU_YYYYMM"/>
  </r>
  <r>
    <x v="0"/>
    <s v="AETNA_MAO4_202406_20240703.txt"/>
    <x v="15"/>
    <x v="2"/>
    <n v="27"/>
    <n v="7148578"/>
    <n v="0"/>
    <s v="DQS_MAO04_FILE_000_B"/>
    <s v="RECORD COUNT by MBR_ID, DOS_THRU_DT, DX_CD Grain grouped by PAYER, SRC_FILE_NM, DOS_THRU_YYYYMM"/>
  </r>
  <r>
    <x v="0"/>
    <s v="AETNA_MAO4_202406_20240703.txt"/>
    <x v="16"/>
    <x v="2"/>
    <n v="21"/>
    <n v="7148578"/>
    <n v="0"/>
    <s v="DQS_MAO04_FILE_000_B"/>
    <s v="RECORD COUNT by MBR_ID, DOS_THRU_DT, DX_CD Grain grouped by PAYER, SRC_FILE_NM, DOS_THRU_YYYYMM"/>
  </r>
  <r>
    <x v="0"/>
    <s v="AETNA_MAO4_202406_20240703.txt"/>
    <x v="17"/>
    <x v="3"/>
    <n v="9"/>
    <n v="7148578"/>
    <n v="0"/>
    <s v="DQS_MAO04_FILE_000_B"/>
    <s v="RECORD COUNT by MBR_ID, DOS_THRU_DT, DX_CD Grain grouped by PAYER, SRC_FILE_NM, DOS_THRU_YYYYMM"/>
  </r>
  <r>
    <x v="0"/>
    <s v="AETNA_MAO4_202406_20240703.txt"/>
    <x v="18"/>
    <x v="3"/>
    <n v="14"/>
    <n v="7148578"/>
    <n v="0"/>
    <s v="DQS_MAO04_FILE_000_B"/>
    <s v="RECORD COUNT by MBR_ID, DOS_THRU_DT, DX_CD Grain grouped by PAYER, SRC_FILE_NM, DOS_THRU_YYYYMM"/>
  </r>
  <r>
    <x v="0"/>
    <s v="AETNA_MAO4_202406_20240703.txt"/>
    <x v="19"/>
    <x v="3"/>
    <n v="2"/>
    <n v="7148578"/>
    <n v="0"/>
    <s v="DQS_MAO04_FILE_000_B"/>
    <s v="RECORD COUNT by MBR_ID, DOS_THRU_DT, DX_CD Grain grouped by PAYER, SRC_FILE_NM, DOS_THRU_YYYYMM"/>
  </r>
  <r>
    <x v="0"/>
    <s v="AETNA_MAO4_202406_20240703.txt"/>
    <x v="20"/>
    <x v="3"/>
    <n v="13"/>
    <n v="7148578"/>
    <n v="0"/>
    <s v="DQS_MAO04_FILE_000_B"/>
    <s v="RECORD COUNT by MBR_ID, DOS_THRU_DT, DX_CD Grain grouped by PAYER, SRC_FILE_NM, DOS_THRU_YYYYMM"/>
  </r>
  <r>
    <x v="0"/>
    <s v="AETNA_MAO4_202406_20240703.txt"/>
    <x v="21"/>
    <x v="3"/>
    <n v="26"/>
    <n v="7148578"/>
    <n v="0"/>
    <s v="DQS_MAO04_FILE_000_B"/>
    <s v="RECORD COUNT by MBR_ID, DOS_THRU_DT, DX_CD Grain grouped by PAYER, SRC_FILE_NM, DOS_THRU_YYYYMM"/>
  </r>
  <r>
    <x v="0"/>
    <s v="AETNA_MAO4_202406_20240703.txt"/>
    <x v="22"/>
    <x v="3"/>
    <n v="47"/>
    <n v="7148578"/>
    <n v="0"/>
    <s v="DQS_MAO04_FILE_000_B"/>
    <s v="RECORD COUNT by MBR_ID, DOS_THRU_DT, DX_CD Grain grouped by PAYER, SRC_FILE_NM, DOS_THRU_YYYYMM"/>
  </r>
  <r>
    <x v="0"/>
    <s v="AETNA_MAO4_202406_20240703.txt"/>
    <x v="23"/>
    <x v="3"/>
    <n v="16"/>
    <n v="7148578"/>
    <n v="0"/>
    <s v="DQS_MAO04_FILE_000_B"/>
    <s v="RECORD COUNT by MBR_ID, DOS_THRU_DT, DX_CD Grain grouped by PAYER, SRC_FILE_NM, DOS_THRU_YYYYMM"/>
  </r>
  <r>
    <x v="0"/>
    <s v="AETNA_MAO4_202406_20240703.txt"/>
    <x v="24"/>
    <x v="3"/>
    <n v="41"/>
    <n v="7148578"/>
    <n v="0"/>
    <s v="DQS_MAO04_FILE_000_B"/>
    <s v="RECORD COUNT by MBR_ID, DOS_THRU_DT, DX_CD Grain grouped by PAYER, SRC_FILE_NM, DOS_THRU_YYYYMM"/>
  </r>
  <r>
    <x v="0"/>
    <s v="AETNA_MAO4_202406_20240703.txt"/>
    <x v="25"/>
    <x v="3"/>
    <n v="40"/>
    <n v="7148578"/>
    <n v="0"/>
    <s v="DQS_MAO04_FILE_000_B"/>
    <s v="RECORD COUNT by MBR_ID, DOS_THRU_DT, DX_CD Grain grouped by PAYER, SRC_FILE_NM, DOS_THRU_YYYYMM"/>
  </r>
  <r>
    <x v="0"/>
    <s v="AETNA_MAO4_202406_20240703.txt"/>
    <x v="26"/>
    <x v="3"/>
    <n v="12"/>
    <n v="7148578"/>
    <n v="0"/>
    <s v="DQS_MAO04_FILE_000_B"/>
    <s v="RECORD COUNT by MBR_ID, DOS_THRU_DT, DX_CD Grain grouped by PAYER, SRC_FILE_NM, DOS_THRU_YYYYMM"/>
  </r>
  <r>
    <x v="0"/>
    <s v="AETNA_MAO4_202406_20240703.txt"/>
    <x v="27"/>
    <x v="3"/>
    <n v="8"/>
    <n v="7148578"/>
    <n v="0"/>
    <s v="DQS_MAO04_FILE_000_B"/>
    <s v="RECORD COUNT by MBR_ID, DOS_THRU_DT, DX_CD Grain grouped by PAYER, SRC_FILE_NM, DOS_THRU_YYYYMM"/>
  </r>
  <r>
    <x v="0"/>
    <s v="AETNA_MAO4_202406_20240703.txt"/>
    <x v="28"/>
    <x v="3"/>
    <n v="16"/>
    <n v="7148578"/>
    <n v="0"/>
    <s v="DQS_MAO04_FILE_000_B"/>
    <s v="RECORD COUNT by MBR_ID, DOS_THRU_DT, DX_CD Grain grouped by PAYER, SRC_FILE_NM, DOS_THRU_YYYYMM"/>
  </r>
  <r>
    <x v="0"/>
    <s v="AETNA_MAO4_202406_20240703.txt"/>
    <x v="29"/>
    <x v="4"/>
    <n v="1957"/>
    <n v="7148578"/>
    <n v="0.03"/>
    <s v="DQS_MAO04_FILE_000_B"/>
    <s v="RECORD COUNT by MBR_ID, DOS_THRU_DT, DX_CD Grain grouped by PAYER, SRC_FILE_NM, DOS_THRU_YYYYMM"/>
  </r>
  <r>
    <x v="0"/>
    <s v="AETNA_MAO4_202406_20240703.txt"/>
    <x v="30"/>
    <x v="4"/>
    <n v="1792"/>
    <n v="7148578"/>
    <n v="0.03"/>
    <s v="DQS_MAO04_FILE_000_B"/>
    <s v="RECORD COUNT by MBR_ID, DOS_THRU_DT, DX_CD Grain grouped by PAYER, SRC_FILE_NM, DOS_THRU_YYYYMM"/>
  </r>
  <r>
    <x v="0"/>
    <s v="AETNA_MAO4_202406_20240703.txt"/>
    <x v="31"/>
    <x v="4"/>
    <n v="1941"/>
    <n v="7148578"/>
    <n v="0.03"/>
    <s v="DQS_MAO04_FILE_000_B"/>
    <s v="RECORD COUNT by MBR_ID, DOS_THRU_DT, DX_CD Grain grouped by PAYER, SRC_FILE_NM, DOS_THRU_YYYYMM"/>
  </r>
  <r>
    <x v="0"/>
    <s v="AETNA_MAO4_202406_20240703.txt"/>
    <x v="32"/>
    <x v="4"/>
    <n v="2123"/>
    <n v="7148578"/>
    <n v="0.03"/>
    <s v="DQS_MAO04_FILE_000_B"/>
    <s v="RECORD COUNT by MBR_ID, DOS_THRU_DT, DX_CD Grain grouped by PAYER, SRC_FILE_NM, DOS_THRU_YYYYMM"/>
  </r>
  <r>
    <x v="0"/>
    <s v="AETNA_MAO4_202406_20240703.txt"/>
    <x v="33"/>
    <x v="4"/>
    <n v="2054"/>
    <n v="7148578"/>
    <n v="0.03"/>
    <s v="DQS_MAO04_FILE_000_B"/>
    <s v="RECORD COUNT by MBR_ID, DOS_THRU_DT, DX_CD Grain grouped by PAYER, SRC_FILE_NM, DOS_THRU_YYYYMM"/>
  </r>
  <r>
    <x v="0"/>
    <s v="AETNA_MAO4_202406_20240703.txt"/>
    <x v="34"/>
    <x v="4"/>
    <n v="2423"/>
    <n v="7148578"/>
    <n v="0.03"/>
    <s v="DQS_MAO04_FILE_000_B"/>
    <s v="RECORD COUNT by MBR_ID, DOS_THRU_DT, DX_CD Grain grouped by PAYER, SRC_FILE_NM, DOS_THRU_YYYYMM"/>
  </r>
  <r>
    <x v="0"/>
    <s v="AETNA_MAO4_202406_20240703.txt"/>
    <x v="35"/>
    <x v="4"/>
    <n v="2181"/>
    <n v="7148578"/>
    <n v="0.03"/>
    <s v="DQS_MAO04_FILE_000_B"/>
    <s v="RECORD COUNT by MBR_ID, DOS_THRU_DT, DX_CD Grain grouped by PAYER, SRC_FILE_NM, DOS_THRU_YYYYMM"/>
  </r>
  <r>
    <x v="0"/>
    <s v="AETNA_MAO4_202406_20240703.txt"/>
    <x v="36"/>
    <x v="4"/>
    <n v="1956"/>
    <n v="7148578"/>
    <n v="0.03"/>
    <s v="DQS_MAO04_FILE_000_B"/>
    <s v="RECORD COUNT by MBR_ID, DOS_THRU_DT, DX_CD Grain grouped by PAYER, SRC_FILE_NM, DOS_THRU_YYYYMM"/>
  </r>
  <r>
    <x v="0"/>
    <s v="AETNA_MAO4_202406_20240703.txt"/>
    <x v="37"/>
    <x v="4"/>
    <n v="1729"/>
    <n v="7148578"/>
    <n v="0.02"/>
    <s v="DQS_MAO04_FILE_000_B"/>
    <s v="RECORD COUNT by MBR_ID, DOS_THRU_DT, DX_CD Grain grouped by PAYER, SRC_FILE_NM, DOS_THRU_YYYYMM"/>
  </r>
  <r>
    <x v="0"/>
    <s v="AETNA_MAO4_202406_20240703.txt"/>
    <x v="38"/>
    <x v="4"/>
    <n v="2078"/>
    <n v="7148578"/>
    <n v="0.03"/>
    <s v="DQS_MAO04_FILE_000_B"/>
    <s v="RECORD COUNT by MBR_ID, DOS_THRU_DT, DX_CD Grain grouped by PAYER, SRC_FILE_NM, DOS_THRU_YYYYMM"/>
  </r>
  <r>
    <x v="0"/>
    <s v="AETNA_MAO4_202406_20240703.txt"/>
    <x v="39"/>
    <x v="4"/>
    <n v="1337"/>
    <n v="7148578"/>
    <n v="0.02"/>
    <s v="DQS_MAO04_FILE_000_B"/>
    <s v="RECORD COUNT by MBR_ID, DOS_THRU_DT, DX_CD Grain grouped by PAYER, SRC_FILE_NM, DOS_THRU_YYYYMM"/>
  </r>
  <r>
    <x v="0"/>
    <s v="AETNA_MAO4_202406_20240703.txt"/>
    <x v="40"/>
    <x v="4"/>
    <n v="614"/>
    <n v="7148578"/>
    <n v="0.01"/>
    <s v="DQS_MAO04_FILE_000_B"/>
    <s v="RECORD COUNT by MBR_ID, DOS_THRU_DT, DX_CD Grain grouped by PAYER, SRC_FILE_NM, DOS_THRU_YYYYMM"/>
  </r>
  <r>
    <x v="0"/>
    <s v="AETNA_MAO4_202406_20240703.txt"/>
    <x v="41"/>
    <x v="5"/>
    <n v="35370"/>
    <n v="7148578"/>
    <n v="0.49"/>
    <s v="DQS_MAO04_FILE_000_B"/>
    <s v="RECORD COUNT by MBR_ID, DOS_THRU_DT, DX_CD Grain grouped by PAYER, SRC_FILE_NM, DOS_THRU_YYYYMM"/>
  </r>
  <r>
    <x v="0"/>
    <s v="AETNA_MAO4_202406_20240703.txt"/>
    <x v="42"/>
    <x v="5"/>
    <n v="32745"/>
    <n v="7148578"/>
    <n v="0.46"/>
    <s v="DQS_MAO04_FILE_000_B"/>
    <s v="RECORD COUNT by MBR_ID, DOS_THRU_DT, DX_CD Grain grouped by PAYER, SRC_FILE_NM, DOS_THRU_YYYYMM"/>
  </r>
  <r>
    <x v="0"/>
    <s v="AETNA_MAO4_202406_20240703.txt"/>
    <x v="43"/>
    <x v="5"/>
    <n v="31391"/>
    <n v="7148578"/>
    <n v="0.44"/>
    <s v="DQS_MAO04_FILE_000_B"/>
    <s v="RECORD COUNT by MBR_ID, DOS_THRU_DT, DX_CD Grain grouped by PAYER, SRC_FILE_NM, DOS_THRU_YYYYMM"/>
  </r>
  <r>
    <x v="0"/>
    <s v="AETNA_MAO4_202406_20240703.txt"/>
    <x v="44"/>
    <x v="5"/>
    <n v="17253"/>
    <n v="7148578"/>
    <n v="0.24"/>
    <s v="DQS_MAO04_FILE_000_B"/>
    <s v="RECORD COUNT by MBR_ID, DOS_THRU_DT, DX_CD Grain grouped by PAYER, SRC_FILE_NM, DOS_THRU_YYYYMM"/>
  </r>
  <r>
    <x v="0"/>
    <s v="AETNA_MAO4_202406_20240703.txt"/>
    <x v="45"/>
    <x v="5"/>
    <n v="32893"/>
    <n v="7148578"/>
    <n v="0.46"/>
    <s v="DQS_MAO04_FILE_000_B"/>
    <s v="RECORD COUNT by MBR_ID, DOS_THRU_DT, DX_CD Grain grouped by PAYER, SRC_FILE_NM, DOS_THRU_YYYYMM"/>
  </r>
  <r>
    <x v="0"/>
    <s v="AETNA_MAO4_202406_20240703.txt"/>
    <x v="46"/>
    <x v="5"/>
    <n v="40668"/>
    <n v="7148578"/>
    <n v="0.56999999999999995"/>
    <s v="DQS_MAO04_FILE_000_B"/>
    <s v="RECORD COUNT by MBR_ID, DOS_THRU_DT, DX_CD Grain grouped by PAYER, SRC_FILE_NM, DOS_THRU_YYYYMM"/>
  </r>
  <r>
    <x v="0"/>
    <s v="AETNA_MAO4_202406_20240703.txt"/>
    <x v="47"/>
    <x v="5"/>
    <n v="29357"/>
    <n v="7148578"/>
    <n v="0.41"/>
    <s v="DQS_MAO04_FILE_000_B"/>
    <s v="RECORD COUNT by MBR_ID, DOS_THRU_DT, DX_CD Grain grouped by PAYER, SRC_FILE_NM, DOS_THRU_YYYYMM"/>
  </r>
  <r>
    <x v="0"/>
    <s v="AETNA_MAO4_202406_20240703.txt"/>
    <x v="48"/>
    <x v="5"/>
    <n v="29580"/>
    <n v="7148578"/>
    <n v="0.41"/>
    <s v="DQS_MAO04_FILE_000_B"/>
    <s v="RECORD COUNT by MBR_ID, DOS_THRU_DT, DX_CD Grain grouped by PAYER, SRC_FILE_NM, DOS_THRU_YYYYMM"/>
  </r>
  <r>
    <x v="0"/>
    <s v="AETNA_MAO4_202406_20240703.txt"/>
    <x v="49"/>
    <x v="5"/>
    <n v="30381"/>
    <n v="7148578"/>
    <n v="0.42"/>
    <s v="DQS_MAO04_FILE_000_B"/>
    <s v="RECORD COUNT by MBR_ID, DOS_THRU_DT, DX_CD Grain grouped by PAYER, SRC_FILE_NM, DOS_THRU_YYYYMM"/>
  </r>
  <r>
    <x v="0"/>
    <s v="AETNA_MAO4_202406_20240703.txt"/>
    <x v="50"/>
    <x v="5"/>
    <n v="32470"/>
    <n v="7148578"/>
    <n v="0.45"/>
    <s v="DQS_MAO04_FILE_000_B"/>
    <s v="RECORD COUNT by MBR_ID, DOS_THRU_DT, DX_CD Grain grouped by PAYER, SRC_FILE_NM, DOS_THRU_YYYYMM"/>
  </r>
  <r>
    <x v="0"/>
    <s v="AETNA_MAO4_202406_20240703.txt"/>
    <x v="51"/>
    <x v="5"/>
    <n v="28501"/>
    <n v="7148578"/>
    <n v="0.4"/>
    <s v="DQS_MAO04_FILE_000_B"/>
    <s v="RECORD COUNT by MBR_ID, DOS_THRU_DT, DX_CD Grain grouped by PAYER, SRC_FILE_NM, DOS_THRU_YYYYMM"/>
  </r>
  <r>
    <x v="0"/>
    <s v="AETNA_MAO4_202406_20240703.txt"/>
    <x v="52"/>
    <x v="5"/>
    <n v="31784"/>
    <n v="7148578"/>
    <n v="0.44"/>
    <s v="DQS_MAO04_FILE_000_B"/>
    <s v="RECORD COUNT by MBR_ID, DOS_THRU_DT, DX_CD Grain grouped by PAYER, SRC_FILE_NM, DOS_THRU_YYYYMM"/>
  </r>
  <r>
    <x v="0"/>
    <s v="AETNA_MAO4_202406_20240703.txt"/>
    <x v="53"/>
    <x v="6"/>
    <n v="60684"/>
    <n v="7148578"/>
    <n v="0.85"/>
    <s v="DQS_MAO04_FILE_000_B"/>
    <s v="RECORD COUNT by MBR_ID, DOS_THRU_DT, DX_CD Grain grouped by PAYER, SRC_FILE_NM, DOS_THRU_YYYYMM"/>
  </r>
  <r>
    <x v="0"/>
    <s v="AETNA_MAO4_202406_20240703.txt"/>
    <x v="54"/>
    <x v="6"/>
    <n v="53720"/>
    <n v="7148578"/>
    <n v="0.75"/>
    <s v="DQS_MAO04_FILE_000_B"/>
    <s v="RECORD COUNT by MBR_ID, DOS_THRU_DT, DX_CD Grain grouped by PAYER, SRC_FILE_NM, DOS_THRU_YYYYMM"/>
  </r>
  <r>
    <x v="0"/>
    <s v="AETNA_MAO4_202406_20240703.txt"/>
    <x v="55"/>
    <x v="6"/>
    <n v="69538"/>
    <n v="7148578"/>
    <n v="0.97"/>
    <s v="DQS_MAO04_FILE_000_B"/>
    <s v="RECORD COUNT by MBR_ID, DOS_THRU_DT, DX_CD Grain grouped by PAYER, SRC_FILE_NM, DOS_THRU_YYYYMM"/>
  </r>
  <r>
    <x v="0"/>
    <s v="AETNA_MAO4_202406_20240703.txt"/>
    <x v="56"/>
    <x v="6"/>
    <n v="66157"/>
    <n v="7148578"/>
    <n v="0.93"/>
    <s v="DQS_MAO04_FILE_000_B"/>
    <s v="RECORD COUNT by MBR_ID, DOS_THRU_DT, DX_CD Grain grouped by PAYER, SRC_FILE_NM, DOS_THRU_YYYYMM"/>
  </r>
  <r>
    <x v="0"/>
    <s v="AETNA_MAO4_202406_20240703.txt"/>
    <x v="57"/>
    <x v="6"/>
    <n v="62738"/>
    <n v="7148578"/>
    <n v="0.88"/>
    <s v="DQS_MAO04_FILE_000_B"/>
    <s v="RECORD COUNT by MBR_ID, DOS_THRU_DT, DX_CD Grain grouped by PAYER, SRC_FILE_NM, DOS_THRU_YYYYMM"/>
  </r>
  <r>
    <x v="0"/>
    <s v="AETNA_MAO4_202406_20240703.txt"/>
    <x v="58"/>
    <x v="6"/>
    <n v="88177"/>
    <n v="7148578"/>
    <n v="1.23"/>
    <s v="DQS_MAO04_FILE_000_B"/>
    <s v="RECORD COUNT by MBR_ID, DOS_THRU_DT, DX_CD Grain grouped by PAYER, SRC_FILE_NM, DOS_THRU_YYYYMM"/>
  </r>
  <r>
    <x v="0"/>
    <s v="AETNA_MAO4_202406_20240703.txt"/>
    <x v="59"/>
    <x v="6"/>
    <n v="216305"/>
    <n v="7148578"/>
    <n v="3.03"/>
    <s v="DQS_MAO04_FILE_000_B"/>
    <s v="RECORD COUNT by MBR_ID, DOS_THRU_DT, DX_CD Grain grouped by PAYER, SRC_FILE_NM, DOS_THRU_YYYYMM"/>
  </r>
  <r>
    <x v="0"/>
    <s v="AETNA_MAO4_202406_20240703.txt"/>
    <x v="60"/>
    <x v="6"/>
    <n v="234791"/>
    <n v="7148578"/>
    <n v="3.28"/>
    <s v="DQS_MAO04_FILE_000_B"/>
    <s v="RECORD COUNT by MBR_ID, DOS_THRU_DT, DX_CD Grain grouped by PAYER, SRC_FILE_NM, DOS_THRU_YYYYMM"/>
  </r>
  <r>
    <x v="0"/>
    <s v="AETNA_MAO4_202406_20240703.txt"/>
    <x v="61"/>
    <x v="6"/>
    <n v="233265"/>
    <n v="7148578"/>
    <n v="3.26"/>
    <s v="DQS_MAO04_FILE_000_B"/>
    <s v="RECORD COUNT by MBR_ID, DOS_THRU_DT, DX_CD Grain grouped by PAYER, SRC_FILE_NM, DOS_THRU_YYYYMM"/>
  </r>
  <r>
    <x v="0"/>
    <s v="AETNA_MAO4_202406_20240703.txt"/>
    <x v="62"/>
    <x v="6"/>
    <n v="221888"/>
    <n v="7148578"/>
    <n v="3.1"/>
    <s v="DQS_MAO04_FILE_000_B"/>
    <s v="RECORD COUNT by MBR_ID, DOS_THRU_DT, DX_CD Grain grouped by PAYER, SRC_FILE_NM, DOS_THRU_YYYYMM"/>
  </r>
  <r>
    <x v="0"/>
    <s v="AETNA_MAO4_202406_20240703.txt"/>
    <x v="63"/>
    <x v="6"/>
    <n v="222586"/>
    <n v="7148578"/>
    <n v="3.11"/>
    <s v="DQS_MAO04_FILE_000_B"/>
    <s v="RECORD COUNT by MBR_ID, DOS_THRU_DT, DX_CD Grain grouped by PAYER, SRC_FILE_NM, DOS_THRU_YYYYMM"/>
  </r>
  <r>
    <x v="0"/>
    <s v="AETNA_MAO4_202406_20240703.txt"/>
    <x v="64"/>
    <x v="6"/>
    <n v="222045"/>
    <n v="7148578"/>
    <n v="3.11"/>
    <s v="DQS_MAO04_FILE_000_B"/>
    <s v="RECORD COUNT by MBR_ID, DOS_THRU_DT, DX_CD Grain grouped by PAYER, SRC_FILE_NM, DOS_THRU_YYYYMM"/>
  </r>
  <r>
    <x v="0"/>
    <s v="AETNA_MAO4_202406_20240703.txt"/>
    <x v="65"/>
    <x v="7"/>
    <n v="178036"/>
    <n v="7148578"/>
    <n v="2.4900000000000002"/>
    <s v="DQS_MAO04_FILE_000_B"/>
    <s v="RECORD COUNT by MBR_ID, DOS_THRU_DT, DX_CD Grain grouped by PAYER, SRC_FILE_NM, DOS_THRU_YYYYMM"/>
  </r>
  <r>
    <x v="0"/>
    <s v="AETNA_MAO4_202406_20240703.txt"/>
    <x v="66"/>
    <x v="7"/>
    <n v="152360"/>
    <n v="7148578"/>
    <n v="2.13"/>
    <s v="DQS_MAO04_FILE_000_B"/>
    <s v="RECORD COUNT by MBR_ID, DOS_THRU_DT, DX_CD Grain grouped by PAYER, SRC_FILE_NM, DOS_THRU_YYYYMM"/>
  </r>
  <r>
    <x v="0"/>
    <s v="AETNA_MAO4_202406_20240703.txt"/>
    <x v="67"/>
    <x v="7"/>
    <n v="195468"/>
    <n v="7148578"/>
    <n v="2.73"/>
    <s v="DQS_MAO04_FILE_000_B"/>
    <s v="RECORD COUNT by MBR_ID, DOS_THRU_DT, DX_CD Grain grouped by PAYER, SRC_FILE_NM, DOS_THRU_YYYYMM"/>
  </r>
  <r>
    <x v="0"/>
    <s v="AETNA_MAO4_202406_20240703.txt"/>
    <x v="68"/>
    <x v="7"/>
    <n v="168736"/>
    <n v="7148578"/>
    <n v="2.36"/>
    <s v="DQS_MAO04_FILE_000_B"/>
    <s v="RECORD COUNT by MBR_ID, DOS_THRU_DT, DX_CD Grain grouped by PAYER, SRC_FILE_NM, DOS_THRU_YYYYMM"/>
  </r>
  <r>
    <x v="0"/>
    <s v="AETNA_MAO4_202406_20240703.txt"/>
    <x v="69"/>
    <x v="7"/>
    <n v="173086"/>
    <n v="7148578"/>
    <n v="2.42"/>
    <s v="DQS_MAO04_FILE_000_B"/>
    <s v="RECORD COUNT by MBR_ID, DOS_THRU_DT, DX_CD Grain grouped by PAYER, SRC_FILE_NM, DOS_THRU_YYYYMM"/>
  </r>
  <r>
    <x v="0"/>
    <s v="AETNA_MAO4_202406_20240703.txt"/>
    <x v="70"/>
    <x v="7"/>
    <n v="177113"/>
    <n v="7148578"/>
    <n v="2.48"/>
    <s v="DQS_MAO04_FILE_000_B"/>
    <s v="RECORD COUNT by MBR_ID, DOS_THRU_DT, DX_CD Grain grouped by PAYER, SRC_FILE_NM, DOS_THRU_YYYYMM"/>
  </r>
  <r>
    <x v="0"/>
    <s v="AETNA_MAO4_202406_20240703.txt"/>
    <x v="71"/>
    <x v="7"/>
    <n v="162498"/>
    <n v="7148578"/>
    <n v="2.27"/>
    <s v="DQS_MAO04_FILE_000_B"/>
    <s v="RECORD COUNT by MBR_ID, DOS_THRU_DT, DX_CD Grain grouped by PAYER, SRC_FILE_NM, DOS_THRU_YYYYMM"/>
  </r>
  <r>
    <x v="0"/>
    <s v="AETNA_MAO4_202406_20240703.txt"/>
    <x v="72"/>
    <x v="7"/>
    <n v="179827"/>
    <n v="7148578"/>
    <n v="2.52"/>
    <s v="DQS_MAO04_FILE_000_B"/>
    <s v="RECORD COUNT by MBR_ID, DOS_THRU_DT, DX_CD Grain grouped by PAYER, SRC_FILE_NM, DOS_THRU_YYYYMM"/>
  </r>
  <r>
    <x v="0"/>
    <s v="AETNA_MAO4_202406_20240703.txt"/>
    <x v="73"/>
    <x v="7"/>
    <n v="168472"/>
    <n v="7148578"/>
    <n v="2.36"/>
    <s v="DQS_MAO04_FILE_000_B"/>
    <s v="RECORD COUNT by MBR_ID, DOS_THRU_DT, DX_CD Grain grouped by PAYER, SRC_FILE_NM, DOS_THRU_YYYYMM"/>
  </r>
  <r>
    <x v="0"/>
    <s v="AETNA_MAO4_202406_20240703.txt"/>
    <x v="74"/>
    <x v="7"/>
    <n v="175160"/>
    <n v="7148578"/>
    <n v="2.4500000000000002"/>
    <s v="DQS_MAO04_FILE_000_B"/>
    <s v="RECORD COUNT by MBR_ID, DOS_THRU_DT, DX_CD Grain grouped by PAYER, SRC_FILE_NM, DOS_THRU_YYYYMM"/>
  </r>
  <r>
    <x v="0"/>
    <s v="AETNA_MAO4_202406_20240703.txt"/>
    <x v="75"/>
    <x v="7"/>
    <n v="168352"/>
    <n v="7148578"/>
    <n v="2.36"/>
    <s v="DQS_MAO04_FILE_000_B"/>
    <s v="RECORD COUNT by MBR_ID, DOS_THRU_DT, DX_CD Grain grouped by PAYER, SRC_FILE_NM, DOS_THRU_YYYYMM"/>
  </r>
  <r>
    <x v="0"/>
    <s v="AETNA_MAO4_202406_20240703.txt"/>
    <x v="76"/>
    <x v="7"/>
    <n v="158715"/>
    <n v="7148578"/>
    <n v="2.2200000000000002"/>
    <s v="DQS_MAO04_FILE_000_B"/>
    <s v="RECORD COUNT by MBR_ID, DOS_THRU_DT, DX_CD Grain grouped by PAYER, SRC_FILE_NM, DOS_THRU_YYYYMM"/>
  </r>
  <r>
    <x v="0"/>
    <s v="AETNA_MAO4_202406_20240703.txt"/>
    <x v="77"/>
    <x v="8"/>
    <n v="178334"/>
    <n v="7148578"/>
    <n v="2.4900000000000002"/>
    <s v="DQS_MAO04_FILE_000_B"/>
    <s v="RECORD COUNT by MBR_ID, DOS_THRU_DT, DX_CD Grain grouped by PAYER, SRC_FILE_NM, DOS_THRU_YYYYMM"/>
  </r>
  <r>
    <x v="0"/>
    <s v="AETNA_MAO4_202406_20240703.txt"/>
    <x v="78"/>
    <x v="8"/>
    <n v="170574"/>
    <n v="7148578"/>
    <n v="2.39"/>
    <s v="DQS_MAO04_FILE_000_B"/>
    <s v="RECORD COUNT by MBR_ID, DOS_THRU_DT, DX_CD Grain grouped by PAYER, SRC_FILE_NM, DOS_THRU_YYYYMM"/>
  </r>
  <r>
    <x v="0"/>
    <s v="AETNA_MAO4_202406_20240703.txt"/>
    <x v="79"/>
    <x v="8"/>
    <n v="188106"/>
    <n v="7148578"/>
    <n v="2.63"/>
    <s v="DQS_MAO04_FILE_000_B"/>
    <s v="RECORD COUNT by MBR_ID, DOS_THRU_DT, DX_CD Grain grouped by PAYER, SRC_FILE_NM, DOS_THRU_YYYYMM"/>
  </r>
  <r>
    <x v="0"/>
    <s v="AETNA_MAO4_202406_20240703.txt"/>
    <x v="80"/>
    <x v="8"/>
    <n v="167885"/>
    <n v="7148578"/>
    <n v="2.35"/>
    <s v="DQS_MAO04_FILE_000_B"/>
    <s v="RECORD COUNT by MBR_ID, DOS_THRU_DT, DX_CD Grain grouped by PAYER, SRC_FILE_NM, DOS_THRU_YYYYMM"/>
  </r>
  <r>
    <x v="0"/>
    <s v="AETNA_MAO4_202406_20240703.txt"/>
    <x v="81"/>
    <x v="8"/>
    <n v="174901"/>
    <n v="7148578"/>
    <n v="2.4500000000000002"/>
    <s v="DQS_MAO04_FILE_000_B"/>
    <s v="RECORD COUNT by MBR_ID, DOS_THRU_DT, DX_CD Grain grouped by PAYER, SRC_FILE_NM, DOS_THRU_YYYYMM"/>
  </r>
  <r>
    <x v="0"/>
    <s v="AETNA_MAO4_202406_20240703.txt"/>
    <x v="82"/>
    <x v="8"/>
    <n v="172264"/>
    <n v="7148578"/>
    <n v="2.41"/>
    <s v="DQS_MAO04_FILE_000_B"/>
    <s v="RECORD COUNT by MBR_ID, DOS_THRU_DT, DX_CD Grain grouped by PAYER, SRC_FILE_NM, DOS_THRU_YYYYMM"/>
  </r>
  <r>
    <x v="0"/>
    <s v="AETNA_MAO4_202406_20240703.txt"/>
    <x v="83"/>
    <x v="8"/>
    <n v="151382"/>
    <n v="7148578"/>
    <n v="2.12"/>
    <s v="DQS_MAO04_FILE_000_B"/>
    <s v="RECORD COUNT by MBR_ID, DOS_THRU_DT, DX_CD Grain grouped by PAYER, SRC_FILE_NM, DOS_THRU_YYYYMM"/>
  </r>
  <r>
    <x v="0"/>
    <s v="AETNA_MAO4_202406_20240703.txt"/>
    <x v="84"/>
    <x v="8"/>
    <n v="167855"/>
    <n v="7148578"/>
    <n v="2.35"/>
    <s v="DQS_MAO04_FILE_000_B"/>
    <s v="RECORD COUNT by MBR_ID, DOS_THRU_DT, DX_CD Grain grouped by PAYER, SRC_FILE_NM, DOS_THRU_YYYYMM"/>
  </r>
  <r>
    <x v="0"/>
    <s v="AETNA_MAO4_202406_20240703.txt"/>
    <x v="85"/>
    <x v="8"/>
    <n v="157248"/>
    <n v="7148578"/>
    <n v="2.2000000000000002"/>
    <s v="DQS_MAO04_FILE_000_B"/>
    <s v="RECORD COUNT by MBR_ID, DOS_THRU_DT, DX_CD Grain grouped by PAYER, SRC_FILE_NM, DOS_THRU_YYYYMM"/>
  </r>
  <r>
    <x v="0"/>
    <s v="AETNA_MAO4_202406_20240703.txt"/>
    <x v="86"/>
    <x v="8"/>
    <n v="170589"/>
    <n v="7148578"/>
    <n v="2.39"/>
    <s v="DQS_MAO04_FILE_000_B"/>
    <s v="RECORD COUNT by MBR_ID, DOS_THRU_DT, DX_CD Grain grouped by PAYER, SRC_FILE_NM, DOS_THRU_YYYYMM"/>
  </r>
  <r>
    <x v="0"/>
    <s v="AETNA_MAO4_202406_20240703.txt"/>
    <x v="87"/>
    <x v="8"/>
    <n v="158266"/>
    <n v="7148578"/>
    <n v="2.21"/>
    <s v="DQS_MAO04_FILE_000_B"/>
    <s v="RECORD COUNT by MBR_ID, DOS_THRU_DT, DX_CD Grain grouped by PAYER, SRC_FILE_NM, DOS_THRU_YYYYMM"/>
  </r>
  <r>
    <x v="0"/>
    <s v="AETNA_MAO4_202406_20240703.txt"/>
    <x v="88"/>
    <x v="8"/>
    <n v="151085"/>
    <n v="7148578"/>
    <n v="2.11"/>
    <s v="DQS_MAO04_FILE_000_B"/>
    <s v="RECORD COUNT by MBR_ID, DOS_THRU_DT, DX_CD Grain grouped by PAYER, SRC_FILE_NM, DOS_THRU_YYYYMM"/>
  </r>
  <r>
    <x v="0"/>
    <s v="AETNA_MAO4_202406_20240703.txt"/>
    <x v="89"/>
    <x v="9"/>
    <n v="219735"/>
    <n v="7148578"/>
    <n v="3.07"/>
    <s v="DQS_MAO04_FILE_000_B"/>
    <s v="RECORD COUNT by MBR_ID, DOS_THRU_DT, DX_CD Grain grouped by PAYER, SRC_FILE_NM, DOS_THRU_YYYYMM"/>
  </r>
  <r>
    <x v="0"/>
    <s v="AETNA_MAO4_202406_20240703.txt"/>
    <x v="97"/>
    <x v="9"/>
    <n v="226452"/>
    <n v="7148578"/>
    <n v="3.17"/>
    <s v="DQS_MAO04_FILE_000_B"/>
    <s v="RECORD COUNT by MBR_ID, DOS_THRU_DT, DX_CD Grain grouped by PAYER, SRC_FILE_NM, DOS_THRU_YYYYMM"/>
  </r>
  <r>
    <x v="0"/>
    <s v="AETNA_MAO4_202406_20240703.txt"/>
    <x v="98"/>
    <x v="9"/>
    <n v="225380"/>
    <n v="7148578"/>
    <n v="3.15"/>
    <s v="DQS_MAO04_FILE_000_B"/>
    <s v="RECORD COUNT by MBR_ID, DOS_THRU_DT, DX_CD Grain grouped by PAYER, SRC_FILE_NM, DOS_THRU_YYYYMM"/>
  </r>
  <r>
    <x v="0"/>
    <s v="AETNA_MAO4_202406_20240703.txt"/>
    <x v="99"/>
    <x v="9"/>
    <n v="228303"/>
    <n v="7148578"/>
    <n v="3.19"/>
    <s v="DQS_MAO04_FILE_000_B"/>
    <s v="RECORD COUNT by MBR_ID, DOS_THRU_DT, DX_CD Grain grouped by PAYER, SRC_FILE_NM, DOS_THRU_YYYYMM"/>
  </r>
  <r>
    <x v="0"/>
    <s v="AETNA_MAO4_202406_20240703.txt"/>
    <x v="100"/>
    <x v="9"/>
    <n v="35477"/>
    <n v="7148578"/>
    <n v="0.5"/>
    <s v="DQS_MAO04_FILE_000_B"/>
    <s v="RECORD COUNT by MBR_ID, DOS_THRU_DT, DX_CD Grain grouped by PAYER, SRC_FILE_NM, DOS_THRU_YYYYMM"/>
  </r>
  <r>
    <x v="0"/>
    <s v="AETNA_MAO4_202407_20240802.txt"/>
    <x v="90"/>
    <x v="10"/>
    <n v="9"/>
    <n v="7653501"/>
    <n v="0"/>
    <s v="DQS_MAO04_FILE_000_B"/>
    <s v="RECORD COUNT by MBR_ID, DOS_THRU_DT, DX_CD Grain grouped by PAYER, SRC_FILE_NM, DOS_THRU_YYYYMM"/>
  </r>
  <r>
    <x v="0"/>
    <s v="AETNA_MAO4_202407_20240802.txt"/>
    <x v="101"/>
    <x v="0"/>
    <n v="1"/>
    <n v="7653501"/>
    <n v="0"/>
    <s v="DQS_MAO04_FILE_000_B"/>
    <s v="RECORD COUNT by MBR_ID, DOS_THRU_DT, DX_CD Grain grouped by PAYER, SRC_FILE_NM, DOS_THRU_YYYYMM"/>
  </r>
  <r>
    <x v="0"/>
    <s v="AETNA_MAO4_202407_20240802.txt"/>
    <x v="92"/>
    <x v="0"/>
    <n v="3"/>
    <n v="7653501"/>
    <n v="0"/>
    <s v="DQS_MAO04_FILE_000_B"/>
    <s v="RECORD COUNT by MBR_ID, DOS_THRU_DT, DX_CD Grain grouped by PAYER, SRC_FILE_NM, DOS_THRU_YYYYMM"/>
  </r>
  <r>
    <x v="0"/>
    <s v="AETNA_MAO4_202407_20240802.txt"/>
    <x v="94"/>
    <x v="0"/>
    <n v="4"/>
    <n v="7653501"/>
    <n v="0"/>
    <s v="DQS_MAO04_FILE_000_B"/>
    <s v="RECORD COUNT by MBR_ID, DOS_THRU_DT, DX_CD Grain grouped by PAYER, SRC_FILE_NM, DOS_THRU_YYYYMM"/>
  </r>
  <r>
    <x v="0"/>
    <s v="AETNA_MAO4_202407_20240802.txt"/>
    <x v="95"/>
    <x v="0"/>
    <n v="7"/>
    <n v="7653501"/>
    <n v="0"/>
    <s v="DQS_MAO04_FILE_000_B"/>
    <s v="RECORD COUNT by MBR_ID, DOS_THRU_DT, DX_CD Grain grouped by PAYER, SRC_FILE_NM, DOS_THRU_YYYYMM"/>
  </r>
  <r>
    <x v="0"/>
    <s v="AETNA_MAO4_202407_20240802.txt"/>
    <x v="0"/>
    <x v="0"/>
    <n v="5"/>
    <n v="7653501"/>
    <n v="0"/>
    <s v="DQS_MAO04_FILE_000_B"/>
    <s v="RECORD COUNT by MBR_ID, DOS_THRU_DT, DX_CD Grain grouped by PAYER, SRC_FILE_NM, DOS_THRU_YYYYMM"/>
  </r>
  <r>
    <x v="0"/>
    <s v="AETNA_MAO4_202407_20240802.txt"/>
    <x v="3"/>
    <x v="1"/>
    <n v="11"/>
    <n v="7653501"/>
    <n v="0"/>
    <s v="DQS_MAO04_FILE_000_B"/>
    <s v="RECORD COUNT by MBR_ID, DOS_THRU_DT, DX_CD Grain grouped by PAYER, SRC_FILE_NM, DOS_THRU_YYYYMM"/>
  </r>
  <r>
    <x v="0"/>
    <s v="AETNA_MAO4_202407_20240802.txt"/>
    <x v="5"/>
    <x v="1"/>
    <n v="20"/>
    <n v="7653501"/>
    <n v="0"/>
    <s v="DQS_MAO04_FILE_000_B"/>
    <s v="RECORD COUNT by MBR_ID, DOS_THRU_DT, DX_CD Grain grouped by PAYER, SRC_FILE_NM, DOS_THRU_YYYYMM"/>
  </r>
  <r>
    <x v="0"/>
    <s v="AETNA_MAO4_202407_20240802.txt"/>
    <x v="6"/>
    <x v="2"/>
    <n v="6"/>
    <n v="7653501"/>
    <n v="0"/>
    <s v="DQS_MAO04_FILE_000_B"/>
    <s v="RECORD COUNT by MBR_ID, DOS_THRU_DT, DX_CD Grain grouped by PAYER, SRC_FILE_NM, DOS_THRU_YYYYMM"/>
  </r>
  <r>
    <x v="0"/>
    <s v="AETNA_MAO4_202407_20240802.txt"/>
    <x v="7"/>
    <x v="2"/>
    <n v="11"/>
    <n v="7653501"/>
    <n v="0"/>
    <s v="DQS_MAO04_FILE_000_B"/>
    <s v="RECORD COUNT by MBR_ID, DOS_THRU_DT, DX_CD Grain grouped by PAYER, SRC_FILE_NM, DOS_THRU_YYYYMM"/>
  </r>
  <r>
    <x v="0"/>
    <s v="AETNA_MAO4_202407_20240802.txt"/>
    <x v="8"/>
    <x v="2"/>
    <n v="4"/>
    <n v="7653501"/>
    <n v="0"/>
    <s v="DQS_MAO04_FILE_000_B"/>
    <s v="RECORD COUNT by MBR_ID, DOS_THRU_DT, DX_CD Grain grouped by PAYER, SRC_FILE_NM, DOS_THRU_YYYYMM"/>
  </r>
  <r>
    <x v="0"/>
    <s v="AETNA_MAO4_202407_20240802.txt"/>
    <x v="10"/>
    <x v="2"/>
    <n v="4"/>
    <n v="7653501"/>
    <n v="0"/>
    <s v="DQS_MAO04_FILE_000_B"/>
    <s v="RECORD COUNT by MBR_ID, DOS_THRU_DT, DX_CD Grain grouped by PAYER, SRC_FILE_NM, DOS_THRU_YYYYMM"/>
  </r>
  <r>
    <x v="0"/>
    <s v="AETNA_MAO4_202407_20240802.txt"/>
    <x v="11"/>
    <x v="2"/>
    <n v="31"/>
    <n v="7653501"/>
    <n v="0"/>
    <s v="DQS_MAO04_FILE_000_B"/>
    <s v="RECORD COUNT by MBR_ID, DOS_THRU_DT, DX_CD Grain grouped by PAYER, SRC_FILE_NM, DOS_THRU_YYYYMM"/>
  </r>
  <r>
    <x v="0"/>
    <s v="AETNA_MAO4_202407_20240802.txt"/>
    <x v="12"/>
    <x v="2"/>
    <n v="30"/>
    <n v="7653501"/>
    <n v="0"/>
    <s v="DQS_MAO04_FILE_000_B"/>
    <s v="RECORD COUNT by MBR_ID, DOS_THRU_DT, DX_CD Grain grouped by PAYER, SRC_FILE_NM, DOS_THRU_YYYYMM"/>
  </r>
  <r>
    <x v="0"/>
    <s v="AETNA_MAO4_202407_20240802.txt"/>
    <x v="13"/>
    <x v="2"/>
    <n v="27"/>
    <n v="7653501"/>
    <n v="0"/>
    <s v="DQS_MAO04_FILE_000_B"/>
    <s v="RECORD COUNT by MBR_ID, DOS_THRU_DT, DX_CD Grain grouped by PAYER, SRC_FILE_NM, DOS_THRU_YYYYMM"/>
  </r>
  <r>
    <x v="0"/>
    <s v="AETNA_MAO4_202407_20240802.txt"/>
    <x v="14"/>
    <x v="2"/>
    <n v="24"/>
    <n v="7653501"/>
    <n v="0"/>
    <s v="DQS_MAO04_FILE_000_B"/>
    <s v="RECORD COUNT by MBR_ID, DOS_THRU_DT, DX_CD Grain grouped by PAYER, SRC_FILE_NM, DOS_THRU_YYYYMM"/>
  </r>
  <r>
    <x v="0"/>
    <s v="AETNA_MAO4_202407_20240802.txt"/>
    <x v="15"/>
    <x v="2"/>
    <n v="25"/>
    <n v="7653501"/>
    <n v="0"/>
    <s v="DQS_MAO04_FILE_000_B"/>
    <s v="RECORD COUNT by MBR_ID, DOS_THRU_DT, DX_CD Grain grouped by PAYER, SRC_FILE_NM, DOS_THRU_YYYYMM"/>
  </r>
  <r>
    <x v="0"/>
    <s v="AETNA_MAO4_202407_20240802.txt"/>
    <x v="16"/>
    <x v="2"/>
    <n v="22"/>
    <n v="7653501"/>
    <n v="0"/>
    <s v="DQS_MAO04_FILE_000_B"/>
    <s v="RECORD COUNT by MBR_ID, DOS_THRU_DT, DX_CD Grain grouped by PAYER, SRC_FILE_NM, DOS_THRU_YYYYMM"/>
  </r>
  <r>
    <x v="0"/>
    <s v="AETNA_MAO4_202407_20240802.txt"/>
    <x v="17"/>
    <x v="3"/>
    <n v="1"/>
    <n v="7653501"/>
    <n v="0"/>
    <s v="DQS_MAO04_FILE_000_B"/>
    <s v="RECORD COUNT by MBR_ID, DOS_THRU_DT, DX_CD Grain grouped by PAYER, SRC_FILE_NM, DOS_THRU_YYYYMM"/>
  </r>
  <r>
    <x v="0"/>
    <s v="AETNA_MAO4_202407_20240802.txt"/>
    <x v="18"/>
    <x v="3"/>
    <n v="14"/>
    <n v="7653501"/>
    <n v="0"/>
    <s v="DQS_MAO04_FILE_000_B"/>
    <s v="RECORD COUNT by MBR_ID, DOS_THRU_DT, DX_CD Grain grouped by PAYER, SRC_FILE_NM, DOS_THRU_YYYYMM"/>
  </r>
  <r>
    <x v="0"/>
    <s v="AETNA_MAO4_202407_20240802.txt"/>
    <x v="20"/>
    <x v="3"/>
    <n v="11"/>
    <n v="7653501"/>
    <n v="0"/>
    <s v="DQS_MAO04_FILE_000_B"/>
    <s v="RECORD COUNT by MBR_ID, DOS_THRU_DT, DX_CD Grain grouped by PAYER, SRC_FILE_NM, DOS_THRU_YYYYMM"/>
  </r>
  <r>
    <x v="0"/>
    <s v="AETNA_MAO4_202407_20240802.txt"/>
    <x v="21"/>
    <x v="3"/>
    <n v="18"/>
    <n v="7653501"/>
    <n v="0"/>
    <s v="DQS_MAO04_FILE_000_B"/>
    <s v="RECORD COUNT by MBR_ID, DOS_THRU_DT, DX_CD Grain grouped by PAYER, SRC_FILE_NM, DOS_THRU_YYYYMM"/>
  </r>
  <r>
    <x v="0"/>
    <s v="AETNA_MAO4_202407_20240802.txt"/>
    <x v="22"/>
    <x v="3"/>
    <n v="54"/>
    <n v="7653501"/>
    <n v="0"/>
    <s v="DQS_MAO04_FILE_000_B"/>
    <s v="RECORD COUNT by MBR_ID, DOS_THRU_DT, DX_CD Grain grouped by PAYER, SRC_FILE_NM, DOS_THRU_YYYYMM"/>
  </r>
  <r>
    <x v="0"/>
    <s v="AETNA_MAO4_202407_20240802.txt"/>
    <x v="23"/>
    <x v="3"/>
    <n v="17"/>
    <n v="7653501"/>
    <n v="0"/>
    <s v="DQS_MAO04_FILE_000_B"/>
    <s v="RECORD COUNT by MBR_ID, DOS_THRU_DT, DX_CD Grain grouped by PAYER, SRC_FILE_NM, DOS_THRU_YYYYMM"/>
  </r>
  <r>
    <x v="0"/>
    <s v="AETNA_MAO4_202407_20240802.txt"/>
    <x v="24"/>
    <x v="3"/>
    <n v="72"/>
    <n v="7653501"/>
    <n v="0"/>
    <s v="DQS_MAO04_FILE_000_B"/>
    <s v="RECORD COUNT by MBR_ID, DOS_THRU_DT, DX_CD Grain grouped by PAYER, SRC_FILE_NM, DOS_THRU_YYYYMM"/>
  </r>
  <r>
    <x v="0"/>
    <s v="AETNA_MAO4_202407_20240802.txt"/>
    <x v="25"/>
    <x v="3"/>
    <n v="48"/>
    <n v="7653501"/>
    <n v="0"/>
    <s v="DQS_MAO04_FILE_000_B"/>
    <s v="RECORD COUNT by MBR_ID, DOS_THRU_DT, DX_CD Grain grouped by PAYER, SRC_FILE_NM, DOS_THRU_YYYYMM"/>
  </r>
  <r>
    <x v="0"/>
    <s v="AETNA_MAO4_202407_20240802.txt"/>
    <x v="26"/>
    <x v="3"/>
    <n v="8"/>
    <n v="7653501"/>
    <n v="0"/>
    <s v="DQS_MAO04_FILE_000_B"/>
    <s v="RECORD COUNT by MBR_ID, DOS_THRU_DT, DX_CD Grain grouped by PAYER, SRC_FILE_NM, DOS_THRU_YYYYMM"/>
  </r>
  <r>
    <x v="0"/>
    <s v="AETNA_MAO4_202407_20240802.txt"/>
    <x v="27"/>
    <x v="3"/>
    <n v="4"/>
    <n v="7653501"/>
    <n v="0"/>
    <s v="DQS_MAO04_FILE_000_B"/>
    <s v="RECORD COUNT by MBR_ID, DOS_THRU_DT, DX_CD Grain grouped by PAYER, SRC_FILE_NM, DOS_THRU_YYYYMM"/>
  </r>
  <r>
    <x v="0"/>
    <s v="AETNA_MAO4_202407_20240802.txt"/>
    <x v="28"/>
    <x v="3"/>
    <n v="18"/>
    <n v="7653501"/>
    <n v="0"/>
    <s v="DQS_MAO04_FILE_000_B"/>
    <s v="RECORD COUNT by MBR_ID, DOS_THRU_DT, DX_CD Grain grouped by PAYER, SRC_FILE_NM, DOS_THRU_YYYYMM"/>
  </r>
  <r>
    <x v="0"/>
    <s v="AETNA_MAO4_202407_20240802.txt"/>
    <x v="29"/>
    <x v="4"/>
    <n v="1469"/>
    <n v="7653501"/>
    <n v="0.02"/>
    <s v="DQS_MAO04_FILE_000_B"/>
    <s v="RECORD COUNT by MBR_ID, DOS_THRU_DT, DX_CD Grain grouped by PAYER, SRC_FILE_NM, DOS_THRU_YYYYMM"/>
  </r>
  <r>
    <x v="0"/>
    <s v="AETNA_MAO4_202407_20240802.txt"/>
    <x v="30"/>
    <x v="4"/>
    <n v="1560"/>
    <n v="7653501"/>
    <n v="0.02"/>
    <s v="DQS_MAO04_FILE_000_B"/>
    <s v="RECORD COUNT by MBR_ID, DOS_THRU_DT, DX_CD Grain grouped by PAYER, SRC_FILE_NM, DOS_THRU_YYYYMM"/>
  </r>
  <r>
    <x v="0"/>
    <s v="AETNA_MAO4_202407_20240802.txt"/>
    <x v="31"/>
    <x v="4"/>
    <n v="1749"/>
    <n v="7653501"/>
    <n v="0.02"/>
    <s v="DQS_MAO04_FILE_000_B"/>
    <s v="RECORD COUNT by MBR_ID, DOS_THRU_DT, DX_CD Grain grouped by PAYER, SRC_FILE_NM, DOS_THRU_YYYYMM"/>
  </r>
  <r>
    <x v="0"/>
    <s v="AETNA_MAO4_202407_20240802.txt"/>
    <x v="32"/>
    <x v="4"/>
    <n v="1864"/>
    <n v="7653501"/>
    <n v="0.02"/>
    <s v="DQS_MAO04_FILE_000_B"/>
    <s v="RECORD COUNT by MBR_ID, DOS_THRU_DT, DX_CD Grain grouped by PAYER, SRC_FILE_NM, DOS_THRU_YYYYMM"/>
  </r>
  <r>
    <x v="0"/>
    <s v="AETNA_MAO4_202407_20240802.txt"/>
    <x v="33"/>
    <x v="4"/>
    <n v="1646"/>
    <n v="7653501"/>
    <n v="0.02"/>
    <s v="DQS_MAO04_FILE_000_B"/>
    <s v="RECORD COUNT by MBR_ID, DOS_THRU_DT, DX_CD Grain grouped by PAYER, SRC_FILE_NM, DOS_THRU_YYYYMM"/>
  </r>
  <r>
    <x v="0"/>
    <s v="AETNA_MAO4_202407_20240802.txt"/>
    <x v="34"/>
    <x v="4"/>
    <n v="1953"/>
    <n v="7653501"/>
    <n v="0.03"/>
    <s v="DQS_MAO04_FILE_000_B"/>
    <s v="RECORD COUNT by MBR_ID, DOS_THRU_DT, DX_CD Grain grouped by PAYER, SRC_FILE_NM, DOS_THRU_YYYYMM"/>
  </r>
  <r>
    <x v="0"/>
    <s v="AETNA_MAO4_202407_20240802.txt"/>
    <x v="35"/>
    <x v="4"/>
    <n v="1715"/>
    <n v="7653501"/>
    <n v="0.02"/>
    <s v="DQS_MAO04_FILE_000_B"/>
    <s v="RECORD COUNT by MBR_ID, DOS_THRU_DT, DX_CD Grain grouped by PAYER, SRC_FILE_NM, DOS_THRU_YYYYMM"/>
  </r>
  <r>
    <x v="0"/>
    <s v="AETNA_MAO4_202407_20240802.txt"/>
    <x v="36"/>
    <x v="4"/>
    <n v="1599"/>
    <n v="7653501"/>
    <n v="0.02"/>
    <s v="DQS_MAO04_FILE_000_B"/>
    <s v="RECORD COUNT by MBR_ID, DOS_THRU_DT, DX_CD Grain grouped by PAYER, SRC_FILE_NM, DOS_THRU_YYYYMM"/>
  </r>
  <r>
    <x v="0"/>
    <s v="AETNA_MAO4_202407_20240802.txt"/>
    <x v="37"/>
    <x v="4"/>
    <n v="1254"/>
    <n v="7653501"/>
    <n v="0.02"/>
    <s v="DQS_MAO04_FILE_000_B"/>
    <s v="RECORD COUNT by MBR_ID, DOS_THRU_DT, DX_CD Grain grouped by PAYER, SRC_FILE_NM, DOS_THRU_YYYYMM"/>
  </r>
  <r>
    <x v="0"/>
    <s v="AETNA_MAO4_202407_20240802.txt"/>
    <x v="38"/>
    <x v="4"/>
    <n v="1656"/>
    <n v="7653501"/>
    <n v="0.02"/>
    <s v="DQS_MAO04_FILE_000_B"/>
    <s v="RECORD COUNT by MBR_ID, DOS_THRU_DT, DX_CD Grain grouped by PAYER, SRC_FILE_NM, DOS_THRU_YYYYMM"/>
  </r>
  <r>
    <x v="0"/>
    <s v="AETNA_MAO4_202407_20240802.txt"/>
    <x v="39"/>
    <x v="4"/>
    <n v="1132"/>
    <n v="7653501"/>
    <n v="0.01"/>
    <s v="DQS_MAO04_FILE_000_B"/>
    <s v="RECORD COUNT by MBR_ID, DOS_THRU_DT, DX_CD Grain grouped by PAYER, SRC_FILE_NM, DOS_THRU_YYYYMM"/>
  </r>
  <r>
    <x v="0"/>
    <s v="AETNA_MAO4_202407_20240802.txt"/>
    <x v="40"/>
    <x v="4"/>
    <n v="693"/>
    <n v="7653501"/>
    <n v="0.01"/>
    <s v="DQS_MAO04_FILE_000_B"/>
    <s v="RECORD COUNT by MBR_ID, DOS_THRU_DT, DX_CD Grain grouped by PAYER, SRC_FILE_NM, DOS_THRU_YYYYMM"/>
  </r>
  <r>
    <x v="0"/>
    <s v="AETNA_MAO4_202407_20240802.txt"/>
    <x v="41"/>
    <x v="5"/>
    <n v="36294"/>
    <n v="7653501"/>
    <n v="0.47"/>
    <s v="DQS_MAO04_FILE_000_B"/>
    <s v="RECORD COUNT by MBR_ID, DOS_THRU_DT, DX_CD Grain grouped by PAYER, SRC_FILE_NM, DOS_THRU_YYYYMM"/>
  </r>
  <r>
    <x v="0"/>
    <s v="AETNA_MAO4_202407_20240802.txt"/>
    <x v="42"/>
    <x v="5"/>
    <n v="33627"/>
    <n v="7653501"/>
    <n v="0.44"/>
    <s v="DQS_MAO04_FILE_000_B"/>
    <s v="RECORD COUNT by MBR_ID, DOS_THRU_DT, DX_CD Grain grouped by PAYER, SRC_FILE_NM, DOS_THRU_YYYYMM"/>
  </r>
  <r>
    <x v="0"/>
    <s v="AETNA_MAO4_202407_20240802.txt"/>
    <x v="43"/>
    <x v="5"/>
    <n v="30901"/>
    <n v="7653501"/>
    <n v="0.4"/>
    <s v="DQS_MAO04_FILE_000_B"/>
    <s v="RECORD COUNT by MBR_ID, DOS_THRU_DT, DX_CD Grain grouped by PAYER, SRC_FILE_NM, DOS_THRU_YYYYMM"/>
  </r>
  <r>
    <x v="0"/>
    <s v="AETNA_MAO4_202407_20240802.txt"/>
    <x v="44"/>
    <x v="5"/>
    <n v="17527"/>
    <n v="7653501"/>
    <n v="0.23"/>
    <s v="DQS_MAO04_FILE_000_B"/>
    <s v="RECORD COUNT by MBR_ID, DOS_THRU_DT, DX_CD Grain grouped by PAYER, SRC_FILE_NM, DOS_THRU_YYYYMM"/>
  </r>
  <r>
    <x v="0"/>
    <s v="AETNA_MAO4_202407_20240802.txt"/>
    <x v="45"/>
    <x v="5"/>
    <n v="31896"/>
    <n v="7653501"/>
    <n v="0.42"/>
    <s v="DQS_MAO04_FILE_000_B"/>
    <s v="RECORD COUNT by MBR_ID, DOS_THRU_DT, DX_CD Grain grouped by PAYER, SRC_FILE_NM, DOS_THRU_YYYYMM"/>
  </r>
  <r>
    <x v="0"/>
    <s v="AETNA_MAO4_202407_20240802.txt"/>
    <x v="46"/>
    <x v="5"/>
    <n v="40202"/>
    <n v="7653501"/>
    <n v="0.53"/>
    <s v="DQS_MAO04_FILE_000_B"/>
    <s v="RECORD COUNT by MBR_ID, DOS_THRU_DT, DX_CD Grain grouped by PAYER, SRC_FILE_NM, DOS_THRU_YYYYMM"/>
  </r>
  <r>
    <x v="0"/>
    <s v="AETNA_MAO4_202407_20240802.txt"/>
    <x v="47"/>
    <x v="5"/>
    <n v="29943"/>
    <n v="7653501"/>
    <n v="0.39"/>
    <s v="DQS_MAO04_FILE_000_B"/>
    <s v="RECORD COUNT by MBR_ID, DOS_THRU_DT, DX_CD Grain grouped by PAYER, SRC_FILE_NM, DOS_THRU_YYYYMM"/>
  </r>
  <r>
    <x v="0"/>
    <s v="AETNA_MAO4_202407_20240802.txt"/>
    <x v="48"/>
    <x v="5"/>
    <n v="29704"/>
    <n v="7653501"/>
    <n v="0.39"/>
    <s v="DQS_MAO04_FILE_000_B"/>
    <s v="RECORD COUNT by MBR_ID, DOS_THRU_DT, DX_CD Grain grouped by PAYER, SRC_FILE_NM, DOS_THRU_YYYYMM"/>
  </r>
  <r>
    <x v="0"/>
    <s v="AETNA_MAO4_202407_20240802.txt"/>
    <x v="49"/>
    <x v="5"/>
    <n v="31313"/>
    <n v="7653501"/>
    <n v="0.41"/>
    <s v="DQS_MAO04_FILE_000_B"/>
    <s v="RECORD COUNT by MBR_ID, DOS_THRU_DT, DX_CD Grain grouped by PAYER, SRC_FILE_NM, DOS_THRU_YYYYMM"/>
  </r>
  <r>
    <x v="0"/>
    <s v="AETNA_MAO4_202407_20240802.txt"/>
    <x v="50"/>
    <x v="5"/>
    <n v="32700"/>
    <n v="7653501"/>
    <n v="0.43"/>
    <s v="DQS_MAO04_FILE_000_B"/>
    <s v="RECORD COUNT by MBR_ID, DOS_THRU_DT, DX_CD Grain grouped by PAYER, SRC_FILE_NM, DOS_THRU_YYYYMM"/>
  </r>
  <r>
    <x v="0"/>
    <s v="AETNA_MAO4_202407_20240802.txt"/>
    <x v="51"/>
    <x v="5"/>
    <n v="28114"/>
    <n v="7653501"/>
    <n v="0.37"/>
    <s v="DQS_MAO04_FILE_000_B"/>
    <s v="RECORD COUNT by MBR_ID, DOS_THRU_DT, DX_CD Grain grouped by PAYER, SRC_FILE_NM, DOS_THRU_YYYYMM"/>
  </r>
  <r>
    <x v="0"/>
    <s v="AETNA_MAO4_202407_20240802.txt"/>
    <x v="52"/>
    <x v="5"/>
    <n v="30845"/>
    <n v="7653501"/>
    <n v="0.4"/>
    <s v="DQS_MAO04_FILE_000_B"/>
    <s v="RECORD COUNT by MBR_ID, DOS_THRU_DT, DX_CD Grain grouped by PAYER, SRC_FILE_NM, DOS_THRU_YYYYMM"/>
  </r>
  <r>
    <x v="0"/>
    <s v="AETNA_MAO4_202407_20240802.txt"/>
    <x v="53"/>
    <x v="6"/>
    <n v="59291"/>
    <n v="7653501"/>
    <n v="0.77"/>
    <s v="DQS_MAO04_FILE_000_B"/>
    <s v="RECORD COUNT by MBR_ID, DOS_THRU_DT, DX_CD Grain grouped by PAYER, SRC_FILE_NM, DOS_THRU_YYYYMM"/>
  </r>
  <r>
    <x v="0"/>
    <s v="AETNA_MAO4_202407_20240802.txt"/>
    <x v="54"/>
    <x v="6"/>
    <n v="44631"/>
    <n v="7653501"/>
    <n v="0.57999999999999996"/>
    <s v="DQS_MAO04_FILE_000_B"/>
    <s v="RECORD COUNT by MBR_ID, DOS_THRU_DT, DX_CD Grain grouped by PAYER, SRC_FILE_NM, DOS_THRU_YYYYMM"/>
  </r>
  <r>
    <x v="0"/>
    <s v="AETNA_MAO4_202407_20240802.txt"/>
    <x v="55"/>
    <x v="6"/>
    <n v="71269"/>
    <n v="7653501"/>
    <n v="0.93"/>
    <s v="DQS_MAO04_FILE_000_B"/>
    <s v="RECORD COUNT by MBR_ID, DOS_THRU_DT, DX_CD Grain grouped by PAYER, SRC_FILE_NM, DOS_THRU_YYYYMM"/>
  </r>
  <r>
    <x v="0"/>
    <s v="AETNA_MAO4_202407_20240802.txt"/>
    <x v="56"/>
    <x v="6"/>
    <n v="68006"/>
    <n v="7653501"/>
    <n v="0.89"/>
    <s v="DQS_MAO04_FILE_000_B"/>
    <s v="RECORD COUNT by MBR_ID, DOS_THRU_DT, DX_CD Grain grouped by PAYER, SRC_FILE_NM, DOS_THRU_YYYYMM"/>
  </r>
  <r>
    <x v="0"/>
    <s v="AETNA_MAO4_202407_20240802.txt"/>
    <x v="57"/>
    <x v="6"/>
    <n v="63833"/>
    <n v="7653501"/>
    <n v="0.83"/>
    <s v="DQS_MAO04_FILE_000_B"/>
    <s v="RECORD COUNT by MBR_ID, DOS_THRU_DT, DX_CD Grain grouped by PAYER, SRC_FILE_NM, DOS_THRU_YYYYMM"/>
  </r>
  <r>
    <x v="0"/>
    <s v="AETNA_MAO4_202407_20240802.txt"/>
    <x v="58"/>
    <x v="6"/>
    <n v="78883"/>
    <n v="7653501"/>
    <n v="1.03"/>
    <s v="DQS_MAO04_FILE_000_B"/>
    <s v="RECORD COUNT by MBR_ID, DOS_THRU_DT, DX_CD Grain grouped by PAYER, SRC_FILE_NM, DOS_THRU_YYYYMM"/>
  </r>
  <r>
    <x v="0"/>
    <s v="AETNA_MAO4_202407_20240802.txt"/>
    <x v="59"/>
    <x v="6"/>
    <n v="143865"/>
    <n v="7653501"/>
    <n v="1.88"/>
    <s v="DQS_MAO04_FILE_000_B"/>
    <s v="RECORD COUNT by MBR_ID, DOS_THRU_DT, DX_CD Grain grouped by PAYER, SRC_FILE_NM, DOS_THRU_YYYYMM"/>
  </r>
  <r>
    <x v="0"/>
    <s v="AETNA_MAO4_202407_20240802.txt"/>
    <x v="60"/>
    <x v="6"/>
    <n v="221878"/>
    <n v="7653501"/>
    <n v="2.9"/>
    <s v="DQS_MAO04_FILE_000_B"/>
    <s v="RECORD COUNT by MBR_ID, DOS_THRU_DT, DX_CD Grain grouped by PAYER, SRC_FILE_NM, DOS_THRU_YYYYMM"/>
  </r>
  <r>
    <x v="0"/>
    <s v="AETNA_MAO4_202407_20240802.txt"/>
    <x v="61"/>
    <x v="6"/>
    <n v="240916"/>
    <n v="7653501"/>
    <n v="3.15"/>
    <s v="DQS_MAO04_FILE_000_B"/>
    <s v="RECORD COUNT by MBR_ID, DOS_THRU_DT, DX_CD Grain grouped by PAYER, SRC_FILE_NM, DOS_THRU_YYYYMM"/>
  </r>
  <r>
    <x v="0"/>
    <s v="AETNA_MAO4_202407_20240802.txt"/>
    <x v="62"/>
    <x v="6"/>
    <n v="230097"/>
    <n v="7653501"/>
    <n v="3.01"/>
    <s v="DQS_MAO04_FILE_000_B"/>
    <s v="RECORD COUNT by MBR_ID, DOS_THRU_DT, DX_CD Grain grouped by PAYER, SRC_FILE_NM, DOS_THRU_YYYYMM"/>
  </r>
  <r>
    <x v="0"/>
    <s v="AETNA_MAO4_202407_20240802.txt"/>
    <x v="63"/>
    <x v="6"/>
    <n v="230031"/>
    <n v="7653501"/>
    <n v="3.01"/>
    <s v="DQS_MAO04_FILE_000_B"/>
    <s v="RECORD COUNT by MBR_ID, DOS_THRU_DT, DX_CD Grain grouped by PAYER, SRC_FILE_NM, DOS_THRU_YYYYMM"/>
  </r>
  <r>
    <x v="0"/>
    <s v="AETNA_MAO4_202407_20240802.txt"/>
    <x v="64"/>
    <x v="6"/>
    <n v="229754"/>
    <n v="7653501"/>
    <n v="3"/>
    <s v="DQS_MAO04_FILE_000_B"/>
    <s v="RECORD COUNT by MBR_ID, DOS_THRU_DT, DX_CD Grain grouped by PAYER, SRC_FILE_NM, DOS_THRU_YYYYMM"/>
  </r>
  <r>
    <x v="0"/>
    <s v="AETNA_MAO4_202407_20240802.txt"/>
    <x v="65"/>
    <x v="7"/>
    <n v="184596"/>
    <n v="7653501"/>
    <n v="2.41"/>
    <s v="DQS_MAO04_FILE_000_B"/>
    <s v="RECORD COUNT by MBR_ID, DOS_THRU_DT, DX_CD Grain grouped by PAYER, SRC_FILE_NM, DOS_THRU_YYYYMM"/>
  </r>
  <r>
    <x v="0"/>
    <s v="AETNA_MAO4_202407_20240802.txt"/>
    <x v="66"/>
    <x v="7"/>
    <n v="159516"/>
    <n v="7653501"/>
    <n v="2.08"/>
    <s v="DQS_MAO04_FILE_000_B"/>
    <s v="RECORD COUNT by MBR_ID, DOS_THRU_DT, DX_CD Grain grouped by PAYER, SRC_FILE_NM, DOS_THRU_YYYYMM"/>
  </r>
  <r>
    <x v="0"/>
    <s v="AETNA_MAO4_202407_20240802.txt"/>
    <x v="67"/>
    <x v="7"/>
    <n v="203550"/>
    <n v="7653501"/>
    <n v="2.66"/>
    <s v="DQS_MAO04_FILE_000_B"/>
    <s v="RECORD COUNT by MBR_ID, DOS_THRU_DT, DX_CD Grain grouped by PAYER, SRC_FILE_NM, DOS_THRU_YYYYMM"/>
  </r>
  <r>
    <x v="0"/>
    <s v="AETNA_MAO4_202407_20240802.txt"/>
    <x v="68"/>
    <x v="7"/>
    <n v="177973"/>
    <n v="7653501"/>
    <n v="2.33"/>
    <s v="DQS_MAO04_FILE_000_B"/>
    <s v="RECORD COUNT by MBR_ID, DOS_THRU_DT, DX_CD Grain grouped by PAYER, SRC_FILE_NM, DOS_THRU_YYYYMM"/>
  </r>
  <r>
    <x v="0"/>
    <s v="AETNA_MAO4_202407_20240802.txt"/>
    <x v="69"/>
    <x v="7"/>
    <n v="180346"/>
    <n v="7653501"/>
    <n v="2.36"/>
    <s v="DQS_MAO04_FILE_000_B"/>
    <s v="RECORD COUNT by MBR_ID, DOS_THRU_DT, DX_CD Grain grouped by PAYER, SRC_FILE_NM, DOS_THRU_YYYYMM"/>
  </r>
  <r>
    <x v="0"/>
    <s v="AETNA_MAO4_202407_20240802.txt"/>
    <x v="70"/>
    <x v="7"/>
    <n v="185183"/>
    <n v="7653501"/>
    <n v="2.42"/>
    <s v="DQS_MAO04_FILE_000_B"/>
    <s v="RECORD COUNT by MBR_ID, DOS_THRU_DT, DX_CD Grain grouped by PAYER, SRC_FILE_NM, DOS_THRU_YYYYMM"/>
  </r>
  <r>
    <x v="0"/>
    <s v="AETNA_MAO4_202407_20240802.txt"/>
    <x v="71"/>
    <x v="7"/>
    <n v="170200"/>
    <n v="7653501"/>
    <n v="2.2200000000000002"/>
    <s v="DQS_MAO04_FILE_000_B"/>
    <s v="RECORD COUNT by MBR_ID, DOS_THRU_DT, DX_CD Grain grouped by PAYER, SRC_FILE_NM, DOS_THRU_YYYYMM"/>
  </r>
  <r>
    <x v="0"/>
    <s v="AETNA_MAO4_202407_20240802.txt"/>
    <x v="72"/>
    <x v="7"/>
    <n v="189292"/>
    <n v="7653501"/>
    <n v="2.4700000000000002"/>
    <s v="DQS_MAO04_FILE_000_B"/>
    <s v="RECORD COUNT by MBR_ID, DOS_THRU_DT, DX_CD Grain grouped by PAYER, SRC_FILE_NM, DOS_THRU_YYYYMM"/>
  </r>
  <r>
    <x v="0"/>
    <s v="AETNA_MAO4_202407_20240802.txt"/>
    <x v="73"/>
    <x v="7"/>
    <n v="177514"/>
    <n v="7653501"/>
    <n v="2.3199999999999998"/>
    <s v="DQS_MAO04_FILE_000_B"/>
    <s v="RECORD COUNT by MBR_ID, DOS_THRU_DT, DX_CD Grain grouped by PAYER, SRC_FILE_NM, DOS_THRU_YYYYMM"/>
  </r>
  <r>
    <x v="0"/>
    <s v="AETNA_MAO4_202407_20240802.txt"/>
    <x v="74"/>
    <x v="7"/>
    <n v="183186"/>
    <n v="7653501"/>
    <n v="2.39"/>
    <s v="DQS_MAO04_FILE_000_B"/>
    <s v="RECORD COUNT by MBR_ID, DOS_THRU_DT, DX_CD Grain grouped by PAYER, SRC_FILE_NM, DOS_THRU_YYYYMM"/>
  </r>
  <r>
    <x v="0"/>
    <s v="AETNA_MAO4_202407_20240802.txt"/>
    <x v="75"/>
    <x v="7"/>
    <n v="179312"/>
    <n v="7653501"/>
    <n v="2.34"/>
    <s v="DQS_MAO04_FILE_000_B"/>
    <s v="RECORD COUNT by MBR_ID, DOS_THRU_DT, DX_CD Grain grouped by PAYER, SRC_FILE_NM, DOS_THRU_YYYYMM"/>
  </r>
  <r>
    <x v="0"/>
    <s v="AETNA_MAO4_202407_20240802.txt"/>
    <x v="76"/>
    <x v="7"/>
    <n v="165719"/>
    <n v="7653501"/>
    <n v="2.17"/>
    <s v="DQS_MAO04_FILE_000_B"/>
    <s v="RECORD COUNT by MBR_ID, DOS_THRU_DT, DX_CD Grain grouped by PAYER, SRC_FILE_NM, DOS_THRU_YYYYMM"/>
  </r>
  <r>
    <x v="0"/>
    <s v="AETNA_MAO4_202407_20240802.txt"/>
    <x v="77"/>
    <x v="8"/>
    <n v="188700"/>
    <n v="7653501"/>
    <n v="2.4700000000000002"/>
    <s v="DQS_MAO04_FILE_000_B"/>
    <s v="RECORD COUNT by MBR_ID, DOS_THRU_DT, DX_CD Grain grouped by PAYER, SRC_FILE_NM, DOS_THRU_YYYYMM"/>
  </r>
  <r>
    <x v="0"/>
    <s v="AETNA_MAO4_202407_20240802.txt"/>
    <x v="78"/>
    <x v="8"/>
    <n v="180979"/>
    <n v="7653501"/>
    <n v="2.36"/>
    <s v="DQS_MAO04_FILE_000_B"/>
    <s v="RECORD COUNT by MBR_ID, DOS_THRU_DT, DX_CD Grain grouped by PAYER, SRC_FILE_NM, DOS_THRU_YYYYMM"/>
  </r>
  <r>
    <x v="0"/>
    <s v="AETNA_MAO4_202407_20240802.txt"/>
    <x v="79"/>
    <x v="8"/>
    <n v="200375"/>
    <n v="7653501"/>
    <n v="2.62"/>
    <s v="DQS_MAO04_FILE_000_B"/>
    <s v="RECORD COUNT by MBR_ID, DOS_THRU_DT, DX_CD Grain grouped by PAYER, SRC_FILE_NM, DOS_THRU_YYYYMM"/>
  </r>
  <r>
    <x v="0"/>
    <s v="AETNA_MAO4_202407_20240802.txt"/>
    <x v="80"/>
    <x v="8"/>
    <n v="179018"/>
    <n v="7653501"/>
    <n v="2.34"/>
    <s v="DQS_MAO04_FILE_000_B"/>
    <s v="RECORD COUNT by MBR_ID, DOS_THRU_DT, DX_CD Grain grouped by PAYER, SRC_FILE_NM, DOS_THRU_YYYYMM"/>
  </r>
  <r>
    <x v="0"/>
    <s v="AETNA_MAO4_202407_20240802.txt"/>
    <x v="81"/>
    <x v="8"/>
    <n v="187234"/>
    <n v="7653501"/>
    <n v="2.4500000000000002"/>
    <s v="DQS_MAO04_FILE_000_B"/>
    <s v="RECORD COUNT by MBR_ID, DOS_THRU_DT, DX_CD Grain grouped by PAYER, SRC_FILE_NM, DOS_THRU_YYYYMM"/>
  </r>
  <r>
    <x v="0"/>
    <s v="AETNA_MAO4_202407_20240802.txt"/>
    <x v="82"/>
    <x v="8"/>
    <n v="183897"/>
    <n v="7653501"/>
    <n v="2.4"/>
    <s v="DQS_MAO04_FILE_000_B"/>
    <s v="RECORD COUNT by MBR_ID, DOS_THRU_DT, DX_CD Grain grouped by PAYER, SRC_FILE_NM, DOS_THRU_YYYYMM"/>
  </r>
  <r>
    <x v="0"/>
    <s v="AETNA_MAO4_202407_20240802.txt"/>
    <x v="83"/>
    <x v="8"/>
    <n v="161696"/>
    <n v="7653501"/>
    <n v="2.11"/>
    <s v="DQS_MAO04_FILE_000_B"/>
    <s v="RECORD COUNT by MBR_ID, DOS_THRU_DT, DX_CD Grain grouped by PAYER, SRC_FILE_NM, DOS_THRU_YYYYMM"/>
  </r>
  <r>
    <x v="0"/>
    <s v="AETNA_MAO4_202407_20240802.txt"/>
    <x v="84"/>
    <x v="8"/>
    <n v="179245"/>
    <n v="7653501"/>
    <n v="2.34"/>
    <s v="DQS_MAO04_FILE_000_B"/>
    <s v="RECORD COUNT by MBR_ID, DOS_THRU_DT, DX_CD Grain grouped by PAYER, SRC_FILE_NM, DOS_THRU_YYYYMM"/>
  </r>
  <r>
    <x v="0"/>
    <s v="AETNA_MAO4_202407_20240802.txt"/>
    <x v="85"/>
    <x v="8"/>
    <n v="166749"/>
    <n v="7653501"/>
    <n v="2.1800000000000002"/>
    <s v="DQS_MAO04_FILE_000_B"/>
    <s v="RECORD COUNT by MBR_ID, DOS_THRU_DT, DX_CD Grain grouped by PAYER, SRC_FILE_NM, DOS_THRU_YYYYMM"/>
  </r>
  <r>
    <x v="0"/>
    <s v="AETNA_MAO4_202407_20240802.txt"/>
    <x v="86"/>
    <x v="8"/>
    <n v="182531"/>
    <n v="7653501"/>
    <n v="2.38"/>
    <s v="DQS_MAO04_FILE_000_B"/>
    <s v="RECORD COUNT by MBR_ID, DOS_THRU_DT, DX_CD Grain grouped by PAYER, SRC_FILE_NM, DOS_THRU_YYYYMM"/>
  </r>
  <r>
    <x v="0"/>
    <s v="AETNA_MAO4_202407_20240802.txt"/>
    <x v="87"/>
    <x v="8"/>
    <n v="170351"/>
    <n v="7653501"/>
    <n v="2.23"/>
    <s v="DQS_MAO04_FILE_000_B"/>
    <s v="RECORD COUNT by MBR_ID, DOS_THRU_DT, DX_CD Grain grouped by PAYER, SRC_FILE_NM, DOS_THRU_YYYYMM"/>
  </r>
  <r>
    <x v="0"/>
    <s v="AETNA_MAO4_202407_20240802.txt"/>
    <x v="88"/>
    <x v="8"/>
    <n v="162448"/>
    <n v="7653501"/>
    <n v="2.12"/>
    <s v="DQS_MAO04_FILE_000_B"/>
    <s v="RECORD COUNT by MBR_ID, DOS_THRU_DT, DX_CD Grain grouped by PAYER, SRC_FILE_NM, DOS_THRU_YYYYMM"/>
  </r>
  <r>
    <x v="0"/>
    <s v="AETNA_MAO4_202407_20240802.txt"/>
    <x v="89"/>
    <x v="9"/>
    <n v="249263"/>
    <n v="7653501"/>
    <n v="3.26"/>
    <s v="DQS_MAO04_FILE_000_B"/>
    <s v="RECORD COUNT by MBR_ID, DOS_THRU_DT, DX_CD Grain grouped by PAYER, SRC_FILE_NM, DOS_THRU_YYYYMM"/>
  </r>
  <r>
    <x v="0"/>
    <s v="AETNA_MAO4_202407_20240802.txt"/>
    <x v="97"/>
    <x v="9"/>
    <n v="252641"/>
    <n v="7653501"/>
    <n v="3.3"/>
    <s v="DQS_MAO04_FILE_000_B"/>
    <s v="RECORD COUNT by MBR_ID, DOS_THRU_DT, DX_CD Grain grouped by PAYER, SRC_FILE_NM, DOS_THRU_YYYYMM"/>
  </r>
  <r>
    <x v="0"/>
    <s v="AETNA_MAO4_202407_20240802.txt"/>
    <x v="98"/>
    <x v="9"/>
    <n v="255814"/>
    <n v="7653501"/>
    <n v="3.34"/>
    <s v="DQS_MAO04_FILE_000_B"/>
    <s v="RECORD COUNT by MBR_ID, DOS_THRU_DT, DX_CD Grain grouped by PAYER, SRC_FILE_NM, DOS_THRU_YYYYMM"/>
  </r>
  <r>
    <x v="0"/>
    <s v="AETNA_MAO4_202407_20240802.txt"/>
    <x v="99"/>
    <x v="9"/>
    <n v="273952"/>
    <n v="7653501"/>
    <n v="3.58"/>
    <s v="DQS_MAO04_FILE_000_B"/>
    <s v="RECORD COUNT by MBR_ID, DOS_THRU_DT, DX_CD Grain grouped by PAYER, SRC_FILE_NM, DOS_THRU_YYYYMM"/>
  </r>
  <r>
    <x v="0"/>
    <s v="AETNA_MAO4_202407_20240802.txt"/>
    <x v="100"/>
    <x v="9"/>
    <n v="233246"/>
    <n v="7653501"/>
    <n v="3.05"/>
    <s v="DQS_MAO04_FILE_000_B"/>
    <s v="RECORD COUNT by MBR_ID, DOS_THRU_DT, DX_CD Grain grouped by PAYER, SRC_FILE_NM, DOS_THRU_YYYYMM"/>
  </r>
  <r>
    <x v="0"/>
    <s v="AETNA_MAO4_202407_20240802.txt"/>
    <x v="102"/>
    <x v="9"/>
    <n v="14656"/>
    <n v="7653501"/>
    <n v="0.19"/>
    <s v="DQS_MAO04_FILE_000_B"/>
    <s v="RECORD COUNT by MBR_ID, DOS_THRU_DT, DX_CD Grain grouped by PAYER, SRC_FILE_NM, DOS_THRU_YYYYMM"/>
  </r>
  <r>
    <x v="0"/>
    <s v="AETNA_MAO4_202408_20240906.txt"/>
    <x v="90"/>
    <x v="10"/>
    <n v="9"/>
    <n v="8158153"/>
    <n v="0"/>
    <s v="DQS_MAO04_FILE_000_B"/>
    <s v="RECORD COUNT by MBR_ID, DOS_THRU_DT, DX_CD Grain grouped by PAYER, SRC_FILE_NM, DOS_THRU_YYYYMM"/>
  </r>
  <r>
    <x v="0"/>
    <s v="AETNA_MAO4_202408_20240906.txt"/>
    <x v="92"/>
    <x v="0"/>
    <n v="3"/>
    <n v="8158153"/>
    <n v="0"/>
    <s v="DQS_MAO04_FILE_000_B"/>
    <s v="RECORD COUNT by MBR_ID, DOS_THRU_DT, DX_CD Grain grouped by PAYER, SRC_FILE_NM, DOS_THRU_YYYYMM"/>
  </r>
  <r>
    <x v="0"/>
    <s v="AETNA_MAO4_202408_20240906.txt"/>
    <x v="93"/>
    <x v="0"/>
    <n v="1"/>
    <n v="8158153"/>
    <n v="0"/>
    <s v="DQS_MAO04_FILE_000_B"/>
    <s v="RECORD COUNT by MBR_ID, DOS_THRU_DT, DX_CD Grain grouped by PAYER, SRC_FILE_NM, DOS_THRU_YYYYMM"/>
  </r>
  <r>
    <x v="0"/>
    <s v="AETNA_MAO4_202408_20240906.txt"/>
    <x v="94"/>
    <x v="0"/>
    <n v="4"/>
    <n v="8158153"/>
    <n v="0"/>
    <s v="DQS_MAO04_FILE_000_B"/>
    <s v="RECORD COUNT by MBR_ID, DOS_THRU_DT, DX_CD Grain grouped by PAYER, SRC_FILE_NM, DOS_THRU_YYYYMM"/>
  </r>
  <r>
    <x v="0"/>
    <s v="AETNA_MAO4_202408_20240906.txt"/>
    <x v="95"/>
    <x v="0"/>
    <n v="5"/>
    <n v="8158153"/>
    <n v="0"/>
    <s v="DQS_MAO04_FILE_000_B"/>
    <s v="RECORD COUNT by MBR_ID, DOS_THRU_DT, DX_CD Grain grouped by PAYER, SRC_FILE_NM, DOS_THRU_YYYYMM"/>
  </r>
  <r>
    <x v="0"/>
    <s v="AETNA_MAO4_202408_20240906.txt"/>
    <x v="0"/>
    <x v="0"/>
    <n v="7"/>
    <n v="8158153"/>
    <n v="0"/>
    <s v="DQS_MAO04_FILE_000_B"/>
    <s v="RECORD COUNT by MBR_ID, DOS_THRU_DT, DX_CD Grain grouped by PAYER, SRC_FILE_NM, DOS_THRU_YYYYMM"/>
  </r>
  <r>
    <x v="0"/>
    <s v="AETNA_MAO4_202408_20240906.txt"/>
    <x v="1"/>
    <x v="0"/>
    <n v="7"/>
    <n v="8158153"/>
    <n v="0"/>
    <s v="DQS_MAO04_FILE_000_B"/>
    <s v="RECORD COUNT by MBR_ID, DOS_THRU_DT, DX_CD Grain grouped by PAYER, SRC_FILE_NM, DOS_THRU_YYYYMM"/>
  </r>
  <r>
    <x v="0"/>
    <s v="AETNA_MAO4_202408_20240906.txt"/>
    <x v="3"/>
    <x v="1"/>
    <n v="6"/>
    <n v="8158153"/>
    <n v="0"/>
    <s v="DQS_MAO04_FILE_000_B"/>
    <s v="RECORD COUNT by MBR_ID, DOS_THRU_DT, DX_CD Grain grouped by PAYER, SRC_FILE_NM, DOS_THRU_YYYYMM"/>
  </r>
  <r>
    <x v="0"/>
    <s v="AETNA_MAO4_202408_20240906.txt"/>
    <x v="4"/>
    <x v="1"/>
    <n v="5"/>
    <n v="8158153"/>
    <n v="0"/>
    <s v="DQS_MAO04_FILE_000_B"/>
    <s v="RECORD COUNT by MBR_ID, DOS_THRU_DT, DX_CD Grain grouped by PAYER, SRC_FILE_NM, DOS_THRU_YYYYMM"/>
  </r>
  <r>
    <x v="0"/>
    <s v="AETNA_MAO4_202408_20240906.txt"/>
    <x v="5"/>
    <x v="1"/>
    <n v="22"/>
    <n v="8158153"/>
    <n v="0"/>
    <s v="DQS_MAO04_FILE_000_B"/>
    <s v="RECORD COUNT by MBR_ID, DOS_THRU_DT, DX_CD Grain grouped by PAYER, SRC_FILE_NM, DOS_THRU_YYYYMM"/>
  </r>
  <r>
    <x v="0"/>
    <s v="AETNA_MAO4_202408_20240906.txt"/>
    <x v="6"/>
    <x v="2"/>
    <n v="6"/>
    <n v="8158153"/>
    <n v="0"/>
    <s v="DQS_MAO04_FILE_000_B"/>
    <s v="RECORD COUNT by MBR_ID, DOS_THRU_DT, DX_CD Grain grouped by PAYER, SRC_FILE_NM, DOS_THRU_YYYYMM"/>
  </r>
  <r>
    <x v="0"/>
    <s v="AETNA_MAO4_202408_20240906.txt"/>
    <x v="7"/>
    <x v="2"/>
    <n v="14"/>
    <n v="8158153"/>
    <n v="0"/>
    <s v="DQS_MAO04_FILE_000_B"/>
    <s v="RECORD COUNT by MBR_ID, DOS_THRU_DT, DX_CD Grain grouped by PAYER, SRC_FILE_NM, DOS_THRU_YYYYMM"/>
  </r>
  <r>
    <x v="0"/>
    <s v="AETNA_MAO4_202408_20240906.txt"/>
    <x v="8"/>
    <x v="2"/>
    <n v="4"/>
    <n v="8158153"/>
    <n v="0"/>
    <s v="DQS_MAO04_FILE_000_B"/>
    <s v="RECORD COUNT by MBR_ID, DOS_THRU_DT, DX_CD Grain grouped by PAYER, SRC_FILE_NM, DOS_THRU_YYYYMM"/>
  </r>
  <r>
    <x v="0"/>
    <s v="AETNA_MAO4_202408_20240906.txt"/>
    <x v="9"/>
    <x v="2"/>
    <n v="3"/>
    <n v="8158153"/>
    <n v="0"/>
    <s v="DQS_MAO04_FILE_000_B"/>
    <s v="RECORD COUNT by MBR_ID, DOS_THRU_DT, DX_CD Grain grouped by PAYER, SRC_FILE_NM, DOS_THRU_YYYYMM"/>
  </r>
  <r>
    <x v="0"/>
    <s v="AETNA_MAO4_202408_20240906.txt"/>
    <x v="10"/>
    <x v="2"/>
    <n v="5"/>
    <n v="8158153"/>
    <n v="0"/>
    <s v="DQS_MAO04_FILE_000_B"/>
    <s v="RECORD COUNT by MBR_ID, DOS_THRU_DT, DX_CD Grain grouped by PAYER, SRC_FILE_NM, DOS_THRU_YYYYMM"/>
  </r>
  <r>
    <x v="0"/>
    <s v="AETNA_MAO4_202408_20240906.txt"/>
    <x v="11"/>
    <x v="2"/>
    <n v="32"/>
    <n v="8158153"/>
    <n v="0"/>
    <s v="DQS_MAO04_FILE_000_B"/>
    <s v="RECORD COUNT by MBR_ID, DOS_THRU_DT, DX_CD Grain grouped by PAYER, SRC_FILE_NM, DOS_THRU_YYYYMM"/>
  </r>
  <r>
    <x v="0"/>
    <s v="AETNA_MAO4_202408_20240906.txt"/>
    <x v="12"/>
    <x v="2"/>
    <n v="16"/>
    <n v="8158153"/>
    <n v="0"/>
    <s v="DQS_MAO04_FILE_000_B"/>
    <s v="RECORD COUNT by MBR_ID, DOS_THRU_DT, DX_CD Grain grouped by PAYER, SRC_FILE_NM, DOS_THRU_YYYYMM"/>
  </r>
  <r>
    <x v="0"/>
    <s v="AETNA_MAO4_202408_20240906.txt"/>
    <x v="13"/>
    <x v="2"/>
    <n v="31"/>
    <n v="8158153"/>
    <n v="0"/>
    <s v="DQS_MAO04_FILE_000_B"/>
    <s v="RECORD COUNT by MBR_ID, DOS_THRU_DT, DX_CD Grain grouped by PAYER, SRC_FILE_NM, DOS_THRU_YYYYMM"/>
  </r>
  <r>
    <x v="0"/>
    <s v="AETNA_MAO4_202408_20240906.txt"/>
    <x v="14"/>
    <x v="2"/>
    <n v="14"/>
    <n v="8158153"/>
    <n v="0"/>
    <s v="DQS_MAO04_FILE_000_B"/>
    <s v="RECORD COUNT by MBR_ID, DOS_THRU_DT, DX_CD Grain grouped by PAYER, SRC_FILE_NM, DOS_THRU_YYYYMM"/>
  </r>
  <r>
    <x v="0"/>
    <s v="AETNA_MAO4_202408_20240906.txt"/>
    <x v="15"/>
    <x v="2"/>
    <n v="23"/>
    <n v="8158153"/>
    <n v="0"/>
    <s v="DQS_MAO04_FILE_000_B"/>
    <s v="RECORD COUNT by MBR_ID, DOS_THRU_DT, DX_CD Grain grouped by PAYER, SRC_FILE_NM, DOS_THRU_YYYYMM"/>
  </r>
  <r>
    <x v="0"/>
    <s v="AETNA_MAO4_202408_20240906.txt"/>
    <x v="16"/>
    <x v="2"/>
    <n v="25"/>
    <n v="8158153"/>
    <n v="0"/>
    <s v="DQS_MAO04_FILE_000_B"/>
    <s v="RECORD COUNT by MBR_ID, DOS_THRU_DT, DX_CD Grain grouped by PAYER, SRC_FILE_NM, DOS_THRU_YYYYMM"/>
  </r>
  <r>
    <x v="0"/>
    <s v="AETNA_MAO4_202408_20240906.txt"/>
    <x v="17"/>
    <x v="3"/>
    <n v="9"/>
    <n v="8158153"/>
    <n v="0"/>
    <s v="DQS_MAO04_FILE_000_B"/>
    <s v="RECORD COUNT by MBR_ID, DOS_THRU_DT, DX_CD Grain grouped by PAYER, SRC_FILE_NM, DOS_THRU_YYYYMM"/>
  </r>
  <r>
    <x v="0"/>
    <s v="AETNA_MAO4_202408_20240906.txt"/>
    <x v="18"/>
    <x v="3"/>
    <n v="14"/>
    <n v="8158153"/>
    <n v="0"/>
    <s v="DQS_MAO04_FILE_000_B"/>
    <s v="RECORD COUNT by MBR_ID, DOS_THRU_DT, DX_CD Grain grouped by PAYER, SRC_FILE_NM, DOS_THRU_YYYYMM"/>
  </r>
  <r>
    <x v="0"/>
    <s v="AETNA_MAO4_202408_20240906.txt"/>
    <x v="19"/>
    <x v="3"/>
    <n v="2"/>
    <n v="8158153"/>
    <n v="0"/>
    <s v="DQS_MAO04_FILE_000_B"/>
    <s v="RECORD COUNT by MBR_ID, DOS_THRU_DT, DX_CD Grain grouped by PAYER, SRC_FILE_NM, DOS_THRU_YYYYMM"/>
  </r>
  <r>
    <x v="0"/>
    <s v="AETNA_MAO4_202408_20240906.txt"/>
    <x v="20"/>
    <x v="3"/>
    <n v="12"/>
    <n v="8158153"/>
    <n v="0"/>
    <s v="DQS_MAO04_FILE_000_B"/>
    <s v="RECORD COUNT by MBR_ID, DOS_THRU_DT, DX_CD Grain grouped by PAYER, SRC_FILE_NM, DOS_THRU_YYYYMM"/>
  </r>
  <r>
    <x v="0"/>
    <s v="AETNA_MAO4_202408_20240906.txt"/>
    <x v="21"/>
    <x v="3"/>
    <n v="27"/>
    <n v="8158153"/>
    <n v="0"/>
    <s v="DQS_MAO04_FILE_000_B"/>
    <s v="RECORD COUNT by MBR_ID, DOS_THRU_DT, DX_CD Grain grouped by PAYER, SRC_FILE_NM, DOS_THRU_YYYYMM"/>
  </r>
  <r>
    <x v="0"/>
    <s v="AETNA_MAO4_202408_20240906.txt"/>
    <x v="22"/>
    <x v="3"/>
    <n v="50"/>
    <n v="8158153"/>
    <n v="0"/>
    <s v="DQS_MAO04_FILE_000_B"/>
    <s v="RECORD COUNT by MBR_ID, DOS_THRU_DT, DX_CD Grain grouped by PAYER, SRC_FILE_NM, DOS_THRU_YYYYMM"/>
  </r>
  <r>
    <x v="0"/>
    <s v="AETNA_MAO4_202408_20240906.txt"/>
    <x v="23"/>
    <x v="3"/>
    <n v="23"/>
    <n v="8158153"/>
    <n v="0"/>
    <s v="DQS_MAO04_FILE_000_B"/>
    <s v="RECORD COUNT by MBR_ID, DOS_THRU_DT, DX_CD Grain grouped by PAYER, SRC_FILE_NM, DOS_THRU_YYYYMM"/>
  </r>
  <r>
    <x v="0"/>
    <s v="AETNA_MAO4_202408_20240906.txt"/>
    <x v="24"/>
    <x v="3"/>
    <n v="67"/>
    <n v="8158153"/>
    <n v="0"/>
    <s v="DQS_MAO04_FILE_000_B"/>
    <s v="RECORD COUNT by MBR_ID, DOS_THRU_DT, DX_CD Grain grouped by PAYER, SRC_FILE_NM, DOS_THRU_YYYYMM"/>
  </r>
  <r>
    <x v="0"/>
    <s v="AETNA_MAO4_202408_20240906.txt"/>
    <x v="25"/>
    <x v="3"/>
    <n v="43"/>
    <n v="8158153"/>
    <n v="0"/>
    <s v="DQS_MAO04_FILE_000_B"/>
    <s v="RECORD COUNT by MBR_ID, DOS_THRU_DT, DX_CD Grain grouped by PAYER, SRC_FILE_NM, DOS_THRU_YYYYMM"/>
  </r>
  <r>
    <x v="0"/>
    <s v="AETNA_MAO4_202408_20240906.txt"/>
    <x v="26"/>
    <x v="3"/>
    <n v="19"/>
    <n v="8158153"/>
    <n v="0"/>
    <s v="DQS_MAO04_FILE_000_B"/>
    <s v="RECORD COUNT by MBR_ID, DOS_THRU_DT, DX_CD Grain grouped by PAYER, SRC_FILE_NM, DOS_THRU_YYYYMM"/>
  </r>
  <r>
    <x v="0"/>
    <s v="AETNA_MAO4_202408_20240906.txt"/>
    <x v="27"/>
    <x v="3"/>
    <n v="3"/>
    <n v="8158153"/>
    <n v="0"/>
    <s v="DQS_MAO04_FILE_000_B"/>
    <s v="RECORD COUNT by MBR_ID, DOS_THRU_DT, DX_CD Grain grouped by PAYER, SRC_FILE_NM, DOS_THRU_YYYYMM"/>
  </r>
  <r>
    <x v="0"/>
    <s v="AETNA_MAO4_202408_20240906.txt"/>
    <x v="28"/>
    <x v="3"/>
    <n v="11"/>
    <n v="8158153"/>
    <n v="0"/>
    <s v="DQS_MAO04_FILE_000_B"/>
    <s v="RECORD COUNT by MBR_ID, DOS_THRU_DT, DX_CD Grain grouped by PAYER, SRC_FILE_NM, DOS_THRU_YYYYMM"/>
  </r>
  <r>
    <x v="0"/>
    <s v="AETNA_MAO4_202408_20240906.txt"/>
    <x v="29"/>
    <x v="4"/>
    <n v="1043"/>
    <n v="8158153"/>
    <n v="0.01"/>
    <s v="DQS_MAO04_FILE_000_B"/>
    <s v="RECORD COUNT by MBR_ID, DOS_THRU_DT, DX_CD Grain grouped by PAYER, SRC_FILE_NM, DOS_THRU_YYYYMM"/>
  </r>
  <r>
    <x v="0"/>
    <s v="AETNA_MAO4_202408_20240906.txt"/>
    <x v="30"/>
    <x v="4"/>
    <n v="946"/>
    <n v="8158153"/>
    <n v="0.01"/>
    <s v="DQS_MAO04_FILE_000_B"/>
    <s v="RECORD COUNT by MBR_ID, DOS_THRU_DT, DX_CD Grain grouped by PAYER, SRC_FILE_NM, DOS_THRU_YYYYMM"/>
  </r>
  <r>
    <x v="0"/>
    <s v="AETNA_MAO4_202408_20240906.txt"/>
    <x v="31"/>
    <x v="4"/>
    <n v="1182"/>
    <n v="8158153"/>
    <n v="0.01"/>
    <s v="DQS_MAO04_FILE_000_B"/>
    <s v="RECORD COUNT by MBR_ID, DOS_THRU_DT, DX_CD Grain grouped by PAYER, SRC_FILE_NM, DOS_THRU_YYYYMM"/>
  </r>
  <r>
    <x v="0"/>
    <s v="AETNA_MAO4_202408_20240906.txt"/>
    <x v="32"/>
    <x v="4"/>
    <n v="1522"/>
    <n v="8158153"/>
    <n v="0.02"/>
    <s v="DQS_MAO04_FILE_000_B"/>
    <s v="RECORD COUNT by MBR_ID, DOS_THRU_DT, DX_CD Grain grouped by PAYER, SRC_FILE_NM, DOS_THRU_YYYYMM"/>
  </r>
  <r>
    <x v="0"/>
    <s v="AETNA_MAO4_202408_20240906.txt"/>
    <x v="33"/>
    <x v="4"/>
    <n v="1256"/>
    <n v="8158153"/>
    <n v="0.02"/>
    <s v="DQS_MAO04_FILE_000_B"/>
    <s v="RECORD COUNT by MBR_ID, DOS_THRU_DT, DX_CD Grain grouped by PAYER, SRC_FILE_NM, DOS_THRU_YYYYMM"/>
  </r>
  <r>
    <x v="0"/>
    <s v="AETNA_MAO4_202408_20240906.txt"/>
    <x v="34"/>
    <x v="4"/>
    <n v="1527"/>
    <n v="8158153"/>
    <n v="0.02"/>
    <s v="DQS_MAO04_FILE_000_B"/>
    <s v="RECORD COUNT by MBR_ID, DOS_THRU_DT, DX_CD Grain grouped by PAYER, SRC_FILE_NM, DOS_THRU_YYYYMM"/>
  </r>
  <r>
    <x v="0"/>
    <s v="AETNA_MAO4_202408_20240906.txt"/>
    <x v="35"/>
    <x v="4"/>
    <n v="1342"/>
    <n v="8158153"/>
    <n v="0.02"/>
    <s v="DQS_MAO04_FILE_000_B"/>
    <s v="RECORD COUNT by MBR_ID, DOS_THRU_DT, DX_CD Grain grouped by PAYER, SRC_FILE_NM, DOS_THRU_YYYYMM"/>
  </r>
  <r>
    <x v="0"/>
    <s v="AETNA_MAO4_202408_20240906.txt"/>
    <x v="36"/>
    <x v="4"/>
    <n v="1343"/>
    <n v="8158153"/>
    <n v="0.02"/>
    <s v="DQS_MAO04_FILE_000_B"/>
    <s v="RECORD COUNT by MBR_ID, DOS_THRU_DT, DX_CD Grain grouped by PAYER, SRC_FILE_NM, DOS_THRU_YYYYMM"/>
  </r>
  <r>
    <x v="0"/>
    <s v="AETNA_MAO4_202408_20240906.txt"/>
    <x v="37"/>
    <x v="4"/>
    <n v="939"/>
    <n v="8158153"/>
    <n v="0.01"/>
    <s v="DQS_MAO04_FILE_000_B"/>
    <s v="RECORD COUNT by MBR_ID, DOS_THRU_DT, DX_CD Grain grouped by PAYER, SRC_FILE_NM, DOS_THRU_YYYYMM"/>
  </r>
  <r>
    <x v="0"/>
    <s v="AETNA_MAO4_202408_20240906.txt"/>
    <x v="38"/>
    <x v="4"/>
    <n v="1235"/>
    <n v="8158153"/>
    <n v="0.02"/>
    <s v="DQS_MAO04_FILE_000_B"/>
    <s v="RECORD COUNT by MBR_ID, DOS_THRU_DT, DX_CD Grain grouped by PAYER, SRC_FILE_NM, DOS_THRU_YYYYMM"/>
  </r>
  <r>
    <x v="0"/>
    <s v="AETNA_MAO4_202408_20240906.txt"/>
    <x v="39"/>
    <x v="4"/>
    <n v="952"/>
    <n v="8158153"/>
    <n v="0.01"/>
    <s v="DQS_MAO04_FILE_000_B"/>
    <s v="RECORD COUNT by MBR_ID, DOS_THRU_DT, DX_CD Grain grouped by PAYER, SRC_FILE_NM, DOS_THRU_YYYYMM"/>
  </r>
  <r>
    <x v="0"/>
    <s v="AETNA_MAO4_202408_20240906.txt"/>
    <x v="40"/>
    <x v="4"/>
    <n v="686"/>
    <n v="8158153"/>
    <n v="0.01"/>
    <s v="DQS_MAO04_FILE_000_B"/>
    <s v="RECORD COUNT by MBR_ID, DOS_THRU_DT, DX_CD Grain grouped by PAYER, SRC_FILE_NM, DOS_THRU_YYYYMM"/>
  </r>
  <r>
    <x v="0"/>
    <s v="AETNA_MAO4_202408_20240906.txt"/>
    <x v="41"/>
    <x v="5"/>
    <n v="36517"/>
    <n v="8158153"/>
    <n v="0.45"/>
    <s v="DQS_MAO04_FILE_000_B"/>
    <s v="RECORD COUNT by MBR_ID, DOS_THRU_DT, DX_CD Grain grouped by PAYER, SRC_FILE_NM, DOS_THRU_YYYYMM"/>
  </r>
  <r>
    <x v="0"/>
    <s v="AETNA_MAO4_202408_20240906.txt"/>
    <x v="42"/>
    <x v="5"/>
    <n v="33333"/>
    <n v="8158153"/>
    <n v="0.41"/>
    <s v="DQS_MAO04_FILE_000_B"/>
    <s v="RECORD COUNT by MBR_ID, DOS_THRU_DT, DX_CD Grain grouped by PAYER, SRC_FILE_NM, DOS_THRU_YYYYMM"/>
  </r>
  <r>
    <x v="0"/>
    <s v="AETNA_MAO4_202408_20240906.txt"/>
    <x v="43"/>
    <x v="5"/>
    <n v="30491"/>
    <n v="8158153"/>
    <n v="0.37"/>
    <s v="DQS_MAO04_FILE_000_B"/>
    <s v="RECORD COUNT by MBR_ID, DOS_THRU_DT, DX_CD Grain grouped by PAYER, SRC_FILE_NM, DOS_THRU_YYYYMM"/>
  </r>
  <r>
    <x v="0"/>
    <s v="AETNA_MAO4_202408_20240906.txt"/>
    <x v="44"/>
    <x v="5"/>
    <n v="17222"/>
    <n v="8158153"/>
    <n v="0.21"/>
    <s v="DQS_MAO04_FILE_000_B"/>
    <s v="RECORD COUNT by MBR_ID, DOS_THRU_DT, DX_CD Grain grouped by PAYER, SRC_FILE_NM, DOS_THRU_YYYYMM"/>
  </r>
  <r>
    <x v="0"/>
    <s v="AETNA_MAO4_202408_20240906.txt"/>
    <x v="45"/>
    <x v="5"/>
    <n v="32913"/>
    <n v="8158153"/>
    <n v="0.4"/>
    <s v="DQS_MAO04_FILE_000_B"/>
    <s v="RECORD COUNT by MBR_ID, DOS_THRU_DT, DX_CD Grain grouped by PAYER, SRC_FILE_NM, DOS_THRU_YYYYMM"/>
  </r>
  <r>
    <x v="0"/>
    <s v="AETNA_MAO4_202408_20240906.txt"/>
    <x v="46"/>
    <x v="5"/>
    <n v="39738"/>
    <n v="8158153"/>
    <n v="0.49"/>
    <s v="DQS_MAO04_FILE_000_B"/>
    <s v="RECORD COUNT by MBR_ID, DOS_THRU_DT, DX_CD Grain grouped by PAYER, SRC_FILE_NM, DOS_THRU_YYYYMM"/>
  </r>
  <r>
    <x v="0"/>
    <s v="AETNA_MAO4_202408_20240906.txt"/>
    <x v="47"/>
    <x v="5"/>
    <n v="29326"/>
    <n v="8158153"/>
    <n v="0.36"/>
    <s v="DQS_MAO04_FILE_000_B"/>
    <s v="RECORD COUNT by MBR_ID, DOS_THRU_DT, DX_CD Grain grouped by PAYER, SRC_FILE_NM, DOS_THRU_YYYYMM"/>
  </r>
  <r>
    <x v="0"/>
    <s v="AETNA_MAO4_202408_20240906.txt"/>
    <x v="48"/>
    <x v="5"/>
    <n v="30069"/>
    <n v="8158153"/>
    <n v="0.37"/>
    <s v="DQS_MAO04_FILE_000_B"/>
    <s v="RECORD COUNT by MBR_ID, DOS_THRU_DT, DX_CD Grain grouped by PAYER, SRC_FILE_NM, DOS_THRU_YYYYMM"/>
  </r>
  <r>
    <x v="0"/>
    <s v="AETNA_MAO4_202408_20240906.txt"/>
    <x v="49"/>
    <x v="5"/>
    <n v="30526"/>
    <n v="8158153"/>
    <n v="0.37"/>
    <s v="DQS_MAO04_FILE_000_B"/>
    <s v="RECORD COUNT by MBR_ID, DOS_THRU_DT, DX_CD Grain grouped by PAYER, SRC_FILE_NM, DOS_THRU_YYYYMM"/>
  </r>
  <r>
    <x v="0"/>
    <s v="AETNA_MAO4_202408_20240906.txt"/>
    <x v="50"/>
    <x v="5"/>
    <n v="31912"/>
    <n v="8158153"/>
    <n v="0.39"/>
    <s v="DQS_MAO04_FILE_000_B"/>
    <s v="RECORD COUNT by MBR_ID, DOS_THRU_DT, DX_CD Grain grouped by PAYER, SRC_FILE_NM, DOS_THRU_YYYYMM"/>
  </r>
  <r>
    <x v="0"/>
    <s v="AETNA_MAO4_202408_20240906.txt"/>
    <x v="51"/>
    <x v="5"/>
    <n v="27811"/>
    <n v="8158153"/>
    <n v="0.34"/>
    <s v="DQS_MAO04_FILE_000_B"/>
    <s v="RECORD COUNT by MBR_ID, DOS_THRU_DT, DX_CD Grain grouped by PAYER, SRC_FILE_NM, DOS_THRU_YYYYMM"/>
  </r>
  <r>
    <x v="0"/>
    <s v="AETNA_MAO4_202408_20240906.txt"/>
    <x v="52"/>
    <x v="5"/>
    <n v="30439"/>
    <n v="8158153"/>
    <n v="0.37"/>
    <s v="DQS_MAO04_FILE_000_B"/>
    <s v="RECORD COUNT by MBR_ID, DOS_THRU_DT, DX_CD Grain grouped by PAYER, SRC_FILE_NM, DOS_THRU_YYYYMM"/>
  </r>
  <r>
    <x v="0"/>
    <s v="AETNA_MAO4_202408_20240906.txt"/>
    <x v="53"/>
    <x v="6"/>
    <n v="59953"/>
    <n v="8158153"/>
    <n v="0.73"/>
    <s v="DQS_MAO04_FILE_000_B"/>
    <s v="RECORD COUNT by MBR_ID, DOS_THRU_DT, DX_CD Grain grouped by PAYER, SRC_FILE_NM, DOS_THRU_YYYYMM"/>
  </r>
  <r>
    <x v="0"/>
    <s v="AETNA_MAO4_202408_20240906.txt"/>
    <x v="54"/>
    <x v="6"/>
    <n v="42547"/>
    <n v="8158153"/>
    <n v="0.52"/>
    <s v="DQS_MAO04_FILE_000_B"/>
    <s v="RECORD COUNT by MBR_ID, DOS_THRU_DT, DX_CD Grain grouped by PAYER, SRC_FILE_NM, DOS_THRU_YYYYMM"/>
  </r>
  <r>
    <x v="0"/>
    <s v="AETNA_MAO4_202408_20240906.txt"/>
    <x v="55"/>
    <x v="6"/>
    <n v="60501"/>
    <n v="8158153"/>
    <n v="0.74"/>
    <s v="DQS_MAO04_FILE_000_B"/>
    <s v="RECORD COUNT by MBR_ID, DOS_THRU_DT, DX_CD Grain grouped by PAYER, SRC_FILE_NM, DOS_THRU_YYYYMM"/>
  </r>
  <r>
    <x v="0"/>
    <s v="AETNA_MAO4_202408_20240906.txt"/>
    <x v="56"/>
    <x v="6"/>
    <n v="68923"/>
    <n v="8158153"/>
    <n v="0.84"/>
    <s v="DQS_MAO04_FILE_000_B"/>
    <s v="RECORD COUNT by MBR_ID, DOS_THRU_DT, DX_CD Grain grouped by PAYER, SRC_FILE_NM, DOS_THRU_YYYYMM"/>
  </r>
  <r>
    <x v="0"/>
    <s v="AETNA_MAO4_202408_20240906.txt"/>
    <x v="57"/>
    <x v="6"/>
    <n v="64261"/>
    <n v="8158153"/>
    <n v="0.79"/>
    <s v="DQS_MAO04_FILE_000_B"/>
    <s v="RECORD COUNT by MBR_ID, DOS_THRU_DT, DX_CD Grain grouped by PAYER, SRC_FILE_NM, DOS_THRU_YYYYMM"/>
  </r>
  <r>
    <x v="0"/>
    <s v="AETNA_MAO4_202408_20240906.txt"/>
    <x v="58"/>
    <x v="6"/>
    <n v="70928"/>
    <n v="8158153"/>
    <n v="0.87"/>
    <s v="DQS_MAO04_FILE_000_B"/>
    <s v="RECORD COUNT by MBR_ID, DOS_THRU_DT, DX_CD Grain grouped by PAYER, SRC_FILE_NM, DOS_THRU_YYYYMM"/>
  </r>
  <r>
    <x v="0"/>
    <s v="AETNA_MAO4_202408_20240906.txt"/>
    <x v="59"/>
    <x v="6"/>
    <n v="127930"/>
    <n v="8158153"/>
    <n v="1.57"/>
    <s v="DQS_MAO04_FILE_000_B"/>
    <s v="RECORD COUNT by MBR_ID, DOS_THRU_DT, DX_CD Grain grouped by PAYER, SRC_FILE_NM, DOS_THRU_YYYYMM"/>
  </r>
  <r>
    <x v="0"/>
    <s v="AETNA_MAO4_202408_20240906.txt"/>
    <x v="60"/>
    <x v="6"/>
    <n v="141483"/>
    <n v="8158153"/>
    <n v="1.73"/>
    <s v="DQS_MAO04_FILE_000_B"/>
    <s v="RECORD COUNT by MBR_ID, DOS_THRU_DT, DX_CD Grain grouped by PAYER, SRC_FILE_NM, DOS_THRU_YYYYMM"/>
  </r>
  <r>
    <x v="0"/>
    <s v="AETNA_MAO4_202408_20240906.txt"/>
    <x v="61"/>
    <x v="6"/>
    <n v="238218"/>
    <n v="8158153"/>
    <n v="2.92"/>
    <s v="DQS_MAO04_FILE_000_B"/>
    <s v="RECORD COUNT by MBR_ID, DOS_THRU_DT, DX_CD Grain grouped by PAYER, SRC_FILE_NM, DOS_THRU_YYYYMM"/>
  </r>
  <r>
    <x v="0"/>
    <s v="AETNA_MAO4_202408_20240906.txt"/>
    <x v="62"/>
    <x v="6"/>
    <n v="239193"/>
    <n v="8158153"/>
    <n v="2.93"/>
    <s v="DQS_MAO04_FILE_000_B"/>
    <s v="RECORD COUNT by MBR_ID, DOS_THRU_DT, DX_CD Grain grouped by PAYER, SRC_FILE_NM, DOS_THRU_YYYYMM"/>
  </r>
  <r>
    <x v="0"/>
    <s v="AETNA_MAO4_202408_20240906.txt"/>
    <x v="63"/>
    <x v="6"/>
    <n v="238131"/>
    <n v="8158153"/>
    <n v="2.92"/>
    <s v="DQS_MAO04_FILE_000_B"/>
    <s v="RECORD COUNT by MBR_ID, DOS_THRU_DT, DX_CD Grain grouped by PAYER, SRC_FILE_NM, DOS_THRU_YYYYMM"/>
  </r>
  <r>
    <x v="0"/>
    <s v="AETNA_MAO4_202408_20240906.txt"/>
    <x v="64"/>
    <x v="6"/>
    <n v="238561"/>
    <n v="8158153"/>
    <n v="2.92"/>
    <s v="DQS_MAO04_FILE_000_B"/>
    <s v="RECORD COUNT by MBR_ID, DOS_THRU_DT, DX_CD Grain grouped by PAYER, SRC_FILE_NM, DOS_THRU_YYYYMM"/>
  </r>
  <r>
    <x v="0"/>
    <s v="AETNA_MAO4_202408_20240906.txt"/>
    <x v="65"/>
    <x v="7"/>
    <n v="191667"/>
    <n v="8158153"/>
    <n v="2.35"/>
    <s v="DQS_MAO04_FILE_000_B"/>
    <s v="RECORD COUNT by MBR_ID, DOS_THRU_DT, DX_CD Grain grouped by PAYER, SRC_FILE_NM, DOS_THRU_YYYYMM"/>
  </r>
  <r>
    <x v="0"/>
    <s v="AETNA_MAO4_202408_20240906.txt"/>
    <x v="66"/>
    <x v="7"/>
    <n v="165660"/>
    <n v="8158153"/>
    <n v="2.0299999999999998"/>
    <s v="DQS_MAO04_FILE_000_B"/>
    <s v="RECORD COUNT by MBR_ID, DOS_THRU_DT, DX_CD Grain grouped by PAYER, SRC_FILE_NM, DOS_THRU_YYYYMM"/>
  </r>
  <r>
    <x v="0"/>
    <s v="AETNA_MAO4_202408_20240906.txt"/>
    <x v="67"/>
    <x v="7"/>
    <n v="211877"/>
    <n v="8158153"/>
    <n v="2.6"/>
    <s v="DQS_MAO04_FILE_000_B"/>
    <s v="RECORD COUNT by MBR_ID, DOS_THRU_DT, DX_CD Grain grouped by PAYER, SRC_FILE_NM, DOS_THRU_YYYYMM"/>
  </r>
  <r>
    <x v="0"/>
    <s v="AETNA_MAO4_202408_20240906.txt"/>
    <x v="68"/>
    <x v="7"/>
    <n v="183003"/>
    <n v="8158153"/>
    <n v="2.2400000000000002"/>
    <s v="DQS_MAO04_FILE_000_B"/>
    <s v="RECORD COUNT by MBR_ID, DOS_THRU_DT, DX_CD Grain grouped by PAYER, SRC_FILE_NM, DOS_THRU_YYYYMM"/>
  </r>
  <r>
    <x v="0"/>
    <s v="AETNA_MAO4_202408_20240906.txt"/>
    <x v="69"/>
    <x v="7"/>
    <n v="187145"/>
    <n v="8158153"/>
    <n v="2.29"/>
    <s v="DQS_MAO04_FILE_000_B"/>
    <s v="RECORD COUNT by MBR_ID, DOS_THRU_DT, DX_CD Grain grouped by PAYER, SRC_FILE_NM, DOS_THRU_YYYYMM"/>
  </r>
  <r>
    <x v="0"/>
    <s v="AETNA_MAO4_202408_20240906.txt"/>
    <x v="70"/>
    <x v="7"/>
    <n v="193334"/>
    <n v="8158153"/>
    <n v="2.37"/>
    <s v="DQS_MAO04_FILE_000_B"/>
    <s v="RECORD COUNT by MBR_ID, DOS_THRU_DT, DX_CD Grain grouped by PAYER, SRC_FILE_NM, DOS_THRU_YYYYMM"/>
  </r>
  <r>
    <x v="0"/>
    <s v="AETNA_MAO4_202408_20240906.txt"/>
    <x v="71"/>
    <x v="7"/>
    <n v="177277"/>
    <n v="8158153"/>
    <n v="2.17"/>
    <s v="DQS_MAO04_FILE_000_B"/>
    <s v="RECORD COUNT by MBR_ID, DOS_THRU_DT, DX_CD Grain grouped by PAYER, SRC_FILE_NM, DOS_THRU_YYYYMM"/>
  </r>
  <r>
    <x v="0"/>
    <s v="AETNA_MAO4_202408_20240906.txt"/>
    <x v="72"/>
    <x v="7"/>
    <n v="196950"/>
    <n v="8158153"/>
    <n v="2.41"/>
    <s v="DQS_MAO04_FILE_000_B"/>
    <s v="RECORD COUNT by MBR_ID, DOS_THRU_DT, DX_CD Grain grouped by PAYER, SRC_FILE_NM, DOS_THRU_YYYYMM"/>
  </r>
  <r>
    <x v="0"/>
    <s v="AETNA_MAO4_202408_20240906.txt"/>
    <x v="73"/>
    <x v="7"/>
    <n v="184022"/>
    <n v="8158153"/>
    <n v="2.2599999999999998"/>
    <s v="DQS_MAO04_FILE_000_B"/>
    <s v="RECORD COUNT by MBR_ID, DOS_THRU_DT, DX_CD Grain grouped by PAYER, SRC_FILE_NM, DOS_THRU_YYYYMM"/>
  </r>
  <r>
    <x v="0"/>
    <s v="AETNA_MAO4_202408_20240906.txt"/>
    <x v="74"/>
    <x v="7"/>
    <n v="190007"/>
    <n v="8158153"/>
    <n v="2.33"/>
    <s v="DQS_MAO04_FILE_000_B"/>
    <s v="RECORD COUNT by MBR_ID, DOS_THRU_DT, DX_CD Grain grouped by PAYER, SRC_FILE_NM, DOS_THRU_YYYYMM"/>
  </r>
  <r>
    <x v="0"/>
    <s v="AETNA_MAO4_202408_20240906.txt"/>
    <x v="75"/>
    <x v="7"/>
    <n v="186468"/>
    <n v="8158153"/>
    <n v="2.29"/>
    <s v="DQS_MAO04_FILE_000_B"/>
    <s v="RECORD COUNT by MBR_ID, DOS_THRU_DT, DX_CD Grain grouped by PAYER, SRC_FILE_NM, DOS_THRU_YYYYMM"/>
  </r>
  <r>
    <x v="0"/>
    <s v="AETNA_MAO4_202408_20240906.txt"/>
    <x v="76"/>
    <x v="7"/>
    <n v="172607"/>
    <n v="8158153"/>
    <n v="2.12"/>
    <s v="DQS_MAO04_FILE_000_B"/>
    <s v="RECORD COUNT by MBR_ID, DOS_THRU_DT, DX_CD Grain grouped by PAYER, SRC_FILE_NM, DOS_THRU_YYYYMM"/>
  </r>
  <r>
    <x v="0"/>
    <s v="AETNA_MAO4_202408_20240906.txt"/>
    <x v="77"/>
    <x v="8"/>
    <n v="196666"/>
    <n v="8158153"/>
    <n v="2.41"/>
    <s v="DQS_MAO04_FILE_000_B"/>
    <s v="RECORD COUNT by MBR_ID, DOS_THRU_DT, DX_CD Grain grouped by PAYER, SRC_FILE_NM, DOS_THRU_YYYYMM"/>
  </r>
  <r>
    <x v="0"/>
    <s v="AETNA_MAO4_202408_20240906.txt"/>
    <x v="78"/>
    <x v="8"/>
    <n v="189991"/>
    <n v="8158153"/>
    <n v="2.33"/>
    <s v="DQS_MAO04_FILE_000_B"/>
    <s v="RECORD COUNT by MBR_ID, DOS_THRU_DT, DX_CD Grain grouped by PAYER, SRC_FILE_NM, DOS_THRU_YYYYMM"/>
  </r>
  <r>
    <x v="0"/>
    <s v="AETNA_MAO4_202408_20240906.txt"/>
    <x v="79"/>
    <x v="8"/>
    <n v="209910"/>
    <n v="8158153"/>
    <n v="2.57"/>
    <s v="DQS_MAO04_FILE_000_B"/>
    <s v="RECORD COUNT by MBR_ID, DOS_THRU_DT, DX_CD Grain grouped by PAYER, SRC_FILE_NM, DOS_THRU_YYYYMM"/>
  </r>
  <r>
    <x v="0"/>
    <s v="AETNA_MAO4_202408_20240906.txt"/>
    <x v="80"/>
    <x v="8"/>
    <n v="187355"/>
    <n v="8158153"/>
    <n v="2.2999999999999998"/>
    <s v="DQS_MAO04_FILE_000_B"/>
    <s v="RECORD COUNT by MBR_ID, DOS_THRU_DT, DX_CD Grain grouped by PAYER, SRC_FILE_NM, DOS_THRU_YYYYMM"/>
  </r>
  <r>
    <x v="0"/>
    <s v="AETNA_MAO4_202408_20240906.txt"/>
    <x v="81"/>
    <x v="8"/>
    <n v="196774"/>
    <n v="8158153"/>
    <n v="2.41"/>
    <s v="DQS_MAO04_FILE_000_B"/>
    <s v="RECORD COUNT by MBR_ID, DOS_THRU_DT, DX_CD Grain grouped by PAYER, SRC_FILE_NM, DOS_THRU_YYYYMM"/>
  </r>
  <r>
    <x v="0"/>
    <s v="AETNA_MAO4_202408_20240906.txt"/>
    <x v="82"/>
    <x v="8"/>
    <n v="192966"/>
    <n v="8158153"/>
    <n v="2.37"/>
    <s v="DQS_MAO04_FILE_000_B"/>
    <s v="RECORD COUNT by MBR_ID, DOS_THRU_DT, DX_CD Grain grouped by PAYER, SRC_FILE_NM, DOS_THRU_YYYYMM"/>
  </r>
  <r>
    <x v="0"/>
    <s v="AETNA_MAO4_202408_20240906.txt"/>
    <x v="83"/>
    <x v="8"/>
    <n v="169926"/>
    <n v="8158153"/>
    <n v="2.08"/>
    <s v="DQS_MAO04_FILE_000_B"/>
    <s v="RECORD COUNT by MBR_ID, DOS_THRU_DT, DX_CD Grain grouped by PAYER, SRC_FILE_NM, DOS_THRU_YYYYMM"/>
  </r>
  <r>
    <x v="0"/>
    <s v="AETNA_MAO4_202408_20240906.txt"/>
    <x v="84"/>
    <x v="8"/>
    <n v="188478"/>
    <n v="8158153"/>
    <n v="2.31"/>
    <s v="DQS_MAO04_FILE_000_B"/>
    <s v="RECORD COUNT by MBR_ID, DOS_THRU_DT, DX_CD Grain grouped by PAYER, SRC_FILE_NM, DOS_THRU_YYYYMM"/>
  </r>
  <r>
    <x v="0"/>
    <s v="AETNA_MAO4_202408_20240906.txt"/>
    <x v="85"/>
    <x v="8"/>
    <n v="176562"/>
    <n v="8158153"/>
    <n v="2.16"/>
    <s v="DQS_MAO04_FILE_000_B"/>
    <s v="RECORD COUNT by MBR_ID, DOS_THRU_DT, DX_CD Grain grouped by PAYER, SRC_FILE_NM, DOS_THRU_YYYYMM"/>
  </r>
  <r>
    <x v="0"/>
    <s v="AETNA_MAO4_202408_20240906.txt"/>
    <x v="86"/>
    <x v="8"/>
    <n v="192964"/>
    <n v="8158153"/>
    <n v="2.37"/>
    <s v="DQS_MAO04_FILE_000_B"/>
    <s v="RECORD COUNT by MBR_ID, DOS_THRU_DT, DX_CD Grain grouped by PAYER, SRC_FILE_NM, DOS_THRU_YYYYMM"/>
  </r>
  <r>
    <x v="0"/>
    <s v="AETNA_MAO4_202408_20240906.txt"/>
    <x v="87"/>
    <x v="8"/>
    <n v="178950"/>
    <n v="8158153"/>
    <n v="2.19"/>
    <s v="DQS_MAO04_FILE_000_B"/>
    <s v="RECORD COUNT by MBR_ID, DOS_THRU_DT, DX_CD Grain grouped by PAYER, SRC_FILE_NM, DOS_THRU_YYYYMM"/>
  </r>
  <r>
    <x v="0"/>
    <s v="AETNA_MAO4_202408_20240906.txt"/>
    <x v="88"/>
    <x v="8"/>
    <n v="172038"/>
    <n v="8158153"/>
    <n v="2.11"/>
    <s v="DQS_MAO04_FILE_000_B"/>
    <s v="RECORD COUNT by MBR_ID, DOS_THRU_DT, DX_CD Grain grouped by PAYER, SRC_FILE_NM, DOS_THRU_YYYYMM"/>
  </r>
  <r>
    <x v="0"/>
    <s v="AETNA_MAO4_202408_20240906.txt"/>
    <x v="89"/>
    <x v="9"/>
    <n v="267666"/>
    <n v="8158153"/>
    <n v="3.28"/>
    <s v="DQS_MAO04_FILE_000_B"/>
    <s v="RECORD COUNT by MBR_ID, DOS_THRU_DT, DX_CD Grain grouped by PAYER, SRC_FILE_NM, DOS_THRU_YYYYMM"/>
  </r>
  <r>
    <x v="0"/>
    <s v="AETNA_MAO4_202408_20240906.txt"/>
    <x v="97"/>
    <x v="9"/>
    <n v="270307"/>
    <n v="8158153"/>
    <n v="3.31"/>
    <s v="DQS_MAO04_FILE_000_B"/>
    <s v="RECORD COUNT by MBR_ID, DOS_THRU_DT, DX_CD Grain grouped by PAYER, SRC_FILE_NM, DOS_THRU_YYYYMM"/>
  </r>
  <r>
    <x v="0"/>
    <s v="AETNA_MAO4_202408_20240906.txt"/>
    <x v="98"/>
    <x v="9"/>
    <n v="275771"/>
    <n v="8158153"/>
    <n v="3.38"/>
    <s v="DQS_MAO04_FILE_000_B"/>
    <s v="RECORD COUNT by MBR_ID, DOS_THRU_DT, DX_CD Grain grouped by PAYER, SRC_FILE_NM, DOS_THRU_YYYYMM"/>
  </r>
  <r>
    <x v="0"/>
    <s v="AETNA_MAO4_202408_20240906.txt"/>
    <x v="99"/>
    <x v="9"/>
    <n v="295951"/>
    <n v="8158153"/>
    <n v="3.63"/>
    <s v="DQS_MAO04_FILE_000_B"/>
    <s v="RECORD COUNT by MBR_ID, DOS_THRU_DT, DX_CD Grain grouped by PAYER, SRC_FILE_NM, DOS_THRU_YYYYMM"/>
  </r>
  <r>
    <x v="0"/>
    <s v="AETNA_MAO4_202408_20240906.txt"/>
    <x v="100"/>
    <x v="9"/>
    <n v="286552"/>
    <n v="8158153"/>
    <n v="3.51"/>
    <s v="DQS_MAO04_FILE_000_B"/>
    <s v="RECORD COUNT by MBR_ID, DOS_THRU_DT, DX_CD Grain grouped by PAYER, SRC_FILE_NM, DOS_THRU_YYYYMM"/>
  </r>
  <r>
    <x v="0"/>
    <s v="AETNA_MAO4_202408_20240906.txt"/>
    <x v="102"/>
    <x v="9"/>
    <n v="245341"/>
    <n v="8158153"/>
    <n v="3.01"/>
    <s v="DQS_MAO04_FILE_000_B"/>
    <s v="RECORD COUNT by MBR_ID, DOS_THRU_DT, DX_CD Grain grouped by PAYER, SRC_FILE_NM, DOS_THRU_YYYYMM"/>
  </r>
  <r>
    <x v="0"/>
    <s v="AETNA_MAO4_202408_20240906.txt"/>
    <x v="103"/>
    <x v="9"/>
    <n v="48547"/>
    <n v="8158153"/>
    <n v="0.6"/>
    <s v="DQS_MAO04_FILE_000_B"/>
    <s v="RECORD COUNT by MBR_ID, DOS_THRU_DT, DX_CD Grain grouped by PAYER, SRC_FILE_NM, DOS_THRU_YYYYMM"/>
  </r>
  <r>
    <x v="0"/>
    <s v="AETNA_MAO4_202409_20241002.txt"/>
    <x v="90"/>
    <x v="10"/>
    <n v="6"/>
    <n v="7487777"/>
    <n v="0"/>
    <s v="DQS_MAO04_FILE_000_B"/>
    <s v="RECORD COUNT by MBR_ID, DOS_THRU_DT, DX_CD Grain grouped by PAYER, SRC_FILE_NM, DOS_THRU_YYYYMM"/>
  </r>
  <r>
    <x v="0"/>
    <s v="AETNA_MAO4_202409_20241002.txt"/>
    <x v="104"/>
    <x v="0"/>
    <n v="3"/>
    <n v="7487777"/>
    <n v="0"/>
    <s v="DQS_MAO04_FILE_000_B"/>
    <s v="RECORD COUNT by MBR_ID, DOS_THRU_DT, DX_CD Grain grouped by PAYER, SRC_FILE_NM, DOS_THRU_YYYYMM"/>
  </r>
  <r>
    <x v="0"/>
    <s v="AETNA_MAO4_202409_20241002.txt"/>
    <x v="91"/>
    <x v="0"/>
    <n v="4"/>
    <n v="7487777"/>
    <n v="0"/>
    <s v="DQS_MAO04_FILE_000_B"/>
    <s v="RECORD COUNT by MBR_ID, DOS_THRU_DT, DX_CD Grain grouped by PAYER, SRC_FILE_NM, DOS_THRU_YYYYMM"/>
  </r>
  <r>
    <x v="0"/>
    <s v="AETNA_MAO4_202409_20241002.txt"/>
    <x v="92"/>
    <x v="0"/>
    <n v="5"/>
    <n v="7487777"/>
    <n v="0"/>
    <s v="DQS_MAO04_FILE_000_B"/>
    <s v="RECORD COUNT by MBR_ID, DOS_THRU_DT, DX_CD Grain grouped by PAYER, SRC_FILE_NM, DOS_THRU_YYYYMM"/>
  </r>
  <r>
    <x v="0"/>
    <s v="AETNA_MAO4_202409_20241002.txt"/>
    <x v="93"/>
    <x v="0"/>
    <n v="2"/>
    <n v="7487777"/>
    <n v="0"/>
    <s v="DQS_MAO04_FILE_000_B"/>
    <s v="RECORD COUNT by MBR_ID, DOS_THRU_DT, DX_CD Grain grouped by PAYER, SRC_FILE_NM, DOS_THRU_YYYYMM"/>
  </r>
  <r>
    <x v="0"/>
    <s v="AETNA_MAO4_202409_20241002.txt"/>
    <x v="94"/>
    <x v="0"/>
    <n v="1"/>
    <n v="7487777"/>
    <n v="0"/>
    <s v="DQS_MAO04_FILE_000_B"/>
    <s v="RECORD COUNT by MBR_ID, DOS_THRU_DT, DX_CD Grain grouped by PAYER, SRC_FILE_NM, DOS_THRU_YYYYMM"/>
  </r>
  <r>
    <x v="0"/>
    <s v="AETNA_MAO4_202409_20241002.txt"/>
    <x v="95"/>
    <x v="0"/>
    <n v="2"/>
    <n v="7487777"/>
    <n v="0"/>
    <s v="DQS_MAO04_FILE_000_B"/>
    <s v="RECORD COUNT by MBR_ID, DOS_THRU_DT, DX_CD Grain grouped by PAYER, SRC_FILE_NM, DOS_THRU_YYYYMM"/>
  </r>
  <r>
    <x v="0"/>
    <s v="AETNA_MAO4_202409_20241002.txt"/>
    <x v="96"/>
    <x v="0"/>
    <n v="2"/>
    <n v="7487777"/>
    <n v="0"/>
    <s v="DQS_MAO04_FILE_000_B"/>
    <s v="RECORD COUNT by MBR_ID, DOS_THRU_DT, DX_CD Grain grouped by PAYER, SRC_FILE_NM, DOS_THRU_YYYYMM"/>
  </r>
  <r>
    <x v="0"/>
    <s v="AETNA_MAO4_202409_20241002.txt"/>
    <x v="0"/>
    <x v="0"/>
    <n v="3"/>
    <n v="7487777"/>
    <n v="0"/>
    <s v="DQS_MAO04_FILE_000_B"/>
    <s v="RECORD COUNT by MBR_ID, DOS_THRU_DT, DX_CD Grain grouped by PAYER, SRC_FILE_NM, DOS_THRU_YYYYMM"/>
  </r>
  <r>
    <x v="0"/>
    <s v="AETNA_MAO4_202409_20241002.txt"/>
    <x v="3"/>
    <x v="1"/>
    <n v="8"/>
    <n v="7487777"/>
    <n v="0"/>
    <s v="DQS_MAO04_FILE_000_B"/>
    <s v="RECORD COUNT by MBR_ID, DOS_THRU_DT, DX_CD Grain grouped by PAYER, SRC_FILE_NM, DOS_THRU_YYYYMM"/>
  </r>
  <r>
    <x v="0"/>
    <s v="AETNA_MAO4_202409_20241002.txt"/>
    <x v="4"/>
    <x v="1"/>
    <n v="5"/>
    <n v="7487777"/>
    <n v="0"/>
    <s v="DQS_MAO04_FILE_000_B"/>
    <s v="RECORD COUNT by MBR_ID, DOS_THRU_DT, DX_CD Grain grouped by PAYER, SRC_FILE_NM, DOS_THRU_YYYYMM"/>
  </r>
  <r>
    <x v="0"/>
    <s v="AETNA_MAO4_202409_20241002.txt"/>
    <x v="5"/>
    <x v="1"/>
    <n v="12"/>
    <n v="7487777"/>
    <n v="0"/>
    <s v="DQS_MAO04_FILE_000_B"/>
    <s v="RECORD COUNT by MBR_ID, DOS_THRU_DT, DX_CD Grain grouped by PAYER, SRC_FILE_NM, DOS_THRU_YYYYMM"/>
  </r>
  <r>
    <x v="0"/>
    <s v="AETNA_MAO4_202409_20241002.txt"/>
    <x v="6"/>
    <x v="2"/>
    <n v="6"/>
    <n v="7487777"/>
    <n v="0"/>
    <s v="DQS_MAO04_FILE_000_B"/>
    <s v="RECORD COUNT by MBR_ID, DOS_THRU_DT, DX_CD Grain grouped by PAYER, SRC_FILE_NM, DOS_THRU_YYYYMM"/>
  </r>
  <r>
    <x v="0"/>
    <s v="AETNA_MAO4_202409_20241002.txt"/>
    <x v="7"/>
    <x v="2"/>
    <n v="10"/>
    <n v="7487777"/>
    <n v="0"/>
    <s v="DQS_MAO04_FILE_000_B"/>
    <s v="RECORD COUNT by MBR_ID, DOS_THRU_DT, DX_CD Grain grouped by PAYER, SRC_FILE_NM, DOS_THRU_YYYYMM"/>
  </r>
  <r>
    <x v="0"/>
    <s v="AETNA_MAO4_202409_20241002.txt"/>
    <x v="8"/>
    <x v="2"/>
    <n v="2"/>
    <n v="7487777"/>
    <n v="0"/>
    <s v="DQS_MAO04_FILE_000_B"/>
    <s v="RECORD COUNT by MBR_ID, DOS_THRU_DT, DX_CD Grain grouped by PAYER, SRC_FILE_NM, DOS_THRU_YYYYMM"/>
  </r>
  <r>
    <x v="0"/>
    <s v="AETNA_MAO4_202409_20241002.txt"/>
    <x v="9"/>
    <x v="2"/>
    <n v="3"/>
    <n v="7487777"/>
    <n v="0"/>
    <s v="DQS_MAO04_FILE_000_B"/>
    <s v="RECORD COUNT by MBR_ID, DOS_THRU_DT, DX_CD Grain grouped by PAYER, SRC_FILE_NM, DOS_THRU_YYYYMM"/>
  </r>
  <r>
    <x v="0"/>
    <s v="AETNA_MAO4_202409_20241002.txt"/>
    <x v="10"/>
    <x v="2"/>
    <n v="4"/>
    <n v="7487777"/>
    <n v="0"/>
    <s v="DQS_MAO04_FILE_000_B"/>
    <s v="RECORD COUNT by MBR_ID, DOS_THRU_DT, DX_CD Grain grouped by PAYER, SRC_FILE_NM, DOS_THRU_YYYYMM"/>
  </r>
  <r>
    <x v="0"/>
    <s v="AETNA_MAO4_202409_20241002.txt"/>
    <x v="11"/>
    <x v="2"/>
    <n v="28"/>
    <n v="7487777"/>
    <n v="0"/>
    <s v="DQS_MAO04_FILE_000_B"/>
    <s v="RECORD COUNT by MBR_ID, DOS_THRU_DT, DX_CD Grain grouped by PAYER, SRC_FILE_NM, DOS_THRU_YYYYMM"/>
  </r>
  <r>
    <x v="0"/>
    <s v="AETNA_MAO4_202409_20241002.txt"/>
    <x v="12"/>
    <x v="2"/>
    <n v="7"/>
    <n v="7487777"/>
    <n v="0"/>
    <s v="DQS_MAO04_FILE_000_B"/>
    <s v="RECORD COUNT by MBR_ID, DOS_THRU_DT, DX_CD Grain grouped by PAYER, SRC_FILE_NM, DOS_THRU_YYYYMM"/>
  </r>
  <r>
    <x v="0"/>
    <s v="AETNA_MAO4_202409_20241002.txt"/>
    <x v="13"/>
    <x v="2"/>
    <n v="14"/>
    <n v="7487777"/>
    <n v="0"/>
    <s v="DQS_MAO04_FILE_000_B"/>
    <s v="RECORD COUNT by MBR_ID, DOS_THRU_DT, DX_CD Grain grouped by PAYER, SRC_FILE_NM, DOS_THRU_YYYYMM"/>
  </r>
  <r>
    <x v="0"/>
    <s v="AETNA_MAO4_202409_20241002.txt"/>
    <x v="14"/>
    <x v="2"/>
    <n v="23"/>
    <n v="7487777"/>
    <n v="0"/>
    <s v="DQS_MAO04_FILE_000_B"/>
    <s v="RECORD COUNT by MBR_ID, DOS_THRU_DT, DX_CD Grain grouped by PAYER, SRC_FILE_NM, DOS_THRU_YYYYMM"/>
  </r>
  <r>
    <x v="0"/>
    <s v="AETNA_MAO4_202409_20241002.txt"/>
    <x v="15"/>
    <x v="2"/>
    <n v="22"/>
    <n v="7487777"/>
    <n v="0"/>
    <s v="DQS_MAO04_FILE_000_B"/>
    <s v="RECORD COUNT by MBR_ID, DOS_THRU_DT, DX_CD Grain grouped by PAYER, SRC_FILE_NM, DOS_THRU_YYYYMM"/>
  </r>
  <r>
    <x v="0"/>
    <s v="AETNA_MAO4_202409_20241002.txt"/>
    <x v="16"/>
    <x v="2"/>
    <n v="10"/>
    <n v="7487777"/>
    <n v="0"/>
    <s v="DQS_MAO04_FILE_000_B"/>
    <s v="RECORD COUNT by MBR_ID, DOS_THRU_DT, DX_CD Grain grouped by PAYER, SRC_FILE_NM, DOS_THRU_YYYYMM"/>
  </r>
  <r>
    <x v="0"/>
    <s v="AETNA_MAO4_202409_20241002.txt"/>
    <x v="17"/>
    <x v="3"/>
    <n v="1"/>
    <n v="7487777"/>
    <n v="0"/>
    <s v="DQS_MAO04_FILE_000_B"/>
    <s v="RECORD COUNT by MBR_ID, DOS_THRU_DT, DX_CD Grain grouped by PAYER, SRC_FILE_NM, DOS_THRU_YYYYMM"/>
  </r>
  <r>
    <x v="0"/>
    <s v="AETNA_MAO4_202409_20241002.txt"/>
    <x v="18"/>
    <x v="3"/>
    <n v="14"/>
    <n v="7487777"/>
    <n v="0"/>
    <s v="DQS_MAO04_FILE_000_B"/>
    <s v="RECORD COUNT by MBR_ID, DOS_THRU_DT, DX_CD Grain grouped by PAYER, SRC_FILE_NM, DOS_THRU_YYYYMM"/>
  </r>
  <r>
    <x v="0"/>
    <s v="AETNA_MAO4_202409_20241002.txt"/>
    <x v="19"/>
    <x v="3"/>
    <n v="2"/>
    <n v="7487777"/>
    <n v="0"/>
    <s v="DQS_MAO04_FILE_000_B"/>
    <s v="RECORD COUNT by MBR_ID, DOS_THRU_DT, DX_CD Grain grouped by PAYER, SRC_FILE_NM, DOS_THRU_YYYYMM"/>
  </r>
  <r>
    <x v="0"/>
    <s v="AETNA_MAO4_202409_20241002.txt"/>
    <x v="20"/>
    <x v="3"/>
    <n v="7"/>
    <n v="7487777"/>
    <n v="0"/>
    <s v="DQS_MAO04_FILE_000_B"/>
    <s v="RECORD COUNT by MBR_ID, DOS_THRU_DT, DX_CD Grain grouped by PAYER, SRC_FILE_NM, DOS_THRU_YYYYMM"/>
  </r>
  <r>
    <x v="0"/>
    <s v="AETNA_MAO4_202409_20241002.txt"/>
    <x v="21"/>
    <x v="3"/>
    <n v="24"/>
    <n v="7487777"/>
    <n v="0"/>
    <s v="DQS_MAO04_FILE_000_B"/>
    <s v="RECORD COUNT by MBR_ID, DOS_THRU_DT, DX_CD Grain grouped by PAYER, SRC_FILE_NM, DOS_THRU_YYYYMM"/>
  </r>
  <r>
    <x v="0"/>
    <s v="AETNA_MAO4_202409_20241002.txt"/>
    <x v="22"/>
    <x v="3"/>
    <n v="18"/>
    <n v="7487777"/>
    <n v="0"/>
    <s v="DQS_MAO04_FILE_000_B"/>
    <s v="RECORD COUNT by MBR_ID, DOS_THRU_DT, DX_CD Grain grouped by PAYER, SRC_FILE_NM, DOS_THRU_YYYYMM"/>
  </r>
  <r>
    <x v="0"/>
    <s v="AETNA_MAO4_202409_20241002.txt"/>
    <x v="23"/>
    <x v="3"/>
    <n v="20"/>
    <n v="7487777"/>
    <n v="0"/>
    <s v="DQS_MAO04_FILE_000_B"/>
    <s v="RECORD COUNT by MBR_ID, DOS_THRU_DT, DX_CD Grain grouped by PAYER, SRC_FILE_NM, DOS_THRU_YYYYMM"/>
  </r>
  <r>
    <x v="0"/>
    <s v="AETNA_MAO4_202409_20241002.txt"/>
    <x v="24"/>
    <x v="3"/>
    <n v="61"/>
    <n v="7487777"/>
    <n v="0"/>
    <s v="DQS_MAO04_FILE_000_B"/>
    <s v="RECORD COUNT by MBR_ID, DOS_THRU_DT, DX_CD Grain grouped by PAYER, SRC_FILE_NM, DOS_THRU_YYYYMM"/>
  </r>
  <r>
    <x v="0"/>
    <s v="AETNA_MAO4_202409_20241002.txt"/>
    <x v="25"/>
    <x v="3"/>
    <n v="20"/>
    <n v="7487777"/>
    <n v="0"/>
    <s v="DQS_MAO04_FILE_000_B"/>
    <s v="RECORD COUNT by MBR_ID, DOS_THRU_DT, DX_CD Grain grouped by PAYER, SRC_FILE_NM, DOS_THRU_YYYYMM"/>
  </r>
  <r>
    <x v="0"/>
    <s v="AETNA_MAO4_202409_20241002.txt"/>
    <x v="26"/>
    <x v="3"/>
    <n v="16"/>
    <n v="7487777"/>
    <n v="0"/>
    <s v="DQS_MAO04_FILE_000_B"/>
    <s v="RECORD COUNT by MBR_ID, DOS_THRU_DT, DX_CD Grain grouped by PAYER, SRC_FILE_NM, DOS_THRU_YYYYMM"/>
  </r>
  <r>
    <x v="0"/>
    <s v="AETNA_MAO4_202409_20241002.txt"/>
    <x v="27"/>
    <x v="3"/>
    <n v="3"/>
    <n v="7487777"/>
    <n v="0"/>
    <s v="DQS_MAO04_FILE_000_B"/>
    <s v="RECORD COUNT by MBR_ID, DOS_THRU_DT, DX_CD Grain grouped by PAYER, SRC_FILE_NM, DOS_THRU_YYYYMM"/>
  </r>
  <r>
    <x v="0"/>
    <s v="AETNA_MAO4_202409_20241002.txt"/>
    <x v="28"/>
    <x v="3"/>
    <n v="16"/>
    <n v="7487777"/>
    <n v="0"/>
    <s v="DQS_MAO04_FILE_000_B"/>
    <s v="RECORD COUNT by MBR_ID, DOS_THRU_DT, DX_CD Grain grouped by PAYER, SRC_FILE_NM, DOS_THRU_YYYYMM"/>
  </r>
  <r>
    <x v="0"/>
    <s v="AETNA_MAO4_202409_20241002.txt"/>
    <x v="29"/>
    <x v="4"/>
    <n v="606"/>
    <n v="7487777"/>
    <n v="0.01"/>
    <s v="DQS_MAO04_FILE_000_B"/>
    <s v="RECORD COUNT by MBR_ID, DOS_THRU_DT, DX_CD Grain grouped by PAYER, SRC_FILE_NM, DOS_THRU_YYYYMM"/>
  </r>
  <r>
    <x v="0"/>
    <s v="AETNA_MAO4_202409_20241002.txt"/>
    <x v="30"/>
    <x v="4"/>
    <n v="602"/>
    <n v="7487777"/>
    <n v="0.01"/>
    <s v="DQS_MAO04_FILE_000_B"/>
    <s v="RECORD COUNT by MBR_ID, DOS_THRU_DT, DX_CD Grain grouped by PAYER, SRC_FILE_NM, DOS_THRU_YYYYMM"/>
  </r>
  <r>
    <x v="0"/>
    <s v="AETNA_MAO4_202409_20241002.txt"/>
    <x v="31"/>
    <x v="4"/>
    <n v="754"/>
    <n v="7487777"/>
    <n v="0.01"/>
    <s v="DQS_MAO04_FILE_000_B"/>
    <s v="RECORD COUNT by MBR_ID, DOS_THRU_DT, DX_CD Grain grouped by PAYER, SRC_FILE_NM, DOS_THRU_YYYYMM"/>
  </r>
  <r>
    <x v="0"/>
    <s v="AETNA_MAO4_202409_20241002.txt"/>
    <x v="32"/>
    <x v="4"/>
    <n v="742"/>
    <n v="7487777"/>
    <n v="0.01"/>
    <s v="DQS_MAO04_FILE_000_B"/>
    <s v="RECORD COUNT by MBR_ID, DOS_THRU_DT, DX_CD Grain grouped by PAYER, SRC_FILE_NM, DOS_THRU_YYYYMM"/>
  </r>
  <r>
    <x v="0"/>
    <s v="AETNA_MAO4_202409_20241002.txt"/>
    <x v="33"/>
    <x v="4"/>
    <n v="659"/>
    <n v="7487777"/>
    <n v="0.01"/>
    <s v="DQS_MAO04_FILE_000_B"/>
    <s v="RECORD COUNT by MBR_ID, DOS_THRU_DT, DX_CD Grain grouped by PAYER, SRC_FILE_NM, DOS_THRU_YYYYMM"/>
  </r>
  <r>
    <x v="0"/>
    <s v="AETNA_MAO4_202409_20241002.txt"/>
    <x v="34"/>
    <x v="4"/>
    <n v="1005"/>
    <n v="7487777"/>
    <n v="0.01"/>
    <s v="DQS_MAO04_FILE_000_B"/>
    <s v="RECORD COUNT by MBR_ID, DOS_THRU_DT, DX_CD Grain grouped by PAYER, SRC_FILE_NM, DOS_THRU_YYYYMM"/>
  </r>
  <r>
    <x v="0"/>
    <s v="AETNA_MAO4_202409_20241002.txt"/>
    <x v="35"/>
    <x v="4"/>
    <n v="780"/>
    <n v="7487777"/>
    <n v="0.01"/>
    <s v="DQS_MAO04_FILE_000_B"/>
    <s v="RECORD COUNT by MBR_ID, DOS_THRU_DT, DX_CD Grain grouped by PAYER, SRC_FILE_NM, DOS_THRU_YYYYMM"/>
  </r>
  <r>
    <x v="0"/>
    <s v="AETNA_MAO4_202409_20241002.txt"/>
    <x v="36"/>
    <x v="4"/>
    <n v="690"/>
    <n v="7487777"/>
    <n v="0.01"/>
    <s v="DQS_MAO04_FILE_000_B"/>
    <s v="RECORD COUNT by MBR_ID, DOS_THRU_DT, DX_CD Grain grouped by PAYER, SRC_FILE_NM, DOS_THRU_YYYYMM"/>
  </r>
  <r>
    <x v="0"/>
    <s v="AETNA_MAO4_202409_20241002.txt"/>
    <x v="37"/>
    <x v="4"/>
    <n v="610"/>
    <n v="7487777"/>
    <n v="0.01"/>
    <s v="DQS_MAO04_FILE_000_B"/>
    <s v="RECORD COUNT by MBR_ID, DOS_THRU_DT, DX_CD Grain grouped by PAYER, SRC_FILE_NM, DOS_THRU_YYYYMM"/>
  </r>
  <r>
    <x v="0"/>
    <s v="AETNA_MAO4_202409_20241002.txt"/>
    <x v="38"/>
    <x v="4"/>
    <n v="692"/>
    <n v="7487777"/>
    <n v="0.01"/>
    <s v="DQS_MAO04_FILE_000_B"/>
    <s v="RECORD COUNT by MBR_ID, DOS_THRU_DT, DX_CD Grain grouped by PAYER, SRC_FILE_NM, DOS_THRU_YYYYMM"/>
  </r>
  <r>
    <x v="0"/>
    <s v="AETNA_MAO4_202409_20241002.txt"/>
    <x v="39"/>
    <x v="4"/>
    <n v="618"/>
    <n v="7487777"/>
    <n v="0.01"/>
    <s v="DQS_MAO04_FILE_000_B"/>
    <s v="RECORD COUNT by MBR_ID, DOS_THRU_DT, DX_CD Grain grouped by PAYER, SRC_FILE_NM, DOS_THRU_YYYYMM"/>
  </r>
  <r>
    <x v="0"/>
    <s v="AETNA_MAO4_202409_20241002.txt"/>
    <x v="40"/>
    <x v="4"/>
    <n v="470"/>
    <n v="7487777"/>
    <n v="0.01"/>
    <s v="DQS_MAO04_FILE_000_B"/>
    <s v="RECORD COUNT by MBR_ID, DOS_THRU_DT, DX_CD Grain grouped by PAYER, SRC_FILE_NM, DOS_THRU_YYYYMM"/>
  </r>
  <r>
    <x v="0"/>
    <s v="AETNA_MAO4_202409_20241002.txt"/>
    <x v="41"/>
    <x v="5"/>
    <n v="30782"/>
    <n v="7487777"/>
    <n v="0.41"/>
    <s v="DQS_MAO04_FILE_000_B"/>
    <s v="RECORD COUNT by MBR_ID, DOS_THRU_DT, DX_CD Grain grouped by PAYER, SRC_FILE_NM, DOS_THRU_YYYYMM"/>
  </r>
  <r>
    <x v="0"/>
    <s v="AETNA_MAO4_202409_20241002.txt"/>
    <x v="42"/>
    <x v="5"/>
    <n v="28724"/>
    <n v="7487777"/>
    <n v="0.38"/>
    <s v="DQS_MAO04_FILE_000_B"/>
    <s v="RECORD COUNT by MBR_ID, DOS_THRU_DT, DX_CD Grain grouped by PAYER, SRC_FILE_NM, DOS_THRU_YYYYMM"/>
  </r>
  <r>
    <x v="0"/>
    <s v="AETNA_MAO4_202409_20241002.txt"/>
    <x v="43"/>
    <x v="5"/>
    <n v="26814"/>
    <n v="7487777"/>
    <n v="0.36"/>
    <s v="DQS_MAO04_FILE_000_B"/>
    <s v="RECORD COUNT by MBR_ID, DOS_THRU_DT, DX_CD Grain grouped by PAYER, SRC_FILE_NM, DOS_THRU_YYYYMM"/>
  </r>
  <r>
    <x v="0"/>
    <s v="AETNA_MAO4_202409_20241002.txt"/>
    <x v="44"/>
    <x v="5"/>
    <n v="14793"/>
    <n v="7487777"/>
    <n v="0.2"/>
    <s v="DQS_MAO04_FILE_000_B"/>
    <s v="RECORD COUNT by MBR_ID, DOS_THRU_DT, DX_CD Grain grouped by PAYER, SRC_FILE_NM, DOS_THRU_YYYYMM"/>
  </r>
  <r>
    <x v="0"/>
    <s v="AETNA_MAO4_202409_20241002.txt"/>
    <x v="45"/>
    <x v="5"/>
    <n v="28621"/>
    <n v="7487777"/>
    <n v="0.38"/>
    <s v="DQS_MAO04_FILE_000_B"/>
    <s v="RECORD COUNT by MBR_ID, DOS_THRU_DT, DX_CD Grain grouped by PAYER, SRC_FILE_NM, DOS_THRU_YYYYMM"/>
  </r>
  <r>
    <x v="0"/>
    <s v="AETNA_MAO4_202409_20241002.txt"/>
    <x v="46"/>
    <x v="5"/>
    <n v="33803"/>
    <n v="7487777"/>
    <n v="0.45"/>
    <s v="DQS_MAO04_FILE_000_B"/>
    <s v="RECORD COUNT by MBR_ID, DOS_THRU_DT, DX_CD Grain grouped by PAYER, SRC_FILE_NM, DOS_THRU_YYYYMM"/>
  </r>
  <r>
    <x v="0"/>
    <s v="AETNA_MAO4_202409_20241002.txt"/>
    <x v="47"/>
    <x v="5"/>
    <n v="24437"/>
    <n v="7487777"/>
    <n v="0.33"/>
    <s v="DQS_MAO04_FILE_000_B"/>
    <s v="RECORD COUNT by MBR_ID, DOS_THRU_DT, DX_CD Grain grouped by PAYER, SRC_FILE_NM, DOS_THRU_YYYYMM"/>
  </r>
  <r>
    <x v="0"/>
    <s v="AETNA_MAO4_202409_20241002.txt"/>
    <x v="48"/>
    <x v="5"/>
    <n v="25205"/>
    <n v="7487777"/>
    <n v="0.34"/>
    <s v="DQS_MAO04_FILE_000_B"/>
    <s v="RECORD COUNT by MBR_ID, DOS_THRU_DT, DX_CD Grain grouped by PAYER, SRC_FILE_NM, DOS_THRU_YYYYMM"/>
  </r>
  <r>
    <x v="0"/>
    <s v="AETNA_MAO4_202409_20241002.txt"/>
    <x v="49"/>
    <x v="5"/>
    <n v="26140"/>
    <n v="7487777"/>
    <n v="0.35"/>
    <s v="DQS_MAO04_FILE_000_B"/>
    <s v="RECORD COUNT by MBR_ID, DOS_THRU_DT, DX_CD Grain grouped by PAYER, SRC_FILE_NM, DOS_THRU_YYYYMM"/>
  </r>
  <r>
    <x v="0"/>
    <s v="AETNA_MAO4_202409_20241002.txt"/>
    <x v="50"/>
    <x v="5"/>
    <n v="27486"/>
    <n v="7487777"/>
    <n v="0.37"/>
    <s v="DQS_MAO04_FILE_000_B"/>
    <s v="RECORD COUNT by MBR_ID, DOS_THRU_DT, DX_CD Grain grouped by PAYER, SRC_FILE_NM, DOS_THRU_YYYYMM"/>
  </r>
  <r>
    <x v="0"/>
    <s v="AETNA_MAO4_202409_20241002.txt"/>
    <x v="51"/>
    <x v="5"/>
    <n v="24438"/>
    <n v="7487777"/>
    <n v="0.33"/>
    <s v="DQS_MAO04_FILE_000_B"/>
    <s v="RECORD COUNT by MBR_ID, DOS_THRU_DT, DX_CD Grain grouped by PAYER, SRC_FILE_NM, DOS_THRU_YYYYMM"/>
  </r>
  <r>
    <x v="0"/>
    <s v="AETNA_MAO4_202409_20241002.txt"/>
    <x v="52"/>
    <x v="5"/>
    <n v="26356"/>
    <n v="7487777"/>
    <n v="0.35"/>
    <s v="DQS_MAO04_FILE_000_B"/>
    <s v="RECORD COUNT by MBR_ID, DOS_THRU_DT, DX_CD Grain grouped by PAYER, SRC_FILE_NM, DOS_THRU_YYYYMM"/>
  </r>
  <r>
    <x v="0"/>
    <s v="AETNA_MAO4_202409_20241002.txt"/>
    <x v="53"/>
    <x v="6"/>
    <n v="52784"/>
    <n v="7487777"/>
    <n v="0.7"/>
    <s v="DQS_MAO04_FILE_000_B"/>
    <s v="RECORD COUNT by MBR_ID, DOS_THRU_DT, DX_CD Grain grouped by PAYER, SRC_FILE_NM, DOS_THRU_YYYYMM"/>
  </r>
  <r>
    <x v="0"/>
    <s v="AETNA_MAO4_202409_20241002.txt"/>
    <x v="54"/>
    <x v="6"/>
    <n v="36566"/>
    <n v="7487777"/>
    <n v="0.49"/>
    <s v="DQS_MAO04_FILE_000_B"/>
    <s v="RECORD COUNT by MBR_ID, DOS_THRU_DT, DX_CD Grain grouped by PAYER, SRC_FILE_NM, DOS_THRU_YYYYMM"/>
  </r>
  <r>
    <x v="0"/>
    <s v="AETNA_MAO4_202409_20241002.txt"/>
    <x v="55"/>
    <x v="6"/>
    <n v="47793"/>
    <n v="7487777"/>
    <n v="0.64"/>
    <s v="DQS_MAO04_FILE_000_B"/>
    <s v="RECORD COUNT by MBR_ID, DOS_THRU_DT, DX_CD Grain grouped by PAYER, SRC_FILE_NM, DOS_THRU_YYYYMM"/>
  </r>
  <r>
    <x v="0"/>
    <s v="AETNA_MAO4_202409_20241002.txt"/>
    <x v="56"/>
    <x v="6"/>
    <n v="46304"/>
    <n v="7487777"/>
    <n v="0.62"/>
    <s v="DQS_MAO04_FILE_000_B"/>
    <s v="RECORD COUNT by MBR_ID, DOS_THRU_DT, DX_CD Grain grouped by PAYER, SRC_FILE_NM, DOS_THRU_YYYYMM"/>
  </r>
  <r>
    <x v="0"/>
    <s v="AETNA_MAO4_202409_20241002.txt"/>
    <x v="57"/>
    <x v="6"/>
    <n v="55526"/>
    <n v="7487777"/>
    <n v="0.74"/>
    <s v="DQS_MAO04_FILE_000_B"/>
    <s v="RECORD COUNT by MBR_ID, DOS_THRU_DT, DX_CD Grain grouped by PAYER, SRC_FILE_NM, DOS_THRU_YYYYMM"/>
  </r>
  <r>
    <x v="0"/>
    <s v="AETNA_MAO4_202409_20241002.txt"/>
    <x v="58"/>
    <x v="6"/>
    <n v="59984"/>
    <n v="7487777"/>
    <n v="0.8"/>
    <s v="DQS_MAO04_FILE_000_B"/>
    <s v="RECORD COUNT by MBR_ID, DOS_THRU_DT, DX_CD Grain grouped by PAYER, SRC_FILE_NM, DOS_THRU_YYYYMM"/>
  </r>
  <r>
    <x v="0"/>
    <s v="AETNA_MAO4_202409_20241002.txt"/>
    <x v="59"/>
    <x v="6"/>
    <n v="107874"/>
    <n v="7487777"/>
    <n v="1.44"/>
    <s v="DQS_MAO04_FILE_000_B"/>
    <s v="RECORD COUNT by MBR_ID, DOS_THRU_DT, DX_CD Grain grouped by PAYER, SRC_FILE_NM, DOS_THRU_YYYYMM"/>
  </r>
  <r>
    <x v="0"/>
    <s v="AETNA_MAO4_202409_20241002.txt"/>
    <x v="60"/>
    <x v="6"/>
    <n v="109607"/>
    <n v="7487777"/>
    <n v="1.46"/>
    <s v="DQS_MAO04_FILE_000_B"/>
    <s v="RECORD COUNT by MBR_ID, DOS_THRU_DT, DX_CD Grain grouped by PAYER, SRC_FILE_NM, DOS_THRU_YYYYMM"/>
  </r>
  <r>
    <x v="0"/>
    <s v="AETNA_MAO4_202409_20241002.txt"/>
    <x v="61"/>
    <x v="6"/>
    <n v="127463"/>
    <n v="7487777"/>
    <n v="1.7"/>
    <s v="DQS_MAO04_FILE_000_B"/>
    <s v="RECORD COUNT by MBR_ID, DOS_THRU_DT, DX_CD Grain grouped by PAYER, SRC_FILE_NM, DOS_THRU_YYYYMM"/>
  </r>
  <r>
    <x v="0"/>
    <s v="AETNA_MAO4_202409_20241002.txt"/>
    <x v="62"/>
    <x v="6"/>
    <n v="195864"/>
    <n v="7487777"/>
    <n v="2.62"/>
    <s v="DQS_MAO04_FILE_000_B"/>
    <s v="RECORD COUNT by MBR_ID, DOS_THRU_DT, DX_CD Grain grouped by PAYER, SRC_FILE_NM, DOS_THRU_YYYYMM"/>
  </r>
  <r>
    <x v="0"/>
    <s v="AETNA_MAO4_202409_20241002.txt"/>
    <x v="63"/>
    <x v="6"/>
    <n v="218541"/>
    <n v="7487777"/>
    <n v="2.92"/>
    <s v="DQS_MAO04_FILE_000_B"/>
    <s v="RECORD COUNT by MBR_ID, DOS_THRU_DT, DX_CD Grain grouped by PAYER, SRC_FILE_NM, DOS_THRU_YYYYMM"/>
  </r>
  <r>
    <x v="0"/>
    <s v="AETNA_MAO4_202409_20241002.txt"/>
    <x v="64"/>
    <x v="6"/>
    <n v="219424"/>
    <n v="7487777"/>
    <n v="2.93"/>
    <s v="DQS_MAO04_FILE_000_B"/>
    <s v="RECORD COUNT by MBR_ID, DOS_THRU_DT, DX_CD Grain grouped by PAYER, SRC_FILE_NM, DOS_THRU_YYYYMM"/>
  </r>
  <r>
    <x v="0"/>
    <s v="AETNA_MAO4_202409_20241002.txt"/>
    <x v="65"/>
    <x v="7"/>
    <n v="175574"/>
    <n v="7487777"/>
    <n v="2.34"/>
    <s v="DQS_MAO04_FILE_000_B"/>
    <s v="RECORD COUNT by MBR_ID, DOS_THRU_DT, DX_CD Grain grouped by PAYER, SRC_FILE_NM, DOS_THRU_YYYYMM"/>
  </r>
  <r>
    <x v="0"/>
    <s v="AETNA_MAO4_202409_20241002.txt"/>
    <x v="66"/>
    <x v="7"/>
    <n v="148942"/>
    <n v="7487777"/>
    <n v="1.99"/>
    <s v="DQS_MAO04_FILE_000_B"/>
    <s v="RECORD COUNT by MBR_ID, DOS_THRU_DT, DX_CD Grain grouped by PAYER, SRC_FILE_NM, DOS_THRU_YYYYMM"/>
  </r>
  <r>
    <x v="0"/>
    <s v="AETNA_MAO4_202409_20241002.txt"/>
    <x v="67"/>
    <x v="7"/>
    <n v="193005"/>
    <n v="7487777"/>
    <n v="2.58"/>
    <s v="DQS_MAO04_FILE_000_B"/>
    <s v="RECORD COUNT by MBR_ID, DOS_THRU_DT, DX_CD Grain grouped by PAYER, SRC_FILE_NM, DOS_THRU_YYYYMM"/>
  </r>
  <r>
    <x v="0"/>
    <s v="AETNA_MAO4_202409_20241002.txt"/>
    <x v="68"/>
    <x v="7"/>
    <n v="165736"/>
    <n v="7487777"/>
    <n v="2.21"/>
    <s v="DQS_MAO04_FILE_000_B"/>
    <s v="RECORD COUNT by MBR_ID, DOS_THRU_DT, DX_CD Grain grouped by PAYER, SRC_FILE_NM, DOS_THRU_YYYYMM"/>
  </r>
  <r>
    <x v="0"/>
    <s v="AETNA_MAO4_202409_20241002.txt"/>
    <x v="69"/>
    <x v="7"/>
    <n v="169184"/>
    <n v="7487777"/>
    <n v="2.2599999999999998"/>
    <s v="DQS_MAO04_FILE_000_B"/>
    <s v="RECORD COUNT by MBR_ID, DOS_THRU_DT, DX_CD Grain grouped by PAYER, SRC_FILE_NM, DOS_THRU_YYYYMM"/>
  </r>
  <r>
    <x v="0"/>
    <s v="AETNA_MAO4_202409_20241002.txt"/>
    <x v="70"/>
    <x v="7"/>
    <n v="173064"/>
    <n v="7487777"/>
    <n v="2.31"/>
    <s v="DQS_MAO04_FILE_000_B"/>
    <s v="RECORD COUNT by MBR_ID, DOS_THRU_DT, DX_CD Grain grouped by PAYER, SRC_FILE_NM, DOS_THRU_YYYYMM"/>
  </r>
  <r>
    <x v="0"/>
    <s v="AETNA_MAO4_202409_20241002.txt"/>
    <x v="71"/>
    <x v="7"/>
    <n v="160452"/>
    <n v="7487777"/>
    <n v="2.14"/>
    <s v="DQS_MAO04_FILE_000_B"/>
    <s v="RECORD COUNT by MBR_ID, DOS_THRU_DT, DX_CD Grain grouped by PAYER, SRC_FILE_NM, DOS_THRU_YYYYMM"/>
  </r>
  <r>
    <x v="0"/>
    <s v="AETNA_MAO4_202409_20241002.txt"/>
    <x v="72"/>
    <x v="7"/>
    <n v="176647"/>
    <n v="7487777"/>
    <n v="2.36"/>
    <s v="DQS_MAO04_FILE_000_B"/>
    <s v="RECORD COUNT by MBR_ID, DOS_THRU_DT, DX_CD Grain grouped by PAYER, SRC_FILE_NM, DOS_THRU_YYYYMM"/>
  </r>
  <r>
    <x v="0"/>
    <s v="AETNA_MAO4_202409_20241002.txt"/>
    <x v="73"/>
    <x v="7"/>
    <n v="165691"/>
    <n v="7487777"/>
    <n v="2.21"/>
    <s v="DQS_MAO04_FILE_000_B"/>
    <s v="RECORD COUNT by MBR_ID, DOS_THRU_DT, DX_CD Grain grouped by PAYER, SRC_FILE_NM, DOS_THRU_YYYYMM"/>
  </r>
  <r>
    <x v="0"/>
    <s v="AETNA_MAO4_202409_20241002.txt"/>
    <x v="74"/>
    <x v="7"/>
    <n v="170877"/>
    <n v="7487777"/>
    <n v="2.2799999999999998"/>
    <s v="DQS_MAO04_FILE_000_B"/>
    <s v="RECORD COUNT by MBR_ID, DOS_THRU_DT, DX_CD Grain grouped by PAYER, SRC_FILE_NM, DOS_THRU_YYYYMM"/>
  </r>
  <r>
    <x v="0"/>
    <s v="AETNA_MAO4_202409_20241002.txt"/>
    <x v="75"/>
    <x v="7"/>
    <n v="167342"/>
    <n v="7487777"/>
    <n v="2.23"/>
    <s v="DQS_MAO04_FILE_000_B"/>
    <s v="RECORD COUNT by MBR_ID, DOS_THRU_DT, DX_CD Grain grouped by PAYER, SRC_FILE_NM, DOS_THRU_YYYYMM"/>
  </r>
  <r>
    <x v="0"/>
    <s v="AETNA_MAO4_202409_20241002.txt"/>
    <x v="76"/>
    <x v="7"/>
    <n v="156689"/>
    <n v="7487777"/>
    <n v="2.09"/>
    <s v="DQS_MAO04_FILE_000_B"/>
    <s v="RECORD COUNT by MBR_ID, DOS_THRU_DT, DX_CD Grain grouped by PAYER, SRC_FILE_NM, DOS_THRU_YYYYMM"/>
  </r>
  <r>
    <x v="0"/>
    <s v="AETNA_MAO4_202409_20241002.txt"/>
    <x v="77"/>
    <x v="8"/>
    <n v="179273"/>
    <n v="7487777"/>
    <n v="2.39"/>
    <s v="DQS_MAO04_FILE_000_B"/>
    <s v="RECORD COUNT by MBR_ID, DOS_THRU_DT, DX_CD Grain grouped by PAYER, SRC_FILE_NM, DOS_THRU_YYYYMM"/>
  </r>
  <r>
    <x v="0"/>
    <s v="AETNA_MAO4_202409_20241002.txt"/>
    <x v="78"/>
    <x v="8"/>
    <n v="172210"/>
    <n v="7487777"/>
    <n v="2.2999999999999998"/>
    <s v="DQS_MAO04_FILE_000_B"/>
    <s v="RECORD COUNT by MBR_ID, DOS_THRU_DT, DX_CD Grain grouped by PAYER, SRC_FILE_NM, DOS_THRU_YYYYMM"/>
  </r>
  <r>
    <x v="0"/>
    <s v="AETNA_MAO4_202409_20241002.txt"/>
    <x v="79"/>
    <x v="8"/>
    <n v="190802"/>
    <n v="7487777"/>
    <n v="2.5499999999999998"/>
    <s v="DQS_MAO04_FILE_000_B"/>
    <s v="RECORD COUNT by MBR_ID, DOS_THRU_DT, DX_CD Grain grouped by PAYER, SRC_FILE_NM, DOS_THRU_YYYYMM"/>
  </r>
  <r>
    <x v="0"/>
    <s v="AETNA_MAO4_202409_20241002.txt"/>
    <x v="80"/>
    <x v="8"/>
    <n v="171256"/>
    <n v="7487777"/>
    <n v="2.29"/>
    <s v="DQS_MAO04_FILE_000_B"/>
    <s v="RECORD COUNT by MBR_ID, DOS_THRU_DT, DX_CD Grain grouped by PAYER, SRC_FILE_NM, DOS_THRU_YYYYMM"/>
  </r>
  <r>
    <x v="0"/>
    <s v="AETNA_MAO4_202409_20241002.txt"/>
    <x v="81"/>
    <x v="8"/>
    <n v="178591"/>
    <n v="7487777"/>
    <n v="2.39"/>
    <s v="DQS_MAO04_FILE_000_B"/>
    <s v="RECORD COUNT by MBR_ID, DOS_THRU_DT, DX_CD Grain grouped by PAYER, SRC_FILE_NM, DOS_THRU_YYYYMM"/>
  </r>
  <r>
    <x v="0"/>
    <s v="AETNA_MAO4_202409_20241002.txt"/>
    <x v="82"/>
    <x v="8"/>
    <n v="174798"/>
    <n v="7487777"/>
    <n v="2.33"/>
    <s v="DQS_MAO04_FILE_000_B"/>
    <s v="RECORD COUNT by MBR_ID, DOS_THRU_DT, DX_CD Grain grouped by PAYER, SRC_FILE_NM, DOS_THRU_YYYYMM"/>
  </r>
  <r>
    <x v="0"/>
    <s v="AETNA_MAO4_202409_20241002.txt"/>
    <x v="83"/>
    <x v="8"/>
    <n v="157370"/>
    <n v="7487777"/>
    <n v="2.1"/>
    <s v="DQS_MAO04_FILE_000_B"/>
    <s v="RECORD COUNT by MBR_ID, DOS_THRU_DT, DX_CD Grain grouped by PAYER, SRC_FILE_NM, DOS_THRU_YYYYMM"/>
  </r>
  <r>
    <x v="0"/>
    <s v="AETNA_MAO4_202409_20241002.txt"/>
    <x v="84"/>
    <x v="8"/>
    <n v="175747"/>
    <n v="7487777"/>
    <n v="2.35"/>
    <s v="DQS_MAO04_FILE_000_B"/>
    <s v="RECORD COUNT by MBR_ID, DOS_THRU_DT, DX_CD Grain grouped by PAYER, SRC_FILE_NM, DOS_THRU_YYYYMM"/>
  </r>
  <r>
    <x v="0"/>
    <s v="AETNA_MAO4_202409_20241002.txt"/>
    <x v="85"/>
    <x v="8"/>
    <n v="163664"/>
    <n v="7487777"/>
    <n v="2.19"/>
    <s v="DQS_MAO04_FILE_000_B"/>
    <s v="RECORD COUNT by MBR_ID, DOS_THRU_DT, DX_CD Grain grouped by PAYER, SRC_FILE_NM, DOS_THRU_YYYYMM"/>
  </r>
  <r>
    <x v="0"/>
    <s v="AETNA_MAO4_202409_20241002.txt"/>
    <x v="86"/>
    <x v="8"/>
    <n v="178404"/>
    <n v="7487777"/>
    <n v="2.38"/>
    <s v="DQS_MAO04_FILE_000_B"/>
    <s v="RECORD COUNT by MBR_ID, DOS_THRU_DT, DX_CD Grain grouped by PAYER, SRC_FILE_NM, DOS_THRU_YYYYMM"/>
  </r>
  <r>
    <x v="0"/>
    <s v="AETNA_MAO4_202409_20241002.txt"/>
    <x v="87"/>
    <x v="8"/>
    <n v="164350"/>
    <n v="7487777"/>
    <n v="2.19"/>
    <s v="DQS_MAO04_FILE_000_B"/>
    <s v="RECORD COUNT by MBR_ID, DOS_THRU_DT, DX_CD Grain grouped by PAYER, SRC_FILE_NM, DOS_THRU_YYYYMM"/>
  </r>
  <r>
    <x v="0"/>
    <s v="AETNA_MAO4_202409_20241002.txt"/>
    <x v="88"/>
    <x v="8"/>
    <n v="158345"/>
    <n v="7487777"/>
    <n v="2.11"/>
    <s v="DQS_MAO04_FILE_000_B"/>
    <s v="RECORD COUNT by MBR_ID, DOS_THRU_DT, DX_CD Grain grouped by PAYER, SRC_FILE_NM, DOS_THRU_YYYYMM"/>
  </r>
  <r>
    <x v="0"/>
    <s v="AETNA_MAO4_202409_20241002.txt"/>
    <x v="89"/>
    <x v="9"/>
    <n v="246335"/>
    <n v="7487777"/>
    <n v="3.29"/>
    <s v="DQS_MAO04_FILE_000_B"/>
    <s v="RECORD COUNT by MBR_ID, DOS_THRU_DT, DX_CD Grain grouped by PAYER, SRC_FILE_NM, DOS_THRU_YYYYMM"/>
  </r>
  <r>
    <x v="0"/>
    <s v="AETNA_MAO4_202409_20241002.txt"/>
    <x v="97"/>
    <x v="9"/>
    <n v="252158"/>
    <n v="7487777"/>
    <n v="3.37"/>
    <s v="DQS_MAO04_FILE_000_B"/>
    <s v="RECORD COUNT by MBR_ID, DOS_THRU_DT, DX_CD Grain grouped by PAYER, SRC_FILE_NM, DOS_THRU_YYYYMM"/>
  </r>
  <r>
    <x v="0"/>
    <s v="AETNA_MAO4_202409_20241002.txt"/>
    <x v="98"/>
    <x v="9"/>
    <n v="252396"/>
    <n v="7487777"/>
    <n v="3.37"/>
    <s v="DQS_MAO04_FILE_000_B"/>
    <s v="RECORD COUNT by MBR_ID, DOS_THRU_DT, DX_CD Grain grouped by PAYER, SRC_FILE_NM, DOS_THRU_YYYYMM"/>
  </r>
  <r>
    <x v="0"/>
    <s v="AETNA_MAO4_202409_20241002.txt"/>
    <x v="99"/>
    <x v="9"/>
    <n v="270278"/>
    <n v="7487777"/>
    <n v="3.61"/>
    <s v="DQS_MAO04_FILE_000_B"/>
    <s v="RECORD COUNT by MBR_ID, DOS_THRU_DT, DX_CD Grain grouped by PAYER, SRC_FILE_NM, DOS_THRU_YYYYMM"/>
  </r>
  <r>
    <x v="0"/>
    <s v="AETNA_MAO4_202409_20241002.txt"/>
    <x v="100"/>
    <x v="9"/>
    <n v="258314"/>
    <n v="7487777"/>
    <n v="3.45"/>
    <s v="DQS_MAO04_FILE_000_B"/>
    <s v="RECORD COUNT by MBR_ID, DOS_THRU_DT, DX_CD Grain grouped by PAYER, SRC_FILE_NM, DOS_THRU_YYYYMM"/>
  </r>
  <r>
    <x v="0"/>
    <s v="AETNA_MAO4_202409_20241002.txt"/>
    <x v="102"/>
    <x v="9"/>
    <n v="242759"/>
    <n v="7487777"/>
    <n v="3.24"/>
    <s v="DQS_MAO04_FILE_000_B"/>
    <s v="RECORD COUNT by MBR_ID, DOS_THRU_DT, DX_CD Grain grouped by PAYER, SRC_FILE_NM, DOS_THRU_YYYYMM"/>
  </r>
  <r>
    <x v="0"/>
    <s v="AETNA_MAO4_202409_20241002.txt"/>
    <x v="103"/>
    <x v="9"/>
    <n v="225078"/>
    <n v="7487777"/>
    <n v="3.01"/>
    <s v="DQS_MAO04_FILE_000_B"/>
    <s v="RECORD COUNT by MBR_ID, DOS_THRU_DT, DX_CD Grain grouped by PAYER, SRC_FILE_NM, DOS_THRU_YYYYMM"/>
  </r>
  <r>
    <x v="0"/>
    <s v="AETNA_MAO4_202409_20241002.txt"/>
    <x v="105"/>
    <x v="9"/>
    <n v="48505"/>
    <n v="7487777"/>
    <n v="0.65"/>
    <s v="DQS_MAO04_FILE_000_B"/>
    <s v="RECORD COUNT by MBR_ID, DOS_THRU_DT, DX_CD Grain grouped by PAYER, SRC_FILE_NM, DOS_THRU_YYYYMM"/>
  </r>
  <r>
    <x v="0"/>
    <s v="AETNA_MAO4_202410_20241102.txt"/>
    <x v="7"/>
    <x v="2"/>
    <n v="5"/>
    <n v="7124623"/>
    <n v="0"/>
    <s v="DQS_MAO04_FILE_000_B"/>
    <s v="RECORD COUNT by MBR_ID, DOS_THRU_DT, DX_CD Grain grouped by PAYER, SRC_FILE_NM, DOS_THRU_YYYYMM"/>
  </r>
  <r>
    <x v="0"/>
    <s v="AETNA_MAO4_202410_20241102.txt"/>
    <x v="9"/>
    <x v="2"/>
    <n v="3"/>
    <n v="7124623"/>
    <n v="0"/>
    <s v="DQS_MAO04_FILE_000_B"/>
    <s v="RECORD COUNT by MBR_ID, DOS_THRU_DT, DX_CD Grain grouped by PAYER, SRC_FILE_NM, DOS_THRU_YYYYMM"/>
  </r>
  <r>
    <x v="0"/>
    <s v="AETNA_MAO4_202410_20241102.txt"/>
    <x v="10"/>
    <x v="2"/>
    <n v="4"/>
    <n v="7124623"/>
    <n v="0"/>
    <s v="DQS_MAO04_FILE_000_B"/>
    <s v="RECORD COUNT by MBR_ID, DOS_THRU_DT, DX_CD Grain grouped by PAYER, SRC_FILE_NM, DOS_THRU_YYYYMM"/>
  </r>
  <r>
    <x v="0"/>
    <s v="AETNA_MAO4_202410_20241102.txt"/>
    <x v="11"/>
    <x v="2"/>
    <n v="7"/>
    <n v="7124623"/>
    <n v="0"/>
    <s v="DQS_MAO04_FILE_000_B"/>
    <s v="RECORD COUNT by MBR_ID, DOS_THRU_DT, DX_CD Grain grouped by PAYER, SRC_FILE_NM, DOS_THRU_YYYYMM"/>
  </r>
  <r>
    <x v="0"/>
    <s v="AETNA_MAO4_202410_20241102.txt"/>
    <x v="12"/>
    <x v="2"/>
    <n v="9"/>
    <n v="7124623"/>
    <n v="0"/>
    <s v="DQS_MAO04_FILE_000_B"/>
    <s v="RECORD COUNT by MBR_ID, DOS_THRU_DT, DX_CD Grain grouped by PAYER, SRC_FILE_NM, DOS_THRU_YYYYMM"/>
  </r>
  <r>
    <x v="0"/>
    <s v="AETNA_MAO4_202410_20241102.txt"/>
    <x v="13"/>
    <x v="2"/>
    <n v="7"/>
    <n v="7124623"/>
    <n v="0"/>
    <s v="DQS_MAO04_FILE_000_B"/>
    <s v="RECORD COUNT by MBR_ID, DOS_THRU_DT, DX_CD Grain grouped by PAYER, SRC_FILE_NM, DOS_THRU_YYYYMM"/>
  </r>
  <r>
    <x v="0"/>
    <s v="AETNA_MAO4_202410_20241102.txt"/>
    <x v="14"/>
    <x v="2"/>
    <n v="3"/>
    <n v="7124623"/>
    <n v="0"/>
    <s v="DQS_MAO04_FILE_000_B"/>
    <s v="RECORD COUNT by MBR_ID, DOS_THRU_DT, DX_CD Grain grouped by PAYER, SRC_FILE_NM, DOS_THRU_YYYYMM"/>
  </r>
  <r>
    <x v="0"/>
    <s v="AETNA_MAO4_202410_20241102.txt"/>
    <x v="15"/>
    <x v="2"/>
    <n v="4"/>
    <n v="7124623"/>
    <n v="0"/>
    <s v="DQS_MAO04_FILE_000_B"/>
    <s v="RECORD COUNT by MBR_ID, DOS_THRU_DT, DX_CD Grain grouped by PAYER, SRC_FILE_NM, DOS_THRU_YYYYMM"/>
  </r>
  <r>
    <x v="0"/>
    <s v="AETNA_MAO4_202410_20241102.txt"/>
    <x v="16"/>
    <x v="2"/>
    <n v="6"/>
    <n v="7124623"/>
    <n v="0"/>
    <s v="DQS_MAO04_FILE_000_B"/>
    <s v="RECORD COUNT by MBR_ID, DOS_THRU_DT, DX_CD Grain grouped by PAYER, SRC_FILE_NM, DOS_THRU_YYYYMM"/>
  </r>
  <r>
    <x v="0"/>
    <s v="AETNA_MAO4_202410_20241102.txt"/>
    <x v="19"/>
    <x v="3"/>
    <n v="4"/>
    <n v="7124623"/>
    <n v="0"/>
    <s v="DQS_MAO04_FILE_000_B"/>
    <s v="RECORD COUNT by MBR_ID, DOS_THRU_DT, DX_CD Grain grouped by PAYER, SRC_FILE_NM, DOS_THRU_YYYYMM"/>
  </r>
  <r>
    <x v="0"/>
    <s v="AETNA_MAO4_202410_20241102.txt"/>
    <x v="20"/>
    <x v="3"/>
    <n v="5"/>
    <n v="7124623"/>
    <n v="0"/>
    <s v="DQS_MAO04_FILE_000_B"/>
    <s v="RECORD COUNT by MBR_ID, DOS_THRU_DT, DX_CD Grain grouped by PAYER, SRC_FILE_NM, DOS_THRU_YYYYMM"/>
  </r>
  <r>
    <x v="0"/>
    <s v="AETNA_MAO4_202410_20241102.txt"/>
    <x v="21"/>
    <x v="3"/>
    <n v="19"/>
    <n v="7124623"/>
    <n v="0"/>
    <s v="DQS_MAO04_FILE_000_B"/>
    <s v="RECORD COUNT by MBR_ID, DOS_THRU_DT, DX_CD Grain grouped by PAYER, SRC_FILE_NM, DOS_THRU_YYYYMM"/>
  </r>
  <r>
    <x v="0"/>
    <s v="AETNA_MAO4_202410_20241102.txt"/>
    <x v="22"/>
    <x v="3"/>
    <n v="10"/>
    <n v="7124623"/>
    <n v="0"/>
    <s v="DQS_MAO04_FILE_000_B"/>
    <s v="RECORD COUNT by MBR_ID, DOS_THRU_DT, DX_CD Grain grouped by PAYER, SRC_FILE_NM, DOS_THRU_YYYYMM"/>
  </r>
  <r>
    <x v="0"/>
    <s v="AETNA_MAO4_202410_20241102.txt"/>
    <x v="23"/>
    <x v="3"/>
    <n v="13"/>
    <n v="7124623"/>
    <n v="0"/>
    <s v="DQS_MAO04_FILE_000_B"/>
    <s v="RECORD COUNT by MBR_ID, DOS_THRU_DT, DX_CD Grain grouped by PAYER, SRC_FILE_NM, DOS_THRU_YYYYMM"/>
  </r>
  <r>
    <x v="0"/>
    <s v="AETNA_MAO4_202410_20241102.txt"/>
    <x v="24"/>
    <x v="3"/>
    <n v="49"/>
    <n v="7124623"/>
    <n v="0"/>
    <s v="DQS_MAO04_FILE_000_B"/>
    <s v="RECORD COUNT by MBR_ID, DOS_THRU_DT, DX_CD Grain grouped by PAYER, SRC_FILE_NM, DOS_THRU_YYYYMM"/>
  </r>
  <r>
    <x v="0"/>
    <s v="AETNA_MAO4_202410_20241102.txt"/>
    <x v="25"/>
    <x v="3"/>
    <n v="2"/>
    <n v="7124623"/>
    <n v="0"/>
    <s v="DQS_MAO04_FILE_000_B"/>
    <s v="RECORD COUNT by MBR_ID, DOS_THRU_DT, DX_CD Grain grouped by PAYER, SRC_FILE_NM, DOS_THRU_YYYYMM"/>
  </r>
  <r>
    <x v="0"/>
    <s v="AETNA_MAO4_202410_20241102.txt"/>
    <x v="26"/>
    <x v="3"/>
    <n v="8"/>
    <n v="7124623"/>
    <n v="0"/>
    <s v="DQS_MAO04_FILE_000_B"/>
    <s v="RECORD COUNT by MBR_ID, DOS_THRU_DT, DX_CD Grain grouped by PAYER, SRC_FILE_NM, DOS_THRU_YYYYMM"/>
  </r>
  <r>
    <x v="0"/>
    <s v="AETNA_MAO4_202410_20241102.txt"/>
    <x v="27"/>
    <x v="3"/>
    <n v="1"/>
    <n v="7124623"/>
    <n v="0"/>
    <s v="DQS_MAO04_FILE_000_B"/>
    <s v="RECORD COUNT by MBR_ID, DOS_THRU_DT, DX_CD Grain grouped by PAYER, SRC_FILE_NM, DOS_THRU_YYYYMM"/>
  </r>
  <r>
    <x v="0"/>
    <s v="AETNA_MAO4_202410_20241102.txt"/>
    <x v="28"/>
    <x v="3"/>
    <n v="15"/>
    <n v="7124623"/>
    <n v="0"/>
    <s v="DQS_MAO04_FILE_000_B"/>
    <s v="RECORD COUNT by MBR_ID, DOS_THRU_DT, DX_CD Grain grouped by PAYER, SRC_FILE_NM, DOS_THRU_YYYYMM"/>
  </r>
  <r>
    <x v="0"/>
    <s v="AETNA_MAO4_202410_20241102.txt"/>
    <x v="29"/>
    <x v="4"/>
    <n v="506"/>
    <n v="7124623"/>
    <n v="0.01"/>
    <s v="DQS_MAO04_FILE_000_B"/>
    <s v="RECORD COUNT by MBR_ID, DOS_THRU_DT, DX_CD Grain grouped by PAYER, SRC_FILE_NM, DOS_THRU_YYYYMM"/>
  </r>
  <r>
    <x v="0"/>
    <s v="AETNA_MAO4_202410_20241102.txt"/>
    <x v="30"/>
    <x v="4"/>
    <n v="378"/>
    <n v="7124623"/>
    <n v="0.01"/>
    <s v="DQS_MAO04_FILE_000_B"/>
    <s v="RECORD COUNT by MBR_ID, DOS_THRU_DT, DX_CD Grain grouped by PAYER, SRC_FILE_NM, DOS_THRU_YYYYMM"/>
  </r>
  <r>
    <x v="0"/>
    <s v="AETNA_MAO4_202410_20241102.txt"/>
    <x v="31"/>
    <x v="4"/>
    <n v="541"/>
    <n v="7124623"/>
    <n v="0.01"/>
    <s v="DQS_MAO04_FILE_000_B"/>
    <s v="RECORD COUNT by MBR_ID, DOS_THRU_DT, DX_CD Grain grouped by PAYER, SRC_FILE_NM, DOS_THRU_YYYYMM"/>
  </r>
  <r>
    <x v="0"/>
    <s v="AETNA_MAO4_202410_20241102.txt"/>
    <x v="32"/>
    <x v="4"/>
    <n v="647"/>
    <n v="7124623"/>
    <n v="0.01"/>
    <s v="DQS_MAO04_FILE_000_B"/>
    <s v="RECORD COUNT by MBR_ID, DOS_THRU_DT, DX_CD Grain grouped by PAYER, SRC_FILE_NM, DOS_THRU_YYYYMM"/>
  </r>
  <r>
    <x v="0"/>
    <s v="AETNA_MAO4_202410_20241102.txt"/>
    <x v="33"/>
    <x v="4"/>
    <n v="494"/>
    <n v="7124623"/>
    <n v="0.01"/>
    <s v="DQS_MAO04_FILE_000_B"/>
    <s v="RECORD COUNT by MBR_ID, DOS_THRU_DT, DX_CD Grain grouped by PAYER, SRC_FILE_NM, DOS_THRU_YYYYMM"/>
  </r>
  <r>
    <x v="0"/>
    <s v="AETNA_MAO4_202410_20241102.txt"/>
    <x v="34"/>
    <x v="4"/>
    <n v="586"/>
    <n v="7124623"/>
    <n v="0.01"/>
    <s v="DQS_MAO04_FILE_000_B"/>
    <s v="RECORD COUNT by MBR_ID, DOS_THRU_DT, DX_CD Grain grouped by PAYER, SRC_FILE_NM, DOS_THRU_YYYYMM"/>
  </r>
  <r>
    <x v="0"/>
    <s v="AETNA_MAO4_202410_20241102.txt"/>
    <x v="35"/>
    <x v="4"/>
    <n v="478"/>
    <n v="7124623"/>
    <n v="0.01"/>
    <s v="DQS_MAO04_FILE_000_B"/>
    <s v="RECORD COUNT by MBR_ID, DOS_THRU_DT, DX_CD Grain grouped by PAYER, SRC_FILE_NM, DOS_THRU_YYYYMM"/>
  </r>
  <r>
    <x v="0"/>
    <s v="AETNA_MAO4_202410_20241102.txt"/>
    <x v="36"/>
    <x v="4"/>
    <n v="495"/>
    <n v="7124623"/>
    <n v="0.01"/>
    <s v="DQS_MAO04_FILE_000_B"/>
    <s v="RECORD COUNT by MBR_ID, DOS_THRU_DT, DX_CD Grain grouped by PAYER, SRC_FILE_NM, DOS_THRU_YYYYMM"/>
  </r>
  <r>
    <x v="0"/>
    <s v="AETNA_MAO4_202410_20241102.txt"/>
    <x v="37"/>
    <x v="4"/>
    <n v="364"/>
    <n v="7124623"/>
    <n v="0.01"/>
    <s v="DQS_MAO04_FILE_000_B"/>
    <s v="RECORD COUNT by MBR_ID, DOS_THRU_DT, DX_CD Grain grouped by PAYER, SRC_FILE_NM, DOS_THRU_YYYYMM"/>
  </r>
  <r>
    <x v="0"/>
    <s v="AETNA_MAO4_202410_20241102.txt"/>
    <x v="38"/>
    <x v="4"/>
    <n v="456"/>
    <n v="7124623"/>
    <n v="0.01"/>
    <s v="DQS_MAO04_FILE_000_B"/>
    <s v="RECORD COUNT by MBR_ID, DOS_THRU_DT, DX_CD Grain grouped by PAYER, SRC_FILE_NM, DOS_THRU_YYYYMM"/>
  </r>
  <r>
    <x v="0"/>
    <s v="AETNA_MAO4_202410_20241102.txt"/>
    <x v="39"/>
    <x v="4"/>
    <n v="449"/>
    <n v="7124623"/>
    <n v="0.01"/>
    <s v="DQS_MAO04_FILE_000_B"/>
    <s v="RECORD COUNT by MBR_ID, DOS_THRU_DT, DX_CD Grain grouped by PAYER, SRC_FILE_NM, DOS_THRU_YYYYMM"/>
  </r>
  <r>
    <x v="0"/>
    <s v="AETNA_MAO4_202410_20241102.txt"/>
    <x v="40"/>
    <x v="4"/>
    <n v="400"/>
    <n v="7124623"/>
    <n v="0.01"/>
    <s v="DQS_MAO04_FILE_000_B"/>
    <s v="RECORD COUNT by MBR_ID, DOS_THRU_DT, DX_CD Grain grouped by PAYER, SRC_FILE_NM, DOS_THRU_YYYYMM"/>
  </r>
  <r>
    <x v="0"/>
    <s v="AETNA_MAO4_202410_20241102.txt"/>
    <x v="41"/>
    <x v="5"/>
    <n v="26405"/>
    <n v="7124623"/>
    <n v="0.37"/>
    <s v="DQS_MAO04_FILE_000_B"/>
    <s v="RECORD COUNT by MBR_ID, DOS_THRU_DT, DX_CD Grain grouped by PAYER, SRC_FILE_NM, DOS_THRU_YYYYMM"/>
  </r>
  <r>
    <x v="0"/>
    <s v="AETNA_MAO4_202410_20241102.txt"/>
    <x v="42"/>
    <x v="5"/>
    <n v="24384"/>
    <n v="7124623"/>
    <n v="0.34"/>
    <s v="DQS_MAO04_FILE_000_B"/>
    <s v="RECORD COUNT by MBR_ID, DOS_THRU_DT, DX_CD Grain grouped by PAYER, SRC_FILE_NM, DOS_THRU_YYYYMM"/>
  </r>
  <r>
    <x v="0"/>
    <s v="AETNA_MAO4_202410_20241102.txt"/>
    <x v="43"/>
    <x v="5"/>
    <n v="21961"/>
    <n v="7124623"/>
    <n v="0.31"/>
    <s v="DQS_MAO04_FILE_000_B"/>
    <s v="RECORD COUNT by MBR_ID, DOS_THRU_DT, DX_CD Grain grouped by PAYER, SRC_FILE_NM, DOS_THRU_YYYYMM"/>
  </r>
  <r>
    <x v="0"/>
    <s v="AETNA_MAO4_202410_20241102.txt"/>
    <x v="44"/>
    <x v="5"/>
    <n v="12188"/>
    <n v="7124623"/>
    <n v="0.17"/>
    <s v="DQS_MAO04_FILE_000_B"/>
    <s v="RECORD COUNT by MBR_ID, DOS_THRU_DT, DX_CD Grain grouped by PAYER, SRC_FILE_NM, DOS_THRU_YYYYMM"/>
  </r>
  <r>
    <x v="0"/>
    <s v="AETNA_MAO4_202410_20241102.txt"/>
    <x v="45"/>
    <x v="5"/>
    <n v="23297"/>
    <n v="7124623"/>
    <n v="0.33"/>
    <s v="DQS_MAO04_FILE_000_B"/>
    <s v="RECORD COUNT by MBR_ID, DOS_THRU_DT, DX_CD Grain grouped by PAYER, SRC_FILE_NM, DOS_THRU_YYYYMM"/>
  </r>
  <r>
    <x v="0"/>
    <s v="AETNA_MAO4_202410_20241102.txt"/>
    <x v="46"/>
    <x v="5"/>
    <n v="28264"/>
    <n v="7124623"/>
    <n v="0.4"/>
    <s v="DQS_MAO04_FILE_000_B"/>
    <s v="RECORD COUNT by MBR_ID, DOS_THRU_DT, DX_CD Grain grouped by PAYER, SRC_FILE_NM, DOS_THRU_YYYYMM"/>
  </r>
  <r>
    <x v="0"/>
    <s v="AETNA_MAO4_202410_20241102.txt"/>
    <x v="47"/>
    <x v="5"/>
    <n v="19988"/>
    <n v="7124623"/>
    <n v="0.28000000000000003"/>
    <s v="DQS_MAO04_FILE_000_B"/>
    <s v="RECORD COUNT by MBR_ID, DOS_THRU_DT, DX_CD Grain grouped by PAYER, SRC_FILE_NM, DOS_THRU_YYYYMM"/>
  </r>
  <r>
    <x v="0"/>
    <s v="AETNA_MAO4_202410_20241102.txt"/>
    <x v="48"/>
    <x v="5"/>
    <n v="21033"/>
    <n v="7124623"/>
    <n v="0.3"/>
    <s v="DQS_MAO04_FILE_000_B"/>
    <s v="RECORD COUNT by MBR_ID, DOS_THRU_DT, DX_CD Grain grouped by PAYER, SRC_FILE_NM, DOS_THRU_YYYYMM"/>
  </r>
  <r>
    <x v="0"/>
    <s v="AETNA_MAO4_202410_20241102.txt"/>
    <x v="49"/>
    <x v="5"/>
    <n v="22567"/>
    <n v="7124623"/>
    <n v="0.32"/>
    <s v="DQS_MAO04_FILE_000_B"/>
    <s v="RECORD COUNT by MBR_ID, DOS_THRU_DT, DX_CD Grain grouped by PAYER, SRC_FILE_NM, DOS_THRU_YYYYMM"/>
  </r>
  <r>
    <x v="0"/>
    <s v="AETNA_MAO4_202410_20241102.txt"/>
    <x v="50"/>
    <x v="5"/>
    <n v="23794"/>
    <n v="7124623"/>
    <n v="0.33"/>
    <s v="DQS_MAO04_FILE_000_B"/>
    <s v="RECORD COUNT by MBR_ID, DOS_THRU_DT, DX_CD Grain grouped by PAYER, SRC_FILE_NM, DOS_THRU_YYYYMM"/>
  </r>
  <r>
    <x v="0"/>
    <s v="AETNA_MAO4_202410_20241102.txt"/>
    <x v="51"/>
    <x v="5"/>
    <n v="20625"/>
    <n v="7124623"/>
    <n v="0.28999999999999998"/>
    <s v="DQS_MAO04_FILE_000_B"/>
    <s v="RECORD COUNT by MBR_ID, DOS_THRU_DT, DX_CD Grain grouped by PAYER, SRC_FILE_NM, DOS_THRU_YYYYMM"/>
  </r>
  <r>
    <x v="0"/>
    <s v="AETNA_MAO4_202410_20241102.txt"/>
    <x v="52"/>
    <x v="5"/>
    <n v="22399"/>
    <n v="7124623"/>
    <n v="0.31"/>
    <s v="DQS_MAO04_FILE_000_B"/>
    <s v="RECORD COUNT by MBR_ID, DOS_THRU_DT, DX_CD Grain grouped by PAYER, SRC_FILE_NM, DOS_THRU_YYYYMM"/>
  </r>
  <r>
    <x v="0"/>
    <s v="AETNA_MAO4_202410_20241102.txt"/>
    <x v="53"/>
    <x v="6"/>
    <n v="46499"/>
    <n v="7124623"/>
    <n v="0.65"/>
    <s v="DQS_MAO04_FILE_000_B"/>
    <s v="RECORD COUNT by MBR_ID, DOS_THRU_DT, DX_CD Grain grouped by PAYER, SRC_FILE_NM, DOS_THRU_YYYYMM"/>
  </r>
  <r>
    <x v="0"/>
    <s v="AETNA_MAO4_202410_20241102.txt"/>
    <x v="54"/>
    <x v="6"/>
    <n v="33227"/>
    <n v="7124623"/>
    <n v="0.47"/>
    <s v="DQS_MAO04_FILE_000_B"/>
    <s v="RECORD COUNT by MBR_ID, DOS_THRU_DT, DX_CD Grain grouped by PAYER, SRC_FILE_NM, DOS_THRU_YYYYMM"/>
  </r>
  <r>
    <x v="0"/>
    <s v="AETNA_MAO4_202410_20241102.txt"/>
    <x v="55"/>
    <x v="6"/>
    <n v="41815"/>
    <n v="7124623"/>
    <n v="0.59"/>
    <s v="DQS_MAO04_FILE_000_B"/>
    <s v="RECORD COUNT by MBR_ID, DOS_THRU_DT, DX_CD Grain grouped by PAYER, SRC_FILE_NM, DOS_THRU_YYYYMM"/>
  </r>
  <r>
    <x v="0"/>
    <s v="AETNA_MAO4_202410_20241102.txt"/>
    <x v="56"/>
    <x v="6"/>
    <n v="39649"/>
    <n v="7124623"/>
    <n v="0.56000000000000005"/>
    <s v="DQS_MAO04_FILE_000_B"/>
    <s v="RECORD COUNT by MBR_ID, DOS_THRU_DT, DX_CD Grain grouped by PAYER, SRC_FILE_NM, DOS_THRU_YYYYMM"/>
  </r>
  <r>
    <x v="0"/>
    <s v="AETNA_MAO4_202410_20241102.txt"/>
    <x v="57"/>
    <x v="6"/>
    <n v="38846"/>
    <n v="7124623"/>
    <n v="0.55000000000000004"/>
    <s v="DQS_MAO04_FILE_000_B"/>
    <s v="RECORD COUNT by MBR_ID, DOS_THRU_DT, DX_CD Grain grouped by PAYER, SRC_FILE_NM, DOS_THRU_YYYYMM"/>
  </r>
  <r>
    <x v="0"/>
    <s v="AETNA_MAO4_202410_20241102.txt"/>
    <x v="58"/>
    <x v="6"/>
    <n v="53241"/>
    <n v="7124623"/>
    <n v="0.75"/>
    <s v="DQS_MAO04_FILE_000_B"/>
    <s v="RECORD COUNT by MBR_ID, DOS_THRU_DT, DX_CD Grain grouped by PAYER, SRC_FILE_NM, DOS_THRU_YYYYMM"/>
  </r>
  <r>
    <x v="0"/>
    <s v="AETNA_MAO4_202410_20241102.txt"/>
    <x v="59"/>
    <x v="6"/>
    <n v="92187"/>
    <n v="7124623"/>
    <n v="1.29"/>
    <s v="DQS_MAO04_FILE_000_B"/>
    <s v="RECORD COUNT by MBR_ID, DOS_THRU_DT, DX_CD Grain grouped by PAYER, SRC_FILE_NM, DOS_THRU_YYYYMM"/>
  </r>
  <r>
    <x v="0"/>
    <s v="AETNA_MAO4_202410_20241102.txt"/>
    <x v="60"/>
    <x v="6"/>
    <n v="90857"/>
    <n v="7124623"/>
    <n v="1.28"/>
    <s v="DQS_MAO04_FILE_000_B"/>
    <s v="RECORD COUNT by MBR_ID, DOS_THRU_DT, DX_CD Grain grouped by PAYER, SRC_FILE_NM, DOS_THRU_YYYYMM"/>
  </r>
  <r>
    <x v="0"/>
    <s v="AETNA_MAO4_202410_20241102.txt"/>
    <x v="61"/>
    <x v="6"/>
    <n v="97587"/>
    <n v="7124623"/>
    <n v="1.37"/>
    <s v="DQS_MAO04_FILE_000_B"/>
    <s v="RECORD COUNT by MBR_ID, DOS_THRU_DT, DX_CD Grain grouped by PAYER, SRC_FILE_NM, DOS_THRU_YYYYMM"/>
  </r>
  <r>
    <x v="0"/>
    <s v="AETNA_MAO4_202410_20241102.txt"/>
    <x v="62"/>
    <x v="6"/>
    <n v="104223"/>
    <n v="7124623"/>
    <n v="1.46"/>
    <s v="DQS_MAO04_FILE_000_B"/>
    <s v="RECORD COUNT by MBR_ID, DOS_THRU_DT, DX_CD Grain grouped by PAYER, SRC_FILE_NM, DOS_THRU_YYYYMM"/>
  </r>
  <r>
    <x v="0"/>
    <s v="AETNA_MAO4_202410_20241102.txt"/>
    <x v="63"/>
    <x v="6"/>
    <n v="175181"/>
    <n v="7124623"/>
    <n v="2.46"/>
    <s v="DQS_MAO04_FILE_000_B"/>
    <s v="RECORD COUNT by MBR_ID, DOS_THRU_DT, DX_CD Grain grouped by PAYER, SRC_FILE_NM, DOS_THRU_YYYYMM"/>
  </r>
  <r>
    <x v="0"/>
    <s v="AETNA_MAO4_202410_20241102.txt"/>
    <x v="64"/>
    <x v="6"/>
    <n v="191218"/>
    <n v="7124623"/>
    <n v="2.68"/>
    <s v="DQS_MAO04_FILE_000_B"/>
    <s v="RECORD COUNT by MBR_ID, DOS_THRU_DT, DX_CD Grain grouped by PAYER, SRC_FILE_NM, DOS_THRU_YYYYMM"/>
  </r>
  <r>
    <x v="0"/>
    <s v="AETNA_MAO4_202410_20241102.txt"/>
    <x v="65"/>
    <x v="7"/>
    <n v="157011"/>
    <n v="7124623"/>
    <n v="2.2000000000000002"/>
    <s v="DQS_MAO04_FILE_000_B"/>
    <s v="RECORD COUNT by MBR_ID, DOS_THRU_DT, DX_CD Grain grouped by PAYER, SRC_FILE_NM, DOS_THRU_YYYYMM"/>
  </r>
  <r>
    <x v="0"/>
    <s v="AETNA_MAO4_202410_20241102.txt"/>
    <x v="66"/>
    <x v="7"/>
    <n v="134169"/>
    <n v="7124623"/>
    <n v="1.88"/>
    <s v="DQS_MAO04_FILE_000_B"/>
    <s v="RECORD COUNT by MBR_ID, DOS_THRU_DT, DX_CD Grain grouped by PAYER, SRC_FILE_NM, DOS_THRU_YYYYMM"/>
  </r>
  <r>
    <x v="0"/>
    <s v="AETNA_MAO4_202410_20241102.txt"/>
    <x v="67"/>
    <x v="7"/>
    <n v="170714"/>
    <n v="7124623"/>
    <n v="2.4"/>
    <s v="DQS_MAO04_FILE_000_B"/>
    <s v="RECORD COUNT by MBR_ID, DOS_THRU_DT, DX_CD Grain grouped by PAYER, SRC_FILE_NM, DOS_THRU_YYYYMM"/>
  </r>
  <r>
    <x v="0"/>
    <s v="AETNA_MAO4_202410_20241102.txt"/>
    <x v="68"/>
    <x v="7"/>
    <n v="150460"/>
    <n v="7124623"/>
    <n v="2.11"/>
    <s v="DQS_MAO04_FILE_000_B"/>
    <s v="RECORD COUNT by MBR_ID, DOS_THRU_DT, DX_CD Grain grouped by PAYER, SRC_FILE_NM, DOS_THRU_YYYYMM"/>
  </r>
  <r>
    <x v="0"/>
    <s v="AETNA_MAO4_202410_20241102.txt"/>
    <x v="69"/>
    <x v="7"/>
    <n v="152168"/>
    <n v="7124623"/>
    <n v="2.14"/>
    <s v="DQS_MAO04_FILE_000_B"/>
    <s v="RECORD COUNT by MBR_ID, DOS_THRU_DT, DX_CD Grain grouped by PAYER, SRC_FILE_NM, DOS_THRU_YYYYMM"/>
  </r>
  <r>
    <x v="0"/>
    <s v="AETNA_MAO4_202410_20241102.txt"/>
    <x v="70"/>
    <x v="7"/>
    <n v="155249"/>
    <n v="7124623"/>
    <n v="2.1800000000000002"/>
    <s v="DQS_MAO04_FILE_000_B"/>
    <s v="RECORD COUNT by MBR_ID, DOS_THRU_DT, DX_CD Grain grouped by PAYER, SRC_FILE_NM, DOS_THRU_YYYYMM"/>
  </r>
  <r>
    <x v="0"/>
    <s v="AETNA_MAO4_202410_20241102.txt"/>
    <x v="71"/>
    <x v="7"/>
    <n v="143683"/>
    <n v="7124623"/>
    <n v="2.02"/>
    <s v="DQS_MAO04_FILE_000_B"/>
    <s v="RECORD COUNT by MBR_ID, DOS_THRU_DT, DX_CD Grain grouped by PAYER, SRC_FILE_NM, DOS_THRU_YYYYMM"/>
  </r>
  <r>
    <x v="0"/>
    <s v="AETNA_MAO4_202410_20241102.txt"/>
    <x v="72"/>
    <x v="7"/>
    <n v="158795"/>
    <n v="7124623"/>
    <n v="2.23"/>
    <s v="DQS_MAO04_FILE_000_B"/>
    <s v="RECORD COUNT by MBR_ID, DOS_THRU_DT, DX_CD Grain grouped by PAYER, SRC_FILE_NM, DOS_THRU_YYYYMM"/>
  </r>
  <r>
    <x v="0"/>
    <s v="AETNA_MAO4_202410_20241102.txt"/>
    <x v="73"/>
    <x v="7"/>
    <n v="148340"/>
    <n v="7124623"/>
    <n v="2.08"/>
    <s v="DQS_MAO04_FILE_000_B"/>
    <s v="RECORD COUNT by MBR_ID, DOS_THRU_DT, DX_CD Grain grouped by PAYER, SRC_FILE_NM, DOS_THRU_YYYYMM"/>
  </r>
  <r>
    <x v="0"/>
    <s v="AETNA_MAO4_202410_20241102.txt"/>
    <x v="74"/>
    <x v="7"/>
    <n v="152973"/>
    <n v="7124623"/>
    <n v="2.15"/>
    <s v="DQS_MAO04_FILE_000_B"/>
    <s v="RECORD COUNT by MBR_ID, DOS_THRU_DT, DX_CD Grain grouped by PAYER, SRC_FILE_NM, DOS_THRU_YYYYMM"/>
  </r>
  <r>
    <x v="0"/>
    <s v="AETNA_MAO4_202410_20241102.txt"/>
    <x v="75"/>
    <x v="7"/>
    <n v="149085"/>
    <n v="7124623"/>
    <n v="2.09"/>
    <s v="DQS_MAO04_FILE_000_B"/>
    <s v="RECORD COUNT by MBR_ID, DOS_THRU_DT, DX_CD Grain grouped by PAYER, SRC_FILE_NM, DOS_THRU_YYYYMM"/>
  </r>
  <r>
    <x v="0"/>
    <s v="AETNA_MAO4_202410_20241102.txt"/>
    <x v="76"/>
    <x v="7"/>
    <n v="139691"/>
    <n v="7124623"/>
    <n v="1.96"/>
    <s v="DQS_MAO04_FILE_000_B"/>
    <s v="RECORD COUNT by MBR_ID, DOS_THRU_DT, DX_CD Grain grouped by PAYER, SRC_FILE_NM, DOS_THRU_YYYYMM"/>
  </r>
  <r>
    <x v="0"/>
    <s v="AETNA_MAO4_202410_20241102.txt"/>
    <x v="77"/>
    <x v="8"/>
    <n v="166922"/>
    <n v="7124623"/>
    <n v="2.34"/>
    <s v="DQS_MAO04_FILE_000_B"/>
    <s v="RECORD COUNT by MBR_ID, DOS_THRU_DT, DX_CD Grain grouped by PAYER, SRC_FILE_NM, DOS_THRU_YYYYMM"/>
  </r>
  <r>
    <x v="0"/>
    <s v="AETNA_MAO4_202410_20241102.txt"/>
    <x v="78"/>
    <x v="8"/>
    <n v="161246"/>
    <n v="7124623"/>
    <n v="2.2599999999999998"/>
    <s v="DQS_MAO04_FILE_000_B"/>
    <s v="RECORD COUNT by MBR_ID, DOS_THRU_DT, DX_CD Grain grouped by PAYER, SRC_FILE_NM, DOS_THRU_YYYYMM"/>
  </r>
  <r>
    <x v="0"/>
    <s v="AETNA_MAO4_202410_20241102.txt"/>
    <x v="79"/>
    <x v="8"/>
    <n v="176821"/>
    <n v="7124623"/>
    <n v="2.48"/>
    <s v="DQS_MAO04_FILE_000_B"/>
    <s v="RECORD COUNT by MBR_ID, DOS_THRU_DT, DX_CD Grain grouped by PAYER, SRC_FILE_NM, DOS_THRU_YYYYMM"/>
  </r>
  <r>
    <x v="0"/>
    <s v="AETNA_MAO4_202410_20241102.txt"/>
    <x v="80"/>
    <x v="8"/>
    <n v="158272"/>
    <n v="7124623"/>
    <n v="2.2200000000000002"/>
    <s v="DQS_MAO04_FILE_000_B"/>
    <s v="RECORD COUNT by MBR_ID, DOS_THRU_DT, DX_CD Grain grouped by PAYER, SRC_FILE_NM, DOS_THRU_YYYYMM"/>
  </r>
  <r>
    <x v="0"/>
    <s v="AETNA_MAO4_202410_20241102.txt"/>
    <x v="81"/>
    <x v="8"/>
    <n v="166823"/>
    <n v="7124623"/>
    <n v="2.34"/>
    <s v="DQS_MAO04_FILE_000_B"/>
    <s v="RECORD COUNT by MBR_ID, DOS_THRU_DT, DX_CD Grain grouped by PAYER, SRC_FILE_NM, DOS_THRU_YYYYMM"/>
  </r>
  <r>
    <x v="0"/>
    <s v="AETNA_MAO4_202410_20241102.txt"/>
    <x v="82"/>
    <x v="8"/>
    <n v="163175"/>
    <n v="7124623"/>
    <n v="2.29"/>
    <s v="DQS_MAO04_FILE_000_B"/>
    <s v="RECORD COUNT by MBR_ID, DOS_THRU_DT, DX_CD Grain grouped by PAYER, SRC_FILE_NM, DOS_THRU_YYYYMM"/>
  </r>
  <r>
    <x v="0"/>
    <s v="AETNA_MAO4_202410_20241102.txt"/>
    <x v="83"/>
    <x v="8"/>
    <n v="147564"/>
    <n v="7124623"/>
    <n v="2.0699999999999998"/>
    <s v="DQS_MAO04_FILE_000_B"/>
    <s v="RECORD COUNT by MBR_ID, DOS_THRU_DT, DX_CD Grain grouped by PAYER, SRC_FILE_NM, DOS_THRU_YYYYMM"/>
  </r>
  <r>
    <x v="0"/>
    <s v="AETNA_MAO4_202410_20241102.txt"/>
    <x v="84"/>
    <x v="8"/>
    <n v="166997"/>
    <n v="7124623"/>
    <n v="2.34"/>
    <s v="DQS_MAO04_FILE_000_B"/>
    <s v="RECORD COUNT by MBR_ID, DOS_THRU_DT, DX_CD Grain grouped by PAYER, SRC_FILE_NM, DOS_THRU_YYYYMM"/>
  </r>
  <r>
    <x v="0"/>
    <s v="AETNA_MAO4_202410_20241102.txt"/>
    <x v="85"/>
    <x v="8"/>
    <n v="156361"/>
    <n v="7124623"/>
    <n v="2.19"/>
    <s v="DQS_MAO04_FILE_000_B"/>
    <s v="RECORD COUNT by MBR_ID, DOS_THRU_DT, DX_CD Grain grouped by PAYER, SRC_FILE_NM, DOS_THRU_YYYYMM"/>
  </r>
  <r>
    <x v="0"/>
    <s v="AETNA_MAO4_202410_20241102.txt"/>
    <x v="86"/>
    <x v="8"/>
    <n v="171288"/>
    <n v="7124623"/>
    <n v="2.4"/>
    <s v="DQS_MAO04_FILE_000_B"/>
    <s v="RECORD COUNT by MBR_ID, DOS_THRU_DT, DX_CD Grain grouped by PAYER, SRC_FILE_NM, DOS_THRU_YYYYMM"/>
  </r>
  <r>
    <x v="0"/>
    <s v="AETNA_MAO4_202410_20241102.txt"/>
    <x v="87"/>
    <x v="8"/>
    <n v="159959"/>
    <n v="7124623"/>
    <n v="2.25"/>
    <s v="DQS_MAO04_FILE_000_B"/>
    <s v="RECORD COUNT by MBR_ID, DOS_THRU_DT, DX_CD Grain grouped by PAYER, SRC_FILE_NM, DOS_THRU_YYYYMM"/>
  </r>
  <r>
    <x v="0"/>
    <s v="AETNA_MAO4_202410_20241102.txt"/>
    <x v="88"/>
    <x v="8"/>
    <n v="152661"/>
    <n v="7124623"/>
    <n v="2.14"/>
    <s v="DQS_MAO04_FILE_000_B"/>
    <s v="RECORD COUNT by MBR_ID, DOS_THRU_DT, DX_CD Grain grouped by PAYER, SRC_FILE_NM, DOS_THRU_YYYYMM"/>
  </r>
  <r>
    <x v="0"/>
    <s v="AETNA_MAO4_202410_20241102.txt"/>
    <x v="89"/>
    <x v="9"/>
    <n v="262326"/>
    <n v="7124623"/>
    <n v="3.68"/>
    <s v="DQS_MAO04_FILE_000_B"/>
    <s v="RECORD COUNT by MBR_ID, DOS_THRU_DT, DX_CD Grain grouped by PAYER, SRC_FILE_NM, DOS_THRU_YYYYMM"/>
  </r>
  <r>
    <x v="0"/>
    <s v="AETNA_MAO4_202410_20241102.txt"/>
    <x v="97"/>
    <x v="9"/>
    <n v="269385"/>
    <n v="7124623"/>
    <n v="3.78"/>
    <s v="DQS_MAO04_FILE_000_B"/>
    <s v="RECORD COUNT by MBR_ID, DOS_THRU_DT, DX_CD Grain grouped by PAYER, SRC_FILE_NM, DOS_THRU_YYYYMM"/>
  </r>
  <r>
    <x v="0"/>
    <s v="AETNA_MAO4_202410_20241102.txt"/>
    <x v="98"/>
    <x v="9"/>
    <n v="269110"/>
    <n v="7124623"/>
    <n v="3.78"/>
    <s v="DQS_MAO04_FILE_000_B"/>
    <s v="RECORD COUNT by MBR_ID, DOS_THRU_DT, DX_CD Grain grouped by PAYER, SRC_FILE_NM, DOS_THRU_YYYYMM"/>
  </r>
  <r>
    <x v="0"/>
    <s v="AETNA_MAO4_202410_20241102.txt"/>
    <x v="99"/>
    <x v="9"/>
    <n v="290110"/>
    <n v="7124623"/>
    <n v="4.07"/>
    <s v="DQS_MAO04_FILE_000_B"/>
    <s v="RECORD COUNT by MBR_ID, DOS_THRU_DT, DX_CD Grain grouped by PAYER, SRC_FILE_NM, DOS_THRU_YYYYMM"/>
  </r>
  <r>
    <x v="0"/>
    <s v="AETNA_MAO4_202410_20241102.txt"/>
    <x v="100"/>
    <x v="9"/>
    <n v="265766"/>
    <n v="7124623"/>
    <n v="3.73"/>
    <s v="DQS_MAO04_FILE_000_B"/>
    <s v="RECORD COUNT by MBR_ID, DOS_THRU_DT, DX_CD Grain grouped by PAYER, SRC_FILE_NM, DOS_THRU_YYYYMM"/>
  </r>
  <r>
    <x v="0"/>
    <s v="AETNA_MAO4_202410_20241102.txt"/>
    <x v="102"/>
    <x v="9"/>
    <n v="247266"/>
    <n v="7124623"/>
    <n v="3.47"/>
    <s v="DQS_MAO04_FILE_000_B"/>
    <s v="RECORD COUNT by MBR_ID, DOS_THRU_DT, DX_CD Grain grouped by PAYER, SRC_FILE_NM, DOS_THRU_YYYYMM"/>
  </r>
  <r>
    <x v="0"/>
    <s v="AETNA_MAO4_202410_20241102.txt"/>
    <x v="103"/>
    <x v="9"/>
    <n v="234161"/>
    <n v="7124623"/>
    <n v="3.29"/>
    <s v="DQS_MAO04_FILE_000_B"/>
    <s v="RECORD COUNT by MBR_ID, DOS_THRU_DT, DX_CD Grain grouped by PAYER, SRC_FILE_NM, DOS_THRU_YYYYMM"/>
  </r>
  <r>
    <x v="0"/>
    <s v="AETNA_MAO4_202410_20241102.txt"/>
    <x v="105"/>
    <x v="9"/>
    <n v="215227"/>
    <n v="7124623"/>
    <n v="3.02"/>
    <s v="DQS_MAO04_FILE_000_B"/>
    <s v="RECORD COUNT by MBR_ID, DOS_THRU_DT, DX_CD Grain grouped by PAYER, SRC_FILE_NM, DOS_THRU_YYYYMM"/>
  </r>
  <r>
    <x v="0"/>
    <s v="AETNA_MAO4_202410_20241102.txt"/>
    <x v="106"/>
    <x v="9"/>
    <n v="33442"/>
    <n v="7124623"/>
    <n v="0.47"/>
    <s v="DQS_MAO04_FILE_000_B"/>
    <s v="RECORD COUNT by MBR_ID, DOS_THRU_DT, DX_CD Grain grouped by PAYER, SRC_FILE_NM, DOS_THRU_YYYYMM"/>
  </r>
  <r>
    <x v="0"/>
    <s v="AETNA_MAO4_202411_20241202.txt"/>
    <x v="90"/>
    <x v="10"/>
    <n v="14"/>
    <n v="10592016"/>
    <n v="0"/>
    <s v="DQS_MAO04_FILE_000_B"/>
    <s v="RECORD COUNT by MBR_ID, DOS_THRU_DT, DX_CD Grain grouped by PAYER, SRC_FILE_NM, DOS_THRU_YYYYMM"/>
  </r>
  <r>
    <x v="0"/>
    <s v="AETNA_MAO4_202411_20241202.txt"/>
    <x v="101"/>
    <x v="0"/>
    <n v="1"/>
    <n v="10592016"/>
    <n v="0"/>
    <s v="DQS_MAO04_FILE_000_B"/>
    <s v="RECORD COUNT by MBR_ID, DOS_THRU_DT, DX_CD Grain grouped by PAYER, SRC_FILE_NM, DOS_THRU_YYYYMM"/>
  </r>
  <r>
    <x v="0"/>
    <s v="AETNA_MAO4_202411_20241202.txt"/>
    <x v="104"/>
    <x v="0"/>
    <n v="3"/>
    <n v="10592016"/>
    <n v="0"/>
    <s v="DQS_MAO04_FILE_000_B"/>
    <s v="RECORD COUNT by MBR_ID, DOS_THRU_DT, DX_CD Grain grouped by PAYER, SRC_FILE_NM, DOS_THRU_YYYYMM"/>
  </r>
  <r>
    <x v="0"/>
    <s v="AETNA_MAO4_202411_20241202.txt"/>
    <x v="91"/>
    <x v="0"/>
    <n v="4"/>
    <n v="10592016"/>
    <n v="0"/>
    <s v="DQS_MAO04_FILE_000_B"/>
    <s v="RECORD COUNT by MBR_ID, DOS_THRU_DT, DX_CD Grain grouped by PAYER, SRC_FILE_NM, DOS_THRU_YYYYMM"/>
  </r>
  <r>
    <x v="0"/>
    <s v="AETNA_MAO4_202411_20241202.txt"/>
    <x v="92"/>
    <x v="0"/>
    <n v="5"/>
    <n v="10592016"/>
    <n v="0"/>
    <s v="DQS_MAO04_FILE_000_B"/>
    <s v="RECORD COUNT by MBR_ID, DOS_THRU_DT, DX_CD Grain grouped by PAYER, SRC_FILE_NM, DOS_THRU_YYYYMM"/>
  </r>
  <r>
    <x v="0"/>
    <s v="AETNA_MAO4_202411_20241202.txt"/>
    <x v="93"/>
    <x v="0"/>
    <n v="9"/>
    <n v="10592016"/>
    <n v="0"/>
    <s v="DQS_MAO04_FILE_000_B"/>
    <s v="RECORD COUNT by MBR_ID, DOS_THRU_DT, DX_CD Grain grouped by PAYER, SRC_FILE_NM, DOS_THRU_YYYYMM"/>
  </r>
  <r>
    <x v="0"/>
    <s v="AETNA_MAO4_202411_20241202.txt"/>
    <x v="94"/>
    <x v="0"/>
    <n v="6"/>
    <n v="10592016"/>
    <n v="0"/>
    <s v="DQS_MAO04_FILE_000_B"/>
    <s v="RECORD COUNT by MBR_ID, DOS_THRU_DT, DX_CD Grain grouped by PAYER, SRC_FILE_NM, DOS_THRU_YYYYMM"/>
  </r>
  <r>
    <x v="0"/>
    <s v="AETNA_MAO4_202411_20241202.txt"/>
    <x v="95"/>
    <x v="0"/>
    <n v="11"/>
    <n v="10592016"/>
    <n v="0"/>
    <s v="DQS_MAO04_FILE_000_B"/>
    <s v="RECORD COUNT by MBR_ID, DOS_THRU_DT, DX_CD Grain grouped by PAYER, SRC_FILE_NM, DOS_THRU_YYYYMM"/>
  </r>
  <r>
    <x v="0"/>
    <s v="AETNA_MAO4_202411_20241202.txt"/>
    <x v="96"/>
    <x v="0"/>
    <n v="3"/>
    <n v="10592016"/>
    <n v="0"/>
    <s v="DQS_MAO04_FILE_000_B"/>
    <s v="RECORD COUNT by MBR_ID, DOS_THRU_DT, DX_CD Grain grouped by PAYER, SRC_FILE_NM, DOS_THRU_YYYYMM"/>
  </r>
  <r>
    <x v="0"/>
    <s v="AETNA_MAO4_202411_20241202.txt"/>
    <x v="0"/>
    <x v="0"/>
    <n v="4"/>
    <n v="10592016"/>
    <n v="0"/>
    <s v="DQS_MAO04_FILE_000_B"/>
    <s v="RECORD COUNT by MBR_ID, DOS_THRU_DT, DX_CD Grain grouped by PAYER, SRC_FILE_NM, DOS_THRU_YYYYMM"/>
  </r>
  <r>
    <x v="0"/>
    <s v="AETNA_MAO4_202411_20241202.txt"/>
    <x v="8"/>
    <x v="2"/>
    <n v="2"/>
    <n v="10592016"/>
    <n v="0"/>
    <s v="DQS_MAO04_FILE_000_B"/>
    <s v="RECORD COUNT by MBR_ID, DOS_THRU_DT, DX_CD Grain grouped by PAYER, SRC_FILE_NM, DOS_THRU_YYYYMM"/>
  </r>
  <r>
    <x v="0"/>
    <s v="AETNA_MAO4_202411_20241202.txt"/>
    <x v="10"/>
    <x v="2"/>
    <n v="2"/>
    <n v="10592016"/>
    <n v="0"/>
    <s v="DQS_MAO04_FILE_000_B"/>
    <s v="RECORD COUNT by MBR_ID, DOS_THRU_DT, DX_CD Grain grouped by PAYER, SRC_FILE_NM, DOS_THRU_YYYYMM"/>
  </r>
  <r>
    <x v="0"/>
    <s v="AETNA_MAO4_202411_20241202.txt"/>
    <x v="11"/>
    <x v="2"/>
    <n v="2"/>
    <n v="10592016"/>
    <n v="0"/>
    <s v="DQS_MAO04_FILE_000_B"/>
    <s v="RECORD COUNT by MBR_ID, DOS_THRU_DT, DX_CD Grain grouped by PAYER, SRC_FILE_NM, DOS_THRU_YYYYMM"/>
  </r>
  <r>
    <x v="0"/>
    <s v="AETNA_MAO4_202411_20241202.txt"/>
    <x v="12"/>
    <x v="2"/>
    <n v="13"/>
    <n v="10592016"/>
    <n v="0"/>
    <s v="DQS_MAO04_FILE_000_B"/>
    <s v="RECORD COUNT by MBR_ID, DOS_THRU_DT, DX_CD Grain grouped by PAYER, SRC_FILE_NM, DOS_THRU_YYYYMM"/>
  </r>
  <r>
    <x v="0"/>
    <s v="AETNA_MAO4_202411_20241202.txt"/>
    <x v="13"/>
    <x v="2"/>
    <n v="10"/>
    <n v="10592016"/>
    <n v="0"/>
    <s v="DQS_MAO04_FILE_000_B"/>
    <s v="RECORD COUNT by MBR_ID, DOS_THRU_DT, DX_CD Grain grouped by PAYER, SRC_FILE_NM, DOS_THRU_YYYYMM"/>
  </r>
  <r>
    <x v="0"/>
    <s v="AETNA_MAO4_202411_20241202.txt"/>
    <x v="14"/>
    <x v="2"/>
    <n v="10"/>
    <n v="10592016"/>
    <n v="0"/>
    <s v="DQS_MAO04_FILE_000_B"/>
    <s v="RECORD COUNT by MBR_ID, DOS_THRU_DT, DX_CD Grain grouped by PAYER, SRC_FILE_NM, DOS_THRU_YYYYMM"/>
  </r>
  <r>
    <x v="0"/>
    <s v="AETNA_MAO4_202411_20241202.txt"/>
    <x v="15"/>
    <x v="2"/>
    <n v="10"/>
    <n v="10592016"/>
    <n v="0"/>
    <s v="DQS_MAO04_FILE_000_B"/>
    <s v="RECORD COUNT by MBR_ID, DOS_THRU_DT, DX_CD Grain grouped by PAYER, SRC_FILE_NM, DOS_THRU_YYYYMM"/>
  </r>
  <r>
    <x v="0"/>
    <s v="AETNA_MAO4_202411_20241202.txt"/>
    <x v="16"/>
    <x v="2"/>
    <n v="2"/>
    <n v="10592016"/>
    <n v="0"/>
    <s v="DQS_MAO04_FILE_000_B"/>
    <s v="RECORD COUNT by MBR_ID, DOS_THRU_DT, DX_CD Grain grouped by PAYER, SRC_FILE_NM, DOS_THRU_YYYYMM"/>
  </r>
  <r>
    <x v="0"/>
    <s v="AETNA_MAO4_202411_20241202.txt"/>
    <x v="18"/>
    <x v="3"/>
    <n v="8"/>
    <n v="10592016"/>
    <n v="0"/>
    <s v="DQS_MAO04_FILE_000_B"/>
    <s v="RECORD COUNT by MBR_ID, DOS_THRU_DT, DX_CD Grain grouped by PAYER, SRC_FILE_NM, DOS_THRU_YYYYMM"/>
  </r>
  <r>
    <x v="0"/>
    <s v="AETNA_MAO4_202411_20241202.txt"/>
    <x v="19"/>
    <x v="3"/>
    <n v="2"/>
    <n v="10592016"/>
    <n v="0"/>
    <s v="DQS_MAO04_FILE_000_B"/>
    <s v="RECORD COUNT by MBR_ID, DOS_THRU_DT, DX_CD Grain grouped by PAYER, SRC_FILE_NM, DOS_THRU_YYYYMM"/>
  </r>
  <r>
    <x v="0"/>
    <s v="AETNA_MAO4_202411_20241202.txt"/>
    <x v="20"/>
    <x v="3"/>
    <n v="9"/>
    <n v="10592016"/>
    <n v="0"/>
    <s v="DQS_MAO04_FILE_000_B"/>
    <s v="RECORD COUNT by MBR_ID, DOS_THRU_DT, DX_CD Grain grouped by PAYER, SRC_FILE_NM, DOS_THRU_YYYYMM"/>
  </r>
  <r>
    <x v="0"/>
    <s v="AETNA_MAO4_202411_20241202.txt"/>
    <x v="21"/>
    <x v="3"/>
    <n v="8"/>
    <n v="10592016"/>
    <n v="0"/>
    <s v="DQS_MAO04_FILE_000_B"/>
    <s v="RECORD COUNT by MBR_ID, DOS_THRU_DT, DX_CD Grain grouped by PAYER, SRC_FILE_NM, DOS_THRU_YYYYMM"/>
  </r>
  <r>
    <x v="0"/>
    <s v="AETNA_MAO4_202411_20241202.txt"/>
    <x v="22"/>
    <x v="3"/>
    <n v="6"/>
    <n v="10592016"/>
    <n v="0"/>
    <s v="DQS_MAO04_FILE_000_B"/>
    <s v="RECORD COUNT by MBR_ID, DOS_THRU_DT, DX_CD Grain grouped by PAYER, SRC_FILE_NM, DOS_THRU_YYYYMM"/>
  </r>
  <r>
    <x v="0"/>
    <s v="AETNA_MAO4_202411_20241202.txt"/>
    <x v="23"/>
    <x v="3"/>
    <n v="10"/>
    <n v="10592016"/>
    <n v="0"/>
    <s v="DQS_MAO04_FILE_000_B"/>
    <s v="RECORD COUNT by MBR_ID, DOS_THRU_DT, DX_CD Grain grouped by PAYER, SRC_FILE_NM, DOS_THRU_YYYYMM"/>
  </r>
  <r>
    <x v="0"/>
    <s v="AETNA_MAO4_202411_20241202.txt"/>
    <x v="24"/>
    <x v="3"/>
    <n v="97"/>
    <n v="10592016"/>
    <n v="0"/>
    <s v="DQS_MAO04_FILE_000_B"/>
    <s v="RECORD COUNT by MBR_ID, DOS_THRU_DT, DX_CD Grain grouped by PAYER, SRC_FILE_NM, DOS_THRU_YYYYMM"/>
  </r>
  <r>
    <x v="0"/>
    <s v="AETNA_MAO4_202411_20241202.txt"/>
    <x v="25"/>
    <x v="3"/>
    <n v="52"/>
    <n v="10592016"/>
    <n v="0"/>
    <s v="DQS_MAO04_FILE_000_B"/>
    <s v="RECORD COUNT by MBR_ID, DOS_THRU_DT, DX_CD Grain grouped by PAYER, SRC_FILE_NM, DOS_THRU_YYYYMM"/>
  </r>
  <r>
    <x v="0"/>
    <s v="AETNA_MAO4_202411_20241202.txt"/>
    <x v="26"/>
    <x v="3"/>
    <n v="18"/>
    <n v="10592016"/>
    <n v="0"/>
    <s v="DQS_MAO04_FILE_000_B"/>
    <s v="RECORD COUNT by MBR_ID, DOS_THRU_DT, DX_CD Grain grouped by PAYER, SRC_FILE_NM, DOS_THRU_YYYYMM"/>
  </r>
  <r>
    <x v="0"/>
    <s v="AETNA_MAO4_202411_20241202.txt"/>
    <x v="27"/>
    <x v="3"/>
    <n v="5"/>
    <n v="10592016"/>
    <n v="0"/>
    <s v="DQS_MAO04_FILE_000_B"/>
    <s v="RECORD COUNT by MBR_ID, DOS_THRU_DT, DX_CD Grain grouped by PAYER, SRC_FILE_NM, DOS_THRU_YYYYMM"/>
  </r>
  <r>
    <x v="0"/>
    <s v="AETNA_MAO4_202411_20241202.txt"/>
    <x v="28"/>
    <x v="3"/>
    <n v="4"/>
    <n v="10592016"/>
    <n v="0"/>
    <s v="DQS_MAO04_FILE_000_B"/>
    <s v="RECORD COUNT by MBR_ID, DOS_THRU_DT, DX_CD Grain grouped by PAYER, SRC_FILE_NM, DOS_THRU_YYYYMM"/>
  </r>
  <r>
    <x v="0"/>
    <s v="AETNA_MAO4_202411_20241202.txt"/>
    <x v="29"/>
    <x v="4"/>
    <n v="735"/>
    <n v="10592016"/>
    <n v="0.01"/>
    <s v="DQS_MAO04_FILE_000_B"/>
    <s v="RECORD COUNT by MBR_ID, DOS_THRU_DT, DX_CD Grain grouped by PAYER, SRC_FILE_NM, DOS_THRU_YYYYMM"/>
  </r>
  <r>
    <x v="0"/>
    <s v="AETNA_MAO4_202411_20241202.txt"/>
    <x v="30"/>
    <x v="4"/>
    <n v="527"/>
    <n v="10592016"/>
    <n v="0"/>
    <s v="DQS_MAO04_FILE_000_B"/>
    <s v="RECORD COUNT by MBR_ID, DOS_THRU_DT, DX_CD Grain grouped by PAYER, SRC_FILE_NM, DOS_THRU_YYYYMM"/>
  </r>
  <r>
    <x v="0"/>
    <s v="AETNA_MAO4_202411_20241202.txt"/>
    <x v="31"/>
    <x v="4"/>
    <n v="633"/>
    <n v="10592016"/>
    <n v="0.01"/>
    <s v="DQS_MAO04_FILE_000_B"/>
    <s v="RECORD COUNT by MBR_ID, DOS_THRU_DT, DX_CD Grain grouped by PAYER, SRC_FILE_NM, DOS_THRU_YYYYMM"/>
  </r>
  <r>
    <x v="0"/>
    <s v="AETNA_MAO4_202411_20241202.txt"/>
    <x v="32"/>
    <x v="4"/>
    <n v="817"/>
    <n v="10592016"/>
    <n v="0.01"/>
    <s v="DQS_MAO04_FILE_000_B"/>
    <s v="RECORD COUNT by MBR_ID, DOS_THRU_DT, DX_CD Grain grouped by PAYER, SRC_FILE_NM, DOS_THRU_YYYYMM"/>
  </r>
  <r>
    <x v="0"/>
    <s v="AETNA_MAO4_202411_20241202.txt"/>
    <x v="33"/>
    <x v="4"/>
    <n v="665"/>
    <n v="10592016"/>
    <n v="0.01"/>
    <s v="DQS_MAO04_FILE_000_B"/>
    <s v="RECORD COUNT by MBR_ID, DOS_THRU_DT, DX_CD Grain grouped by PAYER, SRC_FILE_NM, DOS_THRU_YYYYMM"/>
  </r>
  <r>
    <x v="0"/>
    <s v="AETNA_MAO4_202411_20241202.txt"/>
    <x v="34"/>
    <x v="4"/>
    <n v="763"/>
    <n v="10592016"/>
    <n v="0.01"/>
    <s v="DQS_MAO04_FILE_000_B"/>
    <s v="RECORD COUNT by MBR_ID, DOS_THRU_DT, DX_CD Grain grouped by PAYER, SRC_FILE_NM, DOS_THRU_YYYYMM"/>
  </r>
  <r>
    <x v="0"/>
    <s v="AETNA_MAO4_202411_20241202.txt"/>
    <x v="35"/>
    <x v="4"/>
    <n v="678"/>
    <n v="10592016"/>
    <n v="0.01"/>
    <s v="DQS_MAO04_FILE_000_B"/>
    <s v="RECORD COUNT by MBR_ID, DOS_THRU_DT, DX_CD Grain grouped by PAYER, SRC_FILE_NM, DOS_THRU_YYYYMM"/>
  </r>
  <r>
    <x v="0"/>
    <s v="AETNA_MAO4_202411_20241202.txt"/>
    <x v="36"/>
    <x v="4"/>
    <n v="667"/>
    <n v="10592016"/>
    <n v="0.01"/>
    <s v="DQS_MAO04_FILE_000_B"/>
    <s v="RECORD COUNT by MBR_ID, DOS_THRU_DT, DX_CD Grain grouped by PAYER, SRC_FILE_NM, DOS_THRU_YYYYMM"/>
  </r>
  <r>
    <x v="0"/>
    <s v="AETNA_MAO4_202411_20241202.txt"/>
    <x v="37"/>
    <x v="4"/>
    <n v="489"/>
    <n v="10592016"/>
    <n v="0"/>
    <s v="DQS_MAO04_FILE_000_B"/>
    <s v="RECORD COUNT by MBR_ID, DOS_THRU_DT, DX_CD Grain grouped by PAYER, SRC_FILE_NM, DOS_THRU_YYYYMM"/>
  </r>
  <r>
    <x v="0"/>
    <s v="AETNA_MAO4_202411_20241202.txt"/>
    <x v="38"/>
    <x v="4"/>
    <n v="688"/>
    <n v="10592016"/>
    <n v="0.01"/>
    <s v="DQS_MAO04_FILE_000_B"/>
    <s v="RECORD COUNT by MBR_ID, DOS_THRU_DT, DX_CD Grain grouped by PAYER, SRC_FILE_NM, DOS_THRU_YYYYMM"/>
  </r>
  <r>
    <x v="0"/>
    <s v="AETNA_MAO4_202411_20241202.txt"/>
    <x v="39"/>
    <x v="4"/>
    <n v="677"/>
    <n v="10592016"/>
    <n v="0.01"/>
    <s v="DQS_MAO04_FILE_000_B"/>
    <s v="RECORD COUNT by MBR_ID, DOS_THRU_DT, DX_CD Grain grouped by PAYER, SRC_FILE_NM, DOS_THRU_YYYYMM"/>
  </r>
  <r>
    <x v="0"/>
    <s v="AETNA_MAO4_202411_20241202.txt"/>
    <x v="40"/>
    <x v="4"/>
    <n v="572"/>
    <n v="10592016"/>
    <n v="0.01"/>
    <s v="DQS_MAO04_FILE_000_B"/>
    <s v="RECORD COUNT by MBR_ID, DOS_THRU_DT, DX_CD Grain grouped by PAYER, SRC_FILE_NM, DOS_THRU_YYYYMM"/>
  </r>
  <r>
    <x v="0"/>
    <s v="AETNA_MAO4_202411_20241202.txt"/>
    <x v="41"/>
    <x v="5"/>
    <n v="39880"/>
    <n v="10592016"/>
    <n v="0.38"/>
    <s v="DQS_MAO04_FILE_000_B"/>
    <s v="RECORD COUNT by MBR_ID, DOS_THRU_DT, DX_CD Grain grouped by PAYER, SRC_FILE_NM, DOS_THRU_YYYYMM"/>
  </r>
  <r>
    <x v="0"/>
    <s v="AETNA_MAO4_202411_20241202.txt"/>
    <x v="42"/>
    <x v="5"/>
    <n v="36935"/>
    <n v="10592016"/>
    <n v="0.35"/>
    <s v="DQS_MAO04_FILE_000_B"/>
    <s v="RECORD COUNT by MBR_ID, DOS_THRU_DT, DX_CD Grain grouped by PAYER, SRC_FILE_NM, DOS_THRU_YYYYMM"/>
  </r>
  <r>
    <x v="0"/>
    <s v="AETNA_MAO4_202411_20241202.txt"/>
    <x v="43"/>
    <x v="5"/>
    <n v="31709"/>
    <n v="10592016"/>
    <n v="0.3"/>
    <s v="DQS_MAO04_FILE_000_B"/>
    <s v="RECORD COUNT by MBR_ID, DOS_THRU_DT, DX_CD Grain grouped by PAYER, SRC_FILE_NM, DOS_THRU_YYYYMM"/>
  </r>
  <r>
    <x v="0"/>
    <s v="AETNA_MAO4_202411_20241202.txt"/>
    <x v="44"/>
    <x v="5"/>
    <n v="17337"/>
    <n v="10592016"/>
    <n v="0.16"/>
    <s v="DQS_MAO04_FILE_000_B"/>
    <s v="RECORD COUNT by MBR_ID, DOS_THRU_DT, DX_CD Grain grouped by PAYER, SRC_FILE_NM, DOS_THRU_YYYYMM"/>
  </r>
  <r>
    <x v="0"/>
    <s v="AETNA_MAO4_202411_20241202.txt"/>
    <x v="45"/>
    <x v="5"/>
    <n v="31993"/>
    <n v="10592016"/>
    <n v="0.3"/>
    <s v="DQS_MAO04_FILE_000_B"/>
    <s v="RECORD COUNT by MBR_ID, DOS_THRU_DT, DX_CD Grain grouped by PAYER, SRC_FILE_NM, DOS_THRU_YYYYMM"/>
  </r>
  <r>
    <x v="0"/>
    <s v="AETNA_MAO4_202411_20241202.txt"/>
    <x v="46"/>
    <x v="5"/>
    <n v="40844"/>
    <n v="10592016"/>
    <n v="0.39"/>
    <s v="DQS_MAO04_FILE_000_B"/>
    <s v="RECORD COUNT by MBR_ID, DOS_THRU_DT, DX_CD Grain grouped by PAYER, SRC_FILE_NM, DOS_THRU_YYYYMM"/>
  </r>
  <r>
    <x v="0"/>
    <s v="AETNA_MAO4_202411_20241202.txt"/>
    <x v="47"/>
    <x v="5"/>
    <n v="30320"/>
    <n v="10592016"/>
    <n v="0.28999999999999998"/>
    <s v="DQS_MAO04_FILE_000_B"/>
    <s v="RECORD COUNT by MBR_ID, DOS_THRU_DT, DX_CD Grain grouped by PAYER, SRC_FILE_NM, DOS_THRU_YYYYMM"/>
  </r>
  <r>
    <x v="0"/>
    <s v="AETNA_MAO4_202411_20241202.txt"/>
    <x v="48"/>
    <x v="5"/>
    <n v="30433"/>
    <n v="10592016"/>
    <n v="0.28999999999999998"/>
    <s v="DQS_MAO04_FILE_000_B"/>
    <s v="RECORD COUNT by MBR_ID, DOS_THRU_DT, DX_CD Grain grouped by PAYER, SRC_FILE_NM, DOS_THRU_YYYYMM"/>
  </r>
  <r>
    <x v="0"/>
    <s v="AETNA_MAO4_202411_20241202.txt"/>
    <x v="49"/>
    <x v="5"/>
    <n v="33326"/>
    <n v="10592016"/>
    <n v="0.31"/>
    <s v="DQS_MAO04_FILE_000_B"/>
    <s v="RECORD COUNT by MBR_ID, DOS_THRU_DT, DX_CD Grain grouped by PAYER, SRC_FILE_NM, DOS_THRU_YYYYMM"/>
  </r>
  <r>
    <x v="0"/>
    <s v="AETNA_MAO4_202411_20241202.txt"/>
    <x v="50"/>
    <x v="5"/>
    <n v="34859"/>
    <n v="10592016"/>
    <n v="0.33"/>
    <s v="DQS_MAO04_FILE_000_B"/>
    <s v="RECORD COUNT by MBR_ID, DOS_THRU_DT, DX_CD Grain grouped by PAYER, SRC_FILE_NM, DOS_THRU_YYYYMM"/>
  </r>
  <r>
    <x v="0"/>
    <s v="AETNA_MAO4_202411_20241202.txt"/>
    <x v="51"/>
    <x v="5"/>
    <n v="29738"/>
    <n v="10592016"/>
    <n v="0.28000000000000003"/>
    <s v="DQS_MAO04_FILE_000_B"/>
    <s v="RECORD COUNT by MBR_ID, DOS_THRU_DT, DX_CD Grain grouped by PAYER, SRC_FILE_NM, DOS_THRU_YYYYMM"/>
  </r>
  <r>
    <x v="0"/>
    <s v="AETNA_MAO4_202411_20241202.txt"/>
    <x v="52"/>
    <x v="5"/>
    <n v="31457"/>
    <n v="10592016"/>
    <n v="0.3"/>
    <s v="DQS_MAO04_FILE_000_B"/>
    <s v="RECORD COUNT by MBR_ID, DOS_THRU_DT, DX_CD Grain grouped by PAYER, SRC_FILE_NM, DOS_THRU_YYYYMM"/>
  </r>
  <r>
    <x v="0"/>
    <s v="AETNA_MAO4_202411_20241202.txt"/>
    <x v="53"/>
    <x v="6"/>
    <n v="68491"/>
    <n v="10592016"/>
    <n v="0.65"/>
    <s v="DQS_MAO04_FILE_000_B"/>
    <s v="RECORD COUNT by MBR_ID, DOS_THRU_DT, DX_CD Grain grouped by PAYER, SRC_FILE_NM, DOS_THRU_YYYYMM"/>
  </r>
  <r>
    <x v="0"/>
    <s v="AETNA_MAO4_202411_20241202.txt"/>
    <x v="54"/>
    <x v="6"/>
    <n v="52757"/>
    <n v="10592016"/>
    <n v="0.5"/>
    <s v="DQS_MAO04_FILE_000_B"/>
    <s v="RECORD COUNT by MBR_ID, DOS_THRU_DT, DX_CD Grain grouped by PAYER, SRC_FILE_NM, DOS_THRU_YYYYMM"/>
  </r>
  <r>
    <x v="0"/>
    <s v="AETNA_MAO4_202411_20241202.txt"/>
    <x v="55"/>
    <x v="6"/>
    <n v="65536"/>
    <n v="10592016"/>
    <n v="0.62"/>
    <s v="DQS_MAO04_FILE_000_B"/>
    <s v="RECORD COUNT by MBR_ID, DOS_THRU_DT, DX_CD Grain grouped by PAYER, SRC_FILE_NM, DOS_THRU_YYYYMM"/>
  </r>
  <r>
    <x v="0"/>
    <s v="AETNA_MAO4_202411_20241202.txt"/>
    <x v="56"/>
    <x v="6"/>
    <n v="62317"/>
    <n v="10592016"/>
    <n v="0.59"/>
    <s v="DQS_MAO04_FILE_000_B"/>
    <s v="RECORD COUNT by MBR_ID, DOS_THRU_DT, DX_CD Grain grouped by PAYER, SRC_FILE_NM, DOS_THRU_YYYYMM"/>
  </r>
  <r>
    <x v="0"/>
    <s v="AETNA_MAO4_202411_20241202.txt"/>
    <x v="57"/>
    <x v="6"/>
    <n v="58401"/>
    <n v="10592016"/>
    <n v="0.55000000000000004"/>
    <s v="DQS_MAO04_FILE_000_B"/>
    <s v="RECORD COUNT by MBR_ID, DOS_THRU_DT, DX_CD Grain grouped by PAYER, SRC_FILE_NM, DOS_THRU_YYYYMM"/>
  </r>
  <r>
    <x v="0"/>
    <s v="AETNA_MAO4_202411_20241202.txt"/>
    <x v="58"/>
    <x v="6"/>
    <n v="66539"/>
    <n v="10592016"/>
    <n v="0.63"/>
    <s v="DQS_MAO04_FILE_000_B"/>
    <s v="RECORD COUNT by MBR_ID, DOS_THRU_DT, DX_CD Grain grouped by PAYER, SRC_FILE_NM, DOS_THRU_YYYYMM"/>
  </r>
  <r>
    <x v="0"/>
    <s v="AETNA_MAO4_202411_20241202.txt"/>
    <x v="59"/>
    <x v="6"/>
    <n v="132054"/>
    <n v="10592016"/>
    <n v="1.25"/>
    <s v="DQS_MAO04_FILE_000_B"/>
    <s v="RECORD COUNT by MBR_ID, DOS_THRU_DT, DX_CD Grain grouped by PAYER, SRC_FILE_NM, DOS_THRU_YYYYMM"/>
  </r>
  <r>
    <x v="0"/>
    <s v="AETNA_MAO4_202411_20241202.txt"/>
    <x v="60"/>
    <x v="6"/>
    <n v="132083"/>
    <n v="10592016"/>
    <n v="1.25"/>
    <s v="DQS_MAO04_FILE_000_B"/>
    <s v="RECORD COUNT by MBR_ID, DOS_THRU_DT, DX_CD Grain grouped by PAYER, SRC_FILE_NM, DOS_THRU_YYYYMM"/>
  </r>
  <r>
    <x v="0"/>
    <s v="AETNA_MAO4_202411_20241202.txt"/>
    <x v="61"/>
    <x v="6"/>
    <n v="139609"/>
    <n v="10592016"/>
    <n v="1.32"/>
    <s v="DQS_MAO04_FILE_000_B"/>
    <s v="RECORD COUNT by MBR_ID, DOS_THRU_DT, DX_CD Grain grouped by PAYER, SRC_FILE_NM, DOS_THRU_YYYYMM"/>
  </r>
  <r>
    <x v="0"/>
    <s v="AETNA_MAO4_202411_20241202.txt"/>
    <x v="62"/>
    <x v="6"/>
    <n v="139017"/>
    <n v="10592016"/>
    <n v="1.31"/>
    <s v="DQS_MAO04_FILE_000_B"/>
    <s v="RECORD COUNT by MBR_ID, DOS_THRU_DT, DX_CD Grain grouped by PAYER, SRC_FILE_NM, DOS_THRU_YYYYMM"/>
  </r>
  <r>
    <x v="0"/>
    <s v="AETNA_MAO4_202411_20241202.txt"/>
    <x v="63"/>
    <x v="6"/>
    <n v="165811"/>
    <n v="10592016"/>
    <n v="1.57"/>
    <s v="DQS_MAO04_FILE_000_B"/>
    <s v="RECORD COUNT by MBR_ID, DOS_THRU_DT, DX_CD Grain grouped by PAYER, SRC_FILE_NM, DOS_THRU_YYYYMM"/>
  </r>
  <r>
    <x v="0"/>
    <s v="AETNA_MAO4_202411_20241202.txt"/>
    <x v="64"/>
    <x v="6"/>
    <n v="231686"/>
    <n v="10592016"/>
    <n v="2.19"/>
    <s v="DQS_MAO04_FILE_000_B"/>
    <s v="RECORD COUNT by MBR_ID, DOS_THRU_DT, DX_CD Grain grouped by PAYER, SRC_FILE_NM, DOS_THRU_YYYYMM"/>
  </r>
  <r>
    <x v="0"/>
    <s v="AETNA_MAO4_202411_20241202.txt"/>
    <x v="65"/>
    <x v="7"/>
    <n v="221303"/>
    <n v="10592016"/>
    <n v="2.09"/>
    <s v="DQS_MAO04_FILE_000_B"/>
    <s v="RECORD COUNT by MBR_ID, DOS_THRU_DT, DX_CD Grain grouped by PAYER, SRC_FILE_NM, DOS_THRU_YYYYMM"/>
  </r>
  <r>
    <x v="0"/>
    <s v="AETNA_MAO4_202411_20241202.txt"/>
    <x v="66"/>
    <x v="7"/>
    <n v="189729"/>
    <n v="10592016"/>
    <n v="1.79"/>
    <s v="DQS_MAO04_FILE_000_B"/>
    <s v="RECORD COUNT by MBR_ID, DOS_THRU_DT, DX_CD Grain grouped by PAYER, SRC_FILE_NM, DOS_THRU_YYYYMM"/>
  </r>
  <r>
    <x v="0"/>
    <s v="AETNA_MAO4_202411_20241202.txt"/>
    <x v="67"/>
    <x v="7"/>
    <n v="242463"/>
    <n v="10592016"/>
    <n v="2.29"/>
    <s v="DQS_MAO04_FILE_000_B"/>
    <s v="RECORD COUNT by MBR_ID, DOS_THRU_DT, DX_CD Grain grouped by PAYER, SRC_FILE_NM, DOS_THRU_YYYYMM"/>
  </r>
  <r>
    <x v="0"/>
    <s v="AETNA_MAO4_202411_20241202.txt"/>
    <x v="68"/>
    <x v="7"/>
    <n v="214437"/>
    <n v="10592016"/>
    <n v="2.02"/>
    <s v="DQS_MAO04_FILE_000_B"/>
    <s v="RECORD COUNT by MBR_ID, DOS_THRU_DT, DX_CD Grain grouped by PAYER, SRC_FILE_NM, DOS_THRU_YYYYMM"/>
  </r>
  <r>
    <x v="0"/>
    <s v="AETNA_MAO4_202411_20241202.txt"/>
    <x v="69"/>
    <x v="7"/>
    <n v="218078"/>
    <n v="10592016"/>
    <n v="2.06"/>
    <s v="DQS_MAO04_FILE_000_B"/>
    <s v="RECORD COUNT by MBR_ID, DOS_THRU_DT, DX_CD Grain grouped by PAYER, SRC_FILE_NM, DOS_THRU_YYYYMM"/>
  </r>
  <r>
    <x v="0"/>
    <s v="AETNA_MAO4_202411_20241202.txt"/>
    <x v="70"/>
    <x v="7"/>
    <n v="223323"/>
    <n v="10592016"/>
    <n v="2.11"/>
    <s v="DQS_MAO04_FILE_000_B"/>
    <s v="RECORD COUNT by MBR_ID, DOS_THRU_DT, DX_CD Grain grouped by PAYER, SRC_FILE_NM, DOS_THRU_YYYYMM"/>
  </r>
  <r>
    <x v="0"/>
    <s v="AETNA_MAO4_202411_20241202.txt"/>
    <x v="71"/>
    <x v="7"/>
    <n v="209558"/>
    <n v="10592016"/>
    <n v="1.98"/>
    <s v="DQS_MAO04_FILE_000_B"/>
    <s v="RECORD COUNT by MBR_ID, DOS_THRU_DT, DX_CD Grain grouped by PAYER, SRC_FILE_NM, DOS_THRU_YYYYMM"/>
  </r>
  <r>
    <x v="0"/>
    <s v="AETNA_MAO4_202411_20241202.txt"/>
    <x v="72"/>
    <x v="7"/>
    <n v="231772"/>
    <n v="10592016"/>
    <n v="2.19"/>
    <s v="DQS_MAO04_FILE_000_B"/>
    <s v="RECORD COUNT by MBR_ID, DOS_THRU_DT, DX_CD Grain grouped by PAYER, SRC_FILE_NM, DOS_THRU_YYYYMM"/>
  </r>
  <r>
    <x v="0"/>
    <s v="AETNA_MAO4_202411_20241202.txt"/>
    <x v="73"/>
    <x v="7"/>
    <n v="216337"/>
    <n v="10592016"/>
    <n v="2.04"/>
    <s v="DQS_MAO04_FILE_000_B"/>
    <s v="RECORD COUNT by MBR_ID, DOS_THRU_DT, DX_CD Grain grouped by PAYER, SRC_FILE_NM, DOS_THRU_YYYYMM"/>
  </r>
  <r>
    <x v="0"/>
    <s v="AETNA_MAO4_202411_20241202.txt"/>
    <x v="74"/>
    <x v="7"/>
    <n v="220453"/>
    <n v="10592016"/>
    <n v="2.08"/>
    <s v="DQS_MAO04_FILE_000_B"/>
    <s v="RECORD COUNT by MBR_ID, DOS_THRU_DT, DX_CD Grain grouped by PAYER, SRC_FILE_NM, DOS_THRU_YYYYMM"/>
  </r>
  <r>
    <x v="0"/>
    <s v="AETNA_MAO4_202411_20241202.txt"/>
    <x v="75"/>
    <x v="7"/>
    <n v="216342"/>
    <n v="10592016"/>
    <n v="2.04"/>
    <s v="DQS_MAO04_FILE_000_B"/>
    <s v="RECORD COUNT by MBR_ID, DOS_THRU_DT, DX_CD Grain grouped by PAYER, SRC_FILE_NM, DOS_THRU_YYYYMM"/>
  </r>
  <r>
    <x v="0"/>
    <s v="AETNA_MAO4_202411_20241202.txt"/>
    <x v="76"/>
    <x v="7"/>
    <n v="202728"/>
    <n v="10592016"/>
    <n v="1.91"/>
    <s v="DQS_MAO04_FILE_000_B"/>
    <s v="RECORD COUNT by MBR_ID, DOS_THRU_DT, DX_CD Grain grouped by PAYER, SRC_FILE_NM, DOS_THRU_YYYYMM"/>
  </r>
  <r>
    <x v="0"/>
    <s v="AETNA_MAO4_202411_20241202.txt"/>
    <x v="77"/>
    <x v="8"/>
    <n v="242150"/>
    <n v="10592016"/>
    <n v="2.29"/>
    <s v="DQS_MAO04_FILE_000_B"/>
    <s v="RECORD COUNT by MBR_ID, DOS_THRU_DT, DX_CD Grain grouped by PAYER, SRC_FILE_NM, DOS_THRU_YYYYMM"/>
  </r>
  <r>
    <x v="0"/>
    <s v="AETNA_MAO4_202411_20241202.txt"/>
    <x v="78"/>
    <x v="8"/>
    <n v="234881"/>
    <n v="10592016"/>
    <n v="2.2200000000000002"/>
    <s v="DQS_MAO04_FILE_000_B"/>
    <s v="RECORD COUNT by MBR_ID, DOS_THRU_DT, DX_CD Grain grouped by PAYER, SRC_FILE_NM, DOS_THRU_YYYYMM"/>
  </r>
  <r>
    <x v="0"/>
    <s v="AETNA_MAO4_202411_20241202.txt"/>
    <x v="79"/>
    <x v="8"/>
    <n v="260937"/>
    <n v="10592016"/>
    <n v="2.46"/>
    <s v="DQS_MAO04_FILE_000_B"/>
    <s v="RECORD COUNT by MBR_ID, DOS_THRU_DT, DX_CD Grain grouped by PAYER, SRC_FILE_NM, DOS_THRU_YYYYMM"/>
  </r>
  <r>
    <x v="0"/>
    <s v="AETNA_MAO4_202411_20241202.txt"/>
    <x v="80"/>
    <x v="8"/>
    <n v="235697"/>
    <n v="10592016"/>
    <n v="2.23"/>
    <s v="DQS_MAO04_FILE_000_B"/>
    <s v="RECORD COUNT by MBR_ID, DOS_THRU_DT, DX_CD Grain grouped by PAYER, SRC_FILE_NM, DOS_THRU_YYYYMM"/>
  </r>
  <r>
    <x v="0"/>
    <s v="AETNA_MAO4_202411_20241202.txt"/>
    <x v="81"/>
    <x v="8"/>
    <n v="247628"/>
    <n v="10592016"/>
    <n v="2.34"/>
    <s v="DQS_MAO04_FILE_000_B"/>
    <s v="RECORD COUNT by MBR_ID, DOS_THRU_DT, DX_CD Grain grouped by PAYER, SRC_FILE_NM, DOS_THRU_YYYYMM"/>
  </r>
  <r>
    <x v="0"/>
    <s v="AETNA_MAO4_202411_20241202.txt"/>
    <x v="82"/>
    <x v="8"/>
    <n v="241502"/>
    <n v="10592016"/>
    <n v="2.2799999999999998"/>
    <s v="DQS_MAO04_FILE_000_B"/>
    <s v="RECORD COUNT by MBR_ID, DOS_THRU_DT, DX_CD Grain grouped by PAYER, SRC_FILE_NM, DOS_THRU_YYYYMM"/>
  </r>
  <r>
    <x v="0"/>
    <s v="AETNA_MAO4_202411_20241202.txt"/>
    <x v="83"/>
    <x v="8"/>
    <n v="221440"/>
    <n v="10592016"/>
    <n v="2.09"/>
    <s v="DQS_MAO04_FILE_000_B"/>
    <s v="RECORD COUNT by MBR_ID, DOS_THRU_DT, DX_CD Grain grouped by PAYER, SRC_FILE_NM, DOS_THRU_YYYYMM"/>
  </r>
  <r>
    <x v="0"/>
    <s v="AETNA_MAO4_202411_20241202.txt"/>
    <x v="84"/>
    <x v="8"/>
    <n v="252724"/>
    <n v="10592016"/>
    <n v="2.39"/>
    <s v="DQS_MAO04_FILE_000_B"/>
    <s v="RECORD COUNT by MBR_ID, DOS_THRU_DT, DX_CD Grain grouped by PAYER, SRC_FILE_NM, DOS_THRU_YYYYMM"/>
  </r>
  <r>
    <x v="0"/>
    <s v="AETNA_MAO4_202411_20241202.txt"/>
    <x v="85"/>
    <x v="8"/>
    <n v="236075"/>
    <n v="10592016"/>
    <n v="2.23"/>
    <s v="DQS_MAO04_FILE_000_B"/>
    <s v="RECORD COUNT by MBR_ID, DOS_THRU_DT, DX_CD Grain grouped by PAYER, SRC_FILE_NM, DOS_THRU_YYYYMM"/>
  </r>
  <r>
    <x v="0"/>
    <s v="AETNA_MAO4_202411_20241202.txt"/>
    <x v="86"/>
    <x v="8"/>
    <n v="255126"/>
    <n v="10592016"/>
    <n v="2.41"/>
    <s v="DQS_MAO04_FILE_000_B"/>
    <s v="RECORD COUNT by MBR_ID, DOS_THRU_DT, DX_CD Grain grouped by PAYER, SRC_FILE_NM, DOS_THRU_YYYYMM"/>
  </r>
  <r>
    <x v="0"/>
    <s v="AETNA_MAO4_202411_20241202.txt"/>
    <x v="87"/>
    <x v="8"/>
    <n v="242944"/>
    <n v="10592016"/>
    <n v="2.29"/>
    <s v="DQS_MAO04_FILE_000_B"/>
    <s v="RECORD COUNT by MBR_ID, DOS_THRU_DT, DX_CD Grain grouped by PAYER, SRC_FILE_NM, DOS_THRU_YYYYMM"/>
  </r>
  <r>
    <x v="0"/>
    <s v="AETNA_MAO4_202411_20241202.txt"/>
    <x v="88"/>
    <x v="8"/>
    <n v="230542"/>
    <n v="10592016"/>
    <n v="2.1800000000000002"/>
    <s v="DQS_MAO04_FILE_000_B"/>
    <s v="RECORD COUNT by MBR_ID, DOS_THRU_DT, DX_CD Grain grouped by PAYER, SRC_FILE_NM, DOS_THRU_YYYYMM"/>
  </r>
  <r>
    <x v="0"/>
    <s v="AETNA_MAO4_202411_20241202.txt"/>
    <x v="89"/>
    <x v="9"/>
    <n v="376192"/>
    <n v="10592016"/>
    <n v="3.55"/>
    <s v="DQS_MAO04_FILE_000_B"/>
    <s v="RECORD COUNT by MBR_ID, DOS_THRU_DT, DX_CD Grain grouped by PAYER, SRC_FILE_NM, DOS_THRU_YYYYMM"/>
  </r>
  <r>
    <x v="0"/>
    <s v="AETNA_MAO4_202411_20241202.txt"/>
    <x v="97"/>
    <x v="9"/>
    <n v="386664"/>
    <n v="10592016"/>
    <n v="3.65"/>
    <s v="DQS_MAO04_FILE_000_B"/>
    <s v="RECORD COUNT by MBR_ID, DOS_THRU_DT, DX_CD Grain grouped by PAYER, SRC_FILE_NM, DOS_THRU_YYYYMM"/>
  </r>
  <r>
    <x v="0"/>
    <s v="AETNA_MAO4_202411_20241202.txt"/>
    <x v="98"/>
    <x v="9"/>
    <n v="389099"/>
    <n v="10592016"/>
    <n v="3.67"/>
    <s v="DQS_MAO04_FILE_000_B"/>
    <s v="RECORD COUNT by MBR_ID, DOS_THRU_DT, DX_CD Grain grouped by PAYER, SRC_FILE_NM, DOS_THRU_YYYYMM"/>
  </r>
  <r>
    <x v="0"/>
    <s v="AETNA_MAO4_202411_20241202.txt"/>
    <x v="99"/>
    <x v="9"/>
    <n v="420191"/>
    <n v="10592016"/>
    <n v="3.97"/>
    <s v="DQS_MAO04_FILE_000_B"/>
    <s v="RECORD COUNT by MBR_ID, DOS_THRU_DT, DX_CD Grain grouped by PAYER, SRC_FILE_NM, DOS_THRU_YYYYMM"/>
  </r>
  <r>
    <x v="0"/>
    <s v="AETNA_MAO4_202411_20241202.txt"/>
    <x v="100"/>
    <x v="9"/>
    <n v="371027"/>
    <n v="10592016"/>
    <n v="3.5"/>
    <s v="DQS_MAO04_FILE_000_B"/>
    <s v="RECORD COUNT by MBR_ID, DOS_THRU_DT, DX_CD Grain grouped by PAYER, SRC_FILE_NM, DOS_THRU_YYYYMM"/>
  </r>
  <r>
    <x v="0"/>
    <s v="AETNA_MAO4_202411_20241202.txt"/>
    <x v="102"/>
    <x v="9"/>
    <n v="348138"/>
    <n v="10592016"/>
    <n v="3.29"/>
    <s v="DQS_MAO04_FILE_000_B"/>
    <s v="RECORD COUNT by MBR_ID, DOS_THRU_DT, DX_CD Grain grouped by PAYER, SRC_FILE_NM, DOS_THRU_YYYYMM"/>
  </r>
  <r>
    <x v="0"/>
    <s v="AETNA_MAO4_202411_20241202.txt"/>
    <x v="103"/>
    <x v="9"/>
    <n v="357461"/>
    <n v="10592016"/>
    <n v="3.37"/>
    <s v="DQS_MAO04_FILE_000_B"/>
    <s v="RECORD COUNT by MBR_ID, DOS_THRU_DT, DX_CD Grain grouped by PAYER, SRC_FILE_NM, DOS_THRU_YYYYMM"/>
  </r>
  <r>
    <x v="0"/>
    <s v="AETNA_MAO4_202411_20241202.txt"/>
    <x v="105"/>
    <x v="9"/>
    <n v="356207"/>
    <n v="10592016"/>
    <n v="3.36"/>
    <s v="DQS_MAO04_FILE_000_B"/>
    <s v="RECORD COUNT by MBR_ID, DOS_THRU_DT, DX_CD Grain grouped by PAYER, SRC_FILE_NM, DOS_THRU_YYYYMM"/>
  </r>
  <r>
    <x v="0"/>
    <s v="AETNA_MAO4_202411_20241202.txt"/>
    <x v="106"/>
    <x v="9"/>
    <n v="314056"/>
    <n v="10592016"/>
    <n v="2.97"/>
    <s v="DQS_MAO04_FILE_000_B"/>
    <s v="RECORD COUNT by MBR_ID, DOS_THRU_DT, DX_CD Grain grouped by PAYER, SRC_FILE_NM, DOS_THRU_YYYYMM"/>
  </r>
  <r>
    <x v="0"/>
    <s v="AETNA_MAO4_202411_20241202.txt"/>
    <x v="107"/>
    <x v="9"/>
    <n v="53439"/>
    <n v="10592016"/>
    <n v="0.5"/>
    <s v="DQS_MAO04_FILE_000_B"/>
    <s v="RECORD COUNT by MBR_ID, DOS_THRU_DT, DX_CD Grain grouped by PAYER, SRC_FILE_NM, DOS_THRU_YYYYMM"/>
  </r>
  <r>
    <x v="0"/>
    <s v="AETNA_MAO4_202412_20250102.txt"/>
    <x v="7"/>
    <x v="2"/>
    <n v="5"/>
    <n v="11015473"/>
    <n v="0"/>
    <s v="DQS_MAO04_FILE_000_B"/>
    <s v="RECORD COUNT by MBR_ID, DOS_THRU_DT, DX_CD Grain grouped by PAYER, SRC_FILE_NM, DOS_THRU_YYYYMM"/>
  </r>
  <r>
    <x v="0"/>
    <s v="AETNA_MAO4_202412_20250102.txt"/>
    <x v="8"/>
    <x v="2"/>
    <n v="2"/>
    <n v="11015473"/>
    <n v="0"/>
    <s v="DQS_MAO04_FILE_000_B"/>
    <s v="RECORD COUNT by MBR_ID, DOS_THRU_DT, DX_CD Grain grouped by PAYER, SRC_FILE_NM, DOS_THRU_YYYYMM"/>
  </r>
  <r>
    <x v="0"/>
    <s v="AETNA_MAO4_202412_20250102.txt"/>
    <x v="14"/>
    <x v="2"/>
    <n v="1"/>
    <n v="11015473"/>
    <n v="0"/>
    <s v="DQS_MAO04_FILE_000_B"/>
    <s v="RECORD COUNT by MBR_ID, DOS_THRU_DT, DX_CD Grain grouped by PAYER, SRC_FILE_NM, DOS_THRU_YYYYMM"/>
  </r>
  <r>
    <x v="0"/>
    <s v="AETNA_MAO4_202412_20250102.txt"/>
    <x v="16"/>
    <x v="2"/>
    <n v="5"/>
    <n v="11015473"/>
    <n v="0"/>
    <s v="DQS_MAO04_FILE_000_B"/>
    <s v="RECORD COUNT by MBR_ID, DOS_THRU_DT, DX_CD Grain grouped by PAYER, SRC_FILE_NM, DOS_THRU_YYYYMM"/>
  </r>
  <r>
    <x v="0"/>
    <s v="AETNA_MAO4_202412_20250102.txt"/>
    <x v="18"/>
    <x v="3"/>
    <n v="11"/>
    <n v="11015473"/>
    <n v="0"/>
    <s v="DQS_MAO04_FILE_000_B"/>
    <s v="RECORD COUNT by MBR_ID, DOS_THRU_DT, DX_CD Grain grouped by PAYER, SRC_FILE_NM, DOS_THRU_YYYYMM"/>
  </r>
  <r>
    <x v="0"/>
    <s v="AETNA_MAO4_202412_20250102.txt"/>
    <x v="19"/>
    <x v="3"/>
    <n v="2"/>
    <n v="11015473"/>
    <n v="0"/>
    <s v="DQS_MAO04_FILE_000_B"/>
    <s v="RECORD COUNT by MBR_ID, DOS_THRU_DT, DX_CD Grain grouped by PAYER, SRC_FILE_NM, DOS_THRU_YYYYMM"/>
  </r>
  <r>
    <x v="0"/>
    <s v="AETNA_MAO4_202412_20250102.txt"/>
    <x v="21"/>
    <x v="3"/>
    <n v="9"/>
    <n v="11015473"/>
    <n v="0"/>
    <s v="DQS_MAO04_FILE_000_B"/>
    <s v="RECORD COUNT by MBR_ID, DOS_THRU_DT, DX_CD Grain grouped by PAYER, SRC_FILE_NM, DOS_THRU_YYYYMM"/>
  </r>
  <r>
    <x v="0"/>
    <s v="AETNA_MAO4_202412_20250102.txt"/>
    <x v="23"/>
    <x v="3"/>
    <n v="6"/>
    <n v="11015473"/>
    <n v="0"/>
    <s v="DQS_MAO04_FILE_000_B"/>
    <s v="RECORD COUNT by MBR_ID, DOS_THRU_DT, DX_CD Grain grouped by PAYER, SRC_FILE_NM, DOS_THRU_YYYYMM"/>
  </r>
  <r>
    <x v="0"/>
    <s v="AETNA_MAO4_202412_20250102.txt"/>
    <x v="24"/>
    <x v="3"/>
    <n v="67"/>
    <n v="11015473"/>
    <n v="0"/>
    <s v="DQS_MAO04_FILE_000_B"/>
    <s v="RECORD COUNT by MBR_ID, DOS_THRU_DT, DX_CD Grain grouped by PAYER, SRC_FILE_NM, DOS_THRU_YYYYMM"/>
  </r>
  <r>
    <x v="0"/>
    <s v="AETNA_MAO4_202412_20250102.txt"/>
    <x v="25"/>
    <x v="3"/>
    <n v="39"/>
    <n v="11015473"/>
    <n v="0"/>
    <s v="DQS_MAO04_FILE_000_B"/>
    <s v="RECORD COUNT by MBR_ID, DOS_THRU_DT, DX_CD Grain grouped by PAYER, SRC_FILE_NM, DOS_THRU_YYYYMM"/>
  </r>
  <r>
    <x v="0"/>
    <s v="AETNA_MAO4_202412_20250102.txt"/>
    <x v="26"/>
    <x v="3"/>
    <n v="9"/>
    <n v="11015473"/>
    <n v="0"/>
    <s v="DQS_MAO04_FILE_000_B"/>
    <s v="RECORD COUNT by MBR_ID, DOS_THRU_DT, DX_CD Grain grouped by PAYER, SRC_FILE_NM, DOS_THRU_YYYYMM"/>
  </r>
  <r>
    <x v="0"/>
    <s v="AETNA_MAO4_202412_20250102.txt"/>
    <x v="27"/>
    <x v="3"/>
    <n v="1"/>
    <n v="11015473"/>
    <n v="0"/>
    <s v="DQS_MAO04_FILE_000_B"/>
    <s v="RECORD COUNT by MBR_ID, DOS_THRU_DT, DX_CD Grain grouped by PAYER, SRC_FILE_NM, DOS_THRU_YYYYMM"/>
  </r>
  <r>
    <x v="0"/>
    <s v="AETNA_MAO4_202412_20250102.txt"/>
    <x v="28"/>
    <x v="3"/>
    <n v="4"/>
    <n v="11015473"/>
    <n v="0"/>
    <s v="DQS_MAO04_FILE_000_B"/>
    <s v="RECORD COUNT by MBR_ID, DOS_THRU_DT, DX_CD Grain grouped by PAYER, SRC_FILE_NM, DOS_THRU_YYYYMM"/>
  </r>
  <r>
    <x v="0"/>
    <s v="AETNA_MAO4_202412_20250102.txt"/>
    <x v="29"/>
    <x v="4"/>
    <n v="692"/>
    <n v="11015473"/>
    <n v="0.01"/>
    <s v="DQS_MAO04_FILE_000_B"/>
    <s v="RECORD COUNT by MBR_ID, DOS_THRU_DT, DX_CD Grain grouped by PAYER, SRC_FILE_NM, DOS_THRU_YYYYMM"/>
  </r>
  <r>
    <x v="0"/>
    <s v="AETNA_MAO4_202412_20250102.txt"/>
    <x v="30"/>
    <x v="4"/>
    <n v="505"/>
    <n v="11015473"/>
    <n v="0"/>
    <s v="DQS_MAO04_FILE_000_B"/>
    <s v="RECORD COUNT by MBR_ID, DOS_THRU_DT, DX_CD Grain grouped by PAYER, SRC_FILE_NM, DOS_THRU_YYYYMM"/>
  </r>
  <r>
    <x v="0"/>
    <s v="AETNA_MAO4_202412_20250102.txt"/>
    <x v="31"/>
    <x v="4"/>
    <n v="690"/>
    <n v="11015473"/>
    <n v="0.01"/>
    <s v="DQS_MAO04_FILE_000_B"/>
    <s v="RECORD COUNT by MBR_ID, DOS_THRU_DT, DX_CD Grain grouped by PAYER, SRC_FILE_NM, DOS_THRU_YYYYMM"/>
  </r>
  <r>
    <x v="0"/>
    <s v="AETNA_MAO4_202412_20250102.txt"/>
    <x v="32"/>
    <x v="4"/>
    <n v="821"/>
    <n v="11015473"/>
    <n v="0.01"/>
    <s v="DQS_MAO04_FILE_000_B"/>
    <s v="RECORD COUNT by MBR_ID, DOS_THRU_DT, DX_CD Grain grouped by PAYER, SRC_FILE_NM, DOS_THRU_YYYYMM"/>
  </r>
  <r>
    <x v="0"/>
    <s v="AETNA_MAO4_202412_20250102.txt"/>
    <x v="33"/>
    <x v="4"/>
    <n v="673"/>
    <n v="11015473"/>
    <n v="0.01"/>
    <s v="DQS_MAO04_FILE_000_B"/>
    <s v="RECORD COUNT by MBR_ID, DOS_THRU_DT, DX_CD Grain grouped by PAYER, SRC_FILE_NM, DOS_THRU_YYYYMM"/>
  </r>
  <r>
    <x v="0"/>
    <s v="AETNA_MAO4_202412_20250102.txt"/>
    <x v="34"/>
    <x v="4"/>
    <n v="763"/>
    <n v="11015473"/>
    <n v="0.01"/>
    <s v="DQS_MAO04_FILE_000_B"/>
    <s v="RECORD COUNT by MBR_ID, DOS_THRU_DT, DX_CD Grain grouped by PAYER, SRC_FILE_NM, DOS_THRU_YYYYMM"/>
  </r>
  <r>
    <x v="0"/>
    <s v="AETNA_MAO4_202412_20250102.txt"/>
    <x v="35"/>
    <x v="4"/>
    <n v="686"/>
    <n v="11015473"/>
    <n v="0.01"/>
    <s v="DQS_MAO04_FILE_000_B"/>
    <s v="RECORD COUNT by MBR_ID, DOS_THRU_DT, DX_CD Grain grouped by PAYER, SRC_FILE_NM, DOS_THRU_YYYYMM"/>
  </r>
  <r>
    <x v="0"/>
    <s v="AETNA_MAO4_202412_20250102.txt"/>
    <x v="36"/>
    <x v="4"/>
    <n v="661"/>
    <n v="11015473"/>
    <n v="0.01"/>
    <s v="DQS_MAO04_FILE_000_B"/>
    <s v="RECORD COUNT by MBR_ID, DOS_THRU_DT, DX_CD Grain grouped by PAYER, SRC_FILE_NM, DOS_THRU_YYYYMM"/>
  </r>
  <r>
    <x v="0"/>
    <s v="AETNA_MAO4_202412_20250102.txt"/>
    <x v="37"/>
    <x v="4"/>
    <n v="506"/>
    <n v="11015473"/>
    <n v="0"/>
    <s v="DQS_MAO04_FILE_000_B"/>
    <s v="RECORD COUNT by MBR_ID, DOS_THRU_DT, DX_CD Grain grouped by PAYER, SRC_FILE_NM, DOS_THRU_YYYYMM"/>
  </r>
  <r>
    <x v="0"/>
    <s v="AETNA_MAO4_202412_20250102.txt"/>
    <x v="38"/>
    <x v="4"/>
    <n v="686"/>
    <n v="11015473"/>
    <n v="0.01"/>
    <s v="DQS_MAO04_FILE_000_B"/>
    <s v="RECORD COUNT by MBR_ID, DOS_THRU_DT, DX_CD Grain grouped by PAYER, SRC_FILE_NM, DOS_THRU_YYYYMM"/>
  </r>
  <r>
    <x v="0"/>
    <s v="AETNA_MAO4_202412_20250102.txt"/>
    <x v="39"/>
    <x v="4"/>
    <n v="611"/>
    <n v="11015473"/>
    <n v="0.01"/>
    <s v="DQS_MAO04_FILE_000_B"/>
    <s v="RECORD COUNT by MBR_ID, DOS_THRU_DT, DX_CD Grain grouped by PAYER, SRC_FILE_NM, DOS_THRU_YYYYMM"/>
  </r>
  <r>
    <x v="0"/>
    <s v="AETNA_MAO4_202412_20250102.txt"/>
    <x v="40"/>
    <x v="4"/>
    <n v="604"/>
    <n v="11015473"/>
    <n v="0.01"/>
    <s v="DQS_MAO04_FILE_000_B"/>
    <s v="RECORD COUNT by MBR_ID, DOS_THRU_DT, DX_CD Grain grouped by PAYER, SRC_FILE_NM, DOS_THRU_YYYYMM"/>
  </r>
  <r>
    <x v="0"/>
    <s v="AETNA_MAO4_202412_20250102.txt"/>
    <x v="41"/>
    <x v="5"/>
    <n v="36988"/>
    <n v="11015473"/>
    <n v="0.34"/>
    <s v="DQS_MAO04_FILE_000_B"/>
    <s v="RECORD COUNT by MBR_ID, DOS_THRU_DT, DX_CD Grain grouped by PAYER, SRC_FILE_NM, DOS_THRU_YYYYMM"/>
  </r>
  <r>
    <x v="0"/>
    <s v="AETNA_MAO4_202412_20250102.txt"/>
    <x v="42"/>
    <x v="5"/>
    <n v="33954"/>
    <n v="11015473"/>
    <n v="0.31"/>
    <s v="DQS_MAO04_FILE_000_B"/>
    <s v="RECORD COUNT by MBR_ID, DOS_THRU_DT, DX_CD Grain grouped by PAYER, SRC_FILE_NM, DOS_THRU_YYYYMM"/>
  </r>
  <r>
    <x v="0"/>
    <s v="AETNA_MAO4_202412_20250102.txt"/>
    <x v="43"/>
    <x v="5"/>
    <n v="29797"/>
    <n v="11015473"/>
    <n v="0.27"/>
    <s v="DQS_MAO04_FILE_000_B"/>
    <s v="RECORD COUNT by MBR_ID, DOS_THRU_DT, DX_CD Grain grouped by PAYER, SRC_FILE_NM, DOS_THRU_YYYYMM"/>
  </r>
  <r>
    <x v="0"/>
    <s v="AETNA_MAO4_202412_20250102.txt"/>
    <x v="44"/>
    <x v="5"/>
    <n v="16052"/>
    <n v="11015473"/>
    <n v="0.15"/>
    <s v="DQS_MAO04_FILE_000_B"/>
    <s v="RECORD COUNT by MBR_ID, DOS_THRU_DT, DX_CD Grain grouped by PAYER, SRC_FILE_NM, DOS_THRU_YYYYMM"/>
  </r>
  <r>
    <x v="0"/>
    <s v="AETNA_MAO4_202412_20250102.txt"/>
    <x v="45"/>
    <x v="5"/>
    <n v="29734"/>
    <n v="11015473"/>
    <n v="0.27"/>
    <s v="DQS_MAO04_FILE_000_B"/>
    <s v="RECORD COUNT by MBR_ID, DOS_THRU_DT, DX_CD Grain grouped by PAYER, SRC_FILE_NM, DOS_THRU_YYYYMM"/>
  </r>
  <r>
    <x v="0"/>
    <s v="AETNA_MAO4_202412_20250102.txt"/>
    <x v="46"/>
    <x v="5"/>
    <n v="37657"/>
    <n v="11015473"/>
    <n v="0.34"/>
    <s v="DQS_MAO04_FILE_000_B"/>
    <s v="RECORD COUNT by MBR_ID, DOS_THRU_DT, DX_CD Grain grouped by PAYER, SRC_FILE_NM, DOS_THRU_YYYYMM"/>
  </r>
  <r>
    <x v="0"/>
    <s v="AETNA_MAO4_202412_20250102.txt"/>
    <x v="47"/>
    <x v="5"/>
    <n v="26501"/>
    <n v="11015473"/>
    <n v="0.24"/>
    <s v="DQS_MAO04_FILE_000_B"/>
    <s v="RECORD COUNT by MBR_ID, DOS_THRU_DT, DX_CD Grain grouped by PAYER, SRC_FILE_NM, DOS_THRU_YYYYMM"/>
  </r>
  <r>
    <x v="0"/>
    <s v="AETNA_MAO4_202412_20250102.txt"/>
    <x v="48"/>
    <x v="5"/>
    <n v="26018"/>
    <n v="11015473"/>
    <n v="0.24"/>
    <s v="DQS_MAO04_FILE_000_B"/>
    <s v="RECORD COUNT by MBR_ID, DOS_THRU_DT, DX_CD Grain grouped by PAYER, SRC_FILE_NM, DOS_THRU_YYYYMM"/>
  </r>
  <r>
    <x v="0"/>
    <s v="AETNA_MAO4_202412_20250102.txt"/>
    <x v="49"/>
    <x v="5"/>
    <n v="29067"/>
    <n v="11015473"/>
    <n v="0.26"/>
    <s v="DQS_MAO04_FILE_000_B"/>
    <s v="RECORD COUNT by MBR_ID, DOS_THRU_DT, DX_CD Grain grouped by PAYER, SRC_FILE_NM, DOS_THRU_YYYYMM"/>
  </r>
  <r>
    <x v="0"/>
    <s v="AETNA_MAO4_202412_20250102.txt"/>
    <x v="50"/>
    <x v="5"/>
    <n v="28419"/>
    <n v="11015473"/>
    <n v="0.26"/>
    <s v="DQS_MAO04_FILE_000_B"/>
    <s v="RECORD COUNT by MBR_ID, DOS_THRU_DT, DX_CD Grain grouped by PAYER, SRC_FILE_NM, DOS_THRU_YYYYMM"/>
  </r>
  <r>
    <x v="0"/>
    <s v="AETNA_MAO4_202412_20250102.txt"/>
    <x v="51"/>
    <x v="5"/>
    <n v="24671"/>
    <n v="11015473"/>
    <n v="0.22"/>
    <s v="DQS_MAO04_FILE_000_B"/>
    <s v="RECORD COUNT by MBR_ID, DOS_THRU_DT, DX_CD Grain grouped by PAYER, SRC_FILE_NM, DOS_THRU_YYYYMM"/>
  </r>
  <r>
    <x v="0"/>
    <s v="AETNA_MAO4_202412_20250102.txt"/>
    <x v="52"/>
    <x v="5"/>
    <n v="26952"/>
    <n v="11015473"/>
    <n v="0.24"/>
    <s v="DQS_MAO04_FILE_000_B"/>
    <s v="RECORD COUNT by MBR_ID, DOS_THRU_DT, DX_CD Grain grouped by PAYER, SRC_FILE_NM, DOS_THRU_YYYYMM"/>
  </r>
  <r>
    <x v="0"/>
    <s v="AETNA_MAO4_202412_20250102.txt"/>
    <x v="53"/>
    <x v="6"/>
    <n v="68025"/>
    <n v="11015473"/>
    <n v="0.62"/>
    <s v="DQS_MAO04_FILE_000_B"/>
    <s v="RECORD COUNT by MBR_ID, DOS_THRU_DT, DX_CD Grain grouped by PAYER, SRC_FILE_NM, DOS_THRU_YYYYMM"/>
  </r>
  <r>
    <x v="0"/>
    <s v="AETNA_MAO4_202412_20250102.txt"/>
    <x v="54"/>
    <x v="6"/>
    <n v="52101"/>
    <n v="11015473"/>
    <n v="0.47"/>
    <s v="DQS_MAO04_FILE_000_B"/>
    <s v="RECORD COUNT by MBR_ID, DOS_THRU_DT, DX_CD Grain grouped by PAYER, SRC_FILE_NM, DOS_THRU_YYYYMM"/>
  </r>
  <r>
    <x v="0"/>
    <s v="AETNA_MAO4_202412_20250102.txt"/>
    <x v="55"/>
    <x v="6"/>
    <n v="64770"/>
    <n v="11015473"/>
    <n v="0.59"/>
    <s v="DQS_MAO04_FILE_000_B"/>
    <s v="RECORD COUNT by MBR_ID, DOS_THRU_DT, DX_CD Grain grouped by PAYER, SRC_FILE_NM, DOS_THRU_YYYYMM"/>
  </r>
  <r>
    <x v="0"/>
    <s v="AETNA_MAO4_202412_20250102.txt"/>
    <x v="56"/>
    <x v="6"/>
    <n v="60818"/>
    <n v="11015473"/>
    <n v="0.55000000000000004"/>
    <s v="DQS_MAO04_FILE_000_B"/>
    <s v="RECORD COUNT by MBR_ID, DOS_THRU_DT, DX_CD Grain grouped by PAYER, SRC_FILE_NM, DOS_THRU_YYYYMM"/>
  </r>
  <r>
    <x v="0"/>
    <s v="AETNA_MAO4_202412_20250102.txt"/>
    <x v="57"/>
    <x v="6"/>
    <n v="57391"/>
    <n v="11015473"/>
    <n v="0.52"/>
    <s v="DQS_MAO04_FILE_000_B"/>
    <s v="RECORD COUNT by MBR_ID, DOS_THRU_DT, DX_CD Grain grouped by PAYER, SRC_FILE_NM, DOS_THRU_YYYYMM"/>
  </r>
  <r>
    <x v="0"/>
    <s v="AETNA_MAO4_202412_20250102.txt"/>
    <x v="58"/>
    <x v="6"/>
    <n v="63870"/>
    <n v="11015473"/>
    <n v="0.57999999999999996"/>
    <s v="DQS_MAO04_FILE_000_B"/>
    <s v="RECORD COUNT by MBR_ID, DOS_THRU_DT, DX_CD Grain grouped by PAYER, SRC_FILE_NM, DOS_THRU_YYYYMM"/>
  </r>
  <r>
    <x v="0"/>
    <s v="AETNA_MAO4_202412_20250102.txt"/>
    <x v="59"/>
    <x v="6"/>
    <n v="131077"/>
    <n v="11015473"/>
    <n v="1.19"/>
    <s v="DQS_MAO04_FILE_000_B"/>
    <s v="RECORD COUNT by MBR_ID, DOS_THRU_DT, DX_CD Grain grouped by PAYER, SRC_FILE_NM, DOS_THRU_YYYYMM"/>
  </r>
  <r>
    <x v="0"/>
    <s v="AETNA_MAO4_202412_20250102.txt"/>
    <x v="60"/>
    <x v="6"/>
    <n v="132433"/>
    <n v="11015473"/>
    <n v="1.2"/>
    <s v="DQS_MAO04_FILE_000_B"/>
    <s v="RECORD COUNT by MBR_ID, DOS_THRU_DT, DX_CD Grain grouped by PAYER, SRC_FILE_NM, DOS_THRU_YYYYMM"/>
  </r>
  <r>
    <x v="0"/>
    <s v="AETNA_MAO4_202412_20250102.txt"/>
    <x v="61"/>
    <x v="6"/>
    <n v="137837"/>
    <n v="11015473"/>
    <n v="1.25"/>
    <s v="DQS_MAO04_FILE_000_B"/>
    <s v="RECORD COUNT by MBR_ID, DOS_THRU_DT, DX_CD Grain grouped by PAYER, SRC_FILE_NM, DOS_THRU_YYYYMM"/>
  </r>
  <r>
    <x v="0"/>
    <s v="AETNA_MAO4_202412_20250102.txt"/>
    <x v="62"/>
    <x v="6"/>
    <n v="135290"/>
    <n v="11015473"/>
    <n v="1.23"/>
    <s v="DQS_MAO04_FILE_000_B"/>
    <s v="RECORD COUNT by MBR_ID, DOS_THRU_DT, DX_CD Grain grouped by PAYER, SRC_FILE_NM, DOS_THRU_YYYYMM"/>
  </r>
  <r>
    <x v="0"/>
    <s v="AETNA_MAO4_202412_20250102.txt"/>
    <x v="63"/>
    <x v="6"/>
    <n v="137138"/>
    <n v="11015473"/>
    <n v="1.24"/>
    <s v="DQS_MAO04_FILE_000_B"/>
    <s v="RECORD COUNT by MBR_ID, DOS_THRU_DT, DX_CD Grain grouped by PAYER, SRC_FILE_NM, DOS_THRU_YYYYMM"/>
  </r>
  <r>
    <x v="0"/>
    <s v="AETNA_MAO4_202412_20250102.txt"/>
    <x v="64"/>
    <x v="6"/>
    <n v="151120"/>
    <n v="11015473"/>
    <n v="1.37"/>
    <s v="DQS_MAO04_FILE_000_B"/>
    <s v="RECORD COUNT by MBR_ID, DOS_THRU_DT, DX_CD Grain grouped by PAYER, SRC_FILE_NM, DOS_THRU_YYYYMM"/>
  </r>
  <r>
    <x v="0"/>
    <s v="AETNA_MAO4_202412_20250102.txt"/>
    <x v="65"/>
    <x v="7"/>
    <n v="203857"/>
    <n v="11015473"/>
    <n v="1.85"/>
    <s v="DQS_MAO04_FILE_000_B"/>
    <s v="RECORD COUNT by MBR_ID, DOS_THRU_DT, DX_CD Grain grouped by PAYER, SRC_FILE_NM, DOS_THRU_YYYYMM"/>
  </r>
  <r>
    <x v="0"/>
    <s v="AETNA_MAO4_202412_20250102.txt"/>
    <x v="66"/>
    <x v="7"/>
    <n v="191710"/>
    <n v="11015473"/>
    <n v="1.74"/>
    <s v="DQS_MAO04_FILE_000_B"/>
    <s v="RECORD COUNT by MBR_ID, DOS_THRU_DT, DX_CD Grain grouped by PAYER, SRC_FILE_NM, DOS_THRU_YYYYMM"/>
  </r>
  <r>
    <x v="0"/>
    <s v="AETNA_MAO4_202412_20250102.txt"/>
    <x v="67"/>
    <x v="7"/>
    <n v="246947"/>
    <n v="11015473"/>
    <n v="2.2400000000000002"/>
    <s v="DQS_MAO04_FILE_000_B"/>
    <s v="RECORD COUNT by MBR_ID, DOS_THRU_DT, DX_CD Grain grouped by PAYER, SRC_FILE_NM, DOS_THRU_YYYYMM"/>
  </r>
  <r>
    <x v="0"/>
    <s v="AETNA_MAO4_202412_20250102.txt"/>
    <x v="68"/>
    <x v="7"/>
    <n v="217859"/>
    <n v="11015473"/>
    <n v="1.98"/>
    <s v="DQS_MAO04_FILE_000_B"/>
    <s v="RECORD COUNT by MBR_ID, DOS_THRU_DT, DX_CD Grain grouped by PAYER, SRC_FILE_NM, DOS_THRU_YYYYMM"/>
  </r>
  <r>
    <x v="0"/>
    <s v="AETNA_MAO4_202412_20250102.txt"/>
    <x v="69"/>
    <x v="7"/>
    <n v="220669"/>
    <n v="11015473"/>
    <n v="2"/>
    <s v="DQS_MAO04_FILE_000_B"/>
    <s v="RECORD COUNT by MBR_ID, DOS_THRU_DT, DX_CD Grain grouped by PAYER, SRC_FILE_NM, DOS_THRU_YYYYMM"/>
  </r>
  <r>
    <x v="0"/>
    <s v="AETNA_MAO4_202412_20250102.txt"/>
    <x v="70"/>
    <x v="7"/>
    <n v="229744"/>
    <n v="11015473"/>
    <n v="2.09"/>
    <s v="DQS_MAO04_FILE_000_B"/>
    <s v="RECORD COUNT by MBR_ID, DOS_THRU_DT, DX_CD Grain grouped by PAYER, SRC_FILE_NM, DOS_THRU_YYYYMM"/>
  </r>
  <r>
    <x v="0"/>
    <s v="AETNA_MAO4_202412_20250102.txt"/>
    <x v="71"/>
    <x v="7"/>
    <n v="212720"/>
    <n v="11015473"/>
    <n v="1.93"/>
    <s v="DQS_MAO04_FILE_000_B"/>
    <s v="RECORD COUNT by MBR_ID, DOS_THRU_DT, DX_CD Grain grouped by PAYER, SRC_FILE_NM, DOS_THRU_YYYYMM"/>
  </r>
  <r>
    <x v="0"/>
    <s v="AETNA_MAO4_202412_20250102.txt"/>
    <x v="72"/>
    <x v="7"/>
    <n v="236341"/>
    <n v="11015473"/>
    <n v="2.15"/>
    <s v="DQS_MAO04_FILE_000_B"/>
    <s v="RECORD COUNT by MBR_ID, DOS_THRU_DT, DX_CD Grain grouped by PAYER, SRC_FILE_NM, DOS_THRU_YYYYMM"/>
  </r>
  <r>
    <x v="0"/>
    <s v="AETNA_MAO4_202412_20250102.txt"/>
    <x v="73"/>
    <x v="7"/>
    <n v="219585"/>
    <n v="11015473"/>
    <n v="1.99"/>
    <s v="DQS_MAO04_FILE_000_B"/>
    <s v="RECORD COUNT by MBR_ID, DOS_THRU_DT, DX_CD Grain grouped by PAYER, SRC_FILE_NM, DOS_THRU_YYYYMM"/>
  </r>
  <r>
    <x v="0"/>
    <s v="AETNA_MAO4_202412_20250102.txt"/>
    <x v="74"/>
    <x v="7"/>
    <n v="222586"/>
    <n v="11015473"/>
    <n v="2.02"/>
    <s v="DQS_MAO04_FILE_000_B"/>
    <s v="RECORD COUNT by MBR_ID, DOS_THRU_DT, DX_CD Grain grouped by PAYER, SRC_FILE_NM, DOS_THRU_YYYYMM"/>
  </r>
  <r>
    <x v="0"/>
    <s v="AETNA_MAO4_202412_20250102.txt"/>
    <x v="75"/>
    <x v="7"/>
    <n v="218873"/>
    <n v="11015473"/>
    <n v="1.99"/>
    <s v="DQS_MAO04_FILE_000_B"/>
    <s v="RECORD COUNT by MBR_ID, DOS_THRU_DT, DX_CD Grain grouped by PAYER, SRC_FILE_NM, DOS_THRU_YYYYMM"/>
  </r>
  <r>
    <x v="0"/>
    <s v="AETNA_MAO4_202412_20250102.txt"/>
    <x v="76"/>
    <x v="7"/>
    <n v="205265"/>
    <n v="11015473"/>
    <n v="1.86"/>
    <s v="DQS_MAO04_FILE_000_B"/>
    <s v="RECORD COUNT by MBR_ID, DOS_THRU_DT, DX_CD Grain grouped by PAYER, SRC_FILE_NM, DOS_THRU_YYYYMM"/>
  </r>
  <r>
    <x v="0"/>
    <s v="AETNA_MAO4_202412_20250102.txt"/>
    <x v="77"/>
    <x v="8"/>
    <n v="248434"/>
    <n v="11015473"/>
    <n v="2.2599999999999998"/>
    <s v="DQS_MAO04_FILE_000_B"/>
    <s v="RECORD COUNT by MBR_ID, DOS_THRU_DT, DX_CD Grain grouped by PAYER, SRC_FILE_NM, DOS_THRU_YYYYMM"/>
  </r>
  <r>
    <x v="0"/>
    <s v="AETNA_MAO4_202412_20250102.txt"/>
    <x v="78"/>
    <x v="8"/>
    <n v="241350"/>
    <n v="11015473"/>
    <n v="2.19"/>
    <s v="DQS_MAO04_FILE_000_B"/>
    <s v="RECORD COUNT by MBR_ID, DOS_THRU_DT, DX_CD Grain grouped by PAYER, SRC_FILE_NM, DOS_THRU_YYYYMM"/>
  </r>
  <r>
    <x v="0"/>
    <s v="AETNA_MAO4_202412_20250102.txt"/>
    <x v="79"/>
    <x v="8"/>
    <n v="267063"/>
    <n v="11015473"/>
    <n v="2.42"/>
    <s v="DQS_MAO04_FILE_000_B"/>
    <s v="RECORD COUNT by MBR_ID, DOS_THRU_DT, DX_CD Grain grouped by PAYER, SRC_FILE_NM, DOS_THRU_YYYYMM"/>
  </r>
  <r>
    <x v="0"/>
    <s v="AETNA_MAO4_202412_20250102.txt"/>
    <x v="80"/>
    <x v="8"/>
    <n v="240765"/>
    <n v="11015473"/>
    <n v="2.19"/>
    <s v="DQS_MAO04_FILE_000_B"/>
    <s v="RECORD COUNT by MBR_ID, DOS_THRU_DT, DX_CD Grain grouped by PAYER, SRC_FILE_NM, DOS_THRU_YYYYMM"/>
  </r>
  <r>
    <x v="0"/>
    <s v="AETNA_MAO4_202412_20250102.txt"/>
    <x v="81"/>
    <x v="8"/>
    <n v="253974"/>
    <n v="11015473"/>
    <n v="2.31"/>
    <s v="DQS_MAO04_FILE_000_B"/>
    <s v="RECORD COUNT by MBR_ID, DOS_THRU_DT, DX_CD Grain grouped by PAYER, SRC_FILE_NM, DOS_THRU_YYYYMM"/>
  </r>
  <r>
    <x v="0"/>
    <s v="AETNA_MAO4_202412_20250102.txt"/>
    <x v="82"/>
    <x v="8"/>
    <n v="249793"/>
    <n v="11015473"/>
    <n v="2.27"/>
    <s v="DQS_MAO04_FILE_000_B"/>
    <s v="RECORD COUNT by MBR_ID, DOS_THRU_DT, DX_CD Grain grouped by PAYER, SRC_FILE_NM, DOS_THRU_YYYYMM"/>
  </r>
  <r>
    <x v="0"/>
    <s v="AETNA_MAO4_202412_20250102.txt"/>
    <x v="83"/>
    <x v="8"/>
    <n v="225816"/>
    <n v="11015473"/>
    <n v="2.0499999999999998"/>
    <s v="DQS_MAO04_FILE_000_B"/>
    <s v="RECORD COUNT by MBR_ID, DOS_THRU_DT, DX_CD Grain grouped by PAYER, SRC_FILE_NM, DOS_THRU_YYYYMM"/>
  </r>
  <r>
    <x v="0"/>
    <s v="AETNA_MAO4_202412_20250102.txt"/>
    <x v="84"/>
    <x v="8"/>
    <n v="257605"/>
    <n v="11015473"/>
    <n v="2.34"/>
    <s v="DQS_MAO04_FILE_000_B"/>
    <s v="RECORD COUNT by MBR_ID, DOS_THRU_DT, DX_CD Grain grouped by PAYER, SRC_FILE_NM, DOS_THRU_YYYYMM"/>
  </r>
  <r>
    <x v="0"/>
    <s v="AETNA_MAO4_202412_20250102.txt"/>
    <x v="85"/>
    <x v="8"/>
    <n v="240149"/>
    <n v="11015473"/>
    <n v="2.1800000000000002"/>
    <s v="DQS_MAO04_FILE_000_B"/>
    <s v="RECORD COUNT by MBR_ID, DOS_THRU_DT, DX_CD Grain grouped by PAYER, SRC_FILE_NM, DOS_THRU_YYYYMM"/>
  </r>
  <r>
    <x v="0"/>
    <s v="AETNA_MAO4_202412_20250102.txt"/>
    <x v="86"/>
    <x v="8"/>
    <n v="262285"/>
    <n v="11015473"/>
    <n v="2.38"/>
    <s v="DQS_MAO04_FILE_000_B"/>
    <s v="RECORD COUNT by MBR_ID, DOS_THRU_DT, DX_CD Grain grouped by PAYER, SRC_FILE_NM, DOS_THRU_YYYYMM"/>
  </r>
  <r>
    <x v="0"/>
    <s v="AETNA_MAO4_202412_20250102.txt"/>
    <x v="87"/>
    <x v="8"/>
    <n v="247265"/>
    <n v="11015473"/>
    <n v="2.2400000000000002"/>
    <s v="DQS_MAO04_FILE_000_B"/>
    <s v="RECORD COUNT by MBR_ID, DOS_THRU_DT, DX_CD Grain grouped by PAYER, SRC_FILE_NM, DOS_THRU_YYYYMM"/>
  </r>
  <r>
    <x v="0"/>
    <s v="AETNA_MAO4_202412_20250102.txt"/>
    <x v="88"/>
    <x v="8"/>
    <n v="235431"/>
    <n v="11015473"/>
    <n v="2.14"/>
    <s v="DQS_MAO04_FILE_000_B"/>
    <s v="RECORD COUNT by MBR_ID, DOS_THRU_DT, DX_CD Grain grouped by PAYER, SRC_FILE_NM, DOS_THRU_YYYYMM"/>
  </r>
  <r>
    <x v="0"/>
    <s v="AETNA_MAO4_202412_20250102.txt"/>
    <x v="89"/>
    <x v="9"/>
    <n v="385107"/>
    <n v="11015473"/>
    <n v="3.5"/>
    <s v="DQS_MAO04_FILE_000_B"/>
    <s v="RECORD COUNT by MBR_ID, DOS_THRU_DT, DX_CD Grain grouped by PAYER, SRC_FILE_NM, DOS_THRU_YYYYMM"/>
  </r>
  <r>
    <x v="0"/>
    <s v="AETNA_MAO4_202412_20250102.txt"/>
    <x v="97"/>
    <x v="9"/>
    <n v="393690"/>
    <n v="11015473"/>
    <n v="3.57"/>
    <s v="DQS_MAO04_FILE_000_B"/>
    <s v="RECORD COUNT by MBR_ID, DOS_THRU_DT, DX_CD Grain grouped by PAYER, SRC_FILE_NM, DOS_THRU_YYYYMM"/>
  </r>
  <r>
    <x v="0"/>
    <s v="AETNA_MAO4_202412_20250102.txt"/>
    <x v="98"/>
    <x v="9"/>
    <n v="398761"/>
    <n v="11015473"/>
    <n v="3.62"/>
    <s v="DQS_MAO04_FILE_000_B"/>
    <s v="RECORD COUNT by MBR_ID, DOS_THRU_DT, DX_CD Grain grouped by PAYER, SRC_FILE_NM, DOS_THRU_YYYYMM"/>
  </r>
  <r>
    <x v="0"/>
    <s v="AETNA_MAO4_202412_20250102.txt"/>
    <x v="99"/>
    <x v="9"/>
    <n v="431389"/>
    <n v="11015473"/>
    <n v="3.92"/>
    <s v="DQS_MAO04_FILE_000_B"/>
    <s v="RECORD COUNT by MBR_ID, DOS_THRU_DT, DX_CD Grain grouped by PAYER, SRC_FILE_NM, DOS_THRU_YYYYMM"/>
  </r>
  <r>
    <x v="0"/>
    <s v="AETNA_MAO4_202412_20250102.txt"/>
    <x v="100"/>
    <x v="9"/>
    <n v="383507"/>
    <n v="11015473"/>
    <n v="3.48"/>
    <s v="DQS_MAO04_FILE_000_B"/>
    <s v="RECORD COUNT by MBR_ID, DOS_THRU_DT, DX_CD Grain grouped by PAYER, SRC_FILE_NM, DOS_THRU_YYYYMM"/>
  </r>
  <r>
    <x v="0"/>
    <s v="AETNA_MAO4_202412_20250102.txt"/>
    <x v="102"/>
    <x v="9"/>
    <n v="358957"/>
    <n v="11015473"/>
    <n v="3.26"/>
    <s v="DQS_MAO04_FILE_000_B"/>
    <s v="RECORD COUNT by MBR_ID, DOS_THRU_DT, DX_CD Grain grouped by PAYER, SRC_FILE_NM, DOS_THRU_YYYYMM"/>
  </r>
  <r>
    <x v="0"/>
    <s v="AETNA_MAO4_202412_20250102.txt"/>
    <x v="103"/>
    <x v="9"/>
    <n v="371590"/>
    <n v="11015473"/>
    <n v="3.37"/>
    <s v="DQS_MAO04_FILE_000_B"/>
    <s v="RECORD COUNT by MBR_ID, DOS_THRU_DT, DX_CD Grain grouped by PAYER, SRC_FILE_NM, DOS_THRU_YYYYMM"/>
  </r>
  <r>
    <x v="0"/>
    <s v="AETNA_MAO4_202412_20250102.txt"/>
    <x v="105"/>
    <x v="9"/>
    <n v="371170"/>
    <n v="11015473"/>
    <n v="3.37"/>
    <s v="DQS_MAO04_FILE_000_B"/>
    <s v="RECORD COUNT by MBR_ID, DOS_THRU_DT, DX_CD Grain grouped by PAYER, SRC_FILE_NM, DOS_THRU_YYYYMM"/>
  </r>
  <r>
    <x v="0"/>
    <s v="AETNA_MAO4_202412_20250102.txt"/>
    <x v="106"/>
    <x v="9"/>
    <n v="354828"/>
    <n v="11015473"/>
    <n v="3.22"/>
    <s v="DQS_MAO04_FILE_000_B"/>
    <s v="RECORD COUNT by MBR_ID, DOS_THRU_DT, DX_CD Grain grouped by PAYER, SRC_FILE_NM, DOS_THRU_YYYYMM"/>
  </r>
  <r>
    <x v="0"/>
    <s v="AETNA_MAO4_202412_20250102.txt"/>
    <x v="107"/>
    <x v="9"/>
    <n v="349537"/>
    <n v="11015473"/>
    <n v="3.17"/>
    <s v="DQS_MAO04_FILE_000_B"/>
    <s v="RECORD COUNT by MBR_ID, DOS_THRU_DT, DX_CD Grain grouped by PAYER, SRC_FILE_NM, DOS_THRU_YYYYMM"/>
  </r>
  <r>
    <x v="0"/>
    <s v="AETNA_MAO4_202412_20250102.txt"/>
    <x v="108"/>
    <x v="9"/>
    <n v="75112"/>
    <n v="11015473"/>
    <n v="0.68"/>
    <s v="DQS_MAO04_FILE_000_B"/>
    <s v="RECORD COUNT by MBR_ID, DOS_THRU_DT, DX_CD Grain grouped by PAYER, SRC_FILE_NM, DOS_THRU_YYYYMM"/>
  </r>
  <r>
    <x v="0"/>
    <s v="AETNA_MAO4_202501_20250202.txt"/>
    <x v="8"/>
    <x v="2"/>
    <n v="2"/>
    <n v="11295858"/>
    <n v="0"/>
    <s v="DQS_MAO04_FILE_000_B"/>
    <s v="RECORD COUNT by MBR_ID, DOS_THRU_DT, DX_CD Grain grouped by PAYER, SRC_FILE_NM, DOS_THRU_YYYYMM"/>
  </r>
  <r>
    <x v="0"/>
    <s v="AETNA_MAO4_202501_20250202.txt"/>
    <x v="10"/>
    <x v="2"/>
    <n v="2"/>
    <n v="11295858"/>
    <n v="0"/>
    <s v="DQS_MAO04_FILE_000_B"/>
    <s v="RECORD COUNT by MBR_ID, DOS_THRU_DT, DX_CD Grain grouped by PAYER, SRC_FILE_NM, DOS_THRU_YYYYMM"/>
  </r>
  <r>
    <x v="0"/>
    <s v="AETNA_MAO4_202501_20250202.txt"/>
    <x v="11"/>
    <x v="2"/>
    <n v="2"/>
    <n v="11295858"/>
    <n v="0"/>
    <s v="DQS_MAO04_FILE_000_B"/>
    <s v="RECORD COUNT by MBR_ID, DOS_THRU_DT, DX_CD Grain grouped by PAYER, SRC_FILE_NM, DOS_THRU_YYYYMM"/>
  </r>
  <r>
    <x v="0"/>
    <s v="AETNA_MAO4_202501_20250202.txt"/>
    <x v="12"/>
    <x v="2"/>
    <n v="17"/>
    <n v="11295858"/>
    <n v="0"/>
    <s v="DQS_MAO04_FILE_000_B"/>
    <s v="RECORD COUNT by MBR_ID, DOS_THRU_DT, DX_CD Grain grouped by PAYER, SRC_FILE_NM, DOS_THRU_YYYYMM"/>
  </r>
  <r>
    <x v="0"/>
    <s v="AETNA_MAO4_202501_20250202.txt"/>
    <x v="13"/>
    <x v="2"/>
    <n v="10"/>
    <n v="11295858"/>
    <n v="0"/>
    <s v="DQS_MAO04_FILE_000_B"/>
    <s v="RECORD COUNT by MBR_ID, DOS_THRU_DT, DX_CD Grain grouped by PAYER, SRC_FILE_NM, DOS_THRU_YYYYMM"/>
  </r>
  <r>
    <x v="0"/>
    <s v="AETNA_MAO4_202501_20250202.txt"/>
    <x v="14"/>
    <x v="2"/>
    <n v="10"/>
    <n v="11295858"/>
    <n v="0"/>
    <s v="DQS_MAO04_FILE_000_B"/>
    <s v="RECORD COUNT by MBR_ID, DOS_THRU_DT, DX_CD Grain grouped by PAYER, SRC_FILE_NM, DOS_THRU_YYYYMM"/>
  </r>
  <r>
    <x v="0"/>
    <s v="AETNA_MAO4_202501_20250202.txt"/>
    <x v="15"/>
    <x v="2"/>
    <n v="10"/>
    <n v="11295858"/>
    <n v="0"/>
    <s v="DQS_MAO04_FILE_000_B"/>
    <s v="RECORD COUNT by MBR_ID, DOS_THRU_DT, DX_CD Grain grouped by PAYER, SRC_FILE_NM, DOS_THRU_YYYYMM"/>
  </r>
  <r>
    <x v="0"/>
    <s v="AETNA_MAO4_202501_20250202.txt"/>
    <x v="16"/>
    <x v="2"/>
    <n v="2"/>
    <n v="11295858"/>
    <n v="0"/>
    <s v="DQS_MAO04_FILE_000_B"/>
    <s v="RECORD COUNT by MBR_ID, DOS_THRU_DT, DX_CD Grain grouped by PAYER, SRC_FILE_NM, DOS_THRU_YYYYMM"/>
  </r>
  <r>
    <x v="0"/>
    <s v="AETNA_MAO4_202501_20250202.txt"/>
    <x v="19"/>
    <x v="3"/>
    <n v="2"/>
    <n v="11295858"/>
    <n v="0"/>
    <s v="DQS_MAO04_FILE_000_B"/>
    <s v="RECORD COUNT by MBR_ID, DOS_THRU_DT, DX_CD Grain grouped by PAYER, SRC_FILE_NM, DOS_THRU_YYYYMM"/>
  </r>
  <r>
    <x v="0"/>
    <s v="AETNA_MAO4_202501_20250202.txt"/>
    <x v="20"/>
    <x v="3"/>
    <n v="9"/>
    <n v="11295858"/>
    <n v="0"/>
    <s v="DQS_MAO04_FILE_000_B"/>
    <s v="RECORD COUNT by MBR_ID, DOS_THRU_DT, DX_CD Grain grouped by PAYER, SRC_FILE_NM, DOS_THRU_YYYYMM"/>
  </r>
  <r>
    <x v="0"/>
    <s v="AETNA_MAO4_202501_20250202.txt"/>
    <x v="21"/>
    <x v="3"/>
    <n v="8"/>
    <n v="11295858"/>
    <n v="0"/>
    <s v="DQS_MAO04_FILE_000_B"/>
    <s v="RECORD COUNT by MBR_ID, DOS_THRU_DT, DX_CD Grain grouped by PAYER, SRC_FILE_NM, DOS_THRU_YYYYMM"/>
  </r>
  <r>
    <x v="0"/>
    <s v="AETNA_MAO4_202501_20250202.txt"/>
    <x v="22"/>
    <x v="3"/>
    <n v="6"/>
    <n v="11295858"/>
    <n v="0"/>
    <s v="DQS_MAO04_FILE_000_B"/>
    <s v="RECORD COUNT by MBR_ID, DOS_THRU_DT, DX_CD Grain grouped by PAYER, SRC_FILE_NM, DOS_THRU_YYYYMM"/>
  </r>
  <r>
    <x v="0"/>
    <s v="AETNA_MAO4_202501_20250202.txt"/>
    <x v="23"/>
    <x v="3"/>
    <n v="10"/>
    <n v="11295858"/>
    <n v="0"/>
    <s v="DQS_MAO04_FILE_000_B"/>
    <s v="RECORD COUNT by MBR_ID, DOS_THRU_DT, DX_CD Grain grouped by PAYER, SRC_FILE_NM, DOS_THRU_YYYYMM"/>
  </r>
  <r>
    <x v="0"/>
    <s v="AETNA_MAO4_202501_20250202.txt"/>
    <x v="24"/>
    <x v="3"/>
    <n v="17"/>
    <n v="11295858"/>
    <n v="0"/>
    <s v="DQS_MAO04_FILE_000_B"/>
    <s v="RECORD COUNT by MBR_ID, DOS_THRU_DT, DX_CD Grain grouped by PAYER, SRC_FILE_NM, DOS_THRU_YYYYMM"/>
  </r>
  <r>
    <x v="0"/>
    <s v="AETNA_MAO4_202501_20250202.txt"/>
    <x v="26"/>
    <x v="3"/>
    <n v="5"/>
    <n v="11295858"/>
    <n v="0"/>
    <s v="DQS_MAO04_FILE_000_B"/>
    <s v="RECORD COUNT by MBR_ID, DOS_THRU_DT, DX_CD Grain grouped by PAYER, SRC_FILE_NM, DOS_THRU_YYYYMM"/>
  </r>
  <r>
    <x v="0"/>
    <s v="AETNA_MAO4_202501_20250202.txt"/>
    <x v="27"/>
    <x v="3"/>
    <n v="1"/>
    <n v="11295858"/>
    <n v="0"/>
    <s v="DQS_MAO04_FILE_000_B"/>
    <s v="RECORD COUNT by MBR_ID, DOS_THRU_DT, DX_CD Grain grouped by PAYER, SRC_FILE_NM, DOS_THRU_YYYYMM"/>
  </r>
  <r>
    <x v="0"/>
    <s v="AETNA_MAO4_202501_20250202.txt"/>
    <x v="28"/>
    <x v="3"/>
    <n v="6"/>
    <n v="11295858"/>
    <n v="0"/>
    <s v="DQS_MAO04_FILE_000_B"/>
    <s v="RECORD COUNT by MBR_ID, DOS_THRU_DT, DX_CD Grain grouped by PAYER, SRC_FILE_NM, DOS_THRU_YYYYMM"/>
  </r>
  <r>
    <x v="0"/>
    <s v="AETNA_MAO4_202501_20250202.txt"/>
    <x v="29"/>
    <x v="4"/>
    <n v="614"/>
    <n v="11295858"/>
    <n v="0.01"/>
    <s v="DQS_MAO04_FILE_000_B"/>
    <s v="RECORD COUNT by MBR_ID, DOS_THRU_DT, DX_CD Grain grouped by PAYER, SRC_FILE_NM, DOS_THRU_YYYYMM"/>
  </r>
  <r>
    <x v="0"/>
    <s v="AETNA_MAO4_202501_20250202.txt"/>
    <x v="30"/>
    <x v="4"/>
    <n v="470"/>
    <n v="11295858"/>
    <n v="0"/>
    <s v="DQS_MAO04_FILE_000_B"/>
    <s v="RECORD COUNT by MBR_ID, DOS_THRU_DT, DX_CD Grain grouped by PAYER, SRC_FILE_NM, DOS_THRU_YYYYMM"/>
  </r>
  <r>
    <x v="0"/>
    <s v="AETNA_MAO4_202501_20250202.txt"/>
    <x v="31"/>
    <x v="4"/>
    <n v="540"/>
    <n v="11295858"/>
    <n v="0"/>
    <s v="DQS_MAO04_FILE_000_B"/>
    <s v="RECORD COUNT by MBR_ID, DOS_THRU_DT, DX_CD Grain grouped by PAYER, SRC_FILE_NM, DOS_THRU_YYYYMM"/>
  </r>
  <r>
    <x v="0"/>
    <s v="AETNA_MAO4_202501_20250202.txt"/>
    <x v="32"/>
    <x v="4"/>
    <n v="759"/>
    <n v="11295858"/>
    <n v="0.01"/>
    <s v="DQS_MAO04_FILE_000_B"/>
    <s v="RECORD COUNT by MBR_ID, DOS_THRU_DT, DX_CD Grain grouped by PAYER, SRC_FILE_NM, DOS_THRU_YYYYMM"/>
  </r>
  <r>
    <x v="0"/>
    <s v="AETNA_MAO4_202501_20250202.txt"/>
    <x v="33"/>
    <x v="4"/>
    <n v="569"/>
    <n v="11295858"/>
    <n v="0.01"/>
    <s v="DQS_MAO04_FILE_000_B"/>
    <s v="RECORD COUNT by MBR_ID, DOS_THRU_DT, DX_CD Grain grouped by PAYER, SRC_FILE_NM, DOS_THRU_YYYYMM"/>
  </r>
  <r>
    <x v="0"/>
    <s v="AETNA_MAO4_202501_20250202.txt"/>
    <x v="34"/>
    <x v="4"/>
    <n v="657"/>
    <n v="11295858"/>
    <n v="0.01"/>
    <s v="DQS_MAO04_FILE_000_B"/>
    <s v="RECORD COUNT by MBR_ID, DOS_THRU_DT, DX_CD Grain grouped by PAYER, SRC_FILE_NM, DOS_THRU_YYYYMM"/>
  </r>
  <r>
    <x v="0"/>
    <s v="AETNA_MAO4_202501_20250202.txt"/>
    <x v="35"/>
    <x v="4"/>
    <n v="610"/>
    <n v="11295858"/>
    <n v="0.01"/>
    <s v="DQS_MAO04_FILE_000_B"/>
    <s v="RECORD COUNT by MBR_ID, DOS_THRU_DT, DX_CD Grain grouped by PAYER, SRC_FILE_NM, DOS_THRU_YYYYMM"/>
  </r>
  <r>
    <x v="0"/>
    <s v="AETNA_MAO4_202501_20250202.txt"/>
    <x v="36"/>
    <x v="4"/>
    <n v="610"/>
    <n v="11295858"/>
    <n v="0.01"/>
    <s v="DQS_MAO04_FILE_000_B"/>
    <s v="RECORD COUNT by MBR_ID, DOS_THRU_DT, DX_CD Grain grouped by PAYER, SRC_FILE_NM, DOS_THRU_YYYYMM"/>
  </r>
  <r>
    <x v="0"/>
    <s v="AETNA_MAO4_202501_20250202.txt"/>
    <x v="37"/>
    <x v="4"/>
    <n v="456"/>
    <n v="11295858"/>
    <n v="0"/>
    <s v="DQS_MAO04_FILE_000_B"/>
    <s v="RECORD COUNT by MBR_ID, DOS_THRU_DT, DX_CD Grain grouped by PAYER, SRC_FILE_NM, DOS_THRU_YYYYMM"/>
  </r>
  <r>
    <x v="0"/>
    <s v="AETNA_MAO4_202501_20250202.txt"/>
    <x v="38"/>
    <x v="4"/>
    <n v="648"/>
    <n v="11295858"/>
    <n v="0.01"/>
    <s v="DQS_MAO04_FILE_000_B"/>
    <s v="RECORD COUNT by MBR_ID, DOS_THRU_DT, DX_CD Grain grouped by PAYER, SRC_FILE_NM, DOS_THRU_YYYYMM"/>
  </r>
  <r>
    <x v="0"/>
    <s v="AETNA_MAO4_202501_20250202.txt"/>
    <x v="39"/>
    <x v="4"/>
    <n v="493"/>
    <n v="11295858"/>
    <n v="0"/>
    <s v="DQS_MAO04_FILE_000_B"/>
    <s v="RECORD COUNT by MBR_ID, DOS_THRU_DT, DX_CD Grain grouped by PAYER, SRC_FILE_NM, DOS_THRU_YYYYMM"/>
  </r>
  <r>
    <x v="0"/>
    <s v="AETNA_MAO4_202501_20250202.txt"/>
    <x v="40"/>
    <x v="4"/>
    <n v="566"/>
    <n v="11295858"/>
    <n v="0.01"/>
    <s v="DQS_MAO04_FILE_000_B"/>
    <s v="RECORD COUNT by MBR_ID, DOS_THRU_DT, DX_CD Grain grouped by PAYER, SRC_FILE_NM, DOS_THRU_YYYYMM"/>
  </r>
  <r>
    <x v="0"/>
    <s v="AETNA_MAO4_202501_20250202.txt"/>
    <x v="41"/>
    <x v="5"/>
    <n v="34124"/>
    <n v="11295858"/>
    <n v="0.3"/>
    <s v="DQS_MAO04_FILE_000_B"/>
    <s v="RECORD COUNT by MBR_ID, DOS_THRU_DT, DX_CD Grain grouped by PAYER, SRC_FILE_NM, DOS_THRU_YYYYMM"/>
  </r>
  <r>
    <x v="0"/>
    <s v="AETNA_MAO4_202501_20250202.txt"/>
    <x v="42"/>
    <x v="5"/>
    <n v="30801"/>
    <n v="11295858"/>
    <n v="0.27"/>
    <s v="DQS_MAO04_FILE_000_B"/>
    <s v="RECORD COUNT by MBR_ID, DOS_THRU_DT, DX_CD Grain grouped by PAYER, SRC_FILE_NM, DOS_THRU_YYYYMM"/>
  </r>
  <r>
    <x v="0"/>
    <s v="AETNA_MAO4_202501_20250202.txt"/>
    <x v="43"/>
    <x v="5"/>
    <n v="26605"/>
    <n v="11295858"/>
    <n v="0.24"/>
    <s v="DQS_MAO04_FILE_000_B"/>
    <s v="RECORD COUNT by MBR_ID, DOS_THRU_DT, DX_CD Grain grouped by PAYER, SRC_FILE_NM, DOS_THRU_YYYYMM"/>
  </r>
  <r>
    <x v="0"/>
    <s v="AETNA_MAO4_202501_20250202.txt"/>
    <x v="44"/>
    <x v="5"/>
    <n v="13889"/>
    <n v="11295858"/>
    <n v="0.12"/>
    <s v="DQS_MAO04_FILE_000_B"/>
    <s v="RECORD COUNT by MBR_ID, DOS_THRU_DT, DX_CD Grain grouped by PAYER, SRC_FILE_NM, DOS_THRU_YYYYMM"/>
  </r>
  <r>
    <x v="0"/>
    <s v="AETNA_MAO4_202501_20250202.txt"/>
    <x v="45"/>
    <x v="5"/>
    <n v="26482"/>
    <n v="11295858"/>
    <n v="0.23"/>
    <s v="DQS_MAO04_FILE_000_B"/>
    <s v="RECORD COUNT by MBR_ID, DOS_THRU_DT, DX_CD Grain grouped by PAYER, SRC_FILE_NM, DOS_THRU_YYYYMM"/>
  </r>
  <r>
    <x v="0"/>
    <s v="AETNA_MAO4_202501_20250202.txt"/>
    <x v="46"/>
    <x v="5"/>
    <n v="34550"/>
    <n v="11295858"/>
    <n v="0.31"/>
    <s v="DQS_MAO04_FILE_000_B"/>
    <s v="RECORD COUNT by MBR_ID, DOS_THRU_DT, DX_CD Grain grouped by PAYER, SRC_FILE_NM, DOS_THRU_YYYYMM"/>
  </r>
  <r>
    <x v="0"/>
    <s v="AETNA_MAO4_202501_20250202.txt"/>
    <x v="47"/>
    <x v="5"/>
    <n v="24119"/>
    <n v="11295858"/>
    <n v="0.21"/>
    <s v="DQS_MAO04_FILE_000_B"/>
    <s v="RECORD COUNT by MBR_ID, DOS_THRU_DT, DX_CD Grain grouped by PAYER, SRC_FILE_NM, DOS_THRU_YYYYMM"/>
  </r>
  <r>
    <x v="0"/>
    <s v="AETNA_MAO4_202501_20250202.txt"/>
    <x v="48"/>
    <x v="5"/>
    <n v="23447"/>
    <n v="11295858"/>
    <n v="0.21"/>
    <s v="DQS_MAO04_FILE_000_B"/>
    <s v="RECORD COUNT by MBR_ID, DOS_THRU_DT, DX_CD Grain grouped by PAYER, SRC_FILE_NM, DOS_THRU_YYYYMM"/>
  </r>
  <r>
    <x v="0"/>
    <s v="AETNA_MAO4_202501_20250202.txt"/>
    <x v="49"/>
    <x v="5"/>
    <n v="26186"/>
    <n v="11295858"/>
    <n v="0.23"/>
    <s v="DQS_MAO04_FILE_000_B"/>
    <s v="RECORD COUNT by MBR_ID, DOS_THRU_DT, DX_CD Grain grouped by PAYER, SRC_FILE_NM, DOS_THRU_YYYYMM"/>
  </r>
  <r>
    <x v="0"/>
    <s v="AETNA_MAO4_202501_20250202.txt"/>
    <x v="50"/>
    <x v="5"/>
    <n v="25648"/>
    <n v="11295858"/>
    <n v="0.23"/>
    <s v="DQS_MAO04_FILE_000_B"/>
    <s v="RECORD COUNT by MBR_ID, DOS_THRU_DT, DX_CD Grain grouped by PAYER, SRC_FILE_NM, DOS_THRU_YYYYMM"/>
  </r>
  <r>
    <x v="0"/>
    <s v="AETNA_MAO4_202501_20250202.txt"/>
    <x v="51"/>
    <x v="5"/>
    <n v="21561"/>
    <n v="11295858"/>
    <n v="0.19"/>
    <s v="DQS_MAO04_FILE_000_B"/>
    <s v="RECORD COUNT by MBR_ID, DOS_THRU_DT, DX_CD Grain grouped by PAYER, SRC_FILE_NM, DOS_THRU_YYYYMM"/>
  </r>
  <r>
    <x v="0"/>
    <s v="AETNA_MAO4_202501_20250202.txt"/>
    <x v="52"/>
    <x v="5"/>
    <n v="23559"/>
    <n v="11295858"/>
    <n v="0.21"/>
    <s v="DQS_MAO04_FILE_000_B"/>
    <s v="RECORD COUNT by MBR_ID, DOS_THRU_DT, DX_CD Grain grouped by PAYER, SRC_FILE_NM, DOS_THRU_YYYYMM"/>
  </r>
  <r>
    <x v="0"/>
    <s v="AETNA_MAO4_202501_20250202.txt"/>
    <x v="53"/>
    <x v="6"/>
    <n v="65489"/>
    <n v="11295858"/>
    <n v="0.57999999999999996"/>
    <s v="DQS_MAO04_FILE_000_B"/>
    <s v="RECORD COUNT by MBR_ID, DOS_THRU_DT, DX_CD Grain grouped by PAYER, SRC_FILE_NM, DOS_THRU_YYYYMM"/>
  </r>
  <r>
    <x v="0"/>
    <s v="AETNA_MAO4_202501_20250202.txt"/>
    <x v="54"/>
    <x v="6"/>
    <n v="49073"/>
    <n v="11295858"/>
    <n v="0.43"/>
    <s v="DQS_MAO04_FILE_000_B"/>
    <s v="RECORD COUNT by MBR_ID, DOS_THRU_DT, DX_CD Grain grouped by PAYER, SRC_FILE_NM, DOS_THRU_YYYYMM"/>
  </r>
  <r>
    <x v="0"/>
    <s v="AETNA_MAO4_202501_20250202.txt"/>
    <x v="55"/>
    <x v="6"/>
    <n v="61057"/>
    <n v="11295858"/>
    <n v="0.54"/>
    <s v="DQS_MAO04_FILE_000_B"/>
    <s v="RECORD COUNT by MBR_ID, DOS_THRU_DT, DX_CD Grain grouped by PAYER, SRC_FILE_NM, DOS_THRU_YYYYMM"/>
  </r>
  <r>
    <x v="0"/>
    <s v="AETNA_MAO4_202501_20250202.txt"/>
    <x v="56"/>
    <x v="6"/>
    <n v="57421"/>
    <n v="11295858"/>
    <n v="0.51"/>
    <s v="DQS_MAO04_FILE_000_B"/>
    <s v="RECORD COUNT by MBR_ID, DOS_THRU_DT, DX_CD Grain grouped by PAYER, SRC_FILE_NM, DOS_THRU_YYYYMM"/>
  </r>
  <r>
    <x v="0"/>
    <s v="AETNA_MAO4_202501_20250202.txt"/>
    <x v="57"/>
    <x v="6"/>
    <n v="54216"/>
    <n v="11295858"/>
    <n v="0.48"/>
    <s v="DQS_MAO04_FILE_000_B"/>
    <s v="RECORD COUNT by MBR_ID, DOS_THRU_DT, DX_CD Grain grouped by PAYER, SRC_FILE_NM, DOS_THRU_YYYYMM"/>
  </r>
  <r>
    <x v="0"/>
    <s v="AETNA_MAO4_202501_20250202.txt"/>
    <x v="58"/>
    <x v="6"/>
    <n v="59636"/>
    <n v="11295858"/>
    <n v="0.53"/>
    <s v="DQS_MAO04_FILE_000_B"/>
    <s v="RECORD COUNT by MBR_ID, DOS_THRU_DT, DX_CD Grain grouped by PAYER, SRC_FILE_NM, DOS_THRU_YYYYMM"/>
  </r>
  <r>
    <x v="0"/>
    <s v="AETNA_MAO4_202501_20250202.txt"/>
    <x v="59"/>
    <x v="6"/>
    <n v="115007"/>
    <n v="11295858"/>
    <n v="1.02"/>
    <s v="DQS_MAO04_FILE_000_B"/>
    <s v="RECORD COUNT by MBR_ID, DOS_THRU_DT, DX_CD Grain grouped by PAYER, SRC_FILE_NM, DOS_THRU_YYYYMM"/>
  </r>
  <r>
    <x v="0"/>
    <s v="AETNA_MAO4_202501_20250202.txt"/>
    <x v="60"/>
    <x v="6"/>
    <n v="119332"/>
    <n v="11295858"/>
    <n v="1.06"/>
    <s v="DQS_MAO04_FILE_000_B"/>
    <s v="RECORD COUNT by MBR_ID, DOS_THRU_DT, DX_CD Grain grouped by PAYER, SRC_FILE_NM, DOS_THRU_YYYYMM"/>
  </r>
  <r>
    <x v="0"/>
    <s v="AETNA_MAO4_202501_20250202.txt"/>
    <x v="61"/>
    <x v="6"/>
    <n v="134696"/>
    <n v="11295858"/>
    <n v="1.19"/>
    <s v="DQS_MAO04_FILE_000_B"/>
    <s v="RECORD COUNT by MBR_ID, DOS_THRU_DT, DX_CD Grain grouped by PAYER, SRC_FILE_NM, DOS_THRU_YYYYMM"/>
  </r>
  <r>
    <x v="0"/>
    <s v="AETNA_MAO4_202501_20250202.txt"/>
    <x v="62"/>
    <x v="6"/>
    <n v="132627"/>
    <n v="11295858"/>
    <n v="1.17"/>
    <s v="DQS_MAO04_FILE_000_B"/>
    <s v="RECORD COUNT by MBR_ID, DOS_THRU_DT, DX_CD Grain grouped by PAYER, SRC_FILE_NM, DOS_THRU_YYYYMM"/>
  </r>
  <r>
    <x v="0"/>
    <s v="AETNA_MAO4_202501_20250202.txt"/>
    <x v="63"/>
    <x v="6"/>
    <n v="133232"/>
    <n v="11295858"/>
    <n v="1.18"/>
    <s v="DQS_MAO04_FILE_000_B"/>
    <s v="RECORD COUNT by MBR_ID, DOS_THRU_DT, DX_CD Grain grouped by PAYER, SRC_FILE_NM, DOS_THRU_YYYYMM"/>
  </r>
  <r>
    <x v="0"/>
    <s v="AETNA_MAO4_202501_20250202.txt"/>
    <x v="64"/>
    <x v="6"/>
    <n v="136829"/>
    <n v="11295858"/>
    <n v="1.21"/>
    <s v="DQS_MAO04_FILE_000_B"/>
    <s v="RECORD COUNT by MBR_ID, DOS_THRU_DT, DX_CD Grain grouped by PAYER, SRC_FILE_NM, DOS_THRU_YYYYMM"/>
  </r>
  <r>
    <x v="0"/>
    <s v="AETNA_MAO4_202501_20250202.txt"/>
    <x v="65"/>
    <x v="7"/>
    <n v="135423"/>
    <n v="11295858"/>
    <n v="1.2"/>
    <s v="DQS_MAO04_FILE_000_B"/>
    <s v="RECORD COUNT by MBR_ID, DOS_THRU_DT, DX_CD Grain grouped by PAYER, SRC_FILE_NM, DOS_THRU_YYYYMM"/>
  </r>
  <r>
    <x v="0"/>
    <s v="AETNA_MAO4_202501_20250202.txt"/>
    <x v="66"/>
    <x v="7"/>
    <n v="191349"/>
    <n v="11295858"/>
    <n v="1.69"/>
    <s v="DQS_MAO04_FILE_000_B"/>
    <s v="RECORD COUNT by MBR_ID, DOS_THRU_DT, DX_CD Grain grouped by PAYER, SRC_FILE_NM, DOS_THRU_YYYYMM"/>
  </r>
  <r>
    <x v="0"/>
    <s v="AETNA_MAO4_202501_20250202.txt"/>
    <x v="67"/>
    <x v="7"/>
    <n v="248205"/>
    <n v="11295858"/>
    <n v="2.2000000000000002"/>
    <s v="DQS_MAO04_FILE_000_B"/>
    <s v="RECORD COUNT by MBR_ID, DOS_THRU_DT, DX_CD Grain grouped by PAYER, SRC_FILE_NM, DOS_THRU_YYYYMM"/>
  </r>
  <r>
    <x v="0"/>
    <s v="AETNA_MAO4_202501_20250202.txt"/>
    <x v="68"/>
    <x v="7"/>
    <n v="218852"/>
    <n v="11295858"/>
    <n v="1.94"/>
    <s v="DQS_MAO04_FILE_000_B"/>
    <s v="RECORD COUNT by MBR_ID, DOS_THRU_DT, DX_CD Grain grouped by PAYER, SRC_FILE_NM, DOS_THRU_YYYYMM"/>
  </r>
  <r>
    <x v="0"/>
    <s v="AETNA_MAO4_202501_20250202.txt"/>
    <x v="69"/>
    <x v="7"/>
    <n v="221588"/>
    <n v="11295858"/>
    <n v="1.96"/>
    <s v="DQS_MAO04_FILE_000_B"/>
    <s v="RECORD COUNT by MBR_ID, DOS_THRU_DT, DX_CD Grain grouped by PAYER, SRC_FILE_NM, DOS_THRU_YYYYMM"/>
  </r>
  <r>
    <x v="0"/>
    <s v="AETNA_MAO4_202501_20250202.txt"/>
    <x v="70"/>
    <x v="7"/>
    <n v="228491"/>
    <n v="11295858"/>
    <n v="2.02"/>
    <s v="DQS_MAO04_FILE_000_B"/>
    <s v="RECORD COUNT by MBR_ID, DOS_THRU_DT, DX_CD Grain grouped by PAYER, SRC_FILE_NM, DOS_THRU_YYYYMM"/>
  </r>
  <r>
    <x v="0"/>
    <s v="AETNA_MAO4_202501_20250202.txt"/>
    <x v="71"/>
    <x v="7"/>
    <n v="211591"/>
    <n v="11295858"/>
    <n v="1.87"/>
    <s v="DQS_MAO04_FILE_000_B"/>
    <s v="RECORD COUNT by MBR_ID, DOS_THRU_DT, DX_CD Grain grouped by PAYER, SRC_FILE_NM, DOS_THRU_YYYYMM"/>
  </r>
  <r>
    <x v="0"/>
    <s v="AETNA_MAO4_202501_20250202.txt"/>
    <x v="72"/>
    <x v="7"/>
    <n v="235131"/>
    <n v="11295858"/>
    <n v="2.08"/>
    <s v="DQS_MAO04_FILE_000_B"/>
    <s v="RECORD COUNT by MBR_ID, DOS_THRU_DT, DX_CD Grain grouped by PAYER, SRC_FILE_NM, DOS_THRU_YYYYMM"/>
  </r>
  <r>
    <x v="0"/>
    <s v="AETNA_MAO4_202501_20250202.txt"/>
    <x v="73"/>
    <x v="7"/>
    <n v="219291"/>
    <n v="11295858"/>
    <n v="1.94"/>
    <s v="DQS_MAO04_FILE_000_B"/>
    <s v="RECORD COUNT by MBR_ID, DOS_THRU_DT, DX_CD Grain grouped by PAYER, SRC_FILE_NM, DOS_THRU_YYYYMM"/>
  </r>
  <r>
    <x v="0"/>
    <s v="AETNA_MAO4_202501_20250202.txt"/>
    <x v="74"/>
    <x v="7"/>
    <n v="222905"/>
    <n v="11295858"/>
    <n v="1.97"/>
    <s v="DQS_MAO04_FILE_000_B"/>
    <s v="RECORD COUNT by MBR_ID, DOS_THRU_DT, DX_CD Grain grouped by PAYER, SRC_FILE_NM, DOS_THRU_YYYYMM"/>
  </r>
  <r>
    <x v="0"/>
    <s v="AETNA_MAO4_202501_20250202.txt"/>
    <x v="75"/>
    <x v="7"/>
    <n v="219378"/>
    <n v="11295858"/>
    <n v="1.94"/>
    <s v="DQS_MAO04_FILE_000_B"/>
    <s v="RECORD COUNT by MBR_ID, DOS_THRU_DT, DX_CD Grain grouped by PAYER, SRC_FILE_NM, DOS_THRU_YYYYMM"/>
  </r>
  <r>
    <x v="0"/>
    <s v="AETNA_MAO4_202501_20250202.txt"/>
    <x v="76"/>
    <x v="7"/>
    <n v="206182"/>
    <n v="11295858"/>
    <n v="1.83"/>
    <s v="DQS_MAO04_FILE_000_B"/>
    <s v="RECORD COUNT by MBR_ID, DOS_THRU_DT, DX_CD Grain grouped by PAYER, SRC_FILE_NM, DOS_THRU_YYYYMM"/>
  </r>
  <r>
    <x v="0"/>
    <s v="AETNA_MAO4_202501_20250202.txt"/>
    <x v="77"/>
    <x v="8"/>
    <n v="248535"/>
    <n v="11295858"/>
    <n v="2.2000000000000002"/>
    <s v="DQS_MAO04_FILE_000_B"/>
    <s v="RECORD COUNT by MBR_ID, DOS_THRU_DT, DX_CD Grain grouped by PAYER, SRC_FILE_NM, DOS_THRU_YYYYMM"/>
  </r>
  <r>
    <x v="0"/>
    <s v="AETNA_MAO4_202501_20250202.txt"/>
    <x v="78"/>
    <x v="8"/>
    <n v="241728"/>
    <n v="11295858"/>
    <n v="2.14"/>
    <s v="DQS_MAO04_FILE_000_B"/>
    <s v="RECORD COUNT by MBR_ID, DOS_THRU_DT, DX_CD Grain grouped by PAYER, SRC_FILE_NM, DOS_THRU_YYYYMM"/>
  </r>
  <r>
    <x v="0"/>
    <s v="AETNA_MAO4_202501_20250202.txt"/>
    <x v="79"/>
    <x v="8"/>
    <n v="269581"/>
    <n v="11295858"/>
    <n v="2.39"/>
    <s v="DQS_MAO04_FILE_000_B"/>
    <s v="RECORD COUNT by MBR_ID, DOS_THRU_DT, DX_CD Grain grouped by PAYER, SRC_FILE_NM, DOS_THRU_YYYYMM"/>
  </r>
  <r>
    <x v="0"/>
    <s v="AETNA_MAO4_202501_20250202.txt"/>
    <x v="80"/>
    <x v="8"/>
    <n v="244327"/>
    <n v="11295858"/>
    <n v="2.16"/>
    <s v="DQS_MAO04_FILE_000_B"/>
    <s v="RECORD COUNT by MBR_ID, DOS_THRU_DT, DX_CD Grain grouped by PAYER, SRC_FILE_NM, DOS_THRU_YYYYMM"/>
  </r>
  <r>
    <x v="0"/>
    <s v="AETNA_MAO4_202501_20250202.txt"/>
    <x v="81"/>
    <x v="8"/>
    <n v="256317"/>
    <n v="11295858"/>
    <n v="2.27"/>
    <s v="DQS_MAO04_FILE_000_B"/>
    <s v="RECORD COUNT by MBR_ID, DOS_THRU_DT, DX_CD Grain grouped by PAYER, SRC_FILE_NM, DOS_THRU_YYYYMM"/>
  </r>
  <r>
    <x v="0"/>
    <s v="AETNA_MAO4_202501_20250202.txt"/>
    <x v="82"/>
    <x v="8"/>
    <n v="253392"/>
    <n v="11295858"/>
    <n v="2.2400000000000002"/>
    <s v="DQS_MAO04_FILE_000_B"/>
    <s v="RECORD COUNT by MBR_ID, DOS_THRU_DT, DX_CD Grain grouped by PAYER, SRC_FILE_NM, DOS_THRU_YYYYMM"/>
  </r>
  <r>
    <x v="0"/>
    <s v="AETNA_MAO4_202501_20250202.txt"/>
    <x v="83"/>
    <x v="8"/>
    <n v="228856"/>
    <n v="11295858"/>
    <n v="2.0299999999999998"/>
    <s v="DQS_MAO04_FILE_000_B"/>
    <s v="RECORD COUNT by MBR_ID, DOS_THRU_DT, DX_CD Grain grouped by PAYER, SRC_FILE_NM, DOS_THRU_YYYYMM"/>
  </r>
  <r>
    <x v="0"/>
    <s v="AETNA_MAO4_202501_20250202.txt"/>
    <x v="84"/>
    <x v="8"/>
    <n v="260712"/>
    <n v="11295858"/>
    <n v="2.31"/>
    <s v="DQS_MAO04_FILE_000_B"/>
    <s v="RECORD COUNT by MBR_ID, DOS_THRU_DT, DX_CD Grain grouped by PAYER, SRC_FILE_NM, DOS_THRU_YYYYMM"/>
  </r>
  <r>
    <x v="0"/>
    <s v="AETNA_MAO4_202501_20250202.txt"/>
    <x v="85"/>
    <x v="8"/>
    <n v="244404"/>
    <n v="11295858"/>
    <n v="2.16"/>
    <s v="DQS_MAO04_FILE_000_B"/>
    <s v="RECORD COUNT by MBR_ID, DOS_THRU_DT, DX_CD Grain grouped by PAYER, SRC_FILE_NM, DOS_THRU_YYYYMM"/>
  </r>
  <r>
    <x v="0"/>
    <s v="AETNA_MAO4_202501_20250202.txt"/>
    <x v="86"/>
    <x v="8"/>
    <n v="267939"/>
    <n v="11295858"/>
    <n v="2.37"/>
    <s v="DQS_MAO04_FILE_000_B"/>
    <s v="RECORD COUNT by MBR_ID, DOS_THRU_DT, DX_CD Grain grouped by PAYER, SRC_FILE_NM, DOS_THRU_YYYYMM"/>
  </r>
  <r>
    <x v="0"/>
    <s v="AETNA_MAO4_202501_20250202.txt"/>
    <x v="87"/>
    <x v="8"/>
    <n v="250829"/>
    <n v="11295858"/>
    <n v="2.2200000000000002"/>
    <s v="DQS_MAO04_FILE_000_B"/>
    <s v="RECORD COUNT by MBR_ID, DOS_THRU_DT, DX_CD Grain grouped by PAYER, SRC_FILE_NM, DOS_THRU_YYYYMM"/>
  </r>
  <r>
    <x v="0"/>
    <s v="AETNA_MAO4_202501_20250202.txt"/>
    <x v="88"/>
    <x v="8"/>
    <n v="240199"/>
    <n v="11295858"/>
    <n v="2.13"/>
    <s v="DQS_MAO04_FILE_000_B"/>
    <s v="RECORD COUNT by MBR_ID, DOS_THRU_DT, DX_CD Grain grouped by PAYER, SRC_FILE_NM, DOS_THRU_YYYYMM"/>
  </r>
  <r>
    <x v="0"/>
    <s v="AETNA_MAO4_202501_20250202.txt"/>
    <x v="89"/>
    <x v="9"/>
    <n v="391485"/>
    <n v="11295858"/>
    <n v="3.47"/>
    <s v="DQS_MAO04_FILE_000_B"/>
    <s v="RECORD COUNT by MBR_ID, DOS_THRU_DT, DX_CD Grain grouped by PAYER, SRC_FILE_NM, DOS_THRU_YYYYMM"/>
  </r>
  <r>
    <x v="0"/>
    <s v="AETNA_MAO4_202501_20250202.txt"/>
    <x v="97"/>
    <x v="9"/>
    <n v="400265"/>
    <n v="11295858"/>
    <n v="3.54"/>
    <s v="DQS_MAO04_FILE_000_B"/>
    <s v="RECORD COUNT by MBR_ID, DOS_THRU_DT, DX_CD Grain grouped by PAYER, SRC_FILE_NM, DOS_THRU_YYYYMM"/>
  </r>
  <r>
    <x v="0"/>
    <s v="AETNA_MAO4_202501_20250202.txt"/>
    <x v="98"/>
    <x v="9"/>
    <n v="406139"/>
    <n v="11295858"/>
    <n v="3.6"/>
    <s v="DQS_MAO04_FILE_000_B"/>
    <s v="RECORD COUNT by MBR_ID, DOS_THRU_DT, DX_CD Grain grouped by PAYER, SRC_FILE_NM, DOS_THRU_YYYYMM"/>
  </r>
  <r>
    <x v="0"/>
    <s v="AETNA_MAO4_202501_20250202.txt"/>
    <x v="99"/>
    <x v="9"/>
    <n v="439660"/>
    <n v="11295858"/>
    <n v="3.89"/>
    <s v="DQS_MAO04_FILE_000_B"/>
    <s v="RECORD COUNT by MBR_ID, DOS_THRU_DT, DX_CD Grain grouped by PAYER, SRC_FILE_NM, DOS_THRU_YYYYMM"/>
  </r>
  <r>
    <x v="0"/>
    <s v="AETNA_MAO4_202501_20250202.txt"/>
    <x v="100"/>
    <x v="9"/>
    <n v="389903"/>
    <n v="11295858"/>
    <n v="3.45"/>
    <s v="DQS_MAO04_FILE_000_B"/>
    <s v="RECORD COUNT by MBR_ID, DOS_THRU_DT, DX_CD Grain grouped by PAYER, SRC_FILE_NM, DOS_THRU_YYYYMM"/>
  </r>
  <r>
    <x v="0"/>
    <s v="AETNA_MAO4_202501_20250202.txt"/>
    <x v="102"/>
    <x v="9"/>
    <n v="365773"/>
    <n v="11295858"/>
    <n v="3.24"/>
    <s v="DQS_MAO04_FILE_000_B"/>
    <s v="RECORD COUNT by MBR_ID, DOS_THRU_DT, DX_CD Grain grouped by PAYER, SRC_FILE_NM, DOS_THRU_YYYYMM"/>
  </r>
  <r>
    <x v="0"/>
    <s v="AETNA_MAO4_202501_20250202.txt"/>
    <x v="103"/>
    <x v="9"/>
    <n v="376283"/>
    <n v="11295858"/>
    <n v="3.33"/>
    <s v="DQS_MAO04_FILE_000_B"/>
    <s v="RECORD COUNT by MBR_ID, DOS_THRU_DT, DX_CD Grain grouped by PAYER, SRC_FILE_NM, DOS_THRU_YYYYMM"/>
  </r>
  <r>
    <x v="0"/>
    <s v="AETNA_MAO4_202501_20250202.txt"/>
    <x v="105"/>
    <x v="9"/>
    <n v="376494"/>
    <n v="11295858"/>
    <n v="3.33"/>
    <s v="DQS_MAO04_FILE_000_B"/>
    <s v="RECORD COUNT by MBR_ID, DOS_THRU_DT, DX_CD Grain grouped by PAYER, SRC_FILE_NM, DOS_THRU_YYYYMM"/>
  </r>
  <r>
    <x v="0"/>
    <s v="AETNA_MAO4_202501_20250202.txt"/>
    <x v="106"/>
    <x v="9"/>
    <n v="364013"/>
    <n v="11295858"/>
    <n v="3.22"/>
    <s v="DQS_MAO04_FILE_000_B"/>
    <s v="RECORD COUNT by MBR_ID, DOS_THRU_DT, DX_CD Grain grouped by PAYER, SRC_FILE_NM, DOS_THRU_YYYYMM"/>
  </r>
  <r>
    <x v="0"/>
    <s v="AETNA_MAO4_202501_20250202.txt"/>
    <x v="107"/>
    <x v="9"/>
    <n v="396173"/>
    <n v="11295858"/>
    <n v="3.51"/>
    <s v="DQS_MAO04_FILE_000_B"/>
    <s v="RECORD COUNT by MBR_ID, DOS_THRU_DT, DX_CD Grain grouped by PAYER, SRC_FILE_NM, DOS_THRU_YYYYMM"/>
  </r>
  <r>
    <x v="0"/>
    <s v="AETNA_MAO4_202501_20250202.txt"/>
    <x v="108"/>
    <x v="9"/>
    <n v="312205"/>
    <n v="11295858"/>
    <n v="2.76"/>
    <s v="DQS_MAO04_FILE_000_B"/>
    <s v="RECORD COUNT by MBR_ID, DOS_THRU_DT, DX_CD Grain grouped by PAYER, SRC_FILE_NM, DOS_THRU_YYYYMM"/>
  </r>
  <r>
    <x v="0"/>
    <s v="AETNA_MAO4_202501_20250202.txt"/>
    <x v="109"/>
    <x v="9"/>
    <n v="75563"/>
    <n v="11295858"/>
    <n v="0.67"/>
    <s v="DQS_MAO04_FILE_000_B"/>
    <s v="RECORD COUNT by MBR_ID, DOS_THRU_DT, DX_CD Grain grouped by PAYER, SRC_FILE_NM, DOS_THRU_YYYYMM"/>
  </r>
  <r>
    <x v="0"/>
    <s v="AETNA_MAO4_202502_20250302.txt"/>
    <x v="14"/>
    <x v="2"/>
    <n v="1"/>
    <n v="11763491"/>
    <n v="0"/>
    <s v="DQS_MAO04_FILE_000_B"/>
    <s v="RECORD COUNT by MBR_ID, DOS_THRU_DT, DX_CD Grain grouped by PAYER, SRC_FILE_NM, DOS_THRU_YYYYMM"/>
  </r>
  <r>
    <x v="0"/>
    <s v="AETNA_MAO4_202502_20250302.txt"/>
    <x v="20"/>
    <x v="3"/>
    <n v="9"/>
    <n v="11763491"/>
    <n v="0"/>
    <s v="DQS_MAO04_FILE_000_B"/>
    <s v="RECORD COUNT by MBR_ID, DOS_THRU_DT, DX_CD Grain grouped by PAYER, SRC_FILE_NM, DOS_THRU_YYYYMM"/>
  </r>
  <r>
    <x v="0"/>
    <s v="AETNA_MAO4_202502_20250302.txt"/>
    <x v="21"/>
    <x v="3"/>
    <n v="8"/>
    <n v="11763491"/>
    <n v="0"/>
    <s v="DQS_MAO04_FILE_000_B"/>
    <s v="RECORD COUNT by MBR_ID, DOS_THRU_DT, DX_CD Grain grouped by PAYER, SRC_FILE_NM, DOS_THRU_YYYYMM"/>
  </r>
  <r>
    <x v="0"/>
    <s v="AETNA_MAO4_202502_20250302.txt"/>
    <x v="22"/>
    <x v="3"/>
    <n v="6"/>
    <n v="11763491"/>
    <n v="0"/>
    <s v="DQS_MAO04_FILE_000_B"/>
    <s v="RECORD COUNT by MBR_ID, DOS_THRU_DT, DX_CD Grain grouped by PAYER, SRC_FILE_NM, DOS_THRU_YYYYMM"/>
  </r>
  <r>
    <x v="0"/>
    <s v="AETNA_MAO4_202502_20250302.txt"/>
    <x v="23"/>
    <x v="3"/>
    <n v="10"/>
    <n v="11763491"/>
    <n v="0"/>
    <s v="DQS_MAO04_FILE_000_B"/>
    <s v="RECORD COUNT by MBR_ID, DOS_THRU_DT, DX_CD Grain grouped by PAYER, SRC_FILE_NM, DOS_THRU_YYYYMM"/>
  </r>
  <r>
    <x v="0"/>
    <s v="AETNA_MAO4_202502_20250302.txt"/>
    <x v="24"/>
    <x v="3"/>
    <n v="67"/>
    <n v="11763491"/>
    <n v="0"/>
    <s v="DQS_MAO04_FILE_000_B"/>
    <s v="RECORD COUNT by MBR_ID, DOS_THRU_DT, DX_CD Grain grouped by PAYER, SRC_FILE_NM, DOS_THRU_YYYYMM"/>
  </r>
  <r>
    <x v="0"/>
    <s v="AETNA_MAO4_202502_20250302.txt"/>
    <x v="25"/>
    <x v="3"/>
    <n v="30"/>
    <n v="11763491"/>
    <n v="0"/>
    <s v="DQS_MAO04_FILE_000_B"/>
    <s v="RECORD COUNT by MBR_ID, DOS_THRU_DT, DX_CD Grain grouped by PAYER, SRC_FILE_NM, DOS_THRU_YYYYMM"/>
  </r>
  <r>
    <x v="0"/>
    <s v="AETNA_MAO4_202502_20250302.txt"/>
    <x v="26"/>
    <x v="3"/>
    <n v="5"/>
    <n v="11763491"/>
    <n v="0"/>
    <s v="DQS_MAO04_FILE_000_B"/>
    <s v="RECORD COUNT by MBR_ID, DOS_THRU_DT, DX_CD Grain grouped by PAYER, SRC_FILE_NM, DOS_THRU_YYYYMM"/>
  </r>
  <r>
    <x v="0"/>
    <s v="AETNA_MAO4_202502_20250302.txt"/>
    <x v="28"/>
    <x v="3"/>
    <n v="2"/>
    <n v="11763491"/>
    <n v="0"/>
    <s v="DQS_MAO04_FILE_000_B"/>
    <s v="RECORD COUNT by MBR_ID, DOS_THRU_DT, DX_CD Grain grouped by PAYER, SRC_FILE_NM, DOS_THRU_YYYYMM"/>
  </r>
  <r>
    <x v="0"/>
    <s v="AETNA_MAO4_202502_20250302.txt"/>
    <x v="29"/>
    <x v="4"/>
    <n v="639"/>
    <n v="11763491"/>
    <n v="0.01"/>
    <s v="DQS_MAO04_FILE_000_B"/>
    <s v="RECORD COUNT by MBR_ID, DOS_THRU_DT, DX_CD Grain grouped by PAYER, SRC_FILE_NM, DOS_THRU_YYYYMM"/>
  </r>
  <r>
    <x v="0"/>
    <s v="AETNA_MAO4_202502_20250302.txt"/>
    <x v="30"/>
    <x v="4"/>
    <n v="451"/>
    <n v="11763491"/>
    <n v="0"/>
    <s v="DQS_MAO04_FILE_000_B"/>
    <s v="RECORD COUNT by MBR_ID, DOS_THRU_DT, DX_CD Grain grouped by PAYER, SRC_FILE_NM, DOS_THRU_YYYYMM"/>
  </r>
  <r>
    <x v="0"/>
    <s v="AETNA_MAO4_202502_20250302.txt"/>
    <x v="31"/>
    <x v="4"/>
    <n v="602"/>
    <n v="11763491"/>
    <n v="0.01"/>
    <s v="DQS_MAO04_FILE_000_B"/>
    <s v="RECORD COUNT by MBR_ID, DOS_THRU_DT, DX_CD Grain grouped by PAYER, SRC_FILE_NM, DOS_THRU_YYYYMM"/>
  </r>
  <r>
    <x v="0"/>
    <s v="AETNA_MAO4_202502_20250302.txt"/>
    <x v="32"/>
    <x v="4"/>
    <n v="711"/>
    <n v="11763491"/>
    <n v="0.01"/>
    <s v="DQS_MAO04_FILE_000_B"/>
    <s v="RECORD COUNT by MBR_ID, DOS_THRU_DT, DX_CD Grain grouped by PAYER, SRC_FILE_NM, DOS_THRU_YYYYMM"/>
  </r>
  <r>
    <x v="0"/>
    <s v="AETNA_MAO4_202502_20250302.txt"/>
    <x v="33"/>
    <x v="4"/>
    <n v="552"/>
    <n v="11763491"/>
    <n v="0"/>
    <s v="DQS_MAO04_FILE_000_B"/>
    <s v="RECORD COUNT by MBR_ID, DOS_THRU_DT, DX_CD Grain grouped by PAYER, SRC_FILE_NM, DOS_THRU_YYYYMM"/>
  </r>
  <r>
    <x v="0"/>
    <s v="AETNA_MAO4_202502_20250302.txt"/>
    <x v="34"/>
    <x v="4"/>
    <n v="630"/>
    <n v="11763491"/>
    <n v="0.01"/>
    <s v="DQS_MAO04_FILE_000_B"/>
    <s v="RECORD COUNT by MBR_ID, DOS_THRU_DT, DX_CD Grain grouped by PAYER, SRC_FILE_NM, DOS_THRU_YYYYMM"/>
  </r>
  <r>
    <x v="0"/>
    <s v="AETNA_MAO4_202502_20250302.txt"/>
    <x v="35"/>
    <x v="4"/>
    <n v="547"/>
    <n v="11763491"/>
    <n v="0"/>
    <s v="DQS_MAO04_FILE_000_B"/>
    <s v="RECORD COUNT by MBR_ID, DOS_THRU_DT, DX_CD Grain grouped by PAYER, SRC_FILE_NM, DOS_THRU_YYYYMM"/>
  </r>
  <r>
    <x v="0"/>
    <s v="AETNA_MAO4_202502_20250302.txt"/>
    <x v="36"/>
    <x v="4"/>
    <n v="604"/>
    <n v="11763491"/>
    <n v="0.01"/>
    <s v="DQS_MAO04_FILE_000_B"/>
    <s v="RECORD COUNT by MBR_ID, DOS_THRU_DT, DX_CD Grain grouped by PAYER, SRC_FILE_NM, DOS_THRU_YYYYMM"/>
  </r>
  <r>
    <x v="0"/>
    <s v="AETNA_MAO4_202502_20250302.txt"/>
    <x v="37"/>
    <x v="4"/>
    <n v="399"/>
    <n v="11763491"/>
    <n v="0"/>
    <s v="DQS_MAO04_FILE_000_B"/>
    <s v="RECORD COUNT by MBR_ID, DOS_THRU_DT, DX_CD Grain grouped by PAYER, SRC_FILE_NM, DOS_THRU_YYYYMM"/>
  </r>
  <r>
    <x v="0"/>
    <s v="AETNA_MAO4_202502_20250302.txt"/>
    <x v="38"/>
    <x v="4"/>
    <n v="527"/>
    <n v="11763491"/>
    <n v="0"/>
    <s v="DQS_MAO04_FILE_000_B"/>
    <s v="RECORD COUNT by MBR_ID, DOS_THRU_DT, DX_CD Grain grouped by PAYER, SRC_FILE_NM, DOS_THRU_YYYYMM"/>
  </r>
  <r>
    <x v="0"/>
    <s v="AETNA_MAO4_202502_20250302.txt"/>
    <x v="39"/>
    <x v="4"/>
    <n v="530"/>
    <n v="11763491"/>
    <n v="0"/>
    <s v="DQS_MAO04_FILE_000_B"/>
    <s v="RECORD COUNT by MBR_ID, DOS_THRU_DT, DX_CD Grain grouped by PAYER, SRC_FILE_NM, DOS_THRU_YYYYMM"/>
  </r>
  <r>
    <x v="0"/>
    <s v="AETNA_MAO4_202502_20250302.txt"/>
    <x v="40"/>
    <x v="4"/>
    <n v="481"/>
    <n v="11763491"/>
    <n v="0"/>
    <s v="DQS_MAO04_FILE_000_B"/>
    <s v="RECORD COUNT by MBR_ID, DOS_THRU_DT, DX_CD Grain grouped by PAYER, SRC_FILE_NM, DOS_THRU_YYYYMM"/>
  </r>
  <r>
    <x v="0"/>
    <s v="AETNA_MAO4_202502_20250302.txt"/>
    <x v="41"/>
    <x v="5"/>
    <n v="32486"/>
    <n v="11763491"/>
    <n v="0.28000000000000003"/>
    <s v="DQS_MAO04_FILE_000_B"/>
    <s v="RECORD COUNT by MBR_ID, DOS_THRU_DT, DX_CD Grain grouped by PAYER, SRC_FILE_NM, DOS_THRU_YYYYMM"/>
  </r>
  <r>
    <x v="0"/>
    <s v="AETNA_MAO4_202502_20250302.txt"/>
    <x v="42"/>
    <x v="5"/>
    <n v="29349"/>
    <n v="11763491"/>
    <n v="0.25"/>
    <s v="DQS_MAO04_FILE_000_B"/>
    <s v="RECORD COUNT by MBR_ID, DOS_THRU_DT, DX_CD Grain grouped by PAYER, SRC_FILE_NM, DOS_THRU_YYYYMM"/>
  </r>
  <r>
    <x v="0"/>
    <s v="AETNA_MAO4_202502_20250302.txt"/>
    <x v="43"/>
    <x v="5"/>
    <n v="25101"/>
    <n v="11763491"/>
    <n v="0.21"/>
    <s v="DQS_MAO04_FILE_000_B"/>
    <s v="RECORD COUNT by MBR_ID, DOS_THRU_DT, DX_CD Grain grouped by PAYER, SRC_FILE_NM, DOS_THRU_YYYYMM"/>
  </r>
  <r>
    <x v="0"/>
    <s v="AETNA_MAO4_202502_20250302.txt"/>
    <x v="44"/>
    <x v="5"/>
    <n v="12860"/>
    <n v="11763491"/>
    <n v="0.11"/>
    <s v="DQS_MAO04_FILE_000_B"/>
    <s v="RECORD COUNT by MBR_ID, DOS_THRU_DT, DX_CD Grain grouped by PAYER, SRC_FILE_NM, DOS_THRU_YYYYMM"/>
  </r>
  <r>
    <x v="0"/>
    <s v="AETNA_MAO4_202502_20250302.txt"/>
    <x v="45"/>
    <x v="5"/>
    <n v="24965"/>
    <n v="11763491"/>
    <n v="0.21"/>
    <s v="DQS_MAO04_FILE_000_B"/>
    <s v="RECORD COUNT by MBR_ID, DOS_THRU_DT, DX_CD Grain grouped by PAYER, SRC_FILE_NM, DOS_THRU_YYYYMM"/>
  </r>
  <r>
    <x v="0"/>
    <s v="AETNA_MAO4_202502_20250302.txt"/>
    <x v="46"/>
    <x v="5"/>
    <n v="32625"/>
    <n v="11763491"/>
    <n v="0.28000000000000003"/>
    <s v="DQS_MAO04_FILE_000_B"/>
    <s v="RECORD COUNT by MBR_ID, DOS_THRU_DT, DX_CD Grain grouped by PAYER, SRC_FILE_NM, DOS_THRU_YYYYMM"/>
  </r>
  <r>
    <x v="0"/>
    <s v="AETNA_MAO4_202502_20250302.txt"/>
    <x v="47"/>
    <x v="5"/>
    <n v="22668"/>
    <n v="11763491"/>
    <n v="0.19"/>
    <s v="DQS_MAO04_FILE_000_B"/>
    <s v="RECORD COUNT by MBR_ID, DOS_THRU_DT, DX_CD Grain grouped by PAYER, SRC_FILE_NM, DOS_THRU_YYYYMM"/>
  </r>
  <r>
    <x v="0"/>
    <s v="AETNA_MAO4_202502_20250302.txt"/>
    <x v="48"/>
    <x v="5"/>
    <n v="21799"/>
    <n v="11763491"/>
    <n v="0.19"/>
    <s v="DQS_MAO04_FILE_000_B"/>
    <s v="RECORD COUNT by MBR_ID, DOS_THRU_DT, DX_CD Grain grouped by PAYER, SRC_FILE_NM, DOS_THRU_YYYYMM"/>
  </r>
  <r>
    <x v="0"/>
    <s v="AETNA_MAO4_202502_20250302.txt"/>
    <x v="49"/>
    <x v="5"/>
    <n v="24448"/>
    <n v="11763491"/>
    <n v="0.21"/>
    <s v="DQS_MAO04_FILE_000_B"/>
    <s v="RECORD COUNT by MBR_ID, DOS_THRU_DT, DX_CD Grain grouped by PAYER, SRC_FILE_NM, DOS_THRU_YYYYMM"/>
  </r>
  <r>
    <x v="0"/>
    <s v="AETNA_MAO4_202502_20250302.txt"/>
    <x v="50"/>
    <x v="5"/>
    <n v="23473"/>
    <n v="11763491"/>
    <n v="0.2"/>
    <s v="DQS_MAO04_FILE_000_B"/>
    <s v="RECORD COUNT by MBR_ID, DOS_THRU_DT, DX_CD Grain grouped by PAYER, SRC_FILE_NM, DOS_THRU_YYYYMM"/>
  </r>
  <r>
    <x v="0"/>
    <s v="AETNA_MAO4_202502_20250302.txt"/>
    <x v="51"/>
    <x v="5"/>
    <n v="19532"/>
    <n v="11763491"/>
    <n v="0.17"/>
    <s v="DQS_MAO04_FILE_000_B"/>
    <s v="RECORD COUNT by MBR_ID, DOS_THRU_DT, DX_CD Grain grouped by PAYER, SRC_FILE_NM, DOS_THRU_YYYYMM"/>
  </r>
  <r>
    <x v="0"/>
    <s v="AETNA_MAO4_202502_20250302.txt"/>
    <x v="52"/>
    <x v="5"/>
    <n v="21442"/>
    <n v="11763491"/>
    <n v="0.18"/>
    <s v="DQS_MAO04_FILE_000_B"/>
    <s v="RECORD COUNT by MBR_ID, DOS_THRU_DT, DX_CD Grain grouped by PAYER, SRC_FILE_NM, DOS_THRU_YYYYMM"/>
  </r>
  <r>
    <x v="0"/>
    <s v="AETNA_MAO4_202502_20250302.txt"/>
    <x v="53"/>
    <x v="6"/>
    <n v="56190"/>
    <n v="11763491"/>
    <n v="0.48"/>
    <s v="DQS_MAO04_FILE_000_B"/>
    <s v="RECORD COUNT by MBR_ID, DOS_THRU_DT, DX_CD Grain grouped by PAYER, SRC_FILE_NM, DOS_THRU_YYYYMM"/>
  </r>
  <r>
    <x v="0"/>
    <s v="AETNA_MAO4_202502_20250302.txt"/>
    <x v="54"/>
    <x v="6"/>
    <n v="40611"/>
    <n v="11763491"/>
    <n v="0.35"/>
    <s v="DQS_MAO04_FILE_000_B"/>
    <s v="RECORD COUNT by MBR_ID, DOS_THRU_DT, DX_CD Grain grouped by PAYER, SRC_FILE_NM, DOS_THRU_YYYYMM"/>
  </r>
  <r>
    <x v="0"/>
    <s v="AETNA_MAO4_202502_20250302.txt"/>
    <x v="55"/>
    <x v="6"/>
    <n v="50862"/>
    <n v="11763491"/>
    <n v="0.43"/>
    <s v="DQS_MAO04_FILE_000_B"/>
    <s v="RECORD COUNT by MBR_ID, DOS_THRU_DT, DX_CD Grain grouped by PAYER, SRC_FILE_NM, DOS_THRU_YYYYMM"/>
  </r>
  <r>
    <x v="0"/>
    <s v="AETNA_MAO4_202502_20250302.txt"/>
    <x v="56"/>
    <x v="6"/>
    <n v="47737"/>
    <n v="11763491"/>
    <n v="0.41"/>
    <s v="DQS_MAO04_FILE_000_B"/>
    <s v="RECORD COUNT by MBR_ID, DOS_THRU_DT, DX_CD Grain grouped by PAYER, SRC_FILE_NM, DOS_THRU_YYYYMM"/>
  </r>
  <r>
    <x v="0"/>
    <s v="AETNA_MAO4_202502_20250302.txt"/>
    <x v="57"/>
    <x v="6"/>
    <n v="44509"/>
    <n v="11763491"/>
    <n v="0.38"/>
    <s v="DQS_MAO04_FILE_000_B"/>
    <s v="RECORD COUNT by MBR_ID, DOS_THRU_DT, DX_CD Grain grouped by PAYER, SRC_FILE_NM, DOS_THRU_YYYYMM"/>
  </r>
  <r>
    <x v="0"/>
    <s v="AETNA_MAO4_202502_20250302.txt"/>
    <x v="58"/>
    <x v="6"/>
    <n v="49693"/>
    <n v="11763491"/>
    <n v="0.42"/>
    <s v="DQS_MAO04_FILE_000_B"/>
    <s v="RECORD COUNT by MBR_ID, DOS_THRU_DT, DX_CD Grain grouped by PAYER, SRC_FILE_NM, DOS_THRU_YYYYMM"/>
  </r>
  <r>
    <x v="0"/>
    <s v="AETNA_MAO4_202502_20250302.txt"/>
    <x v="59"/>
    <x v="6"/>
    <n v="104053"/>
    <n v="11763491"/>
    <n v="0.88"/>
    <s v="DQS_MAO04_FILE_000_B"/>
    <s v="RECORD COUNT by MBR_ID, DOS_THRU_DT, DX_CD Grain grouped by PAYER, SRC_FILE_NM, DOS_THRU_YYYYMM"/>
  </r>
  <r>
    <x v="0"/>
    <s v="AETNA_MAO4_202502_20250302.txt"/>
    <x v="60"/>
    <x v="6"/>
    <n v="107359"/>
    <n v="11763491"/>
    <n v="0.91"/>
    <s v="DQS_MAO04_FILE_000_B"/>
    <s v="RECORD COUNT by MBR_ID, DOS_THRU_DT, DX_CD Grain grouped by PAYER, SRC_FILE_NM, DOS_THRU_YYYYMM"/>
  </r>
  <r>
    <x v="0"/>
    <s v="AETNA_MAO4_202502_20250302.txt"/>
    <x v="61"/>
    <x v="6"/>
    <n v="117006"/>
    <n v="11763491"/>
    <n v="0.99"/>
    <s v="DQS_MAO04_FILE_000_B"/>
    <s v="RECORD COUNT by MBR_ID, DOS_THRU_DT, DX_CD Grain grouped by PAYER, SRC_FILE_NM, DOS_THRU_YYYYMM"/>
  </r>
  <r>
    <x v="0"/>
    <s v="AETNA_MAO4_202502_20250302.txt"/>
    <x v="62"/>
    <x v="6"/>
    <n v="122080"/>
    <n v="11763491"/>
    <n v="1.04"/>
    <s v="DQS_MAO04_FILE_000_B"/>
    <s v="RECORD COUNT by MBR_ID, DOS_THRU_DT, DX_CD Grain grouped by PAYER, SRC_FILE_NM, DOS_THRU_YYYYMM"/>
  </r>
  <r>
    <x v="0"/>
    <s v="AETNA_MAO4_202502_20250302.txt"/>
    <x v="63"/>
    <x v="6"/>
    <n v="123335"/>
    <n v="11763491"/>
    <n v="1.05"/>
    <s v="DQS_MAO04_FILE_000_B"/>
    <s v="RECORD COUNT by MBR_ID, DOS_THRU_DT, DX_CD Grain grouped by PAYER, SRC_FILE_NM, DOS_THRU_YYYYMM"/>
  </r>
  <r>
    <x v="0"/>
    <s v="AETNA_MAO4_202502_20250302.txt"/>
    <x v="64"/>
    <x v="6"/>
    <n v="124111"/>
    <n v="11763491"/>
    <n v="1.06"/>
    <s v="DQS_MAO04_FILE_000_B"/>
    <s v="RECORD COUNT by MBR_ID, DOS_THRU_DT, DX_CD Grain grouped by PAYER, SRC_FILE_NM, DOS_THRU_YYYYMM"/>
  </r>
  <r>
    <x v="0"/>
    <s v="AETNA_MAO4_202502_20250302.txt"/>
    <x v="65"/>
    <x v="7"/>
    <n v="99967"/>
    <n v="11763491"/>
    <n v="0.85"/>
    <s v="DQS_MAO04_FILE_000_B"/>
    <s v="RECORD COUNT by MBR_ID, DOS_THRU_DT, DX_CD Grain grouped by PAYER, SRC_FILE_NM, DOS_THRU_YYYYMM"/>
  </r>
  <r>
    <x v="0"/>
    <s v="AETNA_MAO4_202502_20250302.txt"/>
    <x v="66"/>
    <x v="7"/>
    <n v="103749"/>
    <n v="11763491"/>
    <n v="0.88"/>
    <s v="DQS_MAO04_FILE_000_B"/>
    <s v="RECORD COUNT by MBR_ID, DOS_THRU_DT, DX_CD Grain grouped by PAYER, SRC_FILE_NM, DOS_THRU_YYYYMM"/>
  </r>
  <r>
    <x v="0"/>
    <s v="AETNA_MAO4_202502_20250302.txt"/>
    <x v="67"/>
    <x v="7"/>
    <n v="245294"/>
    <n v="11763491"/>
    <n v="2.09"/>
    <s v="DQS_MAO04_FILE_000_B"/>
    <s v="RECORD COUNT by MBR_ID, DOS_THRU_DT, DX_CD Grain grouped by PAYER, SRC_FILE_NM, DOS_THRU_YYYYMM"/>
  </r>
  <r>
    <x v="0"/>
    <s v="AETNA_MAO4_202502_20250302.txt"/>
    <x v="68"/>
    <x v="7"/>
    <n v="216688"/>
    <n v="11763491"/>
    <n v="1.84"/>
    <s v="DQS_MAO04_FILE_000_B"/>
    <s v="RECORD COUNT by MBR_ID, DOS_THRU_DT, DX_CD Grain grouped by PAYER, SRC_FILE_NM, DOS_THRU_YYYYMM"/>
  </r>
  <r>
    <x v="0"/>
    <s v="AETNA_MAO4_202502_20250302.txt"/>
    <x v="69"/>
    <x v="7"/>
    <n v="218906"/>
    <n v="11763491"/>
    <n v="1.86"/>
    <s v="DQS_MAO04_FILE_000_B"/>
    <s v="RECORD COUNT by MBR_ID, DOS_THRU_DT, DX_CD Grain grouped by PAYER, SRC_FILE_NM, DOS_THRU_YYYYMM"/>
  </r>
  <r>
    <x v="0"/>
    <s v="AETNA_MAO4_202502_20250302.txt"/>
    <x v="70"/>
    <x v="7"/>
    <n v="226693"/>
    <n v="11763491"/>
    <n v="1.93"/>
    <s v="DQS_MAO04_FILE_000_B"/>
    <s v="RECORD COUNT by MBR_ID, DOS_THRU_DT, DX_CD Grain grouped by PAYER, SRC_FILE_NM, DOS_THRU_YYYYMM"/>
  </r>
  <r>
    <x v="0"/>
    <s v="AETNA_MAO4_202502_20250302.txt"/>
    <x v="71"/>
    <x v="7"/>
    <n v="210238"/>
    <n v="11763491"/>
    <n v="1.79"/>
    <s v="DQS_MAO04_FILE_000_B"/>
    <s v="RECORD COUNT by MBR_ID, DOS_THRU_DT, DX_CD Grain grouped by PAYER, SRC_FILE_NM, DOS_THRU_YYYYMM"/>
  </r>
  <r>
    <x v="0"/>
    <s v="AETNA_MAO4_202502_20250302.txt"/>
    <x v="72"/>
    <x v="7"/>
    <n v="233167"/>
    <n v="11763491"/>
    <n v="1.98"/>
    <s v="DQS_MAO04_FILE_000_B"/>
    <s v="RECORD COUNT by MBR_ID, DOS_THRU_DT, DX_CD Grain grouped by PAYER, SRC_FILE_NM, DOS_THRU_YYYYMM"/>
  </r>
  <r>
    <x v="0"/>
    <s v="AETNA_MAO4_202502_20250302.txt"/>
    <x v="73"/>
    <x v="7"/>
    <n v="217918"/>
    <n v="11763491"/>
    <n v="1.85"/>
    <s v="DQS_MAO04_FILE_000_B"/>
    <s v="RECORD COUNT by MBR_ID, DOS_THRU_DT, DX_CD Grain grouped by PAYER, SRC_FILE_NM, DOS_THRU_YYYYMM"/>
  </r>
  <r>
    <x v="0"/>
    <s v="AETNA_MAO4_202502_20250302.txt"/>
    <x v="74"/>
    <x v="7"/>
    <n v="221859"/>
    <n v="11763491"/>
    <n v="1.89"/>
    <s v="DQS_MAO04_FILE_000_B"/>
    <s v="RECORD COUNT by MBR_ID, DOS_THRU_DT, DX_CD Grain grouped by PAYER, SRC_FILE_NM, DOS_THRU_YYYYMM"/>
  </r>
  <r>
    <x v="0"/>
    <s v="AETNA_MAO4_202502_20250302.txt"/>
    <x v="75"/>
    <x v="7"/>
    <n v="218056"/>
    <n v="11763491"/>
    <n v="1.85"/>
    <s v="DQS_MAO04_FILE_000_B"/>
    <s v="RECORD COUNT by MBR_ID, DOS_THRU_DT, DX_CD Grain grouped by PAYER, SRC_FILE_NM, DOS_THRU_YYYYMM"/>
  </r>
  <r>
    <x v="0"/>
    <s v="AETNA_MAO4_202502_20250302.txt"/>
    <x v="76"/>
    <x v="7"/>
    <n v="204392"/>
    <n v="11763491"/>
    <n v="1.74"/>
    <s v="DQS_MAO04_FILE_000_B"/>
    <s v="RECORD COUNT by MBR_ID, DOS_THRU_DT, DX_CD Grain grouped by PAYER, SRC_FILE_NM, DOS_THRU_YYYYMM"/>
  </r>
  <r>
    <x v="0"/>
    <s v="AETNA_MAO4_202502_20250302.txt"/>
    <x v="77"/>
    <x v="8"/>
    <n v="261909"/>
    <n v="11763491"/>
    <n v="2.23"/>
    <s v="DQS_MAO04_FILE_000_B"/>
    <s v="RECORD COUNT by MBR_ID, DOS_THRU_DT, DX_CD Grain grouped by PAYER, SRC_FILE_NM, DOS_THRU_YYYYMM"/>
  </r>
  <r>
    <x v="0"/>
    <s v="AETNA_MAO4_202502_20250302.txt"/>
    <x v="78"/>
    <x v="8"/>
    <n v="254438"/>
    <n v="11763491"/>
    <n v="2.16"/>
    <s v="DQS_MAO04_FILE_000_B"/>
    <s v="RECORD COUNT by MBR_ID, DOS_THRU_DT, DX_CD Grain grouped by PAYER, SRC_FILE_NM, DOS_THRU_YYYYMM"/>
  </r>
  <r>
    <x v="0"/>
    <s v="AETNA_MAO4_202502_20250302.txt"/>
    <x v="79"/>
    <x v="8"/>
    <n v="283221"/>
    <n v="11763491"/>
    <n v="2.41"/>
    <s v="DQS_MAO04_FILE_000_B"/>
    <s v="RECORD COUNT by MBR_ID, DOS_THRU_DT, DX_CD Grain grouped by PAYER, SRC_FILE_NM, DOS_THRU_YYYYMM"/>
  </r>
  <r>
    <x v="0"/>
    <s v="AETNA_MAO4_202502_20250302.txt"/>
    <x v="80"/>
    <x v="8"/>
    <n v="256792"/>
    <n v="11763491"/>
    <n v="2.1800000000000002"/>
    <s v="DQS_MAO04_FILE_000_B"/>
    <s v="RECORD COUNT by MBR_ID, DOS_THRU_DT, DX_CD Grain grouped by PAYER, SRC_FILE_NM, DOS_THRU_YYYYMM"/>
  </r>
  <r>
    <x v="0"/>
    <s v="AETNA_MAO4_202502_20250302.txt"/>
    <x v="81"/>
    <x v="8"/>
    <n v="270121"/>
    <n v="11763491"/>
    <n v="2.2999999999999998"/>
    <s v="DQS_MAO04_FILE_000_B"/>
    <s v="RECORD COUNT by MBR_ID, DOS_THRU_DT, DX_CD Grain grouped by PAYER, SRC_FILE_NM, DOS_THRU_YYYYMM"/>
  </r>
  <r>
    <x v="0"/>
    <s v="AETNA_MAO4_202502_20250302.txt"/>
    <x v="82"/>
    <x v="8"/>
    <n v="264499"/>
    <n v="11763491"/>
    <n v="2.25"/>
    <s v="DQS_MAO04_FILE_000_B"/>
    <s v="RECORD COUNT by MBR_ID, DOS_THRU_DT, DX_CD Grain grouped by PAYER, SRC_FILE_NM, DOS_THRU_YYYYMM"/>
  </r>
  <r>
    <x v="0"/>
    <s v="AETNA_MAO4_202502_20250302.txt"/>
    <x v="83"/>
    <x v="8"/>
    <n v="246659"/>
    <n v="11763491"/>
    <n v="2.1"/>
    <s v="DQS_MAO04_FILE_000_B"/>
    <s v="RECORD COUNT by MBR_ID, DOS_THRU_DT, DX_CD Grain grouped by PAYER, SRC_FILE_NM, DOS_THRU_YYYYMM"/>
  </r>
  <r>
    <x v="0"/>
    <s v="AETNA_MAO4_202502_20250302.txt"/>
    <x v="84"/>
    <x v="8"/>
    <n v="280266"/>
    <n v="11763491"/>
    <n v="2.38"/>
    <s v="DQS_MAO04_FILE_000_B"/>
    <s v="RECORD COUNT by MBR_ID, DOS_THRU_DT, DX_CD Grain grouped by PAYER, SRC_FILE_NM, DOS_THRU_YYYYMM"/>
  </r>
  <r>
    <x v="0"/>
    <s v="AETNA_MAO4_202502_20250302.txt"/>
    <x v="85"/>
    <x v="8"/>
    <n v="262663"/>
    <n v="11763491"/>
    <n v="2.23"/>
    <s v="DQS_MAO04_FILE_000_B"/>
    <s v="RECORD COUNT by MBR_ID, DOS_THRU_DT, DX_CD Grain grouped by PAYER, SRC_FILE_NM, DOS_THRU_YYYYMM"/>
  </r>
  <r>
    <x v="0"/>
    <s v="AETNA_MAO4_202502_20250302.txt"/>
    <x v="86"/>
    <x v="8"/>
    <n v="285498"/>
    <n v="11763491"/>
    <n v="2.4300000000000002"/>
    <s v="DQS_MAO04_FILE_000_B"/>
    <s v="RECORD COUNT by MBR_ID, DOS_THRU_DT, DX_CD Grain grouped by PAYER, SRC_FILE_NM, DOS_THRU_YYYYMM"/>
  </r>
  <r>
    <x v="0"/>
    <s v="AETNA_MAO4_202502_20250302.txt"/>
    <x v="87"/>
    <x v="8"/>
    <n v="266920"/>
    <n v="11763491"/>
    <n v="2.27"/>
    <s v="DQS_MAO04_FILE_000_B"/>
    <s v="RECORD COUNT by MBR_ID, DOS_THRU_DT, DX_CD Grain grouped by PAYER, SRC_FILE_NM, DOS_THRU_YYYYMM"/>
  </r>
  <r>
    <x v="0"/>
    <s v="AETNA_MAO4_202502_20250302.txt"/>
    <x v="88"/>
    <x v="8"/>
    <n v="253768"/>
    <n v="11763491"/>
    <n v="2.16"/>
    <s v="DQS_MAO04_FILE_000_B"/>
    <s v="RECORD COUNT by MBR_ID, DOS_THRU_DT, DX_CD Grain grouped by PAYER, SRC_FILE_NM, DOS_THRU_YYYYMM"/>
  </r>
  <r>
    <x v="0"/>
    <s v="AETNA_MAO4_202502_20250302.txt"/>
    <x v="89"/>
    <x v="9"/>
    <n v="417906"/>
    <n v="11763491"/>
    <n v="3.55"/>
    <s v="DQS_MAO04_FILE_000_B"/>
    <s v="RECORD COUNT by MBR_ID, DOS_THRU_DT, DX_CD Grain grouped by PAYER, SRC_FILE_NM, DOS_THRU_YYYYMM"/>
  </r>
  <r>
    <x v="0"/>
    <s v="AETNA_MAO4_202502_20250302.txt"/>
    <x v="97"/>
    <x v="9"/>
    <n v="429516"/>
    <n v="11763491"/>
    <n v="3.65"/>
    <s v="DQS_MAO04_FILE_000_B"/>
    <s v="RECORD COUNT by MBR_ID, DOS_THRU_DT, DX_CD Grain grouped by PAYER, SRC_FILE_NM, DOS_THRU_YYYYMM"/>
  </r>
  <r>
    <x v="0"/>
    <s v="AETNA_MAO4_202502_20250302.txt"/>
    <x v="98"/>
    <x v="9"/>
    <n v="430727"/>
    <n v="11763491"/>
    <n v="3.66"/>
    <s v="DQS_MAO04_FILE_000_B"/>
    <s v="RECORD COUNT by MBR_ID, DOS_THRU_DT, DX_CD Grain grouped by PAYER, SRC_FILE_NM, DOS_THRU_YYYYMM"/>
  </r>
  <r>
    <x v="0"/>
    <s v="AETNA_MAO4_202502_20250302.txt"/>
    <x v="99"/>
    <x v="9"/>
    <n v="461504"/>
    <n v="11763491"/>
    <n v="3.92"/>
    <s v="DQS_MAO04_FILE_000_B"/>
    <s v="RECORD COUNT by MBR_ID, DOS_THRU_DT, DX_CD Grain grouped by PAYER, SRC_FILE_NM, DOS_THRU_YYYYMM"/>
  </r>
  <r>
    <x v="0"/>
    <s v="AETNA_MAO4_202502_20250302.txt"/>
    <x v="100"/>
    <x v="9"/>
    <n v="388092"/>
    <n v="11763491"/>
    <n v="3.3"/>
    <s v="DQS_MAO04_FILE_000_B"/>
    <s v="RECORD COUNT by MBR_ID, DOS_THRU_DT, DX_CD Grain grouped by PAYER, SRC_FILE_NM, DOS_THRU_YYYYMM"/>
  </r>
  <r>
    <x v="0"/>
    <s v="AETNA_MAO4_202502_20250302.txt"/>
    <x v="102"/>
    <x v="9"/>
    <n v="364730"/>
    <n v="11763491"/>
    <n v="3.1"/>
    <s v="DQS_MAO04_FILE_000_B"/>
    <s v="RECORD COUNT by MBR_ID, DOS_THRU_DT, DX_CD Grain grouped by PAYER, SRC_FILE_NM, DOS_THRU_YYYYMM"/>
  </r>
  <r>
    <x v="0"/>
    <s v="AETNA_MAO4_202502_20250302.txt"/>
    <x v="103"/>
    <x v="9"/>
    <n v="379216"/>
    <n v="11763491"/>
    <n v="3.22"/>
    <s v="DQS_MAO04_FILE_000_B"/>
    <s v="RECORD COUNT by MBR_ID, DOS_THRU_DT, DX_CD Grain grouped by PAYER, SRC_FILE_NM, DOS_THRU_YYYYMM"/>
  </r>
  <r>
    <x v="0"/>
    <s v="AETNA_MAO4_202502_20250302.txt"/>
    <x v="105"/>
    <x v="9"/>
    <n v="407461"/>
    <n v="11763491"/>
    <n v="3.46"/>
    <s v="DQS_MAO04_FILE_000_B"/>
    <s v="RECORD COUNT by MBR_ID, DOS_THRU_DT, DX_CD Grain grouped by PAYER, SRC_FILE_NM, DOS_THRU_YYYYMM"/>
  </r>
  <r>
    <x v="0"/>
    <s v="AETNA_MAO4_202502_20250302.txt"/>
    <x v="106"/>
    <x v="9"/>
    <n v="394135"/>
    <n v="11763491"/>
    <n v="3.35"/>
    <s v="DQS_MAO04_FILE_000_B"/>
    <s v="RECORD COUNT by MBR_ID, DOS_THRU_DT, DX_CD Grain grouped by PAYER, SRC_FILE_NM, DOS_THRU_YYYYMM"/>
  </r>
  <r>
    <x v="0"/>
    <s v="AETNA_MAO4_202502_20250302.txt"/>
    <x v="107"/>
    <x v="9"/>
    <n v="432626"/>
    <n v="11763491"/>
    <n v="3.68"/>
    <s v="DQS_MAO04_FILE_000_B"/>
    <s v="RECORD COUNT by MBR_ID, DOS_THRU_DT, DX_CD Grain grouped by PAYER, SRC_FILE_NM, DOS_THRU_YYYYMM"/>
  </r>
  <r>
    <x v="0"/>
    <s v="AETNA_MAO4_202502_20250302.txt"/>
    <x v="108"/>
    <x v="9"/>
    <n v="375273"/>
    <n v="11763491"/>
    <n v="3.19"/>
    <s v="DQS_MAO04_FILE_000_B"/>
    <s v="RECORD COUNT by MBR_ID, DOS_THRU_DT, DX_CD Grain grouped by PAYER, SRC_FILE_NM, DOS_THRU_YYYYMM"/>
  </r>
  <r>
    <x v="0"/>
    <s v="AETNA_MAO4_202502_20250302.txt"/>
    <x v="109"/>
    <x v="9"/>
    <n v="355622"/>
    <n v="11763491"/>
    <n v="3.02"/>
    <s v="DQS_MAO04_FILE_000_B"/>
    <s v="RECORD COUNT by MBR_ID, DOS_THRU_DT, DX_CD Grain grouped by PAYER, SRC_FILE_NM, DOS_THRU_YYYYMM"/>
  </r>
  <r>
    <x v="0"/>
    <s v="AETNA_MAO4_202502_20250302.txt"/>
    <x v="110"/>
    <x v="11"/>
    <n v="37897"/>
    <n v="11763491"/>
    <n v="0.32"/>
    <s v="DQS_MAO04_FILE_000_B"/>
    <s v="RECORD COUNT by MBR_ID, DOS_THRU_DT, DX_CD Grain grouped by PAYER, SRC_FILE_NM, DOS_THRU_YYYYMM"/>
  </r>
  <r>
    <x v="0"/>
    <s v="AETNA_MAO4_202503_20250402.txt"/>
    <x v="14"/>
    <x v="2"/>
    <n v="1"/>
    <n v="10486618"/>
    <n v="0"/>
    <s v="DQS_MAO04_FILE_000_B"/>
    <s v="RECORD COUNT by MBR_ID, DOS_THRU_DT, DX_CD Grain grouped by PAYER, SRC_FILE_NM, DOS_THRU_YYYYMM"/>
  </r>
  <r>
    <x v="0"/>
    <s v="AETNA_MAO4_202503_20250402.txt"/>
    <x v="23"/>
    <x v="3"/>
    <n v="6"/>
    <n v="10486618"/>
    <n v="0"/>
    <s v="DQS_MAO04_FILE_000_B"/>
    <s v="RECORD COUNT by MBR_ID, DOS_THRU_DT, DX_CD Grain grouped by PAYER, SRC_FILE_NM, DOS_THRU_YYYYMM"/>
  </r>
  <r>
    <x v="0"/>
    <s v="AETNA_MAO4_202503_20250402.txt"/>
    <x v="24"/>
    <x v="3"/>
    <n v="17"/>
    <n v="10486618"/>
    <n v="0"/>
    <s v="DQS_MAO04_FILE_000_B"/>
    <s v="RECORD COUNT by MBR_ID, DOS_THRU_DT, DX_CD Grain grouped by PAYER, SRC_FILE_NM, DOS_THRU_YYYYMM"/>
  </r>
  <r>
    <x v="0"/>
    <s v="AETNA_MAO4_202503_20250402.txt"/>
    <x v="26"/>
    <x v="3"/>
    <n v="1"/>
    <n v="10486618"/>
    <n v="0"/>
    <s v="DQS_MAO04_FILE_000_B"/>
    <s v="RECORD COUNT by MBR_ID, DOS_THRU_DT, DX_CD Grain grouped by PAYER, SRC_FILE_NM, DOS_THRU_YYYYMM"/>
  </r>
  <r>
    <x v="0"/>
    <s v="AETNA_MAO4_202503_20250402.txt"/>
    <x v="28"/>
    <x v="3"/>
    <n v="2"/>
    <n v="10486618"/>
    <n v="0"/>
    <s v="DQS_MAO04_FILE_000_B"/>
    <s v="RECORD COUNT by MBR_ID, DOS_THRU_DT, DX_CD Grain grouped by PAYER, SRC_FILE_NM, DOS_THRU_YYYYMM"/>
  </r>
  <r>
    <x v="0"/>
    <s v="AETNA_MAO4_202503_20250402.txt"/>
    <x v="29"/>
    <x v="4"/>
    <n v="450"/>
    <n v="10486618"/>
    <n v="0"/>
    <s v="DQS_MAO04_FILE_000_B"/>
    <s v="RECORD COUNT by MBR_ID, DOS_THRU_DT, DX_CD Grain grouped by PAYER, SRC_FILE_NM, DOS_THRU_YYYYMM"/>
  </r>
  <r>
    <x v="0"/>
    <s v="AETNA_MAO4_202503_20250402.txt"/>
    <x v="30"/>
    <x v="4"/>
    <n v="330"/>
    <n v="10486618"/>
    <n v="0"/>
    <s v="DQS_MAO04_FILE_000_B"/>
    <s v="RECORD COUNT by MBR_ID, DOS_THRU_DT, DX_CD Grain grouped by PAYER, SRC_FILE_NM, DOS_THRU_YYYYMM"/>
  </r>
  <r>
    <x v="0"/>
    <s v="AETNA_MAO4_202503_20250402.txt"/>
    <x v="31"/>
    <x v="4"/>
    <n v="411"/>
    <n v="10486618"/>
    <n v="0"/>
    <s v="DQS_MAO04_FILE_000_B"/>
    <s v="RECORD COUNT by MBR_ID, DOS_THRU_DT, DX_CD Grain grouped by PAYER, SRC_FILE_NM, DOS_THRU_YYYYMM"/>
  </r>
  <r>
    <x v="0"/>
    <s v="AETNA_MAO4_202503_20250402.txt"/>
    <x v="32"/>
    <x v="4"/>
    <n v="546"/>
    <n v="10486618"/>
    <n v="0.01"/>
    <s v="DQS_MAO04_FILE_000_B"/>
    <s v="RECORD COUNT by MBR_ID, DOS_THRU_DT, DX_CD Grain grouped by PAYER, SRC_FILE_NM, DOS_THRU_YYYYMM"/>
  </r>
  <r>
    <x v="0"/>
    <s v="AETNA_MAO4_202503_20250402.txt"/>
    <x v="33"/>
    <x v="4"/>
    <n v="406"/>
    <n v="10486618"/>
    <n v="0"/>
    <s v="DQS_MAO04_FILE_000_B"/>
    <s v="RECORD COUNT by MBR_ID, DOS_THRU_DT, DX_CD Grain grouped by PAYER, SRC_FILE_NM, DOS_THRU_YYYYMM"/>
  </r>
  <r>
    <x v="0"/>
    <s v="AETNA_MAO4_202503_20250402.txt"/>
    <x v="34"/>
    <x v="4"/>
    <n v="499"/>
    <n v="10486618"/>
    <n v="0"/>
    <s v="DQS_MAO04_FILE_000_B"/>
    <s v="RECORD COUNT by MBR_ID, DOS_THRU_DT, DX_CD Grain grouped by PAYER, SRC_FILE_NM, DOS_THRU_YYYYMM"/>
  </r>
  <r>
    <x v="0"/>
    <s v="AETNA_MAO4_202503_20250402.txt"/>
    <x v="35"/>
    <x v="4"/>
    <n v="431"/>
    <n v="10486618"/>
    <n v="0"/>
    <s v="DQS_MAO04_FILE_000_B"/>
    <s v="RECORD COUNT by MBR_ID, DOS_THRU_DT, DX_CD Grain grouped by PAYER, SRC_FILE_NM, DOS_THRU_YYYYMM"/>
  </r>
  <r>
    <x v="0"/>
    <s v="AETNA_MAO4_202503_20250402.txt"/>
    <x v="36"/>
    <x v="4"/>
    <n v="503"/>
    <n v="10486618"/>
    <n v="0"/>
    <s v="DQS_MAO04_FILE_000_B"/>
    <s v="RECORD COUNT by MBR_ID, DOS_THRU_DT, DX_CD Grain grouped by PAYER, SRC_FILE_NM, DOS_THRU_YYYYMM"/>
  </r>
  <r>
    <x v="0"/>
    <s v="AETNA_MAO4_202503_20250402.txt"/>
    <x v="37"/>
    <x v="4"/>
    <n v="308"/>
    <n v="10486618"/>
    <n v="0"/>
    <s v="DQS_MAO04_FILE_000_B"/>
    <s v="RECORD COUNT by MBR_ID, DOS_THRU_DT, DX_CD Grain grouped by PAYER, SRC_FILE_NM, DOS_THRU_YYYYMM"/>
  </r>
  <r>
    <x v="0"/>
    <s v="AETNA_MAO4_202503_20250402.txt"/>
    <x v="38"/>
    <x v="4"/>
    <n v="381"/>
    <n v="10486618"/>
    <n v="0"/>
    <s v="DQS_MAO04_FILE_000_B"/>
    <s v="RECORD COUNT by MBR_ID, DOS_THRU_DT, DX_CD Grain grouped by PAYER, SRC_FILE_NM, DOS_THRU_YYYYMM"/>
  </r>
  <r>
    <x v="0"/>
    <s v="AETNA_MAO4_202503_20250402.txt"/>
    <x v="39"/>
    <x v="4"/>
    <n v="417"/>
    <n v="10486618"/>
    <n v="0"/>
    <s v="DQS_MAO04_FILE_000_B"/>
    <s v="RECORD COUNT by MBR_ID, DOS_THRU_DT, DX_CD Grain grouped by PAYER, SRC_FILE_NM, DOS_THRU_YYYYMM"/>
  </r>
  <r>
    <x v="0"/>
    <s v="AETNA_MAO4_202503_20250402.txt"/>
    <x v="40"/>
    <x v="4"/>
    <n v="404"/>
    <n v="10486618"/>
    <n v="0"/>
    <s v="DQS_MAO04_FILE_000_B"/>
    <s v="RECORD COUNT by MBR_ID, DOS_THRU_DT, DX_CD Grain grouped by PAYER, SRC_FILE_NM, DOS_THRU_YYYYMM"/>
  </r>
  <r>
    <x v="0"/>
    <s v="AETNA_MAO4_202503_20250402.txt"/>
    <x v="41"/>
    <x v="5"/>
    <n v="24851"/>
    <n v="10486618"/>
    <n v="0.24"/>
    <s v="DQS_MAO04_FILE_000_B"/>
    <s v="RECORD COUNT by MBR_ID, DOS_THRU_DT, DX_CD Grain grouped by PAYER, SRC_FILE_NM, DOS_THRU_YYYYMM"/>
  </r>
  <r>
    <x v="0"/>
    <s v="AETNA_MAO4_202503_20250402.txt"/>
    <x v="42"/>
    <x v="5"/>
    <n v="22756"/>
    <n v="10486618"/>
    <n v="0.22"/>
    <s v="DQS_MAO04_FILE_000_B"/>
    <s v="RECORD COUNT by MBR_ID, DOS_THRU_DT, DX_CD Grain grouped by PAYER, SRC_FILE_NM, DOS_THRU_YYYYMM"/>
  </r>
  <r>
    <x v="0"/>
    <s v="AETNA_MAO4_202503_20250402.txt"/>
    <x v="43"/>
    <x v="5"/>
    <n v="19450"/>
    <n v="10486618"/>
    <n v="0.19"/>
    <s v="DQS_MAO04_FILE_000_B"/>
    <s v="RECORD COUNT by MBR_ID, DOS_THRU_DT, DX_CD Grain grouped by PAYER, SRC_FILE_NM, DOS_THRU_YYYYMM"/>
  </r>
  <r>
    <x v="0"/>
    <s v="AETNA_MAO4_202503_20250402.txt"/>
    <x v="44"/>
    <x v="5"/>
    <n v="10277"/>
    <n v="10486618"/>
    <n v="0.1"/>
    <s v="DQS_MAO04_FILE_000_B"/>
    <s v="RECORD COUNT by MBR_ID, DOS_THRU_DT, DX_CD Grain grouped by PAYER, SRC_FILE_NM, DOS_THRU_YYYYMM"/>
  </r>
  <r>
    <x v="0"/>
    <s v="AETNA_MAO4_202503_20250402.txt"/>
    <x v="45"/>
    <x v="5"/>
    <n v="19462"/>
    <n v="10486618"/>
    <n v="0.19"/>
    <s v="DQS_MAO04_FILE_000_B"/>
    <s v="RECORD COUNT by MBR_ID, DOS_THRU_DT, DX_CD Grain grouped by PAYER, SRC_FILE_NM, DOS_THRU_YYYYMM"/>
  </r>
  <r>
    <x v="0"/>
    <s v="AETNA_MAO4_202503_20250402.txt"/>
    <x v="46"/>
    <x v="5"/>
    <n v="25106"/>
    <n v="10486618"/>
    <n v="0.24"/>
    <s v="DQS_MAO04_FILE_000_B"/>
    <s v="RECORD COUNT by MBR_ID, DOS_THRU_DT, DX_CD Grain grouped by PAYER, SRC_FILE_NM, DOS_THRU_YYYYMM"/>
  </r>
  <r>
    <x v="0"/>
    <s v="AETNA_MAO4_202503_20250402.txt"/>
    <x v="47"/>
    <x v="5"/>
    <n v="17383"/>
    <n v="10486618"/>
    <n v="0.17"/>
    <s v="DQS_MAO04_FILE_000_B"/>
    <s v="RECORD COUNT by MBR_ID, DOS_THRU_DT, DX_CD Grain grouped by PAYER, SRC_FILE_NM, DOS_THRU_YYYYMM"/>
  </r>
  <r>
    <x v="0"/>
    <s v="AETNA_MAO4_202503_20250402.txt"/>
    <x v="48"/>
    <x v="5"/>
    <n v="16764"/>
    <n v="10486618"/>
    <n v="0.16"/>
    <s v="DQS_MAO04_FILE_000_B"/>
    <s v="RECORD COUNT by MBR_ID, DOS_THRU_DT, DX_CD Grain grouped by PAYER, SRC_FILE_NM, DOS_THRU_YYYYMM"/>
  </r>
  <r>
    <x v="0"/>
    <s v="AETNA_MAO4_202503_20250402.txt"/>
    <x v="49"/>
    <x v="5"/>
    <n v="19068"/>
    <n v="10486618"/>
    <n v="0.18"/>
    <s v="DQS_MAO04_FILE_000_B"/>
    <s v="RECORD COUNT by MBR_ID, DOS_THRU_DT, DX_CD Grain grouped by PAYER, SRC_FILE_NM, DOS_THRU_YYYYMM"/>
  </r>
  <r>
    <x v="0"/>
    <s v="AETNA_MAO4_202503_20250402.txt"/>
    <x v="50"/>
    <x v="5"/>
    <n v="18528"/>
    <n v="10486618"/>
    <n v="0.18"/>
    <s v="DQS_MAO04_FILE_000_B"/>
    <s v="RECORD COUNT by MBR_ID, DOS_THRU_DT, DX_CD Grain grouped by PAYER, SRC_FILE_NM, DOS_THRU_YYYYMM"/>
  </r>
  <r>
    <x v="0"/>
    <s v="AETNA_MAO4_202503_20250402.txt"/>
    <x v="51"/>
    <x v="5"/>
    <n v="15246"/>
    <n v="10486618"/>
    <n v="0.15"/>
    <s v="DQS_MAO04_FILE_000_B"/>
    <s v="RECORD COUNT by MBR_ID, DOS_THRU_DT, DX_CD Grain grouped by PAYER, SRC_FILE_NM, DOS_THRU_YYYYMM"/>
  </r>
  <r>
    <x v="0"/>
    <s v="AETNA_MAO4_202503_20250402.txt"/>
    <x v="52"/>
    <x v="5"/>
    <n v="16280"/>
    <n v="10486618"/>
    <n v="0.16"/>
    <s v="DQS_MAO04_FILE_000_B"/>
    <s v="RECORD COUNT by MBR_ID, DOS_THRU_DT, DX_CD Grain grouped by PAYER, SRC_FILE_NM, DOS_THRU_YYYYMM"/>
  </r>
  <r>
    <x v="0"/>
    <s v="AETNA_MAO4_202503_20250402.txt"/>
    <x v="53"/>
    <x v="6"/>
    <n v="43597"/>
    <n v="10486618"/>
    <n v="0.42"/>
    <s v="DQS_MAO04_FILE_000_B"/>
    <s v="RECORD COUNT by MBR_ID, DOS_THRU_DT, DX_CD Grain grouped by PAYER, SRC_FILE_NM, DOS_THRU_YYYYMM"/>
  </r>
  <r>
    <x v="0"/>
    <s v="AETNA_MAO4_202503_20250402.txt"/>
    <x v="54"/>
    <x v="6"/>
    <n v="33067"/>
    <n v="10486618"/>
    <n v="0.32"/>
    <s v="DQS_MAO04_FILE_000_B"/>
    <s v="RECORD COUNT by MBR_ID, DOS_THRU_DT, DX_CD Grain grouped by PAYER, SRC_FILE_NM, DOS_THRU_YYYYMM"/>
  </r>
  <r>
    <x v="0"/>
    <s v="AETNA_MAO4_202503_20250402.txt"/>
    <x v="55"/>
    <x v="6"/>
    <n v="41165"/>
    <n v="10486618"/>
    <n v="0.39"/>
    <s v="DQS_MAO04_FILE_000_B"/>
    <s v="RECORD COUNT by MBR_ID, DOS_THRU_DT, DX_CD Grain grouped by PAYER, SRC_FILE_NM, DOS_THRU_YYYYMM"/>
  </r>
  <r>
    <x v="0"/>
    <s v="AETNA_MAO4_202503_20250402.txt"/>
    <x v="56"/>
    <x v="6"/>
    <n v="38210"/>
    <n v="10486618"/>
    <n v="0.36"/>
    <s v="DQS_MAO04_FILE_000_B"/>
    <s v="RECORD COUNT by MBR_ID, DOS_THRU_DT, DX_CD Grain grouped by PAYER, SRC_FILE_NM, DOS_THRU_YYYYMM"/>
  </r>
  <r>
    <x v="0"/>
    <s v="AETNA_MAO4_202503_20250402.txt"/>
    <x v="57"/>
    <x v="6"/>
    <n v="36028"/>
    <n v="10486618"/>
    <n v="0.34"/>
    <s v="DQS_MAO04_FILE_000_B"/>
    <s v="RECORD COUNT by MBR_ID, DOS_THRU_DT, DX_CD Grain grouped by PAYER, SRC_FILE_NM, DOS_THRU_YYYYMM"/>
  </r>
  <r>
    <x v="0"/>
    <s v="AETNA_MAO4_202503_20250402.txt"/>
    <x v="58"/>
    <x v="6"/>
    <n v="39864"/>
    <n v="10486618"/>
    <n v="0.38"/>
    <s v="DQS_MAO04_FILE_000_B"/>
    <s v="RECORD COUNT by MBR_ID, DOS_THRU_DT, DX_CD Grain grouped by PAYER, SRC_FILE_NM, DOS_THRU_YYYYMM"/>
  </r>
  <r>
    <x v="0"/>
    <s v="AETNA_MAO4_202503_20250402.txt"/>
    <x v="59"/>
    <x v="6"/>
    <n v="81538"/>
    <n v="10486618"/>
    <n v="0.78"/>
    <s v="DQS_MAO04_FILE_000_B"/>
    <s v="RECORD COUNT by MBR_ID, DOS_THRU_DT, DX_CD Grain grouped by PAYER, SRC_FILE_NM, DOS_THRU_YYYYMM"/>
  </r>
  <r>
    <x v="0"/>
    <s v="AETNA_MAO4_202503_20250402.txt"/>
    <x v="60"/>
    <x v="6"/>
    <n v="83913"/>
    <n v="10486618"/>
    <n v="0.8"/>
    <s v="DQS_MAO04_FILE_000_B"/>
    <s v="RECORD COUNT by MBR_ID, DOS_THRU_DT, DX_CD Grain grouped by PAYER, SRC_FILE_NM, DOS_THRU_YYYYMM"/>
  </r>
  <r>
    <x v="0"/>
    <s v="AETNA_MAO4_202503_20250402.txt"/>
    <x v="61"/>
    <x v="6"/>
    <n v="89444"/>
    <n v="10486618"/>
    <n v="0.85"/>
    <s v="DQS_MAO04_FILE_000_B"/>
    <s v="RECORD COUNT by MBR_ID, DOS_THRU_DT, DX_CD Grain grouped by PAYER, SRC_FILE_NM, DOS_THRU_YYYYMM"/>
  </r>
  <r>
    <x v="0"/>
    <s v="AETNA_MAO4_202503_20250402.txt"/>
    <x v="62"/>
    <x v="6"/>
    <n v="88441"/>
    <n v="10486618"/>
    <n v="0.84"/>
    <s v="DQS_MAO04_FILE_000_B"/>
    <s v="RECORD COUNT by MBR_ID, DOS_THRU_DT, DX_CD Grain grouped by PAYER, SRC_FILE_NM, DOS_THRU_YYYYMM"/>
  </r>
  <r>
    <x v="0"/>
    <s v="AETNA_MAO4_202503_20250402.txt"/>
    <x v="63"/>
    <x v="6"/>
    <n v="96687"/>
    <n v="10486618"/>
    <n v="0.92"/>
    <s v="DQS_MAO04_FILE_000_B"/>
    <s v="RECORD COUNT by MBR_ID, DOS_THRU_DT, DX_CD Grain grouped by PAYER, SRC_FILE_NM, DOS_THRU_YYYYMM"/>
  </r>
  <r>
    <x v="0"/>
    <s v="AETNA_MAO4_202503_20250402.txt"/>
    <x v="64"/>
    <x v="6"/>
    <n v="98437"/>
    <n v="10486618"/>
    <n v="0.94"/>
    <s v="DQS_MAO04_FILE_000_B"/>
    <s v="RECORD COUNT by MBR_ID, DOS_THRU_DT, DX_CD Grain grouped by PAYER, SRC_FILE_NM, DOS_THRU_YYYYMM"/>
  </r>
  <r>
    <x v="0"/>
    <s v="AETNA_MAO4_202503_20250402.txt"/>
    <x v="65"/>
    <x v="7"/>
    <n v="75899"/>
    <n v="10486618"/>
    <n v="0.72"/>
    <s v="DQS_MAO04_FILE_000_B"/>
    <s v="RECORD COUNT by MBR_ID, DOS_THRU_DT, DX_CD Grain grouped by PAYER, SRC_FILE_NM, DOS_THRU_YYYYMM"/>
  </r>
  <r>
    <x v="0"/>
    <s v="AETNA_MAO4_202503_20250402.txt"/>
    <x v="66"/>
    <x v="7"/>
    <n v="62491"/>
    <n v="10486618"/>
    <n v="0.6"/>
    <s v="DQS_MAO04_FILE_000_B"/>
    <s v="RECORD COUNT by MBR_ID, DOS_THRU_DT, DX_CD Grain grouped by PAYER, SRC_FILE_NM, DOS_THRU_YYYYMM"/>
  </r>
  <r>
    <x v="0"/>
    <s v="AETNA_MAO4_202503_20250402.txt"/>
    <x v="67"/>
    <x v="7"/>
    <n v="105251"/>
    <n v="10486618"/>
    <n v="1"/>
    <s v="DQS_MAO04_FILE_000_B"/>
    <s v="RECORD COUNT by MBR_ID, DOS_THRU_DT, DX_CD Grain grouped by PAYER, SRC_FILE_NM, DOS_THRU_YYYYMM"/>
  </r>
  <r>
    <x v="0"/>
    <s v="AETNA_MAO4_202503_20250402.txt"/>
    <x v="68"/>
    <x v="7"/>
    <n v="176563"/>
    <n v="10486618"/>
    <n v="1.68"/>
    <s v="DQS_MAO04_FILE_000_B"/>
    <s v="RECORD COUNT by MBR_ID, DOS_THRU_DT, DX_CD Grain grouped by PAYER, SRC_FILE_NM, DOS_THRU_YYYYMM"/>
  </r>
  <r>
    <x v="0"/>
    <s v="AETNA_MAO4_202503_20250402.txt"/>
    <x v="69"/>
    <x v="7"/>
    <n v="179228"/>
    <n v="10486618"/>
    <n v="1.71"/>
    <s v="DQS_MAO04_FILE_000_B"/>
    <s v="RECORD COUNT by MBR_ID, DOS_THRU_DT, DX_CD Grain grouped by PAYER, SRC_FILE_NM, DOS_THRU_YYYYMM"/>
  </r>
  <r>
    <x v="0"/>
    <s v="AETNA_MAO4_202503_20250402.txt"/>
    <x v="70"/>
    <x v="7"/>
    <n v="184194"/>
    <n v="10486618"/>
    <n v="1.76"/>
    <s v="DQS_MAO04_FILE_000_B"/>
    <s v="RECORD COUNT by MBR_ID, DOS_THRU_DT, DX_CD Grain grouped by PAYER, SRC_FILE_NM, DOS_THRU_YYYYMM"/>
  </r>
  <r>
    <x v="0"/>
    <s v="AETNA_MAO4_202503_20250402.txt"/>
    <x v="71"/>
    <x v="7"/>
    <n v="172964"/>
    <n v="10486618"/>
    <n v="1.65"/>
    <s v="DQS_MAO04_FILE_000_B"/>
    <s v="RECORD COUNT by MBR_ID, DOS_THRU_DT, DX_CD Grain grouped by PAYER, SRC_FILE_NM, DOS_THRU_YYYYMM"/>
  </r>
  <r>
    <x v="0"/>
    <s v="AETNA_MAO4_202503_20250402.txt"/>
    <x v="72"/>
    <x v="7"/>
    <n v="190788"/>
    <n v="10486618"/>
    <n v="1.82"/>
    <s v="DQS_MAO04_FILE_000_B"/>
    <s v="RECORD COUNT by MBR_ID, DOS_THRU_DT, DX_CD Grain grouped by PAYER, SRC_FILE_NM, DOS_THRU_YYYYMM"/>
  </r>
  <r>
    <x v="0"/>
    <s v="AETNA_MAO4_202503_20250402.txt"/>
    <x v="73"/>
    <x v="7"/>
    <n v="177361"/>
    <n v="10486618"/>
    <n v="1.69"/>
    <s v="DQS_MAO04_FILE_000_B"/>
    <s v="RECORD COUNT by MBR_ID, DOS_THRU_DT, DX_CD Grain grouped by PAYER, SRC_FILE_NM, DOS_THRU_YYYYMM"/>
  </r>
  <r>
    <x v="0"/>
    <s v="AETNA_MAO4_202503_20250402.txt"/>
    <x v="74"/>
    <x v="7"/>
    <n v="180601"/>
    <n v="10486618"/>
    <n v="1.72"/>
    <s v="DQS_MAO04_FILE_000_B"/>
    <s v="RECORD COUNT by MBR_ID, DOS_THRU_DT, DX_CD Grain grouped by PAYER, SRC_FILE_NM, DOS_THRU_YYYYMM"/>
  </r>
  <r>
    <x v="0"/>
    <s v="AETNA_MAO4_202503_20250402.txt"/>
    <x v="75"/>
    <x v="7"/>
    <n v="177922"/>
    <n v="10486618"/>
    <n v="1.7"/>
    <s v="DQS_MAO04_FILE_000_B"/>
    <s v="RECORD COUNT by MBR_ID, DOS_THRU_DT, DX_CD Grain grouped by PAYER, SRC_FILE_NM, DOS_THRU_YYYYMM"/>
  </r>
  <r>
    <x v="0"/>
    <s v="AETNA_MAO4_202503_20250402.txt"/>
    <x v="76"/>
    <x v="7"/>
    <n v="168251"/>
    <n v="10486618"/>
    <n v="1.6"/>
    <s v="DQS_MAO04_FILE_000_B"/>
    <s v="RECORD COUNT by MBR_ID, DOS_THRU_DT, DX_CD Grain grouped by PAYER, SRC_FILE_NM, DOS_THRU_YYYYMM"/>
  </r>
  <r>
    <x v="0"/>
    <s v="AETNA_MAO4_202503_20250402.txt"/>
    <x v="77"/>
    <x v="8"/>
    <n v="229903"/>
    <n v="10486618"/>
    <n v="2.19"/>
    <s v="DQS_MAO04_FILE_000_B"/>
    <s v="RECORD COUNT by MBR_ID, DOS_THRU_DT, DX_CD Grain grouped by PAYER, SRC_FILE_NM, DOS_THRU_YYYYMM"/>
  </r>
  <r>
    <x v="0"/>
    <s v="AETNA_MAO4_202503_20250402.txt"/>
    <x v="78"/>
    <x v="8"/>
    <n v="224675"/>
    <n v="10486618"/>
    <n v="2.14"/>
    <s v="DQS_MAO04_FILE_000_B"/>
    <s v="RECORD COUNT by MBR_ID, DOS_THRU_DT, DX_CD Grain grouped by PAYER, SRC_FILE_NM, DOS_THRU_YYYYMM"/>
  </r>
  <r>
    <x v="0"/>
    <s v="AETNA_MAO4_202503_20250402.txt"/>
    <x v="79"/>
    <x v="8"/>
    <n v="248960"/>
    <n v="10486618"/>
    <n v="2.37"/>
    <s v="DQS_MAO04_FILE_000_B"/>
    <s v="RECORD COUNT by MBR_ID, DOS_THRU_DT, DX_CD Grain grouped by PAYER, SRC_FILE_NM, DOS_THRU_YYYYMM"/>
  </r>
  <r>
    <x v="0"/>
    <s v="AETNA_MAO4_202503_20250402.txt"/>
    <x v="80"/>
    <x v="8"/>
    <n v="225713"/>
    <n v="10486618"/>
    <n v="2.15"/>
    <s v="DQS_MAO04_FILE_000_B"/>
    <s v="RECORD COUNT by MBR_ID, DOS_THRU_DT, DX_CD Grain grouped by PAYER, SRC_FILE_NM, DOS_THRU_YYYYMM"/>
  </r>
  <r>
    <x v="0"/>
    <s v="AETNA_MAO4_202503_20250402.txt"/>
    <x v="81"/>
    <x v="8"/>
    <n v="239212"/>
    <n v="10486618"/>
    <n v="2.2799999999999998"/>
    <s v="DQS_MAO04_FILE_000_B"/>
    <s v="RECORD COUNT by MBR_ID, DOS_THRU_DT, DX_CD Grain grouped by PAYER, SRC_FILE_NM, DOS_THRU_YYYYMM"/>
  </r>
  <r>
    <x v="0"/>
    <s v="AETNA_MAO4_202503_20250402.txt"/>
    <x v="82"/>
    <x v="8"/>
    <n v="232140"/>
    <n v="10486618"/>
    <n v="2.21"/>
    <s v="DQS_MAO04_FILE_000_B"/>
    <s v="RECORD COUNT by MBR_ID, DOS_THRU_DT, DX_CD Grain grouped by PAYER, SRC_FILE_NM, DOS_THRU_YYYYMM"/>
  </r>
  <r>
    <x v="0"/>
    <s v="AETNA_MAO4_202503_20250402.txt"/>
    <x v="83"/>
    <x v="8"/>
    <n v="216363"/>
    <n v="10486618"/>
    <n v="2.06"/>
    <s v="DQS_MAO04_FILE_000_B"/>
    <s v="RECORD COUNT by MBR_ID, DOS_THRU_DT, DX_CD Grain grouped by PAYER, SRC_FILE_NM, DOS_THRU_YYYYMM"/>
  </r>
  <r>
    <x v="0"/>
    <s v="AETNA_MAO4_202503_20250402.txt"/>
    <x v="84"/>
    <x v="8"/>
    <n v="247564"/>
    <n v="10486618"/>
    <n v="2.36"/>
    <s v="DQS_MAO04_FILE_000_B"/>
    <s v="RECORD COUNT by MBR_ID, DOS_THRU_DT, DX_CD Grain grouped by PAYER, SRC_FILE_NM, DOS_THRU_YYYYMM"/>
  </r>
  <r>
    <x v="0"/>
    <s v="AETNA_MAO4_202503_20250402.txt"/>
    <x v="85"/>
    <x v="8"/>
    <n v="231394"/>
    <n v="10486618"/>
    <n v="2.21"/>
    <s v="DQS_MAO04_FILE_000_B"/>
    <s v="RECORD COUNT by MBR_ID, DOS_THRU_DT, DX_CD Grain grouped by PAYER, SRC_FILE_NM, DOS_THRU_YYYYMM"/>
  </r>
  <r>
    <x v="0"/>
    <s v="AETNA_MAO4_202503_20250402.txt"/>
    <x v="86"/>
    <x v="8"/>
    <n v="252744"/>
    <n v="10486618"/>
    <n v="2.41"/>
    <s v="DQS_MAO04_FILE_000_B"/>
    <s v="RECORD COUNT by MBR_ID, DOS_THRU_DT, DX_CD Grain grouped by PAYER, SRC_FILE_NM, DOS_THRU_YYYYMM"/>
  </r>
  <r>
    <x v="0"/>
    <s v="AETNA_MAO4_202503_20250402.txt"/>
    <x v="87"/>
    <x v="8"/>
    <n v="237978"/>
    <n v="10486618"/>
    <n v="2.27"/>
    <s v="DQS_MAO04_FILE_000_B"/>
    <s v="RECORD COUNT by MBR_ID, DOS_THRU_DT, DX_CD Grain grouped by PAYER, SRC_FILE_NM, DOS_THRU_YYYYMM"/>
  </r>
  <r>
    <x v="0"/>
    <s v="AETNA_MAO4_202503_20250402.txt"/>
    <x v="88"/>
    <x v="8"/>
    <n v="224942"/>
    <n v="10486618"/>
    <n v="2.15"/>
    <s v="DQS_MAO04_FILE_000_B"/>
    <s v="RECORD COUNT by MBR_ID, DOS_THRU_DT, DX_CD Grain grouped by PAYER, SRC_FILE_NM, DOS_THRU_YYYYMM"/>
  </r>
  <r>
    <x v="0"/>
    <s v="AETNA_MAO4_202503_20250402.txt"/>
    <x v="89"/>
    <x v="9"/>
    <n v="356034"/>
    <n v="10486618"/>
    <n v="3.4"/>
    <s v="DQS_MAO04_FILE_000_B"/>
    <s v="RECORD COUNT by MBR_ID, DOS_THRU_DT, DX_CD Grain grouped by PAYER, SRC_FILE_NM, DOS_THRU_YYYYMM"/>
  </r>
  <r>
    <x v="0"/>
    <s v="AETNA_MAO4_202503_20250402.txt"/>
    <x v="97"/>
    <x v="9"/>
    <n v="370485"/>
    <n v="10486618"/>
    <n v="3.53"/>
    <s v="DQS_MAO04_FILE_000_B"/>
    <s v="RECORD COUNT by MBR_ID, DOS_THRU_DT, DX_CD Grain grouped by PAYER, SRC_FILE_NM, DOS_THRU_YYYYMM"/>
  </r>
  <r>
    <x v="0"/>
    <s v="AETNA_MAO4_202503_20250402.txt"/>
    <x v="98"/>
    <x v="9"/>
    <n v="370977"/>
    <n v="10486618"/>
    <n v="3.54"/>
    <s v="DQS_MAO04_FILE_000_B"/>
    <s v="RECORD COUNT by MBR_ID, DOS_THRU_DT, DX_CD Grain grouped by PAYER, SRC_FILE_NM, DOS_THRU_YYYYMM"/>
  </r>
  <r>
    <x v="0"/>
    <s v="AETNA_MAO4_202503_20250402.txt"/>
    <x v="99"/>
    <x v="9"/>
    <n v="401004"/>
    <n v="10486618"/>
    <n v="3.82"/>
    <s v="DQS_MAO04_FILE_000_B"/>
    <s v="RECORD COUNT by MBR_ID, DOS_THRU_DT, DX_CD Grain grouped by PAYER, SRC_FILE_NM, DOS_THRU_YYYYMM"/>
  </r>
  <r>
    <x v="0"/>
    <s v="AETNA_MAO4_202503_20250402.txt"/>
    <x v="100"/>
    <x v="9"/>
    <n v="363168"/>
    <n v="10486618"/>
    <n v="3.46"/>
    <s v="DQS_MAO04_FILE_000_B"/>
    <s v="RECORD COUNT by MBR_ID, DOS_THRU_DT, DX_CD Grain grouped by PAYER, SRC_FILE_NM, DOS_THRU_YYYYMM"/>
  </r>
  <r>
    <x v="0"/>
    <s v="AETNA_MAO4_202503_20250402.txt"/>
    <x v="102"/>
    <x v="9"/>
    <n v="342794"/>
    <n v="10486618"/>
    <n v="3.27"/>
    <s v="DQS_MAO04_FILE_000_B"/>
    <s v="RECORD COUNT by MBR_ID, DOS_THRU_DT, DX_CD Grain grouped by PAYER, SRC_FILE_NM, DOS_THRU_YYYYMM"/>
  </r>
  <r>
    <x v="0"/>
    <s v="AETNA_MAO4_202503_20250402.txt"/>
    <x v="103"/>
    <x v="9"/>
    <n v="358774"/>
    <n v="10486618"/>
    <n v="3.42"/>
    <s v="DQS_MAO04_FILE_000_B"/>
    <s v="RECORD COUNT by MBR_ID, DOS_THRU_DT, DX_CD Grain grouped by PAYER, SRC_FILE_NM, DOS_THRU_YYYYMM"/>
  </r>
  <r>
    <x v="0"/>
    <s v="AETNA_MAO4_202503_20250402.txt"/>
    <x v="105"/>
    <x v="9"/>
    <n v="365394"/>
    <n v="10486618"/>
    <n v="3.48"/>
    <s v="DQS_MAO04_FILE_000_B"/>
    <s v="RECORD COUNT by MBR_ID, DOS_THRU_DT, DX_CD Grain grouped by PAYER, SRC_FILE_NM, DOS_THRU_YYYYMM"/>
  </r>
  <r>
    <x v="0"/>
    <s v="AETNA_MAO4_202503_20250402.txt"/>
    <x v="106"/>
    <x v="9"/>
    <n v="379152"/>
    <n v="10486618"/>
    <n v="3.62"/>
    <s v="DQS_MAO04_FILE_000_B"/>
    <s v="RECORD COUNT by MBR_ID, DOS_THRU_DT, DX_CD Grain grouped by PAYER, SRC_FILE_NM, DOS_THRU_YYYYMM"/>
  </r>
  <r>
    <x v="0"/>
    <s v="AETNA_MAO4_202503_20250402.txt"/>
    <x v="107"/>
    <x v="9"/>
    <n v="488838"/>
    <n v="10486618"/>
    <n v="4.66"/>
    <s v="DQS_MAO04_FILE_000_B"/>
    <s v="RECORD COUNT by MBR_ID, DOS_THRU_DT, DX_CD Grain grouped by PAYER, SRC_FILE_NM, DOS_THRU_YYYYMM"/>
  </r>
  <r>
    <x v="0"/>
    <s v="AETNA_MAO4_202503_20250402.txt"/>
    <x v="108"/>
    <x v="9"/>
    <n v="436472"/>
    <n v="10486618"/>
    <n v="4.16"/>
    <s v="DQS_MAO04_FILE_000_B"/>
    <s v="RECORD COUNT by MBR_ID, DOS_THRU_DT, DX_CD Grain grouped by PAYER, SRC_FILE_NM, DOS_THRU_YYYYMM"/>
  </r>
  <r>
    <x v="0"/>
    <s v="AETNA_MAO4_202503_20250402.txt"/>
    <x v="109"/>
    <x v="9"/>
    <n v="427803"/>
    <n v="10486618"/>
    <n v="4.08"/>
    <s v="DQS_MAO04_FILE_000_B"/>
    <s v="RECORD COUNT by MBR_ID, DOS_THRU_DT, DX_CD Grain grouped by PAYER, SRC_FILE_NM, DOS_THRU_YYYYMM"/>
  </r>
  <r>
    <x v="0"/>
    <s v="AETNA_MAO4_202503_20250402.txt"/>
    <x v="110"/>
    <x v="11"/>
    <n v="153020"/>
    <n v="10486618"/>
    <n v="1.46"/>
    <s v="DQS_MAO04_FILE_000_B"/>
    <s v="RECORD COUNT by MBR_ID, DOS_THRU_DT, DX_CD Grain grouped by PAYER, SRC_FILE_NM, DOS_THRU_YYYYMM"/>
  </r>
  <r>
    <x v="0"/>
    <s v="AETNA_MAO4_202503_20250402.txt"/>
    <x v="111"/>
    <x v="11"/>
    <n v="8927"/>
    <n v="10486618"/>
    <n v="0.09"/>
    <s v="DQS_MAO04_FILE_000_B"/>
    <s v="RECORD COUNT by MBR_ID, DOS_THRU_DT, DX_CD Grain grouped by PAYER, SRC_FILE_NM, DOS_THRU_YYYYMM"/>
  </r>
  <r>
    <x v="0"/>
    <s v="AETNA_MAO4_202504_20250502.txt"/>
    <x v="23"/>
    <x v="3"/>
    <n v="6"/>
    <n v="11119476"/>
    <n v="0"/>
    <s v="DQS_MAO04_FILE_000_B"/>
    <s v="RECORD COUNT by MBR_ID, DOS_THRU_DT, DX_CD Grain grouped by PAYER, SRC_FILE_NM, DOS_THRU_YYYYMM"/>
  </r>
  <r>
    <x v="0"/>
    <s v="AETNA_MAO4_202504_20250502.txt"/>
    <x v="24"/>
    <x v="3"/>
    <n v="17"/>
    <n v="11119476"/>
    <n v="0"/>
    <s v="DQS_MAO04_FILE_000_B"/>
    <s v="RECORD COUNT by MBR_ID, DOS_THRU_DT, DX_CD Grain grouped by PAYER, SRC_FILE_NM, DOS_THRU_YYYYMM"/>
  </r>
  <r>
    <x v="0"/>
    <s v="AETNA_MAO4_202504_20250502.txt"/>
    <x v="29"/>
    <x v="4"/>
    <n v="442"/>
    <n v="11119476"/>
    <n v="0"/>
    <s v="DQS_MAO04_FILE_000_B"/>
    <s v="RECORD COUNT by MBR_ID, DOS_THRU_DT, DX_CD Grain grouped by PAYER, SRC_FILE_NM, DOS_THRU_YYYYMM"/>
  </r>
  <r>
    <x v="0"/>
    <s v="AETNA_MAO4_202504_20250502.txt"/>
    <x v="30"/>
    <x v="4"/>
    <n v="330"/>
    <n v="11119476"/>
    <n v="0"/>
    <s v="DQS_MAO04_FILE_000_B"/>
    <s v="RECORD COUNT by MBR_ID, DOS_THRU_DT, DX_CD Grain grouped by PAYER, SRC_FILE_NM, DOS_THRU_YYYYMM"/>
  </r>
  <r>
    <x v="0"/>
    <s v="AETNA_MAO4_202504_20250502.txt"/>
    <x v="31"/>
    <x v="4"/>
    <n v="423"/>
    <n v="11119476"/>
    <n v="0"/>
    <s v="DQS_MAO04_FILE_000_B"/>
    <s v="RECORD COUNT by MBR_ID, DOS_THRU_DT, DX_CD Grain grouped by PAYER, SRC_FILE_NM, DOS_THRU_YYYYMM"/>
  </r>
  <r>
    <x v="0"/>
    <s v="AETNA_MAO4_202504_20250502.txt"/>
    <x v="32"/>
    <x v="4"/>
    <n v="535"/>
    <n v="11119476"/>
    <n v="0"/>
    <s v="DQS_MAO04_FILE_000_B"/>
    <s v="RECORD COUNT by MBR_ID, DOS_THRU_DT, DX_CD Grain grouped by PAYER, SRC_FILE_NM, DOS_THRU_YYYYMM"/>
  </r>
  <r>
    <x v="0"/>
    <s v="AETNA_MAO4_202504_20250502.txt"/>
    <x v="33"/>
    <x v="4"/>
    <n v="385"/>
    <n v="11119476"/>
    <n v="0"/>
    <s v="DQS_MAO04_FILE_000_B"/>
    <s v="RECORD COUNT by MBR_ID, DOS_THRU_DT, DX_CD Grain grouped by PAYER, SRC_FILE_NM, DOS_THRU_YYYYMM"/>
  </r>
  <r>
    <x v="0"/>
    <s v="AETNA_MAO4_202504_20250502.txt"/>
    <x v="34"/>
    <x v="4"/>
    <n v="499"/>
    <n v="11119476"/>
    <n v="0"/>
    <s v="DQS_MAO04_FILE_000_B"/>
    <s v="RECORD COUNT by MBR_ID, DOS_THRU_DT, DX_CD Grain grouped by PAYER, SRC_FILE_NM, DOS_THRU_YYYYMM"/>
  </r>
  <r>
    <x v="0"/>
    <s v="AETNA_MAO4_202504_20250502.txt"/>
    <x v="35"/>
    <x v="4"/>
    <n v="422"/>
    <n v="11119476"/>
    <n v="0"/>
    <s v="DQS_MAO04_FILE_000_B"/>
    <s v="RECORD COUNT by MBR_ID, DOS_THRU_DT, DX_CD Grain grouped by PAYER, SRC_FILE_NM, DOS_THRU_YYYYMM"/>
  </r>
  <r>
    <x v="0"/>
    <s v="AETNA_MAO4_202504_20250502.txt"/>
    <x v="36"/>
    <x v="4"/>
    <n v="459"/>
    <n v="11119476"/>
    <n v="0"/>
    <s v="DQS_MAO04_FILE_000_B"/>
    <s v="RECORD COUNT by MBR_ID, DOS_THRU_DT, DX_CD Grain grouped by PAYER, SRC_FILE_NM, DOS_THRU_YYYYMM"/>
  </r>
  <r>
    <x v="0"/>
    <s v="AETNA_MAO4_202504_20250502.txt"/>
    <x v="37"/>
    <x v="4"/>
    <n v="310"/>
    <n v="11119476"/>
    <n v="0"/>
    <s v="DQS_MAO04_FILE_000_B"/>
    <s v="RECORD COUNT by MBR_ID, DOS_THRU_DT, DX_CD Grain grouped by PAYER, SRC_FILE_NM, DOS_THRU_YYYYMM"/>
  </r>
  <r>
    <x v="0"/>
    <s v="AETNA_MAO4_202504_20250502.txt"/>
    <x v="38"/>
    <x v="4"/>
    <n v="378"/>
    <n v="11119476"/>
    <n v="0"/>
    <s v="DQS_MAO04_FILE_000_B"/>
    <s v="RECORD COUNT by MBR_ID, DOS_THRU_DT, DX_CD Grain grouped by PAYER, SRC_FILE_NM, DOS_THRU_YYYYMM"/>
  </r>
  <r>
    <x v="0"/>
    <s v="AETNA_MAO4_202504_20250502.txt"/>
    <x v="39"/>
    <x v="4"/>
    <n v="411"/>
    <n v="11119476"/>
    <n v="0"/>
    <s v="DQS_MAO04_FILE_000_B"/>
    <s v="RECORD COUNT by MBR_ID, DOS_THRU_DT, DX_CD Grain grouped by PAYER, SRC_FILE_NM, DOS_THRU_YYYYMM"/>
  </r>
  <r>
    <x v="0"/>
    <s v="AETNA_MAO4_202504_20250502.txt"/>
    <x v="40"/>
    <x v="4"/>
    <n v="396"/>
    <n v="11119476"/>
    <n v="0"/>
    <s v="DQS_MAO04_FILE_000_B"/>
    <s v="RECORD COUNT by MBR_ID, DOS_THRU_DT, DX_CD Grain grouped by PAYER, SRC_FILE_NM, DOS_THRU_YYYYMM"/>
  </r>
  <r>
    <x v="0"/>
    <s v="AETNA_MAO4_202504_20250502.txt"/>
    <x v="41"/>
    <x v="5"/>
    <n v="23577"/>
    <n v="11119476"/>
    <n v="0.21"/>
    <s v="DQS_MAO04_FILE_000_B"/>
    <s v="RECORD COUNT by MBR_ID, DOS_THRU_DT, DX_CD Grain grouped by PAYER, SRC_FILE_NM, DOS_THRU_YYYYMM"/>
  </r>
  <r>
    <x v="0"/>
    <s v="AETNA_MAO4_202504_20250502.txt"/>
    <x v="42"/>
    <x v="5"/>
    <n v="21551"/>
    <n v="11119476"/>
    <n v="0.19"/>
    <s v="DQS_MAO04_FILE_000_B"/>
    <s v="RECORD COUNT by MBR_ID, DOS_THRU_DT, DX_CD Grain grouped by PAYER, SRC_FILE_NM, DOS_THRU_YYYYMM"/>
  </r>
  <r>
    <x v="0"/>
    <s v="AETNA_MAO4_202504_20250502.txt"/>
    <x v="43"/>
    <x v="5"/>
    <n v="18686"/>
    <n v="11119476"/>
    <n v="0.17"/>
    <s v="DQS_MAO04_FILE_000_B"/>
    <s v="RECORD COUNT by MBR_ID, DOS_THRU_DT, DX_CD Grain grouped by PAYER, SRC_FILE_NM, DOS_THRU_YYYYMM"/>
  </r>
  <r>
    <x v="0"/>
    <s v="AETNA_MAO4_202504_20250502.txt"/>
    <x v="44"/>
    <x v="5"/>
    <n v="9661"/>
    <n v="11119476"/>
    <n v="0.09"/>
    <s v="DQS_MAO04_FILE_000_B"/>
    <s v="RECORD COUNT by MBR_ID, DOS_THRU_DT, DX_CD Grain grouped by PAYER, SRC_FILE_NM, DOS_THRU_YYYYMM"/>
  </r>
  <r>
    <x v="0"/>
    <s v="AETNA_MAO4_202504_20250502.txt"/>
    <x v="45"/>
    <x v="5"/>
    <n v="18421"/>
    <n v="11119476"/>
    <n v="0.17"/>
    <s v="DQS_MAO04_FILE_000_B"/>
    <s v="RECORD COUNT by MBR_ID, DOS_THRU_DT, DX_CD Grain grouped by PAYER, SRC_FILE_NM, DOS_THRU_YYYYMM"/>
  </r>
  <r>
    <x v="0"/>
    <s v="AETNA_MAO4_202504_20250502.txt"/>
    <x v="46"/>
    <x v="5"/>
    <n v="24153"/>
    <n v="11119476"/>
    <n v="0.22"/>
    <s v="DQS_MAO04_FILE_000_B"/>
    <s v="RECORD COUNT by MBR_ID, DOS_THRU_DT, DX_CD Grain grouped by PAYER, SRC_FILE_NM, DOS_THRU_YYYYMM"/>
  </r>
  <r>
    <x v="0"/>
    <s v="AETNA_MAO4_202504_20250502.txt"/>
    <x v="47"/>
    <x v="5"/>
    <n v="16094"/>
    <n v="11119476"/>
    <n v="0.14000000000000001"/>
    <s v="DQS_MAO04_FILE_000_B"/>
    <s v="RECORD COUNT by MBR_ID, DOS_THRU_DT, DX_CD Grain grouped by PAYER, SRC_FILE_NM, DOS_THRU_YYYYMM"/>
  </r>
  <r>
    <x v="0"/>
    <s v="AETNA_MAO4_202504_20250502.txt"/>
    <x v="48"/>
    <x v="5"/>
    <n v="15517"/>
    <n v="11119476"/>
    <n v="0.14000000000000001"/>
    <s v="DQS_MAO04_FILE_000_B"/>
    <s v="RECORD COUNT by MBR_ID, DOS_THRU_DT, DX_CD Grain grouped by PAYER, SRC_FILE_NM, DOS_THRU_YYYYMM"/>
  </r>
  <r>
    <x v="0"/>
    <s v="AETNA_MAO4_202504_20250502.txt"/>
    <x v="49"/>
    <x v="5"/>
    <n v="17734"/>
    <n v="11119476"/>
    <n v="0.16"/>
    <s v="DQS_MAO04_FILE_000_B"/>
    <s v="RECORD COUNT by MBR_ID, DOS_THRU_DT, DX_CD Grain grouped by PAYER, SRC_FILE_NM, DOS_THRU_YYYYMM"/>
  </r>
  <r>
    <x v="0"/>
    <s v="AETNA_MAO4_202504_20250502.txt"/>
    <x v="50"/>
    <x v="5"/>
    <n v="17037"/>
    <n v="11119476"/>
    <n v="0.15"/>
    <s v="DQS_MAO04_FILE_000_B"/>
    <s v="RECORD COUNT by MBR_ID, DOS_THRU_DT, DX_CD Grain grouped by PAYER, SRC_FILE_NM, DOS_THRU_YYYYMM"/>
  </r>
  <r>
    <x v="0"/>
    <s v="AETNA_MAO4_202504_20250502.txt"/>
    <x v="51"/>
    <x v="5"/>
    <n v="14145"/>
    <n v="11119476"/>
    <n v="0.13"/>
    <s v="DQS_MAO04_FILE_000_B"/>
    <s v="RECORD COUNT by MBR_ID, DOS_THRU_DT, DX_CD Grain grouped by PAYER, SRC_FILE_NM, DOS_THRU_YYYYMM"/>
  </r>
  <r>
    <x v="0"/>
    <s v="AETNA_MAO4_202504_20250502.txt"/>
    <x v="52"/>
    <x v="5"/>
    <n v="14743"/>
    <n v="11119476"/>
    <n v="0.13"/>
    <s v="DQS_MAO04_FILE_000_B"/>
    <s v="RECORD COUNT by MBR_ID, DOS_THRU_DT, DX_CD Grain grouped by PAYER, SRC_FILE_NM, DOS_THRU_YYYYMM"/>
  </r>
  <r>
    <x v="0"/>
    <s v="AETNA_MAO4_202504_20250502.txt"/>
    <x v="53"/>
    <x v="6"/>
    <n v="41752"/>
    <n v="11119476"/>
    <n v="0.38"/>
    <s v="DQS_MAO04_FILE_000_B"/>
    <s v="RECORD COUNT by MBR_ID, DOS_THRU_DT, DX_CD Grain grouped by PAYER, SRC_FILE_NM, DOS_THRU_YYYYMM"/>
  </r>
  <r>
    <x v="0"/>
    <s v="AETNA_MAO4_202504_20250502.txt"/>
    <x v="54"/>
    <x v="6"/>
    <n v="31281"/>
    <n v="11119476"/>
    <n v="0.28000000000000003"/>
    <s v="DQS_MAO04_FILE_000_B"/>
    <s v="RECORD COUNT by MBR_ID, DOS_THRU_DT, DX_CD Grain grouped by PAYER, SRC_FILE_NM, DOS_THRU_YYYYMM"/>
  </r>
  <r>
    <x v="0"/>
    <s v="AETNA_MAO4_202504_20250502.txt"/>
    <x v="55"/>
    <x v="6"/>
    <n v="39376"/>
    <n v="11119476"/>
    <n v="0.35"/>
    <s v="DQS_MAO04_FILE_000_B"/>
    <s v="RECORD COUNT by MBR_ID, DOS_THRU_DT, DX_CD Grain grouped by PAYER, SRC_FILE_NM, DOS_THRU_YYYYMM"/>
  </r>
  <r>
    <x v="0"/>
    <s v="AETNA_MAO4_202504_20250502.txt"/>
    <x v="56"/>
    <x v="6"/>
    <n v="37117"/>
    <n v="11119476"/>
    <n v="0.33"/>
    <s v="DQS_MAO04_FILE_000_B"/>
    <s v="RECORD COUNT by MBR_ID, DOS_THRU_DT, DX_CD Grain grouped by PAYER, SRC_FILE_NM, DOS_THRU_YYYYMM"/>
  </r>
  <r>
    <x v="0"/>
    <s v="AETNA_MAO4_202504_20250502.txt"/>
    <x v="57"/>
    <x v="6"/>
    <n v="35208"/>
    <n v="11119476"/>
    <n v="0.32"/>
    <s v="DQS_MAO04_FILE_000_B"/>
    <s v="RECORD COUNT by MBR_ID, DOS_THRU_DT, DX_CD Grain grouped by PAYER, SRC_FILE_NM, DOS_THRU_YYYYMM"/>
  </r>
  <r>
    <x v="0"/>
    <s v="AETNA_MAO4_202504_20250502.txt"/>
    <x v="58"/>
    <x v="6"/>
    <n v="38684"/>
    <n v="11119476"/>
    <n v="0.35"/>
    <s v="DQS_MAO04_FILE_000_B"/>
    <s v="RECORD COUNT by MBR_ID, DOS_THRU_DT, DX_CD Grain grouped by PAYER, SRC_FILE_NM, DOS_THRU_YYYYMM"/>
  </r>
  <r>
    <x v="0"/>
    <s v="AETNA_MAO4_202504_20250502.txt"/>
    <x v="59"/>
    <x v="6"/>
    <n v="80806"/>
    <n v="11119476"/>
    <n v="0.73"/>
    <s v="DQS_MAO04_FILE_000_B"/>
    <s v="RECORD COUNT by MBR_ID, DOS_THRU_DT, DX_CD Grain grouped by PAYER, SRC_FILE_NM, DOS_THRU_YYYYMM"/>
  </r>
  <r>
    <x v="0"/>
    <s v="AETNA_MAO4_202504_20250502.txt"/>
    <x v="60"/>
    <x v="6"/>
    <n v="83491"/>
    <n v="11119476"/>
    <n v="0.75"/>
    <s v="DQS_MAO04_FILE_000_B"/>
    <s v="RECORD COUNT by MBR_ID, DOS_THRU_DT, DX_CD Grain grouped by PAYER, SRC_FILE_NM, DOS_THRU_YYYYMM"/>
  </r>
  <r>
    <x v="0"/>
    <s v="AETNA_MAO4_202504_20250502.txt"/>
    <x v="61"/>
    <x v="6"/>
    <n v="89848"/>
    <n v="11119476"/>
    <n v="0.81"/>
    <s v="DQS_MAO04_FILE_000_B"/>
    <s v="RECORD COUNT by MBR_ID, DOS_THRU_DT, DX_CD Grain grouped by PAYER, SRC_FILE_NM, DOS_THRU_YYYYMM"/>
  </r>
  <r>
    <x v="0"/>
    <s v="AETNA_MAO4_202504_20250502.txt"/>
    <x v="62"/>
    <x v="6"/>
    <n v="86568"/>
    <n v="11119476"/>
    <n v="0.78"/>
    <s v="DQS_MAO04_FILE_000_B"/>
    <s v="RECORD COUNT by MBR_ID, DOS_THRU_DT, DX_CD Grain grouped by PAYER, SRC_FILE_NM, DOS_THRU_YYYYMM"/>
  </r>
  <r>
    <x v="0"/>
    <s v="AETNA_MAO4_202504_20250502.txt"/>
    <x v="63"/>
    <x v="6"/>
    <n v="90206"/>
    <n v="11119476"/>
    <n v="0.81"/>
    <s v="DQS_MAO04_FILE_000_B"/>
    <s v="RECORD COUNT by MBR_ID, DOS_THRU_DT, DX_CD Grain grouped by PAYER, SRC_FILE_NM, DOS_THRU_YYYYMM"/>
  </r>
  <r>
    <x v="0"/>
    <s v="AETNA_MAO4_202504_20250502.txt"/>
    <x v="64"/>
    <x v="6"/>
    <n v="98363"/>
    <n v="11119476"/>
    <n v="0.88"/>
    <s v="DQS_MAO04_FILE_000_B"/>
    <s v="RECORD COUNT by MBR_ID, DOS_THRU_DT, DX_CD Grain grouped by PAYER, SRC_FILE_NM, DOS_THRU_YYYYMM"/>
  </r>
  <r>
    <x v="0"/>
    <s v="AETNA_MAO4_202504_20250502.txt"/>
    <x v="65"/>
    <x v="7"/>
    <n v="74900"/>
    <n v="11119476"/>
    <n v="0.67"/>
    <s v="DQS_MAO04_FILE_000_B"/>
    <s v="RECORD COUNT by MBR_ID, DOS_THRU_DT, DX_CD Grain grouped by PAYER, SRC_FILE_NM, DOS_THRU_YYYYMM"/>
  </r>
  <r>
    <x v="0"/>
    <s v="AETNA_MAO4_202504_20250502.txt"/>
    <x v="66"/>
    <x v="7"/>
    <n v="59861"/>
    <n v="11119476"/>
    <n v="0.54"/>
    <s v="DQS_MAO04_FILE_000_B"/>
    <s v="RECORD COUNT by MBR_ID, DOS_THRU_DT, DX_CD Grain grouped by PAYER, SRC_FILE_NM, DOS_THRU_YYYYMM"/>
  </r>
  <r>
    <x v="0"/>
    <s v="AETNA_MAO4_202504_20250502.txt"/>
    <x v="67"/>
    <x v="7"/>
    <n v="75344"/>
    <n v="11119476"/>
    <n v="0.68"/>
    <s v="DQS_MAO04_FILE_000_B"/>
    <s v="RECORD COUNT by MBR_ID, DOS_THRU_DT, DX_CD Grain grouped by PAYER, SRC_FILE_NM, DOS_THRU_YYYYMM"/>
  </r>
  <r>
    <x v="0"/>
    <s v="AETNA_MAO4_202504_20250502.txt"/>
    <x v="68"/>
    <x v="7"/>
    <n v="87972"/>
    <n v="11119476"/>
    <n v="0.79"/>
    <s v="DQS_MAO04_FILE_000_B"/>
    <s v="RECORD COUNT by MBR_ID, DOS_THRU_DT, DX_CD Grain grouped by PAYER, SRC_FILE_NM, DOS_THRU_YYYYMM"/>
  </r>
  <r>
    <x v="0"/>
    <s v="AETNA_MAO4_202504_20250502.txt"/>
    <x v="69"/>
    <x v="7"/>
    <n v="173489"/>
    <n v="11119476"/>
    <n v="1.56"/>
    <s v="DQS_MAO04_FILE_000_B"/>
    <s v="RECORD COUNT by MBR_ID, DOS_THRU_DT, DX_CD Grain grouped by PAYER, SRC_FILE_NM, DOS_THRU_YYYYMM"/>
  </r>
  <r>
    <x v="0"/>
    <s v="AETNA_MAO4_202504_20250502.txt"/>
    <x v="70"/>
    <x v="7"/>
    <n v="185656"/>
    <n v="11119476"/>
    <n v="1.67"/>
    <s v="DQS_MAO04_FILE_000_B"/>
    <s v="RECORD COUNT by MBR_ID, DOS_THRU_DT, DX_CD Grain grouped by PAYER, SRC_FILE_NM, DOS_THRU_YYYYMM"/>
  </r>
  <r>
    <x v="0"/>
    <s v="AETNA_MAO4_202504_20250502.txt"/>
    <x v="71"/>
    <x v="7"/>
    <n v="174208"/>
    <n v="11119476"/>
    <n v="1.57"/>
    <s v="DQS_MAO04_FILE_000_B"/>
    <s v="RECORD COUNT by MBR_ID, DOS_THRU_DT, DX_CD Grain grouped by PAYER, SRC_FILE_NM, DOS_THRU_YYYYMM"/>
  </r>
  <r>
    <x v="0"/>
    <s v="AETNA_MAO4_202504_20250502.txt"/>
    <x v="72"/>
    <x v="7"/>
    <n v="192292"/>
    <n v="11119476"/>
    <n v="1.73"/>
    <s v="DQS_MAO04_FILE_000_B"/>
    <s v="RECORD COUNT by MBR_ID, DOS_THRU_DT, DX_CD Grain grouped by PAYER, SRC_FILE_NM, DOS_THRU_YYYYMM"/>
  </r>
  <r>
    <x v="0"/>
    <s v="AETNA_MAO4_202504_20250502.txt"/>
    <x v="73"/>
    <x v="7"/>
    <n v="179232"/>
    <n v="11119476"/>
    <n v="1.61"/>
    <s v="DQS_MAO04_FILE_000_B"/>
    <s v="RECORD COUNT by MBR_ID, DOS_THRU_DT, DX_CD Grain grouped by PAYER, SRC_FILE_NM, DOS_THRU_YYYYMM"/>
  </r>
  <r>
    <x v="0"/>
    <s v="AETNA_MAO4_202504_20250502.txt"/>
    <x v="74"/>
    <x v="7"/>
    <n v="182208"/>
    <n v="11119476"/>
    <n v="1.64"/>
    <s v="DQS_MAO04_FILE_000_B"/>
    <s v="RECORD COUNT by MBR_ID, DOS_THRU_DT, DX_CD Grain grouped by PAYER, SRC_FILE_NM, DOS_THRU_YYYYMM"/>
  </r>
  <r>
    <x v="0"/>
    <s v="AETNA_MAO4_202504_20250502.txt"/>
    <x v="75"/>
    <x v="7"/>
    <n v="179707"/>
    <n v="11119476"/>
    <n v="1.62"/>
    <s v="DQS_MAO04_FILE_000_B"/>
    <s v="RECORD COUNT by MBR_ID, DOS_THRU_DT, DX_CD Grain grouped by PAYER, SRC_FILE_NM, DOS_THRU_YYYYMM"/>
  </r>
  <r>
    <x v="0"/>
    <s v="AETNA_MAO4_202504_20250502.txt"/>
    <x v="76"/>
    <x v="7"/>
    <n v="169837"/>
    <n v="11119476"/>
    <n v="1.53"/>
    <s v="DQS_MAO04_FILE_000_B"/>
    <s v="RECORD COUNT by MBR_ID, DOS_THRU_DT, DX_CD Grain grouped by PAYER, SRC_FILE_NM, DOS_THRU_YYYYMM"/>
  </r>
  <r>
    <x v="0"/>
    <s v="AETNA_MAO4_202504_20250502.txt"/>
    <x v="77"/>
    <x v="8"/>
    <n v="232226"/>
    <n v="11119476"/>
    <n v="2.09"/>
    <s v="DQS_MAO04_FILE_000_B"/>
    <s v="RECORD COUNT by MBR_ID, DOS_THRU_DT, DX_CD Grain grouped by PAYER, SRC_FILE_NM, DOS_THRU_YYYYMM"/>
  </r>
  <r>
    <x v="0"/>
    <s v="AETNA_MAO4_202504_20250502.txt"/>
    <x v="78"/>
    <x v="8"/>
    <n v="226684"/>
    <n v="11119476"/>
    <n v="2.04"/>
    <s v="DQS_MAO04_FILE_000_B"/>
    <s v="RECORD COUNT by MBR_ID, DOS_THRU_DT, DX_CD Grain grouped by PAYER, SRC_FILE_NM, DOS_THRU_YYYYMM"/>
  </r>
  <r>
    <x v="0"/>
    <s v="AETNA_MAO4_202504_20250502.txt"/>
    <x v="79"/>
    <x v="8"/>
    <n v="251026"/>
    <n v="11119476"/>
    <n v="2.2599999999999998"/>
    <s v="DQS_MAO04_FILE_000_B"/>
    <s v="RECORD COUNT by MBR_ID, DOS_THRU_DT, DX_CD Grain grouped by PAYER, SRC_FILE_NM, DOS_THRU_YYYYMM"/>
  </r>
  <r>
    <x v="0"/>
    <s v="AETNA_MAO4_202504_20250502.txt"/>
    <x v="80"/>
    <x v="8"/>
    <n v="227634"/>
    <n v="11119476"/>
    <n v="2.0499999999999998"/>
    <s v="DQS_MAO04_FILE_000_B"/>
    <s v="RECORD COUNT by MBR_ID, DOS_THRU_DT, DX_CD Grain grouped by PAYER, SRC_FILE_NM, DOS_THRU_YYYYMM"/>
  </r>
  <r>
    <x v="0"/>
    <s v="AETNA_MAO4_202504_20250502.txt"/>
    <x v="81"/>
    <x v="8"/>
    <n v="241213"/>
    <n v="11119476"/>
    <n v="2.17"/>
    <s v="DQS_MAO04_FILE_000_B"/>
    <s v="RECORD COUNT by MBR_ID, DOS_THRU_DT, DX_CD Grain grouped by PAYER, SRC_FILE_NM, DOS_THRU_YYYYMM"/>
  </r>
  <r>
    <x v="0"/>
    <s v="AETNA_MAO4_202504_20250502.txt"/>
    <x v="82"/>
    <x v="8"/>
    <n v="234158"/>
    <n v="11119476"/>
    <n v="2.11"/>
    <s v="DQS_MAO04_FILE_000_B"/>
    <s v="RECORD COUNT by MBR_ID, DOS_THRU_DT, DX_CD Grain grouped by PAYER, SRC_FILE_NM, DOS_THRU_YYYYMM"/>
  </r>
  <r>
    <x v="0"/>
    <s v="AETNA_MAO4_202504_20250502.txt"/>
    <x v="83"/>
    <x v="8"/>
    <n v="218140"/>
    <n v="11119476"/>
    <n v="1.96"/>
    <s v="DQS_MAO04_FILE_000_B"/>
    <s v="RECORD COUNT by MBR_ID, DOS_THRU_DT, DX_CD Grain grouped by PAYER, SRC_FILE_NM, DOS_THRU_YYYYMM"/>
  </r>
  <r>
    <x v="0"/>
    <s v="AETNA_MAO4_202504_20250502.txt"/>
    <x v="84"/>
    <x v="8"/>
    <n v="249670"/>
    <n v="11119476"/>
    <n v="2.25"/>
    <s v="DQS_MAO04_FILE_000_B"/>
    <s v="RECORD COUNT by MBR_ID, DOS_THRU_DT, DX_CD Grain grouped by PAYER, SRC_FILE_NM, DOS_THRU_YYYYMM"/>
  </r>
  <r>
    <x v="0"/>
    <s v="AETNA_MAO4_202504_20250502.txt"/>
    <x v="85"/>
    <x v="8"/>
    <n v="233511"/>
    <n v="11119476"/>
    <n v="2.1"/>
    <s v="DQS_MAO04_FILE_000_B"/>
    <s v="RECORD COUNT by MBR_ID, DOS_THRU_DT, DX_CD Grain grouped by PAYER, SRC_FILE_NM, DOS_THRU_YYYYMM"/>
  </r>
  <r>
    <x v="0"/>
    <s v="AETNA_MAO4_202504_20250502.txt"/>
    <x v="86"/>
    <x v="8"/>
    <n v="255451"/>
    <n v="11119476"/>
    <n v="2.2999999999999998"/>
    <s v="DQS_MAO04_FILE_000_B"/>
    <s v="RECORD COUNT by MBR_ID, DOS_THRU_DT, DX_CD Grain grouped by PAYER, SRC_FILE_NM, DOS_THRU_YYYYMM"/>
  </r>
  <r>
    <x v="0"/>
    <s v="AETNA_MAO4_202504_20250502.txt"/>
    <x v="87"/>
    <x v="8"/>
    <n v="240036"/>
    <n v="11119476"/>
    <n v="2.16"/>
    <s v="DQS_MAO04_FILE_000_B"/>
    <s v="RECORD COUNT by MBR_ID, DOS_THRU_DT, DX_CD Grain grouped by PAYER, SRC_FILE_NM, DOS_THRU_YYYYMM"/>
  </r>
  <r>
    <x v="0"/>
    <s v="AETNA_MAO4_202504_20250502.txt"/>
    <x v="88"/>
    <x v="8"/>
    <n v="226667"/>
    <n v="11119476"/>
    <n v="2.04"/>
    <s v="DQS_MAO04_FILE_000_B"/>
    <s v="RECORD COUNT by MBR_ID, DOS_THRU_DT, DX_CD Grain grouped by PAYER, SRC_FILE_NM, DOS_THRU_YYYYMM"/>
  </r>
  <r>
    <x v="0"/>
    <s v="AETNA_MAO4_202504_20250502.txt"/>
    <x v="89"/>
    <x v="9"/>
    <n v="370734"/>
    <n v="11119476"/>
    <n v="3.33"/>
    <s v="DQS_MAO04_FILE_000_B"/>
    <s v="RECORD COUNT by MBR_ID, DOS_THRU_DT, DX_CD Grain grouped by PAYER, SRC_FILE_NM, DOS_THRU_YYYYMM"/>
  </r>
  <r>
    <x v="0"/>
    <s v="AETNA_MAO4_202504_20250502.txt"/>
    <x v="97"/>
    <x v="9"/>
    <n v="404268"/>
    <n v="11119476"/>
    <n v="3.64"/>
    <s v="DQS_MAO04_FILE_000_B"/>
    <s v="RECORD COUNT by MBR_ID, DOS_THRU_DT, DX_CD Grain grouped by PAYER, SRC_FILE_NM, DOS_THRU_YYYYMM"/>
  </r>
  <r>
    <x v="0"/>
    <s v="AETNA_MAO4_202504_20250502.txt"/>
    <x v="98"/>
    <x v="9"/>
    <n v="409555"/>
    <n v="11119476"/>
    <n v="3.68"/>
    <s v="DQS_MAO04_FILE_000_B"/>
    <s v="RECORD COUNT by MBR_ID, DOS_THRU_DT, DX_CD Grain grouped by PAYER, SRC_FILE_NM, DOS_THRU_YYYYMM"/>
  </r>
  <r>
    <x v="0"/>
    <s v="AETNA_MAO4_202504_20250502.txt"/>
    <x v="99"/>
    <x v="9"/>
    <n v="436796"/>
    <n v="11119476"/>
    <n v="3.93"/>
    <s v="DQS_MAO04_FILE_000_B"/>
    <s v="RECORD COUNT by MBR_ID, DOS_THRU_DT, DX_CD Grain grouped by PAYER, SRC_FILE_NM, DOS_THRU_YYYYMM"/>
  </r>
  <r>
    <x v="0"/>
    <s v="AETNA_MAO4_202504_20250502.txt"/>
    <x v="100"/>
    <x v="9"/>
    <n v="399422"/>
    <n v="11119476"/>
    <n v="3.59"/>
    <s v="DQS_MAO04_FILE_000_B"/>
    <s v="RECORD COUNT by MBR_ID, DOS_THRU_DT, DX_CD Grain grouped by PAYER, SRC_FILE_NM, DOS_THRU_YYYYMM"/>
  </r>
  <r>
    <x v="0"/>
    <s v="AETNA_MAO4_202504_20250502.txt"/>
    <x v="102"/>
    <x v="9"/>
    <n v="347698"/>
    <n v="11119476"/>
    <n v="3.13"/>
    <s v="DQS_MAO04_FILE_000_B"/>
    <s v="RECORD COUNT by MBR_ID, DOS_THRU_DT, DX_CD Grain grouped by PAYER, SRC_FILE_NM, DOS_THRU_YYYYMM"/>
  </r>
  <r>
    <x v="0"/>
    <s v="AETNA_MAO4_202504_20250502.txt"/>
    <x v="103"/>
    <x v="9"/>
    <n v="365814"/>
    <n v="11119476"/>
    <n v="3.29"/>
    <s v="DQS_MAO04_FILE_000_B"/>
    <s v="RECORD COUNT by MBR_ID, DOS_THRU_DT, DX_CD Grain grouped by PAYER, SRC_FILE_NM, DOS_THRU_YYYYMM"/>
  </r>
  <r>
    <x v="0"/>
    <s v="AETNA_MAO4_202504_20250502.txt"/>
    <x v="105"/>
    <x v="9"/>
    <n v="372442"/>
    <n v="11119476"/>
    <n v="3.35"/>
    <s v="DQS_MAO04_FILE_000_B"/>
    <s v="RECORD COUNT by MBR_ID, DOS_THRU_DT, DX_CD Grain grouped by PAYER, SRC_FILE_NM, DOS_THRU_YYYYMM"/>
  </r>
  <r>
    <x v="0"/>
    <s v="AETNA_MAO4_202504_20250502.txt"/>
    <x v="106"/>
    <x v="9"/>
    <n v="387846"/>
    <n v="11119476"/>
    <n v="3.49"/>
    <s v="DQS_MAO04_FILE_000_B"/>
    <s v="RECORD COUNT by MBR_ID, DOS_THRU_DT, DX_CD Grain grouped by PAYER, SRC_FILE_NM, DOS_THRU_YYYYMM"/>
  </r>
  <r>
    <x v="0"/>
    <s v="AETNA_MAO4_202504_20250502.txt"/>
    <x v="107"/>
    <x v="9"/>
    <n v="500160"/>
    <n v="11119476"/>
    <n v="4.5"/>
    <s v="DQS_MAO04_FILE_000_B"/>
    <s v="RECORD COUNT by MBR_ID, DOS_THRU_DT, DX_CD Grain grouped by PAYER, SRC_FILE_NM, DOS_THRU_YYYYMM"/>
  </r>
  <r>
    <x v="0"/>
    <s v="AETNA_MAO4_202504_20250502.txt"/>
    <x v="108"/>
    <x v="9"/>
    <n v="446782"/>
    <n v="11119476"/>
    <n v="4.0199999999999996"/>
    <s v="DQS_MAO04_FILE_000_B"/>
    <s v="RECORD COUNT by MBR_ID, DOS_THRU_DT, DX_CD Grain grouped by PAYER, SRC_FILE_NM, DOS_THRU_YYYYMM"/>
  </r>
  <r>
    <x v="0"/>
    <s v="AETNA_MAO4_202504_20250502.txt"/>
    <x v="109"/>
    <x v="9"/>
    <n v="446142"/>
    <n v="11119476"/>
    <n v="4.01"/>
    <s v="DQS_MAO04_FILE_000_B"/>
    <s v="RECORD COUNT by MBR_ID, DOS_THRU_DT, DX_CD Grain grouped by PAYER, SRC_FILE_NM, DOS_THRU_YYYYMM"/>
  </r>
  <r>
    <x v="0"/>
    <s v="AETNA_MAO4_202504_20250502.txt"/>
    <x v="110"/>
    <x v="11"/>
    <n v="380046"/>
    <n v="11119476"/>
    <n v="3.42"/>
    <s v="DQS_MAO04_FILE_000_B"/>
    <s v="RECORD COUNT by MBR_ID, DOS_THRU_DT, DX_CD Grain grouped by PAYER, SRC_FILE_NM, DOS_THRU_YYYYMM"/>
  </r>
  <r>
    <x v="0"/>
    <s v="AETNA_MAO4_202504_20250502.txt"/>
    <x v="111"/>
    <x v="11"/>
    <n v="290236"/>
    <n v="11119476"/>
    <n v="2.61"/>
    <s v="DQS_MAO04_FILE_000_B"/>
    <s v="RECORD COUNT by MBR_ID, DOS_THRU_DT, DX_CD Grain grouped by PAYER, SRC_FILE_NM, DOS_THRU_YYYYMM"/>
  </r>
  <r>
    <x v="0"/>
    <s v="AETNA_MAO4_202504_20250502.txt"/>
    <x v="112"/>
    <x v="11"/>
    <n v="21381"/>
    <n v="11119476"/>
    <n v="0.19"/>
    <s v="DQS_MAO04_FILE_000_B"/>
    <s v="RECORD COUNT by MBR_ID, DOS_THRU_DT, DX_CD Grain grouped by PAYER, SRC_FILE_NM, DOS_THRU_YYYYMM"/>
  </r>
  <r>
    <x v="0"/>
    <s v="AETNA_MAO4_202505_20250602.txt"/>
    <x v="23"/>
    <x v="3"/>
    <n v="6"/>
    <n v="11807451"/>
    <n v="0"/>
    <s v="DQS_MAO04_FILE_000_B"/>
    <s v="RECORD COUNT by MBR_ID, DOS_THRU_DT, DX_CD Grain grouped by PAYER, SRC_FILE_NM, DOS_THRU_YYYYMM"/>
  </r>
  <r>
    <x v="0"/>
    <s v="AETNA_MAO4_202505_20250602.txt"/>
    <x v="24"/>
    <x v="3"/>
    <n v="17"/>
    <n v="11807451"/>
    <n v="0"/>
    <s v="DQS_MAO04_FILE_000_B"/>
    <s v="RECORD COUNT by MBR_ID, DOS_THRU_DT, DX_CD Grain grouped by PAYER, SRC_FILE_NM, DOS_THRU_YYYYMM"/>
  </r>
  <r>
    <x v="0"/>
    <s v="AETNA_MAO4_202505_20250602.txt"/>
    <x v="29"/>
    <x v="4"/>
    <n v="418"/>
    <n v="11807451"/>
    <n v="0"/>
    <s v="DQS_MAO04_FILE_000_B"/>
    <s v="RECORD COUNT by MBR_ID, DOS_THRU_DT, DX_CD Grain grouped by PAYER, SRC_FILE_NM, DOS_THRU_YYYYMM"/>
  </r>
  <r>
    <x v="0"/>
    <s v="AETNA_MAO4_202505_20250602.txt"/>
    <x v="30"/>
    <x v="4"/>
    <n v="304"/>
    <n v="11807451"/>
    <n v="0"/>
    <s v="DQS_MAO04_FILE_000_B"/>
    <s v="RECORD COUNT by MBR_ID, DOS_THRU_DT, DX_CD Grain grouped by PAYER, SRC_FILE_NM, DOS_THRU_YYYYMM"/>
  </r>
  <r>
    <x v="0"/>
    <s v="AETNA_MAO4_202505_20250602.txt"/>
    <x v="31"/>
    <x v="4"/>
    <n v="423"/>
    <n v="11807451"/>
    <n v="0"/>
    <s v="DQS_MAO04_FILE_000_B"/>
    <s v="RECORD COUNT by MBR_ID, DOS_THRU_DT, DX_CD Grain grouped by PAYER, SRC_FILE_NM, DOS_THRU_YYYYMM"/>
  </r>
  <r>
    <x v="0"/>
    <s v="AETNA_MAO4_202505_20250602.txt"/>
    <x v="32"/>
    <x v="4"/>
    <n v="532"/>
    <n v="11807451"/>
    <n v="0"/>
    <s v="DQS_MAO04_FILE_000_B"/>
    <s v="RECORD COUNT by MBR_ID, DOS_THRU_DT, DX_CD Grain grouped by PAYER, SRC_FILE_NM, DOS_THRU_YYYYMM"/>
  </r>
  <r>
    <x v="0"/>
    <s v="AETNA_MAO4_202505_20250602.txt"/>
    <x v="33"/>
    <x v="4"/>
    <n v="381"/>
    <n v="11807451"/>
    <n v="0"/>
    <s v="DQS_MAO04_FILE_000_B"/>
    <s v="RECORD COUNT by MBR_ID, DOS_THRU_DT, DX_CD Grain grouped by PAYER, SRC_FILE_NM, DOS_THRU_YYYYMM"/>
  </r>
  <r>
    <x v="0"/>
    <s v="AETNA_MAO4_202505_20250602.txt"/>
    <x v="34"/>
    <x v="4"/>
    <n v="497"/>
    <n v="11807451"/>
    <n v="0"/>
    <s v="DQS_MAO04_FILE_000_B"/>
    <s v="RECORD COUNT by MBR_ID, DOS_THRU_DT, DX_CD Grain grouped by PAYER, SRC_FILE_NM, DOS_THRU_YYYYMM"/>
  </r>
  <r>
    <x v="0"/>
    <s v="AETNA_MAO4_202505_20250602.txt"/>
    <x v="35"/>
    <x v="4"/>
    <n v="422"/>
    <n v="11807451"/>
    <n v="0"/>
    <s v="DQS_MAO04_FILE_000_B"/>
    <s v="RECORD COUNT by MBR_ID, DOS_THRU_DT, DX_CD Grain grouped by PAYER, SRC_FILE_NM, DOS_THRU_YYYYMM"/>
  </r>
  <r>
    <x v="0"/>
    <s v="AETNA_MAO4_202505_20250602.txt"/>
    <x v="36"/>
    <x v="4"/>
    <n v="459"/>
    <n v="11807451"/>
    <n v="0"/>
    <s v="DQS_MAO04_FILE_000_B"/>
    <s v="RECORD COUNT by MBR_ID, DOS_THRU_DT, DX_CD Grain grouped by PAYER, SRC_FILE_NM, DOS_THRU_YYYYMM"/>
  </r>
  <r>
    <x v="0"/>
    <s v="AETNA_MAO4_202505_20250602.txt"/>
    <x v="37"/>
    <x v="4"/>
    <n v="285"/>
    <n v="11807451"/>
    <n v="0"/>
    <s v="DQS_MAO04_FILE_000_B"/>
    <s v="RECORD COUNT by MBR_ID, DOS_THRU_DT, DX_CD Grain grouped by PAYER, SRC_FILE_NM, DOS_THRU_YYYYMM"/>
  </r>
  <r>
    <x v="0"/>
    <s v="AETNA_MAO4_202505_20250602.txt"/>
    <x v="38"/>
    <x v="4"/>
    <n v="378"/>
    <n v="11807451"/>
    <n v="0"/>
    <s v="DQS_MAO04_FILE_000_B"/>
    <s v="RECORD COUNT by MBR_ID, DOS_THRU_DT, DX_CD Grain grouped by PAYER, SRC_FILE_NM, DOS_THRU_YYYYMM"/>
  </r>
  <r>
    <x v="0"/>
    <s v="AETNA_MAO4_202505_20250602.txt"/>
    <x v="39"/>
    <x v="4"/>
    <n v="401"/>
    <n v="11807451"/>
    <n v="0"/>
    <s v="DQS_MAO04_FILE_000_B"/>
    <s v="RECORD COUNT by MBR_ID, DOS_THRU_DT, DX_CD Grain grouped by PAYER, SRC_FILE_NM, DOS_THRU_YYYYMM"/>
  </r>
  <r>
    <x v="0"/>
    <s v="AETNA_MAO4_202505_20250602.txt"/>
    <x v="40"/>
    <x v="4"/>
    <n v="384"/>
    <n v="11807451"/>
    <n v="0"/>
    <s v="DQS_MAO04_FILE_000_B"/>
    <s v="RECORD COUNT by MBR_ID, DOS_THRU_DT, DX_CD Grain grouped by PAYER, SRC_FILE_NM, DOS_THRU_YYYYMM"/>
  </r>
  <r>
    <x v="0"/>
    <s v="AETNA_MAO4_202505_20250602.txt"/>
    <x v="41"/>
    <x v="5"/>
    <n v="21544"/>
    <n v="11807451"/>
    <n v="0.18"/>
    <s v="DQS_MAO04_FILE_000_B"/>
    <s v="RECORD COUNT by MBR_ID, DOS_THRU_DT, DX_CD Grain grouped by PAYER, SRC_FILE_NM, DOS_THRU_YYYYMM"/>
  </r>
  <r>
    <x v="0"/>
    <s v="AETNA_MAO4_202505_20250602.txt"/>
    <x v="42"/>
    <x v="5"/>
    <n v="19668"/>
    <n v="11807451"/>
    <n v="0.17"/>
    <s v="DQS_MAO04_FILE_000_B"/>
    <s v="RECORD COUNT by MBR_ID, DOS_THRU_DT, DX_CD Grain grouped by PAYER, SRC_FILE_NM, DOS_THRU_YYYYMM"/>
  </r>
  <r>
    <x v="0"/>
    <s v="AETNA_MAO4_202505_20250602.txt"/>
    <x v="43"/>
    <x v="5"/>
    <n v="16953"/>
    <n v="11807451"/>
    <n v="0.14000000000000001"/>
    <s v="DQS_MAO04_FILE_000_B"/>
    <s v="RECORD COUNT by MBR_ID, DOS_THRU_DT, DX_CD Grain grouped by PAYER, SRC_FILE_NM, DOS_THRU_YYYYMM"/>
  </r>
  <r>
    <x v="0"/>
    <s v="AETNA_MAO4_202505_20250602.txt"/>
    <x v="44"/>
    <x v="5"/>
    <n v="8296"/>
    <n v="11807451"/>
    <n v="7.0000000000000007E-2"/>
    <s v="DQS_MAO04_FILE_000_B"/>
    <s v="RECORD COUNT by MBR_ID, DOS_THRU_DT, DX_CD Grain grouped by PAYER, SRC_FILE_NM, DOS_THRU_YYYYMM"/>
  </r>
  <r>
    <x v="0"/>
    <s v="AETNA_MAO4_202505_20250602.txt"/>
    <x v="45"/>
    <x v="5"/>
    <n v="16558"/>
    <n v="11807451"/>
    <n v="0.14000000000000001"/>
    <s v="DQS_MAO04_FILE_000_B"/>
    <s v="RECORD COUNT by MBR_ID, DOS_THRU_DT, DX_CD Grain grouped by PAYER, SRC_FILE_NM, DOS_THRU_YYYYMM"/>
  </r>
  <r>
    <x v="0"/>
    <s v="AETNA_MAO4_202505_20250602.txt"/>
    <x v="46"/>
    <x v="5"/>
    <n v="21991"/>
    <n v="11807451"/>
    <n v="0.19"/>
    <s v="DQS_MAO04_FILE_000_B"/>
    <s v="RECORD COUNT by MBR_ID, DOS_THRU_DT, DX_CD Grain grouped by PAYER, SRC_FILE_NM, DOS_THRU_YYYYMM"/>
  </r>
  <r>
    <x v="0"/>
    <s v="AETNA_MAO4_202505_20250602.txt"/>
    <x v="47"/>
    <x v="5"/>
    <n v="13865"/>
    <n v="11807451"/>
    <n v="0.12"/>
    <s v="DQS_MAO04_FILE_000_B"/>
    <s v="RECORD COUNT by MBR_ID, DOS_THRU_DT, DX_CD Grain grouped by PAYER, SRC_FILE_NM, DOS_THRU_YYYYMM"/>
  </r>
  <r>
    <x v="0"/>
    <s v="AETNA_MAO4_202505_20250602.txt"/>
    <x v="48"/>
    <x v="5"/>
    <n v="12893"/>
    <n v="11807451"/>
    <n v="0.11"/>
    <s v="DQS_MAO04_FILE_000_B"/>
    <s v="RECORD COUNT by MBR_ID, DOS_THRU_DT, DX_CD Grain grouped by PAYER, SRC_FILE_NM, DOS_THRU_YYYYMM"/>
  </r>
  <r>
    <x v="0"/>
    <s v="AETNA_MAO4_202505_20250602.txt"/>
    <x v="49"/>
    <x v="5"/>
    <n v="14887"/>
    <n v="11807451"/>
    <n v="0.13"/>
    <s v="DQS_MAO04_FILE_000_B"/>
    <s v="RECORD COUNT by MBR_ID, DOS_THRU_DT, DX_CD Grain grouped by PAYER, SRC_FILE_NM, DOS_THRU_YYYYMM"/>
  </r>
  <r>
    <x v="0"/>
    <s v="AETNA_MAO4_202505_20250602.txt"/>
    <x v="50"/>
    <x v="5"/>
    <n v="14110"/>
    <n v="11807451"/>
    <n v="0.12"/>
    <s v="DQS_MAO04_FILE_000_B"/>
    <s v="RECORD COUNT by MBR_ID, DOS_THRU_DT, DX_CD Grain grouped by PAYER, SRC_FILE_NM, DOS_THRU_YYYYMM"/>
  </r>
  <r>
    <x v="0"/>
    <s v="AETNA_MAO4_202505_20250602.txt"/>
    <x v="51"/>
    <x v="5"/>
    <n v="11742"/>
    <n v="11807451"/>
    <n v="0.1"/>
    <s v="DQS_MAO04_FILE_000_B"/>
    <s v="RECORD COUNT by MBR_ID, DOS_THRU_DT, DX_CD Grain grouped by PAYER, SRC_FILE_NM, DOS_THRU_YYYYMM"/>
  </r>
  <r>
    <x v="0"/>
    <s v="AETNA_MAO4_202505_20250602.txt"/>
    <x v="52"/>
    <x v="5"/>
    <n v="11773"/>
    <n v="11807451"/>
    <n v="0.1"/>
    <s v="DQS_MAO04_FILE_000_B"/>
    <s v="RECORD COUNT by MBR_ID, DOS_THRU_DT, DX_CD Grain grouped by PAYER, SRC_FILE_NM, DOS_THRU_YYYYMM"/>
  </r>
  <r>
    <x v="0"/>
    <s v="AETNA_MAO4_202505_20250602.txt"/>
    <x v="53"/>
    <x v="6"/>
    <n v="39001"/>
    <n v="11807451"/>
    <n v="0.33"/>
    <s v="DQS_MAO04_FILE_000_B"/>
    <s v="RECORD COUNT by MBR_ID, DOS_THRU_DT, DX_CD Grain grouped by PAYER, SRC_FILE_NM, DOS_THRU_YYYYMM"/>
  </r>
  <r>
    <x v="0"/>
    <s v="AETNA_MAO4_202505_20250602.txt"/>
    <x v="54"/>
    <x v="6"/>
    <n v="28780"/>
    <n v="11807451"/>
    <n v="0.24"/>
    <s v="DQS_MAO04_FILE_000_B"/>
    <s v="RECORD COUNT by MBR_ID, DOS_THRU_DT, DX_CD Grain grouped by PAYER, SRC_FILE_NM, DOS_THRU_YYYYMM"/>
  </r>
  <r>
    <x v="0"/>
    <s v="AETNA_MAO4_202505_20250602.txt"/>
    <x v="55"/>
    <x v="6"/>
    <n v="35934"/>
    <n v="11807451"/>
    <n v="0.3"/>
    <s v="DQS_MAO04_FILE_000_B"/>
    <s v="RECORD COUNT by MBR_ID, DOS_THRU_DT, DX_CD Grain grouped by PAYER, SRC_FILE_NM, DOS_THRU_YYYYMM"/>
  </r>
  <r>
    <x v="0"/>
    <s v="AETNA_MAO4_202505_20250602.txt"/>
    <x v="56"/>
    <x v="6"/>
    <n v="33683"/>
    <n v="11807451"/>
    <n v="0.28999999999999998"/>
    <s v="DQS_MAO04_FILE_000_B"/>
    <s v="RECORD COUNT by MBR_ID, DOS_THRU_DT, DX_CD Grain grouped by PAYER, SRC_FILE_NM, DOS_THRU_YYYYMM"/>
  </r>
  <r>
    <x v="0"/>
    <s v="AETNA_MAO4_202505_20250602.txt"/>
    <x v="57"/>
    <x v="6"/>
    <n v="32723"/>
    <n v="11807451"/>
    <n v="0.28000000000000003"/>
    <s v="DQS_MAO04_FILE_000_B"/>
    <s v="RECORD COUNT by MBR_ID, DOS_THRU_DT, DX_CD Grain grouped by PAYER, SRC_FILE_NM, DOS_THRU_YYYYMM"/>
  </r>
  <r>
    <x v="0"/>
    <s v="AETNA_MAO4_202505_20250602.txt"/>
    <x v="58"/>
    <x v="6"/>
    <n v="35385"/>
    <n v="11807451"/>
    <n v="0.3"/>
    <s v="DQS_MAO04_FILE_000_B"/>
    <s v="RECORD COUNT by MBR_ID, DOS_THRU_DT, DX_CD Grain grouped by PAYER, SRC_FILE_NM, DOS_THRU_YYYYMM"/>
  </r>
  <r>
    <x v="0"/>
    <s v="AETNA_MAO4_202505_20250602.txt"/>
    <x v="59"/>
    <x v="6"/>
    <n v="77866"/>
    <n v="11807451"/>
    <n v="0.66"/>
    <s v="DQS_MAO04_FILE_000_B"/>
    <s v="RECORD COUNT by MBR_ID, DOS_THRU_DT, DX_CD Grain grouped by PAYER, SRC_FILE_NM, DOS_THRU_YYYYMM"/>
  </r>
  <r>
    <x v="0"/>
    <s v="AETNA_MAO4_202505_20250602.txt"/>
    <x v="60"/>
    <x v="6"/>
    <n v="79795"/>
    <n v="11807451"/>
    <n v="0.68"/>
    <s v="DQS_MAO04_FILE_000_B"/>
    <s v="RECORD COUNT by MBR_ID, DOS_THRU_DT, DX_CD Grain grouped by PAYER, SRC_FILE_NM, DOS_THRU_YYYYMM"/>
  </r>
  <r>
    <x v="0"/>
    <s v="AETNA_MAO4_202505_20250602.txt"/>
    <x v="61"/>
    <x v="6"/>
    <n v="82831"/>
    <n v="11807451"/>
    <n v="0.7"/>
    <s v="DQS_MAO04_FILE_000_B"/>
    <s v="RECORD COUNT by MBR_ID, DOS_THRU_DT, DX_CD Grain grouped by PAYER, SRC_FILE_NM, DOS_THRU_YYYYMM"/>
  </r>
  <r>
    <x v="0"/>
    <s v="AETNA_MAO4_202505_20250602.txt"/>
    <x v="62"/>
    <x v="6"/>
    <n v="80334"/>
    <n v="11807451"/>
    <n v="0.68"/>
    <s v="DQS_MAO04_FILE_000_B"/>
    <s v="RECORD COUNT by MBR_ID, DOS_THRU_DT, DX_CD Grain grouped by PAYER, SRC_FILE_NM, DOS_THRU_YYYYMM"/>
  </r>
  <r>
    <x v="0"/>
    <s v="AETNA_MAO4_202505_20250602.txt"/>
    <x v="63"/>
    <x v="6"/>
    <n v="82320"/>
    <n v="11807451"/>
    <n v="0.7"/>
    <s v="DQS_MAO04_FILE_000_B"/>
    <s v="RECORD COUNT by MBR_ID, DOS_THRU_DT, DX_CD Grain grouped by PAYER, SRC_FILE_NM, DOS_THRU_YYYYMM"/>
  </r>
  <r>
    <x v="0"/>
    <s v="AETNA_MAO4_202505_20250602.txt"/>
    <x v="64"/>
    <x v="6"/>
    <n v="83665"/>
    <n v="11807451"/>
    <n v="0.71"/>
    <s v="DQS_MAO04_FILE_000_B"/>
    <s v="RECORD COUNT by MBR_ID, DOS_THRU_DT, DX_CD Grain grouped by PAYER, SRC_FILE_NM, DOS_THRU_YYYYMM"/>
  </r>
  <r>
    <x v="0"/>
    <s v="AETNA_MAO4_202505_20250602.txt"/>
    <x v="65"/>
    <x v="7"/>
    <n v="71825"/>
    <n v="11807451"/>
    <n v="0.61"/>
    <s v="DQS_MAO04_FILE_000_B"/>
    <s v="RECORD COUNT by MBR_ID, DOS_THRU_DT, DX_CD Grain grouped by PAYER, SRC_FILE_NM, DOS_THRU_YYYYMM"/>
  </r>
  <r>
    <x v="0"/>
    <s v="AETNA_MAO4_202505_20250602.txt"/>
    <x v="66"/>
    <x v="7"/>
    <n v="58003"/>
    <n v="11807451"/>
    <n v="0.49"/>
    <s v="DQS_MAO04_FILE_000_B"/>
    <s v="RECORD COUNT by MBR_ID, DOS_THRU_DT, DX_CD Grain grouped by PAYER, SRC_FILE_NM, DOS_THRU_YYYYMM"/>
  </r>
  <r>
    <x v="0"/>
    <s v="AETNA_MAO4_202505_20250602.txt"/>
    <x v="67"/>
    <x v="7"/>
    <n v="71416"/>
    <n v="11807451"/>
    <n v="0.6"/>
    <s v="DQS_MAO04_FILE_000_B"/>
    <s v="RECORD COUNT by MBR_ID, DOS_THRU_DT, DX_CD Grain grouped by PAYER, SRC_FILE_NM, DOS_THRU_YYYYMM"/>
  </r>
  <r>
    <x v="0"/>
    <s v="AETNA_MAO4_202505_20250602.txt"/>
    <x v="68"/>
    <x v="7"/>
    <n v="74595"/>
    <n v="11807451"/>
    <n v="0.63"/>
    <s v="DQS_MAO04_FILE_000_B"/>
    <s v="RECORD COUNT by MBR_ID, DOS_THRU_DT, DX_CD Grain grouped by PAYER, SRC_FILE_NM, DOS_THRU_YYYYMM"/>
  </r>
  <r>
    <x v="0"/>
    <s v="AETNA_MAO4_202505_20250602.txt"/>
    <x v="69"/>
    <x v="7"/>
    <n v="126054"/>
    <n v="11807451"/>
    <n v="1.07"/>
    <s v="DQS_MAO04_FILE_000_B"/>
    <s v="RECORD COUNT by MBR_ID, DOS_THRU_DT, DX_CD Grain grouped by PAYER, SRC_FILE_NM, DOS_THRU_YYYYMM"/>
  </r>
  <r>
    <x v="0"/>
    <s v="AETNA_MAO4_202505_20250602.txt"/>
    <x v="70"/>
    <x v="7"/>
    <n v="185919"/>
    <n v="11807451"/>
    <n v="1.57"/>
    <s v="DQS_MAO04_FILE_000_B"/>
    <s v="RECORD COUNT by MBR_ID, DOS_THRU_DT, DX_CD Grain grouped by PAYER, SRC_FILE_NM, DOS_THRU_YYYYMM"/>
  </r>
  <r>
    <x v="0"/>
    <s v="AETNA_MAO4_202505_20250602.txt"/>
    <x v="71"/>
    <x v="7"/>
    <n v="174367"/>
    <n v="11807451"/>
    <n v="1.48"/>
    <s v="DQS_MAO04_FILE_000_B"/>
    <s v="RECORD COUNT by MBR_ID, DOS_THRU_DT, DX_CD Grain grouped by PAYER, SRC_FILE_NM, DOS_THRU_YYYYMM"/>
  </r>
  <r>
    <x v="0"/>
    <s v="AETNA_MAO4_202505_20250602.txt"/>
    <x v="72"/>
    <x v="7"/>
    <n v="192618"/>
    <n v="11807451"/>
    <n v="1.63"/>
    <s v="DQS_MAO04_FILE_000_B"/>
    <s v="RECORD COUNT by MBR_ID, DOS_THRU_DT, DX_CD Grain grouped by PAYER, SRC_FILE_NM, DOS_THRU_YYYYMM"/>
  </r>
  <r>
    <x v="0"/>
    <s v="AETNA_MAO4_202505_20250602.txt"/>
    <x v="73"/>
    <x v="7"/>
    <n v="179710"/>
    <n v="11807451"/>
    <n v="1.52"/>
    <s v="DQS_MAO04_FILE_000_B"/>
    <s v="RECORD COUNT by MBR_ID, DOS_THRU_DT, DX_CD Grain grouped by PAYER, SRC_FILE_NM, DOS_THRU_YYYYMM"/>
  </r>
  <r>
    <x v="0"/>
    <s v="AETNA_MAO4_202505_20250602.txt"/>
    <x v="74"/>
    <x v="7"/>
    <n v="182525"/>
    <n v="11807451"/>
    <n v="1.55"/>
    <s v="DQS_MAO04_FILE_000_B"/>
    <s v="RECORD COUNT by MBR_ID, DOS_THRU_DT, DX_CD Grain grouped by PAYER, SRC_FILE_NM, DOS_THRU_YYYYMM"/>
  </r>
  <r>
    <x v="0"/>
    <s v="AETNA_MAO4_202505_20250602.txt"/>
    <x v="75"/>
    <x v="7"/>
    <n v="180198"/>
    <n v="11807451"/>
    <n v="1.53"/>
    <s v="DQS_MAO04_FILE_000_B"/>
    <s v="RECORD COUNT by MBR_ID, DOS_THRU_DT, DX_CD Grain grouped by PAYER, SRC_FILE_NM, DOS_THRU_YYYYMM"/>
  </r>
  <r>
    <x v="0"/>
    <s v="AETNA_MAO4_202505_20250602.txt"/>
    <x v="76"/>
    <x v="7"/>
    <n v="170163"/>
    <n v="11807451"/>
    <n v="1.44"/>
    <s v="DQS_MAO04_FILE_000_B"/>
    <s v="RECORD COUNT by MBR_ID, DOS_THRU_DT, DX_CD Grain grouped by PAYER, SRC_FILE_NM, DOS_THRU_YYYYMM"/>
  </r>
  <r>
    <x v="0"/>
    <s v="AETNA_MAO4_202505_20250602.txt"/>
    <x v="77"/>
    <x v="8"/>
    <n v="233123"/>
    <n v="11807451"/>
    <n v="1.97"/>
    <s v="DQS_MAO04_FILE_000_B"/>
    <s v="RECORD COUNT by MBR_ID, DOS_THRU_DT, DX_CD Grain grouped by PAYER, SRC_FILE_NM, DOS_THRU_YYYYMM"/>
  </r>
  <r>
    <x v="0"/>
    <s v="AETNA_MAO4_202505_20250602.txt"/>
    <x v="78"/>
    <x v="8"/>
    <n v="227235"/>
    <n v="11807451"/>
    <n v="1.92"/>
    <s v="DQS_MAO04_FILE_000_B"/>
    <s v="RECORD COUNT by MBR_ID, DOS_THRU_DT, DX_CD Grain grouped by PAYER, SRC_FILE_NM, DOS_THRU_YYYYMM"/>
  </r>
  <r>
    <x v="0"/>
    <s v="AETNA_MAO4_202505_20250602.txt"/>
    <x v="79"/>
    <x v="8"/>
    <n v="251756"/>
    <n v="11807451"/>
    <n v="2.13"/>
    <s v="DQS_MAO04_FILE_000_B"/>
    <s v="RECORD COUNT by MBR_ID, DOS_THRU_DT, DX_CD Grain grouped by PAYER, SRC_FILE_NM, DOS_THRU_YYYYMM"/>
  </r>
  <r>
    <x v="0"/>
    <s v="AETNA_MAO4_202505_20250602.txt"/>
    <x v="80"/>
    <x v="8"/>
    <n v="228070"/>
    <n v="11807451"/>
    <n v="1.93"/>
    <s v="DQS_MAO04_FILE_000_B"/>
    <s v="RECORD COUNT by MBR_ID, DOS_THRU_DT, DX_CD Grain grouped by PAYER, SRC_FILE_NM, DOS_THRU_YYYYMM"/>
  </r>
  <r>
    <x v="0"/>
    <s v="AETNA_MAO4_202505_20250602.txt"/>
    <x v="81"/>
    <x v="8"/>
    <n v="241543"/>
    <n v="11807451"/>
    <n v="2.0499999999999998"/>
    <s v="DQS_MAO04_FILE_000_B"/>
    <s v="RECORD COUNT by MBR_ID, DOS_THRU_DT, DX_CD Grain grouped by PAYER, SRC_FILE_NM, DOS_THRU_YYYYMM"/>
  </r>
  <r>
    <x v="0"/>
    <s v="AETNA_MAO4_202505_20250602.txt"/>
    <x v="82"/>
    <x v="8"/>
    <n v="234582"/>
    <n v="11807451"/>
    <n v="1.99"/>
    <s v="DQS_MAO04_FILE_000_B"/>
    <s v="RECORD COUNT by MBR_ID, DOS_THRU_DT, DX_CD Grain grouped by PAYER, SRC_FILE_NM, DOS_THRU_YYYYMM"/>
  </r>
  <r>
    <x v="0"/>
    <s v="AETNA_MAO4_202505_20250602.txt"/>
    <x v="83"/>
    <x v="8"/>
    <n v="218599"/>
    <n v="11807451"/>
    <n v="1.85"/>
    <s v="DQS_MAO04_FILE_000_B"/>
    <s v="RECORD COUNT by MBR_ID, DOS_THRU_DT, DX_CD Grain grouped by PAYER, SRC_FILE_NM, DOS_THRU_YYYYMM"/>
  </r>
  <r>
    <x v="0"/>
    <s v="AETNA_MAO4_202505_20250602.txt"/>
    <x v="84"/>
    <x v="8"/>
    <n v="250476"/>
    <n v="11807451"/>
    <n v="2.12"/>
    <s v="DQS_MAO04_FILE_000_B"/>
    <s v="RECORD COUNT by MBR_ID, DOS_THRU_DT, DX_CD Grain grouped by PAYER, SRC_FILE_NM, DOS_THRU_YYYYMM"/>
  </r>
  <r>
    <x v="0"/>
    <s v="AETNA_MAO4_202505_20250602.txt"/>
    <x v="85"/>
    <x v="8"/>
    <n v="234879"/>
    <n v="11807451"/>
    <n v="1.99"/>
    <s v="DQS_MAO04_FILE_000_B"/>
    <s v="RECORD COUNT by MBR_ID, DOS_THRU_DT, DX_CD Grain grouped by PAYER, SRC_FILE_NM, DOS_THRU_YYYYMM"/>
  </r>
  <r>
    <x v="0"/>
    <s v="AETNA_MAO4_202505_20250602.txt"/>
    <x v="86"/>
    <x v="8"/>
    <n v="256562"/>
    <n v="11807451"/>
    <n v="2.17"/>
    <s v="DQS_MAO04_FILE_000_B"/>
    <s v="RECORD COUNT by MBR_ID, DOS_THRU_DT, DX_CD Grain grouped by PAYER, SRC_FILE_NM, DOS_THRU_YYYYMM"/>
  </r>
  <r>
    <x v="0"/>
    <s v="AETNA_MAO4_202505_20250602.txt"/>
    <x v="87"/>
    <x v="8"/>
    <n v="240783"/>
    <n v="11807451"/>
    <n v="2.04"/>
    <s v="DQS_MAO04_FILE_000_B"/>
    <s v="RECORD COUNT by MBR_ID, DOS_THRU_DT, DX_CD Grain grouped by PAYER, SRC_FILE_NM, DOS_THRU_YYYYMM"/>
  </r>
  <r>
    <x v="0"/>
    <s v="AETNA_MAO4_202505_20250602.txt"/>
    <x v="88"/>
    <x v="8"/>
    <n v="227262"/>
    <n v="11807451"/>
    <n v="1.92"/>
    <s v="DQS_MAO04_FILE_000_B"/>
    <s v="RECORD COUNT by MBR_ID, DOS_THRU_DT, DX_CD Grain grouped by PAYER, SRC_FILE_NM, DOS_THRU_YYYYMM"/>
  </r>
  <r>
    <x v="0"/>
    <s v="AETNA_MAO4_202505_20250602.txt"/>
    <x v="89"/>
    <x v="9"/>
    <n v="371838"/>
    <n v="11807451"/>
    <n v="3.15"/>
    <s v="DQS_MAO04_FILE_000_B"/>
    <s v="RECORD COUNT by MBR_ID, DOS_THRU_DT, DX_CD Grain grouped by PAYER, SRC_FILE_NM, DOS_THRU_YYYYMM"/>
  </r>
  <r>
    <x v="0"/>
    <s v="AETNA_MAO4_202505_20250602.txt"/>
    <x v="97"/>
    <x v="9"/>
    <n v="406162"/>
    <n v="11807451"/>
    <n v="3.44"/>
    <s v="DQS_MAO04_FILE_000_B"/>
    <s v="RECORD COUNT by MBR_ID, DOS_THRU_DT, DX_CD Grain grouped by PAYER, SRC_FILE_NM, DOS_THRU_YYYYMM"/>
  </r>
  <r>
    <x v="0"/>
    <s v="AETNA_MAO4_202505_20250602.txt"/>
    <x v="98"/>
    <x v="9"/>
    <n v="434559"/>
    <n v="11807451"/>
    <n v="3.68"/>
    <s v="DQS_MAO04_FILE_000_B"/>
    <s v="RECORD COUNT by MBR_ID, DOS_THRU_DT, DX_CD Grain grouped by PAYER, SRC_FILE_NM, DOS_THRU_YYYYMM"/>
  </r>
  <r>
    <x v="0"/>
    <s v="AETNA_MAO4_202505_20250602.txt"/>
    <x v="99"/>
    <x v="9"/>
    <n v="461730"/>
    <n v="11807451"/>
    <n v="3.91"/>
    <s v="DQS_MAO04_FILE_000_B"/>
    <s v="RECORD COUNT by MBR_ID, DOS_THRU_DT, DX_CD Grain grouped by PAYER, SRC_FILE_NM, DOS_THRU_YYYYMM"/>
  </r>
  <r>
    <x v="0"/>
    <s v="AETNA_MAO4_202505_20250602.txt"/>
    <x v="100"/>
    <x v="9"/>
    <n v="423409"/>
    <n v="11807451"/>
    <n v="3.59"/>
    <s v="DQS_MAO04_FILE_000_B"/>
    <s v="RECORD COUNT by MBR_ID, DOS_THRU_DT, DX_CD Grain grouped by PAYER, SRC_FILE_NM, DOS_THRU_YYYYMM"/>
  </r>
  <r>
    <x v="0"/>
    <s v="AETNA_MAO4_202505_20250602.txt"/>
    <x v="102"/>
    <x v="9"/>
    <n v="376669"/>
    <n v="11807451"/>
    <n v="3.19"/>
    <s v="DQS_MAO04_FILE_000_B"/>
    <s v="RECORD COUNT by MBR_ID, DOS_THRU_DT, DX_CD Grain grouped by PAYER, SRC_FILE_NM, DOS_THRU_YYYYMM"/>
  </r>
  <r>
    <x v="0"/>
    <s v="AETNA_MAO4_202505_20250602.txt"/>
    <x v="103"/>
    <x v="9"/>
    <n v="407715"/>
    <n v="11807451"/>
    <n v="3.45"/>
    <s v="DQS_MAO04_FILE_000_B"/>
    <s v="RECORD COUNT by MBR_ID, DOS_THRU_DT, DX_CD Grain grouped by PAYER, SRC_FILE_NM, DOS_THRU_YYYYMM"/>
  </r>
  <r>
    <x v="0"/>
    <s v="AETNA_MAO4_202505_20250602.txt"/>
    <x v="105"/>
    <x v="9"/>
    <n v="413830"/>
    <n v="11807451"/>
    <n v="3.5"/>
    <s v="DQS_MAO04_FILE_000_B"/>
    <s v="RECORD COUNT by MBR_ID, DOS_THRU_DT, DX_CD Grain grouped by PAYER, SRC_FILE_NM, DOS_THRU_YYYYMM"/>
  </r>
  <r>
    <x v="0"/>
    <s v="AETNA_MAO4_202505_20250602.txt"/>
    <x v="106"/>
    <x v="9"/>
    <n v="428559"/>
    <n v="11807451"/>
    <n v="3.63"/>
    <s v="DQS_MAO04_FILE_000_B"/>
    <s v="RECORD COUNT by MBR_ID, DOS_THRU_DT, DX_CD Grain grouped by PAYER, SRC_FILE_NM, DOS_THRU_YYYYMM"/>
  </r>
  <r>
    <x v="0"/>
    <s v="AETNA_MAO4_202505_20250602.txt"/>
    <x v="107"/>
    <x v="9"/>
    <n v="549280"/>
    <n v="11807451"/>
    <n v="4.6500000000000004"/>
    <s v="DQS_MAO04_FILE_000_B"/>
    <s v="RECORD COUNT by MBR_ID, DOS_THRU_DT, DX_CD Grain grouped by PAYER, SRC_FILE_NM, DOS_THRU_YYYYMM"/>
  </r>
  <r>
    <x v="0"/>
    <s v="AETNA_MAO4_202505_20250602.txt"/>
    <x v="108"/>
    <x v="9"/>
    <n v="495319"/>
    <n v="11807451"/>
    <n v="4.1900000000000004"/>
    <s v="DQS_MAO04_FILE_000_B"/>
    <s v="RECORD COUNT by MBR_ID, DOS_THRU_DT, DX_CD Grain grouped by PAYER, SRC_FILE_NM, DOS_THRU_YYYYMM"/>
  </r>
  <r>
    <x v="0"/>
    <s v="AETNA_MAO4_202505_20250602.txt"/>
    <x v="109"/>
    <x v="9"/>
    <n v="496947"/>
    <n v="11807451"/>
    <n v="4.21"/>
    <s v="DQS_MAO04_FILE_000_B"/>
    <s v="RECORD COUNT by MBR_ID, DOS_THRU_DT, DX_CD Grain grouped by PAYER, SRC_FILE_NM, DOS_THRU_YYYYMM"/>
  </r>
  <r>
    <x v="0"/>
    <s v="AETNA_MAO4_202505_20250602.txt"/>
    <x v="110"/>
    <x v="11"/>
    <n v="392592"/>
    <n v="11807451"/>
    <n v="3.32"/>
    <s v="DQS_MAO04_FILE_000_B"/>
    <s v="RECORD COUNT by MBR_ID, DOS_THRU_DT, DX_CD Grain grouped by PAYER, SRC_FILE_NM, DOS_THRU_YYYYMM"/>
  </r>
  <r>
    <x v="0"/>
    <s v="AETNA_MAO4_202505_20250602.txt"/>
    <x v="111"/>
    <x v="11"/>
    <n v="341099"/>
    <n v="11807451"/>
    <n v="2.89"/>
    <s v="DQS_MAO04_FILE_000_B"/>
    <s v="RECORD COUNT by MBR_ID, DOS_THRU_DT, DX_CD Grain grouped by PAYER, SRC_FILE_NM, DOS_THRU_YYYYMM"/>
  </r>
  <r>
    <x v="0"/>
    <s v="AETNA_MAO4_202505_20250602.txt"/>
    <x v="112"/>
    <x v="11"/>
    <n v="345040"/>
    <n v="11807451"/>
    <n v="2.92"/>
    <s v="DQS_MAO04_FILE_000_B"/>
    <s v="RECORD COUNT by MBR_ID, DOS_THRU_DT, DX_CD Grain grouped by PAYER, SRC_FILE_NM, DOS_THRU_YYYYMM"/>
  </r>
  <r>
    <x v="0"/>
    <s v="AETNA_MAO4_202505_20250602.txt"/>
    <x v="113"/>
    <x v="11"/>
    <n v="68936"/>
    <n v="11807451"/>
    <n v="0.57999999999999996"/>
    <s v="DQS_MAO04_FILE_000_B"/>
    <s v="RECORD COUNT by MBR_ID, DOS_THRU_DT, DX_CD Grain grouped by PAYER, SRC_FILE_NM, DOS_THRU_YYYYMM"/>
  </r>
  <r>
    <x v="0"/>
    <s v="AETNA_MAO4_202506_20250702.txt"/>
    <x v="23"/>
    <x v="3"/>
    <n v="6"/>
    <n v="12045768"/>
    <n v="0"/>
    <s v="DQS_MAO04_FILE_000_B"/>
    <s v="RECORD COUNT by MBR_ID, DOS_THRU_DT, DX_CD Grain grouped by PAYER, SRC_FILE_NM, DOS_THRU_YYYYMM"/>
  </r>
  <r>
    <x v="0"/>
    <s v="AETNA_MAO4_202506_20250702.txt"/>
    <x v="24"/>
    <x v="3"/>
    <n v="17"/>
    <n v="12045768"/>
    <n v="0"/>
    <s v="DQS_MAO04_FILE_000_B"/>
    <s v="RECORD COUNT by MBR_ID, DOS_THRU_DT, DX_CD Grain grouped by PAYER, SRC_FILE_NM, DOS_THRU_YYYYMM"/>
  </r>
  <r>
    <x v="0"/>
    <s v="AETNA_MAO4_202506_20250702.txt"/>
    <x v="29"/>
    <x v="4"/>
    <n v="4"/>
    <n v="12045768"/>
    <n v="0"/>
    <s v="DQS_MAO04_FILE_000_B"/>
    <s v="RECORD COUNT by MBR_ID, DOS_THRU_DT, DX_CD Grain grouped by PAYER, SRC_FILE_NM, DOS_THRU_YYYYMM"/>
  </r>
  <r>
    <x v="0"/>
    <s v="AETNA_MAO4_202506_20250702.txt"/>
    <x v="31"/>
    <x v="4"/>
    <n v="14"/>
    <n v="12045768"/>
    <n v="0"/>
    <s v="DQS_MAO04_FILE_000_B"/>
    <s v="RECORD COUNT by MBR_ID, DOS_THRU_DT, DX_CD Grain grouped by PAYER, SRC_FILE_NM, DOS_THRU_YYYYMM"/>
  </r>
  <r>
    <x v="0"/>
    <s v="AETNA_MAO4_202506_20250702.txt"/>
    <x v="32"/>
    <x v="4"/>
    <n v="67"/>
    <n v="12045768"/>
    <n v="0"/>
    <s v="DQS_MAO04_FILE_000_B"/>
    <s v="RECORD COUNT by MBR_ID, DOS_THRU_DT, DX_CD Grain grouped by PAYER, SRC_FILE_NM, DOS_THRU_YYYYMM"/>
  </r>
  <r>
    <x v="0"/>
    <s v="AETNA_MAO4_202506_20250702.txt"/>
    <x v="33"/>
    <x v="4"/>
    <n v="43"/>
    <n v="12045768"/>
    <n v="0"/>
    <s v="DQS_MAO04_FILE_000_B"/>
    <s v="RECORD COUNT by MBR_ID, DOS_THRU_DT, DX_CD Grain grouped by PAYER, SRC_FILE_NM, DOS_THRU_YYYYMM"/>
  </r>
  <r>
    <x v="0"/>
    <s v="AETNA_MAO4_202506_20250702.txt"/>
    <x v="34"/>
    <x v="4"/>
    <n v="49"/>
    <n v="12045768"/>
    <n v="0"/>
    <s v="DQS_MAO04_FILE_000_B"/>
    <s v="RECORD COUNT by MBR_ID, DOS_THRU_DT, DX_CD Grain grouped by PAYER, SRC_FILE_NM, DOS_THRU_YYYYMM"/>
  </r>
  <r>
    <x v="0"/>
    <s v="AETNA_MAO4_202506_20250702.txt"/>
    <x v="35"/>
    <x v="4"/>
    <n v="6"/>
    <n v="12045768"/>
    <n v="0"/>
    <s v="DQS_MAO04_FILE_000_B"/>
    <s v="RECORD COUNT by MBR_ID, DOS_THRU_DT, DX_CD Grain grouped by PAYER, SRC_FILE_NM, DOS_THRU_YYYYMM"/>
  </r>
  <r>
    <x v="0"/>
    <s v="AETNA_MAO4_202506_20250702.txt"/>
    <x v="38"/>
    <x v="4"/>
    <n v="12"/>
    <n v="12045768"/>
    <n v="0"/>
    <s v="DQS_MAO04_FILE_000_B"/>
    <s v="RECORD COUNT by MBR_ID, DOS_THRU_DT, DX_CD Grain grouped by PAYER, SRC_FILE_NM, DOS_THRU_YYYYMM"/>
  </r>
  <r>
    <x v="0"/>
    <s v="AETNA_MAO4_202506_20250702.txt"/>
    <x v="39"/>
    <x v="4"/>
    <n v="1"/>
    <n v="12045768"/>
    <n v="0"/>
    <s v="DQS_MAO04_FILE_000_B"/>
    <s v="RECORD COUNT by MBR_ID, DOS_THRU_DT, DX_CD Grain grouped by PAYER, SRC_FILE_NM, DOS_THRU_YYYYMM"/>
  </r>
  <r>
    <x v="0"/>
    <s v="AETNA_MAO4_202506_20250702.txt"/>
    <x v="40"/>
    <x v="4"/>
    <n v="13"/>
    <n v="12045768"/>
    <n v="0"/>
    <s v="DQS_MAO04_FILE_000_B"/>
    <s v="RECORD COUNT by MBR_ID, DOS_THRU_DT, DX_CD Grain grouped by PAYER, SRC_FILE_NM, DOS_THRU_YYYYMM"/>
  </r>
  <r>
    <x v="0"/>
    <s v="AETNA_MAO4_202506_20250702.txt"/>
    <x v="41"/>
    <x v="5"/>
    <n v="869"/>
    <n v="12045768"/>
    <n v="0.01"/>
    <s v="DQS_MAO04_FILE_000_B"/>
    <s v="RECORD COUNT by MBR_ID, DOS_THRU_DT, DX_CD Grain grouped by PAYER, SRC_FILE_NM, DOS_THRU_YYYYMM"/>
  </r>
  <r>
    <x v="0"/>
    <s v="AETNA_MAO4_202506_20250702.txt"/>
    <x v="42"/>
    <x v="5"/>
    <n v="521"/>
    <n v="12045768"/>
    <n v="0"/>
    <s v="DQS_MAO04_FILE_000_B"/>
    <s v="RECORD COUNT by MBR_ID, DOS_THRU_DT, DX_CD Grain grouped by PAYER, SRC_FILE_NM, DOS_THRU_YYYYMM"/>
  </r>
  <r>
    <x v="0"/>
    <s v="AETNA_MAO4_202506_20250702.txt"/>
    <x v="43"/>
    <x v="5"/>
    <n v="563"/>
    <n v="12045768"/>
    <n v="0"/>
    <s v="DQS_MAO04_FILE_000_B"/>
    <s v="RECORD COUNT by MBR_ID, DOS_THRU_DT, DX_CD Grain grouped by PAYER, SRC_FILE_NM, DOS_THRU_YYYYMM"/>
  </r>
  <r>
    <x v="0"/>
    <s v="AETNA_MAO4_202506_20250702.txt"/>
    <x v="44"/>
    <x v="5"/>
    <n v="967"/>
    <n v="12045768"/>
    <n v="0.01"/>
    <s v="DQS_MAO04_FILE_000_B"/>
    <s v="RECORD COUNT by MBR_ID, DOS_THRU_DT, DX_CD Grain grouped by PAYER, SRC_FILE_NM, DOS_THRU_YYYYMM"/>
  </r>
  <r>
    <x v="0"/>
    <s v="AETNA_MAO4_202506_20250702.txt"/>
    <x v="45"/>
    <x v="5"/>
    <n v="1132"/>
    <n v="12045768"/>
    <n v="0.01"/>
    <s v="DQS_MAO04_FILE_000_B"/>
    <s v="RECORD COUNT by MBR_ID, DOS_THRU_DT, DX_CD Grain grouped by PAYER, SRC_FILE_NM, DOS_THRU_YYYYMM"/>
  </r>
  <r>
    <x v="0"/>
    <s v="AETNA_MAO4_202506_20250702.txt"/>
    <x v="46"/>
    <x v="5"/>
    <n v="2028"/>
    <n v="12045768"/>
    <n v="0.02"/>
    <s v="DQS_MAO04_FILE_000_B"/>
    <s v="RECORD COUNT by MBR_ID, DOS_THRU_DT, DX_CD Grain grouped by PAYER, SRC_FILE_NM, DOS_THRU_YYYYMM"/>
  </r>
  <r>
    <x v="0"/>
    <s v="AETNA_MAO4_202506_20250702.txt"/>
    <x v="47"/>
    <x v="5"/>
    <n v="2439"/>
    <n v="12045768"/>
    <n v="0.02"/>
    <s v="DQS_MAO04_FILE_000_B"/>
    <s v="RECORD COUNT by MBR_ID, DOS_THRU_DT, DX_CD Grain grouped by PAYER, SRC_FILE_NM, DOS_THRU_YYYYMM"/>
  </r>
  <r>
    <x v="0"/>
    <s v="AETNA_MAO4_202506_20250702.txt"/>
    <x v="48"/>
    <x v="5"/>
    <n v="2194"/>
    <n v="12045768"/>
    <n v="0.02"/>
    <s v="DQS_MAO04_FILE_000_B"/>
    <s v="RECORD COUNT by MBR_ID, DOS_THRU_DT, DX_CD Grain grouped by PAYER, SRC_FILE_NM, DOS_THRU_YYYYMM"/>
  </r>
  <r>
    <x v="0"/>
    <s v="AETNA_MAO4_202506_20250702.txt"/>
    <x v="49"/>
    <x v="5"/>
    <n v="1884"/>
    <n v="12045768"/>
    <n v="0.02"/>
    <s v="DQS_MAO04_FILE_000_B"/>
    <s v="RECORD COUNT by MBR_ID, DOS_THRU_DT, DX_CD Grain grouped by PAYER, SRC_FILE_NM, DOS_THRU_YYYYMM"/>
  </r>
  <r>
    <x v="0"/>
    <s v="AETNA_MAO4_202506_20250702.txt"/>
    <x v="50"/>
    <x v="5"/>
    <n v="1899"/>
    <n v="12045768"/>
    <n v="0.02"/>
    <s v="DQS_MAO04_FILE_000_B"/>
    <s v="RECORD COUNT by MBR_ID, DOS_THRU_DT, DX_CD Grain grouped by PAYER, SRC_FILE_NM, DOS_THRU_YYYYMM"/>
  </r>
  <r>
    <x v="0"/>
    <s v="AETNA_MAO4_202506_20250702.txt"/>
    <x v="51"/>
    <x v="5"/>
    <n v="1778"/>
    <n v="12045768"/>
    <n v="0.01"/>
    <s v="DQS_MAO04_FILE_000_B"/>
    <s v="RECORD COUNT by MBR_ID, DOS_THRU_DT, DX_CD Grain grouped by PAYER, SRC_FILE_NM, DOS_THRU_YYYYMM"/>
  </r>
  <r>
    <x v="0"/>
    <s v="AETNA_MAO4_202506_20250702.txt"/>
    <x v="52"/>
    <x v="5"/>
    <n v="2052"/>
    <n v="12045768"/>
    <n v="0.02"/>
    <s v="DQS_MAO04_FILE_000_B"/>
    <s v="RECORD COUNT by MBR_ID, DOS_THRU_DT, DX_CD Grain grouped by PAYER, SRC_FILE_NM, DOS_THRU_YYYYMM"/>
  </r>
  <r>
    <x v="0"/>
    <s v="AETNA_MAO4_202506_20250702.txt"/>
    <x v="53"/>
    <x v="6"/>
    <n v="34657"/>
    <n v="12045768"/>
    <n v="0.28999999999999998"/>
    <s v="DQS_MAO04_FILE_000_B"/>
    <s v="RECORD COUNT by MBR_ID, DOS_THRU_DT, DX_CD Grain grouped by PAYER, SRC_FILE_NM, DOS_THRU_YYYYMM"/>
  </r>
  <r>
    <x v="0"/>
    <s v="AETNA_MAO4_202506_20250702.txt"/>
    <x v="54"/>
    <x v="6"/>
    <n v="25223"/>
    <n v="12045768"/>
    <n v="0.21"/>
    <s v="DQS_MAO04_FILE_000_B"/>
    <s v="RECORD COUNT by MBR_ID, DOS_THRU_DT, DX_CD Grain grouped by PAYER, SRC_FILE_NM, DOS_THRU_YYYYMM"/>
  </r>
  <r>
    <x v="0"/>
    <s v="AETNA_MAO4_202506_20250702.txt"/>
    <x v="55"/>
    <x v="6"/>
    <n v="30469"/>
    <n v="12045768"/>
    <n v="0.25"/>
    <s v="DQS_MAO04_FILE_000_B"/>
    <s v="RECORD COUNT by MBR_ID, DOS_THRU_DT, DX_CD Grain grouped by PAYER, SRC_FILE_NM, DOS_THRU_YYYYMM"/>
  </r>
  <r>
    <x v="0"/>
    <s v="AETNA_MAO4_202506_20250702.txt"/>
    <x v="56"/>
    <x v="6"/>
    <n v="28439"/>
    <n v="12045768"/>
    <n v="0.24"/>
    <s v="DQS_MAO04_FILE_000_B"/>
    <s v="RECORD COUNT by MBR_ID, DOS_THRU_DT, DX_CD Grain grouped by PAYER, SRC_FILE_NM, DOS_THRU_YYYYMM"/>
  </r>
  <r>
    <x v="0"/>
    <s v="AETNA_MAO4_202506_20250702.txt"/>
    <x v="57"/>
    <x v="6"/>
    <n v="27556"/>
    <n v="12045768"/>
    <n v="0.23"/>
    <s v="DQS_MAO04_FILE_000_B"/>
    <s v="RECORD COUNT by MBR_ID, DOS_THRU_DT, DX_CD Grain grouped by PAYER, SRC_FILE_NM, DOS_THRU_YYYYMM"/>
  </r>
  <r>
    <x v="0"/>
    <s v="AETNA_MAO4_202506_20250702.txt"/>
    <x v="58"/>
    <x v="6"/>
    <n v="30651"/>
    <n v="12045768"/>
    <n v="0.25"/>
    <s v="DQS_MAO04_FILE_000_B"/>
    <s v="RECORD COUNT by MBR_ID, DOS_THRU_DT, DX_CD Grain grouped by PAYER, SRC_FILE_NM, DOS_THRU_YYYYMM"/>
  </r>
  <r>
    <x v="0"/>
    <s v="AETNA_MAO4_202506_20250702.txt"/>
    <x v="59"/>
    <x v="6"/>
    <n v="70229"/>
    <n v="12045768"/>
    <n v="0.57999999999999996"/>
    <s v="DQS_MAO04_FILE_000_B"/>
    <s v="RECORD COUNT by MBR_ID, DOS_THRU_DT, DX_CD Grain grouped by PAYER, SRC_FILE_NM, DOS_THRU_YYYYMM"/>
  </r>
  <r>
    <x v="0"/>
    <s v="AETNA_MAO4_202506_20250702.txt"/>
    <x v="60"/>
    <x v="6"/>
    <n v="73390"/>
    <n v="12045768"/>
    <n v="0.61"/>
    <s v="DQS_MAO04_FILE_000_B"/>
    <s v="RECORD COUNT by MBR_ID, DOS_THRU_DT, DX_CD Grain grouped by PAYER, SRC_FILE_NM, DOS_THRU_YYYYMM"/>
  </r>
  <r>
    <x v="0"/>
    <s v="AETNA_MAO4_202506_20250702.txt"/>
    <x v="61"/>
    <x v="6"/>
    <n v="77700"/>
    <n v="12045768"/>
    <n v="0.65"/>
    <s v="DQS_MAO04_FILE_000_B"/>
    <s v="RECORD COUNT by MBR_ID, DOS_THRU_DT, DX_CD Grain grouped by PAYER, SRC_FILE_NM, DOS_THRU_YYYYMM"/>
  </r>
  <r>
    <x v="0"/>
    <s v="AETNA_MAO4_202506_20250702.txt"/>
    <x v="62"/>
    <x v="6"/>
    <n v="75170"/>
    <n v="12045768"/>
    <n v="0.62"/>
    <s v="DQS_MAO04_FILE_000_B"/>
    <s v="RECORD COUNT by MBR_ID, DOS_THRU_DT, DX_CD Grain grouped by PAYER, SRC_FILE_NM, DOS_THRU_YYYYMM"/>
  </r>
  <r>
    <x v="0"/>
    <s v="AETNA_MAO4_202506_20250702.txt"/>
    <x v="63"/>
    <x v="6"/>
    <n v="77652"/>
    <n v="12045768"/>
    <n v="0.64"/>
    <s v="DQS_MAO04_FILE_000_B"/>
    <s v="RECORD COUNT by MBR_ID, DOS_THRU_DT, DX_CD Grain grouped by PAYER, SRC_FILE_NM, DOS_THRU_YYYYMM"/>
  </r>
  <r>
    <x v="0"/>
    <s v="AETNA_MAO4_202506_20250702.txt"/>
    <x v="64"/>
    <x v="6"/>
    <n v="77149"/>
    <n v="12045768"/>
    <n v="0.64"/>
    <s v="DQS_MAO04_FILE_000_B"/>
    <s v="RECORD COUNT by MBR_ID, DOS_THRU_DT, DX_CD Grain grouped by PAYER, SRC_FILE_NM, DOS_THRU_YYYYMM"/>
  </r>
  <r>
    <x v="0"/>
    <s v="AETNA_MAO4_202506_20250702.txt"/>
    <x v="65"/>
    <x v="7"/>
    <n v="65912"/>
    <n v="12045768"/>
    <n v="0.55000000000000004"/>
    <s v="DQS_MAO04_FILE_000_B"/>
    <s v="RECORD COUNT by MBR_ID, DOS_THRU_DT, DX_CD Grain grouped by PAYER, SRC_FILE_NM, DOS_THRU_YYYYMM"/>
  </r>
  <r>
    <x v="0"/>
    <s v="AETNA_MAO4_202506_20250702.txt"/>
    <x v="66"/>
    <x v="7"/>
    <n v="52473"/>
    <n v="12045768"/>
    <n v="0.44"/>
    <s v="DQS_MAO04_FILE_000_B"/>
    <s v="RECORD COUNT by MBR_ID, DOS_THRU_DT, DX_CD Grain grouped by PAYER, SRC_FILE_NM, DOS_THRU_YYYYMM"/>
  </r>
  <r>
    <x v="0"/>
    <s v="AETNA_MAO4_202506_20250702.txt"/>
    <x v="67"/>
    <x v="7"/>
    <n v="63593"/>
    <n v="12045768"/>
    <n v="0.53"/>
    <s v="DQS_MAO04_FILE_000_B"/>
    <s v="RECORD COUNT by MBR_ID, DOS_THRU_DT, DX_CD Grain grouped by PAYER, SRC_FILE_NM, DOS_THRU_YYYYMM"/>
  </r>
  <r>
    <x v="0"/>
    <s v="AETNA_MAO4_202506_20250702.txt"/>
    <x v="68"/>
    <x v="7"/>
    <n v="64649"/>
    <n v="12045768"/>
    <n v="0.54"/>
    <s v="DQS_MAO04_FILE_000_B"/>
    <s v="RECORD COUNT by MBR_ID, DOS_THRU_DT, DX_CD Grain grouped by PAYER, SRC_FILE_NM, DOS_THRU_YYYYMM"/>
  </r>
  <r>
    <x v="0"/>
    <s v="AETNA_MAO4_202506_20250702.txt"/>
    <x v="69"/>
    <x v="7"/>
    <n v="71326"/>
    <n v="12045768"/>
    <n v="0.59"/>
    <s v="DQS_MAO04_FILE_000_B"/>
    <s v="RECORD COUNT by MBR_ID, DOS_THRU_DT, DX_CD Grain grouped by PAYER, SRC_FILE_NM, DOS_THRU_YYYYMM"/>
  </r>
  <r>
    <x v="0"/>
    <s v="AETNA_MAO4_202506_20250702.txt"/>
    <x v="70"/>
    <x v="7"/>
    <n v="83187"/>
    <n v="12045768"/>
    <n v="0.69"/>
    <s v="DQS_MAO04_FILE_000_B"/>
    <s v="RECORD COUNT by MBR_ID, DOS_THRU_DT, DX_CD Grain grouped by PAYER, SRC_FILE_NM, DOS_THRU_YYYYMM"/>
  </r>
  <r>
    <x v="0"/>
    <s v="AETNA_MAO4_202506_20250702.txt"/>
    <x v="71"/>
    <x v="7"/>
    <n v="170445"/>
    <n v="12045768"/>
    <n v="1.41"/>
    <s v="DQS_MAO04_FILE_000_B"/>
    <s v="RECORD COUNT by MBR_ID, DOS_THRU_DT, DX_CD Grain grouped by PAYER, SRC_FILE_NM, DOS_THRU_YYYYMM"/>
  </r>
  <r>
    <x v="0"/>
    <s v="AETNA_MAO4_202506_20250702.txt"/>
    <x v="72"/>
    <x v="7"/>
    <n v="193038"/>
    <n v="12045768"/>
    <n v="1.6"/>
    <s v="DQS_MAO04_FILE_000_B"/>
    <s v="RECORD COUNT by MBR_ID, DOS_THRU_DT, DX_CD Grain grouped by PAYER, SRC_FILE_NM, DOS_THRU_YYYYMM"/>
  </r>
  <r>
    <x v="0"/>
    <s v="AETNA_MAO4_202506_20250702.txt"/>
    <x v="73"/>
    <x v="7"/>
    <n v="179918"/>
    <n v="12045768"/>
    <n v="1.49"/>
    <s v="DQS_MAO04_FILE_000_B"/>
    <s v="RECORD COUNT by MBR_ID, DOS_THRU_DT, DX_CD Grain grouped by PAYER, SRC_FILE_NM, DOS_THRU_YYYYMM"/>
  </r>
  <r>
    <x v="0"/>
    <s v="AETNA_MAO4_202506_20250702.txt"/>
    <x v="74"/>
    <x v="7"/>
    <n v="182849"/>
    <n v="12045768"/>
    <n v="1.52"/>
    <s v="DQS_MAO04_FILE_000_B"/>
    <s v="RECORD COUNT by MBR_ID, DOS_THRU_DT, DX_CD Grain grouped by PAYER, SRC_FILE_NM, DOS_THRU_YYYYMM"/>
  </r>
  <r>
    <x v="0"/>
    <s v="AETNA_MAO4_202506_20250702.txt"/>
    <x v="75"/>
    <x v="7"/>
    <n v="180407"/>
    <n v="12045768"/>
    <n v="1.5"/>
    <s v="DQS_MAO04_FILE_000_B"/>
    <s v="RECORD COUNT by MBR_ID, DOS_THRU_DT, DX_CD Grain grouped by PAYER, SRC_FILE_NM, DOS_THRU_YYYYMM"/>
  </r>
  <r>
    <x v="0"/>
    <s v="AETNA_MAO4_202506_20250702.txt"/>
    <x v="76"/>
    <x v="7"/>
    <n v="170506"/>
    <n v="12045768"/>
    <n v="1.42"/>
    <s v="DQS_MAO04_FILE_000_B"/>
    <s v="RECORD COUNT by MBR_ID, DOS_THRU_DT, DX_CD Grain grouped by PAYER, SRC_FILE_NM, DOS_THRU_YYYYMM"/>
  </r>
  <r>
    <x v="0"/>
    <s v="AETNA_MAO4_202506_20250702.txt"/>
    <x v="77"/>
    <x v="8"/>
    <n v="233567"/>
    <n v="12045768"/>
    <n v="1.94"/>
    <s v="DQS_MAO04_FILE_000_B"/>
    <s v="RECORD COUNT by MBR_ID, DOS_THRU_DT, DX_CD Grain grouped by PAYER, SRC_FILE_NM, DOS_THRU_YYYYMM"/>
  </r>
  <r>
    <x v="0"/>
    <s v="AETNA_MAO4_202506_20250702.txt"/>
    <x v="78"/>
    <x v="8"/>
    <n v="227630"/>
    <n v="12045768"/>
    <n v="1.89"/>
    <s v="DQS_MAO04_FILE_000_B"/>
    <s v="RECORD COUNT by MBR_ID, DOS_THRU_DT, DX_CD Grain grouped by PAYER, SRC_FILE_NM, DOS_THRU_YYYYMM"/>
  </r>
  <r>
    <x v="0"/>
    <s v="AETNA_MAO4_202506_20250702.txt"/>
    <x v="79"/>
    <x v="8"/>
    <n v="252357"/>
    <n v="12045768"/>
    <n v="2.09"/>
    <s v="DQS_MAO04_FILE_000_B"/>
    <s v="RECORD COUNT by MBR_ID, DOS_THRU_DT, DX_CD Grain grouped by PAYER, SRC_FILE_NM, DOS_THRU_YYYYMM"/>
  </r>
  <r>
    <x v="0"/>
    <s v="AETNA_MAO4_202506_20250702.txt"/>
    <x v="80"/>
    <x v="8"/>
    <n v="228530"/>
    <n v="12045768"/>
    <n v="1.9"/>
    <s v="DQS_MAO04_FILE_000_B"/>
    <s v="RECORD COUNT by MBR_ID, DOS_THRU_DT, DX_CD Grain grouped by PAYER, SRC_FILE_NM, DOS_THRU_YYYYMM"/>
  </r>
  <r>
    <x v="0"/>
    <s v="AETNA_MAO4_202506_20250702.txt"/>
    <x v="81"/>
    <x v="8"/>
    <n v="241973"/>
    <n v="12045768"/>
    <n v="2.0099999999999998"/>
    <s v="DQS_MAO04_FILE_000_B"/>
    <s v="RECORD COUNT by MBR_ID, DOS_THRU_DT, DX_CD Grain grouped by PAYER, SRC_FILE_NM, DOS_THRU_YYYYMM"/>
  </r>
  <r>
    <x v="0"/>
    <s v="AETNA_MAO4_202506_20250702.txt"/>
    <x v="82"/>
    <x v="8"/>
    <n v="235012"/>
    <n v="12045768"/>
    <n v="1.95"/>
    <s v="DQS_MAO04_FILE_000_B"/>
    <s v="RECORD COUNT by MBR_ID, DOS_THRU_DT, DX_CD Grain grouped by PAYER, SRC_FILE_NM, DOS_THRU_YYYYMM"/>
  </r>
  <r>
    <x v="0"/>
    <s v="AETNA_MAO4_202506_20250702.txt"/>
    <x v="83"/>
    <x v="8"/>
    <n v="218854"/>
    <n v="12045768"/>
    <n v="1.82"/>
    <s v="DQS_MAO04_FILE_000_B"/>
    <s v="RECORD COUNT by MBR_ID, DOS_THRU_DT, DX_CD Grain grouped by PAYER, SRC_FILE_NM, DOS_THRU_YYYYMM"/>
  </r>
  <r>
    <x v="0"/>
    <s v="AETNA_MAO4_202506_20250702.txt"/>
    <x v="84"/>
    <x v="8"/>
    <n v="251104"/>
    <n v="12045768"/>
    <n v="2.08"/>
    <s v="DQS_MAO04_FILE_000_B"/>
    <s v="RECORD COUNT by MBR_ID, DOS_THRU_DT, DX_CD Grain grouped by PAYER, SRC_FILE_NM, DOS_THRU_YYYYMM"/>
  </r>
  <r>
    <x v="0"/>
    <s v="AETNA_MAO4_202506_20250702.txt"/>
    <x v="85"/>
    <x v="8"/>
    <n v="235248"/>
    <n v="12045768"/>
    <n v="1.95"/>
    <s v="DQS_MAO04_FILE_000_B"/>
    <s v="RECORD COUNT by MBR_ID, DOS_THRU_DT, DX_CD Grain grouped by PAYER, SRC_FILE_NM, DOS_THRU_YYYYMM"/>
  </r>
  <r>
    <x v="0"/>
    <s v="AETNA_MAO4_202506_20250702.txt"/>
    <x v="86"/>
    <x v="8"/>
    <n v="256912"/>
    <n v="12045768"/>
    <n v="2.13"/>
    <s v="DQS_MAO04_FILE_000_B"/>
    <s v="RECORD COUNT by MBR_ID, DOS_THRU_DT, DX_CD Grain grouped by PAYER, SRC_FILE_NM, DOS_THRU_YYYYMM"/>
  </r>
  <r>
    <x v="0"/>
    <s v="AETNA_MAO4_202506_20250702.txt"/>
    <x v="87"/>
    <x v="8"/>
    <n v="241181"/>
    <n v="12045768"/>
    <n v="2"/>
    <s v="DQS_MAO04_FILE_000_B"/>
    <s v="RECORD COUNT by MBR_ID, DOS_THRU_DT, DX_CD Grain grouped by PAYER, SRC_FILE_NM, DOS_THRU_YYYYMM"/>
  </r>
  <r>
    <x v="0"/>
    <s v="AETNA_MAO4_202506_20250702.txt"/>
    <x v="88"/>
    <x v="8"/>
    <n v="227697"/>
    <n v="12045768"/>
    <n v="1.89"/>
    <s v="DQS_MAO04_FILE_000_B"/>
    <s v="RECORD COUNT by MBR_ID, DOS_THRU_DT, DX_CD Grain grouped by PAYER, SRC_FILE_NM, DOS_THRU_YYYYMM"/>
  </r>
  <r>
    <x v="0"/>
    <s v="AETNA_MAO4_202506_20250702.txt"/>
    <x v="89"/>
    <x v="9"/>
    <n v="396485"/>
    <n v="12045768"/>
    <n v="3.29"/>
    <s v="DQS_MAO04_FILE_000_B"/>
    <s v="RECORD COUNT by MBR_ID, DOS_THRU_DT, DX_CD Grain grouped by PAYER, SRC_FILE_NM, DOS_THRU_YYYYMM"/>
  </r>
  <r>
    <x v="0"/>
    <s v="AETNA_MAO4_202506_20250702.txt"/>
    <x v="97"/>
    <x v="9"/>
    <n v="431778"/>
    <n v="12045768"/>
    <n v="3.58"/>
    <s v="DQS_MAO04_FILE_000_B"/>
    <s v="RECORD COUNT by MBR_ID, DOS_THRU_DT, DX_CD Grain grouped by PAYER, SRC_FILE_NM, DOS_THRU_YYYYMM"/>
  </r>
  <r>
    <x v="0"/>
    <s v="AETNA_MAO4_202506_20250702.txt"/>
    <x v="98"/>
    <x v="9"/>
    <n v="437668"/>
    <n v="12045768"/>
    <n v="3.63"/>
    <s v="DQS_MAO04_FILE_000_B"/>
    <s v="RECORD COUNT by MBR_ID, DOS_THRU_DT, DX_CD Grain grouped by PAYER, SRC_FILE_NM, DOS_THRU_YYYYMM"/>
  </r>
  <r>
    <x v="0"/>
    <s v="AETNA_MAO4_202506_20250702.txt"/>
    <x v="99"/>
    <x v="9"/>
    <n v="467691"/>
    <n v="12045768"/>
    <n v="3.88"/>
    <s v="DQS_MAO04_FILE_000_B"/>
    <s v="RECORD COUNT by MBR_ID, DOS_THRU_DT, DX_CD Grain grouped by PAYER, SRC_FILE_NM, DOS_THRU_YYYYMM"/>
  </r>
  <r>
    <x v="0"/>
    <s v="AETNA_MAO4_202506_20250702.txt"/>
    <x v="100"/>
    <x v="9"/>
    <n v="429339"/>
    <n v="12045768"/>
    <n v="3.56"/>
    <s v="DQS_MAO04_FILE_000_B"/>
    <s v="RECORD COUNT by MBR_ID, DOS_THRU_DT, DX_CD Grain grouped by PAYER, SRC_FILE_NM, DOS_THRU_YYYYMM"/>
  </r>
  <r>
    <x v="0"/>
    <s v="AETNA_MAO4_202506_20250702.txt"/>
    <x v="102"/>
    <x v="9"/>
    <n v="390113"/>
    <n v="12045768"/>
    <n v="3.24"/>
    <s v="DQS_MAO04_FILE_000_B"/>
    <s v="RECORD COUNT by MBR_ID, DOS_THRU_DT, DX_CD Grain grouped by PAYER, SRC_FILE_NM, DOS_THRU_YYYYMM"/>
  </r>
  <r>
    <x v="0"/>
    <s v="AETNA_MAO4_202506_20250702.txt"/>
    <x v="103"/>
    <x v="9"/>
    <n v="419250"/>
    <n v="12045768"/>
    <n v="3.48"/>
    <s v="DQS_MAO04_FILE_000_B"/>
    <s v="RECORD COUNT by MBR_ID, DOS_THRU_DT, DX_CD Grain grouped by PAYER, SRC_FILE_NM, DOS_THRU_YYYYMM"/>
  </r>
  <r>
    <x v="0"/>
    <s v="AETNA_MAO4_202506_20250702.txt"/>
    <x v="105"/>
    <x v="9"/>
    <n v="428145"/>
    <n v="12045768"/>
    <n v="3.55"/>
    <s v="DQS_MAO04_FILE_000_B"/>
    <s v="RECORD COUNT by MBR_ID, DOS_THRU_DT, DX_CD Grain grouped by PAYER, SRC_FILE_NM, DOS_THRU_YYYYMM"/>
  </r>
  <r>
    <x v="0"/>
    <s v="AETNA_MAO4_202506_20250702.txt"/>
    <x v="106"/>
    <x v="9"/>
    <n v="437275"/>
    <n v="12045768"/>
    <n v="3.63"/>
    <s v="DQS_MAO04_FILE_000_B"/>
    <s v="RECORD COUNT by MBR_ID, DOS_THRU_DT, DX_CD Grain grouped by PAYER, SRC_FILE_NM, DOS_THRU_YYYYMM"/>
  </r>
  <r>
    <x v="0"/>
    <s v="AETNA_MAO4_202506_20250702.txt"/>
    <x v="107"/>
    <x v="9"/>
    <n v="555061"/>
    <n v="12045768"/>
    <n v="4.6100000000000003"/>
    <s v="DQS_MAO04_FILE_000_B"/>
    <s v="RECORD COUNT by MBR_ID, DOS_THRU_DT, DX_CD Grain grouped by PAYER, SRC_FILE_NM, DOS_THRU_YYYYMM"/>
  </r>
  <r>
    <x v="0"/>
    <s v="AETNA_MAO4_202506_20250702.txt"/>
    <x v="108"/>
    <x v="9"/>
    <n v="501874"/>
    <n v="12045768"/>
    <n v="4.17"/>
    <s v="DQS_MAO04_FILE_000_B"/>
    <s v="RECORD COUNT by MBR_ID, DOS_THRU_DT, DX_CD Grain grouped by PAYER, SRC_FILE_NM, DOS_THRU_YYYYMM"/>
  </r>
  <r>
    <x v="0"/>
    <s v="AETNA_MAO4_202506_20250702.txt"/>
    <x v="109"/>
    <x v="9"/>
    <n v="509616"/>
    <n v="12045768"/>
    <n v="4.2300000000000004"/>
    <s v="DQS_MAO04_FILE_000_B"/>
    <s v="RECORD COUNT by MBR_ID, DOS_THRU_DT, DX_CD Grain grouped by PAYER, SRC_FILE_NM, DOS_THRU_YYYYMM"/>
  </r>
  <r>
    <x v="0"/>
    <s v="AETNA_MAO4_202506_20250702.txt"/>
    <x v="110"/>
    <x v="11"/>
    <n v="407665"/>
    <n v="12045768"/>
    <n v="3.38"/>
    <s v="DQS_MAO04_FILE_000_B"/>
    <s v="RECORD COUNT by MBR_ID, DOS_THRU_DT, DX_CD Grain grouped by PAYER, SRC_FILE_NM, DOS_THRU_YYYYMM"/>
  </r>
  <r>
    <x v="0"/>
    <s v="AETNA_MAO4_202506_20250702.txt"/>
    <x v="111"/>
    <x v="11"/>
    <n v="365113"/>
    <n v="12045768"/>
    <n v="3.03"/>
    <s v="DQS_MAO04_FILE_000_B"/>
    <s v="RECORD COUNT by MBR_ID, DOS_THRU_DT, DX_CD Grain grouped by PAYER, SRC_FILE_NM, DOS_THRU_YYYYMM"/>
  </r>
  <r>
    <x v="0"/>
    <s v="AETNA_MAO4_202506_20250702.txt"/>
    <x v="112"/>
    <x v="11"/>
    <n v="403501"/>
    <n v="12045768"/>
    <n v="3.35"/>
    <s v="DQS_MAO04_FILE_000_B"/>
    <s v="RECORD COUNT by MBR_ID, DOS_THRU_DT, DX_CD Grain grouped by PAYER, SRC_FILE_NM, DOS_THRU_YYYYMM"/>
  </r>
  <r>
    <x v="0"/>
    <s v="AETNA_MAO4_202506_20250702.txt"/>
    <x v="113"/>
    <x v="11"/>
    <n v="381347"/>
    <n v="12045768"/>
    <n v="3.17"/>
    <s v="DQS_MAO04_FILE_000_B"/>
    <s v="RECORD COUNT by MBR_ID, DOS_THRU_DT, DX_CD Grain grouped by PAYER, SRC_FILE_NM, DOS_THRU_YYYYMM"/>
  </r>
  <r>
    <x v="0"/>
    <s v="AETNA_MAO4_202506_20250702.txt"/>
    <x v="114"/>
    <x v="11"/>
    <n v="108636"/>
    <n v="12045768"/>
    <n v="0.9"/>
    <s v="DQS_MAO04_FILE_000_B"/>
    <s v="RECORD COUNT by MBR_ID, DOS_THRU_DT, DX_CD Grain grouped by PAYER, SRC_FILE_NM, DOS_THRU_YYYYMM"/>
  </r>
  <r>
    <x v="0"/>
    <s v="MHS_MA_MAO4_202507_20250802.txt"/>
    <x v="23"/>
    <x v="3"/>
    <n v="6"/>
    <n v="12266669"/>
    <n v="0"/>
    <s v="DQS_MAO04_FILE_000_B"/>
    <s v="RECORD COUNT by MBR_ID, DOS_THRU_DT, DX_CD Grain grouped by PAYER, SRC_FILE_NM, DOS_THRU_YYYYMM"/>
  </r>
  <r>
    <x v="0"/>
    <s v="MHS_MA_MAO4_202507_20250802.txt"/>
    <x v="24"/>
    <x v="3"/>
    <n v="17"/>
    <n v="12266669"/>
    <n v="0"/>
    <s v="DQS_MAO04_FILE_000_B"/>
    <s v="RECORD COUNT by MBR_ID, DOS_THRU_DT, DX_CD Grain grouped by PAYER, SRC_FILE_NM, DOS_THRU_YYYYMM"/>
  </r>
  <r>
    <x v="0"/>
    <s v="MHS_MA_MAO4_202507_20250802.txt"/>
    <x v="29"/>
    <x v="4"/>
    <n v="147"/>
    <n v="12266669"/>
    <n v="0"/>
    <s v="DQS_MAO04_FILE_000_B"/>
    <s v="RECORD COUNT by MBR_ID, DOS_THRU_DT, DX_CD Grain grouped by PAYER, SRC_FILE_NM, DOS_THRU_YYYYMM"/>
  </r>
  <r>
    <x v="0"/>
    <s v="MHS_MA_MAO4_202507_20250802.txt"/>
    <x v="30"/>
    <x v="4"/>
    <n v="103"/>
    <n v="12266669"/>
    <n v="0"/>
    <s v="DQS_MAO04_FILE_000_B"/>
    <s v="RECORD COUNT by MBR_ID, DOS_THRU_DT, DX_CD Grain grouped by PAYER, SRC_FILE_NM, DOS_THRU_YYYYMM"/>
  </r>
  <r>
    <x v="0"/>
    <s v="MHS_MA_MAO4_202507_20250802.txt"/>
    <x v="31"/>
    <x v="4"/>
    <n v="198"/>
    <n v="12266669"/>
    <n v="0"/>
    <s v="DQS_MAO04_FILE_000_B"/>
    <s v="RECORD COUNT by MBR_ID, DOS_THRU_DT, DX_CD Grain grouped by PAYER, SRC_FILE_NM, DOS_THRU_YYYYMM"/>
  </r>
  <r>
    <x v="0"/>
    <s v="MHS_MA_MAO4_202507_20250802.txt"/>
    <x v="32"/>
    <x v="4"/>
    <n v="248"/>
    <n v="12266669"/>
    <n v="0"/>
    <s v="DQS_MAO04_FILE_000_B"/>
    <s v="RECORD COUNT by MBR_ID, DOS_THRU_DT, DX_CD Grain grouped by PAYER, SRC_FILE_NM, DOS_THRU_YYYYMM"/>
  </r>
  <r>
    <x v="0"/>
    <s v="MHS_MA_MAO4_202507_20250802.txt"/>
    <x v="33"/>
    <x v="4"/>
    <n v="289"/>
    <n v="12266669"/>
    <n v="0"/>
    <s v="DQS_MAO04_FILE_000_B"/>
    <s v="RECORD COUNT by MBR_ID, DOS_THRU_DT, DX_CD Grain grouped by PAYER, SRC_FILE_NM, DOS_THRU_YYYYMM"/>
  </r>
  <r>
    <x v="0"/>
    <s v="MHS_MA_MAO4_202507_20250802.txt"/>
    <x v="34"/>
    <x v="4"/>
    <n v="414"/>
    <n v="12266669"/>
    <n v="0"/>
    <s v="DQS_MAO04_FILE_000_B"/>
    <s v="RECORD COUNT by MBR_ID, DOS_THRU_DT, DX_CD Grain grouped by PAYER, SRC_FILE_NM, DOS_THRU_YYYYMM"/>
  </r>
  <r>
    <x v="0"/>
    <s v="MHS_MA_MAO4_202507_20250802.txt"/>
    <x v="35"/>
    <x v="4"/>
    <n v="237"/>
    <n v="12266669"/>
    <n v="0"/>
    <s v="DQS_MAO04_FILE_000_B"/>
    <s v="RECORD COUNT by MBR_ID, DOS_THRU_DT, DX_CD Grain grouped by PAYER, SRC_FILE_NM, DOS_THRU_YYYYMM"/>
  </r>
  <r>
    <x v="0"/>
    <s v="MHS_MA_MAO4_202507_20250802.txt"/>
    <x v="36"/>
    <x v="4"/>
    <n v="113"/>
    <n v="12266669"/>
    <n v="0"/>
    <s v="DQS_MAO04_FILE_000_B"/>
    <s v="RECORD COUNT by MBR_ID, DOS_THRU_DT, DX_CD Grain grouped by PAYER, SRC_FILE_NM, DOS_THRU_YYYYMM"/>
  </r>
  <r>
    <x v="0"/>
    <s v="MHS_MA_MAO4_202507_20250802.txt"/>
    <x v="37"/>
    <x v="4"/>
    <n v="144"/>
    <n v="12266669"/>
    <n v="0"/>
    <s v="DQS_MAO04_FILE_000_B"/>
    <s v="RECORD COUNT by MBR_ID, DOS_THRU_DT, DX_CD Grain grouped by PAYER, SRC_FILE_NM, DOS_THRU_YYYYMM"/>
  </r>
  <r>
    <x v="0"/>
    <s v="MHS_MA_MAO4_202507_20250802.txt"/>
    <x v="38"/>
    <x v="4"/>
    <n v="183"/>
    <n v="12266669"/>
    <n v="0"/>
    <s v="DQS_MAO04_FILE_000_B"/>
    <s v="RECORD COUNT by MBR_ID, DOS_THRU_DT, DX_CD Grain grouped by PAYER, SRC_FILE_NM, DOS_THRU_YYYYMM"/>
  </r>
  <r>
    <x v="0"/>
    <s v="MHS_MA_MAO4_202507_20250802.txt"/>
    <x v="39"/>
    <x v="4"/>
    <n v="101"/>
    <n v="12266669"/>
    <n v="0"/>
    <s v="DQS_MAO04_FILE_000_B"/>
    <s v="RECORD COUNT by MBR_ID, DOS_THRU_DT, DX_CD Grain grouped by PAYER, SRC_FILE_NM, DOS_THRU_YYYYMM"/>
  </r>
  <r>
    <x v="0"/>
    <s v="MHS_MA_MAO4_202507_20250802.txt"/>
    <x v="40"/>
    <x v="4"/>
    <n v="15"/>
    <n v="12266669"/>
    <n v="0"/>
    <s v="DQS_MAO04_FILE_000_B"/>
    <s v="RECORD COUNT by MBR_ID, DOS_THRU_DT, DX_CD Grain grouped by PAYER, SRC_FILE_NM, DOS_THRU_YYYYMM"/>
  </r>
  <r>
    <x v="0"/>
    <s v="MHS_MA_MAO4_202507_20250802.txt"/>
    <x v="41"/>
    <x v="5"/>
    <n v="821"/>
    <n v="12266669"/>
    <n v="0.01"/>
    <s v="DQS_MAO04_FILE_000_B"/>
    <s v="RECORD COUNT by MBR_ID, DOS_THRU_DT, DX_CD Grain grouped by PAYER, SRC_FILE_NM, DOS_THRU_YYYYMM"/>
  </r>
  <r>
    <x v="0"/>
    <s v="MHS_MA_MAO4_202507_20250802.txt"/>
    <x v="42"/>
    <x v="5"/>
    <n v="434"/>
    <n v="12266669"/>
    <n v="0"/>
    <s v="DQS_MAO04_FILE_000_B"/>
    <s v="RECORD COUNT by MBR_ID, DOS_THRU_DT, DX_CD Grain grouped by PAYER, SRC_FILE_NM, DOS_THRU_YYYYMM"/>
  </r>
  <r>
    <x v="0"/>
    <s v="MHS_MA_MAO4_202507_20250802.txt"/>
    <x v="43"/>
    <x v="5"/>
    <n v="548"/>
    <n v="12266669"/>
    <n v="0"/>
    <s v="DQS_MAO04_FILE_000_B"/>
    <s v="RECORD COUNT by MBR_ID, DOS_THRU_DT, DX_CD Grain grouped by PAYER, SRC_FILE_NM, DOS_THRU_YYYYMM"/>
  </r>
  <r>
    <x v="0"/>
    <s v="MHS_MA_MAO4_202507_20250802.txt"/>
    <x v="44"/>
    <x v="5"/>
    <n v="835"/>
    <n v="12266669"/>
    <n v="0.01"/>
    <s v="DQS_MAO04_FILE_000_B"/>
    <s v="RECORD COUNT by MBR_ID, DOS_THRU_DT, DX_CD Grain grouped by PAYER, SRC_FILE_NM, DOS_THRU_YYYYMM"/>
  </r>
  <r>
    <x v="0"/>
    <s v="MHS_MA_MAO4_202507_20250802.txt"/>
    <x v="45"/>
    <x v="5"/>
    <n v="1062"/>
    <n v="12266669"/>
    <n v="0.01"/>
    <s v="DQS_MAO04_FILE_000_B"/>
    <s v="RECORD COUNT by MBR_ID, DOS_THRU_DT, DX_CD Grain grouped by PAYER, SRC_FILE_NM, DOS_THRU_YYYYMM"/>
  </r>
  <r>
    <x v="0"/>
    <s v="MHS_MA_MAO4_202507_20250802.txt"/>
    <x v="46"/>
    <x v="5"/>
    <n v="1815"/>
    <n v="12266669"/>
    <n v="0.01"/>
    <s v="DQS_MAO04_FILE_000_B"/>
    <s v="RECORD COUNT by MBR_ID, DOS_THRU_DT, DX_CD Grain grouped by PAYER, SRC_FILE_NM, DOS_THRU_YYYYMM"/>
  </r>
  <r>
    <x v="0"/>
    <s v="MHS_MA_MAO4_202507_20250802.txt"/>
    <x v="47"/>
    <x v="5"/>
    <n v="2128"/>
    <n v="12266669"/>
    <n v="0.02"/>
    <s v="DQS_MAO04_FILE_000_B"/>
    <s v="RECORD COUNT by MBR_ID, DOS_THRU_DT, DX_CD Grain grouped by PAYER, SRC_FILE_NM, DOS_THRU_YYYYMM"/>
  </r>
  <r>
    <x v="0"/>
    <s v="MHS_MA_MAO4_202507_20250802.txt"/>
    <x v="48"/>
    <x v="5"/>
    <n v="1981"/>
    <n v="12266669"/>
    <n v="0.02"/>
    <s v="DQS_MAO04_FILE_000_B"/>
    <s v="RECORD COUNT by MBR_ID, DOS_THRU_DT, DX_CD Grain grouped by PAYER, SRC_FILE_NM, DOS_THRU_YYYYMM"/>
  </r>
  <r>
    <x v="0"/>
    <s v="MHS_MA_MAO4_202507_20250802.txt"/>
    <x v="49"/>
    <x v="5"/>
    <n v="1715"/>
    <n v="12266669"/>
    <n v="0.01"/>
    <s v="DQS_MAO04_FILE_000_B"/>
    <s v="RECORD COUNT by MBR_ID, DOS_THRU_DT, DX_CD Grain grouped by PAYER, SRC_FILE_NM, DOS_THRU_YYYYMM"/>
  </r>
  <r>
    <x v="0"/>
    <s v="MHS_MA_MAO4_202507_20250802.txt"/>
    <x v="50"/>
    <x v="5"/>
    <n v="1654"/>
    <n v="12266669"/>
    <n v="0.01"/>
    <s v="DQS_MAO04_FILE_000_B"/>
    <s v="RECORD COUNT by MBR_ID, DOS_THRU_DT, DX_CD Grain grouped by PAYER, SRC_FILE_NM, DOS_THRU_YYYYMM"/>
  </r>
  <r>
    <x v="0"/>
    <s v="MHS_MA_MAO4_202507_20250802.txt"/>
    <x v="51"/>
    <x v="5"/>
    <n v="1594"/>
    <n v="12266669"/>
    <n v="0.01"/>
    <s v="DQS_MAO04_FILE_000_B"/>
    <s v="RECORD COUNT by MBR_ID, DOS_THRU_DT, DX_CD Grain grouped by PAYER, SRC_FILE_NM, DOS_THRU_YYYYMM"/>
  </r>
  <r>
    <x v="0"/>
    <s v="MHS_MA_MAO4_202507_20250802.txt"/>
    <x v="52"/>
    <x v="5"/>
    <n v="1853"/>
    <n v="12266669"/>
    <n v="0.02"/>
    <s v="DQS_MAO04_FILE_000_B"/>
    <s v="RECORD COUNT by MBR_ID, DOS_THRU_DT, DX_CD Grain grouped by PAYER, SRC_FILE_NM, DOS_THRU_YYYYMM"/>
  </r>
  <r>
    <x v="0"/>
    <s v="MHS_MA_MAO4_202507_20250802.txt"/>
    <x v="53"/>
    <x v="6"/>
    <n v="30856"/>
    <n v="12266669"/>
    <n v="0.25"/>
    <s v="DQS_MAO04_FILE_000_B"/>
    <s v="RECORD COUNT by MBR_ID, DOS_THRU_DT, DX_CD Grain grouped by PAYER, SRC_FILE_NM, DOS_THRU_YYYYMM"/>
  </r>
  <r>
    <x v="0"/>
    <s v="MHS_MA_MAO4_202507_20250802.txt"/>
    <x v="54"/>
    <x v="6"/>
    <n v="21722"/>
    <n v="12266669"/>
    <n v="0.18"/>
    <s v="DQS_MAO04_FILE_000_B"/>
    <s v="RECORD COUNT by MBR_ID, DOS_THRU_DT, DX_CD Grain grouped by PAYER, SRC_FILE_NM, DOS_THRU_YYYYMM"/>
  </r>
  <r>
    <x v="0"/>
    <s v="MHS_MA_MAO4_202507_20250802.txt"/>
    <x v="55"/>
    <x v="6"/>
    <n v="26090"/>
    <n v="12266669"/>
    <n v="0.21"/>
    <s v="DQS_MAO04_FILE_000_B"/>
    <s v="RECORD COUNT by MBR_ID, DOS_THRU_DT, DX_CD Grain grouped by PAYER, SRC_FILE_NM, DOS_THRU_YYYYMM"/>
  </r>
  <r>
    <x v="0"/>
    <s v="MHS_MA_MAO4_202507_20250802.txt"/>
    <x v="56"/>
    <x v="6"/>
    <n v="24173"/>
    <n v="12266669"/>
    <n v="0.2"/>
    <s v="DQS_MAO04_FILE_000_B"/>
    <s v="RECORD COUNT by MBR_ID, DOS_THRU_DT, DX_CD Grain grouped by PAYER, SRC_FILE_NM, DOS_THRU_YYYYMM"/>
  </r>
  <r>
    <x v="0"/>
    <s v="MHS_MA_MAO4_202507_20250802.txt"/>
    <x v="57"/>
    <x v="6"/>
    <n v="22977"/>
    <n v="12266669"/>
    <n v="0.19"/>
    <s v="DQS_MAO04_FILE_000_B"/>
    <s v="RECORD COUNT by MBR_ID, DOS_THRU_DT, DX_CD Grain grouped by PAYER, SRC_FILE_NM, DOS_THRU_YYYYMM"/>
  </r>
  <r>
    <x v="0"/>
    <s v="MHS_MA_MAO4_202507_20250802.txt"/>
    <x v="58"/>
    <x v="6"/>
    <n v="25343"/>
    <n v="12266669"/>
    <n v="0.21"/>
    <s v="DQS_MAO04_FILE_000_B"/>
    <s v="RECORD COUNT by MBR_ID, DOS_THRU_DT, DX_CD Grain grouped by PAYER, SRC_FILE_NM, DOS_THRU_YYYYMM"/>
  </r>
  <r>
    <x v="0"/>
    <s v="MHS_MA_MAO4_202507_20250802.txt"/>
    <x v="59"/>
    <x v="6"/>
    <n v="59952"/>
    <n v="12266669"/>
    <n v="0.49"/>
    <s v="DQS_MAO04_FILE_000_B"/>
    <s v="RECORD COUNT by MBR_ID, DOS_THRU_DT, DX_CD Grain grouped by PAYER, SRC_FILE_NM, DOS_THRU_YYYYMM"/>
  </r>
  <r>
    <x v="0"/>
    <s v="MHS_MA_MAO4_202507_20250802.txt"/>
    <x v="60"/>
    <x v="6"/>
    <n v="63602"/>
    <n v="12266669"/>
    <n v="0.52"/>
    <s v="DQS_MAO04_FILE_000_B"/>
    <s v="RECORD COUNT by MBR_ID, DOS_THRU_DT, DX_CD Grain grouped by PAYER, SRC_FILE_NM, DOS_THRU_YYYYMM"/>
  </r>
  <r>
    <x v="0"/>
    <s v="MHS_MA_MAO4_202507_20250802.txt"/>
    <x v="61"/>
    <x v="6"/>
    <n v="66853"/>
    <n v="12266669"/>
    <n v="0.54"/>
    <s v="DQS_MAO04_FILE_000_B"/>
    <s v="RECORD COUNT by MBR_ID, DOS_THRU_DT, DX_CD Grain grouped by PAYER, SRC_FILE_NM, DOS_THRU_YYYYMM"/>
  </r>
  <r>
    <x v="0"/>
    <s v="MHS_MA_MAO4_202507_20250802.txt"/>
    <x v="62"/>
    <x v="6"/>
    <n v="65011"/>
    <n v="12266669"/>
    <n v="0.53"/>
    <s v="DQS_MAO04_FILE_000_B"/>
    <s v="RECORD COUNT by MBR_ID, DOS_THRU_DT, DX_CD Grain grouped by PAYER, SRC_FILE_NM, DOS_THRU_YYYYMM"/>
  </r>
  <r>
    <x v="0"/>
    <s v="MHS_MA_MAO4_202507_20250802.txt"/>
    <x v="63"/>
    <x v="6"/>
    <n v="66738"/>
    <n v="12266669"/>
    <n v="0.54"/>
    <s v="DQS_MAO04_FILE_000_B"/>
    <s v="RECORD COUNT by MBR_ID, DOS_THRU_DT, DX_CD Grain grouped by PAYER, SRC_FILE_NM, DOS_THRU_YYYYMM"/>
  </r>
  <r>
    <x v="0"/>
    <s v="MHS_MA_MAO4_202507_20250802.txt"/>
    <x v="64"/>
    <x v="6"/>
    <n v="67203"/>
    <n v="12266669"/>
    <n v="0.55000000000000004"/>
    <s v="DQS_MAO04_FILE_000_B"/>
    <s v="RECORD COUNT by MBR_ID, DOS_THRU_DT, DX_CD Grain grouped by PAYER, SRC_FILE_NM, DOS_THRU_YYYYMM"/>
  </r>
  <r>
    <x v="0"/>
    <s v="MHS_MA_MAO4_202507_20250802.txt"/>
    <x v="65"/>
    <x v="7"/>
    <n v="54849"/>
    <n v="12266669"/>
    <n v="0.45"/>
    <s v="DQS_MAO04_FILE_000_B"/>
    <s v="RECORD COUNT by MBR_ID, DOS_THRU_DT, DX_CD Grain grouped by PAYER, SRC_FILE_NM, DOS_THRU_YYYYMM"/>
  </r>
  <r>
    <x v="0"/>
    <s v="MHS_MA_MAO4_202507_20250802.txt"/>
    <x v="66"/>
    <x v="7"/>
    <n v="44253"/>
    <n v="12266669"/>
    <n v="0.36"/>
    <s v="DQS_MAO04_FILE_000_B"/>
    <s v="RECORD COUNT by MBR_ID, DOS_THRU_DT, DX_CD Grain grouped by PAYER, SRC_FILE_NM, DOS_THRU_YYYYMM"/>
  </r>
  <r>
    <x v="0"/>
    <s v="MHS_MA_MAO4_202507_20250802.txt"/>
    <x v="67"/>
    <x v="7"/>
    <n v="58127"/>
    <n v="12266669"/>
    <n v="0.47"/>
    <s v="DQS_MAO04_FILE_000_B"/>
    <s v="RECORD COUNT by MBR_ID, DOS_THRU_DT, DX_CD Grain grouped by PAYER, SRC_FILE_NM, DOS_THRU_YYYYMM"/>
  </r>
  <r>
    <x v="0"/>
    <s v="MHS_MA_MAO4_202507_20250802.txt"/>
    <x v="68"/>
    <x v="7"/>
    <n v="54397"/>
    <n v="12266669"/>
    <n v="0.44"/>
    <s v="DQS_MAO04_FILE_000_B"/>
    <s v="RECORD COUNT by MBR_ID, DOS_THRU_DT, DX_CD Grain grouped by PAYER, SRC_FILE_NM, DOS_THRU_YYYYMM"/>
  </r>
  <r>
    <x v="0"/>
    <s v="MHS_MA_MAO4_202507_20250802.txt"/>
    <x v="69"/>
    <x v="7"/>
    <n v="53963"/>
    <n v="12266669"/>
    <n v="0.44"/>
    <s v="DQS_MAO04_FILE_000_B"/>
    <s v="RECORD COUNT by MBR_ID, DOS_THRU_DT, DX_CD Grain grouped by PAYER, SRC_FILE_NM, DOS_THRU_YYYYMM"/>
  </r>
  <r>
    <x v="0"/>
    <s v="MHS_MA_MAO4_202507_20250802.txt"/>
    <x v="70"/>
    <x v="7"/>
    <n v="54457"/>
    <n v="12266669"/>
    <n v="0.44"/>
    <s v="DQS_MAO04_FILE_000_B"/>
    <s v="RECORD COUNT by MBR_ID, DOS_THRU_DT, DX_CD Grain grouped by PAYER, SRC_FILE_NM, DOS_THRU_YYYYMM"/>
  </r>
  <r>
    <x v="0"/>
    <s v="MHS_MA_MAO4_202507_20250802.txt"/>
    <x v="71"/>
    <x v="7"/>
    <n v="66214"/>
    <n v="12266669"/>
    <n v="0.54"/>
    <s v="DQS_MAO04_FILE_000_B"/>
    <s v="RECORD COUNT by MBR_ID, DOS_THRU_DT, DX_CD Grain grouped by PAYER, SRC_FILE_NM, DOS_THRU_YYYYMM"/>
  </r>
  <r>
    <x v="0"/>
    <s v="MHS_MA_MAO4_202507_20250802.txt"/>
    <x v="72"/>
    <x v="7"/>
    <n v="169549"/>
    <n v="12266669"/>
    <n v="1.38"/>
    <s v="DQS_MAO04_FILE_000_B"/>
    <s v="RECORD COUNT by MBR_ID, DOS_THRU_DT, DX_CD Grain grouped by PAYER, SRC_FILE_NM, DOS_THRU_YYYYMM"/>
  </r>
  <r>
    <x v="0"/>
    <s v="MHS_MA_MAO4_202507_20250802.txt"/>
    <x v="73"/>
    <x v="7"/>
    <n v="179678"/>
    <n v="12266669"/>
    <n v="1.46"/>
    <s v="DQS_MAO04_FILE_000_B"/>
    <s v="RECORD COUNT by MBR_ID, DOS_THRU_DT, DX_CD Grain grouped by PAYER, SRC_FILE_NM, DOS_THRU_YYYYMM"/>
  </r>
  <r>
    <x v="0"/>
    <s v="MHS_MA_MAO4_202507_20250802.txt"/>
    <x v="74"/>
    <x v="7"/>
    <n v="182479"/>
    <n v="12266669"/>
    <n v="1.49"/>
    <s v="DQS_MAO04_FILE_000_B"/>
    <s v="RECORD COUNT by MBR_ID, DOS_THRU_DT, DX_CD Grain grouped by PAYER, SRC_FILE_NM, DOS_THRU_YYYYMM"/>
  </r>
  <r>
    <x v="0"/>
    <s v="MHS_MA_MAO4_202507_20250802.txt"/>
    <x v="75"/>
    <x v="7"/>
    <n v="180075"/>
    <n v="12266669"/>
    <n v="1.47"/>
    <s v="DQS_MAO04_FILE_000_B"/>
    <s v="RECORD COUNT by MBR_ID, DOS_THRU_DT, DX_CD Grain grouped by PAYER, SRC_FILE_NM, DOS_THRU_YYYYMM"/>
  </r>
  <r>
    <x v="0"/>
    <s v="MHS_MA_MAO4_202507_20250802.txt"/>
    <x v="76"/>
    <x v="7"/>
    <n v="170110"/>
    <n v="12266669"/>
    <n v="1.39"/>
    <s v="DQS_MAO04_FILE_000_B"/>
    <s v="RECORD COUNT by MBR_ID, DOS_THRU_DT, DX_CD Grain grouped by PAYER, SRC_FILE_NM, DOS_THRU_YYYYMM"/>
  </r>
  <r>
    <x v="0"/>
    <s v="MHS_MA_MAO4_202507_20250802.txt"/>
    <x v="77"/>
    <x v="8"/>
    <n v="233056"/>
    <n v="12266669"/>
    <n v="1.9"/>
    <s v="DQS_MAO04_FILE_000_B"/>
    <s v="RECORD COUNT by MBR_ID, DOS_THRU_DT, DX_CD Grain grouped by PAYER, SRC_FILE_NM, DOS_THRU_YYYYMM"/>
  </r>
  <r>
    <x v="0"/>
    <s v="MHS_MA_MAO4_202507_20250802.txt"/>
    <x v="78"/>
    <x v="8"/>
    <n v="227394"/>
    <n v="12266669"/>
    <n v="1.85"/>
    <s v="DQS_MAO04_FILE_000_B"/>
    <s v="RECORD COUNT by MBR_ID, DOS_THRU_DT, DX_CD Grain grouped by PAYER, SRC_FILE_NM, DOS_THRU_YYYYMM"/>
  </r>
  <r>
    <x v="0"/>
    <s v="MHS_MA_MAO4_202507_20250802.txt"/>
    <x v="79"/>
    <x v="8"/>
    <n v="251900"/>
    <n v="12266669"/>
    <n v="2.0499999999999998"/>
    <s v="DQS_MAO04_FILE_000_B"/>
    <s v="RECORD COUNT by MBR_ID, DOS_THRU_DT, DX_CD Grain grouped by PAYER, SRC_FILE_NM, DOS_THRU_YYYYMM"/>
  </r>
  <r>
    <x v="0"/>
    <s v="MHS_MA_MAO4_202507_20250802.txt"/>
    <x v="80"/>
    <x v="8"/>
    <n v="228362"/>
    <n v="12266669"/>
    <n v="1.86"/>
    <s v="DQS_MAO04_FILE_000_B"/>
    <s v="RECORD COUNT by MBR_ID, DOS_THRU_DT, DX_CD Grain grouped by PAYER, SRC_FILE_NM, DOS_THRU_YYYYMM"/>
  </r>
  <r>
    <x v="0"/>
    <s v="MHS_MA_MAO4_202507_20250802.txt"/>
    <x v="81"/>
    <x v="8"/>
    <n v="241835"/>
    <n v="12266669"/>
    <n v="1.97"/>
    <s v="DQS_MAO04_FILE_000_B"/>
    <s v="RECORD COUNT by MBR_ID, DOS_THRU_DT, DX_CD Grain grouped by PAYER, SRC_FILE_NM, DOS_THRU_YYYYMM"/>
  </r>
  <r>
    <x v="0"/>
    <s v="MHS_MA_MAO4_202507_20250802.txt"/>
    <x v="82"/>
    <x v="8"/>
    <n v="234984"/>
    <n v="12266669"/>
    <n v="1.92"/>
    <s v="DQS_MAO04_FILE_000_B"/>
    <s v="RECORD COUNT by MBR_ID, DOS_THRU_DT, DX_CD Grain grouped by PAYER, SRC_FILE_NM, DOS_THRU_YYYYMM"/>
  </r>
  <r>
    <x v="0"/>
    <s v="MHS_MA_MAO4_202507_20250802.txt"/>
    <x v="83"/>
    <x v="8"/>
    <n v="218849"/>
    <n v="12266669"/>
    <n v="1.78"/>
    <s v="DQS_MAO04_FILE_000_B"/>
    <s v="RECORD COUNT by MBR_ID, DOS_THRU_DT, DX_CD Grain grouped by PAYER, SRC_FILE_NM, DOS_THRU_YYYYMM"/>
  </r>
  <r>
    <x v="0"/>
    <s v="MHS_MA_MAO4_202507_20250802.txt"/>
    <x v="84"/>
    <x v="8"/>
    <n v="250229"/>
    <n v="12266669"/>
    <n v="2.04"/>
    <s v="DQS_MAO04_FILE_000_B"/>
    <s v="RECORD COUNT by MBR_ID, DOS_THRU_DT, DX_CD Grain grouped by PAYER, SRC_FILE_NM, DOS_THRU_YYYYMM"/>
  </r>
  <r>
    <x v="0"/>
    <s v="MHS_MA_MAO4_202507_20250802.txt"/>
    <x v="85"/>
    <x v="8"/>
    <n v="234795"/>
    <n v="12266669"/>
    <n v="1.91"/>
    <s v="DQS_MAO04_FILE_000_B"/>
    <s v="RECORD COUNT by MBR_ID, DOS_THRU_DT, DX_CD Grain grouped by PAYER, SRC_FILE_NM, DOS_THRU_YYYYMM"/>
  </r>
  <r>
    <x v="0"/>
    <s v="MHS_MA_MAO4_202507_20250802.txt"/>
    <x v="86"/>
    <x v="8"/>
    <n v="256575"/>
    <n v="12266669"/>
    <n v="2.09"/>
    <s v="DQS_MAO04_FILE_000_B"/>
    <s v="RECORD COUNT by MBR_ID, DOS_THRU_DT, DX_CD Grain grouped by PAYER, SRC_FILE_NM, DOS_THRU_YYYYMM"/>
  </r>
  <r>
    <x v="0"/>
    <s v="MHS_MA_MAO4_202507_20250802.txt"/>
    <x v="87"/>
    <x v="8"/>
    <n v="240981"/>
    <n v="12266669"/>
    <n v="1.96"/>
    <s v="DQS_MAO04_FILE_000_B"/>
    <s v="RECORD COUNT by MBR_ID, DOS_THRU_DT, DX_CD Grain grouped by PAYER, SRC_FILE_NM, DOS_THRU_YYYYMM"/>
  </r>
  <r>
    <x v="0"/>
    <s v="MHS_MA_MAO4_202507_20250802.txt"/>
    <x v="88"/>
    <x v="8"/>
    <n v="227355"/>
    <n v="12266669"/>
    <n v="1.85"/>
    <s v="DQS_MAO04_FILE_000_B"/>
    <s v="RECORD COUNT by MBR_ID, DOS_THRU_DT, DX_CD Grain grouped by PAYER, SRC_FILE_NM, DOS_THRU_YYYYMM"/>
  </r>
  <r>
    <x v="0"/>
    <s v="MHS_MA_MAO4_202507_20250802.txt"/>
    <x v="89"/>
    <x v="9"/>
    <n v="397997"/>
    <n v="12266669"/>
    <n v="3.24"/>
    <s v="DQS_MAO04_FILE_000_B"/>
    <s v="RECORD COUNT by MBR_ID, DOS_THRU_DT, DX_CD Grain grouped by PAYER, SRC_FILE_NM, DOS_THRU_YYYYMM"/>
  </r>
  <r>
    <x v="0"/>
    <s v="MHS_MA_MAO4_202507_20250802.txt"/>
    <x v="97"/>
    <x v="9"/>
    <n v="433709"/>
    <n v="12266669"/>
    <n v="3.54"/>
    <s v="DQS_MAO04_FILE_000_B"/>
    <s v="RECORD COUNT by MBR_ID, DOS_THRU_DT, DX_CD Grain grouped by PAYER, SRC_FILE_NM, DOS_THRU_YYYYMM"/>
  </r>
  <r>
    <x v="0"/>
    <s v="MHS_MA_MAO4_202507_20250802.txt"/>
    <x v="98"/>
    <x v="9"/>
    <n v="439721"/>
    <n v="12266669"/>
    <n v="3.58"/>
    <s v="DQS_MAO04_FILE_000_B"/>
    <s v="RECORD COUNT by MBR_ID, DOS_THRU_DT, DX_CD Grain grouped by PAYER, SRC_FILE_NM, DOS_THRU_YYYYMM"/>
  </r>
  <r>
    <x v="0"/>
    <s v="MHS_MA_MAO4_202507_20250802.txt"/>
    <x v="99"/>
    <x v="9"/>
    <n v="470449"/>
    <n v="12266669"/>
    <n v="3.84"/>
    <s v="DQS_MAO04_FILE_000_B"/>
    <s v="RECORD COUNT by MBR_ID, DOS_THRU_DT, DX_CD Grain grouped by PAYER, SRC_FILE_NM, DOS_THRU_YYYYMM"/>
  </r>
  <r>
    <x v="0"/>
    <s v="MHS_MA_MAO4_202507_20250802.txt"/>
    <x v="100"/>
    <x v="9"/>
    <n v="433380"/>
    <n v="12266669"/>
    <n v="3.53"/>
    <s v="DQS_MAO04_FILE_000_B"/>
    <s v="RECORD COUNT by MBR_ID, DOS_THRU_DT, DX_CD Grain grouped by PAYER, SRC_FILE_NM, DOS_THRU_YYYYMM"/>
  </r>
  <r>
    <x v="0"/>
    <s v="MHS_MA_MAO4_202507_20250802.txt"/>
    <x v="102"/>
    <x v="9"/>
    <n v="393891"/>
    <n v="12266669"/>
    <n v="3.21"/>
    <s v="DQS_MAO04_FILE_000_B"/>
    <s v="RECORD COUNT by MBR_ID, DOS_THRU_DT, DX_CD Grain grouped by PAYER, SRC_FILE_NM, DOS_THRU_YYYYMM"/>
  </r>
  <r>
    <x v="0"/>
    <s v="MHS_MA_MAO4_202507_20250802.txt"/>
    <x v="103"/>
    <x v="9"/>
    <n v="423734"/>
    <n v="12266669"/>
    <n v="3.45"/>
    <s v="DQS_MAO04_FILE_000_B"/>
    <s v="RECORD COUNT by MBR_ID, DOS_THRU_DT, DX_CD Grain grouped by PAYER, SRC_FILE_NM, DOS_THRU_YYYYMM"/>
  </r>
  <r>
    <x v="0"/>
    <s v="MHS_MA_MAO4_202507_20250802.txt"/>
    <x v="105"/>
    <x v="9"/>
    <n v="432906"/>
    <n v="12266669"/>
    <n v="3.53"/>
    <s v="DQS_MAO04_FILE_000_B"/>
    <s v="RECORD COUNT by MBR_ID, DOS_THRU_DT, DX_CD Grain grouped by PAYER, SRC_FILE_NM, DOS_THRU_YYYYMM"/>
  </r>
  <r>
    <x v="0"/>
    <s v="MHS_MA_MAO4_202507_20250802.txt"/>
    <x v="106"/>
    <x v="9"/>
    <n v="441479"/>
    <n v="12266669"/>
    <n v="3.6"/>
    <s v="DQS_MAO04_FILE_000_B"/>
    <s v="RECORD COUNT by MBR_ID, DOS_THRU_DT, DX_CD Grain grouped by PAYER, SRC_FILE_NM, DOS_THRU_YYYYMM"/>
  </r>
  <r>
    <x v="0"/>
    <s v="MHS_MA_MAO4_202507_20250802.txt"/>
    <x v="107"/>
    <x v="9"/>
    <n v="560128"/>
    <n v="12266669"/>
    <n v="4.57"/>
    <s v="DQS_MAO04_FILE_000_B"/>
    <s v="RECORD COUNT by MBR_ID, DOS_THRU_DT, DX_CD Grain grouped by PAYER, SRC_FILE_NM, DOS_THRU_YYYYMM"/>
  </r>
  <r>
    <x v="0"/>
    <s v="MHS_MA_MAO4_202507_20250802.txt"/>
    <x v="108"/>
    <x v="9"/>
    <n v="505412"/>
    <n v="12266669"/>
    <n v="4.12"/>
    <s v="DQS_MAO04_FILE_000_B"/>
    <s v="RECORD COUNT by MBR_ID, DOS_THRU_DT, DX_CD Grain grouped by PAYER, SRC_FILE_NM, DOS_THRU_YYYYMM"/>
  </r>
  <r>
    <x v="0"/>
    <s v="MHS_MA_MAO4_202507_20250802.txt"/>
    <x v="109"/>
    <x v="9"/>
    <n v="513675"/>
    <n v="12266669"/>
    <n v="4.1900000000000004"/>
    <s v="DQS_MAO04_FILE_000_B"/>
    <s v="RECORD COUNT by MBR_ID, DOS_THRU_DT, DX_CD Grain grouped by PAYER, SRC_FILE_NM, DOS_THRU_YYYYMM"/>
  </r>
  <r>
    <x v="0"/>
    <s v="MHS_MA_MAO4_202507_20250802.txt"/>
    <x v="110"/>
    <x v="11"/>
    <n v="451699"/>
    <n v="12266669"/>
    <n v="3.68"/>
    <s v="DQS_MAO04_FILE_000_B"/>
    <s v="RECORD COUNT by MBR_ID, DOS_THRU_DT, DX_CD Grain grouped by PAYER, SRC_FILE_NM, DOS_THRU_YYYYMM"/>
  </r>
  <r>
    <x v="0"/>
    <s v="MHS_MA_MAO4_202507_20250802.txt"/>
    <x v="111"/>
    <x v="11"/>
    <n v="411821"/>
    <n v="12266669"/>
    <n v="3.36"/>
    <s v="DQS_MAO04_FILE_000_B"/>
    <s v="RECORD COUNT by MBR_ID, DOS_THRU_DT, DX_CD Grain grouped by PAYER, SRC_FILE_NM, DOS_THRU_YYYYMM"/>
  </r>
  <r>
    <x v="0"/>
    <s v="MHS_MA_MAO4_202507_20250802.txt"/>
    <x v="112"/>
    <x v="11"/>
    <n v="454817"/>
    <n v="12266669"/>
    <n v="3.71"/>
    <s v="DQS_MAO04_FILE_000_B"/>
    <s v="RECORD COUNT by MBR_ID, DOS_THRU_DT, DX_CD Grain grouped by PAYER, SRC_FILE_NM, DOS_THRU_YYYYMM"/>
  </r>
  <r>
    <x v="0"/>
    <s v="MHS_MA_MAO4_202507_20250802.txt"/>
    <x v="113"/>
    <x v="11"/>
    <n v="395502"/>
    <n v="12266669"/>
    <n v="3.22"/>
    <s v="DQS_MAO04_FILE_000_B"/>
    <s v="RECORD COUNT by MBR_ID, DOS_THRU_DT, DX_CD Grain grouped by PAYER, SRC_FILE_NM, DOS_THRU_YYYYMM"/>
  </r>
  <r>
    <x v="0"/>
    <s v="MHS_MA_MAO4_202507_20250802.txt"/>
    <x v="114"/>
    <x v="11"/>
    <n v="347658"/>
    <n v="12266669"/>
    <n v="2.83"/>
    <s v="DQS_MAO04_FILE_000_B"/>
    <s v="RECORD COUNT by MBR_ID, DOS_THRU_DT, DX_CD Grain grouped by PAYER, SRC_FILE_NM, DOS_THRU_YYYYMM"/>
  </r>
  <r>
    <x v="0"/>
    <s v="MHS_MA_MAO4_202507_20250802.txt"/>
    <x v="115"/>
    <x v="11"/>
    <n v="85050"/>
    <n v="12266669"/>
    <n v="0.69"/>
    <s v="DQS_MAO04_FILE_000_B"/>
    <s v="RECORD COUNT by MBR_ID, DOS_THRU_DT, DX_CD Grain grouped by PAYER, SRC_FILE_NM, DOS_THRU_YYYYMM"/>
  </r>
  <r>
    <x v="0"/>
    <s v="MHS_MA_MAO4_202508_20250902.txt"/>
    <x v="23"/>
    <x v="3"/>
    <n v="6"/>
    <n v="12619878"/>
    <n v="0"/>
    <s v="DQS_MAO04_FILE_000_B"/>
    <s v="RECORD COUNT by MBR_ID, DOS_THRU_DT, DX_CD Grain grouped by PAYER, SRC_FILE_NM, DOS_THRU_YYYYMM"/>
  </r>
  <r>
    <x v="0"/>
    <s v="MHS_MA_MAO4_202508_20250902.txt"/>
    <x v="24"/>
    <x v="3"/>
    <n v="17"/>
    <n v="12619878"/>
    <n v="0"/>
    <s v="DQS_MAO04_FILE_000_B"/>
    <s v="RECORD COUNT by MBR_ID, DOS_THRU_DT, DX_CD Grain grouped by PAYER, SRC_FILE_NM, DOS_THRU_YYYYMM"/>
  </r>
  <r>
    <x v="0"/>
    <s v="MHS_MA_MAO4_202508_20250902.txt"/>
    <x v="29"/>
    <x v="4"/>
    <n v="137"/>
    <n v="12619878"/>
    <n v="0"/>
    <s v="DQS_MAO04_FILE_000_B"/>
    <s v="RECORD COUNT by MBR_ID, DOS_THRU_DT, DX_CD Grain grouped by PAYER, SRC_FILE_NM, DOS_THRU_YYYYMM"/>
  </r>
  <r>
    <x v="0"/>
    <s v="MHS_MA_MAO4_202508_20250902.txt"/>
    <x v="30"/>
    <x v="4"/>
    <n v="103"/>
    <n v="12619878"/>
    <n v="0"/>
    <s v="DQS_MAO04_FILE_000_B"/>
    <s v="RECORD COUNT by MBR_ID, DOS_THRU_DT, DX_CD Grain grouped by PAYER, SRC_FILE_NM, DOS_THRU_YYYYMM"/>
  </r>
  <r>
    <x v="0"/>
    <s v="MHS_MA_MAO4_202508_20250902.txt"/>
    <x v="31"/>
    <x v="4"/>
    <n v="198"/>
    <n v="12619878"/>
    <n v="0"/>
    <s v="DQS_MAO04_FILE_000_B"/>
    <s v="RECORD COUNT by MBR_ID, DOS_THRU_DT, DX_CD Grain grouped by PAYER, SRC_FILE_NM, DOS_THRU_YYYYMM"/>
  </r>
  <r>
    <x v="0"/>
    <s v="MHS_MA_MAO4_202508_20250902.txt"/>
    <x v="32"/>
    <x v="4"/>
    <n v="247"/>
    <n v="12619878"/>
    <n v="0"/>
    <s v="DQS_MAO04_FILE_000_B"/>
    <s v="RECORD COUNT by MBR_ID, DOS_THRU_DT, DX_CD Grain grouped by PAYER, SRC_FILE_NM, DOS_THRU_YYYYMM"/>
  </r>
  <r>
    <x v="0"/>
    <s v="MHS_MA_MAO4_202508_20250902.txt"/>
    <x v="33"/>
    <x v="4"/>
    <n v="270"/>
    <n v="12619878"/>
    <n v="0"/>
    <s v="DQS_MAO04_FILE_000_B"/>
    <s v="RECORD COUNT by MBR_ID, DOS_THRU_DT, DX_CD Grain grouped by PAYER, SRC_FILE_NM, DOS_THRU_YYYYMM"/>
  </r>
  <r>
    <x v="0"/>
    <s v="MHS_MA_MAO4_202508_20250902.txt"/>
    <x v="34"/>
    <x v="4"/>
    <n v="414"/>
    <n v="12619878"/>
    <n v="0"/>
    <s v="DQS_MAO04_FILE_000_B"/>
    <s v="RECORD COUNT by MBR_ID, DOS_THRU_DT, DX_CD Grain grouped by PAYER, SRC_FILE_NM, DOS_THRU_YYYYMM"/>
  </r>
  <r>
    <x v="0"/>
    <s v="MHS_MA_MAO4_202508_20250902.txt"/>
    <x v="35"/>
    <x v="4"/>
    <n v="224"/>
    <n v="12619878"/>
    <n v="0"/>
    <s v="DQS_MAO04_FILE_000_B"/>
    <s v="RECORD COUNT by MBR_ID, DOS_THRU_DT, DX_CD Grain grouped by PAYER, SRC_FILE_NM, DOS_THRU_YYYYMM"/>
  </r>
  <r>
    <x v="0"/>
    <s v="MHS_MA_MAO4_202508_20250902.txt"/>
    <x v="36"/>
    <x v="4"/>
    <n v="113"/>
    <n v="12619878"/>
    <n v="0"/>
    <s v="DQS_MAO04_FILE_000_B"/>
    <s v="RECORD COUNT by MBR_ID, DOS_THRU_DT, DX_CD Grain grouped by PAYER, SRC_FILE_NM, DOS_THRU_YYYYMM"/>
  </r>
  <r>
    <x v="0"/>
    <s v="MHS_MA_MAO4_202508_20250902.txt"/>
    <x v="37"/>
    <x v="4"/>
    <n v="129"/>
    <n v="12619878"/>
    <n v="0"/>
    <s v="DQS_MAO04_FILE_000_B"/>
    <s v="RECORD COUNT by MBR_ID, DOS_THRU_DT, DX_CD Grain grouped by PAYER, SRC_FILE_NM, DOS_THRU_YYYYMM"/>
  </r>
  <r>
    <x v="0"/>
    <s v="MHS_MA_MAO4_202508_20250902.txt"/>
    <x v="38"/>
    <x v="4"/>
    <n v="169"/>
    <n v="12619878"/>
    <n v="0"/>
    <s v="DQS_MAO04_FILE_000_B"/>
    <s v="RECORD COUNT by MBR_ID, DOS_THRU_DT, DX_CD Grain grouped by PAYER, SRC_FILE_NM, DOS_THRU_YYYYMM"/>
  </r>
  <r>
    <x v="0"/>
    <s v="MHS_MA_MAO4_202508_20250902.txt"/>
    <x v="39"/>
    <x v="4"/>
    <n v="100"/>
    <n v="12619878"/>
    <n v="0"/>
    <s v="DQS_MAO04_FILE_000_B"/>
    <s v="RECORD COUNT by MBR_ID, DOS_THRU_DT, DX_CD Grain grouped by PAYER, SRC_FILE_NM, DOS_THRU_YYYYMM"/>
  </r>
  <r>
    <x v="0"/>
    <s v="MHS_MA_MAO4_202508_20250902.txt"/>
    <x v="40"/>
    <x v="4"/>
    <n v="15"/>
    <n v="12619878"/>
    <n v="0"/>
    <s v="DQS_MAO04_FILE_000_B"/>
    <s v="RECORD COUNT by MBR_ID, DOS_THRU_DT, DX_CD Grain grouped by PAYER, SRC_FILE_NM, DOS_THRU_YYYYMM"/>
  </r>
  <r>
    <x v="0"/>
    <s v="MHS_MA_MAO4_202508_20250902.txt"/>
    <x v="41"/>
    <x v="5"/>
    <n v="713"/>
    <n v="12619878"/>
    <n v="0.01"/>
    <s v="DQS_MAO04_FILE_000_B"/>
    <s v="RECORD COUNT by MBR_ID, DOS_THRU_DT, DX_CD Grain grouped by PAYER, SRC_FILE_NM, DOS_THRU_YYYYMM"/>
  </r>
  <r>
    <x v="0"/>
    <s v="MHS_MA_MAO4_202508_20250902.txt"/>
    <x v="42"/>
    <x v="5"/>
    <n v="363"/>
    <n v="12619878"/>
    <n v="0"/>
    <s v="DQS_MAO04_FILE_000_B"/>
    <s v="RECORD COUNT by MBR_ID, DOS_THRU_DT, DX_CD Grain grouped by PAYER, SRC_FILE_NM, DOS_THRU_YYYYMM"/>
  </r>
  <r>
    <x v="0"/>
    <s v="MHS_MA_MAO4_202508_20250902.txt"/>
    <x v="43"/>
    <x v="5"/>
    <n v="482"/>
    <n v="12619878"/>
    <n v="0"/>
    <s v="DQS_MAO04_FILE_000_B"/>
    <s v="RECORD COUNT by MBR_ID, DOS_THRU_DT, DX_CD Grain grouped by PAYER, SRC_FILE_NM, DOS_THRU_YYYYMM"/>
  </r>
  <r>
    <x v="0"/>
    <s v="MHS_MA_MAO4_202508_20250902.txt"/>
    <x v="44"/>
    <x v="5"/>
    <n v="635"/>
    <n v="12619878"/>
    <n v="0.01"/>
    <s v="DQS_MAO04_FILE_000_B"/>
    <s v="RECORD COUNT by MBR_ID, DOS_THRU_DT, DX_CD Grain grouped by PAYER, SRC_FILE_NM, DOS_THRU_YYYYMM"/>
  </r>
  <r>
    <x v="0"/>
    <s v="MHS_MA_MAO4_202508_20250902.txt"/>
    <x v="45"/>
    <x v="5"/>
    <n v="853"/>
    <n v="12619878"/>
    <n v="0.01"/>
    <s v="DQS_MAO04_FILE_000_B"/>
    <s v="RECORD COUNT by MBR_ID, DOS_THRU_DT, DX_CD Grain grouped by PAYER, SRC_FILE_NM, DOS_THRU_YYYYMM"/>
  </r>
  <r>
    <x v="0"/>
    <s v="MHS_MA_MAO4_202508_20250902.txt"/>
    <x v="46"/>
    <x v="5"/>
    <n v="1426"/>
    <n v="12619878"/>
    <n v="0.01"/>
    <s v="DQS_MAO04_FILE_000_B"/>
    <s v="RECORD COUNT by MBR_ID, DOS_THRU_DT, DX_CD Grain grouped by PAYER, SRC_FILE_NM, DOS_THRU_YYYYMM"/>
  </r>
  <r>
    <x v="0"/>
    <s v="MHS_MA_MAO4_202508_20250902.txt"/>
    <x v="47"/>
    <x v="5"/>
    <n v="1666"/>
    <n v="12619878"/>
    <n v="0.01"/>
    <s v="DQS_MAO04_FILE_000_B"/>
    <s v="RECORD COUNT by MBR_ID, DOS_THRU_DT, DX_CD Grain grouped by PAYER, SRC_FILE_NM, DOS_THRU_YYYYMM"/>
  </r>
  <r>
    <x v="0"/>
    <s v="MHS_MA_MAO4_202508_20250902.txt"/>
    <x v="48"/>
    <x v="5"/>
    <n v="1564"/>
    <n v="12619878"/>
    <n v="0.01"/>
    <s v="DQS_MAO04_FILE_000_B"/>
    <s v="RECORD COUNT by MBR_ID, DOS_THRU_DT, DX_CD Grain grouped by PAYER, SRC_FILE_NM, DOS_THRU_YYYYMM"/>
  </r>
  <r>
    <x v="0"/>
    <s v="MHS_MA_MAO4_202508_20250902.txt"/>
    <x v="49"/>
    <x v="5"/>
    <n v="1252"/>
    <n v="12619878"/>
    <n v="0.01"/>
    <s v="DQS_MAO04_FILE_000_B"/>
    <s v="RECORD COUNT by MBR_ID, DOS_THRU_DT, DX_CD Grain grouped by PAYER, SRC_FILE_NM, DOS_THRU_YYYYMM"/>
  </r>
  <r>
    <x v="0"/>
    <s v="MHS_MA_MAO4_202508_20250902.txt"/>
    <x v="50"/>
    <x v="5"/>
    <n v="1244"/>
    <n v="12619878"/>
    <n v="0.01"/>
    <s v="DQS_MAO04_FILE_000_B"/>
    <s v="RECORD COUNT by MBR_ID, DOS_THRU_DT, DX_CD Grain grouped by PAYER, SRC_FILE_NM, DOS_THRU_YYYYMM"/>
  </r>
  <r>
    <x v="0"/>
    <s v="MHS_MA_MAO4_202508_20250902.txt"/>
    <x v="51"/>
    <x v="5"/>
    <n v="1229"/>
    <n v="12619878"/>
    <n v="0.01"/>
    <s v="DQS_MAO04_FILE_000_B"/>
    <s v="RECORD COUNT by MBR_ID, DOS_THRU_DT, DX_CD Grain grouped by PAYER, SRC_FILE_NM, DOS_THRU_YYYYMM"/>
  </r>
  <r>
    <x v="0"/>
    <s v="MHS_MA_MAO4_202508_20250902.txt"/>
    <x v="52"/>
    <x v="5"/>
    <n v="1503"/>
    <n v="12619878"/>
    <n v="0.01"/>
    <s v="DQS_MAO04_FILE_000_B"/>
    <s v="RECORD COUNT by MBR_ID, DOS_THRU_DT, DX_CD Grain grouped by PAYER, SRC_FILE_NM, DOS_THRU_YYYYMM"/>
  </r>
  <r>
    <x v="0"/>
    <s v="MHS_MA_MAO4_202508_20250902.txt"/>
    <x v="53"/>
    <x v="6"/>
    <n v="29944"/>
    <n v="12619878"/>
    <n v="0.24"/>
    <s v="DQS_MAO04_FILE_000_B"/>
    <s v="RECORD COUNT by MBR_ID, DOS_THRU_DT, DX_CD Grain grouped by PAYER, SRC_FILE_NM, DOS_THRU_YYYYMM"/>
  </r>
  <r>
    <x v="0"/>
    <s v="MHS_MA_MAO4_202508_20250902.txt"/>
    <x v="54"/>
    <x v="6"/>
    <n v="21061"/>
    <n v="12619878"/>
    <n v="0.17"/>
    <s v="DQS_MAO04_FILE_000_B"/>
    <s v="RECORD COUNT by MBR_ID, DOS_THRU_DT, DX_CD Grain grouped by PAYER, SRC_FILE_NM, DOS_THRU_YYYYMM"/>
  </r>
  <r>
    <x v="0"/>
    <s v="MHS_MA_MAO4_202508_20250902.txt"/>
    <x v="55"/>
    <x v="6"/>
    <n v="25293"/>
    <n v="12619878"/>
    <n v="0.2"/>
    <s v="DQS_MAO04_FILE_000_B"/>
    <s v="RECORD COUNT by MBR_ID, DOS_THRU_DT, DX_CD Grain grouped by PAYER, SRC_FILE_NM, DOS_THRU_YYYYMM"/>
  </r>
  <r>
    <x v="0"/>
    <s v="MHS_MA_MAO4_202508_20250902.txt"/>
    <x v="56"/>
    <x v="6"/>
    <n v="23042"/>
    <n v="12619878"/>
    <n v="0.18"/>
    <s v="DQS_MAO04_FILE_000_B"/>
    <s v="RECORD COUNT by MBR_ID, DOS_THRU_DT, DX_CD Grain grouped by PAYER, SRC_FILE_NM, DOS_THRU_YYYYMM"/>
  </r>
  <r>
    <x v="0"/>
    <s v="MHS_MA_MAO4_202508_20250902.txt"/>
    <x v="57"/>
    <x v="6"/>
    <n v="21881"/>
    <n v="12619878"/>
    <n v="0.17"/>
    <s v="DQS_MAO04_FILE_000_B"/>
    <s v="RECORD COUNT by MBR_ID, DOS_THRU_DT, DX_CD Grain grouped by PAYER, SRC_FILE_NM, DOS_THRU_YYYYMM"/>
  </r>
  <r>
    <x v="0"/>
    <s v="MHS_MA_MAO4_202508_20250902.txt"/>
    <x v="58"/>
    <x v="6"/>
    <n v="24210"/>
    <n v="12619878"/>
    <n v="0.19"/>
    <s v="DQS_MAO04_FILE_000_B"/>
    <s v="RECORD COUNT by MBR_ID, DOS_THRU_DT, DX_CD Grain grouped by PAYER, SRC_FILE_NM, DOS_THRU_YYYYMM"/>
  </r>
  <r>
    <x v="0"/>
    <s v="MHS_MA_MAO4_202508_20250902.txt"/>
    <x v="59"/>
    <x v="6"/>
    <n v="57768"/>
    <n v="12619878"/>
    <n v="0.46"/>
    <s v="DQS_MAO04_FILE_000_B"/>
    <s v="RECORD COUNT by MBR_ID, DOS_THRU_DT, DX_CD Grain grouped by PAYER, SRC_FILE_NM, DOS_THRU_YYYYMM"/>
  </r>
  <r>
    <x v="0"/>
    <s v="MHS_MA_MAO4_202508_20250902.txt"/>
    <x v="60"/>
    <x v="6"/>
    <n v="63051"/>
    <n v="12619878"/>
    <n v="0.5"/>
    <s v="DQS_MAO04_FILE_000_B"/>
    <s v="RECORD COUNT by MBR_ID, DOS_THRU_DT, DX_CD Grain grouped by PAYER, SRC_FILE_NM, DOS_THRU_YYYYMM"/>
  </r>
  <r>
    <x v="0"/>
    <s v="MHS_MA_MAO4_202508_20250902.txt"/>
    <x v="61"/>
    <x v="6"/>
    <n v="66304"/>
    <n v="12619878"/>
    <n v="0.53"/>
    <s v="DQS_MAO04_FILE_000_B"/>
    <s v="RECORD COUNT by MBR_ID, DOS_THRU_DT, DX_CD Grain grouped by PAYER, SRC_FILE_NM, DOS_THRU_YYYYMM"/>
  </r>
  <r>
    <x v="0"/>
    <s v="MHS_MA_MAO4_202508_20250902.txt"/>
    <x v="62"/>
    <x v="6"/>
    <n v="64434"/>
    <n v="12619878"/>
    <n v="0.51"/>
    <s v="DQS_MAO04_FILE_000_B"/>
    <s v="RECORD COUNT by MBR_ID, DOS_THRU_DT, DX_CD Grain grouped by PAYER, SRC_FILE_NM, DOS_THRU_YYYYMM"/>
  </r>
  <r>
    <x v="0"/>
    <s v="MHS_MA_MAO4_202508_20250902.txt"/>
    <x v="63"/>
    <x v="6"/>
    <n v="66027"/>
    <n v="12619878"/>
    <n v="0.52"/>
    <s v="DQS_MAO04_FILE_000_B"/>
    <s v="RECORD COUNT by MBR_ID, DOS_THRU_DT, DX_CD Grain grouped by PAYER, SRC_FILE_NM, DOS_THRU_YYYYMM"/>
  </r>
  <r>
    <x v="0"/>
    <s v="MHS_MA_MAO4_202508_20250902.txt"/>
    <x v="64"/>
    <x v="6"/>
    <n v="66439"/>
    <n v="12619878"/>
    <n v="0.53"/>
    <s v="DQS_MAO04_FILE_000_B"/>
    <s v="RECORD COUNT by MBR_ID, DOS_THRU_DT, DX_CD Grain grouped by PAYER, SRC_FILE_NM, DOS_THRU_YYYYMM"/>
  </r>
  <r>
    <x v="0"/>
    <s v="MHS_MA_MAO4_202508_20250902.txt"/>
    <x v="65"/>
    <x v="7"/>
    <n v="53719"/>
    <n v="12619878"/>
    <n v="0.43"/>
    <s v="DQS_MAO04_FILE_000_B"/>
    <s v="RECORD COUNT by MBR_ID, DOS_THRU_DT, DX_CD Grain grouped by PAYER, SRC_FILE_NM, DOS_THRU_YYYYMM"/>
  </r>
  <r>
    <x v="0"/>
    <s v="MHS_MA_MAO4_202508_20250902.txt"/>
    <x v="66"/>
    <x v="7"/>
    <n v="42878"/>
    <n v="12619878"/>
    <n v="0.34"/>
    <s v="DQS_MAO04_FILE_000_B"/>
    <s v="RECORD COUNT by MBR_ID, DOS_THRU_DT, DX_CD Grain grouped by PAYER, SRC_FILE_NM, DOS_THRU_YYYYMM"/>
  </r>
  <r>
    <x v="0"/>
    <s v="MHS_MA_MAO4_202508_20250902.txt"/>
    <x v="67"/>
    <x v="7"/>
    <n v="49692"/>
    <n v="12619878"/>
    <n v="0.39"/>
    <s v="DQS_MAO04_FILE_000_B"/>
    <s v="RECORD COUNT by MBR_ID, DOS_THRU_DT, DX_CD Grain grouped by PAYER, SRC_FILE_NM, DOS_THRU_YYYYMM"/>
  </r>
  <r>
    <x v="0"/>
    <s v="MHS_MA_MAO4_202508_20250902.txt"/>
    <x v="68"/>
    <x v="7"/>
    <n v="52961"/>
    <n v="12619878"/>
    <n v="0.42"/>
    <s v="DQS_MAO04_FILE_000_B"/>
    <s v="RECORD COUNT by MBR_ID, DOS_THRU_DT, DX_CD Grain grouped by PAYER, SRC_FILE_NM, DOS_THRU_YYYYMM"/>
  </r>
  <r>
    <x v="0"/>
    <s v="MHS_MA_MAO4_202508_20250902.txt"/>
    <x v="69"/>
    <x v="7"/>
    <n v="51634"/>
    <n v="12619878"/>
    <n v="0.41"/>
    <s v="DQS_MAO04_FILE_000_B"/>
    <s v="RECORD COUNT by MBR_ID, DOS_THRU_DT, DX_CD Grain grouped by PAYER, SRC_FILE_NM, DOS_THRU_YYYYMM"/>
  </r>
  <r>
    <x v="0"/>
    <s v="MHS_MA_MAO4_202508_20250902.txt"/>
    <x v="70"/>
    <x v="7"/>
    <n v="50003"/>
    <n v="12619878"/>
    <n v="0.4"/>
    <s v="DQS_MAO04_FILE_000_B"/>
    <s v="RECORD COUNT by MBR_ID, DOS_THRU_DT, DX_CD Grain grouped by PAYER, SRC_FILE_NM, DOS_THRU_YYYYMM"/>
  </r>
  <r>
    <x v="0"/>
    <s v="MHS_MA_MAO4_202508_20250902.txt"/>
    <x v="71"/>
    <x v="7"/>
    <n v="51723"/>
    <n v="12619878"/>
    <n v="0.41"/>
    <s v="DQS_MAO04_FILE_000_B"/>
    <s v="RECORD COUNT by MBR_ID, DOS_THRU_DT, DX_CD Grain grouped by PAYER, SRC_FILE_NM, DOS_THRU_YYYYMM"/>
  </r>
  <r>
    <x v="0"/>
    <s v="MHS_MA_MAO4_202508_20250902.txt"/>
    <x v="72"/>
    <x v="7"/>
    <n v="68757"/>
    <n v="12619878"/>
    <n v="0.54"/>
    <s v="DQS_MAO04_FILE_000_B"/>
    <s v="RECORD COUNT by MBR_ID, DOS_THRU_DT, DX_CD Grain grouped by PAYER, SRC_FILE_NM, DOS_THRU_YYYYMM"/>
  </r>
  <r>
    <x v="0"/>
    <s v="MHS_MA_MAO4_202508_20250902.txt"/>
    <x v="73"/>
    <x v="7"/>
    <n v="163319"/>
    <n v="12619878"/>
    <n v="1.29"/>
    <s v="DQS_MAO04_FILE_000_B"/>
    <s v="RECORD COUNT by MBR_ID, DOS_THRU_DT, DX_CD Grain grouped by PAYER, SRC_FILE_NM, DOS_THRU_YYYYMM"/>
  </r>
  <r>
    <x v="0"/>
    <s v="MHS_MA_MAO4_202508_20250902.txt"/>
    <x v="74"/>
    <x v="7"/>
    <n v="182500"/>
    <n v="12619878"/>
    <n v="1.45"/>
    <s v="DQS_MAO04_FILE_000_B"/>
    <s v="RECORD COUNT by MBR_ID, DOS_THRU_DT, DX_CD Grain grouped by PAYER, SRC_FILE_NM, DOS_THRU_YYYYMM"/>
  </r>
  <r>
    <x v="0"/>
    <s v="MHS_MA_MAO4_202508_20250902.txt"/>
    <x v="75"/>
    <x v="7"/>
    <n v="180090"/>
    <n v="12619878"/>
    <n v="1.43"/>
    <s v="DQS_MAO04_FILE_000_B"/>
    <s v="RECORD COUNT by MBR_ID, DOS_THRU_DT, DX_CD Grain grouped by PAYER, SRC_FILE_NM, DOS_THRU_YYYYMM"/>
  </r>
  <r>
    <x v="0"/>
    <s v="MHS_MA_MAO4_202508_20250902.txt"/>
    <x v="76"/>
    <x v="7"/>
    <n v="170288"/>
    <n v="12619878"/>
    <n v="1.35"/>
    <s v="DQS_MAO04_FILE_000_B"/>
    <s v="RECORD COUNT by MBR_ID, DOS_THRU_DT, DX_CD Grain grouped by PAYER, SRC_FILE_NM, DOS_THRU_YYYYMM"/>
  </r>
  <r>
    <x v="0"/>
    <s v="MHS_MA_MAO4_202508_20250902.txt"/>
    <x v="77"/>
    <x v="8"/>
    <n v="233627"/>
    <n v="12619878"/>
    <n v="1.85"/>
    <s v="DQS_MAO04_FILE_000_B"/>
    <s v="RECORD COUNT by MBR_ID, DOS_THRU_DT, DX_CD Grain grouped by PAYER, SRC_FILE_NM, DOS_THRU_YYYYMM"/>
  </r>
  <r>
    <x v="0"/>
    <s v="MHS_MA_MAO4_202508_20250902.txt"/>
    <x v="78"/>
    <x v="8"/>
    <n v="227544"/>
    <n v="12619878"/>
    <n v="1.8"/>
    <s v="DQS_MAO04_FILE_000_B"/>
    <s v="RECORD COUNT by MBR_ID, DOS_THRU_DT, DX_CD Grain grouped by PAYER, SRC_FILE_NM, DOS_THRU_YYYYMM"/>
  </r>
  <r>
    <x v="0"/>
    <s v="MHS_MA_MAO4_202508_20250902.txt"/>
    <x v="79"/>
    <x v="8"/>
    <n v="252334"/>
    <n v="12619878"/>
    <n v="2"/>
    <s v="DQS_MAO04_FILE_000_B"/>
    <s v="RECORD COUNT by MBR_ID, DOS_THRU_DT, DX_CD Grain grouped by PAYER, SRC_FILE_NM, DOS_THRU_YYYYMM"/>
  </r>
  <r>
    <x v="0"/>
    <s v="MHS_MA_MAO4_202508_20250902.txt"/>
    <x v="80"/>
    <x v="8"/>
    <n v="228831"/>
    <n v="12619878"/>
    <n v="1.81"/>
    <s v="DQS_MAO04_FILE_000_B"/>
    <s v="RECORD COUNT by MBR_ID, DOS_THRU_DT, DX_CD Grain grouped by PAYER, SRC_FILE_NM, DOS_THRU_YYYYMM"/>
  </r>
  <r>
    <x v="0"/>
    <s v="MHS_MA_MAO4_202508_20250902.txt"/>
    <x v="81"/>
    <x v="8"/>
    <n v="242262"/>
    <n v="12619878"/>
    <n v="1.92"/>
    <s v="DQS_MAO04_FILE_000_B"/>
    <s v="RECORD COUNT by MBR_ID, DOS_THRU_DT, DX_CD Grain grouped by PAYER, SRC_FILE_NM, DOS_THRU_YYYYMM"/>
  </r>
  <r>
    <x v="0"/>
    <s v="MHS_MA_MAO4_202508_20250902.txt"/>
    <x v="82"/>
    <x v="8"/>
    <n v="235369"/>
    <n v="12619878"/>
    <n v="1.87"/>
    <s v="DQS_MAO04_FILE_000_B"/>
    <s v="RECORD COUNT by MBR_ID, DOS_THRU_DT, DX_CD Grain grouped by PAYER, SRC_FILE_NM, DOS_THRU_YYYYMM"/>
  </r>
  <r>
    <x v="0"/>
    <s v="MHS_MA_MAO4_202508_20250902.txt"/>
    <x v="83"/>
    <x v="8"/>
    <n v="219281"/>
    <n v="12619878"/>
    <n v="1.74"/>
    <s v="DQS_MAO04_FILE_000_B"/>
    <s v="RECORD COUNT by MBR_ID, DOS_THRU_DT, DX_CD Grain grouped by PAYER, SRC_FILE_NM, DOS_THRU_YYYYMM"/>
  </r>
  <r>
    <x v="0"/>
    <s v="MHS_MA_MAO4_202508_20250902.txt"/>
    <x v="84"/>
    <x v="8"/>
    <n v="250798"/>
    <n v="12619878"/>
    <n v="1.99"/>
    <s v="DQS_MAO04_FILE_000_B"/>
    <s v="RECORD COUNT by MBR_ID, DOS_THRU_DT, DX_CD Grain grouped by PAYER, SRC_FILE_NM, DOS_THRU_YYYYMM"/>
  </r>
  <r>
    <x v="0"/>
    <s v="MHS_MA_MAO4_202508_20250902.txt"/>
    <x v="85"/>
    <x v="8"/>
    <n v="235451"/>
    <n v="12619878"/>
    <n v="1.87"/>
    <s v="DQS_MAO04_FILE_000_B"/>
    <s v="RECORD COUNT by MBR_ID, DOS_THRU_DT, DX_CD Grain grouped by PAYER, SRC_FILE_NM, DOS_THRU_YYYYMM"/>
  </r>
  <r>
    <x v="0"/>
    <s v="MHS_MA_MAO4_202508_20250902.txt"/>
    <x v="86"/>
    <x v="8"/>
    <n v="257132"/>
    <n v="12619878"/>
    <n v="2.04"/>
    <s v="DQS_MAO04_FILE_000_B"/>
    <s v="RECORD COUNT by MBR_ID, DOS_THRU_DT, DX_CD Grain grouped by PAYER, SRC_FILE_NM, DOS_THRU_YYYYMM"/>
  </r>
  <r>
    <x v="0"/>
    <s v="MHS_MA_MAO4_202508_20250902.txt"/>
    <x v="87"/>
    <x v="8"/>
    <n v="241253"/>
    <n v="12619878"/>
    <n v="1.91"/>
    <s v="DQS_MAO04_FILE_000_B"/>
    <s v="RECORD COUNT by MBR_ID, DOS_THRU_DT, DX_CD Grain grouped by PAYER, SRC_FILE_NM, DOS_THRU_YYYYMM"/>
  </r>
  <r>
    <x v="0"/>
    <s v="MHS_MA_MAO4_202508_20250902.txt"/>
    <x v="88"/>
    <x v="8"/>
    <n v="227630"/>
    <n v="12619878"/>
    <n v="1.8"/>
    <s v="DQS_MAO04_FILE_000_B"/>
    <s v="RECORD COUNT by MBR_ID, DOS_THRU_DT, DX_CD Grain grouped by PAYER, SRC_FILE_NM, DOS_THRU_YYYYMM"/>
  </r>
  <r>
    <x v="0"/>
    <s v="MHS_MA_MAO4_202508_20250902.txt"/>
    <x v="89"/>
    <x v="9"/>
    <n v="401339"/>
    <n v="12619878"/>
    <n v="3.18"/>
    <s v="DQS_MAO04_FILE_000_B"/>
    <s v="RECORD COUNT by MBR_ID, DOS_THRU_DT, DX_CD Grain grouped by PAYER, SRC_FILE_NM, DOS_THRU_YYYYMM"/>
  </r>
  <r>
    <x v="0"/>
    <s v="MHS_MA_MAO4_202508_20250902.txt"/>
    <x v="97"/>
    <x v="9"/>
    <n v="438031"/>
    <n v="12619878"/>
    <n v="3.47"/>
    <s v="DQS_MAO04_FILE_000_B"/>
    <s v="RECORD COUNT by MBR_ID, DOS_THRU_DT, DX_CD Grain grouped by PAYER, SRC_FILE_NM, DOS_THRU_YYYYMM"/>
  </r>
  <r>
    <x v="0"/>
    <s v="MHS_MA_MAO4_202508_20250902.txt"/>
    <x v="98"/>
    <x v="9"/>
    <n v="457601"/>
    <n v="12619878"/>
    <n v="3.63"/>
    <s v="DQS_MAO04_FILE_000_B"/>
    <s v="RECORD COUNT by MBR_ID, DOS_THRU_DT, DX_CD Grain grouped by PAYER, SRC_FILE_NM, DOS_THRU_YYYYMM"/>
  </r>
  <r>
    <x v="0"/>
    <s v="MHS_MA_MAO4_202508_20250902.txt"/>
    <x v="99"/>
    <x v="9"/>
    <n v="475570"/>
    <n v="12619878"/>
    <n v="3.77"/>
    <s v="DQS_MAO04_FILE_000_B"/>
    <s v="RECORD COUNT by MBR_ID, DOS_THRU_DT, DX_CD Grain grouped by PAYER, SRC_FILE_NM, DOS_THRU_YYYYMM"/>
  </r>
  <r>
    <x v="0"/>
    <s v="MHS_MA_MAO4_202508_20250902.txt"/>
    <x v="100"/>
    <x v="9"/>
    <n v="439499"/>
    <n v="12619878"/>
    <n v="3.48"/>
    <s v="DQS_MAO04_FILE_000_B"/>
    <s v="RECORD COUNT by MBR_ID, DOS_THRU_DT, DX_CD Grain grouped by PAYER, SRC_FILE_NM, DOS_THRU_YYYYMM"/>
  </r>
  <r>
    <x v="0"/>
    <s v="MHS_MA_MAO4_202508_20250902.txt"/>
    <x v="102"/>
    <x v="9"/>
    <n v="413881"/>
    <n v="12619878"/>
    <n v="3.28"/>
    <s v="DQS_MAO04_FILE_000_B"/>
    <s v="RECORD COUNT by MBR_ID, DOS_THRU_DT, DX_CD Grain grouped by PAYER, SRC_FILE_NM, DOS_THRU_YYYYMM"/>
  </r>
  <r>
    <x v="0"/>
    <s v="MHS_MA_MAO4_202508_20250902.txt"/>
    <x v="103"/>
    <x v="9"/>
    <n v="430491"/>
    <n v="12619878"/>
    <n v="3.41"/>
    <s v="DQS_MAO04_FILE_000_B"/>
    <s v="RECORD COUNT by MBR_ID, DOS_THRU_DT, DX_CD Grain grouped by PAYER, SRC_FILE_NM, DOS_THRU_YYYYMM"/>
  </r>
  <r>
    <x v="0"/>
    <s v="MHS_MA_MAO4_202508_20250902.txt"/>
    <x v="105"/>
    <x v="9"/>
    <n v="440106"/>
    <n v="12619878"/>
    <n v="3.49"/>
    <s v="DQS_MAO04_FILE_000_B"/>
    <s v="RECORD COUNT by MBR_ID, DOS_THRU_DT, DX_CD Grain grouped by PAYER, SRC_FILE_NM, DOS_THRU_YYYYMM"/>
  </r>
  <r>
    <x v="0"/>
    <s v="MHS_MA_MAO4_202508_20250902.txt"/>
    <x v="106"/>
    <x v="9"/>
    <n v="463240"/>
    <n v="12619878"/>
    <n v="3.67"/>
    <s v="DQS_MAO04_FILE_000_B"/>
    <s v="RECORD COUNT by MBR_ID, DOS_THRU_DT, DX_CD Grain grouped by PAYER, SRC_FILE_NM, DOS_THRU_YYYYMM"/>
  </r>
  <r>
    <x v="0"/>
    <s v="MHS_MA_MAO4_202508_20250902.txt"/>
    <x v="107"/>
    <x v="9"/>
    <n v="569841"/>
    <n v="12619878"/>
    <n v="4.5199999999999996"/>
    <s v="DQS_MAO04_FILE_000_B"/>
    <s v="RECORD COUNT by MBR_ID, DOS_THRU_DT, DX_CD Grain grouped by PAYER, SRC_FILE_NM, DOS_THRU_YYYYMM"/>
  </r>
  <r>
    <x v="0"/>
    <s v="MHS_MA_MAO4_202508_20250902.txt"/>
    <x v="108"/>
    <x v="9"/>
    <n v="513544"/>
    <n v="12619878"/>
    <n v="4.07"/>
    <s v="DQS_MAO04_FILE_000_B"/>
    <s v="RECORD COUNT by MBR_ID, DOS_THRU_DT, DX_CD Grain grouped by PAYER, SRC_FILE_NM, DOS_THRU_YYYYMM"/>
  </r>
  <r>
    <x v="0"/>
    <s v="MHS_MA_MAO4_202508_20250902.txt"/>
    <x v="109"/>
    <x v="9"/>
    <n v="541599"/>
    <n v="12619878"/>
    <n v="4.29"/>
    <s v="DQS_MAO04_FILE_000_B"/>
    <s v="RECORD COUNT by MBR_ID, DOS_THRU_DT, DX_CD Grain grouped by PAYER, SRC_FILE_NM, DOS_THRU_YYYYMM"/>
  </r>
  <r>
    <x v="0"/>
    <s v="MHS_MA_MAO4_202508_20250902.txt"/>
    <x v="110"/>
    <x v="11"/>
    <n v="459368"/>
    <n v="12619878"/>
    <n v="3.64"/>
    <s v="DQS_MAO04_FILE_000_B"/>
    <s v="RECORD COUNT by MBR_ID, DOS_THRU_DT, DX_CD Grain grouped by PAYER, SRC_FILE_NM, DOS_THRU_YYYYMM"/>
  </r>
  <r>
    <x v="0"/>
    <s v="MHS_MA_MAO4_202508_20250902.txt"/>
    <x v="111"/>
    <x v="11"/>
    <n v="418695"/>
    <n v="12619878"/>
    <n v="3.32"/>
    <s v="DQS_MAO04_FILE_000_B"/>
    <s v="RECORD COUNT by MBR_ID, DOS_THRU_DT, DX_CD Grain grouped by PAYER, SRC_FILE_NM, DOS_THRU_YYYYMM"/>
  </r>
  <r>
    <x v="0"/>
    <s v="MHS_MA_MAO4_202508_20250902.txt"/>
    <x v="112"/>
    <x v="11"/>
    <n v="464893"/>
    <n v="12619878"/>
    <n v="3.68"/>
    <s v="DQS_MAO04_FILE_000_B"/>
    <s v="RECORD COUNT by MBR_ID, DOS_THRU_DT, DX_CD Grain grouped by PAYER, SRC_FILE_NM, DOS_THRU_YYYYMM"/>
  </r>
  <r>
    <x v="0"/>
    <s v="MHS_MA_MAO4_202508_20250902.txt"/>
    <x v="113"/>
    <x v="11"/>
    <n v="410919"/>
    <n v="12619878"/>
    <n v="3.26"/>
    <s v="DQS_MAO04_FILE_000_B"/>
    <s v="RECORD COUNT by MBR_ID, DOS_THRU_DT, DX_CD Grain grouped by PAYER, SRC_FILE_NM, DOS_THRU_YYYYMM"/>
  </r>
  <r>
    <x v="0"/>
    <s v="MHS_MA_MAO4_202508_20250902.txt"/>
    <x v="114"/>
    <x v="11"/>
    <n v="384007"/>
    <n v="12619878"/>
    <n v="3.04"/>
    <s v="DQS_MAO04_FILE_000_B"/>
    <s v="RECORD COUNT by MBR_ID, DOS_THRU_DT, DX_CD Grain grouped by PAYER, SRC_FILE_NM, DOS_THRU_YYYYMM"/>
  </r>
  <r>
    <x v="0"/>
    <s v="MHS_MA_MAO4_202508_20250902.txt"/>
    <x v="115"/>
    <x v="11"/>
    <n v="334192"/>
    <n v="12619878"/>
    <n v="2.65"/>
    <s v="DQS_MAO04_FILE_000_B"/>
    <s v="RECORD COUNT by MBR_ID, DOS_THRU_DT, DX_CD Grain grouped by PAYER, SRC_FILE_NM, DOS_THRU_YYYYMM"/>
  </r>
  <r>
    <x v="0"/>
    <s v="MHS_MA_MAO4_202508_20250902.txt"/>
    <x v="116"/>
    <x v="11"/>
    <n v="49460"/>
    <n v="12619878"/>
    <n v="0.39"/>
    <s v="DQS_MAO04_FILE_000_B"/>
    <s v="RECORD COUNT by MBR_ID, DOS_THRU_DT, DX_CD Grain grouped by PAYER, SRC_FILE_NM, DOS_THRU_YYYYMM"/>
  </r>
  <r>
    <x v="0"/>
    <s v="MHS_MA_MAO4_202509_20251004.txt"/>
    <x v="23"/>
    <x v="3"/>
    <n v="6"/>
    <n v="13041229"/>
    <n v="0"/>
    <s v="DQS_MAO04_FILE_000_B"/>
    <s v="RECORD COUNT by MBR_ID, DOS_THRU_DT, DX_CD Grain grouped by PAYER, SRC_FILE_NM, DOS_THRU_YYYYMM"/>
  </r>
  <r>
    <x v="0"/>
    <s v="MHS_MA_MAO4_202509_20251004.txt"/>
    <x v="24"/>
    <x v="3"/>
    <n v="17"/>
    <n v="13041229"/>
    <n v="0"/>
    <s v="DQS_MAO04_FILE_000_B"/>
    <s v="RECORD COUNT by MBR_ID, DOS_THRU_DT, DX_CD Grain grouped by PAYER, SRC_FILE_NM, DOS_THRU_YYYYMM"/>
  </r>
  <r>
    <x v="0"/>
    <s v="MHS_MA_MAO4_202509_20251004.txt"/>
    <x v="29"/>
    <x v="4"/>
    <n v="137"/>
    <n v="13041229"/>
    <n v="0"/>
    <s v="DQS_MAO04_FILE_000_B"/>
    <s v="RECORD COUNT by MBR_ID, DOS_THRU_DT, DX_CD Grain grouped by PAYER, SRC_FILE_NM, DOS_THRU_YYYYMM"/>
  </r>
  <r>
    <x v="0"/>
    <s v="MHS_MA_MAO4_202509_20251004.txt"/>
    <x v="30"/>
    <x v="4"/>
    <n v="103"/>
    <n v="13041229"/>
    <n v="0"/>
    <s v="DQS_MAO04_FILE_000_B"/>
    <s v="RECORD COUNT by MBR_ID, DOS_THRU_DT, DX_CD Grain grouped by PAYER, SRC_FILE_NM, DOS_THRU_YYYYMM"/>
  </r>
  <r>
    <x v="0"/>
    <s v="MHS_MA_MAO4_202509_20251004.txt"/>
    <x v="31"/>
    <x v="4"/>
    <n v="198"/>
    <n v="13041229"/>
    <n v="0"/>
    <s v="DQS_MAO04_FILE_000_B"/>
    <s v="RECORD COUNT by MBR_ID, DOS_THRU_DT, DX_CD Grain grouped by PAYER, SRC_FILE_NM, DOS_THRU_YYYYMM"/>
  </r>
  <r>
    <x v="0"/>
    <s v="MHS_MA_MAO4_202509_20251004.txt"/>
    <x v="32"/>
    <x v="4"/>
    <n v="242"/>
    <n v="13041229"/>
    <n v="0"/>
    <s v="DQS_MAO04_FILE_000_B"/>
    <s v="RECORD COUNT by MBR_ID, DOS_THRU_DT, DX_CD Grain grouped by PAYER, SRC_FILE_NM, DOS_THRU_YYYYMM"/>
  </r>
  <r>
    <x v="0"/>
    <s v="MHS_MA_MAO4_202509_20251004.txt"/>
    <x v="33"/>
    <x v="4"/>
    <n v="270"/>
    <n v="13041229"/>
    <n v="0"/>
    <s v="DQS_MAO04_FILE_000_B"/>
    <s v="RECORD COUNT by MBR_ID, DOS_THRU_DT, DX_CD Grain grouped by PAYER, SRC_FILE_NM, DOS_THRU_YYYYMM"/>
  </r>
  <r>
    <x v="0"/>
    <s v="MHS_MA_MAO4_202509_20251004.txt"/>
    <x v="34"/>
    <x v="4"/>
    <n v="414"/>
    <n v="13041229"/>
    <n v="0"/>
    <s v="DQS_MAO04_FILE_000_B"/>
    <s v="RECORD COUNT by MBR_ID, DOS_THRU_DT, DX_CD Grain grouped by PAYER, SRC_FILE_NM, DOS_THRU_YYYYMM"/>
  </r>
  <r>
    <x v="0"/>
    <s v="MHS_MA_MAO4_202509_20251004.txt"/>
    <x v="35"/>
    <x v="4"/>
    <n v="218"/>
    <n v="13041229"/>
    <n v="0"/>
    <s v="DQS_MAO04_FILE_000_B"/>
    <s v="RECORD COUNT by MBR_ID, DOS_THRU_DT, DX_CD Grain grouped by PAYER, SRC_FILE_NM, DOS_THRU_YYYYMM"/>
  </r>
  <r>
    <x v="0"/>
    <s v="MHS_MA_MAO4_202509_20251004.txt"/>
    <x v="36"/>
    <x v="4"/>
    <n v="113"/>
    <n v="13041229"/>
    <n v="0"/>
    <s v="DQS_MAO04_FILE_000_B"/>
    <s v="RECORD COUNT by MBR_ID, DOS_THRU_DT, DX_CD Grain grouped by PAYER, SRC_FILE_NM, DOS_THRU_YYYYMM"/>
  </r>
  <r>
    <x v="0"/>
    <s v="MHS_MA_MAO4_202509_20251004.txt"/>
    <x v="37"/>
    <x v="4"/>
    <n v="123"/>
    <n v="13041229"/>
    <n v="0"/>
    <s v="DQS_MAO04_FILE_000_B"/>
    <s v="RECORD COUNT by MBR_ID, DOS_THRU_DT, DX_CD Grain grouped by PAYER, SRC_FILE_NM, DOS_THRU_YYYYMM"/>
  </r>
  <r>
    <x v="0"/>
    <s v="MHS_MA_MAO4_202509_20251004.txt"/>
    <x v="38"/>
    <x v="4"/>
    <n v="153"/>
    <n v="13041229"/>
    <n v="0"/>
    <s v="DQS_MAO04_FILE_000_B"/>
    <s v="RECORD COUNT by MBR_ID, DOS_THRU_DT, DX_CD Grain grouped by PAYER, SRC_FILE_NM, DOS_THRU_YYYYMM"/>
  </r>
  <r>
    <x v="0"/>
    <s v="MHS_MA_MAO4_202509_20251004.txt"/>
    <x v="39"/>
    <x v="4"/>
    <n v="99"/>
    <n v="13041229"/>
    <n v="0"/>
    <s v="DQS_MAO04_FILE_000_B"/>
    <s v="RECORD COUNT by MBR_ID, DOS_THRU_DT, DX_CD Grain grouped by PAYER, SRC_FILE_NM, DOS_THRU_YYYYMM"/>
  </r>
  <r>
    <x v="0"/>
    <s v="MHS_MA_MAO4_202509_20251004.txt"/>
    <x v="40"/>
    <x v="4"/>
    <n v="14"/>
    <n v="13041229"/>
    <n v="0"/>
    <s v="DQS_MAO04_FILE_000_B"/>
    <s v="RECORD COUNT by MBR_ID, DOS_THRU_DT, DX_CD Grain grouped by PAYER, SRC_FILE_NM, DOS_THRU_YYYYMM"/>
  </r>
  <r>
    <x v="0"/>
    <s v="MHS_MA_MAO4_202509_20251004.txt"/>
    <x v="41"/>
    <x v="5"/>
    <n v="686"/>
    <n v="13041229"/>
    <n v="0.01"/>
    <s v="DQS_MAO04_FILE_000_B"/>
    <s v="RECORD COUNT by MBR_ID, DOS_THRU_DT, DX_CD Grain grouped by PAYER, SRC_FILE_NM, DOS_THRU_YYYYMM"/>
  </r>
  <r>
    <x v="0"/>
    <s v="MHS_MA_MAO4_202509_20251004.txt"/>
    <x v="42"/>
    <x v="5"/>
    <n v="362"/>
    <n v="13041229"/>
    <n v="0"/>
    <s v="DQS_MAO04_FILE_000_B"/>
    <s v="RECORD COUNT by MBR_ID, DOS_THRU_DT, DX_CD Grain grouped by PAYER, SRC_FILE_NM, DOS_THRU_YYYYMM"/>
  </r>
  <r>
    <x v="0"/>
    <s v="MHS_MA_MAO4_202509_20251004.txt"/>
    <x v="43"/>
    <x v="5"/>
    <n v="449"/>
    <n v="13041229"/>
    <n v="0"/>
    <s v="DQS_MAO04_FILE_000_B"/>
    <s v="RECORD COUNT by MBR_ID, DOS_THRU_DT, DX_CD Grain grouped by PAYER, SRC_FILE_NM, DOS_THRU_YYYYMM"/>
  </r>
  <r>
    <x v="0"/>
    <s v="MHS_MA_MAO4_202509_20251004.txt"/>
    <x v="44"/>
    <x v="5"/>
    <n v="393"/>
    <n v="13041229"/>
    <n v="0"/>
    <s v="DQS_MAO04_FILE_000_B"/>
    <s v="RECORD COUNT by MBR_ID, DOS_THRU_DT, DX_CD Grain grouped by PAYER, SRC_FILE_NM, DOS_THRU_YYYYMM"/>
  </r>
  <r>
    <x v="0"/>
    <s v="MHS_MA_MAO4_202509_20251004.txt"/>
    <x v="45"/>
    <x v="5"/>
    <n v="553"/>
    <n v="13041229"/>
    <n v="0"/>
    <s v="DQS_MAO04_FILE_000_B"/>
    <s v="RECORD COUNT by MBR_ID, DOS_THRU_DT, DX_CD Grain grouped by PAYER, SRC_FILE_NM, DOS_THRU_YYYYMM"/>
  </r>
  <r>
    <x v="0"/>
    <s v="MHS_MA_MAO4_202509_20251004.txt"/>
    <x v="46"/>
    <x v="5"/>
    <n v="757"/>
    <n v="13041229"/>
    <n v="0.01"/>
    <s v="DQS_MAO04_FILE_000_B"/>
    <s v="RECORD COUNT by MBR_ID, DOS_THRU_DT, DX_CD Grain grouped by PAYER, SRC_FILE_NM, DOS_THRU_YYYYMM"/>
  </r>
  <r>
    <x v="0"/>
    <s v="MHS_MA_MAO4_202509_20251004.txt"/>
    <x v="47"/>
    <x v="5"/>
    <n v="668"/>
    <n v="13041229"/>
    <n v="0.01"/>
    <s v="DQS_MAO04_FILE_000_B"/>
    <s v="RECORD COUNT by MBR_ID, DOS_THRU_DT, DX_CD Grain grouped by PAYER, SRC_FILE_NM, DOS_THRU_YYYYMM"/>
  </r>
  <r>
    <x v="0"/>
    <s v="MHS_MA_MAO4_202509_20251004.txt"/>
    <x v="48"/>
    <x v="5"/>
    <n v="772"/>
    <n v="13041229"/>
    <n v="0.01"/>
    <s v="DQS_MAO04_FILE_000_B"/>
    <s v="RECORD COUNT by MBR_ID, DOS_THRU_DT, DX_CD Grain grouped by PAYER, SRC_FILE_NM, DOS_THRU_YYYYMM"/>
  </r>
  <r>
    <x v="0"/>
    <s v="MHS_MA_MAO4_202509_20251004.txt"/>
    <x v="49"/>
    <x v="5"/>
    <n v="712"/>
    <n v="13041229"/>
    <n v="0.01"/>
    <s v="DQS_MAO04_FILE_000_B"/>
    <s v="RECORD COUNT by MBR_ID, DOS_THRU_DT, DX_CD Grain grouped by PAYER, SRC_FILE_NM, DOS_THRU_YYYYMM"/>
  </r>
  <r>
    <x v="0"/>
    <s v="MHS_MA_MAO4_202509_20251004.txt"/>
    <x v="50"/>
    <x v="5"/>
    <n v="618"/>
    <n v="13041229"/>
    <n v="0"/>
    <s v="DQS_MAO04_FILE_000_B"/>
    <s v="RECORD COUNT by MBR_ID, DOS_THRU_DT, DX_CD Grain grouped by PAYER, SRC_FILE_NM, DOS_THRU_YYYYMM"/>
  </r>
  <r>
    <x v="0"/>
    <s v="MHS_MA_MAO4_202509_20251004.txt"/>
    <x v="51"/>
    <x v="5"/>
    <n v="686"/>
    <n v="13041229"/>
    <n v="0.01"/>
    <s v="DQS_MAO04_FILE_000_B"/>
    <s v="RECORD COUNT by MBR_ID, DOS_THRU_DT, DX_CD Grain grouped by PAYER, SRC_FILE_NM, DOS_THRU_YYYYMM"/>
  </r>
  <r>
    <x v="0"/>
    <s v="MHS_MA_MAO4_202509_20251004.txt"/>
    <x v="52"/>
    <x v="5"/>
    <n v="914"/>
    <n v="13041229"/>
    <n v="0.01"/>
    <s v="DQS_MAO04_FILE_000_B"/>
    <s v="RECORD COUNT by MBR_ID, DOS_THRU_DT, DX_CD Grain grouped by PAYER, SRC_FILE_NM, DOS_THRU_YYYYMM"/>
  </r>
  <r>
    <x v="0"/>
    <s v="MHS_MA_MAO4_202509_20251004.txt"/>
    <x v="53"/>
    <x v="6"/>
    <n v="16325"/>
    <n v="13041229"/>
    <n v="0.13"/>
    <s v="DQS_MAO04_FILE_000_B"/>
    <s v="RECORD COUNT by MBR_ID, DOS_THRU_DT, DX_CD Grain grouped by PAYER, SRC_FILE_NM, DOS_THRU_YYYYMM"/>
  </r>
  <r>
    <x v="0"/>
    <s v="MHS_MA_MAO4_202509_20251004.txt"/>
    <x v="54"/>
    <x v="6"/>
    <n v="15707"/>
    <n v="13041229"/>
    <n v="0.12"/>
    <s v="DQS_MAO04_FILE_000_B"/>
    <s v="RECORD COUNT by MBR_ID, DOS_THRU_DT, DX_CD Grain grouped by PAYER, SRC_FILE_NM, DOS_THRU_YYYYMM"/>
  </r>
  <r>
    <x v="0"/>
    <s v="MHS_MA_MAO4_202509_20251004.txt"/>
    <x v="55"/>
    <x v="6"/>
    <n v="19690"/>
    <n v="13041229"/>
    <n v="0.15"/>
    <s v="DQS_MAO04_FILE_000_B"/>
    <s v="RECORD COUNT by MBR_ID, DOS_THRU_DT, DX_CD Grain grouped by PAYER, SRC_FILE_NM, DOS_THRU_YYYYMM"/>
  </r>
  <r>
    <x v="0"/>
    <s v="MHS_MA_MAO4_202509_20251004.txt"/>
    <x v="56"/>
    <x v="6"/>
    <n v="18946"/>
    <n v="13041229"/>
    <n v="0.15"/>
    <s v="DQS_MAO04_FILE_000_B"/>
    <s v="RECORD COUNT by MBR_ID, DOS_THRU_DT, DX_CD Grain grouped by PAYER, SRC_FILE_NM, DOS_THRU_YYYYMM"/>
  </r>
  <r>
    <x v="0"/>
    <s v="MHS_MA_MAO4_202509_20251004.txt"/>
    <x v="57"/>
    <x v="6"/>
    <n v="18022"/>
    <n v="13041229"/>
    <n v="0.14000000000000001"/>
    <s v="DQS_MAO04_FILE_000_B"/>
    <s v="RECORD COUNT by MBR_ID, DOS_THRU_DT, DX_CD Grain grouped by PAYER, SRC_FILE_NM, DOS_THRU_YYYYMM"/>
  </r>
  <r>
    <x v="0"/>
    <s v="MHS_MA_MAO4_202509_20251004.txt"/>
    <x v="58"/>
    <x v="6"/>
    <n v="20569"/>
    <n v="13041229"/>
    <n v="0.16"/>
    <s v="DQS_MAO04_FILE_000_B"/>
    <s v="RECORD COUNT by MBR_ID, DOS_THRU_DT, DX_CD Grain grouped by PAYER, SRC_FILE_NM, DOS_THRU_YYYYMM"/>
  </r>
  <r>
    <x v="0"/>
    <s v="MHS_MA_MAO4_202509_20251004.txt"/>
    <x v="59"/>
    <x v="6"/>
    <n v="53664"/>
    <n v="13041229"/>
    <n v="0.41"/>
    <s v="DQS_MAO04_FILE_000_B"/>
    <s v="RECORD COUNT by MBR_ID, DOS_THRU_DT, DX_CD Grain grouped by PAYER, SRC_FILE_NM, DOS_THRU_YYYYMM"/>
  </r>
  <r>
    <x v="0"/>
    <s v="MHS_MA_MAO4_202509_20251004.txt"/>
    <x v="60"/>
    <x v="6"/>
    <n v="59003"/>
    <n v="13041229"/>
    <n v="0.45"/>
    <s v="DQS_MAO04_FILE_000_B"/>
    <s v="RECORD COUNT by MBR_ID, DOS_THRU_DT, DX_CD Grain grouped by PAYER, SRC_FILE_NM, DOS_THRU_YYYYMM"/>
  </r>
  <r>
    <x v="0"/>
    <s v="MHS_MA_MAO4_202509_20251004.txt"/>
    <x v="61"/>
    <x v="6"/>
    <n v="63652"/>
    <n v="13041229"/>
    <n v="0.49"/>
    <s v="DQS_MAO04_FILE_000_B"/>
    <s v="RECORD COUNT by MBR_ID, DOS_THRU_DT, DX_CD Grain grouped by PAYER, SRC_FILE_NM, DOS_THRU_YYYYMM"/>
  </r>
  <r>
    <x v="0"/>
    <s v="MHS_MA_MAO4_202509_20251004.txt"/>
    <x v="62"/>
    <x v="6"/>
    <n v="62367"/>
    <n v="13041229"/>
    <n v="0.48"/>
    <s v="DQS_MAO04_FILE_000_B"/>
    <s v="RECORD COUNT by MBR_ID, DOS_THRU_DT, DX_CD Grain grouped by PAYER, SRC_FILE_NM, DOS_THRU_YYYYMM"/>
  </r>
  <r>
    <x v="0"/>
    <s v="MHS_MA_MAO4_202509_20251004.txt"/>
    <x v="63"/>
    <x v="6"/>
    <n v="64605"/>
    <n v="13041229"/>
    <n v="0.5"/>
    <s v="DQS_MAO04_FILE_000_B"/>
    <s v="RECORD COUNT by MBR_ID, DOS_THRU_DT, DX_CD Grain grouped by PAYER, SRC_FILE_NM, DOS_THRU_YYYYMM"/>
  </r>
  <r>
    <x v="0"/>
    <s v="MHS_MA_MAO4_202509_20251004.txt"/>
    <x v="64"/>
    <x v="6"/>
    <n v="65119"/>
    <n v="13041229"/>
    <n v="0.5"/>
    <s v="DQS_MAO04_FILE_000_B"/>
    <s v="RECORD COUNT by MBR_ID, DOS_THRU_DT, DX_CD Grain grouped by PAYER, SRC_FILE_NM, DOS_THRU_YYYYMM"/>
  </r>
  <r>
    <x v="0"/>
    <s v="MHS_MA_MAO4_202509_20251004.txt"/>
    <x v="65"/>
    <x v="7"/>
    <n v="52236"/>
    <n v="13041229"/>
    <n v="0.4"/>
    <s v="DQS_MAO04_FILE_000_B"/>
    <s v="RECORD COUNT by MBR_ID, DOS_THRU_DT, DX_CD Grain grouped by PAYER, SRC_FILE_NM, DOS_THRU_YYYYMM"/>
  </r>
  <r>
    <x v="0"/>
    <s v="MHS_MA_MAO4_202509_20251004.txt"/>
    <x v="66"/>
    <x v="7"/>
    <n v="42060"/>
    <n v="13041229"/>
    <n v="0.32"/>
    <s v="DQS_MAO04_FILE_000_B"/>
    <s v="RECORD COUNT by MBR_ID, DOS_THRU_DT, DX_CD Grain grouped by PAYER, SRC_FILE_NM, DOS_THRU_YYYYMM"/>
  </r>
  <r>
    <x v="0"/>
    <s v="MHS_MA_MAO4_202509_20251004.txt"/>
    <x v="67"/>
    <x v="7"/>
    <n v="47678"/>
    <n v="13041229"/>
    <n v="0.37"/>
    <s v="DQS_MAO04_FILE_000_B"/>
    <s v="RECORD COUNT by MBR_ID, DOS_THRU_DT, DX_CD Grain grouped by PAYER, SRC_FILE_NM, DOS_THRU_YYYYMM"/>
  </r>
  <r>
    <x v="0"/>
    <s v="MHS_MA_MAO4_202509_20251004.txt"/>
    <x v="68"/>
    <x v="7"/>
    <n v="45037"/>
    <n v="13041229"/>
    <n v="0.35"/>
    <s v="DQS_MAO04_FILE_000_B"/>
    <s v="RECORD COUNT by MBR_ID, DOS_THRU_DT, DX_CD Grain grouped by PAYER, SRC_FILE_NM, DOS_THRU_YYYYMM"/>
  </r>
  <r>
    <x v="0"/>
    <s v="MHS_MA_MAO4_202509_20251004.txt"/>
    <x v="69"/>
    <x v="7"/>
    <n v="50814"/>
    <n v="13041229"/>
    <n v="0.39"/>
    <s v="DQS_MAO04_FILE_000_B"/>
    <s v="RECORD COUNT by MBR_ID, DOS_THRU_DT, DX_CD Grain grouped by PAYER, SRC_FILE_NM, DOS_THRU_YYYYMM"/>
  </r>
  <r>
    <x v="0"/>
    <s v="MHS_MA_MAO4_202509_20251004.txt"/>
    <x v="70"/>
    <x v="7"/>
    <n v="48583"/>
    <n v="13041229"/>
    <n v="0.37"/>
    <s v="DQS_MAO04_FILE_000_B"/>
    <s v="RECORD COUNT by MBR_ID, DOS_THRU_DT, DX_CD Grain grouped by PAYER, SRC_FILE_NM, DOS_THRU_YYYYMM"/>
  </r>
  <r>
    <x v="0"/>
    <s v="MHS_MA_MAO4_202509_20251004.txt"/>
    <x v="71"/>
    <x v="7"/>
    <n v="48423"/>
    <n v="13041229"/>
    <n v="0.37"/>
    <s v="DQS_MAO04_FILE_000_B"/>
    <s v="RECORD COUNT by MBR_ID, DOS_THRU_DT, DX_CD Grain grouped by PAYER, SRC_FILE_NM, DOS_THRU_YYYYMM"/>
  </r>
  <r>
    <x v="0"/>
    <s v="MHS_MA_MAO4_202509_20251004.txt"/>
    <x v="72"/>
    <x v="7"/>
    <n v="54460"/>
    <n v="13041229"/>
    <n v="0.42"/>
    <s v="DQS_MAO04_FILE_000_B"/>
    <s v="RECORD COUNT by MBR_ID, DOS_THRU_DT, DX_CD Grain grouped by PAYER, SRC_FILE_NM, DOS_THRU_YYYYMM"/>
  </r>
  <r>
    <x v="0"/>
    <s v="MHS_MA_MAO4_202509_20251004.txt"/>
    <x v="73"/>
    <x v="7"/>
    <n v="70001"/>
    <n v="13041229"/>
    <n v="0.54"/>
    <s v="DQS_MAO04_FILE_000_B"/>
    <s v="RECORD COUNT by MBR_ID, DOS_THRU_DT, DX_CD Grain grouped by PAYER, SRC_FILE_NM, DOS_THRU_YYYYMM"/>
  </r>
  <r>
    <x v="0"/>
    <s v="MHS_MA_MAO4_202509_20251004.txt"/>
    <x v="74"/>
    <x v="7"/>
    <n v="166595"/>
    <n v="13041229"/>
    <n v="1.28"/>
    <s v="DQS_MAO04_FILE_000_B"/>
    <s v="RECORD COUNT by MBR_ID, DOS_THRU_DT, DX_CD Grain grouped by PAYER, SRC_FILE_NM, DOS_THRU_YYYYMM"/>
  </r>
  <r>
    <x v="0"/>
    <s v="MHS_MA_MAO4_202509_20251004.txt"/>
    <x v="75"/>
    <x v="7"/>
    <n v="180077"/>
    <n v="13041229"/>
    <n v="1.38"/>
    <s v="DQS_MAO04_FILE_000_B"/>
    <s v="RECORD COUNT by MBR_ID, DOS_THRU_DT, DX_CD Grain grouped by PAYER, SRC_FILE_NM, DOS_THRU_YYYYMM"/>
  </r>
  <r>
    <x v="0"/>
    <s v="MHS_MA_MAO4_202509_20251004.txt"/>
    <x v="76"/>
    <x v="7"/>
    <n v="170386"/>
    <n v="13041229"/>
    <n v="1.31"/>
    <s v="DQS_MAO04_FILE_000_B"/>
    <s v="RECORD COUNT by MBR_ID, DOS_THRU_DT, DX_CD Grain grouped by PAYER, SRC_FILE_NM, DOS_THRU_YYYYMM"/>
  </r>
  <r>
    <x v="0"/>
    <s v="MHS_MA_MAO4_202509_20251004.txt"/>
    <x v="77"/>
    <x v="8"/>
    <n v="234120"/>
    <n v="13041229"/>
    <n v="1.8"/>
    <s v="DQS_MAO04_FILE_000_B"/>
    <s v="RECORD COUNT by MBR_ID, DOS_THRU_DT, DX_CD Grain grouped by PAYER, SRC_FILE_NM, DOS_THRU_YYYYMM"/>
  </r>
  <r>
    <x v="0"/>
    <s v="MHS_MA_MAO4_202509_20251004.txt"/>
    <x v="78"/>
    <x v="8"/>
    <n v="227747"/>
    <n v="13041229"/>
    <n v="1.75"/>
    <s v="DQS_MAO04_FILE_000_B"/>
    <s v="RECORD COUNT by MBR_ID, DOS_THRU_DT, DX_CD Grain grouped by PAYER, SRC_FILE_NM, DOS_THRU_YYYYMM"/>
  </r>
  <r>
    <x v="0"/>
    <s v="MHS_MA_MAO4_202509_20251004.txt"/>
    <x v="79"/>
    <x v="8"/>
    <n v="252645"/>
    <n v="13041229"/>
    <n v="1.94"/>
    <s v="DQS_MAO04_FILE_000_B"/>
    <s v="RECORD COUNT by MBR_ID, DOS_THRU_DT, DX_CD Grain grouped by PAYER, SRC_FILE_NM, DOS_THRU_YYYYMM"/>
  </r>
  <r>
    <x v="0"/>
    <s v="MHS_MA_MAO4_202509_20251004.txt"/>
    <x v="80"/>
    <x v="8"/>
    <n v="228317"/>
    <n v="13041229"/>
    <n v="1.75"/>
    <s v="DQS_MAO04_FILE_000_B"/>
    <s v="RECORD COUNT by MBR_ID, DOS_THRU_DT, DX_CD Grain grouped by PAYER, SRC_FILE_NM, DOS_THRU_YYYYMM"/>
  </r>
  <r>
    <x v="0"/>
    <s v="MHS_MA_MAO4_202509_20251004.txt"/>
    <x v="81"/>
    <x v="8"/>
    <n v="242236"/>
    <n v="13041229"/>
    <n v="1.86"/>
    <s v="DQS_MAO04_FILE_000_B"/>
    <s v="RECORD COUNT by MBR_ID, DOS_THRU_DT, DX_CD Grain grouped by PAYER, SRC_FILE_NM, DOS_THRU_YYYYMM"/>
  </r>
  <r>
    <x v="0"/>
    <s v="MHS_MA_MAO4_202509_20251004.txt"/>
    <x v="82"/>
    <x v="8"/>
    <n v="235222"/>
    <n v="13041229"/>
    <n v="1.8"/>
    <s v="DQS_MAO04_FILE_000_B"/>
    <s v="RECORD COUNT by MBR_ID, DOS_THRU_DT, DX_CD Grain grouped by PAYER, SRC_FILE_NM, DOS_THRU_YYYYMM"/>
  </r>
  <r>
    <x v="0"/>
    <s v="MHS_MA_MAO4_202509_20251004.txt"/>
    <x v="83"/>
    <x v="8"/>
    <n v="219263"/>
    <n v="13041229"/>
    <n v="1.68"/>
    <s v="DQS_MAO04_FILE_000_B"/>
    <s v="RECORD COUNT by MBR_ID, DOS_THRU_DT, DX_CD Grain grouped by PAYER, SRC_FILE_NM, DOS_THRU_YYYYMM"/>
  </r>
  <r>
    <x v="0"/>
    <s v="MHS_MA_MAO4_202509_20251004.txt"/>
    <x v="84"/>
    <x v="8"/>
    <n v="250798"/>
    <n v="13041229"/>
    <n v="1.92"/>
    <s v="DQS_MAO04_FILE_000_B"/>
    <s v="RECORD COUNT by MBR_ID, DOS_THRU_DT, DX_CD Grain grouped by PAYER, SRC_FILE_NM, DOS_THRU_YYYYMM"/>
  </r>
  <r>
    <x v="0"/>
    <s v="MHS_MA_MAO4_202509_20251004.txt"/>
    <x v="85"/>
    <x v="8"/>
    <n v="235425"/>
    <n v="13041229"/>
    <n v="1.81"/>
    <s v="DQS_MAO04_FILE_000_B"/>
    <s v="RECORD COUNT by MBR_ID, DOS_THRU_DT, DX_CD Grain grouped by PAYER, SRC_FILE_NM, DOS_THRU_YYYYMM"/>
  </r>
  <r>
    <x v="0"/>
    <s v="MHS_MA_MAO4_202509_20251004.txt"/>
    <x v="86"/>
    <x v="8"/>
    <n v="256941"/>
    <n v="13041229"/>
    <n v="1.97"/>
    <s v="DQS_MAO04_FILE_000_B"/>
    <s v="RECORD COUNT by MBR_ID, DOS_THRU_DT, DX_CD Grain grouped by PAYER, SRC_FILE_NM, DOS_THRU_YYYYMM"/>
  </r>
  <r>
    <x v="0"/>
    <s v="MHS_MA_MAO4_202509_20251004.txt"/>
    <x v="87"/>
    <x v="8"/>
    <n v="241047"/>
    <n v="13041229"/>
    <n v="1.85"/>
    <s v="DQS_MAO04_FILE_000_B"/>
    <s v="RECORD COUNT by MBR_ID, DOS_THRU_DT, DX_CD Grain grouped by PAYER, SRC_FILE_NM, DOS_THRU_YYYYMM"/>
  </r>
  <r>
    <x v="0"/>
    <s v="MHS_MA_MAO4_202509_20251004.txt"/>
    <x v="88"/>
    <x v="8"/>
    <n v="227666"/>
    <n v="13041229"/>
    <n v="1.75"/>
    <s v="DQS_MAO04_FILE_000_B"/>
    <s v="RECORD COUNT by MBR_ID, DOS_THRU_DT, DX_CD Grain grouped by PAYER, SRC_FILE_NM, DOS_THRU_YYYYMM"/>
  </r>
  <r>
    <x v="0"/>
    <s v="MHS_MA_MAO4_202509_20251004.txt"/>
    <x v="89"/>
    <x v="9"/>
    <n v="407484"/>
    <n v="13041229"/>
    <n v="3.12"/>
    <s v="DQS_MAO04_FILE_000_B"/>
    <s v="RECORD COUNT by MBR_ID, DOS_THRU_DT, DX_CD Grain grouped by PAYER, SRC_FILE_NM, DOS_THRU_YYYYMM"/>
  </r>
  <r>
    <x v="0"/>
    <s v="MHS_MA_MAO4_202509_20251004.txt"/>
    <x v="97"/>
    <x v="9"/>
    <n v="457496"/>
    <n v="13041229"/>
    <n v="3.51"/>
    <s v="DQS_MAO04_FILE_000_B"/>
    <s v="RECORD COUNT by MBR_ID, DOS_THRU_DT, DX_CD Grain grouped by PAYER, SRC_FILE_NM, DOS_THRU_YYYYMM"/>
  </r>
  <r>
    <x v="0"/>
    <s v="MHS_MA_MAO4_202509_20251004.txt"/>
    <x v="98"/>
    <x v="9"/>
    <n v="482323"/>
    <n v="13041229"/>
    <n v="3.7"/>
    <s v="DQS_MAO04_FILE_000_B"/>
    <s v="RECORD COUNT by MBR_ID, DOS_THRU_DT, DX_CD Grain grouped by PAYER, SRC_FILE_NM, DOS_THRU_YYYYMM"/>
  </r>
  <r>
    <x v="0"/>
    <s v="MHS_MA_MAO4_202509_20251004.txt"/>
    <x v="99"/>
    <x v="9"/>
    <n v="484253"/>
    <n v="13041229"/>
    <n v="3.71"/>
    <s v="DQS_MAO04_FILE_000_B"/>
    <s v="RECORD COUNT by MBR_ID, DOS_THRU_DT, DX_CD Grain grouped by PAYER, SRC_FILE_NM, DOS_THRU_YYYYMM"/>
  </r>
  <r>
    <x v="0"/>
    <s v="MHS_MA_MAO4_202509_20251004.txt"/>
    <x v="100"/>
    <x v="9"/>
    <n v="452215"/>
    <n v="13041229"/>
    <n v="3.47"/>
    <s v="DQS_MAO04_FILE_000_B"/>
    <s v="RECORD COUNT by MBR_ID, DOS_THRU_DT, DX_CD Grain grouped by PAYER, SRC_FILE_NM, DOS_THRU_YYYYMM"/>
  </r>
  <r>
    <x v="0"/>
    <s v="MHS_MA_MAO4_202509_20251004.txt"/>
    <x v="102"/>
    <x v="9"/>
    <n v="430902"/>
    <n v="13041229"/>
    <n v="3.3"/>
    <s v="DQS_MAO04_FILE_000_B"/>
    <s v="RECORD COUNT by MBR_ID, DOS_THRU_DT, DX_CD Grain grouped by PAYER, SRC_FILE_NM, DOS_THRU_YYYYMM"/>
  </r>
  <r>
    <x v="0"/>
    <s v="MHS_MA_MAO4_202509_20251004.txt"/>
    <x v="103"/>
    <x v="9"/>
    <n v="445408"/>
    <n v="13041229"/>
    <n v="3.42"/>
    <s v="DQS_MAO04_FILE_000_B"/>
    <s v="RECORD COUNT by MBR_ID, DOS_THRU_DT, DX_CD Grain grouped by PAYER, SRC_FILE_NM, DOS_THRU_YYYYMM"/>
  </r>
  <r>
    <x v="0"/>
    <s v="MHS_MA_MAO4_202509_20251004.txt"/>
    <x v="105"/>
    <x v="9"/>
    <n v="455174"/>
    <n v="13041229"/>
    <n v="3.49"/>
    <s v="DQS_MAO04_FILE_000_B"/>
    <s v="RECORD COUNT by MBR_ID, DOS_THRU_DT, DX_CD Grain grouped by PAYER, SRC_FILE_NM, DOS_THRU_YYYYMM"/>
  </r>
  <r>
    <x v="0"/>
    <s v="MHS_MA_MAO4_202509_20251004.txt"/>
    <x v="106"/>
    <x v="9"/>
    <n v="483842"/>
    <n v="13041229"/>
    <n v="3.71"/>
    <s v="DQS_MAO04_FILE_000_B"/>
    <s v="RECORD COUNT by MBR_ID, DOS_THRU_DT, DX_CD Grain grouped by PAYER, SRC_FILE_NM, DOS_THRU_YYYYMM"/>
  </r>
  <r>
    <x v="0"/>
    <s v="MHS_MA_MAO4_202509_20251004.txt"/>
    <x v="107"/>
    <x v="9"/>
    <n v="590383"/>
    <n v="13041229"/>
    <n v="4.53"/>
    <s v="DQS_MAO04_FILE_000_B"/>
    <s v="RECORD COUNT by MBR_ID, DOS_THRU_DT, DX_CD Grain grouped by PAYER, SRC_FILE_NM, DOS_THRU_YYYYMM"/>
  </r>
  <r>
    <x v="0"/>
    <s v="MHS_MA_MAO4_202509_20251004.txt"/>
    <x v="108"/>
    <x v="9"/>
    <n v="524728"/>
    <n v="13041229"/>
    <n v="4.0199999999999996"/>
    <s v="DQS_MAO04_FILE_000_B"/>
    <s v="RECORD COUNT by MBR_ID, DOS_THRU_DT, DX_CD Grain grouped by PAYER, SRC_FILE_NM, DOS_THRU_YYYYMM"/>
  </r>
  <r>
    <x v="0"/>
    <s v="MHS_MA_MAO4_202509_20251004.txt"/>
    <x v="109"/>
    <x v="9"/>
    <n v="566091"/>
    <n v="13041229"/>
    <n v="4.34"/>
    <s v="DQS_MAO04_FILE_000_B"/>
    <s v="RECORD COUNT by MBR_ID, DOS_THRU_DT, DX_CD Grain grouped by PAYER, SRC_FILE_NM, DOS_THRU_YYYYMM"/>
  </r>
  <r>
    <x v="0"/>
    <s v="MHS_MA_MAO4_202509_20251004.txt"/>
    <x v="110"/>
    <x v="11"/>
    <n v="465162"/>
    <n v="13041229"/>
    <n v="3.57"/>
    <s v="DQS_MAO04_FILE_000_B"/>
    <s v="RECORD COUNT by MBR_ID, DOS_THRU_DT, DX_CD Grain grouped by PAYER, SRC_FILE_NM, DOS_THRU_YYYYMM"/>
  </r>
  <r>
    <x v="0"/>
    <s v="MHS_MA_MAO4_202509_20251004.txt"/>
    <x v="111"/>
    <x v="11"/>
    <n v="424519"/>
    <n v="13041229"/>
    <n v="3.26"/>
    <s v="DQS_MAO04_FILE_000_B"/>
    <s v="RECORD COUNT by MBR_ID, DOS_THRU_DT, DX_CD Grain grouped by PAYER, SRC_FILE_NM, DOS_THRU_YYYYMM"/>
  </r>
  <r>
    <x v="0"/>
    <s v="MHS_MA_MAO4_202509_20251004.txt"/>
    <x v="112"/>
    <x v="11"/>
    <n v="473319"/>
    <n v="13041229"/>
    <n v="3.63"/>
    <s v="DQS_MAO04_FILE_000_B"/>
    <s v="RECORD COUNT by MBR_ID, DOS_THRU_DT, DX_CD Grain grouped by PAYER, SRC_FILE_NM, DOS_THRU_YYYYMM"/>
  </r>
  <r>
    <x v="0"/>
    <s v="MHS_MA_MAO4_202509_20251004.txt"/>
    <x v="113"/>
    <x v="11"/>
    <n v="420149"/>
    <n v="13041229"/>
    <n v="3.22"/>
    <s v="DQS_MAO04_FILE_000_B"/>
    <s v="RECORD COUNT by MBR_ID, DOS_THRU_DT, DX_CD Grain grouped by PAYER, SRC_FILE_NM, DOS_THRU_YYYYMM"/>
  </r>
  <r>
    <x v="0"/>
    <s v="MHS_MA_MAO4_202509_20251004.txt"/>
    <x v="114"/>
    <x v="11"/>
    <n v="390561"/>
    <n v="13041229"/>
    <n v="2.99"/>
    <s v="DQS_MAO04_FILE_000_B"/>
    <s v="RECORD COUNT by MBR_ID, DOS_THRU_DT, DX_CD Grain grouped by PAYER, SRC_FILE_NM, DOS_THRU_YYYYMM"/>
  </r>
  <r>
    <x v="0"/>
    <s v="MHS_MA_MAO4_202509_20251004.txt"/>
    <x v="115"/>
    <x v="11"/>
    <n v="386080"/>
    <n v="13041229"/>
    <n v="2.96"/>
    <s v="DQS_MAO04_FILE_000_B"/>
    <s v="RECORD COUNT by MBR_ID, DOS_THRU_DT, DX_CD Grain grouped by PAYER, SRC_FILE_NM, DOS_THRU_YYYYMM"/>
  </r>
  <r>
    <x v="0"/>
    <s v="MHS_MA_MAO4_202509_20251004.txt"/>
    <x v="116"/>
    <x v="11"/>
    <n v="339914"/>
    <n v="13041229"/>
    <n v="2.61"/>
    <s v="DQS_MAO04_FILE_000_B"/>
    <s v="RECORD COUNT by MBR_ID, DOS_THRU_DT, DX_CD Grain grouped by PAYER, SRC_FILE_NM, DOS_THRU_YYYYMM"/>
  </r>
  <r>
    <x v="0"/>
    <s v="MHS_MA_MAO4_202509_20251004.txt"/>
    <x v="117"/>
    <x v="11"/>
    <n v="46103"/>
    <n v="13041229"/>
    <n v="0.35"/>
    <s v="DQS_MAO04_FILE_000_B"/>
    <s v="RECORD COUNT by MBR_ID, DOS_THRU_DT, DX_CD Grain grouped by PAYER, SRC_FILE_NM, DOS_THRU_YYYYMM"/>
  </r>
  <r>
    <x v="0"/>
    <s v="MHS_MA_MAO4_202510_20251102.txt"/>
    <x v="23"/>
    <x v="3"/>
    <n v="6"/>
    <n v="13907307"/>
    <n v="0"/>
    <s v="DQS_MAO04_FILE_000_B"/>
    <s v="RECORD COUNT by MBR_ID, DOS_THRU_DT, DX_CD Grain grouped by PAYER, SRC_FILE_NM, DOS_THRU_YYYYMM"/>
  </r>
  <r>
    <x v="0"/>
    <s v="MHS_MA_MAO4_202510_20251102.txt"/>
    <x v="24"/>
    <x v="3"/>
    <n v="16"/>
    <n v="13907307"/>
    <n v="0"/>
    <s v="DQS_MAO04_FILE_000_B"/>
    <s v="RECORD COUNT by MBR_ID, DOS_THRU_DT, DX_CD Grain grouped by PAYER, SRC_FILE_NM, DOS_THRU_YYYYMM"/>
  </r>
  <r>
    <x v="0"/>
    <s v="MHS_MA_MAO4_202510_20251102.txt"/>
    <x v="29"/>
    <x v="4"/>
    <n v="134"/>
    <n v="13907307"/>
    <n v="0"/>
    <s v="DQS_MAO04_FILE_000_B"/>
    <s v="RECORD COUNT by MBR_ID, DOS_THRU_DT, DX_CD Grain grouped by PAYER, SRC_FILE_NM, DOS_THRU_YYYYMM"/>
  </r>
  <r>
    <x v="0"/>
    <s v="MHS_MA_MAO4_202510_20251102.txt"/>
    <x v="30"/>
    <x v="4"/>
    <n v="103"/>
    <n v="13907307"/>
    <n v="0"/>
    <s v="DQS_MAO04_FILE_000_B"/>
    <s v="RECORD COUNT by MBR_ID, DOS_THRU_DT, DX_CD Grain grouped by PAYER, SRC_FILE_NM, DOS_THRU_YYYYMM"/>
  </r>
  <r>
    <x v="0"/>
    <s v="MHS_MA_MAO4_202510_20251102.txt"/>
    <x v="31"/>
    <x v="4"/>
    <n v="198"/>
    <n v="13907307"/>
    <n v="0"/>
    <s v="DQS_MAO04_FILE_000_B"/>
    <s v="RECORD COUNT by MBR_ID, DOS_THRU_DT, DX_CD Grain grouped by PAYER, SRC_FILE_NM, DOS_THRU_YYYYMM"/>
  </r>
  <r>
    <x v="0"/>
    <s v="MHS_MA_MAO4_202510_20251102.txt"/>
    <x v="32"/>
    <x v="4"/>
    <n v="242"/>
    <n v="13907307"/>
    <n v="0"/>
    <s v="DQS_MAO04_FILE_000_B"/>
    <s v="RECORD COUNT by MBR_ID, DOS_THRU_DT, DX_CD Grain grouped by PAYER, SRC_FILE_NM, DOS_THRU_YYYYMM"/>
  </r>
  <r>
    <x v="0"/>
    <s v="MHS_MA_MAO4_202510_20251102.txt"/>
    <x v="33"/>
    <x v="4"/>
    <n v="270"/>
    <n v="13907307"/>
    <n v="0"/>
    <s v="DQS_MAO04_FILE_000_B"/>
    <s v="RECORD COUNT by MBR_ID, DOS_THRU_DT, DX_CD Grain grouped by PAYER, SRC_FILE_NM, DOS_THRU_YYYYMM"/>
  </r>
  <r>
    <x v="0"/>
    <s v="MHS_MA_MAO4_202510_20251102.txt"/>
    <x v="34"/>
    <x v="4"/>
    <n v="419"/>
    <n v="13907307"/>
    <n v="0"/>
    <s v="DQS_MAO04_FILE_000_B"/>
    <s v="RECORD COUNT by MBR_ID, DOS_THRU_DT, DX_CD Grain grouped by PAYER, SRC_FILE_NM, DOS_THRU_YYYYMM"/>
  </r>
  <r>
    <x v="0"/>
    <s v="MHS_MA_MAO4_202510_20251102.txt"/>
    <x v="35"/>
    <x v="4"/>
    <n v="218"/>
    <n v="13907307"/>
    <n v="0"/>
    <s v="DQS_MAO04_FILE_000_B"/>
    <s v="RECORD COUNT by MBR_ID, DOS_THRU_DT, DX_CD Grain grouped by PAYER, SRC_FILE_NM, DOS_THRU_YYYYMM"/>
  </r>
  <r>
    <x v="0"/>
    <s v="MHS_MA_MAO4_202510_20251102.txt"/>
    <x v="36"/>
    <x v="4"/>
    <n v="113"/>
    <n v="13907307"/>
    <n v="0"/>
    <s v="DQS_MAO04_FILE_000_B"/>
    <s v="RECORD COUNT by MBR_ID, DOS_THRU_DT, DX_CD Grain grouped by PAYER, SRC_FILE_NM, DOS_THRU_YYYYMM"/>
  </r>
  <r>
    <x v="0"/>
    <s v="MHS_MA_MAO4_202510_20251102.txt"/>
    <x v="37"/>
    <x v="4"/>
    <n v="123"/>
    <n v="13907307"/>
    <n v="0"/>
    <s v="DQS_MAO04_FILE_000_B"/>
    <s v="RECORD COUNT by MBR_ID, DOS_THRU_DT, DX_CD Grain grouped by PAYER, SRC_FILE_NM, DOS_THRU_YYYYMM"/>
  </r>
  <r>
    <x v="0"/>
    <s v="MHS_MA_MAO4_202510_20251102.txt"/>
    <x v="38"/>
    <x v="4"/>
    <n v="153"/>
    <n v="13907307"/>
    <n v="0"/>
    <s v="DQS_MAO04_FILE_000_B"/>
    <s v="RECORD COUNT by MBR_ID, DOS_THRU_DT, DX_CD Grain grouped by PAYER, SRC_FILE_NM, DOS_THRU_YYYYMM"/>
  </r>
  <r>
    <x v="0"/>
    <s v="MHS_MA_MAO4_202510_20251102.txt"/>
    <x v="39"/>
    <x v="4"/>
    <n v="99"/>
    <n v="13907307"/>
    <n v="0"/>
    <s v="DQS_MAO04_FILE_000_B"/>
    <s v="RECORD COUNT by MBR_ID, DOS_THRU_DT, DX_CD Grain grouped by PAYER, SRC_FILE_NM, DOS_THRU_YYYYMM"/>
  </r>
  <r>
    <x v="0"/>
    <s v="MHS_MA_MAO4_202510_20251102.txt"/>
    <x v="40"/>
    <x v="4"/>
    <n v="14"/>
    <n v="13907307"/>
    <n v="0"/>
    <s v="DQS_MAO04_FILE_000_B"/>
    <s v="RECORD COUNT by MBR_ID, DOS_THRU_DT, DX_CD Grain grouped by PAYER, SRC_FILE_NM, DOS_THRU_YYYYMM"/>
  </r>
  <r>
    <x v="0"/>
    <s v="MHS_MA_MAO4_202510_20251102.txt"/>
    <x v="41"/>
    <x v="5"/>
    <n v="636"/>
    <n v="13907307"/>
    <n v="0"/>
    <s v="DQS_MAO04_FILE_000_B"/>
    <s v="RECORD COUNT by MBR_ID, DOS_THRU_DT, DX_CD Grain grouped by PAYER, SRC_FILE_NM, DOS_THRU_YYYYMM"/>
  </r>
  <r>
    <x v="0"/>
    <s v="MHS_MA_MAO4_202510_20251102.txt"/>
    <x v="42"/>
    <x v="5"/>
    <n v="310"/>
    <n v="13907307"/>
    <n v="0"/>
    <s v="DQS_MAO04_FILE_000_B"/>
    <s v="RECORD COUNT by MBR_ID, DOS_THRU_DT, DX_CD Grain grouped by PAYER, SRC_FILE_NM, DOS_THRU_YYYYMM"/>
  </r>
  <r>
    <x v="0"/>
    <s v="MHS_MA_MAO4_202510_20251102.txt"/>
    <x v="43"/>
    <x v="5"/>
    <n v="423"/>
    <n v="13907307"/>
    <n v="0"/>
    <s v="DQS_MAO04_FILE_000_B"/>
    <s v="RECORD COUNT by MBR_ID, DOS_THRU_DT, DX_CD Grain grouped by PAYER, SRC_FILE_NM, DOS_THRU_YYYYMM"/>
  </r>
  <r>
    <x v="0"/>
    <s v="MHS_MA_MAO4_202510_20251102.txt"/>
    <x v="44"/>
    <x v="5"/>
    <n v="339"/>
    <n v="13907307"/>
    <n v="0"/>
    <s v="DQS_MAO04_FILE_000_B"/>
    <s v="RECORD COUNT by MBR_ID, DOS_THRU_DT, DX_CD Grain grouped by PAYER, SRC_FILE_NM, DOS_THRU_YYYYMM"/>
  </r>
  <r>
    <x v="0"/>
    <s v="MHS_MA_MAO4_202510_20251102.txt"/>
    <x v="45"/>
    <x v="5"/>
    <n v="437"/>
    <n v="13907307"/>
    <n v="0"/>
    <s v="DQS_MAO04_FILE_000_B"/>
    <s v="RECORD COUNT by MBR_ID, DOS_THRU_DT, DX_CD Grain grouped by PAYER, SRC_FILE_NM, DOS_THRU_YYYYMM"/>
  </r>
  <r>
    <x v="0"/>
    <s v="MHS_MA_MAO4_202510_20251102.txt"/>
    <x v="46"/>
    <x v="5"/>
    <n v="558"/>
    <n v="13907307"/>
    <n v="0"/>
    <s v="DQS_MAO04_FILE_000_B"/>
    <s v="RECORD COUNT by MBR_ID, DOS_THRU_DT, DX_CD Grain grouped by PAYER, SRC_FILE_NM, DOS_THRU_YYYYMM"/>
  </r>
  <r>
    <x v="0"/>
    <s v="MHS_MA_MAO4_202510_20251102.txt"/>
    <x v="47"/>
    <x v="5"/>
    <n v="478"/>
    <n v="13907307"/>
    <n v="0"/>
    <s v="DQS_MAO04_FILE_000_B"/>
    <s v="RECORD COUNT by MBR_ID, DOS_THRU_DT, DX_CD Grain grouped by PAYER, SRC_FILE_NM, DOS_THRU_YYYYMM"/>
  </r>
  <r>
    <x v="0"/>
    <s v="MHS_MA_MAO4_202510_20251102.txt"/>
    <x v="48"/>
    <x v="5"/>
    <n v="511"/>
    <n v="13907307"/>
    <n v="0"/>
    <s v="DQS_MAO04_FILE_000_B"/>
    <s v="RECORD COUNT by MBR_ID, DOS_THRU_DT, DX_CD Grain grouped by PAYER, SRC_FILE_NM, DOS_THRU_YYYYMM"/>
  </r>
  <r>
    <x v="0"/>
    <s v="MHS_MA_MAO4_202510_20251102.txt"/>
    <x v="49"/>
    <x v="5"/>
    <n v="436"/>
    <n v="13907307"/>
    <n v="0"/>
    <s v="DQS_MAO04_FILE_000_B"/>
    <s v="RECORD COUNT by MBR_ID, DOS_THRU_DT, DX_CD Grain grouped by PAYER, SRC_FILE_NM, DOS_THRU_YYYYMM"/>
  </r>
  <r>
    <x v="0"/>
    <s v="MHS_MA_MAO4_202510_20251102.txt"/>
    <x v="50"/>
    <x v="5"/>
    <n v="450"/>
    <n v="13907307"/>
    <n v="0"/>
    <s v="DQS_MAO04_FILE_000_B"/>
    <s v="RECORD COUNT by MBR_ID, DOS_THRU_DT, DX_CD Grain grouped by PAYER, SRC_FILE_NM, DOS_THRU_YYYYMM"/>
  </r>
  <r>
    <x v="0"/>
    <s v="MHS_MA_MAO4_202510_20251102.txt"/>
    <x v="51"/>
    <x v="5"/>
    <n v="444"/>
    <n v="13907307"/>
    <n v="0"/>
    <s v="DQS_MAO04_FILE_000_B"/>
    <s v="RECORD COUNT by MBR_ID, DOS_THRU_DT, DX_CD Grain grouped by PAYER, SRC_FILE_NM, DOS_THRU_YYYYMM"/>
  </r>
  <r>
    <x v="0"/>
    <s v="MHS_MA_MAO4_202510_20251102.txt"/>
    <x v="52"/>
    <x v="5"/>
    <n v="717"/>
    <n v="13907307"/>
    <n v="0.01"/>
    <s v="DQS_MAO04_FILE_000_B"/>
    <s v="RECORD COUNT by MBR_ID, DOS_THRU_DT, DX_CD Grain grouped by PAYER, SRC_FILE_NM, DOS_THRU_YYYYMM"/>
  </r>
  <r>
    <x v="0"/>
    <s v="MHS_MA_MAO4_202510_20251102.txt"/>
    <x v="53"/>
    <x v="6"/>
    <n v="15513"/>
    <n v="13907307"/>
    <n v="0.11"/>
    <s v="DQS_MAO04_FILE_000_B"/>
    <s v="RECORD COUNT by MBR_ID, DOS_THRU_DT, DX_CD Grain grouped by PAYER, SRC_FILE_NM, DOS_THRU_YYYYMM"/>
  </r>
  <r>
    <x v="0"/>
    <s v="MHS_MA_MAO4_202510_20251102.txt"/>
    <x v="54"/>
    <x v="6"/>
    <n v="15158"/>
    <n v="13907307"/>
    <n v="0.11"/>
    <s v="DQS_MAO04_FILE_000_B"/>
    <s v="RECORD COUNT by MBR_ID, DOS_THRU_DT, DX_CD Grain grouped by PAYER, SRC_FILE_NM, DOS_THRU_YYYYMM"/>
  </r>
  <r>
    <x v="0"/>
    <s v="MHS_MA_MAO4_202510_20251102.txt"/>
    <x v="55"/>
    <x v="6"/>
    <n v="18954"/>
    <n v="13907307"/>
    <n v="0.14000000000000001"/>
    <s v="DQS_MAO04_FILE_000_B"/>
    <s v="RECORD COUNT by MBR_ID, DOS_THRU_DT, DX_CD Grain grouped by PAYER, SRC_FILE_NM, DOS_THRU_YYYYMM"/>
  </r>
  <r>
    <x v="0"/>
    <s v="MHS_MA_MAO4_202510_20251102.txt"/>
    <x v="56"/>
    <x v="6"/>
    <n v="18191"/>
    <n v="13907307"/>
    <n v="0.13"/>
    <s v="DQS_MAO04_FILE_000_B"/>
    <s v="RECORD COUNT by MBR_ID, DOS_THRU_DT, DX_CD Grain grouped by PAYER, SRC_FILE_NM, DOS_THRU_YYYYMM"/>
  </r>
  <r>
    <x v="0"/>
    <s v="MHS_MA_MAO4_202510_20251102.txt"/>
    <x v="57"/>
    <x v="6"/>
    <n v="17136"/>
    <n v="13907307"/>
    <n v="0.12"/>
    <s v="DQS_MAO04_FILE_000_B"/>
    <s v="RECORD COUNT by MBR_ID, DOS_THRU_DT, DX_CD Grain grouped by PAYER, SRC_FILE_NM, DOS_THRU_YYYYMM"/>
  </r>
  <r>
    <x v="0"/>
    <s v="MHS_MA_MAO4_202510_20251102.txt"/>
    <x v="58"/>
    <x v="6"/>
    <n v="19386"/>
    <n v="13907307"/>
    <n v="0.14000000000000001"/>
    <s v="DQS_MAO04_FILE_000_B"/>
    <s v="RECORD COUNT by MBR_ID, DOS_THRU_DT, DX_CD Grain grouped by PAYER, SRC_FILE_NM, DOS_THRU_YYYYMM"/>
  </r>
  <r>
    <x v="0"/>
    <s v="MHS_MA_MAO4_202510_20251102.txt"/>
    <x v="59"/>
    <x v="6"/>
    <n v="52132"/>
    <n v="13907307"/>
    <n v="0.37"/>
    <s v="DQS_MAO04_FILE_000_B"/>
    <s v="RECORD COUNT by MBR_ID, DOS_THRU_DT, DX_CD Grain grouped by PAYER, SRC_FILE_NM, DOS_THRU_YYYYMM"/>
  </r>
  <r>
    <x v="0"/>
    <s v="MHS_MA_MAO4_202510_20251102.txt"/>
    <x v="60"/>
    <x v="6"/>
    <n v="56712"/>
    <n v="13907307"/>
    <n v="0.41"/>
    <s v="DQS_MAO04_FILE_000_B"/>
    <s v="RECORD COUNT by MBR_ID, DOS_THRU_DT, DX_CD Grain grouped by PAYER, SRC_FILE_NM, DOS_THRU_YYYYMM"/>
  </r>
  <r>
    <x v="0"/>
    <s v="MHS_MA_MAO4_202510_20251102.txt"/>
    <x v="61"/>
    <x v="6"/>
    <n v="61259"/>
    <n v="13907307"/>
    <n v="0.44"/>
    <s v="DQS_MAO04_FILE_000_B"/>
    <s v="RECORD COUNT by MBR_ID, DOS_THRU_DT, DX_CD Grain grouped by PAYER, SRC_FILE_NM, DOS_THRU_YYYYMM"/>
  </r>
  <r>
    <x v="0"/>
    <s v="MHS_MA_MAO4_202510_20251102.txt"/>
    <x v="62"/>
    <x v="6"/>
    <n v="60761"/>
    <n v="13907307"/>
    <n v="0.44"/>
    <s v="DQS_MAO04_FILE_000_B"/>
    <s v="RECORD COUNT by MBR_ID, DOS_THRU_DT, DX_CD Grain grouped by PAYER, SRC_FILE_NM, DOS_THRU_YYYYMM"/>
  </r>
  <r>
    <x v="0"/>
    <s v="MHS_MA_MAO4_202510_20251102.txt"/>
    <x v="63"/>
    <x v="6"/>
    <n v="62780"/>
    <n v="13907307"/>
    <n v="0.45"/>
    <s v="DQS_MAO04_FILE_000_B"/>
    <s v="RECORD COUNT by MBR_ID, DOS_THRU_DT, DX_CD Grain grouped by PAYER, SRC_FILE_NM, DOS_THRU_YYYYMM"/>
  </r>
  <r>
    <x v="0"/>
    <s v="MHS_MA_MAO4_202510_20251102.txt"/>
    <x v="64"/>
    <x v="6"/>
    <n v="63628"/>
    <n v="13907307"/>
    <n v="0.46"/>
    <s v="DQS_MAO04_FILE_000_B"/>
    <s v="RECORD COUNT by MBR_ID, DOS_THRU_DT, DX_CD Grain grouped by PAYER, SRC_FILE_NM, DOS_THRU_YYYYMM"/>
  </r>
  <r>
    <x v="0"/>
    <s v="MHS_MA_MAO4_202510_20251102.txt"/>
    <x v="65"/>
    <x v="7"/>
    <n v="50579"/>
    <n v="13907307"/>
    <n v="0.36"/>
    <s v="DQS_MAO04_FILE_000_B"/>
    <s v="RECORD COUNT by MBR_ID, DOS_THRU_DT, DX_CD Grain grouped by PAYER, SRC_FILE_NM, DOS_THRU_YYYYMM"/>
  </r>
  <r>
    <x v="0"/>
    <s v="MHS_MA_MAO4_202510_20251102.txt"/>
    <x v="66"/>
    <x v="7"/>
    <n v="40752"/>
    <n v="13907307"/>
    <n v="0.28999999999999998"/>
    <s v="DQS_MAO04_FILE_000_B"/>
    <s v="RECORD COUNT by MBR_ID, DOS_THRU_DT, DX_CD Grain grouped by PAYER, SRC_FILE_NM, DOS_THRU_YYYYMM"/>
  </r>
  <r>
    <x v="0"/>
    <s v="MHS_MA_MAO4_202510_20251102.txt"/>
    <x v="67"/>
    <x v="7"/>
    <n v="46243"/>
    <n v="13907307"/>
    <n v="0.33"/>
    <s v="DQS_MAO04_FILE_000_B"/>
    <s v="RECORD COUNT by MBR_ID, DOS_THRU_DT, DX_CD Grain grouped by PAYER, SRC_FILE_NM, DOS_THRU_YYYYMM"/>
  </r>
  <r>
    <x v="0"/>
    <s v="MHS_MA_MAO4_202510_20251102.txt"/>
    <x v="68"/>
    <x v="7"/>
    <n v="43661"/>
    <n v="13907307"/>
    <n v="0.31"/>
    <s v="DQS_MAO04_FILE_000_B"/>
    <s v="RECORD COUNT by MBR_ID, DOS_THRU_DT, DX_CD Grain grouped by PAYER, SRC_FILE_NM, DOS_THRU_YYYYMM"/>
  </r>
  <r>
    <x v="0"/>
    <s v="MHS_MA_MAO4_202510_20251102.txt"/>
    <x v="69"/>
    <x v="7"/>
    <n v="42344"/>
    <n v="13907307"/>
    <n v="0.3"/>
    <s v="DQS_MAO04_FILE_000_B"/>
    <s v="RECORD COUNT by MBR_ID, DOS_THRU_DT, DX_CD Grain grouped by PAYER, SRC_FILE_NM, DOS_THRU_YYYYMM"/>
  </r>
  <r>
    <x v="0"/>
    <s v="MHS_MA_MAO4_202510_20251102.txt"/>
    <x v="70"/>
    <x v="7"/>
    <n v="47169"/>
    <n v="13907307"/>
    <n v="0.34"/>
    <s v="DQS_MAO04_FILE_000_B"/>
    <s v="RECORD COUNT by MBR_ID, DOS_THRU_DT, DX_CD Grain grouped by PAYER, SRC_FILE_NM, DOS_THRU_YYYYMM"/>
  </r>
  <r>
    <x v="0"/>
    <s v="MHS_MA_MAO4_202510_20251102.txt"/>
    <x v="71"/>
    <x v="7"/>
    <n v="45924"/>
    <n v="13907307"/>
    <n v="0.33"/>
    <s v="DQS_MAO04_FILE_000_B"/>
    <s v="RECORD COUNT by MBR_ID, DOS_THRU_DT, DX_CD Grain grouped by PAYER, SRC_FILE_NM, DOS_THRU_YYYYMM"/>
  </r>
  <r>
    <x v="0"/>
    <s v="MHS_MA_MAO4_202510_20251102.txt"/>
    <x v="72"/>
    <x v="7"/>
    <n v="49867"/>
    <n v="13907307"/>
    <n v="0.36"/>
    <s v="DQS_MAO04_FILE_000_B"/>
    <s v="RECORD COUNT by MBR_ID, DOS_THRU_DT, DX_CD Grain grouped by PAYER, SRC_FILE_NM, DOS_THRU_YYYYMM"/>
  </r>
  <r>
    <x v="0"/>
    <s v="MHS_MA_MAO4_202510_20251102.txt"/>
    <x v="73"/>
    <x v="7"/>
    <n v="51636"/>
    <n v="13907307"/>
    <n v="0.37"/>
    <s v="DQS_MAO04_FILE_000_B"/>
    <s v="RECORD COUNT by MBR_ID, DOS_THRU_DT, DX_CD Grain grouped by PAYER, SRC_FILE_NM, DOS_THRU_YYYYMM"/>
  </r>
  <r>
    <x v="0"/>
    <s v="MHS_MA_MAO4_202510_20251102.txt"/>
    <x v="74"/>
    <x v="7"/>
    <n v="72744"/>
    <n v="13907307"/>
    <n v="0.52"/>
    <s v="DQS_MAO04_FILE_000_B"/>
    <s v="RECORD COUNT by MBR_ID, DOS_THRU_DT, DX_CD Grain grouped by PAYER, SRC_FILE_NM, DOS_THRU_YYYYMM"/>
  </r>
  <r>
    <x v="0"/>
    <s v="MHS_MA_MAO4_202510_20251102.txt"/>
    <x v="75"/>
    <x v="7"/>
    <n v="160489"/>
    <n v="13907307"/>
    <n v="1.1499999999999999"/>
    <s v="DQS_MAO04_FILE_000_B"/>
    <s v="RECORD COUNT by MBR_ID, DOS_THRU_DT, DX_CD Grain grouped by PAYER, SRC_FILE_NM, DOS_THRU_YYYYMM"/>
  </r>
  <r>
    <x v="0"/>
    <s v="MHS_MA_MAO4_202510_20251102.txt"/>
    <x v="76"/>
    <x v="7"/>
    <n v="170863"/>
    <n v="13907307"/>
    <n v="1.23"/>
    <s v="DQS_MAO04_FILE_000_B"/>
    <s v="RECORD COUNT by MBR_ID, DOS_THRU_DT, DX_CD Grain grouped by PAYER, SRC_FILE_NM, DOS_THRU_YYYYMM"/>
  </r>
  <r>
    <x v="0"/>
    <s v="MHS_MA_MAO4_202510_20251102.txt"/>
    <x v="77"/>
    <x v="8"/>
    <n v="234590"/>
    <n v="13907307"/>
    <n v="1.69"/>
    <s v="DQS_MAO04_FILE_000_B"/>
    <s v="RECORD COUNT by MBR_ID, DOS_THRU_DT, DX_CD Grain grouped by PAYER, SRC_FILE_NM, DOS_THRU_YYYYMM"/>
  </r>
  <r>
    <x v="0"/>
    <s v="MHS_MA_MAO4_202510_20251102.txt"/>
    <x v="78"/>
    <x v="8"/>
    <n v="228265"/>
    <n v="13907307"/>
    <n v="1.64"/>
    <s v="DQS_MAO04_FILE_000_B"/>
    <s v="RECORD COUNT by MBR_ID, DOS_THRU_DT, DX_CD Grain grouped by PAYER, SRC_FILE_NM, DOS_THRU_YYYYMM"/>
  </r>
  <r>
    <x v="0"/>
    <s v="MHS_MA_MAO4_202510_20251102.txt"/>
    <x v="79"/>
    <x v="8"/>
    <n v="253250"/>
    <n v="13907307"/>
    <n v="1.82"/>
    <s v="DQS_MAO04_FILE_000_B"/>
    <s v="RECORD COUNT by MBR_ID, DOS_THRU_DT, DX_CD Grain grouped by PAYER, SRC_FILE_NM, DOS_THRU_YYYYMM"/>
  </r>
  <r>
    <x v="0"/>
    <s v="MHS_MA_MAO4_202510_20251102.txt"/>
    <x v="80"/>
    <x v="8"/>
    <n v="229351"/>
    <n v="13907307"/>
    <n v="1.65"/>
    <s v="DQS_MAO04_FILE_000_B"/>
    <s v="RECORD COUNT by MBR_ID, DOS_THRU_DT, DX_CD Grain grouped by PAYER, SRC_FILE_NM, DOS_THRU_YYYYMM"/>
  </r>
  <r>
    <x v="0"/>
    <s v="MHS_MA_MAO4_202510_20251102.txt"/>
    <x v="81"/>
    <x v="8"/>
    <n v="242968"/>
    <n v="13907307"/>
    <n v="1.75"/>
    <s v="DQS_MAO04_FILE_000_B"/>
    <s v="RECORD COUNT by MBR_ID, DOS_THRU_DT, DX_CD Grain grouped by PAYER, SRC_FILE_NM, DOS_THRU_YYYYMM"/>
  </r>
  <r>
    <x v="0"/>
    <s v="MHS_MA_MAO4_202510_20251102.txt"/>
    <x v="82"/>
    <x v="8"/>
    <n v="236079"/>
    <n v="13907307"/>
    <n v="1.7"/>
    <s v="DQS_MAO04_FILE_000_B"/>
    <s v="RECORD COUNT by MBR_ID, DOS_THRU_DT, DX_CD Grain grouped by PAYER, SRC_FILE_NM, DOS_THRU_YYYYMM"/>
  </r>
  <r>
    <x v="0"/>
    <s v="MHS_MA_MAO4_202510_20251102.txt"/>
    <x v="83"/>
    <x v="8"/>
    <n v="219807"/>
    <n v="13907307"/>
    <n v="1.58"/>
    <s v="DQS_MAO04_FILE_000_B"/>
    <s v="RECORD COUNT by MBR_ID, DOS_THRU_DT, DX_CD Grain grouped by PAYER, SRC_FILE_NM, DOS_THRU_YYYYMM"/>
  </r>
  <r>
    <x v="0"/>
    <s v="MHS_MA_MAO4_202510_20251102.txt"/>
    <x v="84"/>
    <x v="8"/>
    <n v="251356"/>
    <n v="13907307"/>
    <n v="1.81"/>
    <s v="DQS_MAO04_FILE_000_B"/>
    <s v="RECORD COUNT by MBR_ID, DOS_THRU_DT, DX_CD Grain grouped by PAYER, SRC_FILE_NM, DOS_THRU_YYYYMM"/>
  </r>
  <r>
    <x v="0"/>
    <s v="MHS_MA_MAO4_202510_20251102.txt"/>
    <x v="85"/>
    <x v="8"/>
    <n v="236054"/>
    <n v="13907307"/>
    <n v="1.7"/>
    <s v="DQS_MAO04_FILE_000_B"/>
    <s v="RECORD COUNT by MBR_ID, DOS_THRU_DT, DX_CD Grain grouped by PAYER, SRC_FILE_NM, DOS_THRU_YYYYMM"/>
  </r>
  <r>
    <x v="0"/>
    <s v="MHS_MA_MAO4_202510_20251102.txt"/>
    <x v="86"/>
    <x v="8"/>
    <n v="257702"/>
    <n v="13907307"/>
    <n v="1.85"/>
    <s v="DQS_MAO04_FILE_000_B"/>
    <s v="RECORD COUNT by MBR_ID, DOS_THRU_DT, DX_CD Grain grouped by PAYER, SRC_FILE_NM, DOS_THRU_YYYYMM"/>
  </r>
  <r>
    <x v="0"/>
    <s v="MHS_MA_MAO4_202510_20251102.txt"/>
    <x v="87"/>
    <x v="8"/>
    <n v="241920"/>
    <n v="13907307"/>
    <n v="1.74"/>
    <s v="DQS_MAO04_FILE_000_B"/>
    <s v="RECORD COUNT by MBR_ID, DOS_THRU_DT, DX_CD Grain grouped by PAYER, SRC_FILE_NM, DOS_THRU_YYYYMM"/>
  </r>
  <r>
    <x v="0"/>
    <s v="MHS_MA_MAO4_202510_20251102.txt"/>
    <x v="88"/>
    <x v="8"/>
    <n v="228351"/>
    <n v="13907307"/>
    <n v="1.64"/>
    <s v="DQS_MAO04_FILE_000_B"/>
    <s v="RECORD COUNT by MBR_ID, DOS_THRU_DT, DX_CD Grain grouped by PAYER, SRC_FILE_NM, DOS_THRU_YYYYMM"/>
  </r>
  <r>
    <x v="0"/>
    <s v="MHS_MA_MAO4_202510_20251102.txt"/>
    <x v="89"/>
    <x v="9"/>
    <n v="419081"/>
    <n v="13907307"/>
    <n v="3.01"/>
    <s v="DQS_MAO04_FILE_000_B"/>
    <s v="RECORD COUNT by MBR_ID, DOS_THRU_DT, DX_CD Grain grouped by PAYER, SRC_FILE_NM, DOS_THRU_YYYYMM"/>
  </r>
  <r>
    <x v="0"/>
    <s v="MHS_MA_MAO4_202510_20251102.txt"/>
    <x v="97"/>
    <x v="9"/>
    <n v="472708"/>
    <n v="13907307"/>
    <n v="3.4"/>
    <s v="DQS_MAO04_FILE_000_B"/>
    <s v="RECORD COUNT by MBR_ID, DOS_THRU_DT, DX_CD Grain grouped by PAYER, SRC_FILE_NM, DOS_THRU_YYYYMM"/>
  </r>
  <r>
    <x v="0"/>
    <s v="MHS_MA_MAO4_202510_20251102.txt"/>
    <x v="98"/>
    <x v="9"/>
    <n v="498805"/>
    <n v="13907307"/>
    <n v="3.59"/>
    <s v="DQS_MAO04_FILE_000_B"/>
    <s v="RECORD COUNT by MBR_ID, DOS_THRU_DT, DX_CD Grain grouped by PAYER, SRC_FILE_NM, DOS_THRU_YYYYMM"/>
  </r>
  <r>
    <x v="0"/>
    <s v="MHS_MA_MAO4_202510_20251102.txt"/>
    <x v="99"/>
    <x v="9"/>
    <n v="517151"/>
    <n v="13907307"/>
    <n v="3.72"/>
    <s v="DQS_MAO04_FILE_000_B"/>
    <s v="RECORD COUNT by MBR_ID, DOS_THRU_DT, DX_CD Grain grouped by PAYER, SRC_FILE_NM, DOS_THRU_YYYYMM"/>
  </r>
  <r>
    <x v="0"/>
    <s v="MHS_MA_MAO4_202510_20251102.txt"/>
    <x v="100"/>
    <x v="9"/>
    <n v="493044"/>
    <n v="13907307"/>
    <n v="3.55"/>
    <s v="DQS_MAO04_FILE_000_B"/>
    <s v="RECORD COUNT by MBR_ID, DOS_THRU_DT, DX_CD Grain grouped by PAYER, SRC_FILE_NM, DOS_THRU_YYYYMM"/>
  </r>
  <r>
    <x v="0"/>
    <s v="MHS_MA_MAO4_202510_20251102.txt"/>
    <x v="102"/>
    <x v="9"/>
    <n v="469390"/>
    <n v="13907307"/>
    <n v="3.38"/>
    <s v="DQS_MAO04_FILE_000_B"/>
    <s v="RECORD COUNT by MBR_ID, DOS_THRU_DT, DX_CD Grain grouped by PAYER, SRC_FILE_NM, DOS_THRU_YYYYMM"/>
  </r>
  <r>
    <x v="0"/>
    <s v="MHS_MA_MAO4_202510_20251102.txt"/>
    <x v="103"/>
    <x v="9"/>
    <n v="486900"/>
    <n v="13907307"/>
    <n v="3.5"/>
    <s v="DQS_MAO04_FILE_000_B"/>
    <s v="RECORD COUNT by MBR_ID, DOS_THRU_DT, DX_CD Grain grouped by PAYER, SRC_FILE_NM, DOS_THRU_YYYYMM"/>
  </r>
  <r>
    <x v="0"/>
    <s v="MHS_MA_MAO4_202510_20251102.txt"/>
    <x v="105"/>
    <x v="9"/>
    <n v="488644"/>
    <n v="13907307"/>
    <n v="3.51"/>
    <s v="DQS_MAO04_FILE_000_B"/>
    <s v="RECORD COUNT by MBR_ID, DOS_THRU_DT, DX_CD Grain grouped by PAYER, SRC_FILE_NM, DOS_THRU_YYYYMM"/>
  </r>
  <r>
    <x v="0"/>
    <s v="MHS_MA_MAO4_202510_20251102.txt"/>
    <x v="106"/>
    <x v="9"/>
    <n v="520735"/>
    <n v="13907307"/>
    <n v="3.74"/>
    <s v="DQS_MAO04_FILE_000_B"/>
    <s v="RECORD COUNT by MBR_ID, DOS_THRU_DT, DX_CD Grain grouped by PAYER, SRC_FILE_NM, DOS_THRU_YYYYMM"/>
  </r>
  <r>
    <x v="0"/>
    <s v="MHS_MA_MAO4_202510_20251102.txt"/>
    <x v="107"/>
    <x v="9"/>
    <n v="639754"/>
    <n v="13907307"/>
    <n v="4.5999999999999996"/>
    <s v="DQS_MAO04_FILE_000_B"/>
    <s v="RECORD COUNT by MBR_ID, DOS_THRU_DT, DX_CD Grain grouped by PAYER, SRC_FILE_NM, DOS_THRU_YYYYMM"/>
  </r>
  <r>
    <x v="0"/>
    <s v="MHS_MA_MAO4_202510_20251102.txt"/>
    <x v="108"/>
    <x v="9"/>
    <n v="566348"/>
    <n v="13907307"/>
    <n v="4.07"/>
    <s v="DQS_MAO04_FILE_000_B"/>
    <s v="RECORD COUNT by MBR_ID, DOS_THRU_DT, DX_CD Grain grouped by PAYER, SRC_FILE_NM, DOS_THRU_YYYYMM"/>
  </r>
  <r>
    <x v="0"/>
    <s v="MHS_MA_MAO4_202510_20251102.txt"/>
    <x v="109"/>
    <x v="9"/>
    <n v="599579"/>
    <n v="13907307"/>
    <n v="4.3099999999999996"/>
    <s v="DQS_MAO04_FILE_000_B"/>
    <s v="RECORD COUNT by MBR_ID, DOS_THRU_DT, DX_CD Grain grouped by PAYER, SRC_FILE_NM, DOS_THRU_YYYYMM"/>
  </r>
  <r>
    <x v="0"/>
    <s v="MHS_MA_MAO4_202510_20251102.txt"/>
    <x v="110"/>
    <x v="11"/>
    <n v="517907"/>
    <n v="13907307"/>
    <n v="3.72"/>
    <s v="DQS_MAO04_FILE_000_B"/>
    <s v="RECORD COUNT by MBR_ID, DOS_THRU_DT, DX_CD Grain grouped by PAYER, SRC_FILE_NM, DOS_THRU_YYYYMM"/>
  </r>
  <r>
    <x v="0"/>
    <s v="MHS_MA_MAO4_202510_20251102.txt"/>
    <x v="111"/>
    <x v="11"/>
    <n v="474242"/>
    <n v="13907307"/>
    <n v="3.41"/>
    <s v="DQS_MAO04_FILE_000_B"/>
    <s v="RECORD COUNT by MBR_ID, DOS_THRU_DT, DX_CD Grain grouped by PAYER, SRC_FILE_NM, DOS_THRU_YYYYMM"/>
  </r>
  <r>
    <x v="0"/>
    <s v="MHS_MA_MAO4_202510_20251102.txt"/>
    <x v="112"/>
    <x v="11"/>
    <n v="530461"/>
    <n v="13907307"/>
    <n v="3.81"/>
    <s v="DQS_MAO04_FILE_000_B"/>
    <s v="RECORD COUNT by MBR_ID, DOS_THRU_DT, DX_CD Grain grouped by PAYER, SRC_FILE_NM, DOS_THRU_YYYYMM"/>
  </r>
  <r>
    <x v="0"/>
    <s v="MHS_MA_MAO4_202510_20251102.txt"/>
    <x v="113"/>
    <x v="11"/>
    <n v="462395"/>
    <n v="13907307"/>
    <n v="3.32"/>
    <s v="DQS_MAO04_FILE_000_B"/>
    <s v="RECORD COUNT by MBR_ID, DOS_THRU_DT, DX_CD Grain grouped by PAYER, SRC_FILE_NM, DOS_THRU_YYYYMM"/>
  </r>
  <r>
    <x v="0"/>
    <s v="MHS_MA_MAO4_202510_20251102.txt"/>
    <x v="114"/>
    <x v="11"/>
    <n v="403933"/>
    <n v="13907307"/>
    <n v="2.9"/>
    <s v="DQS_MAO04_FILE_000_B"/>
    <s v="RECORD COUNT by MBR_ID, DOS_THRU_DT, DX_CD Grain grouped by PAYER, SRC_FILE_NM, DOS_THRU_YYYYMM"/>
  </r>
  <r>
    <x v="0"/>
    <s v="MHS_MA_MAO4_202510_20251102.txt"/>
    <x v="115"/>
    <x v="11"/>
    <n v="401761"/>
    <n v="13907307"/>
    <n v="2.89"/>
    <s v="DQS_MAO04_FILE_000_B"/>
    <s v="RECORD COUNT by MBR_ID, DOS_THRU_DT, DX_CD Grain grouped by PAYER, SRC_FILE_NM, DOS_THRU_YYYYMM"/>
  </r>
  <r>
    <x v="0"/>
    <s v="MHS_MA_MAO4_202510_20251102.txt"/>
    <x v="116"/>
    <x v="11"/>
    <n v="383340"/>
    <n v="13907307"/>
    <n v="2.76"/>
    <s v="DQS_MAO04_FILE_000_B"/>
    <s v="RECORD COUNT by MBR_ID, DOS_THRU_DT, DX_CD Grain grouped by PAYER, SRC_FILE_NM, DOS_THRU_YYYYMM"/>
  </r>
  <r>
    <x v="0"/>
    <s v="MHS_MA_MAO4_202510_20251102.txt"/>
    <x v="117"/>
    <x v="11"/>
    <n v="334424"/>
    <n v="13907307"/>
    <n v="2.4"/>
    <s v="DQS_MAO04_FILE_000_B"/>
    <s v="RECORD COUNT by MBR_ID, DOS_THRU_DT, DX_CD Grain grouped by PAYER, SRC_FILE_NM, DOS_THRU_YYYYMM"/>
  </r>
  <r>
    <x v="0"/>
    <s v="MHS_MA_MAO4_202510_20251102.txt"/>
    <x v="118"/>
    <x v="11"/>
    <n v="75284"/>
    <n v="13907307"/>
    <n v="0.54"/>
    <s v="DQS_MAO04_FILE_000_B"/>
    <s v="RECORD COUNT by MBR_ID, DOS_THRU_DT, DX_CD Grain grouped by PAYER, SRC_FILE_NM, DOS_THRU_YYYYMM"/>
  </r>
  <r>
    <x v="0"/>
    <s v="MHS_MA_MAO4_202511_20251202.txt"/>
    <x v="29"/>
    <x v="4"/>
    <n v="134"/>
    <n v="14163403"/>
    <n v="0"/>
    <s v="DQS_MAO04_FILE_000_B"/>
    <s v="RECORD COUNT by MBR_ID, DOS_THRU_DT, DX_CD Grain grouped by PAYER, SRC_FILE_NM, DOS_THRU_YYYYMM"/>
  </r>
  <r>
    <x v="0"/>
    <s v="MHS_MA_MAO4_202511_20251202.txt"/>
    <x v="30"/>
    <x v="4"/>
    <n v="106"/>
    <n v="14163403"/>
    <n v="0"/>
    <s v="DQS_MAO04_FILE_000_B"/>
    <s v="RECORD COUNT by MBR_ID, DOS_THRU_DT, DX_CD Grain grouped by PAYER, SRC_FILE_NM, DOS_THRU_YYYYMM"/>
  </r>
  <r>
    <x v="0"/>
    <s v="MHS_MA_MAO4_202511_20251202.txt"/>
    <x v="31"/>
    <x v="4"/>
    <n v="198"/>
    <n v="14163403"/>
    <n v="0"/>
    <s v="DQS_MAO04_FILE_000_B"/>
    <s v="RECORD COUNT by MBR_ID, DOS_THRU_DT, DX_CD Grain grouped by PAYER, SRC_FILE_NM, DOS_THRU_YYYYMM"/>
  </r>
  <r>
    <x v="0"/>
    <s v="MHS_MA_MAO4_202511_20251202.txt"/>
    <x v="32"/>
    <x v="4"/>
    <n v="186"/>
    <n v="14163403"/>
    <n v="0"/>
    <s v="DQS_MAO04_FILE_000_B"/>
    <s v="RECORD COUNT by MBR_ID, DOS_THRU_DT, DX_CD Grain grouped by PAYER, SRC_FILE_NM, DOS_THRU_YYYYMM"/>
  </r>
  <r>
    <x v="0"/>
    <s v="MHS_MA_MAO4_202511_20251202.txt"/>
    <x v="33"/>
    <x v="4"/>
    <n v="270"/>
    <n v="14163403"/>
    <n v="0"/>
    <s v="DQS_MAO04_FILE_000_B"/>
    <s v="RECORD COUNT by MBR_ID, DOS_THRU_DT, DX_CD Grain grouped by PAYER, SRC_FILE_NM, DOS_THRU_YYYYMM"/>
  </r>
  <r>
    <x v="0"/>
    <s v="MHS_MA_MAO4_202511_20251202.txt"/>
    <x v="34"/>
    <x v="4"/>
    <n v="408"/>
    <n v="14163403"/>
    <n v="0"/>
    <s v="DQS_MAO04_FILE_000_B"/>
    <s v="RECORD COUNT by MBR_ID, DOS_THRU_DT, DX_CD Grain grouped by PAYER, SRC_FILE_NM, DOS_THRU_YYYYMM"/>
  </r>
  <r>
    <x v="0"/>
    <s v="MHS_MA_MAO4_202511_20251202.txt"/>
    <x v="35"/>
    <x v="4"/>
    <n v="218"/>
    <n v="14163403"/>
    <n v="0"/>
    <s v="DQS_MAO04_FILE_000_B"/>
    <s v="RECORD COUNT by MBR_ID, DOS_THRU_DT, DX_CD Grain grouped by PAYER, SRC_FILE_NM, DOS_THRU_YYYYMM"/>
  </r>
  <r>
    <x v="0"/>
    <s v="MHS_MA_MAO4_202511_20251202.txt"/>
    <x v="36"/>
    <x v="4"/>
    <n v="113"/>
    <n v="14163403"/>
    <n v="0"/>
    <s v="DQS_MAO04_FILE_000_B"/>
    <s v="RECORD COUNT by MBR_ID, DOS_THRU_DT, DX_CD Grain grouped by PAYER, SRC_FILE_NM, DOS_THRU_YYYYMM"/>
  </r>
  <r>
    <x v="0"/>
    <s v="MHS_MA_MAO4_202511_20251202.txt"/>
    <x v="37"/>
    <x v="4"/>
    <n v="123"/>
    <n v="14163403"/>
    <n v="0"/>
    <s v="DQS_MAO04_FILE_000_B"/>
    <s v="RECORD COUNT by MBR_ID, DOS_THRU_DT, DX_CD Grain grouped by PAYER, SRC_FILE_NM, DOS_THRU_YYYYMM"/>
  </r>
  <r>
    <x v="0"/>
    <s v="MHS_MA_MAO4_202511_20251202.txt"/>
    <x v="38"/>
    <x v="4"/>
    <n v="145"/>
    <n v="14163403"/>
    <n v="0"/>
    <s v="DQS_MAO04_FILE_000_B"/>
    <s v="RECORD COUNT by MBR_ID, DOS_THRU_DT, DX_CD Grain grouped by PAYER, SRC_FILE_NM, DOS_THRU_YYYYMM"/>
  </r>
  <r>
    <x v="0"/>
    <s v="MHS_MA_MAO4_202511_20251202.txt"/>
    <x v="39"/>
    <x v="4"/>
    <n v="99"/>
    <n v="14163403"/>
    <n v="0"/>
    <s v="DQS_MAO04_FILE_000_B"/>
    <s v="RECORD COUNT by MBR_ID, DOS_THRU_DT, DX_CD Grain grouped by PAYER, SRC_FILE_NM, DOS_THRU_YYYYMM"/>
  </r>
  <r>
    <x v="0"/>
    <s v="MHS_MA_MAO4_202511_20251202.txt"/>
    <x v="40"/>
    <x v="4"/>
    <n v="14"/>
    <n v="14163403"/>
    <n v="0"/>
    <s v="DQS_MAO04_FILE_000_B"/>
    <s v="RECORD COUNT by MBR_ID, DOS_THRU_DT, DX_CD Grain grouped by PAYER, SRC_FILE_NM, DOS_THRU_YYYYMM"/>
  </r>
  <r>
    <x v="0"/>
    <s v="MHS_MA_MAO4_202511_20251202.txt"/>
    <x v="41"/>
    <x v="5"/>
    <n v="591"/>
    <n v="14163403"/>
    <n v="0"/>
    <s v="DQS_MAO04_FILE_000_B"/>
    <s v="RECORD COUNT by MBR_ID, DOS_THRU_DT, DX_CD Grain grouped by PAYER, SRC_FILE_NM, DOS_THRU_YYYYMM"/>
  </r>
  <r>
    <x v="0"/>
    <s v="MHS_MA_MAO4_202511_20251202.txt"/>
    <x v="42"/>
    <x v="5"/>
    <n v="281"/>
    <n v="14163403"/>
    <n v="0"/>
    <s v="DQS_MAO04_FILE_000_B"/>
    <s v="RECORD COUNT by MBR_ID, DOS_THRU_DT, DX_CD Grain grouped by PAYER, SRC_FILE_NM, DOS_THRU_YYYYMM"/>
  </r>
  <r>
    <x v="0"/>
    <s v="MHS_MA_MAO4_202511_20251202.txt"/>
    <x v="43"/>
    <x v="5"/>
    <n v="379"/>
    <n v="14163403"/>
    <n v="0"/>
    <s v="DQS_MAO04_FILE_000_B"/>
    <s v="RECORD COUNT by MBR_ID, DOS_THRU_DT, DX_CD Grain grouped by PAYER, SRC_FILE_NM, DOS_THRU_YYYYMM"/>
  </r>
  <r>
    <x v="0"/>
    <s v="MHS_MA_MAO4_202511_20251202.txt"/>
    <x v="44"/>
    <x v="5"/>
    <n v="269"/>
    <n v="14163403"/>
    <n v="0"/>
    <s v="DQS_MAO04_FILE_000_B"/>
    <s v="RECORD COUNT by MBR_ID, DOS_THRU_DT, DX_CD Grain grouped by PAYER, SRC_FILE_NM, DOS_THRU_YYYYMM"/>
  </r>
  <r>
    <x v="0"/>
    <s v="MHS_MA_MAO4_202511_20251202.txt"/>
    <x v="45"/>
    <x v="5"/>
    <n v="371"/>
    <n v="14163403"/>
    <n v="0"/>
    <s v="DQS_MAO04_FILE_000_B"/>
    <s v="RECORD COUNT by MBR_ID, DOS_THRU_DT, DX_CD Grain grouped by PAYER, SRC_FILE_NM, DOS_THRU_YYYYMM"/>
  </r>
  <r>
    <x v="0"/>
    <s v="MHS_MA_MAO4_202511_20251202.txt"/>
    <x v="46"/>
    <x v="5"/>
    <n v="465"/>
    <n v="14163403"/>
    <n v="0"/>
    <s v="DQS_MAO04_FILE_000_B"/>
    <s v="RECORD COUNT by MBR_ID, DOS_THRU_DT, DX_CD Grain grouped by PAYER, SRC_FILE_NM, DOS_THRU_YYYYMM"/>
  </r>
  <r>
    <x v="0"/>
    <s v="MHS_MA_MAO4_202511_20251202.txt"/>
    <x v="47"/>
    <x v="5"/>
    <n v="399"/>
    <n v="14163403"/>
    <n v="0"/>
    <s v="DQS_MAO04_FILE_000_B"/>
    <s v="RECORD COUNT by MBR_ID, DOS_THRU_DT, DX_CD Grain grouped by PAYER, SRC_FILE_NM, DOS_THRU_YYYYMM"/>
  </r>
  <r>
    <x v="0"/>
    <s v="MHS_MA_MAO4_202511_20251202.txt"/>
    <x v="48"/>
    <x v="5"/>
    <n v="419"/>
    <n v="14163403"/>
    <n v="0"/>
    <s v="DQS_MAO04_FILE_000_B"/>
    <s v="RECORD COUNT by MBR_ID, DOS_THRU_DT, DX_CD Grain grouped by PAYER, SRC_FILE_NM, DOS_THRU_YYYYMM"/>
  </r>
  <r>
    <x v="0"/>
    <s v="MHS_MA_MAO4_202511_20251202.txt"/>
    <x v="49"/>
    <x v="5"/>
    <n v="359"/>
    <n v="14163403"/>
    <n v="0"/>
    <s v="DQS_MAO04_FILE_000_B"/>
    <s v="RECORD COUNT by MBR_ID, DOS_THRU_DT, DX_CD Grain grouped by PAYER, SRC_FILE_NM, DOS_THRU_YYYYMM"/>
  </r>
  <r>
    <x v="0"/>
    <s v="MHS_MA_MAO4_202511_20251202.txt"/>
    <x v="50"/>
    <x v="5"/>
    <n v="372"/>
    <n v="14163403"/>
    <n v="0"/>
    <s v="DQS_MAO04_FILE_000_B"/>
    <s v="RECORD COUNT by MBR_ID, DOS_THRU_DT, DX_CD Grain grouped by PAYER, SRC_FILE_NM, DOS_THRU_YYYYMM"/>
  </r>
  <r>
    <x v="0"/>
    <s v="MHS_MA_MAO4_202511_20251202.txt"/>
    <x v="51"/>
    <x v="5"/>
    <n v="391"/>
    <n v="14163403"/>
    <n v="0"/>
    <s v="DQS_MAO04_FILE_000_B"/>
    <s v="RECORD COUNT by MBR_ID, DOS_THRU_DT, DX_CD Grain grouped by PAYER, SRC_FILE_NM, DOS_THRU_YYYYMM"/>
  </r>
  <r>
    <x v="0"/>
    <s v="MHS_MA_MAO4_202511_20251202.txt"/>
    <x v="52"/>
    <x v="5"/>
    <n v="609"/>
    <n v="14163403"/>
    <n v="0"/>
    <s v="DQS_MAO04_FILE_000_B"/>
    <s v="RECORD COUNT by MBR_ID, DOS_THRU_DT, DX_CD Grain grouped by PAYER, SRC_FILE_NM, DOS_THRU_YYYYMM"/>
  </r>
  <r>
    <x v="0"/>
    <s v="MHS_MA_MAO4_202511_20251202.txt"/>
    <x v="53"/>
    <x v="6"/>
    <n v="14852"/>
    <n v="14163403"/>
    <n v="0.1"/>
    <s v="DQS_MAO04_FILE_000_B"/>
    <s v="RECORD COUNT by MBR_ID, DOS_THRU_DT, DX_CD Grain grouped by PAYER, SRC_FILE_NM, DOS_THRU_YYYYMM"/>
  </r>
  <r>
    <x v="0"/>
    <s v="MHS_MA_MAO4_202511_20251202.txt"/>
    <x v="54"/>
    <x v="6"/>
    <n v="14611"/>
    <n v="14163403"/>
    <n v="0.1"/>
    <s v="DQS_MAO04_FILE_000_B"/>
    <s v="RECORD COUNT by MBR_ID, DOS_THRU_DT, DX_CD Grain grouped by PAYER, SRC_FILE_NM, DOS_THRU_YYYYMM"/>
  </r>
  <r>
    <x v="0"/>
    <s v="MHS_MA_MAO4_202511_20251202.txt"/>
    <x v="55"/>
    <x v="6"/>
    <n v="18211"/>
    <n v="14163403"/>
    <n v="0.13"/>
    <s v="DQS_MAO04_FILE_000_B"/>
    <s v="RECORD COUNT by MBR_ID, DOS_THRU_DT, DX_CD Grain grouped by PAYER, SRC_FILE_NM, DOS_THRU_YYYYMM"/>
  </r>
  <r>
    <x v="0"/>
    <s v="MHS_MA_MAO4_202511_20251202.txt"/>
    <x v="56"/>
    <x v="6"/>
    <n v="17553"/>
    <n v="14163403"/>
    <n v="0.12"/>
    <s v="DQS_MAO04_FILE_000_B"/>
    <s v="RECORD COUNT by MBR_ID, DOS_THRU_DT, DX_CD Grain grouped by PAYER, SRC_FILE_NM, DOS_THRU_YYYYMM"/>
  </r>
  <r>
    <x v="0"/>
    <s v="MHS_MA_MAO4_202511_20251202.txt"/>
    <x v="57"/>
    <x v="6"/>
    <n v="16371"/>
    <n v="14163403"/>
    <n v="0.12"/>
    <s v="DQS_MAO04_FILE_000_B"/>
    <s v="RECORD COUNT by MBR_ID, DOS_THRU_DT, DX_CD Grain grouped by PAYER, SRC_FILE_NM, DOS_THRU_YYYYMM"/>
  </r>
  <r>
    <x v="0"/>
    <s v="MHS_MA_MAO4_202511_20251202.txt"/>
    <x v="58"/>
    <x v="6"/>
    <n v="18526"/>
    <n v="14163403"/>
    <n v="0.13"/>
    <s v="DQS_MAO04_FILE_000_B"/>
    <s v="RECORD COUNT by MBR_ID, DOS_THRU_DT, DX_CD Grain grouped by PAYER, SRC_FILE_NM, DOS_THRU_YYYYMM"/>
  </r>
  <r>
    <x v="0"/>
    <s v="MHS_MA_MAO4_202511_20251202.txt"/>
    <x v="59"/>
    <x v="6"/>
    <n v="50579"/>
    <n v="14163403"/>
    <n v="0.36"/>
    <s v="DQS_MAO04_FILE_000_B"/>
    <s v="RECORD COUNT by MBR_ID, DOS_THRU_DT, DX_CD Grain grouped by PAYER, SRC_FILE_NM, DOS_THRU_YYYYMM"/>
  </r>
  <r>
    <x v="0"/>
    <s v="MHS_MA_MAO4_202511_20251202.txt"/>
    <x v="60"/>
    <x v="6"/>
    <n v="55042"/>
    <n v="14163403"/>
    <n v="0.39"/>
    <s v="DQS_MAO04_FILE_000_B"/>
    <s v="RECORD COUNT by MBR_ID, DOS_THRU_DT, DX_CD Grain grouped by PAYER, SRC_FILE_NM, DOS_THRU_YYYYMM"/>
  </r>
  <r>
    <x v="0"/>
    <s v="MHS_MA_MAO4_202511_20251202.txt"/>
    <x v="61"/>
    <x v="6"/>
    <n v="59020"/>
    <n v="14163403"/>
    <n v="0.42"/>
    <s v="DQS_MAO04_FILE_000_B"/>
    <s v="RECORD COUNT by MBR_ID, DOS_THRU_DT, DX_CD Grain grouped by PAYER, SRC_FILE_NM, DOS_THRU_YYYYMM"/>
  </r>
  <r>
    <x v="0"/>
    <s v="MHS_MA_MAO4_202511_20251202.txt"/>
    <x v="62"/>
    <x v="6"/>
    <n v="58551"/>
    <n v="14163403"/>
    <n v="0.41"/>
    <s v="DQS_MAO04_FILE_000_B"/>
    <s v="RECORD COUNT by MBR_ID, DOS_THRU_DT, DX_CD Grain grouped by PAYER, SRC_FILE_NM, DOS_THRU_YYYYMM"/>
  </r>
  <r>
    <x v="0"/>
    <s v="MHS_MA_MAO4_202511_20251202.txt"/>
    <x v="63"/>
    <x v="6"/>
    <n v="61287"/>
    <n v="14163403"/>
    <n v="0.43"/>
    <s v="DQS_MAO04_FILE_000_B"/>
    <s v="RECORD COUNT by MBR_ID, DOS_THRU_DT, DX_CD Grain grouped by PAYER, SRC_FILE_NM, DOS_THRU_YYYYMM"/>
  </r>
  <r>
    <x v="0"/>
    <s v="MHS_MA_MAO4_202511_20251202.txt"/>
    <x v="64"/>
    <x v="6"/>
    <n v="62140"/>
    <n v="14163403"/>
    <n v="0.44"/>
    <s v="DQS_MAO04_FILE_000_B"/>
    <s v="RECORD COUNT by MBR_ID, DOS_THRU_DT, DX_CD Grain grouped by PAYER, SRC_FILE_NM, DOS_THRU_YYYYMM"/>
  </r>
  <r>
    <x v="0"/>
    <s v="MHS_MA_MAO4_202511_20251202.txt"/>
    <x v="65"/>
    <x v="7"/>
    <n v="49999"/>
    <n v="14163403"/>
    <n v="0.35"/>
    <s v="DQS_MAO04_FILE_000_B"/>
    <s v="RECORD COUNT by MBR_ID, DOS_THRU_DT, DX_CD Grain grouped by PAYER, SRC_FILE_NM, DOS_THRU_YYYYMM"/>
  </r>
  <r>
    <x v="0"/>
    <s v="MHS_MA_MAO4_202511_20251202.txt"/>
    <x v="66"/>
    <x v="7"/>
    <n v="40263"/>
    <n v="14163403"/>
    <n v="0.28000000000000003"/>
    <s v="DQS_MAO04_FILE_000_B"/>
    <s v="RECORD COUNT by MBR_ID, DOS_THRU_DT, DX_CD Grain grouped by PAYER, SRC_FILE_NM, DOS_THRU_YYYYMM"/>
  </r>
  <r>
    <x v="0"/>
    <s v="MHS_MA_MAO4_202511_20251202.txt"/>
    <x v="67"/>
    <x v="7"/>
    <n v="45258"/>
    <n v="14163403"/>
    <n v="0.32"/>
    <s v="DQS_MAO04_FILE_000_B"/>
    <s v="RECORD COUNT by MBR_ID, DOS_THRU_DT, DX_CD Grain grouped by PAYER, SRC_FILE_NM, DOS_THRU_YYYYMM"/>
  </r>
  <r>
    <x v="0"/>
    <s v="MHS_MA_MAO4_202511_20251202.txt"/>
    <x v="68"/>
    <x v="7"/>
    <n v="42689"/>
    <n v="14163403"/>
    <n v="0.3"/>
    <s v="DQS_MAO04_FILE_000_B"/>
    <s v="RECORD COUNT by MBR_ID, DOS_THRU_DT, DX_CD Grain grouped by PAYER, SRC_FILE_NM, DOS_THRU_YYYYMM"/>
  </r>
  <r>
    <x v="0"/>
    <s v="MHS_MA_MAO4_202511_20251202.txt"/>
    <x v="69"/>
    <x v="7"/>
    <n v="40968"/>
    <n v="14163403"/>
    <n v="0.28999999999999998"/>
    <s v="DQS_MAO04_FILE_000_B"/>
    <s v="RECORD COUNT by MBR_ID, DOS_THRU_DT, DX_CD Grain grouped by PAYER, SRC_FILE_NM, DOS_THRU_YYYYMM"/>
  </r>
  <r>
    <x v="0"/>
    <s v="MHS_MA_MAO4_202511_20251202.txt"/>
    <x v="70"/>
    <x v="7"/>
    <n v="38355"/>
    <n v="14163403"/>
    <n v="0.27"/>
    <s v="DQS_MAO04_FILE_000_B"/>
    <s v="RECORD COUNT by MBR_ID, DOS_THRU_DT, DX_CD Grain grouped by PAYER, SRC_FILE_NM, DOS_THRU_YYYYMM"/>
  </r>
  <r>
    <x v="0"/>
    <s v="MHS_MA_MAO4_202511_20251202.txt"/>
    <x v="71"/>
    <x v="7"/>
    <n v="44514"/>
    <n v="14163403"/>
    <n v="0.31"/>
    <s v="DQS_MAO04_FILE_000_B"/>
    <s v="RECORD COUNT by MBR_ID, DOS_THRU_DT, DX_CD Grain grouped by PAYER, SRC_FILE_NM, DOS_THRU_YYYYMM"/>
  </r>
  <r>
    <x v="0"/>
    <s v="MHS_MA_MAO4_202511_20251202.txt"/>
    <x v="72"/>
    <x v="7"/>
    <n v="47824"/>
    <n v="14163403"/>
    <n v="0.34"/>
    <s v="DQS_MAO04_FILE_000_B"/>
    <s v="RECORD COUNT by MBR_ID, DOS_THRU_DT, DX_CD Grain grouped by PAYER, SRC_FILE_NM, DOS_THRU_YYYYMM"/>
  </r>
  <r>
    <x v="0"/>
    <s v="MHS_MA_MAO4_202511_20251202.txt"/>
    <x v="73"/>
    <x v="7"/>
    <n v="47212"/>
    <n v="14163403"/>
    <n v="0.33"/>
    <s v="DQS_MAO04_FILE_000_B"/>
    <s v="RECORD COUNT by MBR_ID, DOS_THRU_DT, DX_CD Grain grouped by PAYER, SRC_FILE_NM, DOS_THRU_YYYYMM"/>
  </r>
  <r>
    <x v="0"/>
    <s v="MHS_MA_MAO4_202511_20251202.txt"/>
    <x v="74"/>
    <x v="7"/>
    <n v="55991"/>
    <n v="14163403"/>
    <n v="0.4"/>
    <s v="DQS_MAO04_FILE_000_B"/>
    <s v="RECORD COUNT by MBR_ID, DOS_THRU_DT, DX_CD Grain grouped by PAYER, SRC_FILE_NM, DOS_THRU_YYYYMM"/>
  </r>
  <r>
    <x v="0"/>
    <s v="MHS_MA_MAO4_202511_20251202.txt"/>
    <x v="75"/>
    <x v="7"/>
    <n v="74611"/>
    <n v="14163403"/>
    <n v="0.53"/>
    <s v="DQS_MAO04_FILE_000_B"/>
    <s v="RECORD COUNT by MBR_ID, DOS_THRU_DT, DX_CD Grain grouped by PAYER, SRC_FILE_NM, DOS_THRU_YYYYMM"/>
  </r>
  <r>
    <x v="0"/>
    <s v="MHS_MA_MAO4_202511_20251202.txt"/>
    <x v="76"/>
    <x v="7"/>
    <n v="144434"/>
    <n v="14163403"/>
    <n v="1.02"/>
    <s v="DQS_MAO04_FILE_000_B"/>
    <s v="RECORD COUNT by MBR_ID, DOS_THRU_DT, DX_CD Grain grouped by PAYER, SRC_FILE_NM, DOS_THRU_YYYYMM"/>
  </r>
  <r>
    <x v="0"/>
    <s v="MHS_MA_MAO4_202511_20251202.txt"/>
    <x v="77"/>
    <x v="8"/>
    <n v="235121"/>
    <n v="14163403"/>
    <n v="1.66"/>
    <s v="DQS_MAO04_FILE_000_B"/>
    <s v="RECORD COUNT by MBR_ID, DOS_THRU_DT, DX_CD Grain grouped by PAYER, SRC_FILE_NM, DOS_THRU_YYYYMM"/>
  </r>
  <r>
    <x v="0"/>
    <s v="MHS_MA_MAO4_202511_20251202.txt"/>
    <x v="78"/>
    <x v="8"/>
    <n v="228830"/>
    <n v="14163403"/>
    <n v="1.62"/>
    <s v="DQS_MAO04_FILE_000_B"/>
    <s v="RECORD COUNT by MBR_ID, DOS_THRU_DT, DX_CD Grain grouped by PAYER, SRC_FILE_NM, DOS_THRU_YYYYMM"/>
  </r>
  <r>
    <x v="0"/>
    <s v="MHS_MA_MAO4_202511_20251202.txt"/>
    <x v="79"/>
    <x v="8"/>
    <n v="253749"/>
    <n v="14163403"/>
    <n v="1.79"/>
    <s v="DQS_MAO04_FILE_000_B"/>
    <s v="RECORD COUNT by MBR_ID, DOS_THRU_DT, DX_CD Grain grouped by PAYER, SRC_FILE_NM, DOS_THRU_YYYYMM"/>
  </r>
  <r>
    <x v="0"/>
    <s v="MHS_MA_MAO4_202511_20251202.txt"/>
    <x v="80"/>
    <x v="8"/>
    <n v="229629"/>
    <n v="14163403"/>
    <n v="1.62"/>
    <s v="DQS_MAO04_FILE_000_B"/>
    <s v="RECORD COUNT by MBR_ID, DOS_THRU_DT, DX_CD Grain grouped by PAYER, SRC_FILE_NM, DOS_THRU_YYYYMM"/>
  </r>
  <r>
    <x v="0"/>
    <s v="MHS_MA_MAO4_202511_20251202.txt"/>
    <x v="81"/>
    <x v="8"/>
    <n v="243445"/>
    <n v="14163403"/>
    <n v="1.72"/>
    <s v="DQS_MAO04_FILE_000_B"/>
    <s v="RECORD COUNT by MBR_ID, DOS_THRU_DT, DX_CD Grain grouped by PAYER, SRC_FILE_NM, DOS_THRU_YYYYMM"/>
  </r>
  <r>
    <x v="0"/>
    <s v="MHS_MA_MAO4_202511_20251202.txt"/>
    <x v="82"/>
    <x v="8"/>
    <n v="236349"/>
    <n v="14163403"/>
    <n v="1.67"/>
    <s v="DQS_MAO04_FILE_000_B"/>
    <s v="RECORD COUNT by MBR_ID, DOS_THRU_DT, DX_CD Grain grouped by PAYER, SRC_FILE_NM, DOS_THRU_YYYYMM"/>
  </r>
  <r>
    <x v="0"/>
    <s v="MHS_MA_MAO4_202511_20251202.txt"/>
    <x v="83"/>
    <x v="8"/>
    <n v="219970"/>
    <n v="14163403"/>
    <n v="1.55"/>
    <s v="DQS_MAO04_FILE_000_B"/>
    <s v="RECORD COUNT by MBR_ID, DOS_THRU_DT, DX_CD Grain grouped by PAYER, SRC_FILE_NM, DOS_THRU_YYYYMM"/>
  </r>
  <r>
    <x v="0"/>
    <s v="MHS_MA_MAO4_202511_20251202.txt"/>
    <x v="84"/>
    <x v="8"/>
    <n v="251886"/>
    <n v="14163403"/>
    <n v="1.78"/>
    <s v="DQS_MAO04_FILE_000_B"/>
    <s v="RECORD COUNT by MBR_ID, DOS_THRU_DT, DX_CD Grain grouped by PAYER, SRC_FILE_NM, DOS_THRU_YYYYMM"/>
  </r>
  <r>
    <x v="0"/>
    <s v="MHS_MA_MAO4_202511_20251202.txt"/>
    <x v="85"/>
    <x v="8"/>
    <n v="236445"/>
    <n v="14163403"/>
    <n v="1.67"/>
    <s v="DQS_MAO04_FILE_000_B"/>
    <s v="RECORD COUNT by MBR_ID, DOS_THRU_DT, DX_CD Grain grouped by PAYER, SRC_FILE_NM, DOS_THRU_YYYYMM"/>
  </r>
  <r>
    <x v="0"/>
    <s v="MHS_MA_MAO4_202511_20251202.txt"/>
    <x v="86"/>
    <x v="8"/>
    <n v="258017"/>
    <n v="14163403"/>
    <n v="1.82"/>
    <s v="DQS_MAO04_FILE_000_B"/>
    <s v="RECORD COUNT by MBR_ID, DOS_THRU_DT, DX_CD Grain grouped by PAYER, SRC_FILE_NM, DOS_THRU_YYYYMM"/>
  </r>
  <r>
    <x v="0"/>
    <s v="MHS_MA_MAO4_202511_20251202.txt"/>
    <x v="87"/>
    <x v="8"/>
    <n v="242408"/>
    <n v="14163403"/>
    <n v="1.71"/>
    <s v="DQS_MAO04_FILE_000_B"/>
    <s v="RECORD COUNT by MBR_ID, DOS_THRU_DT, DX_CD Grain grouped by PAYER, SRC_FILE_NM, DOS_THRU_YYYYMM"/>
  </r>
  <r>
    <x v="0"/>
    <s v="MHS_MA_MAO4_202511_20251202.txt"/>
    <x v="88"/>
    <x v="8"/>
    <n v="228747"/>
    <n v="14163403"/>
    <n v="1.62"/>
    <s v="DQS_MAO04_FILE_000_B"/>
    <s v="RECORD COUNT by MBR_ID, DOS_THRU_DT, DX_CD Grain grouped by PAYER, SRC_FILE_NM, DOS_THRU_YYYYMM"/>
  </r>
  <r>
    <x v="0"/>
    <s v="MHS_MA_MAO4_202511_20251202.txt"/>
    <x v="89"/>
    <x v="9"/>
    <n v="420214"/>
    <n v="14163403"/>
    <n v="2.97"/>
    <s v="DQS_MAO04_FILE_000_B"/>
    <s v="RECORD COUNT by MBR_ID, DOS_THRU_DT, DX_CD Grain grouped by PAYER, SRC_FILE_NM, DOS_THRU_YYYYMM"/>
  </r>
  <r>
    <x v="0"/>
    <s v="MHS_MA_MAO4_202511_20251202.txt"/>
    <x v="97"/>
    <x v="9"/>
    <n v="474200"/>
    <n v="14163403"/>
    <n v="3.35"/>
    <s v="DQS_MAO04_FILE_000_B"/>
    <s v="RECORD COUNT by MBR_ID, DOS_THRU_DT, DX_CD Grain grouped by PAYER, SRC_FILE_NM, DOS_THRU_YYYYMM"/>
  </r>
  <r>
    <x v="0"/>
    <s v="MHS_MA_MAO4_202511_20251202.txt"/>
    <x v="98"/>
    <x v="9"/>
    <n v="500641"/>
    <n v="14163403"/>
    <n v="3.53"/>
    <s v="DQS_MAO04_FILE_000_B"/>
    <s v="RECORD COUNT by MBR_ID, DOS_THRU_DT, DX_CD Grain grouped by PAYER, SRC_FILE_NM, DOS_THRU_YYYYMM"/>
  </r>
  <r>
    <x v="0"/>
    <s v="MHS_MA_MAO4_202511_20251202.txt"/>
    <x v="99"/>
    <x v="9"/>
    <n v="519227"/>
    <n v="14163403"/>
    <n v="3.67"/>
    <s v="DQS_MAO04_FILE_000_B"/>
    <s v="RECORD COUNT by MBR_ID, DOS_THRU_DT, DX_CD Grain grouped by PAYER, SRC_FILE_NM, DOS_THRU_YYYYMM"/>
  </r>
  <r>
    <x v="0"/>
    <s v="MHS_MA_MAO4_202511_20251202.txt"/>
    <x v="100"/>
    <x v="9"/>
    <n v="495127"/>
    <n v="14163403"/>
    <n v="3.5"/>
    <s v="DQS_MAO04_FILE_000_B"/>
    <s v="RECORD COUNT by MBR_ID, DOS_THRU_DT, DX_CD Grain grouped by PAYER, SRC_FILE_NM, DOS_THRU_YYYYMM"/>
  </r>
  <r>
    <x v="0"/>
    <s v="MHS_MA_MAO4_202511_20251202.txt"/>
    <x v="102"/>
    <x v="9"/>
    <n v="471847"/>
    <n v="14163403"/>
    <n v="3.33"/>
    <s v="DQS_MAO04_FILE_000_B"/>
    <s v="RECORD COUNT by MBR_ID, DOS_THRU_DT, DX_CD Grain grouped by PAYER, SRC_FILE_NM, DOS_THRU_YYYYMM"/>
  </r>
  <r>
    <x v="0"/>
    <s v="MHS_MA_MAO4_202511_20251202.txt"/>
    <x v="103"/>
    <x v="9"/>
    <n v="489506"/>
    <n v="14163403"/>
    <n v="3.46"/>
    <s v="DQS_MAO04_FILE_000_B"/>
    <s v="RECORD COUNT by MBR_ID, DOS_THRU_DT, DX_CD Grain grouped by PAYER, SRC_FILE_NM, DOS_THRU_YYYYMM"/>
  </r>
  <r>
    <x v="0"/>
    <s v="MHS_MA_MAO4_202511_20251202.txt"/>
    <x v="105"/>
    <x v="9"/>
    <n v="501536"/>
    <n v="14163403"/>
    <n v="3.54"/>
    <s v="DQS_MAO04_FILE_000_B"/>
    <s v="RECORD COUNT by MBR_ID, DOS_THRU_DT, DX_CD Grain grouped by PAYER, SRC_FILE_NM, DOS_THRU_YYYYMM"/>
  </r>
  <r>
    <x v="0"/>
    <s v="MHS_MA_MAO4_202511_20251202.txt"/>
    <x v="106"/>
    <x v="9"/>
    <n v="533873"/>
    <n v="14163403"/>
    <n v="3.77"/>
    <s v="DQS_MAO04_FILE_000_B"/>
    <s v="RECORD COUNT by MBR_ID, DOS_THRU_DT, DX_CD Grain grouped by PAYER, SRC_FILE_NM, DOS_THRU_YYYYMM"/>
  </r>
  <r>
    <x v="0"/>
    <s v="MHS_MA_MAO4_202511_20251202.txt"/>
    <x v="107"/>
    <x v="9"/>
    <n v="648565"/>
    <n v="14163403"/>
    <n v="4.58"/>
    <s v="DQS_MAO04_FILE_000_B"/>
    <s v="RECORD COUNT by MBR_ID, DOS_THRU_DT, DX_CD Grain grouped by PAYER, SRC_FILE_NM, DOS_THRU_YYYYMM"/>
  </r>
  <r>
    <x v="0"/>
    <s v="MHS_MA_MAO4_202511_20251202.txt"/>
    <x v="108"/>
    <x v="9"/>
    <n v="569803"/>
    <n v="14163403"/>
    <n v="4.0199999999999996"/>
    <s v="DQS_MAO04_FILE_000_B"/>
    <s v="RECORD COUNT by MBR_ID, DOS_THRU_DT, DX_CD Grain grouped by PAYER, SRC_FILE_NM, DOS_THRU_YYYYMM"/>
  </r>
  <r>
    <x v="0"/>
    <s v="MHS_MA_MAO4_202511_20251202.txt"/>
    <x v="109"/>
    <x v="9"/>
    <n v="603030"/>
    <n v="14163403"/>
    <n v="4.26"/>
    <s v="DQS_MAO04_FILE_000_B"/>
    <s v="RECORD COUNT by MBR_ID, DOS_THRU_DT, DX_CD Grain grouped by PAYER, SRC_FILE_NM, DOS_THRU_YYYYMM"/>
  </r>
  <r>
    <x v="0"/>
    <s v="MHS_MA_MAO4_202511_20251202.txt"/>
    <x v="110"/>
    <x v="11"/>
    <n v="523093"/>
    <n v="14163403"/>
    <n v="3.69"/>
    <s v="DQS_MAO04_FILE_000_B"/>
    <s v="RECORD COUNT by MBR_ID, DOS_THRU_DT, DX_CD Grain grouped by PAYER, SRC_FILE_NM, DOS_THRU_YYYYMM"/>
  </r>
  <r>
    <x v="0"/>
    <s v="MHS_MA_MAO4_202511_20251202.txt"/>
    <x v="111"/>
    <x v="11"/>
    <n v="477436"/>
    <n v="14163403"/>
    <n v="3.37"/>
    <s v="DQS_MAO04_FILE_000_B"/>
    <s v="RECORD COUNT by MBR_ID, DOS_THRU_DT, DX_CD Grain grouped by PAYER, SRC_FILE_NM, DOS_THRU_YYYYMM"/>
  </r>
  <r>
    <x v="0"/>
    <s v="MHS_MA_MAO4_202511_20251202.txt"/>
    <x v="112"/>
    <x v="11"/>
    <n v="533915"/>
    <n v="14163403"/>
    <n v="3.77"/>
    <s v="DQS_MAO04_FILE_000_B"/>
    <s v="RECORD COUNT by MBR_ID, DOS_THRU_DT, DX_CD Grain grouped by PAYER, SRC_FILE_NM, DOS_THRU_YYYYMM"/>
  </r>
  <r>
    <x v="0"/>
    <s v="MHS_MA_MAO4_202511_20251202.txt"/>
    <x v="113"/>
    <x v="11"/>
    <n v="466196"/>
    <n v="14163403"/>
    <n v="3.29"/>
    <s v="DQS_MAO04_FILE_000_B"/>
    <s v="RECORD COUNT by MBR_ID, DOS_THRU_DT, DX_CD Grain grouped by PAYER, SRC_FILE_NM, DOS_THRU_YYYYMM"/>
  </r>
  <r>
    <x v="0"/>
    <s v="MHS_MA_MAO4_202511_20251202.txt"/>
    <x v="114"/>
    <x v="11"/>
    <n v="408196"/>
    <n v="14163403"/>
    <n v="2.88"/>
    <s v="DQS_MAO04_FILE_000_B"/>
    <s v="RECORD COUNT by MBR_ID, DOS_THRU_DT, DX_CD Grain grouped by PAYER, SRC_FILE_NM, DOS_THRU_YYYYMM"/>
  </r>
  <r>
    <x v="0"/>
    <s v="MHS_MA_MAO4_202511_20251202.txt"/>
    <x v="115"/>
    <x v="11"/>
    <n v="409778"/>
    <n v="14163403"/>
    <n v="2.89"/>
    <s v="DQS_MAO04_FILE_000_B"/>
    <s v="RECORD COUNT by MBR_ID, DOS_THRU_DT, DX_CD Grain grouped by PAYER, SRC_FILE_NM, DOS_THRU_YYYYMM"/>
  </r>
  <r>
    <x v="0"/>
    <s v="MHS_MA_MAO4_202511_20251202.txt"/>
    <x v="116"/>
    <x v="11"/>
    <n v="398443"/>
    <n v="14163403"/>
    <n v="2.81"/>
    <s v="DQS_MAO04_FILE_000_B"/>
    <s v="RECORD COUNT by MBR_ID, DOS_THRU_DT, DX_CD Grain grouped by PAYER, SRC_FILE_NM, DOS_THRU_YYYYMM"/>
  </r>
  <r>
    <x v="0"/>
    <s v="MHS_MA_MAO4_202511_20251202.txt"/>
    <x v="117"/>
    <x v="11"/>
    <n v="363881"/>
    <n v="14163403"/>
    <n v="2.57"/>
    <s v="DQS_MAO04_FILE_000_B"/>
    <s v="RECORD COUNT by MBR_ID, DOS_THRU_DT, DX_CD Grain grouped by PAYER, SRC_FILE_NM, DOS_THRU_YYYYMM"/>
  </r>
  <r>
    <x v="0"/>
    <s v="MHS_MA_MAO4_202511_20251202.txt"/>
    <x v="118"/>
    <x v="11"/>
    <n v="325554"/>
    <n v="14163403"/>
    <n v="2.2999999999999998"/>
    <s v="DQS_MAO04_FILE_000_B"/>
    <s v="RECORD COUNT by MBR_ID, DOS_THRU_DT, DX_CD Grain grouped by PAYER, SRC_FILE_NM, DOS_THRU_YYYYMM"/>
  </r>
  <r>
    <x v="0"/>
    <s v="MHS_MA_MAO4_202511_20251202.txt"/>
    <x v="119"/>
    <x v="11"/>
    <n v="38966"/>
    <n v="14163403"/>
    <n v="0.28000000000000003"/>
    <s v="DQS_MAO04_FILE_000_B"/>
    <s v="RECORD COUNT by MBR_ID, DOS_THRU_DT, DX_CD Grain grouped by PAYER, SRC_FILE_NM, DOS_THRU_YYYYMM"/>
  </r>
  <r>
    <x v="0"/>
    <s v="MHS_MA_MAO4_202512_20260102.txt"/>
    <x v="29"/>
    <x v="4"/>
    <n v="126"/>
    <n v="14672300"/>
    <n v="0"/>
    <s v="DQS_MAO04_FILE_000_B"/>
    <s v="RECORD COUNT by MBR_ID, DOS_THRU_DT, DX_CD Grain grouped by PAYER, SRC_FILE_NM, DOS_THRU_YYYYMM"/>
  </r>
  <r>
    <x v="0"/>
    <s v="MHS_MA_MAO4_202512_20260102.txt"/>
    <x v="30"/>
    <x v="4"/>
    <n v="106"/>
    <n v="14672300"/>
    <n v="0"/>
    <s v="DQS_MAO04_FILE_000_B"/>
    <s v="RECORD COUNT by MBR_ID, DOS_THRU_DT, DX_CD Grain grouped by PAYER, SRC_FILE_NM, DOS_THRU_YYYYMM"/>
  </r>
  <r>
    <x v="0"/>
    <s v="MHS_MA_MAO4_202512_20260102.txt"/>
    <x v="31"/>
    <x v="4"/>
    <n v="198"/>
    <n v="14672300"/>
    <n v="0"/>
    <s v="DQS_MAO04_FILE_000_B"/>
    <s v="RECORD COUNT by MBR_ID, DOS_THRU_DT, DX_CD Grain grouped by PAYER, SRC_FILE_NM, DOS_THRU_YYYYMM"/>
  </r>
  <r>
    <x v="0"/>
    <s v="MHS_MA_MAO4_202512_20260102.txt"/>
    <x v="32"/>
    <x v="4"/>
    <n v="175"/>
    <n v="14672300"/>
    <n v="0"/>
    <s v="DQS_MAO04_FILE_000_B"/>
    <s v="RECORD COUNT by MBR_ID, DOS_THRU_DT, DX_CD Grain grouped by PAYER, SRC_FILE_NM, DOS_THRU_YYYYMM"/>
  </r>
  <r>
    <x v="0"/>
    <s v="MHS_MA_MAO4_202512_20260102.txt"/>
    <x v="33"/>
    <x v="4"/>
    <n v="251"/>
    <n v="14672300"/>
    <n v="0"/>
    <s v="DQS_MAO04_FILE_000_B"/>
    <s v="RECORD COUNT by MBR_ID, DOS_THRU_DT, DX_CD Grain grouped by PAYER, SRC_FILE_NM, DOS_THRU_YYYYMM"/>
  </r>
  <r>
    <x v="0"/>
    <s v="MHS_MA_MAO4_202512_20260102.txt"/>
    <x v="34"/>
    <x v="4"/>
    <n v="395"/>
    <n v="14672300"/>
    <n v="0"/>
    <s v="DQS_MAO04_FILE_000_B"/>
    <s v="RECORD COUNT by MBR_ID, DOS_THRU_DT, DX_CD Grain grouped by PAYER, SRC_FILE_NM, DOS_THRU_YYYYMM"/>
  </r>
  <r>
    <x v="0"/>
    <s v="MHS_MA_MAO4_202512_20260102.txt"/>
    <x v="35"/>
    <x v="4"/>
    <n v="212"/>
    <n v="14672300"/>
    <n v="0"/>
    <s v="DQS_MAO04_FILE_000_B"/>
    <s v="RECORD COUNT by MBR_ID, DOS_THRU_DT, DX_CD Grain grouped by PAYER, SRC_FILE_NM, DOS_THRU_YYYYMM"/>
  </r>
  <r>
    <x v="0"/>
    <s v="MHS_MA_MAO4_202512_20260102.txt"/>
    <x v="36"/>
    <x v="4"/>
    <n v="111"/>
    <n v="14672300"/>
    <n v="0"/>
    <s v="DQS_MAO04_FILE_000_B"/>
    <s v="RECORD COUNT by MBR_ID, DOS_THRU_DT, DX_CD Grain grouped by PAYER, SRC_FILE_NM, DOS_THRU_YYYYMM"/>
  </r>
  <r>
    <x v="0"/>
    <s v="MHS_MA_MAO4_202512_20260102.txt"/>
    <x v="37"/>
    <x v="4"/>
    <n v="123"/>
    <n v="14672300"/>
    <n v="0"/>
    <s v="DQS_MAO04_FILE_000_B"/>
    <s v="RECORD COUNT by MBR_ID, DOS_THRU_DT, DX_CD Grain grouped by PAYER, SRC_FILE_NM, DOS_THRU_YYYYMM"/>
  </r>
  <r>
    <x v="0"/>
    <s v="MHS_MA_MAO4_202512_20260102.txt"/>
    <x v="38"/>
    <x v="4"/>
    <n v="164"/>
    <n v="14672300"/>
    <n v="0"/>
    <s v="DQS_MAO04_FILE_000_B"/>
    <s v="RECORD COUNT by MBR_ID, DOS_THRU_DT, DX_CD Grain grouped by PAYER, SRC_FILE_NM, DOS_THRU_YYYYMM"/>
  </r>
  <r>
    <x v="0"/>
    <s v="MHS_MA_MAO4_202512_20260102.txt"/>
    <x v="39"/>
    <x v="4"/>
    <n v="100"/>
    <n v="14672300"/>
    <n v="0"/>
    <s v="DQS_MAO04_FILE_000_B"/>
    <s v="RECORD COUNT by MBR_ID, DOS_THRU_DT, DX_CD Grain grouped by PAYER, SRC_FILE_NM, DOS_THRU_YYYYMM"/>
  </r>
  <r>
    <x v="0"/>
    <s v="MHS_MA_MAO4_202512_20260102.txt"/>
    <x v="40"/>
    <x v="4"/>
    <n v="14"/>
    <n v="14672300"/>
    <n v="0"/>
    <s v="DQS_MAO04_FILE_000_B"/>
    <s v="RECORD COUNT by MBR_ID, DOS_THRU_DT, DX_CD Grain grouped by PAYER, SRC_FILE_NM, DOS_THRU_YYYYMM"/>
  </r>
  <r>
    <x v="0"/>
    <s v="MHS_MA_MAO4_202512_20260102.txt"/>
    <x v="41"/>
    <x v="5"/>
    <n v="581"/>
    <n v="14672300"/>
    <n v="0"/>
    <s v="DQS_MAO04_FILE_000_B"/>
    <s v="RECORD COUNT by MBR_ID, DOS_THRU_DT, DX_CD Grain grouped by PAYER, SRC_FILE_NM, DOS_THRU_YYYYMM"/>
  </r>
  <r>
    <x v="0"/>
    <s v="MHS_MA_MAO4_202512_20260102.txt"/>
    <x v="42"/>
    <x v="5"/>
    <n v="290"/>
    <n v="14672300"/>
    <n v="0"/>
    <s v="DQS_MAO04_FILE_000_B"/>
    <s v="RECORD COUNT by MBR_ID, DOS_THRU_DT, DX_CD Grain grouped by PAYER, SRC_FILE_NM, DOS_THRU_YYYYMM"/>
  </r>
  <r>
    <x v="0"/>
    <s v="MHS_MA_MAO4_202512_20260102.txt"/>
    <x v="43"/>
    <x v="5"/>
    <n v="345"/>
    <n v="14672300"/>
    <n v="0"/>
    <s v="DQS_MAO04_FILE_000_B"/>
    <s v="RECORD COUNT by MBR_ID, DOS_THRU_DT, DX_CD Grain grouped by PAYER, SRC_FILE_NM, DOS_THRU_YYYYMM"/>
  </r>
  <r>
    <x v="0"/>
    <s v="MHS_MA_MAO4_202512_20260102.txt"/>
    <x v="44"/>
    <x v="5"/>
    <n v="248"/>
    <n v="14672300"/>
    <n v="0"/>
    <s v="DQS_MAO04_FILE_000_B"/>
    <s v="RECORD COUNT by MBR_ID, DOS_THRU_DT, DX_CD Grain grouped by PAYER, SRC_FILE_NM, DOS_THRU_YYYYMM"/>
  </r>
  <r>
    <x v="0"/>
    <s v="MHS_MA_MAO4_202512_20260102.txt"/>
    <x v="45"/>
    <x v="5"/>
    <n v="342"/>
    <n v="14672300"/>
    <n v="0"/>
    <s v="DQS_MAO04_FILE_000_B"/>
    <s v="RECORD COUNT by MBR_ID, DOS_THRU_DT, DX_CD Grain grouped by PAYER, SRC_FILE_NM, DOS_THRU_YYYYMM"/>
  </r>
  <r>
    <x v="0"/>
    <s v="MHS_MA_MAO4_202512_20260102.txt"/>
    <x v="46"/>
    <x v="5"/>
    <n v="419"/>
    <n v="14672300"/>
    <n v="0"/>
    <s v="DQS_MAO04_FILE_000_B"/>
    <s v="RECORD COUNT by MBR_ID, DOS_THRU_DT, DX_CD Grain grouped by PAYER, SRC_FILE_NM, DOS_THRU_YYYYMM"/>
  </r>
  <r>
    <x v="0"/>
    <s v="MHS_MA_MAO4_202512_20260102.txt"/>
    <x v="47"/>
    <x v="5"/>
    <n v="367"/>
    <n v="14672300"/>
    <n v="0"/>
    <s v="DQS_MAO04_FILE_000_B"/>
    <s v="RECORD COUNT by MBR_ID, DOS_THRU_DT, DX_CD Grain grouped by PAYER, SRC_FILE_NM, DOS_THRU_YYYYMM"/>
  </r>
  <r>
    <x v="0"/>
    <s v="MHS_MA_MAO4_202512_20260102.txt"/>
    <x v="48"/>
    <x v="5"/>
    <n v="400"/>
    <n v="14672300"/>
    <n v="0"/>
    <s v="DQS_MAO04_FILE_000_B"/>
    <s v="RECORD COUNT by MBR_ID, DOS_THRU_DT, DX_CD Grain grouped by PAYER, SRC_FILE_NM, DOS_THRU_YYYYMM"/>
  </r>
  <r>
    <x v="0"/>
    <s v="MHS_MA_MAO4_202512_20260102.txt"/>
    <x v="49"/>
    <x v="5"/>
    <n v="323"/>
    <n v="14672300"/>
    <n v="0"/>
    <s v="DQS_MAO04_FILE_000_B"/>
    <s v="RECORD COUNT by MBR_ID, DOS_THRU_DT, DX_CD Grain grouped by PAYER, SRC_FILE_NM, DOS_THRU_YYYYMM"/>
  </r>
  <r>
    <x v="0"/>
    <s v="MHS_MA_MAO4_202512_20260102.txt"/>
    <x v="50"/>
    <x v="5"/>
    <n v="340"/>
    <n v="14672300"/>
    <n v="0"/>
    <s v="DQS_MAO04_FILE_000_B"/>
    <s v="RECORD COUNT by MBR_ID, DOS_THRU_DT, DX_CD Grain grouped by PAYER, SRC_FILE_NM, DOS_THRU_YYYYMM"/>
  </r>
  <r>
    <x v="0"/>
    <s v="MHS_MA_MAO4_202512_20260102.txt"/>
    <x v="51"/>
    <x v="5"/>
    <n v="318"/>
    <n v="14672300"/>
    <n v="0"/>
    <s v="DQS_MAO04_FILE_000_B"/>
    <s v="RECORD COUNT by MBR_ID, DOS_THRU_DT, DX_CD Grain grouped by PAYER, SRC_FILE_NM, DOS_THRU_YYYYMM"/>
  </r>
  <r>
    <x v="0"/>
    <s v="MHS_MA_MAO4_202512_20260102.txt"/>
    <x v="52"/>
    <x v="5"/>
    <n v="478"/>
    <n v="14672300"/>
    <n v="0"/>
    <s v="DQS_MAO04_FILE_000_B"/>
    <s v="RECORD COUNT by MBR_ID, DOS_THRU_DT, DX_CD Grain grouped by PAYER, SRC_FILE_NM, DOS_THRU_YYYYMM"/>
  </r>
  <r>
    <x v="0"/>
    <s v="MHS_MA_MAO4_202512_20260102.txt"/>
    <x v="53"/>
    <x v="6"/>
    <n v="9138"/>
    <n v="14672300"/>
    <n v="0.06"/>
    <s v="DQS_MAO04_FILE_000_B"/>
    <s v="RECORD COUNT by MBR_ID, DOS_THRU_DT, DX_CD Grain grouped by PAYER, SRC_FILE_NM, DOS_THRU_YYYYMM"/>
  </r>
  <r>
    <x v="0"/>
    <s v="MHS_MA_MAO4_202512_20260102.txt"/>
    <x v="54"/>
    <x v="6"/>
    <n v="9502"/>
    <n v="14672300"/>
    <n v="0.06"/>
    <s v="DQS_MAO04_FILE_000_B"/>
    <s v="RECORD COUNT by MBR_ID, DOS_THRU_DT, DX_CD Grain grouped by PAYER, SRC_FILE_NM, DOS_THRU_YYYYMM"/>
  </r>
  <r>
    <x v="0"/>
    <s v="MHS_MA_MAO4_202512_20260102.txt"/>
    <x v="55"/>
    <x v="6"/>
    <n v="10976"/>
    <n v="14672300"/>
    <n v="7.0000000000000007E-2"/>
    <s v="DQS_MAO04_FILE_000_B"/>
    <s v="RECORD COUNT by MBR_ID, DOS_THRU_DT, DX_CD Grain grouped by PAYER, SRC_FILE_NM, DOS_THRU_YYYYMM"/>
  </r>
  <r>
    <x v="0"/>
    <s v="MHS_MA_MAO4_202512_20260102.txt"/>
    <x v="56"/>
    <x v="6"/>
    <n v="10824"/>
    <n v="14672300"/>
    <n v="7.0000000000000007E-2"/>
    <s v="DQS_MAO04_FILE_000_B"/>
    <s v="RECORD COUNT by MBR_ID, DOS_THRU_DT, DX_CD Grain grouped by PAYER, SRC_FILE_NM, DOS_THRU_YYYYMM"/>
  </r>
  <r>
    <x v="0"/>
    <s v="MHS_MA_MAO4_202512_20260102.txt"/>
    <x v="57"/>
    <x v="6"/>
    <n v="9874"/>
    <n v="14672300"/>
    <n v="7.0000000000000007E-2"/>
    <s v="DQS_MAO04_FILE_000_B"/>
    <s v="RECORD COUNT by MBR_ID, DOS_THRU_DT, DX_CD Grain grouped by PAYER, SRC_FILE_NM, DOS_THRU_YYYYMM"/>
  </r>
  <r>
    <x v="0"/>
    <s v="MHS_MA_MAO4_202512_20260102.txt"/>
    <x v="58"/>
    <x v="6"/>
    <n v="11388"/>
    <n v="14672300"/>
    <n v="0.08"/>
    <s v="DQS_MAO04_FILE_000_B"/>
    <s v="RECORD COUNT by MBR_ID, DOS_THRU_DT, DX_CD Grain grouped by PAYER, SRC_FILE_NM, DOS_THRU_YYYYMM"/>
  </r>
  <r>
    <x v="0"/>
    <s v="MHS_MA_MAO4_202512_20260102.txt"/>
    <x v="59"/>
    <x v="6"/>
    <n v="24039"/>
    <n v="14672300"/>
    <n v="0.16"/>
    <s v="DQS_MAO04_FILE_000_B"/>
    <s v="RECORD COUNT by MBR_ID, DOS_THRU_DT, DX_CD Grain grouped by PAYER, SRC_FILE_NM, DOS_THRU_YYYYMM"/>
  </r>
  <r>
    <x v="0"/>
    <s v="MHS_MA_MAO4_202512_20260102.txt"/>
    <x v="60"/>
    <x v="6"/>
    <n v="27191"/>
    <n v="14672300"/>
    <n v="0.19"/>
    <s v="DQS_MAO04_FILE_000_B"/>
    <s v="RECORD COUNT by MBR_ID, DOS_THRU_DT, DX_CD Grain grouped by PAYER, SRC_FILE_NM, DOS_THRU_YYYYMM"/>
  </r>
  <r>
    <x v="0"/>
    <s v="MHS_MA_MAO4_202512_20260102.txt"/>
    <x v="61"/>
    <x v="6"/>
    <n v="29399"/>
    <n v="14672300"/>
    <n v="0.2"/>
    <s v="DQS_MAO04_FILE_000_B"/>
    <s v="RECORD COUNT by MBR_ID, DOS_THRU_DT, DX_CD Grain grouped by PAYER, SRC_FILE_NM, DOS_THRU_YYYYMM"/>
  </r>
  <r>
    <x v="0"/>
    <s v="MHS_MA_MAO4_202512_20260102.txt"/>
    <x v="62"/>
    <x v="6"/>
    <n v="28799"/>
    <n v="14672300"/>
    <n v="0.2"/>
    <s v="DQS_MAO04_FILE_000_B"/>
    <s v="RECORD COUNT by MBR_ID, DOS_THRU_DT, DX_CD Grain grouped by PAYER, SRC_FILE_NM, DOS_THRU_YYYYMM"/>
  </r>
  <r>
    <x v="0"/>
    <s v="MHS_MA_MAO4_202512_20260102.txt"/>
    <x v="63"/>
    <x v="6"/>
    <n v="30468"/>
    <n v="14672300"/>
    <n v="0.21"/>
    <s v="DQS_MAO04_FILE_000_B"/>
    <s v="RECORD COUNT by MBR_ID, DOS_THRU_DT, DX_CD Grain grouped by PAYER, SRC_FILE_NM, DOS_THRU_YYYYMM"/>
  </r>
  <r>
    <x v="0"/>
    <s v="MHS_MA_MAO4_202512_20260102.txt"/>
    <x v="64"/>
    <x v="6"/>
    <n v="32401"/>
    <n v="14672300"/>
    <n v="0.22"/>
    <s v="DQS_MAO04_FILE_000_B"/>
    <s v="RECORD COUNT by MBR_ID, DOS_THRU_DT, DX_CD Grain grouped by PAYER, SRC_FILE_NM, DOS_THRU_YYYYMM"/>
  </r>
  <r>
    <x v="0"/>
    <s v="MHS_MA_MAO4_202512_20260102.txt"/>
    <x v="65"/>
    <x v="7"/>
    <n v="45236"/>
    <n v="14672300"/>
    <n v="0.31"/>
    <s v="DQS_MAO04_FILE_000_B"/>
    <s v="RECORD COUNT by MBR_ID, DOS_THRU_DT, DX_CD Grain grouped by PAYER, SRC_FILE_NM, DOS_THRU_YYYYMM"/>
  </r>
  <r>
    <x v="0"/>
    <s v="MHS_MA_MAO4_202512_20260102.txt"/>
    <x v="66"/>
    <x v="7"/>
    <n v="36789"/>
    <n v="14672300"/>
    <n v="0.25"/>
    <s v="DQS_MAO04_FILE_000_B"/>
    <s v="RECORD COUNT by MBR_ID, DOS_THRU_DT, DX_CD Grain grouped by PAYER, SRC_FILE_NM, DOS_THRU_YYYYMM"/>
  </r>
  <r>
    <x v="0"/>
    <s v="MHS_MA_MAO4_202512_20260102.txt"/>
    <x v="67"/>
    <x v="7"/>
    <n v="39139"/>
    <n v="14672300"/>
    <n v="0.27"/>
    <s v="DQS_MAO04_FILE_000_B"/>
    <s v="RECORD COUNT by MBR_ID, DOS_THRU_DT, DX_CD Grain grouped by PAYER, SRC_FILE_NM, DOS_THRU_YYYYMM"/>
  </r>
  <r>
    <x v="0"/>
    <s v="MHS_MA_MAO4_202512_20260102.txt"/>
    <x v="68"/>
    <x v="7"/>
    <n v="36930"/>
    <n v="14672300"/>
    <n v="0.25"/>
    <s v="DQS_MAO04_FILE_000_B"/>
    <s v="RECORD COUNT by MBR_ID, DOS_THRU_DT, DX_CD Grain grouped by PAYER, SRC_FILE_NM, DOS_THRU_YYYYMM"/>
  </r>
  <r>
    <x v="0"/>
    <s v="MHS_MA_MAO4_202512_20260102.txt"/>
    <x v="69"/>
    <x v="7"/>
    <n v="36623"/>
    <n v="14672300"/>
    <n v="0.25"/>
    <s v="DQS_MAO04_FILE_000_B"/>
    <s v="RECORD COUNT by MBR_ID, DOS_THRU_DT, DX_CD Grain grouped by PAYER, SRC_FILE_NM, DOS_THRU_YYYYMM"/>
  </r>
  <r>
    <x v="0"/>
    <s v="MHS_MA_MAO4_202512_20260102.txt"/>
    <x v="70"/>
    <x v="7"/>
    <n v="36486"/>
    <n v="14672300"/>
    <n v="0.25"/>
    <s v="DQS_MAO04_FILE_000_B"/>
    <s v="RECORD COUNT by MBR_ID, DOS_THRU_DT, DX_CD Grain grouped by PAYER, SRC_FILE_NM, DOS_THRU_YYYYMM"/>
  </r>
  <r>
    <x v="0"/>
    <s v="MHS_MA_MAO4_202512_20260102.txt"/>
    <x v="71"/>
    <x v="7"/>
    <n v="42345"/>
    <n v="14672300"/>
    <n v="0.28999999999999998"/>
    <s v="DQS_MAO04_FILE_000_B"/>
    <s v="RECORD COUNT by MBR_ID, DOS_THRU_DT, DX_CD Grain grouped by PAYER, SRC_FILE_NM, DOS_THRU_YYYYMM"/>
  </r>
  <r>
    <x v="0"/>
    <s v="MHS_MA_MAO4_202512_20260102.txt"/>
    <x v="72"/>
    <x v="7"/>
    <n v="45945"/>
    <n v="14672300"/>
    <n v="0.31"/>
    <s v="DQS_MAO04_FILE_000_B"/>
    <s v="RECORD COUNT by MBR_ID, DOS_THRU_DT, DX_CD Grain grouped by PAYER, SRC_FILE_NM, DOS_THRU_YYYYMM"/>
  </r>
  <r>
    <x v="0"/>
    <s v="MHS_MA_MAO4_202512_20260102.txt"/>
    <x v="73"/>
    <x v="7"/>
    <n v="43807"/>
    <n v="14672300"/>
    <n v="0.3"/>
    <s v="DQS_MAO04_FILE_000_B"/>
    <s v="RECORD COUNT by MBR_ID, DOS_THRU_DT, DX_CD Grain grouped by PAYER, SRC_FILE_NM, DOS_THRU_YYYYMM"/>
  </r>
  <r>
    <x v="0"/>
    <s v="MHS_MA_MAO4_202512_20260102.txt"/>
    <x v="74"/>
    <x v="7"/>
    <n v="49158"/>
    <n v="14672300"/>
    <n v="0.34"/>
    <s v="DQS_MAO04_FILE_000_B"/>
    <s v="RECORD COUNT by MBR_ID, DOS_THRU_DT, DX_CD Grain grouped by PAYER, SRC_FILE_NM, DOS_THRU_YYYYMM"/>
  </r>
  <r>
    <x v="0"/>
    <s v="MHS_MA_MAO4_202512_20260102.txt"/>
    <x v="75"/>
    <x v="7"/>
    <n v="49227"/>
    <n v="14672300"/>
    <n v="0.34"/>
    <s v="DQS_MAO04_FILE_000_B"/>
    <s v="RECORD COUNT by MBR_ID, DOS_THRU_DT, DX_CD Grain grouped by PAYER, SRC_FILE_NM, DOS_THRU_YYYYMM"/>
  </r>
  <r>
    <x v="0"/>
    <s v="MHS_MA_MAO4_202512_20260102.txt"/>
    <x v="76"/>
    <x v="7"/>
    <n v="59393"/>
    <n v="14672300"/>
    <n v="0.4"/>
    <s v="DQS_MAO04_FILE_000_B"/>
    <s v="RECORD COUNT by MBR_ID, DOS_THRU_DT, DX_CD Grain grouped by PAYER, SRC_FILE_NM, DOS_THRU_YYYYMM"/>
  </r>
  <r>
    <x v="0"/>
    <s v="MHS_MA_MAO4_202512_20260102.txt"/>
    <x v="77"/>
    <x v="8"/>
    <n v="226456"/>
    <n v="14672300"/>
    <n v="1.54"/>
    <s v="DQS_MAO04_FILE_000_B"/>
    <s v="RECORD COUNT by MBR_ID, DOS_THRU_DT, DX_CD Grain grouped by PAYER, SRC_FILE_NM, DOS_THRU_YYYYMM"/>
  </r>
  <r>
    <x v="0"/>
    <s v="MHS_MA_MAO4_202512_20260102.txt"/>
    <x v="78"/>
    <x v="8"/>
    <n v="231315"/>
    <n v="14672300"/>
    <n v="1.58"/>
    <s v="DQS_MAO04_FILE_000_B"/>
    <s v="RECORD COUNT by MBR_ID, DOS_THRU_DT, DX_CD Grain grouped by PAYER, SRC_FILE_NM, DOS_THRU_YYYYMM"/>
  </r>
  <r>
    <x v="0"/>
    <s v="MHS_MA_MAO4_202512_20260102.txt"/>
    <x v="79"/>
    <x v="8"/>
    <n v="256482"/>
    <n v="14672300"/>
    <n v="1.75"/>
    <s v="DQS_MAO04_FILE_000_B"/>
    <s v="RECORD COUNT by MBR_ID, DOS_THRU_DT, DX_CD Grain grouped by PAYER, SRC_FILE_NM, DOS_THRU_YYYYMM"/>
  </r>
  <r>
    <x v="0"/>
    <s v="MHS_MA_MAO4_202512_20260102.txt"/>
    <x v="80"/>
    <x v="8"/>
    <n v="232117"/>
    <n v="14672300"/>
    <n v="1.58"/>
    <s v="DQS_MAO04_FILE_000_B"/>
    <s v="RECORD COUNT by MBR_ID, DOS_THRU_DT, DX_CD Grain grouped by PAYER, SRC_FILE_NM, DOS_THRU_YYYYMM"/>
  </r>
  <r>
    <x v="0"/>
    <s v="MHS_MA_MAO4_202512_20260102.txt"/>
    <x v="81"/>
    <x v="8"/>
    <n v="246538"/>
    <n v="14672300"/>
    <n v="1.68"/>
    <s v="DQS_MAO04_FILE_000_B"/>
    <s v="RECORD COUNT by MBR_ID, DOS_THRU_DT, DX_CD Grain grouped by PAYER, SRC_FILE_NM, DOS_THRU_YYYYMM"/>
  </r>
  <r>
    <x v="0"/>
    <s v="MHS_MA_MAO4_202512_20260102.txt"/>
    <x v="82"/>
    <x v="8"/>
    <n v="239271"/>
    <n v="14672300"/>
    <n v="1.63"/>
    <s v="DQS_MAO04_FILE_000_B"/>
    <s v="RECORD COUNT by MBR_ID, DOS_THRU_DT, DX_CD Grain grouped by PAYER, SRC_FILE_NM, DOS_THRU_YYYYMM"/>
  </r>
  <r>
    <x v="0"/>
    <s v="MHS_MA_MAO4_202512_20260102.txt"/>
    <x v="83"/>
    <x v="8"/>
    <n v="222725"/>
    <n v="14672300"/>
    <n v="1.52"/>
    <s v="DQS_MAO04_FILE_000_B"/>
    <s v="RECORD COUNT by MBR_ID, DOS_THRU_DT, DX_CD Grain grouped by PAYER, SRC_FILE_NM, DOS_THRU_YYYYMM"/>
  </r>
  <r>
    <x v="0"/>
    <s v="MHS_MA_MAO4_202512_20260102.txt"/>
    <x v="84"/>
    <x v="8"/>
    <n v="254628"/>
    <n v="14672300"/>
    <n v="1.74"/>
    <s v="DQS_MAO04_FILE_000_B"/>
    <s v="RECORD COUNT by MBR_ID, DOS_THRU_DT, DX_CD Grain grouped by PAYER, SRC_FILE_NM, DOS_THRU_YYYYMM"/>
  </r>
  <r>
    <x v="0"/>
    <s v="MHS_MA_MAO4_202512_20260102.txt"/>
    <x v="85"/>
    <x v="8"/>
    <n v="239410"/>
    <n v="14672300"/>
    <n v="1.63"/>
    <s v="DQS_MAO04_FILE_000_B"/>
    <s v="RECORD COUNT by MBR_ID, DOS_THRU_DT, DX_CD Grain grouped by PAYER, SRC_FILE_NM, DOS_THRU_YYYYMM"/>
  </r>
  <r>
    <x v="0"/>
    <s v="MHS_MA_MAO4_202512_20260102.txt"/>
    <x v="86"/>
    <x v="8"/>
    <n v="261338"/>
    <n v="14672300"/>
    <n v="1.78"/>
    <s v="DQS_MAO04_FILE_000_B"/>
    <s v="RECORD COUNT by MBR_ID, DOS_THRU_DT, DX_CD Grain grouped by PAYER, SRC_FILE_NM, DOS_THRU_YYYYMM"/>
  </r>
  <r>
    <x v="0"/>
    <s v="MHS_MA_MAO4_202512_20260102.txt"/>
    <x v="87"/>
    <x v="8"/>
    <n v="245381"/>
    <n v="14672300"/>
    <n v="1.67"/>
    <s v="DQS_MAO04_FILE_000_B"/>
    <s v="RECORD COUNT by MBR_ID, DOS_THRU_DT, DX_CD Grain grouped by PAYER, SRC_FILE_NM, DOS_THRU_YYYYMM"/>
  </r>
  <r>
    <x v="0"/>
    <s v="MHS_MA_MAO4_202512_20260102.txt"/>
    <x v="88"/>
    <x v="8"/>
    <n v="231646"/>
    <n v="14672300"/>
    <n v="1.58"/>
    <s v="DQS_MAO04_FILE_000_B"/>
    <s v="RECORD COUNT by MBR_ID, DOS_THRU_DT, DX_CD Grain grouped by PAYER, SRC_FILE_NM, DOS_THRU_YYYYMM"/>
  </r>
  <r>
    <x v="0"/>
    <s v="MHS_MA_MAO4_202512_20260102.txt"/>
    <x v="89"/>
    <x v="9"/>
    <n v="426173"/>
    <n v="14672300"/>
    <n v="2.9"/>
    <s v="DQS_MAO04_FILE_000_B"/>
    <s v="RECORD COUNT by MBR_ID, DOS_THRU_DT, DX_CD Grain grouped by PAYER, SRC_FILE_NM, DOS_THRU_YYYYMM"/>
  </r>
  <r>
    <x v="0"/>
    <s v="MHS_MA_MAO4_202512_20260102.txt"/>
    <x v="97"/>
    <x v="9"/>
    <n v="481437"/>
    <n v="14672300"/>
    <n v="3.28"/>
    <s v="DQS_MAO04_FILE_000_B"/>
    <s v="RECORD COUNT by MBR_ID, DOS_THRU_DT, DX_CD Grain grouped by PAYER, SRC_FILE_NM, DOS_THRU_YYYYMM"/>
  </r>
  <r>
    <x v="0"/>
    <s v="MHS_MA_MAO4_202512_20260102.txt"/>
    <x v="98"/>
    <x v="9"/>
    <n v="508653"/>
    <n v="14672300"/>
    <n v="3.47"/>
    <s v="DQS_MAO04_FILE_000_B"/>
    <s v="RECORD COUNT by MBR_ID, DOS_THRU_DT, DX_CD Grain grouped by PAYER, SRC_FILE_NM, DOS_THRU_YYYYMM"/>
  </r>
  <r>
    <x v="0"/>
    <s v="MHS_MA_MAO4_202512_20260102.txt"/>
    <x v="99"/>
    <x v="9"/>
    <n v="526614"/>
    <n v="14672300"/>
    <n v="3.59"/>
    <s v="DQS_MAO04_FILE_000_B"/>
    <s v="RECORD COUNT by MBR_ID, DOS_THRU_DT, DX_CD Grain grouped by PAYER, SRC_FILE_NM, DOS_THRU_YYYYMM"/>
  </r>
  <r>
    <x v="0"/>
    <s v="MHS_MA_MAO4_202512_20260102.txt"/>
    <x v="100"/>
    <x v="9"/>
    <n v="502627"/>
    <n v="14672300"/>
    <n v="3.43"/>
    <s v="DQS_MAO04_FILE_000_B"/>
    <s v="RECORD COUNT by MBR_ID, DOS_THRU_DT, DX_CD Grain grouped by PAYER, SRC_FILE_NM, DOS_THRU_YYYYMM"/>
  </r>
  <r>
    <x v="0"/>
    <s v="MHS_MA_MAO4_202512_20260102.txt"/>
    <x v="102"/>
    <x v="9"/>
    <n v="479319"/>
    <n v="14672300"/>
    <n v="3.27"/>
    <s v="DQS_MAO04_FILE_000_B"/>
    <s v="RECORD COUNT by MBR_ID, DOS_THRU_DT, DX_CD Grain grouped by PAYER, SRC_FILE_NM, DOS_THRU_YYYYMM"/>
  </r>
  <r>
    <x v="0"/>
    <s v="MHS_MA_MAO4_202512_20260102.txt"/>
    <x v="103"/>
    <x v="9"/>
    <n v="497802"/>
    <n v="14672300"/>
    <n v="3.39"/>
    <s v="DQS_MAO04_FILE_000_B"/>
    <s v="RECORD COUNT by MBR_ID, DOS_THRU_DT, DX_CD Grain grouped by PAYER, SRC_FILE_NM, DOS_THRU_YYYYMM"/>
  </r>
  <r>
    <x v="0"/>
    <s v="MHS_MA_MAO4_202512_20260102.txt"/>
    <x v="105"/>
    <x v="9"/>
    <n v="511091"/>
    <n v="14672300"/>
    <n v="3.48"/>
    <s v="DQS_MAO04_FILE_000_B"/>
    <s v="RECORD COUNT by MBR_ID, DOS_THRU_DT, DX_CD Grain grouped by PAYER, SRC_FILE_NM, DOS_THRU_YYYYMM"/>
  </r>
  <r>
    <x v="0"/>
    <s v="MHS_MA_MAO4_202512_20260102.txt"/>
    <x v="106"/>
    <x v="9"/>
    <n v="544542"/>
    <n v="14672300"/>
    <n v="3.71"/>
    <s v="DQS_MAO04_FILE_000_B"/>
    <s v="RECORD COUNT by MBR_ID, DOS_THRU_DT, DX_CD Grain grouped by PAYER, SRC_FILE_NM, DOS_THRU_YYYYMM"/>
  </r>
  <r>
    <x v="0"/>
    <s v="MHS_MA_MAO4_202512_20260102.txt"/>
    <x v="107"/>
    <x v="9"/>
    <n v="659623"/>
    <n v="14672300"/>
    <n v="4.5"/>
    <s v="DQS_MAO04_FILE_000_B"/>
    <s v="RECORD COUNT by MBR_ID, DOS_THRU_DT, DX_CD Grain grouped by PAYER, SRC_FILE_NM, DOS_THRU_YYYYMM"/>
  </r>
  <r>
    <x v="0"/>
    <s v="MHS_MA_MAO4_202512_20260102.txt"/>
    <x v="108"/>
    <x v="9"/>
    <n v="579096"/>
    <n v="14672300"/>
    <n v="3.95"/>
    <s v="DQS_MAO04_FILE_000_B"/>
    <s v="RECORD COUNT by MBR_ID, DOS_THRU_DT, DX_CD Grain grouped by PAYER, SRC_FILE_NM, DOS_THRU_YYYYMM"/>
  </r>
  <r>
    <x v="0"/>
    <s v="MHS_MA_MAO4_202512_20260102.txt"/>
    <x v="109"/>
    <x v="9"/>
    <n v="613723"/>
    <n v="14672300"/>
    <n v="4.18"/>
    <s v="DQS_MAO04_FILE_000_B"/>
    <s v="RECORD COUNT by MBR_ID, DOS_THRU_DT, DX_CD Grain grouped by PAYER, SRC_FILE_NM, DOS_THRU_YYYYMM"/>
  </r>
  <r>
    <x v="0"/>
    <s v="MHS_MA_MAO4_202512_20260102.txt"/>
    <x v="110"/>
    <x v="11"/>
    <n v="534401"/>
    <n v="14672300"/>
    <n v="3.64"/>
    <s v="DQS_MAO04_FILE_000_B"/>
    <s v="RECORD COUNT by MBR_ID, DOS_THRU_DT, DX_CD Grain grouped by PAYER, SRC_FILE_NM, DOS_THRU_YYYYMM"/>
  </r>
  <r>
    <x v="0"/>
    <s v="MHS_MA_MAO4_202512_20260102.txt"/>
    <x v="111"/>
    <x v="11"/>
    <n v="488230"/>
    <n v="14672300"/>
    <n v="3.33"/>
    <s v="DQS_MAO04_FILE_000_B"/>
    <s v="RECORD COUNT by MBR_ID, DOS_THRU_DT, DX_CD Grain grouped by PAYER, SRC_FILE_NM, DOS_THRU_YYYYMM"/>
  </r>
  <r>
    <x v="0"/>
    <s v="MHS_MA_MAO4_202512_20260102.txt"/>
    <x v="112"/>
    <x v="11"/>
    <n v="546752"/>
    <n v="14672300"/>
    <n v="3.73"/>
    <s v="DQS_MAO04_FILE_000_B"/>
    <s v="RECORD COUNT by MBR_ID, DOS_THRU_DT, DX_CD Grain grouped by PAYER, SRC_FILE_NM, DOS_THRU_YYYYMM"/>
  </r>
  <r>
    <x v="0"/>
    <s v="MHS_MA_MAO4_202512_20260102.txt"/>
    <x v="113"/>
    <x v="11"/>
    <n v="522475"/>
    <n v="14672300"/>
    <n v="3.56"/>
    <s v="DQS_MAO04_FILE_000_B"/>
    <s v="RECORD COUNT by MBR_ID, DOS_THRU_DT, DX_CD Grain grouped by PAYER, SRC_FILE_NM, DOS_THRU_YYYYMM"/>
  </r>
  <r>
    <x v="0"/>
    <s v="MHS_MA_MAO4_202512_20260102.txt"/>
    <x v="114"/>
    <x v="11"/>
    <n v="464033"/>
    <n v="14672300"/>
    <n v="3.16"/>
    <s v="DQS_MAO04_FILE_000_B"/>
    <s v="RECORD COUNT by MBR_ID, DOS_THRU_DT, DX_CD Grain grouped by PAYER, SRC_FILE_NM, DOS_THRU_YYYYMM"/>
  </r>
  <r>
    <x v="0"/>
    <s v="MHS_MA_MAO4_202512_20260102.txt"/>
    <x v="115"/>
    <x v="11"/>
    <n v="465379"/>
    <n v="14672300"/>
    <n v="3.17"/>
    <s v="DQS_MAO04_FILE_000_B"/>
    <s v="RECORD COUNT by MBR_ID, DOS_THRU_DT, DX_CD Grain grouped by PAYER, SRC_FILE_NM, DOS_THRU_YYYYMM"/>
  </r>
  <r>
    <x v="0"/>
    <s v="MHS_MA_MAO4_202512_20260102.txt"/>
    <x v="116"/>
    <x v="11"/>
    <n v="415587"/>
    <n v="14672300"/>
    <n v="2.83"/>
    <s v="DQS_MAO04_FILE_000_B"/>
    <s v="RECORD COUNT by MBR_ID, DOS_THRU_DT, DX_CD Grain grouped by PAYER, SRC_FILE_NM, DOS_THRU_YYYYMM"/>
  </r>
  <r>
    <x v="0"/>
    <s v="MHS_MA_MAO4_202512_20260102.txt"/>
    <x v="117"/>
    <x v="11"/>
    <n v="385843"/>
    <n v="14672300"/>
    <n v="2.63"/>
    <s v="DQS_MAO04_FILE_000_B"/>
    <s v="RECORD COUNT by MBR_ID, DOS_THRU_DT, DX_CD Grain grouped by PAYER, SRC_FILE_NM, DOS_THRU_YYYYMM"/>
  </r>
  <r>
    <x v="0"/>
    <s v="MHS_MA_MAO4_202512_20260102.txt"/>
    <x v="118"/>
    <x v="11"/>
    <n v="404452"/>
    <n v="14672300"/>
    <n v="2.76"/>
    <s v="DQS_MAO04_FILE_000_B"/>
    <s v="RECORD COUNT by MBR_ID, DOS_THRU_DT, DX_CD Grain grouped by PAYER, SRC_FILE_NM, DOS_THRU_YYYYMM"/>
  </r>
  <r>
    <x v="0"/>
    <s v="MHS_MA_MAO4_202512_20260102.txt"/>
    <x v="119"/>
    <x v="11"/>
    <n v="390891"/>
    <n v="14672300"/>
    <n v="2.66"/>
    <s v="DQS_MAO04_FILE_000_B"/>
    <s v="RECORD COUNT by MBR_ID, DOS_THRU_DT, DX_CD Grain grouped by PAYER, SRC_FILE_NM, DOS_THRU_YYYYMM"/>
  </r>
  <r>
    <x v="0"/>
    <s v="MHS_MA_MAO4_202512_20260102.txt"/>
    <x v="120"/>
    <x v="11"/>
    <n v="74747"/>
    <n v="14672300"/>
    <n v="0.51"/>
    <s v="DQS_MAO04_FILE_000_B"/>
    <s v="RECORD COUNT by MBR_ID, DOS_THRU_DT, DX_CD Grain grouped by PAYER, SRC_FILE_NM, DOS_THRU_YYYYMM"/>
  </r>
  <r>
    <x v="0"/>
    <s v="MHS_MA_MAO4_202601_20260204.txt"/>
    <x v="29"/>
    <x v="4"/>
    <n v="116"/>
    <n v="15704464"/>
    <n v="0"/>
    <s v="DQS_MAO04_FILE_000_B"/>
    <s v="RECORD COUNT by MBR_ID, DOS_THRU_DT, DX_CD Grain grouped by PAYER, SRC_FILE_NM, DOS_THRU_YYYYMM"/>
  </r>
  <r>
    <x v="0"/>
    <s v="MHS_MA_MAO4_202601_20260204.txt"/>
    <x v="30"/>
    <x v="4"/>
    <n v="106"/>
    <n v="15704464"/>
    <n v="0"/>
    <s v="DQS_MAO04_FILE_000_B"/>
    <s v="RECORD COUNT by MBR_ID, DOS_THRU_DT, DX_CD Grain grouped by PAYER, SRC_FILE_NM, DOS_THRU_YYYYMM"/>
  </r>
  <r>
    <x v="0"/>
    <s v="MHS_MA_MAO4_202601_20260204.txt"/>
    <x v="31"/>
    <x v="4"/>
    <n v="171"/>
    <n v="15704464"/>
    <n v="0"/>
    <s v="DQS_MAO04_FILE_000_B"/>
    <s v="RECORD COUNT by MBR_ID, DOS_THRU_DT, DX_CD Grain grouped by PAYER, SRC_FILE_NM, DOS_THRU_YYYYMM"/>
  </r>
  <r>
    <x v="0"/>
    <s v="MHS_MA_MAO4_202601_20260204.txt"/>
    <x v="32"/>
    <x v="4"/>
    <n v="174"/>
    <n v="15704464"/>
    <n v="0"/>
    <s v="DQS_MAO04_FILE_000_B"/>
    <s v="RECORD COUNT by MBR_ID, DOS_THRU_DT, DX_CD Grain grouped by PAYER, SRC_FILE_NM, DOS_THRU_YYYYMM"/>
  </r>
  <r>
    <x v="0"/>
    <s v="MHS_MA_MAO4_202601_20260204.txt"/>
    <x v="33"/>
    <x v="4"/>
    <n v="237"/>
    <n v="15704464"/>
    <n v="0"/>
    <s v="DQS_MAO04_FILE_000_B"/>
    <s v="RECORD COUNT by MBR_ID, DOS_THRU_DT, DX_CD Grain grouped by PAYER, SRC_FILE_NM, DOS_THRU_YYYYMM"/>
  </r>
  <r>
    <x v="0"/>
    <s v="MHS_MA_MAO4_202601_20260204.txt"/>
    <x v="34"/>
    <x v="4"/>
    <n v="377"/>
    <n v="15704464"/>
    <n v="0"/>
    <s v="DQS_MAO04_FILE_000_B"/>
    <s v="RECORD COUNT by MBR_ID, DOS_THRU_DT, DX_CD Grain grouped by PAYER, SRC_FILE_NM, DOS_THRU_YYYYMM"/>
  </r>
  <r>
    <x v="0"/>
    <s v="MHS_MA_MAO4_202601_20260204.txt"/>
    <x v="35"/>
    <x v="4"/>
    <n v="189"/>
    <n v="15704464"/>
    <n v="0"/>
    <s v="DQS_MAO04_FILE_000_B"/>
    <s v="RECORD COUNT by MBR_ID, DOS_THRU_DT, DX_CD Grain grouped by PAYER, SRC_FILE_NM, DOS_THRU_YYYYMM"/>
  </r>
  <r>
    <x v="0"/>
    <s v="MHS_MA_MAO4_202601_20260204.txt"/>
    <x v="36"/>
    <x v="4"/>
    <n v="100"/>
    <n v="15704464"/>
    <n v="0"/>
    <s v="DQS_MAO04_FILE_000_B"/>
    <s v="RECORD COUNT by MBR_ID, DOS_THRU_DT, DX_CD Grain grouped by PAYER, SRC_FILE_NM, DOS_THRU_YYYYMM"/>
  </r>
  <r>
    <x v="0"/>
    <s v="MHS_MA_MAO4_202601_20260204.txt"/>
    <x v="37"/>
    <x v="4"/>
    <n v="123"/>
    <n v="15704464"/>
    <n v="0"/>
    <s v="DQS_MAO04_FILE_000_B"/>
    <s v="RECORD COUNT by MBR_ID, DOS_THRU_DT, DX_CD Grain grouped by PAYER, SRC_FILE_NM, DOS_THRU_YYYYMM"/>
  </r>
  <r>
    <x v="0"/>
    <s v="MHS_MA_MAO4_202601_20260204.txt"/>
    <x v="38"/>
    <x v="4"/>
    <n v="163"/>
    <n v="15704464"/>
    <n v="0"/>
    <s v="DQS_MAO04_FILE_000_B"/>
    <s v="RECORD COUNT by MBR_ID, DOS_THRU_DT, DX_CD Grain grouped by PAYER, SRC_FILE_NM, DOS_THRU_YYYYMM"/>
  </r>
  <r>
    <x v="0"/>
    <s v="MHS_MA_MAO4_202601_20260204.txt"/>
    <x v="39"/>
    <x v="4"/>
    <n v="100"/>
    <n v="15704464"/>
    <n v="0"/>
    <s v="DQS_MAO04_FILE_000_B"/>
    <s v="RECORD COUNT by MBR_ID, DOS_THRU_DT, DX_CD Grain grouped by PAYER, SRC_FILE_NM, DOS_THRU_YYYYMM"/>
  </r>
  <r>
    <x v="0"/>
    <s v="MHS_MA_MAO4_202601_20260204.txt"/>
    <x v="40"/>
    <x v="4"/>
    <n v="14"/>
    <n v="15704464"/>
    <n v="0"/>
    <s v="DQS_MAO04_FILE_000_B"/>
    <s v="RECORD COUNT by MBR_ID, DOS_THRU_DT, DX_CD Grain grouped by PAYER, SRC_FILE_NM, DOS_THRU_YYYYMM"/>
  </r>
  <r>
    <x v="0"/>
    <s v="MHS_MA_MAO4_202601_20260204.txt"/>
    <x v="41"/>
    <x v="5"/>
    <n v="435"/>
    <n v="15704464"/>
    <n v="0"/>
    <s v="DQS_MAO04_FILE_000_B"/>
    <s v="RECORD COUNT by MBR_ID, DOS_THRU_DT, DX_CD Grain grouped by PAYER, SRC_FILE_NM, DOS_THRU_YYYYMM"/>
  </r>
  <r>
    <x v="0"/>
    <s v="MHS_MA_MAO4_202601_20260204.txt"/>
    <x v="42"/>
    <x v="5"/>
    <n v="266"/>
    <n v="15704464"/>
    <n v="0"/>
    <s v="DQS_MAO04_FILE_000_B"/>
    <s v="RECORD COUNT by MBR_ID, DOS_THRU_DT, DX_CD Grain grouped by PAYER, SRC_FILE_NM, DOS_THRU_YYYYMM"/>
  </r>
  <r>
    <x v="0"/>
    <s v="MHS_MA_MAO4_202601_20260204.txt"/>
    <x v="43"/>
    <x v="5"/>
    <n v="310"/>
    <n v="15704464"/>
    <n v="0"/>
    <s v="DQS_MAO04_FILE_000_B"/>
    <s v="RECORD COUNT by MBR_ID, DOS_THRU_DT, DX_CD Grain grouped by PAYER, SRC_FILE_NM, DOS_THRU_YYYYMM"/>
  </r>
  <r>
    <x v="0"/>
    <s v="MHS_MA_MAO4_202601_20260204.txt"/>
    <x v="44"/>
    <x v="5"/>
    <n v="195"/>
    <n v="15704464"/>
    <n v="0"/>
    <s v="DQS_MAO04_FILE_000_B"/>
    <s v="RECORD COUNT by MBR_ID, DOS_THRU_DT, DX_CD Grain grouped by PAYER, SRC_FILE_NM, DOS_THRU_YYYYMM"/>
  </r>
  <r>
    <x v="0"/>
    <s v="MHS_MA_MAO4_202601_20260204.txt"/>
    <x v="45"/>
    <x v="5"/>
    <n v="270"/>
    <n v="15704464"/>
    <n v="0"/>
    <s v="DQS_MAO04_FILE_000_B"/>
    <s v="RECORD COUNT by MBR_ID, DOS_THRU_DT, DX_CD Grain grouped by PAYER, SRC_FILE_NM, DOS_THRU_YYYYMM"/>
  </r>
  <r>
    <x v="0"/>
    <s v="MHS_MA_MAO4_202601_20260204.txt"/>
    <x v="46"/>
    <x v="5"/>
    <n v="325"/>
    <n v="15704464"/>
    <n v="0"/>
    <s v="DQS_MAO04_FILE_000_B"/>
    <s v="RECORD COUNT by MBR_ID, DOS_THRU_DT, DX_CD Grain grouped by PAYER, SRC_FILE_NM, DOS_THRU_YYYYMM"/>
  </r>
  <r>
    <x v="0"/>
    <s v="MHS_MA_MAO4_202601_20260204.txt"/>
    <x v="47"/>
    <x v="5"/>
    <n v="290"/>
    <n v="15704464"/>
    <n v="0"/>
    <s v="DQS_MAO04_FILE_000_B"/>
    <s v="RECORD COUNT by MBR_ID, DOS_THRU_DT, DX_CD Grain grouped by PAYER, SRC_FILE_NM, DOS_THRU_YYYYMM"/>
  </r>
  <r>
    <x v="0"/>
    <s v="MHS_MA_MAO4_202601_20260204.txt"/>
    <x v="48"/>
    <x v="5"/>
    <n v="353"/>
    <n v="15704464"/>
    <n v="0"/>
    <s v="DQS_MAO04_FILE_000_B"/>
    <s v="RECORD COUNT by MBR_ID, DOS_THRU_DT, DX_CD Grain grouped by PAYER, SRC_FILE_NM, DOS_THRU_YYYYMM"/>
  </r>
  <r>
    <x v="0"/>
    <s v="MHS_MA_MAO4_202601_20260204.txt"/>
    <x v="49"/>
    <x v="5"/>
    <n v="263"/>
    <n v="15704464"/>
    <n v="0"/>
    <s v="DQS_MAO04_FILE_000_B"/>
    <s v="RECORD COUNT by MBR_ID, DOS_THRU_DT, DX_CD Grain grouped by PAYER, SRC_FILE_NM, DOS_THRU_YYYYMM"/>
  </r>
  <r>
    <x v="0"/>
    <s v="MHS_MA_MAO4_202601_20260204.txt"/>
    <x v="50"/>
    <x v="5"/>
    <n v="229"/>
    <n v="15704464"/>
    <n v="0"/>
    <s v="DQS_MAO04_FILE_000_B"/>
    <s v="RECORD COUNT by MBR_ID, DOS_THRU_DT, DX_CD Grain grouped by PAYER, SRC_FILE_NM, DOS_THRU_YYYYMM"/>
  </r>
  <r>
    <x v="0"/>
    <s v="MHS_MA_MAO4_202601_20260204.txt"/>
    <x v="51"/>
    <x v="5"/>
    <n v="231"/>
    <n v="15704464"/>
    <n v="0"/>
    <s v="DQS_MAO04_FILE_000_B"/>
    <s v="RECORD COUNT by MBR_ID, DOS_THRU_DT, DX_CD Grain grouped by PAYER, SRC_FILE_NM, DOS_THRU_YYYYMM"/>
  </r>
  <r>
    <x v="0"/>
    <s v="MHS_MA_MAO4_202601_20260204.txt"/>
    <x v="52"/>
    <x v="5"/>
    <n v="401"/>
    <n v="15704464"/>
    <n v="0"/>
    <s v="DQS_MAO04_FILE_000_B"/>
    <s v="RECORD COUNT by MBR_ID, DOS_THRU_DT, DX_CD Grain grouped by PAYER, SRC_FILE_NM, DOS_THRU_YYYYMM"/>
  </r>
  <r>
    <x v="0"/>
    <s v="MHS_MA_MAO4_202601_20260204.txt"/>
    <x v="53"/>
    <x v="6"/>
    <n v="6240"/>
    <n v="15704464"/>
    <n v="0.04"/>
    <s v="DQS_MAO04_FILE_000_B"/>
    <s v="RECORD COUNT by MBR_ID, DOS_THRU_DT, DX_CD Grain grouped by PAYER, SRC_FILE_NM, DOS_THRU_YYYYMM"/>
  </r>
  <r>
    <x v="0"/>
    <s v="MHS_MA_MAO4_202601_20260204.txt"/>
    <x v="54"/>
    <x v="6"/>
    <n v="6426"/>
    <n v="15704464"/>
    <n v="0.04"/>
    <s v="DQS_MAO04_FILE_000_B"/>
    <s v="RECORD COUNT by MBR_ID, DOS_THRU_DT, DX_CD Grain grouped by PAYER, SRC_FILE_NM, DOS_THRU_YYYYMM"/>
  </r>
  <r>
    <x v="0"/>
    <s v="MHS_MA_MAO4_202601_20260204.txt"/>
    <x v="55"/>
    <x v="6"/>
    <n v="7174"/>
    <n v="15704464"/>
    <n v="0.05"/>
    <s v="DQS_MAO04_FILE_000_B"/>
    <s v="RECORD COUNT by MBR_ID, DOS_THRU_DT, DX_CD Grain grouped by PAYER, SRC_FILE_NM, DOS_THRU_YYYYMM"/>
  </r>
  <r>
    <x v="0"/>
    <s v="MHS_MA_MAO4_202601_20260204.txt"/>
    <x v="56"/>
    <x v="6"/>
    <n v="7142"/>
    <n v="15704464"/>
    <n v="0.05"/>
    <s v="DQS_MAO04_FILE_000_B"/>
    <s v="RECORD COUNT by MBR_ID, DOS_THRU_DT, DX_CD Grain grouped by PAYER, SRC_FILE_NM, DOS_THRU_YYYYMM"/>
  </r>
  <r>
    <x v="0"/>
    <s v="MHS_MA_MAO4_202601_20260204.txt"/>
    <x v="57"/>
    <x v="6"/>
    <n v="6489"/>
    <n v="15704464"/>
    <n v="0.04"/>
    <s v="DQS_MAO04_FILE_000_B"/>
    <s v="RECORD COUNT by MBR_ID, DOS_THRU_DT, DX_CD Grain grouped by PAYER, SRC_FILE_NM, DOS_THRU_YYYYMM"/>
  </r>
  <r>
    <x v="0"/>
    <s v="MHS_MA_MAO4_202601_20260204.txt"/>
    <x v="58"/>
    <x v="6"/>
    <n v="7494"/>
    <n v="15704464"/>
    <n v="0.05"/>
    <s v="DQS_MAO04_FILE_000_B"/>
    <s v="RECORD COUNT by MBR_ID, DOS_THRU_DT, DX_CD Grain grouped by PAYER, SRC_FILE_NM, DOS_THRU_YYYYMM"/>
  </r>
  <r>
    <x v="0"/>
    <s v="MHS_MA_MAO4_202601_20260204.txt"/>
    <x v="59"/>
    <x v="6"/>
    <n v="17187"/>
    <n v="15704464"/>
    <n v="0.11"/>
    <s v="DQS_MAO04_FILE_000_B"/>
    <s v="RECORD COUNT by MBR_ID, DOS_THRU_DT, DX_CD Grain grouped by PAYER, SRC_FILE_NM, DOS_THRU_YYYYMM"/>
  </r>
  <r>
    <x v="0"/>
    <s v="MHS_MA_MAO4_202601_20260204.txt"/>
    <x v="60"/>
    <x v="6"/>
    <n v="19143"/>
    <n v="15704464"/>
    <n v="0.12"/>
    <s v="DQS_MAO04_FILE_000_B"/>
    <s v="RECORD COUNT by MBR_ID, DOS_THRU_DT, DX_CD Grain grouped by PAYER, SRC_FILE_NM, DOS_THRU_YYYYMM"/>
  </r>
  <r>
    <x v="0"/>
    <s v="MHS_MA_MAO4_202601_20260204.txt"/>
    <x v="61"/>
    <x v="6"/>
    <n v="20546"/>
    <n v="15704464"/>
    <n v="0.13"/>
    <s v="DQS_MAO04_FILE_000_B"/>
    <s v="RECORD COUNT by MBR_ID, DOS_THRU_DT, DX_CD Grain grouped by PAYER, SRC_FILE_NM, DOS_THRU_YYYYMM"/>
  </r>
  <r>
    <x v="0"/>
    <s v="MHS_MA_MAO4_202601_20260204.txt"/>
    <x v="62"/>
    <x v="6"/>
    <n v="19582"/>
    <n v="15704464"/>
    <n v="0.12"/>
    <s v="DQS_MAO04_FILE_000_B"/>
    <s v="RECORD COUNT by MBR_ID, DOS_THRU_DT, DX_CD Grain grouped by PAYER, SRC_FILE_NM, DOS_THRU_YYYYMM"/>
  </r>
  <r>
    <x v="0"/>
    <s v="MHS_MA_MAO4_202601_20260204.txt"/>
    <x v="63"/>
    <x v="6"/>
    <n v="21024"/>
    <n v="15704464"/>
    <n v="0.13"/>
    <s v="DQS_MAO04_FILE_000_B"/>
    <s v="RECORD COUNT by MBR_ID, DOS_THRU_DT, DX_CD Grain grouped by PAYER, SRC_FILE_NM, DOS_THRU_YYYYMM"/>
  </r>
  <r>
    <x v="0"/>
    <s v="MHS_MA_MAO4_202601_20260204.txt"/>
    <x v="64"/>
    <x v="6"/>
    <n v="22961"/>
    <n v="15704464"/>
    <n v="0.15"/>
    <s v="DQS_MAO04_FILE_000_B"/>
    <s v="RECORD COUNT by MBR_ID, DOS_THRU_DT, DX_CD Grain grouped by PAYER, SRC_FILE_NM, DOS_THRU_YYYYMM"/>
  </r>
  <r>
    <x v="0"/>
    <s v="MHS_MA_MAO4_202601_20260204.txt"/>
    <x v="65"/>
    <x v="7"/>
    <n v="36384"/>
    <n v="15704464"/>
    <n v="0.23"/>
    <s v="DQS_MAO04_FILE_000_B"/>
    <s v="RECORD COUNT by MBR_ID, DOS_THRU_DT, DX_CD Grain grouped by PAYER, SRC_FILE_NM, DOS_THRU_YYYYMM"/>
  </r>
  <r>
    <x v="0"/>
    <s v="MHS_MA_MAO4_202601_20260204.txt"/>
    <x v="66"/>
    <x v="7"/>
    <n v="30094"/>
    <n v="15704464"/>
    <n v="0.19"/>
    <s v="DQS_MAO04_FILE_000_B"/>
    <s v="RECORD COUNT by MBR_ID, DOS_THRU_DT, DX_CD Grain grouped by PAYER, SRC_FILE_NM, DOS_THRU_YYYYMM"/>
  </r>
  <r>
    <x v="0"/>
    <s v="MHS_MA_MAO4_202601_20260204.txt"/>
    <x v="67"/>
    <x v="7"/>
    <n v="29876"/>
    <n v="15704464"/>
    <n v="0.19"/>
    <s v="DQS_MAO04_FILE_000_B"/>
    <s v="RECORD COUNT by MBR_ID, DOS_THRU_DT, DX_CD Grain grouped by PAYER, SRC_FILE_NM, DOS_THRU_YYYYMM"/>
  </r>
  <r>
    <x v="0"/>
    <s v="MHS_MA_MAO4_202601_20260204.txt"/>
    <x v="68"/>
    <x v="7"/>
    <n v="27618"/>
    <n v="15704464"/>
    <n v="0.18"/>
    <s v="DQS_MAO04_FILE_000_B"/>
    <s v="RECORD COUNT by MBR_ID, DOS_THRU_DT, DX_CD Grain grouped by PAYER, SRC_FILE_NM, DOS_THRU_YYYYMM"/>
  </r>
  <r>
    <x v="0"/>
    <s v="MHS_MA_MAO4_202601_20260204.txt"/>
    <x v="69"/>
    <x v="7"/>
    <n v="27557"/>
    <n v="15704464"/>
    <n v="0.18"/>
    <s v="DQS_MAO04_FILE_000_B"/>
    <s v="RECORD COUNT by MBR_ID, DOS_THRU_DT, DX_CD Grain grouped by PAYER, SRC_FILE_NM, DOS_THRU_YYYYMM"/>
  </r>
  <r>
    <x v="0"/>
    <s v="MHS_MA_MAO4_202601_20260204.txt"/>
    <x v="70"/>
    <x v="7"/>
    <n v="29841"/>
    <n v="15704464"/>
    <n v="0.19"/>
    <s v="DQS_MAO04_FILE_000_B"/>
    <s v="RECORD COUNT by MBR_ID, DOS_THRU_DT, DX_CD Grain grouped by PAYER, SRC_FILE_NM, DOS_THRU_YYYYMM"/>
  </r>
  <r>
    <x v="0"/>
    <s v="MHS_MA_MAO4_202601_20260204.txt"/>
    <x v="71"/>
    <x v="7"/>
    <n v="33755"/>
    <n v="15704464"/>
    <n v="0.21"/>
    <s v="DQS_MAO04_FILE_000_B"/>
    <s v="RECORD COUNT by MBR_ID, DOS_THRU_DT, DX_CD Grain grouped by PAYER, SRC_FILE_NM, DOS_THRU_YYYYMM"/>
  </r>
  <r>
    <x v="0"/>
    <s v="MHS_MA_MAO4_202601_20260204.txt"/>
    <x v="72"/>
    <x v="7"/>
    <n v="38398"/>
    <n v="15704464"/>
    <n v="0.24"/>
    <s v="DQS_MAO04_FILE_000_B"/>
    <s v="RECORD COUNT by MBR_ID, DOS_THRU_DT, DX_CD Grain grouped by PAYER, SRC_FILE_NM, DOS_THRU_YYYYMM"/>
  </r>
  <r>
    <x v="0"/>
    <s v="MHS_MA_MAO4_202601_20260204.txt"/>
    <x v="73"/>
    <x v="7"/>
    <n v="39752"/>
    <n v="15704464"/>
    <n v="0.25"/>
    <s v="DQS_MAO04_FILE_000_B"/>
    <s v="RECORD COUNT by MBR_ID, DOS_THRU_DT, DX_CD Grain grouped by PAYER, SRC_FILE_NM, DOS_THRU_YYYYMM"/>
  </r>
  <r>
    <x v="0"/>
    <s v="MHS_MA_MAO4_202601_20260204.txt"/>
    <x v="74"/>
    <x v="7"/>
    <n v="44247"/>
    <n v="15704464"/>
    <n v="0.28000000000000003"/>
    <s v="DQS_MAO04_FILE_000_B"/>
    <s v="RECORD COUNT by MBR_ID, DOS_THRU_DT, DX_CD Grain grouped by PAYER, SRC_FILE_NM, DOS_THRU_YYYYMM"/>
  </r>
  <r>
    <x v="0"/>
    <s v="MHS_MA_MAO4_202601_20260204.txt"/>
    <x v="75"/>
    <x v="7"/>
    <n v="42817"/>
    <n v="15704464"/>
    <n v="0.27"/>
    <s v="DQS_MAO04_FILE_000_B"/>
    <s v="RECORD COUNT by MBR_ID, DOS_THRU_DT, DX_CD Grain grouped by PAYER, SRC_FILE_NM, DOS_THRU_YYYYMM"/>
  </r>
  <r>
    <x v="0"/>
    <s v="MHS_MA_MAO4_202601_20260204.txt"/>
    <x v="76"/>
    <x v="7"/>
    <n v="47237"/>
    <n v="15704464"/>
    <n v="0.3"/>
    <s v="DQS_MAO04_FILE_000_B"/>
    <s v="RECORD COUNT by MBR_ID, DOS_THRU_DT, DX_CD Grain grouped by PAYER, SRC_FILE_NM, DOS_THRU_YYYYMM"/>
  </r>
  <r>
    <x v="0"/>
    <s v="MHS_MA_MAO4_202601_20260204.txt"/>
    <x v="77"/>
    <x v="8"/>
    <n v="184862"/>
    <n v="15704464"/>
    <n v="1.18"/>
    <s v="DQS_MAO04_FILE_000_B"/>
    <s v="RECORD COUNT by MBR_ID, DOS_THRU_DT, DX_CD Grain grouped by PAYER, SRC_FILE_NM, DOS_THRU_YYYYMM"/>
  </r>
  <r>
    <x v="0"/>
    <s v="MHS_MA_MAO4_202601_20260204.txt"/>
    <x v="78"/>
    <x v="8"/>
    <n v="231537"/>
    <n v="15704464"/>
    <n v="1.47"/>
    <s v="DQS_MAO04_FILE_000_B"/>
    <s v="RECORD COUNT by MBR_ID, DOS_THRU_DT, DX_CD Grain grouped by PAYER, SRC_FILE_NM, DOS_THRU_YYYYMM"/>
  </r>
  <r>
    <x v="0"/>
    <s v="MHS_MA_MAO4_202601_20260204.txt"/>
    <x v="79"/>
    <x v="8"/>
    <n v="256769"/>
    <n v="15704464"/>
    <n v="1.64"/>
    <s v="DQS_MAO04_FILE_000_B"/>
    <s v="RECORD COUNT by MBR_ID, DOS_THRU_DT, DX_CD Grain grouped by PAYER, SRC_FILE_NM, DOS_THRU_YYYYMM"/>
  </r>
  <r>
    <x v="0"/>
    <s v="MHS_MA_MAO4_202601_20260204.txt"/>
    <x v="80"/>
    <x v="8"/>
    <n v="232791"/>
    <n v="15704464"/>
    <n v="1.48"/>
    <s v="DQS_MAO04_FILE_000_B"/>
    <s v="RECORD COUNT by MBR_ID, DOS_THRU_DT, DX_CD Grain grouped by PAYER, SRC_FILE_NM, DOS_THRU_YYYYMM"/>
  </r>
  <r>
    <x v="0"/>
    <s v="MHS_MA_MAO4_202601_20260204.txt"/>
    <x v="81"/>
    <x v="8"/>
    <n v="246974"/>
    <n v="15704464"/>
    <n v="1.57"/>
    <s v="DQS_MAO04_FILE_000_B"/>
    <s v="RECORD COUNT by MBR_ID, DOS_THRU_DT, DX_CD Grain grouped by PAYER, SRC_FILE_NM, DOS_THRU_YYYYMM"/>
  </r>
  <r>
    <x v="0"/>
    <s v="MHS_MA_MAO4_202601_20260204.txt"/>
    <x v="82"/>
    <x v="8"/>
    <n v="239723"/>
    <n v="15704464"/>
    <n v="1.53"/>
    <s v="DQS_MAO04_FILE_000_B"/>
    <s v="RECORD COUNT by MBR_ID, DOS_THRU_DT, DX_CD Grain grouped by PAYER, SRC_FILE_NM, DOS_THRU_YYYYMM"/>
  </r>
  <r>
    <x v="0"/>
    <s v="MHS_MA_MAO4_202601_20260204.txt"/>
    <x v="83"/>
    <x v="8"/>
    <n v="223041"/>
    <n v="15704464"/>
    <n v="1.42"/>
    <s v="DQS_MAO04_FILE_000_B"/>
    <s v="RECORD COUNT by MBR_ID, DOS_THRU_DT, DX_CD Grain grouped by PAYER, SRC_FILE_NM, DOS_THRU_YYYYMM"/>
  </r>
  <r>
    <x v="0"/>
    <s v="MHS_MA_MAO4_202601_20260204.txt"/>
    <x v="84"/>
    <x v="8"/>
    <n v="254909"/>
    <n v="15704464"/>
    <n v="1.62"/>
    <s v="DQS_MAO04_FILE_000_B"/>
    <s v="RECORD COUNT by MBR_ID, DOS_THRU_DT, DX_CD Grain grouped by PAYER, SRC_FILE_NM, DOS_THRU_YYYYMM"/>
  </r>
  <r>
    <x v="0"/>
    <s v="MHS_MA_MAO4_202601_20260204.txt"/>
    <x v="85"/>
    <x v="8"/>
    <n v="239790"/>
    <n v="15704464"/>
    <n v="1.53"/>
    <s v="DQS_MAO04_FILE_000_B"/>
    <s v="RECORD COUNT by MBR_ID, DOS_THRU_DT, DX_CD Grain grouped by PAYER, SRC_FILE_NM, DOS_THRU_YYYYMM"/>
  </r>
  <r>
    <x v="0"/>
    <s v="MHS_MA_MAO4_202601_20260204.txt"/>
    <x v="86"/>
    <x v="8"/>
    <n v="261603"/>
    <n v="15704464"/>
    <n v="1.67"/>
    <s v="DQS_MAO04_FILE_000_B"/>
    <s v="RECORD COUNT by MBR_ID, DOS_THRU_DT, DX_CD Grain grouped by PAYER, SRC_FILE_NM, DOS_THRU_YYYYMM"/>
  </r>
  <r>
    <x v="0"/>
    <s v="MHS_MA_MAO4_202601_20260204.txt"/>
    <x v="87"/>
    <x v="8"/>
    <n v="245833"/>
    <n v="15704464"/>
    <n v="1.57"/>
    <s v="DQS_MAO04_FILE_000_B"/>
    <s v="RECORD COUNT by MBR_ID, DOS_THRU_DT, DX_CD Grain grouped by PAYER, SRC_FILE_NM, DOS_THRU_YYYYMM"/>
  </r>
  <r>
    <x v="0"/>
    <s v="MHS_MA_MAO4_202601_20260204.txt"/>
    <x v="88"/>
    <x v="8"/>
    <n v="232003"/>
    <n v="15704464"/>
    <n v="1.48"/>
    <s v="DQS_MAO04_FILE_000_B"/>
    <s v="RECORD COUNT by MBR_ID, DOS_THRU_DT, DX_CD Grain grouped by PAYER, SRC_FILE_NM, DOS_THRU_YYYYMM"/>
  </r>
  <r>
    <x v="0"/>
    <s v="MHS_MA_MAO4_202601_20260204.txt"/>
    <x v="89"/>
    <x v="9"/>
    <n v="507999"/>
    <n v="15704464"/>
    <n v="3.23"/>
    <s v="DQS_MAO04_FILE_000_B"/>
    <s v="RECORD COUNT by MBR_ID, DOS_THRU_DT, DX_CD Grain grouped by PAYER, SRC_FILE_NM, DOS_THRU_YYYYMM"/>
  </r>
  <r>
    <x v="0"/>
    <s v="MHS_MA_MAO4_202601_20260204.txt"/>
    <x v="97"/>
    <x v="9"/>
    <n v="558515"/>
    <n v="15704464"/>
    <n v="3.56"/>
    <s v="DQS_MAO04_FILE_000_B"/>
    <s v="RECORD COUNT by MBR_ID, DOS_THRU_DT, DX_CD Grain grouped by PAYER, SRC_FILE_NM, DOS_THRU_YYYYMM"/>
  </r>
  <r>
    <x v="0"/>
    <s v="MHS_MA_MAO4_202601_20260204.txt"/>
    <x v="98"/>
    <x v="9"/>
    <n v="584245"/>
    <n v="15704464"/>
    <n v="3.72"/>
    <s v="DQS_MAO04_FILE_000_B"/>
    <s v="RECORD COUNT by MBR_ID, DOS_THRU_DT, DX_CD Grain grouped by PAYER, SRC_FILE_NM, DOS_THRU_YYYYMM"/>
  </r>
  <r>
    <x v="0"/>
    <s v="MHS_MA_MAO4_202601_20260204.txt"/>
    <x v="99"/>
    <x v="9"/>
    <n v="609262"/>
    <n v="15704464"/>
    <n v="3.88"/>
    <s v="DQS_MAO04_FILE_000_B"/>
    <s v="RECORD COUNT by MBR_ID, DOS_THRU_DT, DX_CD Grain grouped by PAYER, SRC_FILE_NM, DOS_THRU_YYYYMM"/>
  </r>
  <r>
    <x v="0"/>
    <s v="MHS_MA_MAO4_202601_20260204.txt"/>
    <x v="100"/>
    <x v="9"/>
    <n v="586761"/>
    <n v="15704464"/>
    <n v="3.74"/>
    <s v="DQS_MAO04_FILE_000_B"/>
    <s v="RECORD COUNT by MBR_ID, DOS_THRU_DT, DX_CD Grain grouped by PAYER, SRC_FILE_NM, DOS_THRU_YYYYMM"/>
  </r>
  <r>
    <x v="0"/>
    <s v="MHS_MA_MAO4_202601_20260204.txt"/>
    <x v="102"/>
    <x v="9"/>
    <n v="556806"/>
    <n v="15704464"/>
    <n v="3.55"/>
    <s v="DQS_MAO04_FILE_000_B"/>
    <s v="RECORD COUNT by MBR_ID, DOS_THRU_DT, DX_CD Grain grouped by PAYER, SRC_FILE_NM, DOS_THRU_YYYYMM"/>
  </r>
  <r>
    <x v="0"/>
    <s v="MHS_MA_MAO4_202601_20260204.txt"/>
    <x v="103"/>
    <x v="9"/>
    <n v="573954"/>
    <n v="15704464"/>
    <n v="3.65"/>
    <s v="DQS_MAO04_FILE_000_B"/>
    <s v="RECORD COUNT by MBR_ID, DOS_THRU_DT, DX_CD Grain grouped by PAYER, SRC_FILE_NM, DOS_THRU_YYYYMM"/>
  </r>
  <r>
    <x v="0"/>
    <s v="MHS_MA_MAO4_202601_20260204.txt"/>
    <x v="105"/>
    <x v="9"/>
    <n v="581707"/>
    <n v="15704464"/>
    <n v="3.7"/>
    <s v="DQS_MAO04_FILE_000_B"/>
    <s v="RECORD COUNT by MBR_ID, DOS_THRU_DT, DX_CD Grain grouped by PAYER, SRC_FILE_NM, DOS_THRU_YYYYMM"/>
  </r>
  <r>
    <x v="0"/>
    <s v="MHS_MA_MAO4_202601_20260204.txt"/>
    <x v="106"/>
    <x v="9"/>
    <n v="609130"/>
    <n v="15704464"/>
    <n v="3.88"/>
    <s v="DQS_MAO04_FILE_000_B"/>
    <s v="RECORD COUNT by MBR_ID, DOS_THRU_DT, DX_CD Grain grouped by PAYER, SRC_FILE_NM, DOS_THRU_YYYYMM"/>
  </r>
  <r>
    <x v="0"/>
    <s v="MHS_MA_MAO4_202601_20260204.txt"/>
    <x v="107"/>
    <x v="9"/>
    <n v="701732"/>
    <n v="15704464"/>
    <n v="4.47"/>
    <s v="DQS_MAO04_FILE_000_B"/>
    <s v="RECORD COUNT by MBR_ID, DOS_THRU_DT, DX_CD Grain grouped by PAYER, SRC_FILE_NM, DOS_THRU_YYYYMM"/>
  </r>
  <r>
    <x v="0"/>
    <s v="MHS_MA_MAO4_202601_20260204.txt"/>
    <x v="108"/>
    <x v="9"/>
    <n v="620421"/>
    <n v="15704464"/>
    <n v="3.95"/>
    <s v="DQS_MAO04_FILE_000_B"/>
    <s v="RECORD COUNT by MBR_ID, DOS_THRU_DT, DX_CD Grain grouped by PAYER, SRC_FILE_NM, DOS_THRU_YYYYMM"/>
  </r>
  <r>
    <x v="0"/>
    <s v="MHS_MA_MAO4_202601_20260204.txt"/>
    <x v="109"/>
    <x v="9"/>
    <n v="659407"/>
    <n v="15704464"/>
    <n v="4.2"/>
    <s v="DQS_MAO04_FILE_000_B"/>
    <s v="RECORD COUNT by MBR_ID, DOS_THRU_DT, DX_CD Grain grouped by PAYER, SRC_FILE_NM, DOS_THRU_YYYYMM"/>
  </r>
  <r>
    <x v="0"/>
    <s v="MHS_MA_MAO4_202601_20260204.txt"/>
    <x v="110"/>
    <x v="11"/>
    <n v="539129"/>
    <n v="15704464"/>
    <n v="3.43"/>
    <s v="DQS_MAO04_FILE_000_B"/>
    <s v="RECORD COUNT by MBR_ID, DOS_THRU_DT, DX_CD Grain grouped by PAYER, SRC_FILE_NM, DOS_THRU_YYYYMM"/>
  </r>
  <r>
    <x v="0"/>
    <s v="MHS_MA_MAO4_202601_20260204.txt"/>
    <x v="111"/>
    <x v="11"/>
    <n v="491322"/>
    <n v="15704464"/>
    <n v="3.13"/>
    <s v="DQS_MAO04_FILE_000_B"/>
    <s v="RECORD COUNT by MBR_ID, DOS_THRU_DT, DX_CD Grain grouped by PAYER, SRC_FILE_NM, DOS_THRU_YYYYMM"/>
  </r>
  <r>
    <x v="0"/>
    <s v="MHS_MA_MAO4_202601_20260204.txt"/>
    <x v="112"/>
    <x v="11"/>
    <n v="548910"/>
    <n v="15704464"/>
    <n v="3.5"/>
    <s v="DQS_MAO04_FILE_000_B"/>
    <s v="RECORD COUNT by MBR_ID, DOS_THRU_DT, DX_CD Grain grouped by PAYER, SRC_FILE_NM, DOS_THRU_YYYYMM"/>
  </r>
  <r>
    <x v="0"/>
    <s v="MHS_MA_MAO4_202601_20260204.txt"/>
    <x v="113"/>
    <x v="11"/>
    <n v="524953"/>
    <n v="15704464"/>
    <n v="3.34"/>
    <s v="DQS_MAO04_FILE_000_B"/>
    <s v="RECORD COUNT by MBR_ID, DOS_THRU_DT, DX_CD Grain grouped by PAYER, SRC_FILE_NM, DOS_THRU_YYYYMM"/>
  </r>
  <r>
    <x v="0"/>
    <s v="MHS_MA_MAO4_202601_20260204.txt"/>
    <x v="114"/>
    <x v="11"/>
    <n v="470457"/>
    <n v="15704464"/>
    <n v="3"/>
    <s v="DQS_MAO04_FILE_000_B"/>
    <s v="RECORD COUNT by MBR_ID, DOS_THRU_DT, DX_CD Grain grouped by PAYER, SRC_FILE_NM, DOS_THRU_YYYYMM"/>
  </r>
  <r>
    <x v="0"/>
    <s v="MHS_MA_MAO4_202601_20260204.txt"/>
    <x v="115"/>
    <x v="11"/>
    <n v="471188"/>
    <n v="15704464"/>
    <n v="3"/>
    <s v="DQS_MAO04_FILE_000_B"/>
    <s v="RECORD COUNT by MBR_ID, DOS_THRU_DT, DX_CD Grain grouped by PAYER, SRC_FILE_NM, DOS_THRU_YYYYMM"/>
  </r>
  <r>
    <x v="0"/>
    <s v="MHS_MA_MAO4_202601_20260204.txt"/>
    <x v="116"/>
    <x v="11"/>
    <n v="417577"/>
    <n v="15704464"/>
    <n v="2.66"/>
    <s v="DQS_MAO04_FILE_000_B"/>
    <s v="RECORD COUNT by MBR_ID, DOS_THRU_DT, DX_CD Grain grouped by PAYER, SRC_FILE_NM, DOS_THRU_YYYYMM"/>
  </r>
  <r>
    <x v="0"/>
    <s v="MHS_MA_MAO4_202601_20260204.txt"/>
    <x v="117"/>
    <x v="11"/>
    <n v="388290"/>
    <n v="15704464"/>
    <n v="2.4700000000000002"/>
    <s v="DQS_MAO04_FILE_000_B"/>
    <s v="RECORD COUNT by MBR_ID, DOS_THRU_DT, DX_CD Grain grouped by PAYER, SRC_FILE_NM, DOS_THRU_YYYYMM"/>
  </r>
  <r>
    <x v="0"/>
    <s v="MHS_MA_MAO4_202601_20260204.txt"/>
    <x v="118"/>
    <x v="11"/>
    <n v="409097"/>
    <n v="15704464"/>
    <n v="2.6"/>
    <s v="DQS_MAO04_FILE_000_B"/>
    <s v="RECORD COUNT by MBR_ID, DOS_THRU_DT, DX_CD Grain grouped by PAYER, SRC_FILE_NM, DOS_THRU_YYYYMM"/>
  </r>
  <r>
    <x v="0"/>
    <s v="MHS_MA_MAO4_202601_20260204.txt"/>
    <x v="119"/>
    <x v="11"/>
    <n v="425142"/>
    <n v="15704464"/>
    <n v="2.71"/>
    <s v="DQS_MAO04_FILE_000_B"/>
    <s v="RECORD COUNT by MBR_ID, DOS_THRU_DT, DX_CD Grain grouped by PAYER, SRC_FILE_NM, DOS_THRU_YYYYMM"/>
  </r>
  <r>
    <x v="0"/>
    <s v="MHS_MA_MAO4_202601_20260204.txt"/>
    <x v="120"/>
    <x v="11"/>
    <n v="341731"/>
    <n v="15704464"/>
    <n v="2.1800000000000002"/>
    <s v="DQS_MAO04_FILE_000_B"/>
    <s v="RECORD COUNT by MBR_ID, DOS_THRU_DT, DX_CD Grain grouped by PAYER, SRC_FILE_NM, DOS_THRU_YYYYMM"/>
  </r>
  <r>
    <x v="0"/>
    <s v="MHS_MA_MAO4_202601_20260204.txt"/>
    <x v="121"/>
    <x v="11"/>
    <n v="82472"/>
    <n v="15704464"/>
    <n v="0.53"/>
    <s v="DQS_MAO04_FILE_000_B"/>
    <s v="RECORD COUNT by MBR_ID, DOS_THRU_DT, DX_CD Grain grouped by PAYER, SRC_FILE_NM, DOS_THRU_YYYYMM"/>
  </r>
  <r>
    <x v="0"/>
    <s v="MHS_MA_MAO4_202602_20260302.txt"/>
    <x v="29"/>
    <x v="4"/>
    <n v="116"/>
    <n v="16035963"/>
    <n v="0"/>
    <s v="DQS_MAO04_FILE_000_B"/>
    <s v="RECORD COUNT by MBR_ID, DOS_THRU_DT, DX_CD Grain grouped by PAYER, SRC_FILE_NM, DOS_THRU_YYYYMM"/>
  </r>
  <r>
    <x v="0"/>
    <s v="MHS_MA_MAO4_202602_20260302.txt"/>
    <x v="30"/>
    <x v="4"/>
    <n v="106"/>
    <n v="16035963"/>
    <n v="0"/>
    <s v="DQS_MAO04_FILE_000_B"/>
    <s v="RECORD COUNT by MBR_ID, DOS_THRU_DT, DX_CD Grain grouped by PAYER, SRC_FILE_NM, DOS_THRU_YYYYMM"/>
  </r>
  <r>
    <x v="0"/>
    <s v="MHS_MA_MAO4_202602_20260302.txt"/>
    <x v="31"/>
    <x v="4"/>
    <n v="170"/>
    <n v="16035963"/>
    <n v="0"/>
    <s v="DQS_MAO04_FILE_000_B"/>
    <s v="RECORD COUNT by MBR_ID, DOS_THRU_DT, DX_CD Grain grouped by PAYER, SRC_FILE_NM, DOS_THRU_YYYYMM"/>
  </r>
  <r>
    <x v="0"/>
    <s v="MHS_MA_MAO4_202602_20260302.txt"/>
    <x v="32"/>
    <x v="4"/>
    <n v="174"/>
    <n v="16035963"/>
    <n v="0"/>
    <s v="DQS_MAO04_FILE_000_B"/>
    <s v="RECORD COUNT by MBR_ID, DOS_THRU_DT, DX_CD Grain grouped by PAYER, SRC_FILE_NM, DOS_THRU_YYYYMM"/>
  </r>
  <r>
    <x v="0"/>
    <s v="MHS_MA_MAO4_202602_20260302.txt"/>
    <x v="33"/>
    <x v="4"/>
    <n v="233"/>
    <n v="16035963"/>
    <n v="0"/>
    <s v="DQS_MAO04_FILE_000_B"/>
    <s v="RECORD COUNT by MBR_ID, DOS_THRU_DT, DX_CD Grain grouped by PAYER, SRC_FILE_NM, DOS_THRU_YYYYMM"/>
  </r>
  <r>
    <x v="0"/>
    <s v="MHS_MA_MAO4_202602_20260302.txt"/>
    <x v="34"/>
    <x v="4"/>
    <n v="365"/>
    <n v="16035963"/>
    <n v="0"/>
    <s v="DQS_MAO04_FILE_000_B"/>
    <s v="RECORD COUNT by MBR_ID, DOS_THRU_DT, DX_CD Grain grouped by PAYER, SRC_FILE_NM, DOS_THRU_YYYYMM"/>
  </r>
  <r>
    <x v="0"/>
    <s v="MHS_MA_MAO4_202602_20260302.txt"/>
    <x v="35"/>
    <x v="4"/>
    <n v="189"/>
    <n v="16035963"/>
    <n v="0"/>
    <s v="DQS_MAO04_FILE_000_B"/>
    <s v="RECORD COUNT by MBR_ID, DOS_THRU_DT, DX_CD Grain grouped by PAYER, SRC_FILE_NM, DOS_THRU_YYYYMM"/>
  </r>
  <r>
    <x v="0"/>
    <s v="MHS_MA_MAO4_202602_20260302.txt"/>
    <x v="36"/>
    <x v="4"/>
    <n v="94"/>
    <n v="16035963"/>
    <n v="0"/>
    <s v="DQS_MAO04_FILE_000_B"/>
    <s v="RECORD COUNT by MBR_ID, DOS_THRU_DT, DX_CD Grain grouped by PAYER, SRC_FILE_NM, DOS_THRU_YYYYMM"/>
  </r>
  <r>
    <x v="0"/>
    <s v="MHS_MA_MAO4_202602_20260302.txt"/>
    <x v="37"/>
    <x v="4"/>
    <n v="122"/>
    <n v="16035963"/>
    <n v="0"/>
    <s v="DQS_MAO04_FILE_000_B"/>
    <s v="RECORD COUNT by MBR_ID, DOS_THRU_DT, DX_CD Grain grouped by PAYER, SRC_FILE_NM, DOS_THRU_YYYYMM"/>
  </r>
  <r>
    <x v="0"/>
    <s v="MHS_MA_MAO4_202602_20260302.txt"/>
    <x v="38"/>
    <x v="4"/>
    <n v="144"/>
    <n v="16035963"/>
    <n v="0"/>
    <s v="DQS_MAO04_FILE_000_B"/>
    <s v="RECORD COUNT by MBR_ID, DOS_THRU_DT, DX_CD Grain grouped by PAYER, SRC_FILE_NM, DOS_THRU_YYYYMM"/>
  </r>
  <r>
    <x v="0"/>
    <s v="MHS_MA_MAO4_202602_20260302.txt"/>
    <x v="39"/>
    <x v="4"/>
    <n v="99"/>
    <n v="16035963"/>
    <n v="0"/>
    <s v="DQS_MAO04_FILE_000_B"/>
    <s v="RECORD COUNT by MBR_ID, DOS_THRU_DT, DX_CD Grain grouped by PAYER, SRC_FILE_NM, DOS_THRU_YYYYMM"/>
  </r>
  <r>
    <x v="0"/>
    <s v="MHS_MA_MAO4_202602_20260302.txt"/>
    <x v="40"/>
    <x v="4"/>
    <n v="14"/>
    <n v="16035963"/>
    <n v="0"/>
    <s v="DQS_MAO04_FILE_000_B"/>
    <s v="RECORD COUNT by MBR_ID, DOS_THRU_DT, DX_CD Grain grouped by PAYER, SRC_FILE_NM, DOS_THRU_YYYYMM"/>
  </r>
  <r>
    <x v="0"/>
    <s v="MHS_MA_MAO4_202602_20260302.txt"/>
    <x v="41"/>
    <x v="5"/>
    <n v="409"/>
    <n v="16035963"/>
    <n v="0"/>
    <s v="DQS_MAO04_FILE_000_B"/>
    <s v="RECORD COUNT by MBR_ID, DOS_THRU_DT, DX_CD Grain grouped by PAYER, SRC_FILE_NM, DOS_THRU_YYYYMM"/>
  </r>
  <r>
    <x v="0"/>
    <s v="MHS_MA_MAO4_202602_20260302.txt"/>
    <x v="42"/>
    <x v="5"/>
    <n v="257"/>
    <n v="16035963"/>
    <n v="0"/>
    <s v="DQS_MAO04_FILE_000_B"/>
    <s v="RECORD COUNT by MBR_ID, DOS_THRU_DT, DX_CD Grain grouped by PAYER, SRC_FILE_NM, DOS_THRU_YYYYMM"/>
  </r>
  <r>
    <x v="0"/>
    <s v="MHS_MA_MAO4_202602_20260302.txt"/>
    <x v="43"/>
    <x v="5"/>
    <n v="301"/>
    <n v="16035963"/>
    <n v="0"/>
    <s v="DQS_MAO04_FILE_000_B"/>
    <s v="RECORD COUNT by MBR_ID, DOS_THRU_DT, DX_CD Grain grouped by PAYER, SRC_FILE_NM, DOS_THRU_YYYYMM"/>
  </r>
  <r>
    <x v="0"/>
    <s v="MHS_MA_MAO4_202602_20260302.txt"/>
    <x v="44"/>
    <x v="5"/>
    <n v="177"/>
    <n v="16035963"/>
    <n v="0"/>
    <s v="DQS_MAO04_FILE_000_B"/>
    <s v="RECORD COUNT by MBR_ID, DOS_THRU_DT, DX_CD Grain grouped by PAYER, SRC_FILE_NM, DOS_THRU_YYYYMM"/>
  </r>
  <r>
    <x v="0"/>
    <s v="MHS_MA_MAO4_202602_20260302.txt"/>
    <x v="45"/>
    <x v="5"/>
    <n v="252"/>
    <n v="16035963"/>
    <n v="0"/>
    <s v="DQS_MAO04_FILE_000_B"/>
    <s v="RECORD COUNT by MBR_ID, DOS_THRU_DT, DX_CD Grain grouped by PAYER, SRC_FILE_NM, DOS_THRU_YYYYMM"/>
  </r>
  <r>
    <x v="0"/>
    <s v="MHS_MA_MAO4_202602_20260302.txt"/>
    <x v="46"/>
    <x v="5"/>
    <n v="287"/>
    <n v="16035963"/>
    <n v="0"/>
    <s v="DQS_MAO04_FILE_000_B"/>
    <s v="RECORD COUNT by MBR_ID, DOS_THRU_DT, DX_CD Grain grouped by PAYER, SRC_FILE_NM, DOS_THRU_YYYYMM"/>
  </r>
  <r>
    <x v="0"/>
    <s v="MHS_MA_MAO4_202602_20260302.txt"/>
    <x v="47"/>
    <x v="5"/>
    <n v="284"/>
    <n v="16035963"/>
    <n v="0"/>
    <s v="DQS_MAO04_FILE_000_B"/>
    <s v="RECORD COUNT by MBR_ID, DOS_THRU_DT, DX_CD Grain grouped by PAYER, SRC_FILE_NM, DOS_THRU_YYYYMM"/>
  </r>
  <r>
    <x v="0"/>
    <s v="MHS_MA_MAO4_202602_20260302.txt"/>
    <x v="48"/>
    <x v="5"/>
    <n v="294"/>
    <n v="16035963"/>
    <n v="0"/>
    <s v="DQS_MAO04_FILE_000_B"/>
    <s v="RECORD COUNT by MBR_ID, DOS_THRU_DT, DX_CD Grain grouped by PAYER, SRC_FILE_NM, DOS_THRU_YYYYMM"/>
  </r>
  <r>
    <x v="0"/>
    <s v="MHS_MA_MAO4_202602_20260302.txt"/>
    <x v="49"/>
    <x v="5"/>
    <n v="236"/>
    <n v="16035963"/>
    <n v="0"/>
    <s v="DQS_MAO04_FILE_000_B"/>
    <s v="RECORD COUNT by MBR_ID, DOS_THRU_DT, DX_CD Grain grouped by PAYER, SRC_FILE_NM, DOS_THRU_YYYYMM"/>
  </r>
  <r>
    <x v="0"/>
    <s v="MHS_MA_MAO4_202602_20260302.txt"/>
    <x v="50"/>
    <x v="5"/>
    <n v="204"/>
    <n v="16035963"/>
    <n v="0"/>
    <s v="DQS_MAO04_FILE_000_B"/>
    <s v="RECORD COUNT by MBR_ID, DOS_THRU_DT, DX_CD Grain grouped by PAYER, SRC_FILE_NM, DOS_THRU_YYYYMM"/>
  </r>
  <r>
    <x v="0"/>
    <s v="MHS_MA_MAO4_202602_20260302.txt"/>
    <x v="51"/>
    <x v="5"/>
    <n v="223"/>
    <n v="16035963"/>
    <n v="0"/>
    <s v="DQS_MAO04_FILE_000_B"/>
    <s v="RECORD COUNT by MBR_ID, DOS_THRU_DT, DX_CD Grain grouped by PAYER, SRC_FILE_NM, DOS_THRU_YYYYMM"/>
  </r>
  <r>
    <x v="0"/>
    <s v="MHS_MA_MAO4_202602_20260302.txt"/>
    <x v="52"/>
    <x v="5"/>
    <n v="359"/>
    <n v="16035963"/>
    <n v="0"/>
    <s v="DQS_MAO04_FILE_000_B"/>
    <s v="RECORD COUNT by MBR_ID, DOS_THRU_DT, DX_CD Grain grouped by PAYER, SRC_FILE_NM, DOS_THRU_YYYYMM"/>
  </r>
  <r>
    <x v="0"/>
    <s v="MHS_MA_MAO4_202602_20260302.txt"/>
    <x v="53"/>
    <x v="6"/>
    <n v="4791"/>
    <n v="16035963"/>
    <n v="0.03"/>
    <s v="DQS_MAO04_FILE_000_B"/>
    <s v="RECORD COUNT by MBR_ID, DOS_THRU_DT, DX_CD Grain grouped by PAYER, SRC_FILE_NM, DOS_THRU_YYYYMM"/>
  </r>
  <r>
    <x v="0"/>
    <s v="MHS_MA_MAO4_202602_20260302.txt"/>
    <x v="54"/>
    <x v="6"/>
    <n v="5143"/>
    <n v="16035963"/>
    <n v="0.03"/>
    <s v="DQS_MAO04_FILE_000_B"/>
    <s v="RECORD COUNT by MBR_ID, DOS_THRU_DT, DX_CD Grain grouped by PAYER, SRC_FILE_NM, DOS_THRU_YYYYMM"/>
  </r>
  <r>
    <x v="0"/>
    <s v="MHS_MA_MAO4_202602_20260302.txt"/>
    <x v="55"/>
    <x v="6"/>
    <n v="5580"/>
    <n v="16035963"/>
    <n v="0.03"/>
    <s v="DQS_MAO04_FILE_000_B"/>
    <s v="RECORD COUNT by MBR_ID, DOS_THRU_DT, DX_CD Grain grouped by PAYER, SRC_FILE_NM, DOS_THRU_YYYYMM"/>
  </r>
  <r>
    <x v="0"/>
    <s v="MHS_MA_MAO4_202602_20260302.txt"/>
    <x v="56"/>
    <x v="6"/>
    <n v="5397"/>
    <n v="16035963"/>
    <n v="0.03"/>
    <s v="DQS_MAO04_FILE_000_B"/>
    <s v="RECORD COUNT by MBR_ID, DOS_THRU_DT, DX_CD Grain grouped by PAYER, SRC_FILE_NM, DOS_THRU_YYYYMM"/>
  </r>
  <r>
    <x v="0"/>
    <s v="MHS_MA_MAO4_202602_20260302.txt"/>
    <x v="57"/>
    <x v="6"/>
    <n v="5047"/>
    <n v="16035963"/>
    <n v="0.03"/>
    <s v="DQS_MAO04_FILE_000_B"/>
    <s v="RECORD COUNT by MBR_ID, DOS_THRU_DT, DX_CD Grain grouped by PAYER, SRC_FILE_NM, DOS_THRU_YYYYMM"/>
  </r>
  <r>
    <x v="0"/>
    <s v="MHS_MA_MAO4_202602_20260302.txt"/>
    <x v="58"/>
    <x v="6"/>
    <n v="6183"/>
    <n v="16035963"/>
    <n v="0.04"/>
    <s v="DQS_MAO04_FILE_000_B"/>
    <s v="RECORD COUNT by MBR_ID, DOS_THRU_DT, DX_CD Grain grouped by PAYER, SRC_FILE_NM, DOS_THRU_YYYYMM"/>
  </r>
  <r>
    <x v="0"/>
    <s v="MHS_MA_MAO4_202602_20260302.txt"/>
    <x v="59"/>
    <x v="6"/>
    <n v="15067"/>
    <n v="16035963"/>
    <n v="0.09"/>
    <s v="DQS_MAO04_FILE_000_B"/>
    <s v="RECORD COUNT by MBR_ID, DOS_THRU_DT, DX_CD Grain grouped by PAYER, SRC_FILE_NM, DOS_THRU_YYYYMM"/>
  </r>
  <r>
    <x v="0"/>
    <s v="MHS_MA_MAO4_202602_20260302.txt"/>
    <x v="60"/>
    <x v="6"/>
    <n v="16622"/>
    <n v="16035963"/>
    <n v="0.1"/>
    <s v="DQS_MAO04_FILE_000_B"/>
    <s v="RECORD COUNT by MBR_ID, DOS_THRU_DT, DX_CD Grain grouped by PAYER, SRC_FILE_NM, DOS_THRU_YYYYMM"/>
  </r>
  <r>
    <x v="0"/>
    <s v="MHS_MA_MAO4_202602_20260302.txt"/>
    <x v="61"/>
    <x v="6"/>
    <n v="17796"/>
    <n v="16035963"/>
    <n v="0.11"/>
    <s v="DQS_MAO04_FILE_000_B"/>
    <s v="RECORD COUNT by MBR_ID, DOS_THRU_DT, DX_CD Grain grouped by PAYER, SRC_FILE_NM, DOS_THRU_YYYYMM"/>
  </r>
  <r>
    <x v="0"/>
    <s v="MHS_MA_MAO4_202602_20260302.txt"/>
    <x v="62"/>
    <x v="6"/>
    <n v="16901"/>
    <n v="16035963"/>
    <n v="0.11"/>
    <s v="DQS_MAO04_FILE_000_B"/>
    <s v="RECORD COUNT by MBR_ID, DOS_THRU_DT, DX_CD Grain grouped by PAYER, SRC_FILE_NM, DOS_THRU_YYYYMM"/>
  </r>
  <r>
    <x v="0"/>
    <s v="MHS_MA_MAO4_202602_20260302.txt"/>
    <x v="63"/>
    <x v="6"/>
    <n v="18127"/>
    <n v="16035963"/>
    <n v="0.11"/>
    <s v="DQS_MAO04_FILE_000_B"/>
    <s v="RECORD COUNT by MBR_ID, DOS_THRU_DT, DX_CD Grain grouped by PAYER, SRC_FILE_NM, DOS_THRU_YYYYMM"/>
  </r>
  <r>
    <x v="0"/>
    <s v="MHS_MA_MAO4_202602_20260302.txt"/>
    <x v="64"/>
    <x v="6"/>
    <n v="19582"/>
    <n v="16035963"/>
    <n v="0.12"/>
    <s v="DQS_MAO04_FILE_000_B"/>
    <s v="RECORD COUNT by MBR_ID, DOS_THRU_DT, DX_CD Grain grouped by PAYER, SRC_FILE_NM, DOS_THRU_YYYYMM"/>
  </r>
  <r>
    <x v="0"/>
    <s v="MHS_MA_MAO4_202602_20260302.txt"/>
    <x v="65"/>
    <x v="7"/>
    <n v="33897"/>
    <n v="16035963"/>
    <n v="0.21"/>
    <s v="DQS_MAO04_FILE_000_B"/>
    <s v="RECORD COUNT by MBR_ID, DOS_THRU_DT, DX_CD Grain grouped by PAYER, SRC_FILE_NM, DOS_THRU_YYYYMM"/>
  </r>
  <r>
    <x v="0"/>
    <s v="MHS_MA_MAO4_202602_20260302.txt"/>
    <x v="66"/>
    <x v="7"/>
    <n v="28657"/>
    <n v="16035963"/>
    <n v="0.18"/>
    <s v="DQS_MAO04_FILE_000_B"/>
    <s v="RECORD COUNT by MBR_ID, DOS_THRU_DT, DX_CD Grain grouped by PAYER, SRC_FILE_NM, DOS_THRU_YYYYMM"/>
  </r>
  <r>
    <x v="0"/>
    <s v="MHS_MA_MAO4_202602_20260302.txt"/>
    <x v="67"/>
    <x v="7"/>
    <n v="28132"/>
    <n v="16035963"/>
    <n v="0.18"/>
    <s v="DQS_MAO04_FILE_000_B"/>
    <s v="RECORD COUNT by MBR_ID, DOS_THRU_DT, DX_CD Grain grouped by PAYER, SRC_FILE_NM, DOS_THRU_YYYYMM"/>
  </r>
  <r>
    <x v="0"/>
    <s v="MHS_MA_MAO4_202602_20260302.txt"/>
    <x v="68"/>
    <x v="7"/>
    <n v="26042"/>
    <n v="16035963"/>
    <n v="0.16"/>
    <s v="DQS_MAO04_FILE_000_B"/>
    <s v="RECORD COUNT by MBR_ID, DOS_THRU_DT, DX_CD Grain grouped by PAYER, SRC_FILE_NM, DOS_THRU_YYYYMM"/>
  </r>
  <r>
    <x v="0"/>
    <s v="MHS_MA_MAO4_202602_20260302.txt"/>
    <x v="69"/>
    <x v="7"/>
    <n v="25573"/>
    <n v="16035963"/>
    <n v="0.16"/>
    <s v="DQS_MAO04_FILE_000_B"/>
    <s v="RECORD COUNT by MBR_ID, DOS_THRU_DT, DX_CD Grain grouped by PAYER, SRC_FILE_NM, DOS_THRU_YYYYMM"/>
  </r>
  <r>
    <x v="0"/>
    <s v="MHS_MA_MAO4_202602_20260302.txt"/>
    <x v="70"/>
    <x v="7"/>
    <n v="27485"/>
    <n v="16035963"/>
    <n v="0.17"/>
    <s v="DQS_MAO04_FILE_000_B"/>
    <s v="RECORD COUNT by MBR_ID, DOS_THRU_DT, DX_CD Grain grouped by PAYER, SRC_FILE_NM, DOS_THRU_YYYYMM"/>
  </r>
  <r>
    <x v="0"/>
    <s v="MHS_MA_MAO4_202602_20260302.txt"/>
    <x v="71"/>
    <x v="7"/>
    <n v="31244"/>
    <n v="16035963"/>
    <n v="0.19"/>
    <s v="DQS_MAO04_FILE_000_B"/>
    <s v="RECORD COUNT by MBR_ID, DOS_THRU_DT, DX_CD Grain grouped by PAYER, SRC_FILE_NM, DOS_THRU_YYYYMM"/>
  </r>
  <r>
    <x v="0"/>
    <s v="MHS_MA_MAO4_202602_20260302.txt"/>
    <x v="72"/>
    <x v="7"/>
    <n v="34903"/>
    <n v="16035963"/>
    <n v="0.22"/>
    <s v="DQS_MAO04_FILE_000_B"/>
    <s v="RECORD COUNT by MBR_ID, DOS_THRU_DT, DX_CD Grain grouped by PAYER, SRC_FILE_NM, DOS_THRU_YYYYMM"/>
  </r>
  <r>
    <x v="0"/>
    <s v="MHS_MA_MAO4_202602_20260302.txt"/>
    <x v="73"/>
    <x v="7"/>
    <n v="33272"/>
    <n v="16035963"/>
    <n v="0.21"/>
    <s v="DQS_MAO04_FILE_000_B"/>
    <s v="RECORD COUNT by MBR_ID, DOS_THRU_DT, DX_CD Grain grouped by PAYER, SRC_FILE_NM, DOS_THRU_YYYYMM"/>
  </r>
  <r>
    <x v="0"/>
    <s v="MHS_MA_MAO4_202602_20260302.txt"/>
    <x v="74"/>
    <x v="7"/>
    <n v="39897"/>
    <n v="16035963"/>
    <n v="0.25"/>
    <s v="DQS_MAO04_FILE_000_B"/>
    <s v="RECORD COUNT by MBR_ID, DOS_THRU_DT, DX_CD Grain grouped by PAYER, SRC_FILE_NM, DOS_THRU_YYYYMM"/>
  </r>
  <r>
    <x v="0"/>
    <s v="MHS_MA_MAO4_202602_20260302.txt"/>
    <x v="75"/>
    <x v="7"/>
    <n v="39314"/>
    <n v="16035963"/>
    <n v="0.25"/>
    <s v="DQS_MAO04_FILE_000_B"/>
    <s v="RECORD COUNT by MBR_ID, DOS_THRU_DT, DX_CD Grain grouped by PAYER, SRC_FILE_NM, DOS_THRU_YYYYMM"/>
  </r>
  <r>
    <x v="0"/>
    <s v="MHS_MA_MAO4_202602_20260302.txt"/>
    <x v="76"/>
    <x v="7"/>
    <n v="39988"/>
    <n v="16035963"/>
    <n v="0.25"/>
    <s v="DQS_MAO04_FILE_000_B"/>
    <s v="RECORD COUNT by MBR_ID, DOS_THRU_DT, DX_CD Grain grouped by PAYER, SRC_FILE_NM, DOS_THRU_YYYYMM"/>
  </r>
  <r>
    <x v="0"/>
    <s v="MHS_MA_MAO4_202602_20260302.txt"/>
    <x v="77"/>
    <x v="8"/>
    <n v="149247"/>
    <n v="16035963"/>
    <n v="0.93"/>
    <s v="DQS_MAO04_FILE_000_B"/>
    <s v="RECORD COUNT by MBR_ID, DOS_THRU_DT, DX_CD Grain grouped by PAYER, SRC_FILE_NM, DOS_THRU_YYYYMM"/>
  </r>
  <r>
    <x v="0"/>
    <s v="MHS_MA_MAO4_202602_20260302.txt"/>
    <x v="78"/>
    <x v="8"/>
    <n v="155638"/>
    <n v="16035963"/>
    <n v="0.97"/>
    <s v="DQS_MAO04_FILE_000_B"/>
    <s v="RECORD COUNT by MBR_ID, DOS_THRU_DT, DX_CD Grain grouped by PAYER, SRC_FILE_NM, DOS_THRU_YYYYMM"/>
  </r>
  <r>
    <x v="0"/>
    <s v="MHS_MA_MAO4_202602_20260302.txt"/>
    <x v="79"/>
    <x v="8"/>
    <n v="246350"/>
    <n v="16035963"/>
    <n v="1.54"/>
    <s v="DQS_MAO04_FILE_000_B"/>
    <s v="RECORD COUNT by MBR_ID, DOS_THRU_DT, DX_CD Grain grouped by PAYER, SRC_FILE_NM, DOS_THRU_YYYYMM"/>
  </r>
  <r>
    <x v="0"/>
    <s v="MHS_MA_MAO4_202602_20260302.txt"/>
    <x v="80"/>
    <x v="8"/>
    <n v="232614"/>
    <n v="16035963"/>
    <n v="1.45"/>
    <s v="DQS_MAO04_FILE_000_B"/>
    <s v="RECORD COUNT by MBR_ID, DOS_THRU_DT, DX_CD Grain grouped by PAYER, SRC_FILE_NM, DOS_THRU_YYYYMM"/>
  </r>
  <r>
    <x v="0"/>
    <s v="MHS_MA_MAO4_202602_20260302.txt"/>
    <x v="81"/>
    <x v="8"/>
    <n v="246965"/>
    <n v="16035963"/>
    <n v="1.54"/>
    <s v="DQS_MAO04_FILE_000_B"/>
    <s v="RECORD COUNT by MBR_ID, DOS_THRU_DT, DX_CD Grain grouped by PAYER, SRC_FILE_NM, DOS_THRU_YYYYMM"/>
  </r>
  <r>
    <x v="0"/>
    <s v="MHS_MA_MAO4_202602_20260302.txt"/>
    <x v="82"/>
    <x v="8"/>
    <n v="239663"/>
    <n v="16035963"/>
    <n v="1.49"/>
    <s v="DQS_MAO04_FILE_000_B"/>
    <s v="RECORD COUNT by MBR_ID, DOS_THRU_DT, DX_CD Grain grouped by PAYER, SRC_FILE_NM, DOS_THRU_YYYYMM"/>
  </r>
  <r>
    <x v="0"/>
    <s v="MHS_MA_MAO4_202602_20260302.txt"/>
    <x v="83"/>
    <x v="8"/>
    <n v="223024"/>
    <n v="16035963"/>
    <n v="1.39"/>
    <s v="DQS_MAO04_FILE_000_B"/>
    <s v="RECORD COUNT by MBR_ID, DOS_THRU_DT, DX_CD Grain grouped by PAYER, SRC_FILE_NM, DOS_THRU_YYYYMM"/>
  </r>
  <r>
    <x v="0"/>
    <s v="MHS_MA_MAO4_202602_20260302.txt"/>
    <x v="84"/>
    <x v="8"/>
    <n v="255201"/>
    <n v="16035963"/>
    <n v="1.59"/>
    <s v="DQS_MAO04_FILE_000_B"/>
    <s v="RECORD COUNT by MBR_ID, DOS_THRU_DT, DX_CD Grain grouped by PAYER, SRC_FILE_NM, DOS_THRU_YYYYMM"/>
  </r>
  <r>
    <x v="0"/>
    <s v="MHS_MA_MAO4_202602_20260302.txt"/>
    <x v="85"/>
    <x v="8"/>
    <n v="240045"/>
    <n v="16035963"/>
    <n v="1.5"/>
    <s v="DQS_MAO04_FILE_000_B"/>
    <s v="RECORD COUNT by MBR_ID, DOS_THRU_DT, DX_CD Grain grouped by PAYER, SRC_FILE_NM, DOS_THRU_YYYYMM"/>
  </r>
  <r>
    <x v="0"/>
    <s v="MHS_MA_MAO4_202602_20260302.txt"/>
    <x v="86"/>
    <x v="8"/>
    <n v="261465"/>
    <n v="16035963"/>
    <n v="1.63"/>
    <s v="DQS_MAO04_FILE_000_B"/>
    <s v="RECORD COUNT by MBR_ID, DOS_THRU_DT, DX_CD Grain grouped by PAYER, SRC_FILE_NM, DOS_THRU_YYYYMM"/>
  </r>
  <r>
    <x v="0"/>
    <s v="MHS_MA_MAO4_202602_20260302.txt"/>
    <x v="87"/>
    <x v="8"/>
    <n v="245922"/>
    <n v="16035963"/>
    <n v="1.53"/>
    <s v="DQS_MAO04_FILE_000_B"/>
    <s v="RECORD COUNT by MBR_ID, DOS_THRU_DT, DX_CD Grain grouped by PAYER, SRC_FILE_NM, DOS_THRU_YYYYMM"/>
  </r>
  <r>
    <x v="0"/>
    <s v="MHS_MA_MAO4_202602_20260302.txt"/>
    <x v="88"/>
    <x v="8"/>
    <n v="232168"/>
    <n v="16035963"/>
    <n v="1.45"/>
    <s v="DQS_MAO04_FILE_000_B"/>
    <s v="RECORD COUNT by MBR_ID, DOS_THRU_DT, DX_CD Grain grouped by PAYER, SRC_FILE_NM, DOS_THRU_YYYYMM"/>
  </r>
  <r>
    <x v="0"/>
    <s v="MHS_MA_MAO4_202602_20260302.txt"/>
    <x v="89"/>
    <x v="9"/>
    <n v="516476"/>
    <n v="16035963"/>
    <n v="3.22"/>
    <s v="DQS_MAO04_FILE_000_B"/>
    <s v="RECORD COUNT by MBR_ID, DOS_THRU_DT, DX_CD Grain grouped by PAYER, SRC_FILE_NM, DOS_THRU_YYYYMM"/>
  </r>
  <r>
    <x v="0"/>
    <s v="MHS_MA_MAO4_202602_20260302.txt"/>
    <x v="97"/>
    <x v="9"/>
    <n v="566904"/>
    <n v="16035963"/>
    <n v="3.54"/>
    <s v="DQS_MAO04_FILE_000_B"/>
    <s v="RECORD COUNT by MBR_ID, DOS_THRU_DT, DX_CD Grain grouped by PAYER, SRC_FILE_NM, DOS_THRU_YYYYMM"/>
  </r>
  <r>
    <x v="0"/>
    <s v="MHS_MA_MAO4_202602_20260302.txt"/>
    <x v="98"/>
    <x v="9"/>
    <n v="593439"/>
    <n v="16035963"/>
    <n v="3.7"/>
    <s v="DQS_MAO04_FILE_000_B"/>
    <s v="RECORD COUNT by MBR_ID, DOS_THRU_DT, DX_CD Grain grouped by PAYER, SRC_FILE_NM, DOS_THRU_YYYYMM"/>
  </r>
  <r>
    <x v="0"/>
    <s v="MHS_MA_MAO4_202602_20260302.txt"/>
    <x v="99"/>
    <x v="9"/>
    <n v="618652"/>
    <n v="16035963"/>
    <n v="3.86"/>
    <s v="DQS_MAO04_FILE_000_B"/>
    <s v="RECORD COUNT by MBR_ID, DOS_THRU_DT, DX_CD Grain grouped by PAYER, SRC_FILE_NM, DOS_THRU_YYYYMM"/>
  </r>
  <r>
    <x v="0"/>
    <s v="MHS_MA_MAO4_202602_20260302.txt"/>
    <x v="100"/>
    <x v="9"/>
    <n v="596176"/>
    <n v="16035963"/>
    <n v="3.72"/>
    <s v="DQS_MAO04_FILE_000_B"/>
    <s v="RECORD COUNT by MBR_ID, DOS_THRU_DT, DX_CD Grain grouped by PAYER, SRC_FILE_NM, DOS_THRU_YYYYMM"/>
  </r>
  <r>
    <x v="0"/>
    <s v="MHS_MA_MAO4_202602_20260302.txt"/>
    <x v="102"/>
    <x v="9"/>
    <n v="566383"/>
    <n v="16035963"/>
    <n v="3.53"/>
    <s v="DQS_MAO04_FILE_000_B"/>
    <s v="RECORD COUNT by MBR_ID, DOS_THRU_DT, DX_CD Grain grouped by PAYER, SRC_FILE_NM, DOS_THRU_YYYYMM"/>
  </r>
  <r>
    <x v="0"/>
    <s v="MHS_MA_MAO4_202602_20260302.txt"/>
    <x v="103"/>
    <x v="9"/>
    <n v="581600"/>
    <n v="16035963"/>
    <n v="3.63"/>
    <s v="DQS_MAO04_FILE_000_B"/>
    <s v="RECORD COUNT by MBR_ID, DOS_THRU_DT, DX_CD Grain grouped by PAYER, SRC_FILE_NM, DOS_THRU_YYYYMM"/>
  </r>
  <r>
    <x v="0"/>
    <s v="MHS_MA_MAO4_202602_20260302.txt"/>
    <x v="105"/>
    <x v="9"/>
    <n v="590396"/>
    <n v="16035963"/>
    <n v="3.68"/>
    <s v="DQS_MAO04_FILE_000_B"/>
    <s v="RECORD COUNT by MBR_ID, DOS_THRU_DT, DX_CD Grain grouped by PAYER, SRC_FILE_NM, DOS_THRU_YYYYMM"/>
  </r>
  <r>
    <x v="0"/>
    <s v="MHS_MA_MAO4_202602_20260302.txt"/>
    <x v="106"/>
    <x v="9"/>
    <n v="617649"/>
    <n v="16035963"/>
    <n v="3.85"/>
    <s v="DQS_MAO04_FILE_000_B"/>
    <s v="RECORD COUNT by MBR_ID, DOS_THRU_DT, DX_CD Grain grouped by PAYER, SRC_FILE_NM, DOS_THRU_YYYYMM"/>
  </r>
  <r>
    <x v="0"/>
    <s v="MHS_MA_MAO4_202602_20260302.txt"/>
    <x v="107"/>
    <x v="9"/>
    <n v="710119"/>
    <n v="16035963"/>
    <n v="4.43"/>
    <s v="DQS_MAO04_FILE_000_B"/>
    <s v="RECORD COUNT by MBR_ID, DOS_THRU_DT, DX_CD Grain grouped by PAYER, SRC_FILE_NM, DOS_THRU_YYYYMM"/>
  </r>
  <r>
    <x v="0"/>
    <s v="MHS_MA_MAO4_202602_20260302.txt"/>
    <x v="108"/>
    <x v="9"/>
    <n v="629662"/>
    <n v="16035963"/>
    <n v="3.93"/>
    <s v="DQS_MAO04_FILE_000_B"/>
    <s v="RECORD COUNT by MBR_ID, DOS_THRU_DT, DX_CD Grain grouped by PAYER, SRC_FILE_NM, DOS_THRU_YYYYMM"/>
  </r>
  <r>
    <x v="0"/>
    <s v="MHS_MA_MAO4_202602_20260302.txt"/>
    <x v="109"/>
    <x v="9"/>
    <n v="668149"/>
    <n v="16035963"/>
    <n v="4.17"/>
    <s v="DQS_MAO04_FILE_000_B"/>
    <s v="RECORD COUNT by MBR_ID, DOS_THRU_DT, DX_CD Grain grouped by PAYER, SRC_FILE_NM, DOS_THRU_YYYYMM"/>
  </r>
  <r>
    <x v="0"/>
    <s v="MHS_MA_MAO4_202602_20260302.txt"/>
    <x v="110"/>
    <x v="11"/>
    <n v="543255"/>
    <n v="16035963"/>
    <n v="3.39"/>
    <s v="DQS_MAO04_FILE_000_B"/>
    <s v="RECORD COUNT by MBR_ID, DOS_THRU_DT, DX_CD Grain grouped by PAYER, SRC_FILE_NM, DOS_THRU_YYYYMM"/>
  </r>
  <r>
    <x v="0"/>
    <s v="MHS_MA_MAO4_202602_20260302.txt"/>
    <x v="111"/>
    <x v="11"/>
    <n v="494010"/>
    <n v="16035963"/>
    <n v="3.08"/>
    <s v="DQS_MAO04_FILE_000_B"/>
    <s v="RECORD COUNT by MBR_ID, DOS_THRU_DT, DX_CD Grain grouped by PAYER, SRC_FILE_NM, DOS_THRU_YYYYMM"/>
  </r>
  <r>
    <x v="0"/>
    <s v="MHS_MA_MAO4_202602_20260302.txt"/>
    <x v="112"/>
    <x v="11"/>
    <n v="550756"/>
    <n v="16035963"/>
    <n v="3.43"/>
    <s v="DQS_MAO04_FILE_000_B"/>
    <s v="RECORD COUNT by MBR_ID, DOS_THRU_DT, DX_CD Grain grouped by PAYER, SRC_FILE_NM, DOS_THRU_YYYYMM"/>
  </r>
  <r>
    <x v="0"/>
    <s v="MHS_MA_MAO4_202602_20260302.txt"/>
    <x v="113"/>
    <x v="11"/>
    <n v="527819"/>
    <n v="16035963"/>
    <n v="3.29"/>
    <s v="DQS_MAO04_FILE_000_B"/>
    <s v="RECORD COUNT by MBR_ID, DOS_THRU_DT, DX_CD Grain grouped by PAYER, SRC_FILE_NM, DOS_THRU_YYYYMM"/>
  </r>
  <r>
    <x v="0"/>
    <s v="MHS_MA_MAO4_202602_20260302.txt"/>
    <x v="114"/>
    <x v="11"/>
    <n v="473842"/>
    <n v="16035963"/>
    <n v="2.95"/>
    <s v="DQS_MAO04_FILE_000_B"/>
    <s v="RECORD COUNT by MBR_ID, DOS_THRU_DT, DX_CD Grain grouped by PAYER, SRC_FILE_NM, DOS_THRU_YYYYMM"/>
  </r>
  <r>
    <x v="0"/>
    <s v="MHS_MA_MAO4_202602_20260302.txt"/>
    <x v="115"/>
    <x v="11"/>
    <n v="475300"/>
    <n v="16035963"/>
    <n v="2.96"/>
    <s v="DQS_MAO04_FILE_000_B"/>
    <s v="RECORD COUNT by MBR_ID, DOS_THRU_DT, DX_CD Grain grouped by PAYER, SRC_FILE_NM, DOS_THRU_YYYYMM"/>
  </r>
  <r>
    <x v="0"/>
    <s v="MHS_MA_MAO4_202602_20260302.txt"/>
    <x v="116"/>
    <x v="11"/>
    <n v="419327"/>
    <n v="16035963"/>
    <n v="2.61"/>
    <s v="DQS_MAO04_FILE_000_B"/>
    <s v="RECORD COUNT by MBR_ID, DOS_THRU_DT, DX_CD Grain grouped by PAYER, SRC_FILE_NM, DOS_THRU_YYYYMM"/>
  </r>
  <r>
    <x v="0"/>
    <s v="MHS_MA_MAO4_202602_20260302.txt"/>
    <x v="117"/>
    <x v="11"/>
    <n v="390759"/>
    <n v="16035963"/>
    <n v="2.44"/>
    <s v="DQS_MAO04_FILE_000_B"/>
    <s v="RECORD COUNT by MBR_ID, DOS_THRU_DT, DX_CD Grain grouped by PAYER, SRC_FILE_NM, DOS_THRU_YYYYMM"/>
  </r>
  <r>
    <x v="0"/>
    <s v="MHS_MA_MAO4_202602_20260302.txt"/>
    <x v="118"/>
    <x v="11"/>
    <n v="412371"/>
    <n v="16035963"/>
    <n v="2.57"/>
    <s v="DQS_MAO04_FILE_000_B"/>
    <s v="RECORD COUNT by MBR_ID, DOS_THRU_DT, DX_CD Grain grouped by PAYER, SRC_FILE_NM, DOS_THRU_YYYYMM"/>
  </r>
  <r>
    <x v="0"/>
    <s v="MHS_MA_MAO4_202602_20260302.txt"/>
    <x v="119"/>
    <x v="11"/>
    <n v="433143"/>
    <n v="16035963"/>
    <n v="2.7"/>
    <s v="DQS_MAO04_FILE_000_B"/>
    <s v="RECORD COUNT by MBR_ID, DOS_THRU_DT, DX_CD Grain grouped by PAYER, SRC_FILE_NM, DOS_THRU_YYYYMM"/>
  </r>
  <r>
    <x v="0"/>
    <s v="MHS_MA_MAO4_202602_20260302.txt"/>
    <x v="120"/>
    <x v="11"/>
    <n v="370885"/>
    <n v="16035963"/>
    <n v="2.31"/>
    <s v="DQS_MAO04_FILE_000_B"/>
    <s v="RECORD COUNT by MBR_ID, DOS_THRU_DT, DX_CD Grain grouped by PAYER, SRC_FILE_NM, DOS_THRU_YYYYMM"/>
  </r>
  <r>
    <x v="0"/>
    <s v="MHS_MA_MAO4_202602_20260302.txt"/>
    <x v="121"/>
    <x v="11"/>
    <n v="369799"/>
    <n v="16035963"/>
    <n v="2.31"/>
    <s v="DQS_MAO04_FILE_000_B"/>
    <s v="RECORD COUNT by MBR_ID, DOS_THRU_DT, DX_CD Grain grouped by PAYER, SRC_FILE_NM, DOS_THRU_YYYYMM"/>
  </r>
  <r>
    <x v="0"/>
    <s v="MHS_MA_MAO4_202602_20260302.txt"/>
    <x v="122"/>
    <x v="12"/>
    <n v="61041"/>
    <n v="16035963"/>
    <n v="0.38"/>
    <s v="DQS_MAO04_FILE_000_B"/>
    <s v="RECORD COUNT by MBR_ID, DOS_THRU_DT, DX_CD Grain grouped by PAYER, SRC_FILE_NM, DOS_THRU_YYYYMM"/>
  </r>
  <r>
    <x v="0"/>
    <s v="MHS_MA_MAO4_202603_20260407.txt"/>
    <x v="29"/>
    <x v="4"/>
    <n v="116"/>
    <n v="16732327"/>
    <n v="0"/>
    <s v="DQS_MAO04_FILE_000_B"/>
    <s v="RECORD COUNT by MBR_ID, DOS_THRU_DT, DX_CD Grain grouped by PAYER, SRC_FILE_NM, DOS_THRU_YYYYMM"/>
  </r>
  <r>
    <x v="0"/>
    <s v="MHS_MA_MAO4_202603_20260407.txt"/>
    <x v="30"/>
    <x v="4"/>
    <n v="106"/>
    <n v="16732327"/>
    <n v="0"/>
    <s v="DQS_MAO04_FILE_000_B"/>
    <s v="RECORD COUNT by MBR_ID, DOS_THRU_DT, DX_CD Grain grouped by PAYER, SRC_FILE_NM, DOS_THRU_YYYYMM"/>
  </r>
  <r>
    <x v="0"/>
    <s v="MHS_MA_MAO4_202603_20260407.txt"/>
    <x v="31"/>
    <x v="4"/>
    <n v="170"/>
    <n v="16732327"/>
    <n v="0"/>
    <s v="DQS_MAO04_FILE_000_B"/>
    <s v="RECORD COUNT by MBR_ID, DOS_THRU_DT, DX_CD Grain grouped by PAYER, SRC_FILE_NM, DOS_THRU_YYYYMM"/>
  </r>
  <r>
    <x v="0"/>
    <s v="MHS_MA_MAO4_202603_20260407.txt"/>
    <x v="32"/>
    <x v="4"/>
    <n v="174"/>
    <n v="16732327"/>
    <n v="0"/>
    <s v="DQS_MAO04_FILE_000_B"/>
    <s v="RECORD COUNT by MBR_ID, DOS_THRU_DT, DX_CD Grain grouped by PAYER, SRC_FILE_NM, DOS_THRU_YYYYMM"/>
  </r>
  <r>
    <x v="0"/>
    <s v="MHS_MA_MAO4_202603_20260407.txt"/>
    <x v="33"/>
    <x v="4"/>
    <n v="244"/>
    <n v="16732327"/>
    <n v="0"/>
    <s v="DQS_MAO04_FILE_000_B"/>
    <s v="RECORD COUNT by MBR_ID, DOS_THRU_DT, DX_CD Grain grouped by PAYER, SRC_FILE_NM, DOS_THRU_YYYYMM"/>
  </r>
  <r>
    <x v="0"/>
    <s v="MHS_MA_MAO4_202603_20260407.txt"/>
    <x v="34"/>
    <x v="4"/>
    <n v="351"/>
    <n v="16732327"/>
    <n v="0"/>
    <s v="DQS_MAO04_FILE_000_B"/>
    <s v="RECORD COUNT by MBR_ID, DOS_THRU_DT, DX_CD Grain grouped by PAYER, SRC_FILE_NM, DOS_THRU_YYYYMM"/>
  </r>
  <r>
    <x v="0"/>
    <s v="MHS_MA_MAO4_202603_20260407.txt"/>
    <x v="35"/>
    <x v="4"/>
    <n v="189"/>
    <n v="16732327"/>
    <n v="0"/>
    <s v="DQS_MAO04_FILE_000_B"/>
    <s v="RECORD COUNT by MBR_ID, DOS_THRU_DT, DX_CD Grain grouped by PAYER, SRC_FILE_NM, DOS_THRU_YYYYMM"/>
  </r>
  <r>
    <x v="0"/>
    <s v="MHS_MA_MAO4_202603_20260407.txt"/>
    <x v="36"/>
    <x v="4"/>
    <n v="94"/>
    <n v="16732327"/>
    <n v="0"/>
    <s v="DQS_MAO04_FILE_000_B"/>
    <s v="RECORD COUNT by MBR_ID, DOS_THRU_DT, DX_CD Grain grouped by PAYER, SRC_FILE_NM, DOS_THRU_YYYYMM"/>
  </r>
  <r>
    <x v="0"/>
    <s v="MHS_MA_MAO4_202603_20260407.txt"/>
    <x v="37"/>
    <x v="4"/>
    <n v="110"/>
    <n v="16732327"/>
    <n v="0"/>
    <s v="DQS_MAO04_FILE_000_B"/>
    <s v="RECORD COUNT by MBR_ID, DOS_THRU_DT, DX_CD Grain grouped by PAYER, SRC_FILE_NM, DOS_THRU_YYYYMM"/>
  </r>
  <r>
    <x v="0"/>
    <s v="MHS_MA_MAO4_202603_20260407.txt"/>
    <x v="38"/>
    <x v="4"/>
    <n v="144"/>
    <n v="16732327"/>
    <n v="0"/>
    <s v="DQS_MAO04_FILE_000_B"/>
    <s v="RECORD COUNT by MBR_ID, DOS_THRU_DT, DX_CD Grain grouped by PAYER, SRC_FILE_NM, DOS_THRU_YYYYMM"/>
  </r>
  <r>
    <x v="0"/>
    <s v="MHS_MA_MAO4_202603_20260407.txt"/>
    <x v="39"/>
    <x v="4"/>
    <n v="99"/>
    <n v="16732327"/>
    <n v="0"/>
    <s v="DQS_MAO04_FILE_000_B"/>
    <s v="RECORD COUNT by MBR_ID, DOS_THRU_DT, DX_CD Grain grouped by PAYER, SRC_FILE_NM, DOS_THRU_YYYYMM"/>
  </r>
  <r>
    <x v="0"/>
    <s v="MHS_MA_MAO4_202603_20260407.txt"/>
    <x v="40"/>
    <x v="4"/>
    <n v="14"/>
    <n v="16732327"/>
    <n v="0"/>
    <s v="DQS_MAO04_FILE_000_B"/>
    <s v="RECORD COUNT by MBR_ID, DOS_THRU_DT, DX_CD Grain grouped by PAYER, SRC_FILE_NM, DOS_THRU_YYYYMM"/>
  </r>
  <r>
    <x v="0"/>
    <s v="MHS_MA_MAO4_202603_20260407.txt"/>
    <x v="41"/>
    <x v="5"/>
    <n v="359"/>
    <n v="16732327"/>
    <n v="0"/>
    <s v="DQS_MAO04_FILE_000_B"/>
    <s v="RECORD COUNT by MBR_ID, DOS_THRU_DT, DX_CD Grain grouped by PAYER, SRC_FILE_NM, DOS_THRU_YYYYMM"/>
  </r>
  <r>
    <x v="0"/>
    <s v="MHS_MA_MAO4_202603_20260407.txt"/>
    <x v="42"/>
    <x v="5"/>
    <n v="254"/>
    <n v="16732327"/>
    <n v="0"/>
    <s v="DQS_MAO04_FILE_000_B"/>
    <s v="RECORD COUNT by MBR_ID, DOS_THRU_DT, DX_CD Grain grouped by PAYER, SRC_FILE_NM, DOS_THRU_YYYYMM"/>
  </r>
  <r>
    <x v="0"/>
    <s v="MHS_MA_MAO4_202603_20260407.txt"/>
    <x v="43"/>
    <x v="5"/>
    <n v="296"/>
    <n v="16732327"/>
    <n v="0"/>
    <s v="DQS_MAO04_FILE_000_B"/>
    <s v="RECORD COUNT by MBR_ID, DOS_THRU_DT, DX_CD Grain grouped by PAYER, SRC_FILE_NM, DOS_THRU_YYYYMM"/>
  </r>
  <r>
    <x v="0"/>
    <s v="MHS_MA_MAO4_202603_20260407.txt"/>
    <x v="44"/>
    <x v="5"/>
    <n v="169"/>
    <n v="16732327"/>
    <n v="0"/>
    <s v="DQS_MAO04_FILE_000_B"/>
    <s v="RECORD COUNT by MBR_ID, DOS_THRU_DT, DX_CD Grain grouped by PAYER, SRC_FILE_NM, DOS_THRU_YYYYMM"/>
  </r>
  <r>
    <x v="0"/>
    <s v="MHS_MA_MAO4_202603_20260407.txt"/>
    <x v="45"/>
    <x v="5"/>
    <n v="250"/>
    <n v="16732327"/>
    <n v="0"/>
    <s v="DQS_MAO04_FILE_000_B"/>
    <s v="RECORD COUNT by MBR_ID, DOS_THRU_DT, DX_CD Grain grouped by PAYER, SRC_FILE_NM, DOS_THRU_YYYYMM"/>
  </r>
  <r>
    <x v="0"/>
    <s v="MHS_MA_MAO4_202603_20260407.txt"/>
    <x v="46"/>
    <x v="5"/>
    <n v="260"/>
    <n v="16732327"/>
    <n v="0"/>
    <s v="DQS_MAO04_FILE_000_B"/>
    <s v="RECORD COUNT by MBR_ID, DOS_THRU_DT, DX_CD Grain grouped by PAYER, SRC_FILE_NM, DOS_THRU_YYYYMM"/>
  </r>
  <r>
    <x v="0"/>
    <s v="MHS_MA_MAO4_202603_20260407.txt"/>
    <x v="47"/>
    <x v="5"/>
    <n v="266"/>
    <n v="16732327"/>
    <n v="0"/>
    <s v="DQS_MAO04_FILE_000_B"/>
    <s v="RECORD COUNT by MBR_ID, DOS_THRU_DT, DX_CD Grain grouped by PAYER, SRC_FILE_NM, DOS_THRU_YYYYMM"/>
  </r>
  <r>
    <x v="0"/>
    <s v="MHS_MA_MAO4_202603_20260407.txt"/>
    <x v="48"/>
    <x v="5"/>
    <n v="283"/>
    <n v="16732327"/>
    <n v="0"/>
    <s v="DQS_MAO04_FILE_000_B"/>
    <s v="RECORD COUNT by MBR_ID, DOS_THRU_DT, DX_CD Grain grouped by PAYER, SRC_FILE_NM, DOS_THRU_YYYYMM"/>
  </r>
  <r>
    <x v="0"/>
    <s v="MHS_MA_MAO4_202603_20260407.txt"/>
    <x v="49"/>
    <x v="5"/>
    <n v="228"/>
    <n v="16732327"/>
    <n v="0"/>
    <s v="DQS_MAO04_FILE_000_B"/>
    <s v="RECORD COUNT by MBR_ID, DOS_THRU_DT, DX_CD Grain grouped by PAYER, SRC_FILE_NM, DOS_THRU_YYYYMM"/>
  </r>
  <r>
    <x v="0"/>
    <s v="MHS_MA_MAO4_202603_20260407.txt"/>
    <x v="50"/>
    <x v="5"/>
    <n v="193"/>
    <n v="16732327"/>
    <n v="0"/>
    <s v="DQS_MAO04_FILE_000_B"/>
    <s v="RECORD COUNT by MBR_ID, DOS_THRU_DT, DX_CD Grain grouped by PAYER, SRC_FILE_NM, DOS_THRU_YYYYMM"/>
  </r>
  <r>
    <x v="0"/>
    <s v="MHS_MA_MAO4_202603_20260407.txt"/>
    <x v="51"/>
    <x v="5"/>
    <n v="222"/>
    <n v="16732327"/>
    <n v="0"/>
    <s v="DQS_MAO04_FILE_000_B"/>
    <s v="RECORD COUNT by MBR_ID, DOS_THRU_DT, DX_CD Grain grouped by PAYER, SRC_FILE_NM, DOS_THRU_YYYYMM"/>
  </r>
  <r>
    <x v="0"/>
    <s v="MHS_MA_MAO4_202603_20260407.txt"/>
    <x v="52"/>
    <x v="5"/>
    <n v="334"/>
    <n v="16732327"/>
    <n v="0"/>
    <s v="DQS_MAO04_FILE_000_B"/>
    <s v="RECORD COUNT by MBR_ID, DOS_THRU_DT, DX_CD Grain grouped by PAYER, SRC_FILE_NM, DOS_THRU_YYYYMM"/>
  </r>
  <r>
    <x v="0"/>
    <s v="MHS_MA_MAO4_202603_20260407.txt"/>
    <x v="53"/>
    <x v="6"/>
    <n v="4341"/>
    <n v="16732327"/>
    <n v="0.03"/>
    <s v="DQS_MAO04_FILE_000_B"/>
    <s v="RECORD COUNT by MBR_ID, DOS_THRU_DT, DX_CD Grain grouped by PAYER, SRC_FILE_NM, DOS_THRU_YYYYMM"/>
  </r>
  <r>
    <x v="0"/>
    <s v="MHS_MA_MAO4_202603_20260407.txt"/>
    <x v="54"/>
    <x v="6"/>
    <n v="4658"/>
    <n v="16732327"/>
    <n v="0.03"/>
    <s v="DQS_MAO04_FILE_000_B"/>
    <s v="RECORD COUNT by MBR_ID, DOS_THRU_DT, DX_CD Grain grouped by PAYER, SRC_FILE_NM, DOS_THRU_YYYYMM"/>
  </r>
  <r>
    <x v="0"/>
    <s v="MHS_MA_MAO4_202603_20260407.txt"/>
    <x v="55"/>
    <x v="6"/>
    <n v="5003"/>
    <n v="16732327"/>
    <n v="0.03"/>
    <s v="DQS_MAO04_FILE_000_B"/>
    <s v="RECORD COUNT by MBR_ID, DOS_THRU_DT, DX_CD Grain grouped by PAYER, SRC_FILE_NM, DOS_THRU_YYYYMM"/>
  </r>
  <r>
    <x v="0"/>
    <s v="MHS_MA_MAO4_202603_20260407.txt"/>
    <x v="56"/>
    <x v="6"/>
    <n v="4895"/>
    <n v="16732327"/>
    <n v="0.03"/>
    <s v="DQS_MAO04_FILE_000_B"/>
    <s v="RECORD COUNT by MBR_ID, DOS_THRU_DT, DX_CD Grain grouped by PAYER, SRC_FILE_NM, DOS_THRU_YYYYMM"/>
  </r>
  <r>
    <x v="0"/>
    <s v="MHS_MA_MAO4_202603_20260407.txt"/>
    <x v="57"/>
    <x v="6"/>
    <n v="4527"/>
    <n v="16732327"/>
    <n v="0.03"/>
    <s v="DQS_MAO04_FILE_000_B"/>
    <s v="RECORD COUNT by MBR_ID, DOS_THRU_DT, DX_CD Grain grouped by PAYER, SRC_FILE_NM, DOS_THRU_YYYYMM"/>
  </r>
  <r>
    <x v="0"/>
    <s v="MHS_MA_MAO4_202603_20260407.txt"/>
    <x v="58"/>
    <x v="6"/>
    <n v="5676"/>
    <n v="16732327"/>
    <n v="0.03"/>
    <s v="DQS_MAO04_FILE_000_B"/>
    <s v="RECORD COUNT by MBR_ID, DOS_THRU_DT, DX_CD Grain grouped by PAYER, SRC_FILE_NM, DOS_THRU_YYYYMM"/>
  </r>
  <r>
    <x v="0"/>
    <s v="MHS_MA_MAO4_202603_20260407.txt"/>
    <x v="59"/>
    <x v="6"/>
    <n v="14154"/>
    <n v="16732327"/>
    <n v="0.08"/>
    <s v="DQS_MAO04_FILE_000_B"/>
    <s v="RECORD COUNT by MBR_ID, DOS_THRU_DT, DX_CD Grain grouped by PAYER, SRC_FILE_NM, DOS_THRU_YYYYMM"/>
  </r>
  <r>
    <x v="0"/>
    <s v="MHS_MA_MAO4_202603_20260407.txt"/>
    <x v="60"/>
    <x v="6"/>
    <n v="15421"/>
    <n v="16732327"/>
    <n v="0.09"/>
    <s v="DQS_MAO04_FILE_000_B"/>
    <s v="RECORD COUNT by MBR_ID, DOS_THRU_DT, DX_CD Grain grouped by PAYER, SRC_FILE_NM, DOS_THRU_YYYYMM"/>
  </r>
  <r>
    <x v="0"/>
    <s v="MHS_MA_MAO4_202603_20260407.txt"/>
    <x v="61"/>
    <x v="6"/>
    <n v="16603"/>
    <n v="16732327"/>
    <n v="0.1"/>
    <s v="DQS_MAO04_FILE_000_B"/>
    <s v="RECORD COUNT by MBR_ID, DOS_THRU_DT, DX_CD Grain grouped by PAYER, SRC_FILE_NM, DOS_THRU_YYYYMM"/>
  </r>
  <r>
    <x v="0"/>
    <s v="MHS_MA_MAO4_202603_20260407.txt"/>
    <x v="62"/>
    <x v="6"/>
    <n v="15682"/>
    <n v="16732327"/>
    <n v="0.09"/>
    <s v="DQS_MAO04_FILE_000_B"/>
    <s v="RECORD COUNT by MBR_ID, DOS_THRU_DT, DX_CD Grain grouped by PAYER, SRC_FILE_NM, DOS_THRU_YYYYMM"/>
  </r>
  <r>
    <x v="0"/>
    <s v="MHS_MA_MAO4_202603_20260407.txt"/>
    <x v="63"/>
    <x v="6"/>
    <n v="16815"/>
    <n v="16732327"/>
    <n v="0.1"/>
    <s v="DQS_MAO04_FILE_000_B"/>
    <s v="RECORD COUNT by MBR_ID, DOS_THRU_DT, DX_CD Grain grouped by PAYER, SRC_FILE_NM, DOS_THRU_YYYYMM"/>
  </r>
  <r>
    <x v="0"/>
    <s v="MHS_MA_MAO4_202603_20260407.txt"/>
    <x v="64"/>
    <x v="6"/>
    <n v="17548"/>
    <n v="16732327"/>
    <n v="0.1"/>
    <s v="DQS_MAO04_FILE_000_B"/>
    <s v="RECORD COUNT by MBR_ID, DOS_THRU_DT, DX_CD Grain grouped by PAYER, SRC_FILE_NM, DOS_THRU_YYYYMM"/>
  </r>
  <r>
    <x v="0"/>
    <s v="MHS_MA_MAO4_202603_20260407.txt"/>
    <x v="65"/>
    <x v="7"/>
    <n v="31758"/>
    <n v="16732327"/>
    <n v="0.19"/>
    <s v="DQS_MAO04_FILE_000_B"/>
    <s v="RECORD COUNT by MBR_ID, DOS_THRU_DT, DX_CD Grain grouped by PAYER, SRC_FILE_NM, DOS_THRU_YYYYMM"/>
  </r>
  <r>
    <x v="0"/>
    <s v="MHS_MA_MAO4_202603_20260407.txt"/>
    <x v="66"/>
    <x v="7"/>
    <n v="26614"/>
    <n v="16732327"/>
    <n v="0.16"/>
    <s v="DQS_MAO04_FILE_000_B"/>
    <s v="RECORD COUNT by MBR_ID, DOS_THRU_DT, DX_CD Grain grouped by PAYER, SRC_FILE_NM, DOS_THRU_YYYYMM"/>
  </r>
  <r>
    <x v="0"/>
    <s v="MHS_MA_MAO4_202603_20260407.txt"/>
    <x v="67"/>
    <x v="7"/>
    <n v="26991"/>
    <n v="16732327"/>
    <n v="0.16"/>
    <s v="DQS_MAO04_FILE_000_B"/>
    <s v="RECORD COUNT by MBR_ID, DOS_THRU_DT, DX_CD Grain grouped by PAYER, SRC_FILE_NM, DOS_THRU_YYYYMM"/>
  </r>
  <r>
    <x v="0"/>
    <s v="MHS_MA_MAO4_202603_20260407.txt"/>
    <x v="68"/>
    <x v="7"/>
    <n v="25098"/>
    <n v="16732327"/>
    <n v="0.15"/>
    <s v="DQS_MAO04_FILE_000_B"/>
    <s v="RECORD COUNT by MBR_ID, DOS_THRU_DT, DX_CD Grain grouped by PAYER, SRC_FILE_NM, DOS_THRU_YYYYMM"/>
  </r>
  <r>
    <x v="0"/>
    <s v="MHS_MA_MAO4_202603_20260407.txt"/>
    <x v="69"/>
    <x v="7"/>
    <n v="24562"/>
    <n v="16732327"/>
    <n v="0.15"/>
    <s v="DQS_MAO04_FILE_000_B"/>
    <s v="RECORD COUNT by MBR_ID, DOS_THRU_DT, DX_CD Grain grouped by PAYER, SRC_FILE_NM, DOS_THRU_YYYYMM"/>
  </r>
  <r>
    <x v="0"/>
    <s v="MHS_MA_MAO4_202603_20260407.txt"/>
    <x v="70"/>
    <x v="7"/>
    <n v="26472"/>
    <n v="16732327"/>
    <n v="0.16"/>
    <s v="DQS_MAO04_FILE_000_B"/>
    <s v="RECORD COUNT by MBR_ID, DOS_THRU_DT, DX_CD Grain grouped by PAYER, SRC_FILE_NM, DOS_THRU_YYYYMM"/>
  </r>
  <r>
    <x v="0"/>
    <s v="MHS_MA_MAO4_202603_20260407.txt"/>
    <x v="71"/>
    <x v="7"/>
    <n v="30099"/>
    <n v="16732327"/>
    <n v="0.18"/>
    <s v="DQS_MAO04_FILE_000_B"/>
    <s v="RECORD COUNT by MBR_ID, DOS_THRU_DT, DX_CD Grain grouped by PAYER, SRC_FILE_NM, DOS_THRU_YYYYMM"/>
  </r>
  <r>
    <x v="0"/>
    <s v="MHS_MA_MAO4_202603_20260407.txt"/>
    <x v="72"/>
    <x v="7"/>
    <n v="33588"/>
    <n v="16732327"/>
    <n v="0.2"/>
    <s v="DQS_MAO04_FILE_000_B"/>
    <s v="RECORD COUNT by MBR_ID, DOS_THRU_DT, DX_CD Grain grouped by PAYER, SRC_FILE_NM, DOS_THRU_YYYYMM"/>
  </r>
  <r>
    <x v="0"/>
    <s v="MHS_MA_MAO4_202603_20260407.txt"/>
    <x v="73"/>
    <x v="7"/>
    <n v="31414"/>
    <n v="16732327"/>
    <n v="0.19"/>
    <s v="DQS_MAO04_FILE_000_B"/>
    <s v="RECORD COUNT by MBR_ID, DOS_THRU_DT, DX_CD Grain grouped by PAYER, SRC_FILE_NM, DOS_THRU_YYYYMM"/>
  </r>
  <r>
    <x v="0"/>
    <s v="MHS_MA_MAO4_202603_20260407.txt"/>
    <x v="74"/>
    <x v="7"/>
    <n v="35134"/>
    <n v="16732327"/>
    <n v="0.21"/>
    <s v="DQS_MAO04_FILE_000_B"/>
    <s v="RECORD COUNT by MBR_ID, DOS_THRU_DT, DX_CD Grain grouped by PAYER, SRC_FILE_NM, DOS_THRU_YYYYMM"/>
  </r>
  <r>
    <x v="0"/>
    <s v="MHS_MA_MAO4_202603_20260407.txt"/>
    <x v="75"/>
    <x v="7"/>
    <n v="37656"/>
    <n v="16732327"/>
    <n v="0.23"/>
    <s v="DQS_MAO04_FILE_000_B"/>
    <s v="RECORD COUNT by MBR_ID, DOS_THRU_DT, DX_CD Grain grouped by PAYER, SRC_FILE_NM, DOS_THRU_YYYYMM"/>
  </r>
  <r>
    <x v="0"/>
    <s v="MHS_MA_MAO4_202603_20260407.txt"/>
    <x v="76"/>
    <x v="7"/>
    <n v="37818"/>
    <n v="16732327"/>
    <n v="0.23"/>
    <s v="DQS_MAO04_FILE_000_B"/>
    <s v="RECORD COUNT by MBR_ID, DOS_THRU_DT, DX_CD Grain grouped by PAYER, SRC_FILE_NM, DOS_THRU_YYYYMM"/>
  </r>
  <r>
    <x v="0"/>
    <s v="MHS_MA_MAO4_202603_20260407.txt"/>
    <x v="77"/>
    <x v="8"/>
    <n v="144372"/>
    <n v="16732327"/>
    <n v="0.86"/>
    <s v="DQS_MAO04_FILE_000_B"/>
    <s v="RECORD COUNT by MBR_ID, DOS_THRU_DT, DX_CD Grain grouped by PAYER, SRC_FILE_NM, DOS_THRU_YYYYMM"/>
  </r>
  <r>
    <x v="0"/>
    <s v="MHS_MA_MAO4_202603_20260407.txt"/>
    <x v="78"/>
    <x v="8"/>
    <n v="142642"/>
    <n v="16732327"/>
    <n v="0.85"/>
    <s v="DQS_MAO04_FILE_000_B"/>
    <s v="RECORD COUNT by MBR_ID, DOS_THRU_DT, DX_CD Grain grouped by PAYER, SRC_FILE_NM, DOS_THRU_YYYYMM"/>
  </r>
  <r>
    <x v="0"/>
    <s v="MHS_MA_MAO4_202603_20260407.txt"/>
    <x v="79"/>
    <x v="8"/>
    <n v="172111"/>
    <n v="16732327"/>
    <n v="1.03"/>
    <s v="DQS_MAO04_FILE_000_B"/>
    <s v="RECORD COUNT by MBR_ID, DOS_THRU_DT, DX_CD Grain grouped by PAYER, SRC_FILE_NM, DOS_THRU_YYYYMM"/>
  </r>
  <r>
    <x v="0"/>
    <s v="MHS_MA_MAO4_202603_20260407.txt"/>
    <x v="80"/>
    <x v="8"/>
    <n v="228159"/>
    <n v="16732327"/>
    <n v="1.36"/>
    <s v="DQS_MAO04_FILE_000_B"/>
    <s v="RECORD COUNT by MBR_ID, DOS_THRU_DT, DX_CD Grain grouped by PAYER, SRC_FILE_NM, DOS_THRU_YYYYMM"/>
  </r>
  <r>
    <x v="0"/>
    <s v="MHS_MA_MAO4_202603_20260407.txt"/>
    <x v="81"/>
    <x v="8"/>
    <n v="247381"/>
    <n v="16732327"/>
    <n v="1.48"/>
    <s v="DQS_MAO04_FILE_000_B"/>
    <s v="RECORD COUNT by MBR_ID, DOS_THRU_DT, DX_CD Grain grouped by PAYER, SRC_FILE_NM, DOS_THRU_YYYYMM"/>
  </r>
  <r>
    <x v="0"/>
    <s v="MHS_MA_MAO4_202603_20260407.txt"/>
    <x v="82"/>
    <x v="8"/>
    <n v="240016"/>
    <n v="16732327"/>
    <n v="1.43"/>
    <s v="DQS_MAO04_FILE_000_B"/>
    <s v="RECORD COUNT by MBR_ID, DOS_THRU_DT, DX_CD Grain grouped by PAYER, SRC_FILE_NM, DOS_THRU_YYYYMM"/>
  </r>
  <r>
    <x v="0"/>
    <s v="MHS_MA_MAO4_202603_20260407.txt"/>
    <x v="83"/>
    <x v="8"/>
    <n v="223371"/>
    <n v="16732327"/>
    <n v="1.33"/>
    <s v="DQS_MAO04_FILE_000_B"/>
    <s v="RECORD COUNT by MBR_ID, DOS_THRU_DT, DX_CD Grain grouped by PAYER, SRC_FILE_NM, DOS_THRU_YYYYMM"/>
  </r>
  <r>
    <x v="0"/>
    <s v="MHS_MA_MAO4_202603_20260407.txt"/>
    <x v="84"/>
    <x v="8"/>
    <n v="255571"/>
    <n v="16732327"/>
    <n v="1.53"/>
    <s v="DQS_MAO04_FILE_000_B"/>
    <s v="RECORD COUNT by MBR_ID, DOS_THRU_DT, DX_CD Grain grouped by PAYER, SRC_FILE_NM, DOS_THRU_YYYYMM"/>
  </r>
  <r>
    <x v="0"/>
    <s v="MHS_MA_MAO4_202603_20260407.txt"/>
    <x v="85"/>
    <x v="8"/>
    <n v="240582"/>
    <n v="16732327"/>
    <n v="1.44"/>
    <s v="DQS_MAO04_FILE_000_B"/>
    <s v="RECORD COUNT by MBR_ID, DOS_THRU_DT, DX_CD Grain grouped by PAYER, SRC_FILE_NM, DOS_THRU_YYYYMM"/>
  </r>
  <r>
    <x v="0"/>
    <s v="MHS_MA_MAO4_202603_20260407.txt"/>
    <x v="86"/>
    <x v="8"/>
    <n v="261899"/>
    <n v="16732327"/>
    <n v="1.57"/>
    <s v="DQS_MAO04_FILE_000_B"/>
    <s v="RECORD COUNT by MBR_ID, DOS_THRU_DT, DX_CD Grain grouped by PAYER, SRC_FILE_NM, DOS_THRU_YYYYMM"/>
  </r>
  <r>
    <x v="0"/>
    <s v="MHS_MA_MAO4_202603_20260407.txt"/>
    <x v="87"/>
    <x v="8"/>
    <n v="246530"/>
    <n v="16732327"/>
    <n v="1.47"/>
    <s v="DQS_MAO04_FILE_000_B"/>
    <s v="RECORD COUNT by MBR_ID, DOS_THRU_DT, DX_CD Grain grouped by PAYER, SRC_FILE_NM, DOS_THRU_YYYYMM"/>
  </r>
  <r>
    <x v="0"/>
    <s v="MHS_MA_MAO4_202603_20260407.txt"/>
    <x v="88"/>
    <x v="8"/>
    <n v="232692"/>
    <n v="16732327"/>
    <n v="1.39"/>
    <s v="DQS_MAO04_FILE_000_B"/>
    <s v="RECORD COUNT by MBR_ID, DOS_THRU_DT, DX_CD Grain grouped by PAYER, SRC_FILE_NM, DOS_THRU_YYYYMM"/>
  </r>
  <r>
    <x v="0"/>
    <s v="MHS_MA_MAO4_202603_20260407.txt"/>
    <x v="89"/>
    <x v="9"/>
    <n v="527842"/>
    <n v="16732327"/>
    <n v="3.15"/>
    <s v="DQS_MAO04_FILE_000_B"/>
    <s v="RECORD COUNT by MBR_ID, DOS_THRU_DT, DX_CD Grain grouped by PAYER, SRC_FILE_NM, DOS_THRU_YYYYMM"/>
  </r>
  <r>
    <x v="0"/>
    <s v="MHS_MA_MAO4_202603_20260407.txt"/>
    <x v="97"/>
    <x v="9"/>
    <n v="575869"/>
    <n v="16732327"/>
    <n v="3.44"/>
    <s v="DQS_MAO04_FILE_000_B"/>
    <s v="RECORD COUNT by MBR_ID, DOS_THRU_DT, DX_CD Grain grouped by PAYER, SRC_FILE_NM, DOS_THRU_YYYYMM"/>
  </r>
  <r>
    <x v="0"/>
    <s v="MHS_MA_MAO4_202603_20260407.txt"/>
    <x v="98"/>
    <x v="9"/>
    <n v="602013"/>
    <n v="16732327"/>
    <n v="3.6"/>
    <s v="DQS_MAO04_FILE_000_B"/>
    <s v="RECORD COUNT by MBR_ID, DOS_THRU_DT, DX_CD Grain grouped by PAYER, SRC_FILE_NM, DOS_THRU_YYYYMM"/>
  </r>
  <r>
    <x v="0"/>
    <s v="MHS_MA_MAO4_202603_20260407.txt"/>
    <x v="99"/>
    <x v="9"/>
    <n v="626873"/>
    <n v="16732327"/>
    <n v="3.75"/>
    <s v="DQS_MAO04_FILE_000_B"/>
    <s v="RECORD COUNT by MBR_ID, DOS_THRU_DT, DX_CD Grain grouped by PAYER, SRC_FILE_NM, DOS_THRU_YYYYMM"/>
  </r>
  <r>
    <x v="0"/>
    <s v="MHS_MA_MAO4_202603_20260407.txt"/>
    <x v="100"/>
    <x v="9"/>
    <n v="605399"/>
    <n v="16732327"/>
    <n v="3.62"/>
    <s v="DQS_MAO04_FILE_000_B"/>
    <s v="RECORD COUNT by MBR_ID, DOS_THRU_DT, DX_CD Grain grouped by PAYER, SRC_FILE_NM, DOS_THRU_YYYYMM"/>
  </r>
  <r>
    <x v="0"/>
    <s v="MHS_MA_MAO4_202603_20260407.txt"/>
    <x v="102"/>
    <x v="9"/>
    <n v="575049"/>
    <n v="16732327"/>
    <n v="3.44"/>
    <s v="DQS_MAO04_FILE_000_B"/>
    <s v="RECORD COUNT by MBR_ID, DOS_THRU_DT, DX_CD Grain grouped by PAYER, SRC_FILE_NM, DOS_THRU_YYYYMM"/>
  </r>
  <r>
    <x v="0"/>
    <s v="MHS_MA_MAO4_202603_20260407.txt"/>
    <x v="103"/>
    <x v="9"/>
    <n v="590045"/>
    <n v="16732327"/>
    <n v="3.53"/>
    <s v="DQS_MAO04_FILE_000_B"/>
    <s v="RECORD COUNT by MBR_ID, DOS_THRU_DT, DX_CD Grain grouped by PAYER, SRC_FILE_NM, DOS_THRU_YYYYMM"/>
  </r>
  <r>
    <x v="0"/>
    <s v="MHS_MA_MAO4_202603_20260407.txt"/>
    <x v="105"/>
    <x v="9"/>
    <n v="599207"/>
    <n v="16732327"/>
    <n v="3.58"/>
    <s v="DQS_MAO04_FILE_000_B"/>
    <s v="RECORD COUNT by MBR_ID, DOS_THRU_DT, DX_CD Grain grouped by PAYER, SRC_FILE_NM, DOS_THRU_YYYYMM"/>
  </r>
  <r>
    <x v="0"/>
    <s v="MHS_MA_MAO4_202603_20260407.txt"/>
    <x v="106"/>
    <x v="9"/>
    <n v="626158"/>
    <n v="16732327"/>
    <n v="3.74"/>
    <s v="DQS_MAO04_FILE_000_B"/>
    <s v="RECORD COUNT by MBR_ID, DOS_THRU_DT, DX_CD Grain grouped by PAYER, SRC_FILE_NM, DOS_THRU_YYYYMM"/>
  </r>
  <r>
    <x v="0"/>
    <s v="MHS_MA_MAO4_202603_20260407.txt"/>
    <x v="107"/>
    <x v="9"/>
    <n v="716949"/>
    <n v="16732327"/>
    <n v="4.28"/>
    <s v="DQS_MAO04_FILE_000_B"/>
    <s v="RECORD COUNT by MBR_ID, DOS_THRU_DT, DX_CD Grain grouped by PAYER, SRC_FILE_NM, DOS_THRU_YYYYMM"/>
  </r>
  <r>
    <x v="0"/>
    <s v="MHS_MA_MAO4_202603_20260407.txt"/>
    <x v="108"/>
    <x v="9"/>
    <n v="635878"/>
    <n v="16732327"/>
    <n v="3.8"/>
    <s v="DQS_MAO04_FILE_000_B"/>
    <s v="RECORD COUNT by MBR_ID, DOS_THRU_DT, DX_CD Grain grouped by PAYER, SRC_FILE_NM, DOS_THRU_YYYYMM"/>
  </r>
  <r>
    <x v="0"/>
    <s v="MHS_MA_MAO4_202603_20260407.txt"/>
    <x v="109"/>
    <x v="9"/>
    <n v="674485"/>
    <n v="16732327"/>
    <n v="4.03"/>
    <s v="DQS_MAO04_FILE_000_B"/>
    <s v="RECORD COUNT by MBR_ID, DOS_THRU_DT, DX_CD Grain grouped by PAYER, SRC_FILE_NM, DOS_THRU_YYYYMM"/>
  </r>
  <r>
    <x v="0"/>
    <s v="MHS_MA_MAO4_202603_20260407.txt"/>
    <x v="110"/>
    <x v="11"/>
    <n v="574717"/>
    <n v="16732327"/>
    <n v="3.43"/>
    <s v="DQS_MAO04_FILE_000_B"/>
    <s v="RECORD COUNT by MBR_ID, DOS_THRU_DT, DX_CD Grain grouped by PAYER, SRC_FILE_NM, DOS_THRU_YYYYMM"/>
  </r>
  <r>
    <x v="0"/>
    <s v="MHS_MA_MAO4_202603_20260407.txt"/>
    <x v="111"/>
    <x v="11"/>
    <n v="510312"/>
    <n v="16732327"/>
    <n v="3.05"/>
    <s v="DQS_MAO04_FILE_000_B"/>
    <s v="RECORD COUNT by MBR_ID, DOS_THRU_DT, DX_CD Grain grouped by PAYER, SRC_FILE_NM, DOS_THRU_YYYYMM"/>
  </r>
  <r>
    <x v="0"/>
    <s v="MHS_MA_MAO4_202603_20260407.txt"/>
    <x v="112"/>
    <x v="11"/>
    <n v="575074"/>
    <n v="16732327"/>
    <n v="3.44"/>
    <s v="DQS_MAO04_FILE_000_B"/>
    <s v="RECORD COUNT by MBR_ID, DOS_THRU_DT, DX_CD Grain grouped by PAYER, SRC_FILE_NM, DOS_THRU_YYYYMM"/>
  </r>
  <r>
    <x v="0"/>
    <s v="MHS_MA_MAO4_202603_20260407.txt"/>
    <x v="113"/>
    <x v="11"/>
    <n v="544739"/>
    <n v="16732327"/>
    <n v="3.26"/>
    <s v="DQS_MAO04_FILE_000_B"/>
    <s v="RECORD COUNT by MBR_ID, DOS_THRU_DT, DX_CD Grain grouped by PAYER, SRC_FILE_NM, DOS_THRU_YYYYMM"/>
  </r>
  <r>
    <x v="0"/>
    <s v="MHS_MA_MAO4_202603_20260407.txt"/>
    <x v="114"/>
    <x v="11"/>
    <n v="490187"/>
    <n v="16732327"/>
    <n v="2.93"/>
    <s v="DQS_MAO04_FILE_000_B"/>
    <s v="RECORD COUNT by MBR_ID, DOS_THRU_DT, DX_CD Grain grouped by PAYER, SRC_FILE_NM, DOS_THRU_YYYYMM"/>
  </r>
  <r>
    <x v="0"/>
    <s v="MHS_MA_MAO4_202603_20260407.txt"/>
    <x v="115"/>
    <x v="11"/>
    <n v="500368"/>
    <n v="16732327"/>
    <n v="2.99"/>
    <s v="DQS_MAO04_FILE_000_B"/>
    <s v="RECORD COUNT by MBR_ID, DOS_THRU_DT, DX_CD Grain grouped by PAYER, SRC_FILE_NM, DOS_THRU_YYYYMM"/>
  </r>
  <r>
    <x v="0"/>
    <s v="MHS_MA_MAO4_202603_20260407.txt"/>
    <x v="116"/>
    <x v="11"/>
    <n v="473106"/>
    <n v="16732327"/>
    <n v="2.83"/>
    <s v="DQS_MAO04_FILE_000_B"/>
    <s v="RECORD COUNT by MBR_ID, DOS_THRU_DT, DX_CD Grain grouped by PAYER, SRC_FILE_NM, DOS_THRU_YYYYMM"/>
  </r>
  <r>
    <x v="0"/>
    <s v="MHS_MA_MAO4_202603_20260407.txt"/>
    <x v="117"/>
    <x v="11"/>
    <n v="447875"/>
    <n v="16732327"/>
    <n v="2.68"/>
    <s v="DQS_MAO04_FILE_000_B"/>
    <s v="RECORD COUNT by MBR_ID, DOS_THRU_DT, DX_CD Grain grouped by PAYER, SRC_FILE_NM, DOS_THRU_YYYYMM"/>
  </r>
  <r>
    <x v="0"/>
    <s v="MHS_MA_MAO4_202603_20260407.txt"/>
    <x v="118"/>
    <x v="11"/>
    <n v="469870"/>
    <n v="16732327"/>
    <n v="2.81"/>
    <s v="DQS_MAO04_FILE_000_B"/>
    <s v="RECORD COUNT by MBR_ID, DOS_THRU_DT, DX_CD Grain grouped by PAYER, SRC_FILE_NM, DOS_THRU_YYYYMM"/>
  </r>
  <r>
    <x v="0"/>
    <s v="MHS_MA_MAO4_202603_20260407.txt"/>
    <x v="119"/>
    <x v="11"/>
    <n v="490407"/>
    <n v="16732327"/>
    <n v="2.93"/>
    <s v="DQS_MAO04_FILE_000_B"/>
    <s v="RECORD COUNT by MBR_ID, DOS_THRU_DT, DX_CD Grain grouped by PAYER, SRC_FILE_NM, DOS_THRU_YYYYMM"/>
  </r>
  <r>
    <x v="0"/>
    <s v="MHS_MA_MAO4_202603_20260407.txt"/>
    <x v="120"/>
    <x v="11"/>
    <n v="430831"/>
    <n v="16732327"/>
    <n v="2.57"/>
    <s v="DQS_MAO04_FILE_000_B"/>
    <s v="RECORD COUNT by MBR_ID, DOS_THRU_DT, DX_CD Grain grouped by PAYER, SRC_FILE_NM, DOS_THRU_YYYYMM"/>
  </r>
  <r>
    <x v="0"/>
    <s v="MHS_MA_MAO4_202603_20260407.txt"/>
    <x v="121"/>
    <x v="11"/>
    <n v="406882"/>
    <n v="16732327"/>
    <n v="2.4300000000000002"/>
    <s v="DQS_MAO04_FILE_000_B"/>
    <s v="RECORD COUNT by MBR_ID, DOS_THRU_DT, DX_CD Grain grouped by PAYER, SRC_FILE_NM, DOS_THRU_YYYYMM"/>
  </r>
  <r>
    <x v="0"/>
    <s v="MHS_MA_MAO4_202603_20260407.txt"/>
    <x v="122"/>
    <x v="12"/>
    <n v="259247"/>
    <n v="16732327"/>
    <n v="1.55"/>
    <s v="DQS_MAO04_FILE_000_B"/>
    <s v="RECORD COUNT by MBR_ID, DOS_THRU_DT, DX_CD Grain grouped by PAYER, SRC_FILE_NM, DOS_THRU_YYYYMM"/>
  </r>
  <r>
    <x v="0"/>
    <s v="MHS_MA_MAO4_202603_20260407.txt"/>
    <x v="123"/>
    <x v="12"/>
    <n v="70167"/>
    <n v="16732327"/>
    <n v="0.42"/>
    <s v="DQS_MAO04_FILE_000_B"/>
    <s v="RECORD COUNT by MBR_ID, DOS_THRU_DT, DX_CD Grain grouped by PAYER, SRC_FILE_NM, DOS_THRU_YYYYMM"/>
  </r>
  <r>
    <x v="0"/>
    <s v="MHS_MA_MAO4_202604_20260502.txt"/>
    <x v="29"/>
    <x v="4"/>
    <n v="116"/>
    <n v="17070421"/>
    <n v="0"/>
    <s v="DQS_MAO04_FILE_000_B"/>
    <s v="RECORD COUNT by MBR_ID, DOS_THRU_DT, DX_CD Grain grouped by PAYER, SRC_FILE_NM, DOS_THRU_YYYYMM"/>
  </r>
  <r>
    <x v="0"/>
    <s v="MHS_MA_MAO4_202604_20260502.txt"/>
    <x v="30"/>
    <x v="4"/>
    <n v="106"/>
    <n v="17070421"/>
    <n v="0"/>
    <s v="DQS_MAO04_FILE_000_B"/>
    <s v="RECORD COUNT by MBR_ID, DOS_THRU_DT, DX_CD Grain grouped by PAYER, SRC_FILE_NM, DOS_THRU_YYYYMM"/>
  </r>
  <r>
    <x v="0"/>
    <s v="MHS_MA_MAO4_202604_20260502.txt"/>
    <x v="31"/>
    <x v="4"/>
    <n v="170"/>
    <n v="17070421"/>
    <n v="0"/>
    <s v="DQS_MAO04_FILE_000_B"/>
    <s v="RECORD COUNT by MBR_ID, DOS_THRU_DT, DX_CD Grain grouped by PAYER, SRC_FILE_NM, DOS_THRU_YYYYMM"/>
  </r>
  <r>
    <x v="0"/>
    <s v="MHS_MA_MAO4_202604_20260502.txt"/>
    <x v="32"/>
    <x v="4"/>
    <n v="174"/>
    <n v="17070421"/>
    <n v="0"/>
    <s v="DQS_MAO04_FILE_000_B"/>
    <s v="RECORD COUNT by MBR_ID, DOS_THRU_DT, DX_CD Grain grouped by PAYER, SRC_FILE_NM, DOS_THRU_YYYYMM"/>
  </r>
  <r>
    <x v="0"/>
    <s v="MHS_MA_MAO4_202604_20260502.txt"/>
    <x v="33"/>
    <x v="4"/>
    <n v="242"/>
    <n v="17070421"/>
    <n v="0"/>
    <s v="DQS_MAO04_FILE_000_B"/>
    <s v="RECORD COUNT by MBR_ID, DOS_THRU_DT, DX_CD Grain grouped by PAYER, SRC_FILE_NM, DOS_THRU_YYYYMM"/>
  </r>
  <r>
    <x v="0"/>
    <s v="MHS_MA_MAO4_202604_20260502.txt"/>
    <x v="34"/>
    <x v="4"/>
    <n v="351"/>
    <n v="17070421"/>
    <n v="0"/>
    <s v="DQS_MAO04_FILE_000_B"/>
    <s v="RECORD COUNT by MBR_ID, DOS_THRU_DT, DX_CD Grain grouped by PAYER, SRC_FILE_NM, DOS_THRU_YYYYMM"/>
  </r>
  <r>
    <x v="0"/>
    <s v="MHS_MA_MAO4_202604_20260502.txt"/>
    <x v="35"/>
    <x v="4"/>
    <n v="189"/>
    <n v="17070421"/>
    <n v="0"/>
    <s v="DQS_MAO04_FILE_000_B"/>
    <s v="RECORD COUNT by MBR_ID, DOS_THRU_DT, DX_CD Grain grouped by PAYER, SRC_FILE_NM, DOS_THRU_YYYYMM"/>
  </r>
  <r>
    <x v="0"/>
    <s v="MHS_MA_MAO4_202604_20260502.txt"/>
    <x v="36"/>
    <x v="4"/>
    <n v="94"/>
    <n v="17070421"/>
    <n v="0"/>
    <s v="DQS_MAO04_FILE_000_B"/>
    <s v="RECORD COUNT by MBR_ID, DOS_THRU_DT, DX_CD Grain grouped by PAYER, SRC_FILE_NM, DOS_THRU_YYYYMM"/>
  </r>
  <r>
    <x v="0"/>
    <s v="MHS_MA_MAO4_202604_20260502.txt"/>
    <x v="37"/>
    <x v="4"/>
    <n v="108"/>
    <n v="17070421"/>
    <n v="0"/>
    <s v="DQS_MAO04_FILE_000_B"/>
    <s v="RECORD COUNT by MBR_ID, DOS_THRU_DT, DX_CD Grain grouped by PAYER, SRC_FILE_NM, DOS_THRU_YYYYMM"/>
  </r>
  <r>
    <x v="0"/>
    <s v="MHS_MA_MAO4_202604_20260502.txt"/>
    <x v="38"/>
    <x v="4"/>
    <n v="144"/>
    <n v="17070421"/>
    <n v="0"/>
    <s v="DQS_MAO04_FILE_000_B"/>
    <s v="RECORD COUNT by MBR_ID, DOS_THRU_DT, DX_CD Grain grouped by PAYER, SRC_FILE_NM, DOS_THRU_YYYYMM"/>
  </r>
  <r>
    <x v="0"/>
    <s v="MHS_MA_MAO4_202604_20260502.txt"/>
    <x v="39"/>
    <x v="4"/>
    <n v="98"/>
    <n v="17070421"/>
    <n v="0"/>
    <s v="DQS_MAO04_FILE_000_B"/>
    <s v="RECORD COUNT by MBR_ID, DOS_THRU_DT, DX_CD Grain grouped by PAYER, SRC_FILE_NM, DOS_THRU_YYYYMM"/>
  </r>
  <r>
    <x v="0"/>
    <s v="MHS_MA_MAO4_202604_20260502.txt"/>
    <x v="40"/>
    <x v="4"/>
    <n v="14"/>
    <n v="17070421"/>
    <n v="0"/>
    <s v="DQS_MAO04_FILE_000_B"/>
    <s v="RECORD COUNT by MBR_ID, DOS_THRU_DT, DX_CD Grain grouped by PAYER, SRC_FILE_NM, DOS_THRU_YYYYMM"/>
  </r>
  <r>
    <x v="0"/>
    <s v="MHS_MA_MAO4_202604_20260502.txt"/>
    <x v="41"/>
    <x v="5"/>
    <n v="337"/>
    <n v="17070421"/>
    <n v="0"/>
    <s v="DQS_MAO04_FILE_000_B"/>
    <s v="RECORD COUNT by MBR_ID, DOS_THRU_DT, DX_CD Grain grouped by PAYER, SRC_FILE_NM, DOS_THRU_YYYYMM"/>
  </r>
  <r>
    <x v="0"/>
    <s v="MHS_MA_MAO4_202604_20260502.txt"/>
    <x v="42"/>
    <x v="5"/>
    <n v="224"/>
    <n v="17070421"/>
    <n v="0"/>
    <s v="DQS_MAO04_FILE_000_B"/>
    <s v="RECORD COUNT by MBR_ID, DOS_THRU_DT, DX_CD Grain grouped by PAYER, SRC_FILE_NM, DOS_THRU_YYYYMM"/>
  </r>
  <r>
    <x v="0"/>
    <s v="MHS_MA_MAO4_202604_20260502.txt"/>
    <x v="43"/>
    <x v="5"/>
    <n v="286"/>
    <n v="17070421"/>
    <n v="0"/>
    <s v="DQS_MAO04_FILE_000_B"/>
    <s v="RECORD COUNT by MBR_ID, DOS_THRU_DT, DX_CD Grain grouped by PAYER, SRC_FILE_NM, DOS_THRU_YYYYMM"/>
  </r>
  <r>
    <x v="0"/>
    <s v="MHS_MA_MAO4_202604_20260502.txt"/>
    <x v="44"/>
    <x v="5"/>
    <n v="150"/>
    <n v="17070421"/>
    <n v="0"/>
    <s v="DQS_MAO04_FILE_000_B"/>
    <s v="RECORD COUNT by MBR_ID, DOS_THRU_DT, DX_CD Grain grouped by PAYER, SRC_FILE_NM, DOS_THRU_YYYYMM"/>
  </r>
  <r>
    <x v="0"/>
    <s v="MHS_MA_MAO4_202604_20260502.txt"/>
    <x v="45"/>
    <x v="5"/>
    <n v="223"/>
    <n v="17070421"/>
    <n v="0"/>
    <s v="DQS_MAO04_FILE_000_B"/>
    <s v="RECORD COUNT by MBR_ID, DOS_THRU_DT, DX_CD Grain grouped by PAYER, SRC_FILE_NM, DOS_THRU_YYYYMM"/>
  </r>
  <r>
    <x v="0"/>
    <s v="MHS_MA_MAO4_202604_20260502.txt"/>
    <x v="46"/>
    <x v="5"/>
    <n v="183"/>
    <n v="17070421"/>
    <n v="0"/>
    <s v="DQS_MAO04_FILE_000_B"/>
    <s v="RECORD COUNT by MBR_ID, DOS_THRU_DT, DX_CD Grain grouped by PAYER, SRC_FILE_NM, DOS_THRU_YYYYMM"/>
  </r>
  <r>
    <x v="0"/>
    <s v="MHS_MA_MAO4_202604_20260502.txt"/>
    <x v="47"/>
    <x v="5"/>
    <n v="219"/>
    <n v="17070421"/>
    <n v="0"/>
    <s v="DQS_MAO04_FILE_000_B"/>
    <s v="RECORD COUNT by MBR_ID, DOS_THRU_DT, DX_CD Grain grouped by PAYER, SRC_FILE_NM, DOS_THRU_YYYYMM"/>
  </r>
  <r>
    <x v="0"/>
    <s v="MHS_MA_MAO4_202604_20260502.txt"/>
    <x v="48"/>
    <x v="5"/>
    <n v="255"/>
    <n v="17070421"/>
    <n v="0"/>
    <s v="DQS_MAO04_FILE_000_B"/>
    <s v="RECORD COUNT by MBR_ID, DOS_THRU_DT, DX_CD Grain grouped by PAYER, SRC_FILE_NM, DOS_THRU_YYYYMM"/>
  </r>
  <r>
    <x v="0"/>
    <s v="MHS_MA_MAO4_202604_20260502.txt"/>
    <x v="49"/>
    <x v="5"/>
    <n v="177"/>
    <n v="17070421"/>
    <n v="0"/>
    <s v="DQS_MAO04_FILE_000_B"/>
    <s v="RECORD COUNT by MBR_ID, DOS_THRU_DT, DX_CD Grain grouped by PAYER, SRC_FILE_NM, DOS_THRU_YYYYMM"/>
  </r>
  <r>
    <x v="0"/>
    <s v="MHS_MA_MAO4_202604_20260502.txt"/>
    <x v="50"/>
    <x v="5"/>
    <n v="183"/>
    <n v="17070421"/>
    <n v="0"/>
    <s v="DQS_MAO04_FILE_000_B"/>
    <s v="RECORD COUNT by MBR_ID, DOS_THRU_DT, DX_CD Grain grouped by PAYER, SRC_FILE_NM, DOS_THRU_YYYYMM"/>
  </r>
  <r>
    <x v="0"/>
    <s v="MHS_MA_MAO4_202604_20260502.txt"/>
    <x v="51"/>
    <x v="5"/>
    <n v="200"/>
    <n v="17070421"/>
    <n v="0"/>
    <s v="DQS_MAO04_FILE_000_B"/>
    <s v="RECORD COUNT by MBR_ID, DOS_THRU_DT, DX_CD Grain grouped by PAYER, SRC_FILE_NM, DOS_THRU_YYYYMM"/>
  </r>
  <r>
    <x v="0"/>
    <s v="MHS_MA_MAO4_202604_20260502.txt"/>
    <x v="52"/>
    <x v="5"/>
    <n v="294"/>
    <n v="17070421"/>
    <n v="0"/>
    <s v="DQS_MAO04_FILE_000_B"/>
    <s v="RECORD COUNT by MBR_ID, DOS_THRU_DT, DX_CD Grain grouped by PAYER, SRC_FILE_NM, DOS_THRU_YYYYMM"/>
  </r>
  <r>
    <x v="0"/>
    <s v="MHS_MA_MAO4_202604_20260502.txt"/>
    <x v="53"/>
    <x v="6"/>
    <n v="3320"/>
    <n v="17070421"/>
    <n v="0.02"/>
    <s v="DQS_MAO04_FILE_000_B"/>
    <s v="RECORD COUNT by MBR_ID, DOS_THRU_DT, DX_CD Grain grouped by PAYER, SRC_FILE_NM, DOS_THRU_YYYYMM"/>
  </r>
  <r>
    <x v="0"/>
    <s v="MHS_MA_MAO4_202604_20260502.txt"/>
    <x v="54"/>
    <x v="6"/>
    <n v="3411"/>
    <n v="17070421"/>
    <n v="0.02"/>
    <s v="DQS_MAO04_FILE_000_B"/>
    <s v="RECORD COUNT by MBR_ID, DOS_THRU_DT, DX_CD Grain grouped by PAYER, SRC_FILE_NM, DOS_THRU_YYYYMM"/>
  </r>
  <r>
    <x v="0"/>
    <s v="MHS_MA_MAO4_202604_20260502.txt"/>
    <x v="55"/>
    <x v="6"/>
    <n v="3659"/>
    <n v="17070421"/>
    <n v="0.02"/>
    <s v="DQS_MAO04_FILE_000_B"/>
    <s v="RECORD COUNT by MBR_ID, DOS_THRU_DT, DX_CD Grain grouped by PAYER, SRC_FILE_NM, DOS_THRU_YYYYMM"/>
  </r>
  <r>
    <x v="0"/>
    <s v="MHS_MA_MAO4_202604_20260502.txt"/>
    <x v="56"/>
    <x v="6"/>
    <n v="3655"/>
    <n v="17070421"/>
    <n v="0.02"/>
    <s v="DQS_MAO04_FILE_000_B"/>
    <s v="RECORD COUNT by MBR_ID, DOS_THRU_DT, DX_CD Grain grouped by PAYER, SRC_FILE_NM, DOS_THRU_YYYYMM"/>
  </r>
  <r>
    <x v="0"/>
    <s v="MHS_MA_MAO4_202604_20260502.txt"/>
    <x v="57"/>
    <x v="6"/>
    <n v="3342"/>
    <n v="17070421"/>
    <n v="0.02"/>
    <s v="DQS_MAO04_FILE_000_B"/>
    <s v="RECORD COUNT by MBR_ID, DOS_THRU_DT, DX_CD Grain grouped by PAYER, SRC_FILE_NM, DOS_THRU_YYYYMM"/>
  </r>
  <r>
    <x v="0"/>
    <s v="MHS_MA_MAO4_202604_20260502.txt"/>
    <x v="58"/>
    <x v="6"/>
    <n v="4382"/>
    <n v="17070421"/>
    <n v="0.03"/>
    <s v="DQS_MAO04_FILE_000_B"/>
    <s v="RECORD COUNT by MBR_ID, DOS_THRU_DT, DX_CD Grain grouped by PAYER, SRC_FILE_NM, DOS_THRU_YYYYMM"/>
  </r>
  <r>
    <x v="0"/>
    <s v="MHS_MA_MAO4_202604_20260502.txt"/>
    <x v="59"/>
    <x v="6"/>
    <n v="12475"/>
    <n v="17070421"/>
    <n v="7.0000000000000007E-2"/>
    <s v="DQS_MAO04_FILE_000_B"/>
    <s v="RECORD COUNT by MBR_ID, DOS_THRU_DT, DX_CD Grain grouped by PAYER, SRC_FILE_NM, DOS_THRU_YYYYMM"/>
  </r>
  <r>
    <x v="0"/>
    <s v="MHS_MA_MAO4_202604_20260502.txt"/>
    <x v="60"/>
    <x v="6"/>
    <n v="13782"/>
    <n v="17070421"/>
    <n v="0.08"/>
    <s v="DQS_MAO04_FILE_000_B"/>
    <s v="RECORD COUNT by MBR_ID, DOS_THRU_DT, DX_CD Grain grouped by PAYER, SRC_FILE_NM, DOS_THRU_YYYYMM"/>
  </r>
  <r>
    <x v="0"/>
    <s v="MHS_MA_MAO4_202604_20260502.txt"/>
    <x v="61"/>
    <x v="6"/>
    <n v="14725"/>
    <n v="17070421"/>
    <n v="0.09"/>
    <s v="DQS_MAO04_FILE_000_B"/>
    <s v="RECORD COUNT by MBR_ID, DOS_THRU_DT, DX_CD Grain grouped by PAYER, SRC_FILE_NM, DOS_THRU_YYYYMM"/>
  </r>
  <r>
    <x v="0"/>
    <s v="MHS_MA_MAO4_202604_20260502.txt"/>
    <x v="62"/>
    <x v="6"/>
    <n v="13776"/>
    <n v="17070421"/>
    <n v="0.08"/>
    <s v="DQS_MAO04_FILE_000_B"/>
    <s v="RECORD COUNT by MBR_ID, DOS_THRU_DT, DX_CD Grain grouped by PAYER, SRC_FILE_NM, DOS_THRU_YYYYMM"/>
  </r>
  <r>
    <x v="0"/>
    <s v="MHS_MA_MAO4_202604_20260502.txt"/>
    <x v="63"/>
    <x v="6"/>
    <n v="14944"/>
    <n v="17070421"/>
    <n v="0.09"/>
    <s v="DQS_MAO04_FILE_000_B"/>
    <s v="RECORD COUNT by MBR_ID, DOS_THRU_DT, DX_CD Grain grouped by PAYER, SRC_FILE_NM, DOS_THRU_YYYYMM"/>
  </r>
  <r>
    <x v="0"/>
    <s v="MHS_MA_MAO4_202604_20260502.txt"/>
    <x v="64"/>
    <x v="6"/>
    <n v="15576"/>
    <n v="17070421"/>
    <n v="0.09"/>
    <s v="DQS_MAO04_FILE_000_B"/>
    <s v="RECORD COUNT by MBR_ID, DOS_THRU_DT, DX_CD Grain grouped by PAYER, SRC_FILE_NM, DOS_THRU_YYYYMM"/>
  </r>
  <r>
    <x v="0"/>
    <s v="MHS_MA_MAO4_202604_20260502.txt"/>
    <x v="65"/>
    <x v="7"/>
    <n v="29734"/>
    <n v="17070421"/>
    <n v="0.17"/>
    <s v="DQS_MAO04_FILE_000_B"/>
    <s v="RECORD COUNT by MBR_ID, DOS_THRU_DT, DX_CD Grain grouped by PAYER, SRC_FILE_NM, DOS_THRU_YYYYMM"/>
  </r>
  <r>
    <x v="0"/>
    <s v="MHS_MA_MAO4_202604_20260502.txt"/>
    <x v="66"/>
    <x v="7"/>
    <n v="24694"/>
    <n v="17070421"/>
    <n v="0.14000000000000001"/>
    <s v="DQS_MAO04_FILE_000_B"/>
    <s v="RECORD COUNT by MBR_ID, DOS_THRU_DT, DX_CD Grain grouped by PAYER, SRC_FILE_NM, DOS_THRU_YYYYMM"/>
  </r>
  <r>
    <x v="0"/>
    <s v="MHS_MA_MAO4_202604_20260502.txt"/>
    <x v="67"/>
    <x v="7"/>
    <n v="24694"/>
    <n v="17070421"/>
    <n v="0.14000000000000001"/>
    <s v="DQS_MAO04_FILE_000_B"/>
    <s v="RECORD COUNT by MBR_ID, DOS_THRU_DT, DX_CD Grain grouped by PAYER, SRC_FILE_NM, DOS_THRU_YYYYMM"/>
  </r>
  <r>
    <x v="0"/>
    <s v="MHS_MA_MAO4_202604_20260502.txt"/>
    <x v="68"/>
    <x v="7"/>
    <n v="23743"/>
    <n v="17070421"/>
    <n v="0.14000000000000001"/>
    <s v="DQS_MAO04_FILE_000_B"/>
    <s v="RECORD COUNT by MBR_ID, DOS_THRU_DT, DX_CD Grain grouped by PAYER, SRC_FILE_NM, DOS_THRU_YYYYMM"/>
  </r>
  <r>
    <x v="0"/>
    <s v="MHS_MA_MAO4_202604_20260502.txt"/>
    <x v="69"/>
    <x v="7"/>
    <n v="23252"/>
    <n v="17070421"/>
    <n v="0.14000000000000001"/>
    <s v="DQS_MAO04_FILE_000_B"/>
    <s v="RECORD COUNT by MBR_ID, DOS_THRU_DT, DX_CD Grain grouped by PAYER, SRC_FILE_NM, DOS_THRU_YYYYMM"/>
  </r>
  <r>
    <x v="0"/>
    <s v="MHS_MA_MAO4_202604_20260502.txt"/>
    <x v="70"/>
    <x v="7"/>
    <n v="25349"/>
    <n v="17070421"/>
    <n v="0.15"/>
    <s v="DQS_MAO04_FILE_000_B"/>
    <s v="RECORD COUNT by MBR_ID, DOS_THRU_DT, DX_CD Grain grouped by PAYER, SRC_FILE_NM, DOS_THRU_YYYYMM"/>
  </r>
  <r>
    <x v="0"/>
    <s v="MHS_MA_MAO4_202604_20260502.txt"/>
    <x v="71"/>
    <x v="7"/>
    <n v="28942"/>
    <n v="17070421"/>
    <n v="0.17"/>
    <s v="DQS_MAO04_FILE_000_B"/>
    <s v="RECORD COUNT by MBR_ID, DOS_THRU_DT, DX_CD Grain grouped by PAYER, SRC_FILE_NM, DOS_THRU_YYYYMM"/>
  </r>
  <r>
    <x v="0"/>
    <s v="MHS_MA_MAO4_202604_20260502.txt"/>
    <x v="72"/>
    <x v="7"/>
    <n v="32162"/>
    <n v="17070421"/>
    <n v="0.19"/>
    <s v="DQS_MAO04_FILE_000_B"/>
    <s v="RECORD COUNT by MBR_ID, DOS_THRU_DT, DX_CD Grain grouped by PAYER, SRC_FILE_NM, DOS_THRU_YYYYMM"/>
  </r>
  <r>
    <x v="0"/>
    <s v="MHS_MA_MAO4_202604_20260502.txt"/>
    <x v="73"/>
    <x v="7"/>
    <n v="29899"/>
    <n v="17070421"/>
    <n v="0.18"/>
    <s v="DQS_MAO04_FILE_000_B"/>
    <s v="RECORD COUNT by MBR_ID, DOS_THRU_DT, DX_CD Grain grouped by PAYER, SRC_FILE_NM, DOS_THRU_YYYYMM"/>
  </r>
  <r>
    <x v="0"/>
    <s v="MHS_MA_MAO4_202604_20260502.txt"/>
    <x v="74"/>
    <x v="7"/>
    <n v="30155"/>
    <n v="17070421"/>
    <n v="0.18"/>
    <s v="DQS_MAO04_FILE_000_B"/>
    <s v="RECORD COUNT by MBR_ID, DOS_THRU_DT, DX_CD Grain grouped by PAYER, SRC_FILE_NM, DOS_THRU_YYYYMM"/>
  </r>
  <r>
    <x v="0"/>
    <s v="MHS_MA_MAO4_202604_20260502.txt"/>
    <x v="75"/>
    <x v="7"/>
    <n v="30291"/>
    <n v="17070421"/>
    <n v="0.18"/>
    <s v="DQS_MAO04_FILE_000_B"/>
    <s v="RECORD COUNT by MBR_ID, DOS_THRU_DT, DX_CD Grain grouped by PAYER, SRC_FILE_NM, DOS_THRU_YYYYMM"/>
  </r>
  <r>
    <x v="0"/>
    <s v="MHS_MA_MAO4_202604_20260502.txt"/>
    <x v="76"/>
    <x v="7"/>
    <n v="35532"/>
    <n v="17070421"/>
    <n v="0.21"/>
    <s v="DQS_MAO04_FILE_000_B"/>
    <s v="RECORD COUNT by MBR_ID, DOS_THRU_DT, DX_CD Grain grouped by PAYER, SRC_FILE_NM, DOS_THRU_YYYYMM"/>
  </r>
  <r>
    <x v="0"/>
    <s v="MHS_MA_MAO4_202604_20260502.txt"/>
    <x v="77"/>
    <x v="8"/>
    <n v="140000"/>
    <n v="17070421"/>
    <n v="0.82"/>
    <s v="DQS_MAO04_FILE_000_B"/>
    <s v="RECORD COUNT by MBR_ID, DOS_THRU_DT, DX_CD Grain grouped by PAYER, SRC_FILE_NM, DOS_THRU_YYYYMM"/>
  </r>
  <r>
    <x v="0"/>
    <s v="MHS_MA_MAO4_202604_20260502.txt"/>
    <x v="78"/>
    <x v="8"/>
    <n v="137202"/>
    <n v="17070421"/>
    <n v="0.8"/>
    <s v="DQS_MAO04_FILE_000_B"/>
    <s v="RECORD COUNT by MBR_ID, DOS_THRU_DT, DX_CD Grain grouped by PAYER, SRC_FILE_NM, DOS_THRU_YYYYMM"/>
  </r>
  <r>
    <x v="0"/>
    <s v="MHS_MA_MAO4_202604_20260502.txt"/>
    <x v="79"/>
    <x v="8"/>
    <n v="151903"/>
    <n v="17070421"/>
    <n v="0.89"/>
    <s v="DQS_MAO04_FILE_000_B"/>
    <s v="RECORD COUNT by MBR_ID, DOS_THRU_DT, DX_CD Grain grouped by PAYER, SRC_FILE_NM, DOS_THRU_YYYYMM"/>
  </r>
  <r>
    <x v="0"/>
    <s v="MHS_MA_MAO4_202604_20260502.txt"/>
    <x v="80"/>
    <x v="8"/>
    <n v="151026"/>
    <n v="17070421"/>
    <n v="0.88"/>
    <s v="DQS_MAO04_FILE_000_B"/>
    <s v="RECORD COUNT by MBR_ID, DOS_THRU_DT, DX_CD Grain grouped by PAYER, SRC_FILE_NM, DOS_THRU_YYYYMM"/>
  </r>
  <r>
    <x v="0"/>
    <s v="MHS_MA_MAO4_202604_20260502.txt"/>
    <x v="81"/>
    <x v="8"/>
    <n v="232363"/>
    <n v="17070421"/>
    <n v="1.36"/>
    <s v="DQS_MAO04_FILE_000_B"/>
    <s v="RECORD COUNT by MBR_ID, DOS_THRU_DT, DX_CD Grain grouped by PAYER, SRC_FILE_NM, DOS_THRU_YYYYMM"/>
  </r>
  <r>
    <x v="0"/>
    <s v="MHS_MA_MAO4_202604_20260502.txt"/>
    <x v="82"/>
    <x v="8"/>
    <n v="240564"/>
    <n v="17070421"/>
    <n v="1.41"/>
    <s v="DQS_MAO04_FILE_000_B"/>
    <s v="RECORD COUNT by MBR_ID, DOS_THRU_DT, DX_CD Grain grouped by PAYER, SRC_FILE_NM, DOS_THRU_YYYYMM"/>
  </r>
  <r>
    <x v="0"/>
    <s v="MHS_MA_MAO4_202604_20260502.txt"/>
    <x v="83"/>
    <x v="8"/>
    <n v="223892"/>
    <n v="17070421"/>
    <n v="1.31"/>
    <s v="DQS_MAO04_FILE_000_B"/>
    <s v="RECORD COUNT by MBR_ID, DOS_THRU_DT, DX_CD Grain grouped by PAYER, SRC_FILE_NM, DOS_THRU_YYYYMM"/>
  </r>
  <r>
    <x v="0"/>
    <s v="MHS_MA_MAO4_202604_20260502.txt"/>
    <x v="84"/>
    <x v="8"/>
    <n v="256173"/>
    <n v="17070421"/>
    <n v="1.5"/>
    <s v="DQS_MAO04_FILE_000_B"/>
    <s v="RECORD COUNT by MBR_ID, DOS_THRU_DT, DX_CD Grain grouped by PAYER, SRC_FILE_NM, DOS_THRU_YYYYMM"/>
  </r>
  <r>
    <x v="0"/>
    <s v="MHS_MA_MAO4_202604_20260502.txt"/>
    <x v="85"/>
    <x v="8"/>
    <n v="241061"/>
    <n v="17070421"/>
    <n v="1.41"/>
    <s v="DQS_MAO04_FILE_000_B"/>
    <s v="RECORD COUNT by MBR_ID, DOS_THRU_DT, DX_CD Grain grouped by PAYER, SRC_FILE_NM, DOS_THRU_YYYYMM"/>
  </r>
  <r>
    <x v="0"/>
    <s v="MHS_MA_MAO4_202604_20260502.txt"/>
    <x v="86"/>
    <x v="8"/>
    <n v="262275"/>
    <n v="17070421"/>
    <n v="1.54"/>
    <s v="DQS_MAO04_FILE_000_B"/>
    <s v="RECORD COUNT by MBR_ID, DOS_THRU_DT, DX_CD Grain grouped by PAYER, SRC_FILE_NM, DOS_THRU_YYYYMM"/>
  </r>
  <r>
    <x v="0"/>
    <s v="MHS_MA_MAO4_202604_20260502.txt"/>
    <x v="87"/>
    <x v="8"/>
    <n v="247101"/>
    <n v="17070421"/>
    <n v="1.45"/>
    <s v="DQS_MAO04_FILE_000_B"/>
    <s v="RECORD COUNT by MBR_ID, DOS_THRU_DT, DX_CD Grain grouped by PAYER, SRC_FILE_NM, DOS_THRU_YYYYMM"/>
  </r>
  <r>
    <x v="0"/>
    <s v="MHS_MA_MAO4_202604_20260502.txt"/>
    <x v="88"/>
    <x v="8"/>
    <n v="233185"/>
    <n v="17070421"/>
    <n v="1.37"/>
    <s v="DQS_MAO04_FILE_000_B"/>
    <s v="RECORD COUNT by MBR_ID, DOS_THRU_DT, DX_CD Grain grouped by PAYER, SRC_FILE_NM, DOS_THRU_YYYYMM"/>
  </r>
  <r>
    <x v="0"/>
    <s v="MHS_MA_MAO4_202604_20260502.txt"/>
    <x v="89"/>
    <x v="9"/>
    <n v="529312"/>
    <n v="17070421"/>
    <n v="3.1"/>
    <s v="DQS_MAO04_FILE_000_B"/>
    <s v="RECORD COUNT by MBR_ID, DOS_THRU_DT, DX_CD Grain grouped by PAYER, SRC_FILE_NM, DOS_THRU_YYYYMM"/>
  </r>
  <r>
    <x v="0"/>
    <s v="MHS_MA_MAO4_202604_20260502.txt"/>
    <x v="97"/>
    <x v="9"/>
    <n v="577480"/>
    <n v="17070421"/>
    <n v="3.38"/>
    <s v="DQS_MAO04_FILE_000_B"/>
    <s v="RECORD COUNT by MBR_ID, DOS_THRU_DT, DX_CD Grain grouped by PAYER, SRC_FILE_NM, DOS_THRU_YYYYMM"/>
  </r>
  <r>
    <x v="0"/>
    <s v="MHS_MA_MAO4_202604_20260502.txt"/>
    <x v="98"/>
    <x v="9"/>
    <n v="603946"/>
    <n v="17070421"/>
    <n v="3.54"/>
    <s v="DQS_MAO04_FILE_000_B"/>
    <s v="RECORD COUNT by MBR_ID, DOS_THRU_DT, DX_CD Grain grouped by PAYER, SRC_FILE_NM, DOS_THRU_YYYYMM"/>
  </r>
  <r>
    <x v="0"/>
    <s v="MHS_MA_MAO4_202604_20260502.txt"/>
    <x v="99"/>
    <x v="9"/>
    <n v="628758"/>
    <n v="17070421"/>
    <n v="3.68"/>
    <s v="DQS_MAO04_FILE_000_B"/>
    <s v="RECORD COUNT by MBR_ID, DOS_THRU_DT, DX_CD Grain grouped by PAYER, SRC_FILE_NM, DOS_THRU_YYYYMM"/>
  </r>
  <r>
    <x v="0"/>
    <s v="MHS_MA_MAO4_202604_20260502.txt"/>
    <x v="100"/>
    <x v="9"/>
    <n v="607263"/>
    <n v="17070421"/>
    <n v="3.56"/>
    <s v="DQS_MAO04_FILE_000_B"/>
    <s v="RECORD COUNT by MBR_ID, DOS_THRU_DT, DX_CD Grain grouped by PAYER, SRC_FILE_NM, DOS_THRU_YYYYMM"/>
  </r>
  <r>
    <x v="0"/>
    <s v="MHS_MA_MAO4_202604_20260502.txt"/>
    <x v="102"/>
    <x v="9"/>
    <n v="576571"/>
    <n v="17070421"/>
    <n v="3.38"/>
    <s v="DQS_MAO04_FILE_000_B"/>
    <s v="RECORD COUNT by MBR_ID, DOS_THRU_DT, DX_CD Grain grouped by PAYER, SRC_FILE_NM, DOS_THRU_YYYYMM"/>
  </r>
  <r>
    <x v="0"/>
    <s v="MHS_MA_MAO4_202604_20260502.txt"/>
    <x v="103"/>
    <x v="9"/>
    <n v="591831"/>
    <n v="17070421"/>
    <n v="3.47"/>
    <s v="DQS_MAO04_FILE_000_B"/>
    <s v="RECORD COUNT by MBR_ID, DOS_THRU_DT, DX_CD Grain grouped by PAYER, SRC_FILE_NM, DOS_THRU_YYYYMM"/>
  </r>
  <r>
    <x v="0"/>
    <s v="MHS_MA_MAO4_202604_20260502.txt"/>
    <x v="105"/>
    <x v="9"/>
    <n v="601476"/>
    <n v="17070421"/>
    <n v="3.52"/>
    <s v="DQS_MAO04_FILE_000_B"/>
    <s v="RECORD COUNT by MBR_ID, DOS_THRU_DT, DX_CD Grain grouped by PAYER, SRC_FILE_NM, DOS_THRU_YYYYMM"/>
  </r>
  <r>
    <x v="0"/>
    <s v="MHS_MA_MAO4_202604_20260502.txt"/>
    <x v="106"/>
    <x v="9"/>
    <n v="628452"/>
    <n v="17070421"/>
    <n v="3.68"/>
    <s v="DQS_MAO04_FILE_000_B"/>
    <s v="RECORD COUNT by MBR_ID, DOS_THRU_DT, DX_CD Grain grouped by PAYER, SRC_FILE_NM, DOS_THRU_YYYYMM"/>
  </r>
  <r>
    <x v="0"/>
    <s v="MHS_MA_MAO4_202604_20260502.txt"/>
    <x v="107"/>
    <x v="9"/>
    <n v="718980"/>
    <n v="17070421"/>
    <n v="4.21"/>
    <s v="DQS_MAO04_FILE_000_B"/>
    <s v="RECORD COUNT by MBR_ID, DOS_THRU_DT, DX_CD Grain grouped by PAYER, SRC_FILE_NM, DOS_THRU_YYYYMM"/>
  </r>
  <r>
    <x v="0"/>
    <s v="MHS_MA_MAO4_202604_20260502.txt"/>
    <x v="108"/>
    <x v="9"/>
    <n v="637549"/>
    <n v="17070421"/>
    <n v="3.73"/>
    <s v="DQS_MAO04_FILE_000_B"/>
    <s v="RECORD COUNT by MBR_ID, DOS_THRU_DT, DX_CD Grain grouped by PAYER, SRC_FILE_NM, DOS_THRU_YYYYMM"/>
  </r>
  <r>
    <x v="0"/>
    <s v="MHS_MA_MAO4_202604_20260502.txt"/>
    <x v="109"/>
    <x v="9"/>
    <n v="676707"/>
    <n v="17070421"/>
    <n v="3.96"/>
    <s v="DQS_MAO04_FILE_000_B"/>
    <s v="RECORD COUNT by MBR_ID, DOS_THRU_DT, DX_CD Grain grouped by PAYER, SRC_FILE_NM, DOS_THRU_YYYYMM"/>
  </r>
  <r>
    <x v="0"/>
    <s v="MHS_MA_MAO4_202604_20260502.txt"/>
    <x v="110"/>
    <x v="11"/>
    <n v="602119"/>
    <n v="17070421"/>
    <n v="3.53"/>
    <s v="DQS_MAO04_FILE_000_B"/>
    <s v="RECORD COUNT by MBR_ID, DOS_THRU_DT, DX_CD Grain grouped by PAYER, SRC_FILE_NM, DOS_THRU_YYYYMM"/>
  </r>
  <r>
    <x v="0"/>
    <s v="MHS_MA_MAO4_202604_20260502.txt"/>
    <x v="111"/>
    <x v="11"/>
    <n v="544450"/>
    <n v="17070421"/>
    <n v="3.19"/>
    <s v="DQS_MAO04_FILE_000_B"/>
    <s v="RECORD COUNT by MBR_ID, DOS_THRU_DT, DX_CD Grain grouped by PAYER, SRC_FILE_NM, DOS_THRU_YYYYMM"/>
  </r>
  <r>
    <x v="0"/>
    <s v="MHS_MA_MAO4_202604_20260502.txt"/>
    <x v="112"/>
    <x v="11"/>
    <n v="634121"/>
    <n v="17070421"/>
    <n v="3.71"/>
    <s v="DQS_MAO04_FILE_000_B"/>
    <s v="RECORD COUNT by MBR_ID, DOS_THRU_DT, DX_CD Grain grouped by PAYER, SRC_FILE_NM, DOS_THRU_YYYYMM"/>
  </r>
  <r>
    <x v="0"/>
    <s v="MHS_MA_MAO4_202604_20260502.txt"/>
    <x v="113"/>
    <x v="11"/>
    <n v="579410"/>
    <n v="17070421"/>
    <n v="3.39"/>
    <s v="DQS_MAO04_FILE_000_B"/>
    <s v="RECORD COUNT by MBR_ID, DOS_THRU_DT, DX_CD Grain grouped by PAYER, SRC_FILE_NM, DOS_THRU_YYYYMM"/>
  </r>
  <r>
    <x v="0"/>
    <s v="MHS_MA_MAO4_202604_20260502.txt"/>
    <x v="114"/>
    <x v="11"/>
    <n v="510896"/>
    <n v="17070421"/>
    <n v="2.99"/>
    <s v="DQS_MAO04_FILE_000_B"/>
    <s v="RECORD COUNT by MBR_ID, DOS_THRU_DT, DX_CD Grain grouped by PAYER, SRC_FILE_NM, DOS_THRU_YYYYMM"/>
  </r>
  <r>
    <x v="0"/>
    <s v="MHS_MA_MAO4_202604_20260502.txt"/>
    <x v="115"/>
    <x v="11"/>
    <n v="530273"/>
    <n v="17070421"/>
    <n v="3.11"/>
    <s v="DQS_MAO04_FILE_000_B"/>
    <s v="RECORD COUNT by MBR_ID, DOS_THRU_DT, DX_CD Grain grouped by PAYER, SRC_FILE_NM, DOS_THRU_YYYYMM"/>
  </r>
  <r>
    <x v="0"/>
    <s v="MHS_MA_MAO4_202604_20260502.txt"/>
    <x v="116"/>
    <x v="11"/>
    <n v="485233"/>
    <n v="17070421"/>
    <n v="2.84"/>
    <s v="DQS_MAO04_FILE_000_B"/>
    <s v="RECORD COUNT by MBR_ID, DOS_THRU_DT, DX_CD Grain grouped by PAYER, SRC_FILE_NM, DOS_THRU_YYYYMM"/>
  </r>
  <r>
    <x v="0"/>
    <s v="MHS_MA_MAO4_202604_20260502.txt"/>
    <x v="117"/>
    <x v="11"/>
    <n v="450790"/>
    <n v="17070421"/>
    <n v="2.64"/>
    <s v="DQS_MAO04_FILE_000_B"/>
    <s v="RECORD COUNT by MBR_ID, DOS_THRU_DT, DX_CD Grain grouped by PAYER, SRC_FILE_NM, DOS_THRU_YYYYMM"/>
  </r>
  <r>
    <x v="0"/>
    <s v="MHS_MA_MAO4_202604_20260502.txt"/>
    <x v="118"/>
    <x v="11"/>
    <n v="473614"/>
    <n v="17070421"/>
    <n v="2.77"/>
    <s v="DQS_MAO04_FILE_000_B"/>
    <s v="RECORD COUNT by MBR_ID, DOS_THRU_DT, DX_CD Grain grouped by PAYER, SRC_FILE_NM, DOS_THRU_YYYYMM"/>
  </r>
  <r>
    <x v="0"/>
    <s v="MHS_MA_MAO4_202604_20260502.txt"/>
    <x v="119"/>
    <x v="11"/>
    <n v="493740"/>
    <n v="17070421"/>
    <n v="2.89"/>
    <s v="DQS_MAO04_FILE_000_B"/>
    <s v="RECORD COUNT by MBR_ID, DOS_THRU_DT, DX_CD Grain grouped by PAYER, SRC_FILE_NM, DOS_THRU_YYYYMM"/>
  </r>
  <r>
    <x v="0"/>
    <s v="MHS_MA_MAO4_202604_20260502.txt"/>
    <x v="120"/>
    <x v="11"/>
    <n v="435445"/>
    <n v="17070421"/>
    <n v="2.5499999999999998"/>
    <s v="DQS_MAO04_FILE_000_B"/>
    <s v="RECORD COUNT by MBR_ID, DOS_THRU_DT, DX_CD Grain grouped by PAYER, SRC_FILE_NM, DOS_THRU_YYYYMM"/>
  </r>
  <r>
    <x v="0"/>
    <s v="MHS_MA_MAO4_202604_20260502.txt"/>
    <x v="121"/>
    <x v="11"/>
    <n v="413370"/>
    <n v="17070421"/>
    <n v="2.42"/>
    <s v="DQS_MAO04_FILE_000_B"/>
    <s v="RECORD COUNT by MBR_ID, DOS_THRU_DT, DX_CD Grain grouped by PAYER, SRC_FILE_NM, DOS_THRU_YYYYMM"/>
  </r>
  <r>
    <x v="0"/>
    <s v="MHS_MA_MAO4_202604_20260502.txt"/>
    <x v="122"/>
    <x v="12"/>
    <n v="283147"/>
    <n v="17070421"/>
    <n v="1.66"/>
    <s v="DQS_MAO04_FILE_000_B"/>
    <s v="RECORD COUNT by MBR_ID, DOS_THRU_DT, DX_CD Grain grouped by PAYER, SRC_FILE_NM, DOS_THRU_YYYYMM"/>
  </r>
  <r>
    <x v="0"/>
    <s v="MHS_MA_MAO4_202604_20260502.txt"/>
    <x v="123"/>
    <x v="12"/>
    <n v="258102"/>
    <n v="17070421"/>
    <n v="1.51"/>
    <s v="DQS_MAO04_FILE_000_B"/>
    <s v="RECORD COUNT by MBR_ID, DOS_THRU_DT, DX_CD Grain grouped by PAYER, SRC_FILE_NM, DOS_THRU_YYYYMM"/>
  </r>
  <r>
    <x v="0"/>
    <s v="MHS_MA_MAO4_202604_20260502.txt"/>
    <x v="124"/>
    <x v="12"/>
    <n v="30610"/>
    <n v="17070421"/>
    <n v="0.18"/>
    <s v="DQS_MAO04_FILE_000_B"/>
    <s v="RECORD COUNT by MBR_ID, DOS_THRU_DT, DX_CD Grain grouped by PAYER, SRC_FILE_NM, DOS_THRU_YYYYMM"/>
  </r>
  <r>
    <x v="0"/>
    <s v="MHS_MA_MAO4_202605_20260602.txt"/>
    <x v="26"/>
    <x v="3"/>
    <n v="4"/>
    <n v="17369246"/>
    <n v="0"/>
    <s v="DQS_MAO04_FILE_000_B"/>
    <s v="RECORD COUNT by MBR_ID, DOS_THRU_DT, DX_CD Grain grouped by PAYER, SRC_FILE_NM, DOS_THRU_YYYYMM"/>
  </r>
  <r>
    <x v="0"/>
    <s v="MHS_MA_MAO4_202605_20260602.txt"/>
    <x v="29"/>
    <x v="4"/>
    <n v="127"/>
    <n v="17369246"/>
    <n v="0"/>
    <s v="DQS_MAO04_FILE_000_B"/>
    <s v="RECORD COUNT by MBR_ID, DOS_THRU_DT, DX_CD Grain grouped by PAYER, SRC_FILE_NM, DOS_THRU_YYYYMM"/>
  </r>
  <r>
    <x v="0"/>
    <s v="MHS_MA_MAO4_202605_20260602.txt"/>
    <x v="30"/>
    <x v="4"/>
    <n v="106"/>
    <n v="17369246"/>
    <n v="0"/>
    <s v="DQS_MAO04_FILE_000_B"/>
    <s v="RECORD COUNT by MBR_ID, DOS_THRU_DT, DX_CD Grain grouped by PAYER, SRC_FILE_NM, DOS_THRU_YYYYMM"/>
  </r>
  <r>
    <x v="0"/>
    <s v="MHS_MA_MAO4_202605_20260602.txt"/>
    <x v="31"/>
    <x v="4"/>
    <n v="170"/>
    <n v="17369246"/>
    <n v="0"/>
    <s v="DQS_MAO04_FILE_000_B"/>
    <s v="RECORD COUNT by MBR_ID, DOS_THRU_DT, DX_CD Grain grouped by PAYER, SRC_FILE_NM, DOS_THRU_YYYYMM"/>
  </r>
  <r>
    <x v="0"/>
    <s v="MHS_MA_MAO4_202605_20260602.txt"/>
    <x v="32"/>
    <x v="4"/>
    <n v="174"/>
    <n v="17369246"/>
    <n v="0"/>
    <s v="DQS_MAO04_FILE_000_B"/>
    <s v="RECORD COUNT by MBR_ID, DOS_THRU_DT, DX_CD Grain grouped by PAYER, SRC_FILE_NM, DOS_THRU_YYYYMM"/>
  </r>
  <r>
    <x v="0"/>
    <s v="MHS_MA_MAO4_202605_20260602.txt"/>
    <x v="33"/>
    <x v="4"/>
    <n v="242"/>
    <n v="17369246"/>
    <n v="0"/>
    <s v="DQS_MAO04_FILE_000_B"/>
    <s v="RECORD COUNT by MBR_ID, DOS_THRU_DT, DX_CD Grain grouped by PAYER, SRC_FILE_NM, DOS_THRU_YYYYMM"/>
  </r>
  <r>
    <x v="0"/>
    <s v="MHS_MA_MAO4_202605_20260602.txt"/>
    <x v="34"/>
    <x v="4"/>
    <n v="351"/>
    <n v="17369246"/>
    <n v="0"/>
    <s v="DQS_MAO04_FILE_000_B"/>
    <s v="RECORD COUNT by MBR_ID, DOS_THRU_DT, DX_CD Grain grouped by PAYER, SRC_FILE_NM, DOS_THRU_YYYYMM"/>
  </r>
  <r>
    <x v="0"/>
    <s v="MHS_MA_MAO4_202605_20260602.txt"/>
    <x v="35"/>
    <x v="4"/>
    <n v="189"/>
    <n v="17369246"/>
    <n v="0"/>
    <s v="DQS_MAO04_FILE_000_B"/>
    <s v="RECORD COUNT by MBR_ID, DOS_THRU_DT, DX_CD Grain grouped by PAYER, SRC_FILE_NM, DOS_THRU_YYYYMM"/>
  </r>
  <r>
    <x v="0"/>
    <s v="MHS_MA_MAO4_202605_20260602.txt"/>
    <x v="36"/>
    <x v="4"/>
    <n v="94"/>
    <n v="17369246"/>
    <n v="0"/>
    <s v="DQS_MAO04_FILE_000_B"/>
    <s v="RECORD COUNT by MBR_ID, DOS_THRU_DT, DX_CD Grain grouped by PAYER, SRC_FILE_NM, DOS_THRU_YYYYMM"/>
  </r>
  <r>
    <x v="0"/>
    <s v="MHS_MA_MAO4_202605_20260602.txt"/>
    <x v="37"/>
    <x v="4"/>
    <n v="108"/>
    <n v="17369246"/>
    <n v="0"/>
    <s v="DQS_MAO04_FILE_000_B"/>
    <s v="RECORD COUNT by MBR_ID, DOS_THRU_DT, DX_CD Grain grouped by PAYER, SRC_FILE_NM, DOS_THRU_YYYYMM"/>
  </r>
  <r>
    <x v="0"/>
    <s v="MHS_MA_MAO4_202605_20260602.txt"/>
    <x v="38"/>
    <x v="4"/>
    <n v="143"/>
    <n v="17369246"/>
    <n v="0"/>
    <s v="DQS_MAO04_FILE_000_B"/>
    <s v="RECORD COUNT by MBR_ID, DOS_THRU_DT, DX_CD Grain grouped by PAYER, SRC_FILE_NM, DOS_THRU_YYYYMM"/>
  </r>
  <r>
    <x v="0"/>
    <s v="MHS_MA_MAO4_202605_20260602.txt"/>
    <x v="39"/>
    <x v="4"/>
    <n v="98"/>
    <n v="17369246"/>
    <n v="0"/>
    <s v="DQS_MAO04_FILE_000_B"/>
    <s v="RECORD COUNT by MBR_ID, DOS_THRU_DT, DX_CD Grain grouped by PAYER, SRC_FILE_NM, DOS_THRU_YYYYMM"/>
  </r>
  <r>
    <x v="0"/>
    <s v="MHS_MA_MAO4_202605_20260602.txt"/>
    <x v="40"/>
    <x v="4"/>
    <n v="14"/>
    <n v="17369246"/>
    <n v="0"/>
    <s v="DQS_MAO04_FILE_000_B"/>
    <s v="RECORD COUNT by MBR_ID, DOS_THRU_DT, DX_CD Grain grouped by PAYER, SRC_FILE_NM, DOS_THRU_YYYYMM"/>
  </r>
  <r>
    <x v="0"/>
    <s v="MHS_MA_MAO4_202605_20260602.txt"/>
    <x v="41"/>
    <x v="5"/>
    <n v="326"/>
    <n v="17369246"/>
    <n v="0"/>
    <s v="DQS_MAO04_FILE_000_B"/>
    <s v="RECORD COUNT by MBR_ID, DOS_THRU_DT, DX_CD Grain grouped by PAYER, SRC_FILE_NM, DOS_THRU_YYYYMM"/>
  </r>
  <r>
    <x v="0"/>
    <s v="MHS_MA_MAO4_202605_20260602.txt"/>
    <x v="42"/>
    <x v="5"/>
    <n v="224"/>
    <n v="17369246"/>
    <n v="0"/>
    <s v="DQS_MAO04_FILE_000_B"/>
    <s v="RECORD COUNT by MBR_ID, DOS_THRU_DT, DX_CD Grain grouped by PAYER, SRC_FILE_NM, DOS_THRU_YYYYMM"/>
  </r>
  <r>
    <x v="0"/>
    <s v="MHS_MA_MAO4_202605_20260602.txt"/>
    <x v="43"/>
    <x v="5"/>
    <n v="280"/>
    <n v="17369246"/>
    <n v="0"/>
    <s v="DQS_MAO04_FILE_000_B"/>
    <s v="RECORD COUNT by MBR_ID, DOS_THRU_DT, DX_CD Grain grouped by PAYER, SRC_FILE_NM, DOS_THRU_YYYYMM"/>
  </r>
  <r>
    <x v="0"/>
    <s v="MHS_MA_MAO4_202605_20260602.txt"/>
    <x v="44"/>
    <x v="5"/>
    <n v="145"/>
    <n v="17369246"/>
    <n v="0"/>
    <s v="DQS_MAO04_FILE_000_B"/>
    <s v="RECORD COUNT by MBR_ID, DOS_THRU_DT, DX_CD Grain grouped by PAYER, SRC_FILE_NM, DOS_THRU_YYYYMM"/>
  </r>
  <r>
    <x v="0"/>
    <s v="MHS_MA_MAO4_202605_20260602.txt"/>
    <x v="45"/>
    <x v="5"/>
    <n v="223"/>
    <n v="17369246"/>
    <n v="0"/>
    <s v="DQS_MAO04_FILE_000_B"/>
    <s v="RECORD COUNT by MBR_ID, DOS_THRU_DT, DX_CD Grain grouped by PAYER, SRC_FILE_NM, DOS_THRU_YYYYMM"/>
  </r>
  <r>
    <x v="0"/>
    <s v="MHS_MA_MAO4_202605_20260602.txt"/>
    <x v="46"/>
    <x v="5"/>
    <n v="183"/>
    <n v="17369246"/>
    <n v="0"/>
    <s v="DQS_MAO04_FILE_000_B"/>
    <s v="RECORD COUNT by MBR_ID, DOS_THRU_DT, DX_CD Grain grouped by PAYER, SRC_FILE_NM, DOS_THRU_YYYYMM"/>
  </r>
  <r>
    <x v="0"/>
    <s v="MHS_MA_MAO4_202605_20260602.txt"/>
    <x v="47"/>
    <x v="5"/>
    <n v="203"/>
    <n v="17369246"/>
    <n v="0"/>
    <s v="DQS_MAO04_FILE_000_B"/>
    <s v="RECORD COUNT by MBR_ID, DOS_THRU_DT, DX_CD Grain grouped by PAYER, SRC_FILE_NM, DOS_THRU_YYYYMM"/>
  </r>
  <r>
    <x v="0"/>
    <s v="MHS_MA_MAO4_202605_20260602.txt"/>
    <x v="48"/>
    <x v="5"/>
    <n v="225"/>
    <n v="17369246"/>
    <n v="0"/>
    <s v="DQS_MAO04_FILE_000_B"/>
    <s v="RECORD COUNT by MBR_ID, DOS_THRU_DT, DX_CD Grain grouped by PAYER, SRC_FILE_NM, DOS_THRU_YYYYMM"/>
  </r>
  <r>
    <x v="0"/>
    <s v="MHS_MA_MAO4_202605_20260602.txt"/>
    <x v="49"/>
    <x v="5"/>
    <n v="158"/>
    <n v="17369246"/>
    <n v="0"/>
    <s v="DQS_MAO04_FILE_000_B"/>
    <s v="RECORD COUNT by MBR_ID, DOS_THRU_DT, DX_CD Grain grouped by PAYER, SRC_FILE_NM, DOS_THRU_YYYYMM"/>
  </r>
  <r>
    <x v="0"/>
    <s v="MHS_MA_MAO4_202605_20260602.txt"/>
    <x v="50"/>
    <x v="5"/>
    <n v="164"/>
    <n v="17369246"/>
    <n v="0"/>
    <s v="DQS_MAO04_FILE_000_B"/>
    <s v="RECORD COUNT by MBR_ID, DOS_THRU_DT, DX_CD Grain grouped by PAYER, SRC_FILE_NM, DOS_THRU_YYYYMM"/>
  </r>
  <r>
    <x v="0"/>
    <s v="MHS_MA_MAO4_202605_20260602.txt"/>
    <x v="51"/>
    <x v="5"/>
    <n v="199"/>
    <n v="17369246"/>
    <n v="0"/>
    <s v="DQS_MAO04_FILE_000_B"/>
    <s v="RECORD COUNT by MBR_ID, DOS_THRU_DT, DX_CD Grain grouped by PAYER, SRC_FILE_NM, DOS_THRU_YYYYMM"/>
  </r>
  <r>
    <x v="0"/>
    <s v="MHS_MA_MAO4_202605_20260602.txt"/>
    <x v="52"/>
    <x v="5"/>
    <n v="281"/>
    <n v="17369246"/>
    <n v="0"/>
    <s v="DQS_MAO04_FILE_000_B"/>
    <s v="RECORD COUNT by MBR_ID, DOS_THRU_DT, DX_CD Grain grouped by PAYER, SRC_FILE_NM, DOS_THRU_YYYYMM"/>
  </r>
  <r>
    <x v="0"/>
    <s v="MHS_MA_MAO4_202605_20260602.txt"/>
    <x v="53"/>
    <x v="6"/>
    <n v="915"/>
    <n v="17369246"/>
    <n v="0.01"/>
    <s v="DQS_MAO04_FILE_000_B"/>
    <s v="RECORD COUNT by MBR_ID, DOS_THRU_DT, DX_CD Grain grouped by PAYER, SRC_FILE_NM, DOS_THRU_YYYYMM"/>
  </r>
  <r>
    <x v="0"/>
    <s v="MHS_MA_MAO4_202605_20260602.txt"/>
    <x v="54"/>
    <x v="6"/>
    <n v="1140"/>
    <n v="17369246"/>
    <n v="0.01"/>
    <s v="DQS_MAO04_FILE_000_B"/>
    <s v="RECORD COUNT by MBR_ID, DOS_THRU_DT, DX_CD Grain grouped by PAYER, SRC_FILE_NM, DOS_THRU_YYYYMM"/>
  </r>
  <r>
    <x v="0"/>
    <s v="MHS_MA_MAO4_202605_20260602.txt"/>
    <x v="55"/>
    <x v="6"/>
    <n v="1121"/>
    <n v="17369246"/>
    <n v="0.01"/>
    <s v="DQS_MAO04_FILE_000_B"/>
    <s v="RECORD COUNT by MBR_ID, DOS_THRU_DT, DX_CD Grain grouped by PAYER, SRC_FILE_NM, DOS_THRU_YYYYMM"/>
  </r>
  <r>
    <x v="0"/>
    <s v="MHS_MA_MAO4_202605_20260602.txt"/>
    <x v="56"/>
    <x v="6"/>
    <n v="989"/>
    <n v="17369246"/>
    <n v="0.01"/>
    <s v="DQS_MAO04_FILE_000_B"/>
    <s v="RECORD COUNT by MBR_ID, DOS_THRU_DT, DX_CD Grain grouped by PAYER, SRC_FILE_NM, DOS_THRU_YYYYMM"/>
  </r>
  <r>
    <x v="0"/>
    <s v="MHS_MA_MAO4_202605_20260602.txt"/>
    <x v="57"/>
    <x v="6"/>
    <n v="854"/>
    <n v="17369246"/>
    <n v="0"/>
    <s v="DQS_MAO04_FILE_000_B"/>
    <s v="RECORD COUNT by MBR_ID, DOS_THRU_DT, DX_CD Grain grouped by PAYER, SRC_FILE_NM, DOS_THRU_YYYYMM"/>
  </r>
  <r>
    <x v="0"/>
    <s v="MHS_MA_MAO4_202605_20260602.txt"/>
    <x v="58"/>
    <x v="6"/>
    <n v="1188"/>
    <n v="17369246"/>
    <n v="0.01"/>
    <s v="DQS_MAO04_FILE_000_B"/>
    <s v="RECORD COUNT by MBR_ID, DOS_THRU_DT, DX_CD Grain grouped by PAYER, SRC_FILE_NM, DOS_THRU_YYYYMM"/>
  </r>
  <r>
    <x v="0"/>
    <s v="MHS_MA_MAO4_202605_20260602.txt"/>
    <x v="59"/>
    <x v="6"/>
    <n v="944"/>
    <n v="17369246"/>
    <n v="0.01"/>
    <s v="DQS_MAO04_FILE_000_B"/>
    <s v="RECORD COUNT by MBR_ID, DOS_THRU_DT, DX_CD Grain grouped by PAYER, SRC_FILE_NM, DOS_THRU_YYYYMM"/>
  </r>
  <r>
    <x v="0"/>
    <s v="MHS_MA_MAO4_202605_20260602.txt"/>
    <x v="60"/>
    <x v="6"/>
    <n v="1081"/>
    <n v="17369246"/>
    <n v="0.01"/>
    <s v="DQS_MAO04_FILE_000_B"/>
    <s v="RECORD COUNT by MBR_ID, DOS_THRU_DT, DX_CD Grain grouped by PAYER, SRC_FILE_NM, DOS_THRU_YYYYMM"/>
  </r>
  <r>
    <x v="0"/>
    <s v="MHS_MA_MAO4_202605_20260602.txt"/>
    <x v="61"/>
    <x v="6"/>
    <n v="1151"/>
    <n v="17369246"/>
    <n v="0.01"/>
    <s v="DQS_MAO04_FILE_000_B"/>
    <s v="RECORD COUNT by MBR_ID, DOS_THRU_DT, DX_CD Grain grouped by PAYER, SRC_FILE_NM, DOS_THRU_YYYYMM"/>
  </r>
  <r>
    <x v="0"/>
    <s v="MHS_MA_MAO4_202605_20260602.txt"/>
    <x v="62"/>
    <x v="6"/>
    <n v="1192"/>
    <n v="17369246"/>
    <n v="0.01"/>
    <s v="DQS_MAO04_FILE_000_B"/>
    <s v="RECORD COUNT by MBR_ID, DOS_THRU_DT, DX_CD Grain grouped by PAYER, SRC_FILE_NM, DOS_THRU_YYYYMM"/>
  </r>
  <r>
    <x v="0"/>
    <s v="MHS_MA_MAO4_202605_20260602.txt"/>
    <x v="63"/>
    <x v="6"/>
    <n v="1277"/>
    <n v="17369246"/>
    <n v="0.01"/>
    <s v="DQS_MAO04_FILE_000_B"/>
    <s v="RECORD COUNT by MBR_ID, DOS_THRU_DT, DX_CD Grain grouped by PAYER, SRC_FILE_NM, DOS_THRU_YYYYMM"/>
  </r>
  <r>
    <x v="0"/>
    <s v="MHS_MA_MAO4_202605_20260602.txt"/>
    <x v="64"/>
    <x v="6"/>
    <n v="1163"/>
    <n v="17369246"/>
    <n v="0.01"/>
    <s v="DQS_MAO04_FILE_000_B"/>
    <s v="RECORD COUNT by MBR_ID, DOS_THRU_DT, DX_CD Grain grouped by PAYER, SRC_FILE_NM, DOS_THRU_YYYYMM"/>
  </r>
  <r>
    <x v="0"/>
    <s v="MHS_MA_MAO4_202605_20260602.txt"/>
    <x v="65"/>
    <x v="7"/>
    <n v="21045"/>
    <n v="17369246"/>
    <n v="0.12"/>
    <s v="DQS_MAO04_FILE_000_B"/>
    <s v="RECORD COUNT by MBR_ID, DOS_THRU_DT, DX_CD Grain grouped by PAYER, SRC_FILE_NM, DOS_THRU_YYYYMM"/>
  </r>
  <r>
    <x v="0"/>
    <s v="MHS_MA_MAO4_202605_20260602.txt"/>
    <x v="66"/>
    <x v="7"/>
    <n v="16205"/>
    <n v="17369246"/>
    <n v="0.09"/>
    <s v="DQS_MAO04_FILE_000_B"/>
    <s v="RECORD COUNT by MBR_ID, DOS_THRU_DT, DX_CD Grain grouped by PAYER, SRC_FILE_NM, DOS_THRU_YYYYMM"/>
  </r>
  <r>
    <x v="0"/>
    <s v="MHS_MA_MAO4_202605_20260602.txt"/>
    <x v="67"/>
    <x v="7"/>
    <n v="16352"/>
    <n v="17369246"/>
    <n v="0.09"/>
    <s v="DQS_MAO04_FILE_000_B"/>
    <s v="RECORD COUNT by MBR_ID, DOS_THRU_DT, DX_CD Grain grouped by PAYER, SRC_FILE_NM, DOS_THRU_YYYYMM"/>
  </r>
  <r>
    <x v="0"/>
    <s v="MHS_MA_MAO4_202605_20260602.txt"/>
    <x v="68"/>
    <x v="7"/>
    <n v="15604"/>
    <n v="17369246"/>
    <n v="0.09"/>
    <s v="DQS_MAO04_FILE_000_B"/>
    <s v="RECORD COUNT by MBR_ID, DOS_THRU_DT, DX_CD Grain grouped by PAYER, SRC_FILE_NM, DOS_THRU_YYYYMM"/>
  </r>
  <r>
    <x v="0"/>
    <s v="MHS_MA_MAO4_202605_20260602.txt"/>
    <x v="69"/>
    <x v="7"/>
    <n v="15933"/>
    <n v="17369246"/>
    <n v="0.09"/>
    <s v="DQS_MAO04_FILE_000_B"/>
    <s v="RECORD COUNT by MBR_ID, DOS_THRU_DT, DX_CD Grain grouped by PAYER, SRC_FILE_NM, DOS_THRU_YYYYMM"/>
  </r>
  <r>
    <x v="0"/>
    <s v="MHS_MA_MAO4_202605_20260602.txt"/>
    <x v="70"/>
    <x v="7"/>
    <n v="17381"/>
    <n v="17369246"/>
    <n v="0.1"/>
    <s v="DQS_MAO04_FILE_000_B"/>
    <s v="RECORD COUNT by MBR_ID, DOS_THRU_DT, DX_CD Grain grouped by PAYER, SRC_FILE_NM, DOS_THRU_YYYYMM"/>
  </r>
  <r>
    <x v="0"/>
    <s v="MHS_MA_MAO4_202605_20260602.txt"/>
    <x v="71"/>
    <x v="7"/>
    <n v="20779"/>
    <n v="17369246"/>
    <n v="0.12"/>
    <s v="DQS_MAO04_FILE_000_B"/>
    <s v="RECORD COUNT by MBR_ID, DOS_THRU_DT, DX_CD Grain grouped by PAYER, SRC_FILE_NM, DOS_THRU_YYYYMM"/>
  </r>
  <r>
    <x v="0"/>
    <s v="MHS_MA_MAO4_202605_20260602.txt"/>
    <x v="72"/>
    <x v="7"/>
    <n v="23784"/>
    <n v="17369246"/>
    <n v="0.14000000000000001"/>
    <s v="DQS_MAO04_FILE_000_B"/>
    <s v="RECORD COUNT by MBR_ID, DOS_THRU_DT, DX_CD Grain grouped by PAYER, SRC_FILE_NM, DOS_THRU_YYYYMM"/>
  </r>
  <r>
    <x v="0"/>
    <s v="MHS_MA_MAO4_202605_20260602.txt"/>
    <x v="73"/>
    <x v="7"/>
    <n v="23753"/>
    <n v="17369246"/>
    <n v="0.14000000000000001"/>
    <s v="DQS_MAO04_FILE_000_B"/>
    <s v="RECORD COUNT by MBR_ID, DOS_THRU_DT, DX_CD Grain grouped by PAYER, SRC_FILE_NM, DOS_THRU_YYYYMM"/>
  </r>
  <r>
    <x v="0"/>
    <s v="MHS_MA_MAO4_202605_20260602.txt"/>
    <x v="74"/>
    <x v="7"/>
    <n v="26721"/>
    <n v="17369246"/>
    <n v="0.15"/>
    <s v="DQS_MAO04_FILE_000_B"/>
    <s v="RECORD COUNT by MBR_ID, DOS_THRU_DT, DX_CD Grain grouped by PAYER, SRC_FILE_NM, DOS_THRU_YYYYMM"/>
  </r>
  <r>
    <x v="0"/>
    <s v="MHS_MA_MAO4_202605_20260602.txt"/>
    <x v="75"/>
    <x v="7"/>
    <n v="26980"/>
    <n v="17369246"/>
    <n v="0.16"/>
    <s v="DQS_MAO04_FILE_000_B"/>
    <s v="RECORD COUNT by MBR_ID, DOS_THRU_DT, DX_CD Grain grouped by PAYER, SRC_FILE_NM, DOS_THRU_YYYYMM"/>
  </r>
  <r>
    <x v="0"/>
    <s v="MHS_MA_MAO4_202605_20260602.txt"/>
    <x v="76"/>
    <x v="7"/>
    <n v="27500"/>
    <n v="17369246"/>
    <n v="0.16"/>
    <s v="DQS_MAO04_FILE_000_B"/>
    <s v="RECORD COUNT by MBR_ID, DOS_THRU_DT, DX_CD Grain grouped by PAYER, SRC_FILE_NM, DOS_THRU_YYYYMM"/>
  </r>
  <r>
    <x v="0"/>
    <s v="MHS_MA_MAO4_202605_20260602.txt"/>
    <x v="77"/>
    <x v="8"/>
    <n v="133430"/>
    <n v="17369246"/>
    <n v="0.77"/>
    <s v="DQS_MAO04_FILE_000_B"/>
    <s v="RECORD COUNT by MBR_ID, DOS_THRU_DT, DX_CD Grain grouped by PAYER, SRC_FILE_NM, DOS_THRU_YYYYMM"/>
  </r>
  <r>
    <x v="0"/>
    <s v="MHS_MA_MAO4_202605_20260602.txt"/>
    <x v="78"/>
    <x v="8"/>
    <n v="130981"/>
    <n v="17369246"/>
    <n v="0.75"/>
    <s v="DQS_MAO04_FILE_000_B"/>
    <s v="RECORD COUNT by MBR_ID, DOS_THRU_DT, DX_CD Grain grouped by PAYER, SRC_FILE_NM, DOS_THRU_YYYYMM"/>
  </r>
  <r>
    <x v="0"/>
    <s v="MHS_MA_MAO4_202605_20260602.txt"/>
    <x v="79"/>
    <x v="8"/>
    <n v="143252"/>
    <n v="17369246"/>
    <n v="0.82"/>
    <s v="DQS_MAO04_FILE_000_B"/>
    <s v="RECORD COUNT by MBR_ID, DOS_THRU_DT, DX_CD Grain grouped by PAYER, SRC_FILE_NM, DOS_THRU_YYYYMM"/>
  </r>
  <r>
    <x v="0"/>
    <s v="MHS_MA_MAO4_202605_20260602.txt"/>
    <x v="80"/>
    <x v="8"/>
    <n v="136121"/>
    <n v="17369246"/>
    <n v="0.78"/>
    <s v="DQS_MAO04_FILE_000_B"/>
    <s v="RECORD COUNT by MBR_ID, DOS_THRU_DT, DX_CD Grain grouped by PAYER, SRC_FILE_NM, DOS_THRU_YYYYMM"/>
  </r>
  <r>
    <x v="0"/>
    <s v="MHS_MA_MAO4_202605_20260602.txt"/>
    <x v="81"/>
    <x v="8"/>
    <n v="154074"/>
    <n v="17369246"/>
    <n v="0.89"/>
    <s v="DQS_MAO04_FILE_000_B"/>
    <s v="RECORD COUNT by MBR_ID, DOS_THRU_DT, DX_CD Grain grouped by PAYER, SRC_FILE_NM, DOS_THRU_YYYYMM"/>
  </r>
  <r>
    <x v="0"/>
    <s v="MHS_MA_MAO4_202605_20260602.txt"/>
    <x v="82"/>
    <x v="8"/>
    <n v="215319"/>
    <n v="17369246"/>
    <n v="1.24"/>
    <s v="DQS_MAO04_FILE_000_B"/>
    <s v="RECORD COUNT by MBR_ID, DOS_THRU_DT, DX_CD Grain grouped by PAYER, SRC_FILE_NM, DOS_THRU_YYYYMM"/>
  </r>
  <r>
    <x v="0"/>
    <s v="MHS_MA_MAO4_202605_20260602.txt"/>
    <x v="83"/>
    <x v="8"/>
    <n v="224221"/>
    <n v="17369246"/>
    <n v="1.29"/>
    <s v="DQS_MAO04_FILE_000_B"/>
    <s v="RECORD COUNT by MBR_ID, DOS_THRU_DT, DX_CD Grain grouped by PAYER, SRC_FILE_NM, DOS_THRU_YYYYMM"/>
  </r>
  <r>
    <x v="0"/>
    <s v="MHS_MA_MAO4_202605_20260602.txt"/>
    <x v="84"/>
    <x v="8"/>
    <n v="257242"/>
    <n v="17369246"/>
    <n v="1.48"/>
    <s v="DQS_MAO04_FILE_000_B"/>
    <s v="RECORD COUNT by MBR_ID, DOS_THRU_DT, DX_CD Grain grouped by PAYER, SRC_FILE_NM, DOS_THRU_YYYYMM"/>
  </r>
  <r>
    <x v="0"/>
    <s v="MHS_MA_MAO4_202605_20260602.txt"/>
    <x v="85"/>
    <x v="8"/>
    <n v="241847"/>
    <n v="17369246"/>
    <n v="1.39"/>
    <s v="DQS_MAO04_FILE_000_B"/>
    <s v="RECORD COUNT by MBR_ID, DOS_THRU_DT, DX_CD Grain grouped by PAYER, SRC_FILE_NM, DOS_THRU_YYYYMM"/>
  </r>
  <r>
    <x v="0"/>
    <s v="MHS_MA_MAO4_202605_20260602.txt"/>
    <x v="86"/>
    <x v="8"/>
    <n v="262924"/>
    <n v="17369246"/>
    <n v="1.51"/>
    <s v="DQS_MAO04_FILE_000_B"/>
    <s v="RECORD COUNT by MBR_ID, DOS_THRU_DT, DX_CD Grain grouped by PAYER, SRC_FILE_NM, DOS_THRU_YYYYMM"/>
  </r>
  <r>
    <x v="0"/>
    <s v="MHS_MA_MAO4_202605_20260602.txt"/>
    <x v="87"/>
    <x v="8"/>
    <n v="247664"/>
    <n v="17369246"/>
    <n v="1.43"/>
    <s v="DQS_MAO04_FILE_000_B"/>
    <s v="RECORD COUNT by MBR_ID, DOS_THRU_DT, DX_CD Grain grouped by PAYER, SRC_FILE_NM, DOS_THRU_YYYYMM"/>
  </r>
  <r>
    <x v="0"/>
    <s v="MHS_MA_MAO4_202605_20260602.txt"/>
    <x v="88"/>
    <x v="8"/>
    <n v="233710"/>
    <n v="17369246"/>
    <n v="1.35"/>
    <s v="DQS_MAO04_FILE_000_B"/>
    <s v="RECORD COUNT by MBR_ID, DOS_THRU_DT, DX_CD Grain grouped by PAYER, SRC_FILE_NM, DOS_THRU_YYYYMM"/>
  </r>
  <r>
    <x v="0"/>
    <s v="MHS_MA_MAO4_202605_20260602.txt"/>
    <x v="89"/>
    <x v="9"/>
    <n v="530966"/>
    <n v="17369246"/>
    <n v="3.06"/>
    <s v="DQS_MAO04_FILE_000_B"/>
    <s v="RECORD COUNT by MBR_ID, DOS_THRU_DT, DX_CD Grain grouped by PAYER, SRC_FILE_NM, DOS_THRU_YYYYMM"/>
  </r>
  <r>
    <x v="0"/>
    <s v="MHS_MA_MAO4_202605_20260602.txt"/>
    <x v="97"/>
    <x v="9"/>
    <n v="579137"/>
    <n v="17369246"/>
    <n v="3.33"/>
    <s v="DQS_MAO04_FILE_000_B"/>
    <s v="RECORD COUNT by MBR_ID, DOS_THRU_DT, DX_CD Grain grouped by PAYER, SRC_FILE_NM, DOS_THRU_YYYYMM"/>
  </r>
  <r>
    <x v="0"/>
    <s v="MHS_MA_MAO4_202605_20260602.txt"/>
    <x v="98"/>
    <x v="9"/>
    <n v="605817"/>
    <n v="17369246"/>
    <n v="3.49"/>
    <s v="DQS_MAO04_FILE_000_B"/>
    <s v="RECORD COUNT by MBR_ID, DOS_THRU_DT, DX_CD Grain grouped by PAYER, SRC_FILE_NM, DOS_THRU_YYYYMM"/>
  </r>
  <r>
    <x v="0"/>
    <s v="MHS_MA_MAO4_202605_20260602.txt"/>
    <x v="99"/>
    <x v="9"/>
    <n v="630629"/>
    <n v="17369246"/>
    <n v="3.63"/>
    <s v="DQS_MAO04_FILE_000_B"/>
    <s v="RECORD COUNT by MBR_ID, DOS_THRU_DT, DX_CD Grain grouped by PAYER, SRC_FILE_NM, DOS_THRU_YYYYMM"/>
  </r>
  <r>
    <x v="0"/>
    <s v="MHS_MA_MAO4_202605_20260602.txt"/>
    <x v="100"/>
    <x v="9"/>
    <n v="609362"/>
    <n v="17369246"/>
    <n v="3.51"/>
    <s v="DQS_MAO04_FILE_000_B"/>
    <s v="RECORD COUNT by MBR_ID, DOS_THRU_DT, DX_CD Grain grouped by PAYER, SRC_FILE_NM, DOS_THRU_YYYYMM"/>
  </r>
  <r>
    <x v="0"/>
    <s v="MHS_MA_MAO4_202605_20260602.txt"/>
    <x v="102"/>
    <x v="9"/>
    <n v="578604"/>
    <n v="17369246"/>
    <n v="3.33"/>
    <s v="DQS_MAO04_FILE_000_B"/>
    <s v="RECORD COUNT by MBR_ID, DOS_THRU_DT, DX_CD Grain grouped by PAYER, SRC_FILE_NM, DOS_THRU_YYYYMM"/>
  </r>
  <r>
    <x v="0"/>
    <s v="MHS_MA_MAO4_202605_20260602.txt"/>
    <x v="103"/>
    <x v="9"/>
    <n v="594202"/>
    <n v="17369246"/>
    <n v="3.42"/>
    <s v="DQS_MAO04_FILE_000_B"/>
    <s v="RECORD COUNT by MBR_ID, DOS_THRU_DT, DX_CD Grain grouped by PAYER, SRC_FILE_NM, DOS_THRU_YYYYMM"/>
  </r>
  <r>
    <x v="0"/>
    <s v="MHS_MA_MAO4_202605_20260602.txt"/>
    <x v="105"/>
    <x v="9"/>
    <n v="602950"/>
    <n v="17369246"/>
    <n v="3.47"/>
    <s v="DQS_MAO04_FILE_000_B"/>
    <s v="RECORD COUNT by MBR_ID, DOS_THRU_DT, DX_CD Grain grouped by PAYER, SRC_FILE_NM, DOS_THRU_YYYYMM"/>
  </r>
  <r>
    <x v="0"/>
    <s v="MHS_MA_MAO4_202605_20260602.txt"/>
    <x v="106"/>
    <x v="9"/>
    <n v="630384"/>
    <n v="17369246"/>
    <n v="3.63"/>
    <s v="DQS_MAO04_FILE_000_B"/>
    <s v="RECORD COUNT by MBR_ID, DOS_THRU_DT, DX_CD Grain grouped by PAYER, SRC_FILE_NM, DOS_THRU_YYYYMM"/>
  </r>
  <r>
    <x v="0"/>
    <s v="MHS_MA_MAO4_202605_20260602.txt"/>
    <x v="107"/>
    <x v="9"/>
    <n v="721812"/>
    <n v="17369246"/>
    <n v="4.16"/>
    <s v="DQS_MAO04_FILE_000_B"/>
    <s v="RECORD COUNT by MBR_ID, DOS_THRU_DT, DX_CD Grain grouped by PAYER, SRC_FILE_NM, DOS_THRU_YYYYMM"/>
  </r>
  <r>
    <x v="0"/>
    <s v="MHS_MA_MAO4_202605_20260602.txt"/>
    <x v="108"/>
    <x v="9"/>
    <n v="640173"/>
    <n v="17369246"/>
    <n v="3.69"/>
    <s v="DQS_MAO04_FILE_000_B"/>
    <s v="RECORD COUNT by MBR_ID, DOS_THRU_DT, DX_CD Grain grouped by PAYER, SRC_FILE_NM, DOS_THRU_YYYYMM"/>
  </r>
  <r>
    <x v="0"/>
    <s v="MHS_MA_MAO4_202605_20260602.txt"/>
    <x v="109"/>
    <x v="9"/>
    <n v="680441"/>
    <n v="17369246"/>
    <n v="3.92"/>
    <s v="DQS_MAO04_FILE_000_B"/>
    <s v="RECORD COUNT by MBR_ID, DOS_THRU_DT, DX_CD Grain grouped by PAYER, SRC_FILE_NM, DOS_THRU_YYYYMM"/>
  </r>
  <r>
    <x v="0"/>
    <s v="MHS_MA_MAO4_202605_20260602.txt"/>
    <x v="110"/>
    <x v="11"/>
    <n v="605356"/>
    <n v="17369246"/>
    <n v="3.49"/>
    <s v="DQS_MAO04_FILE_000_B"/>
    <s v="RECORD COUNT by MBR_ID, DOS_THRU_DT, DX_CD Grain grouped by PAYER, SRC_FILE_NM, DOS_THRU_YYYYMM"/>
  </r>
  <r>
    <x v="0"/>
    <s v="MHS_MA_MAO4_202605_20260602.txt"/>
    <x v="111"/>
    <x v="11"/>
    <n v="547059"/>
    <n v="17369246"/>
    <n v="3.15"/>
    <s v="DQS_MAO04_FILE_000_B"/>
    <s v="RECORD COUNT by MBR_ID, DOS_THRU_DT, DX_CD Grain grouped by PAYER, SRC_FILE_NM, DOS_THRU_YYYYMM"/>
  </r>
  <r>
    <x v="0"/>
    <s v="MHS_MA_MAO4_202605_20260602.txt"/>
    <x v="112"/>
    <x v="11"/>
    <n v="636891"/>
    <n v="17369246"/>
    <n v="3.67"/>
    <s v="DQS_MAO04_FILE_000_B"/>
    <s v="RECORD COUNT by MBR_ID, DOS_THRU_DT, DX_CD Grain grouped by PAYER, SRC_FILE_NM, DOS_THRU_YYYYMM"/>
  </r>
  <r>
    <x v="0"/>
    <s v="MHS_MA_MAO4_202605_20260602.txt"/>
    <x v="113"/>
    <x v="11"/>
    <n v="582444"/>
    <n v="17369246"/>
    <n v="3.35"/>
    <s v="DQS_MAO04_FILE_000_B"/>
    <s v="RECORD COUNT by MBR_ID, DOS_THRU_DT, DX_CD Grain grouped by PAYER, SRC_FILE_NM, DOS_THRU_YYYYMM"/>
  </r>
  <r>
    <x v="0"/>
    <s v="MHS_MA_MAO4_202605_20260602.txt"/>
    <x v="114"/>
    <x v="11"/>
    <n v="513518"/>
    <n v="17369246"/>
    <n v="2.96"/>
    <s v="DQS_MAO04_FILE_000_B"/>
    <s v="RECORD COUNT by MBR_ID, DOS_THRU_DT, DX_CD Grain grouped by PAYER, SRC_FILE_NM, DOS_THRU_YYYYMM"/>
  </r>
  <r>
    <x v="0"/>
    <s v="MHS_MA_MAO4_202605_20260602.txt"/>
    <x v="115"/>
    <x v="11"/>
    <n v="533085"/>
    <n v="17369246"/>
    <n v="3.07"/>
    <s v="DQS_MAO04_FILE_000_B"/>
    <s v="RECORD COUNT by MBR_ID, DOS_THRU_DT, DX_CD Grain grouped by PAYER, SRC_FILE_NM, DOS_THRU_YYYYMM"/>
  </r>
  <r>
    <x v="0"/>
    <s v="MHS_MA_MAO4_202605_20260602.txt"/>
    <x v="116"/>
    <x v="11"/>
    <n v="514413"/>
    <n v="17369246"/>
    <n v="2.96"/>
    <s v="DQS_MAO04_FILE_000_B"/>
    <s v="RECORD COUNT by MBR_ID, DOS_THRU_DT, DX_CD Grain grouped by PAYER, SRC_FILE_NM, DOS_THRU_YYYYMM"/>
  </r>
  <r>
    <x v="0"/>
    <s v="MHS_MA_MAO4_202605_20260602.txt"/>
    <x v="117"/>
    <x v="11"/>
    <n v="488777"/>
    <n v="17369246"/>
    <n v="2.81"/>
    <s v="DQS_MAO04_FILE_000_B"/>
    <s v="RECORD COUNT by MBR_ID, DOS_THRU_DT, DX_CD Grain grouped by PAYER, SRC_FILE_NM, DOS_THRU_YYYYMM"/>
  </r>
  <r>
    <x v="0"/>
    <s v="MHS_MA_MAO4_202605_20260602.txt"/>
    <x v="118"/>
    <x v="11"/>
    <n v="507992"/>
    <n v="17369246"/>
    <n v="2.92"/>
    <s v="DQS_MAO04_FILE_000_B"/>
    <s v="RECORD COUNT by MBR_ID, DOS_THRU_DT, DX_CD Grain grouped by PAYER, SRC_FILE_NM, DOS_THRU_YYYYMM"/>
  </r>
  <r>
    <x v="0"/>
    <s v="MHS_MA_MAO4_202605_20260602.txt"/>
    <x v="119"/>
    <x v="11"/>
    <n v="501051"/>
    <n v="17369246"/>
    <n v="2.88"/>
    <s v="DQS_MAO04_FILE_000_B"/>
    <s v="RECORD COUNT by MBR_ID, DOS_THRU_DT, DX_CD Grain grouped by PAYER, SRC_FILE_NM, DOS_THRU_YYYYMM"/>
  </r>
  <r>
    <x v="0"/>
    <s v="MHS_MA_MAO4_202605_20260602.txt"/>
    <x v="120"/>
    <x v="11"/>
    <n v="439655"/>
    <n v="17369246"/>
    <n v="2.5299999999999998"/>
    <s v="DQS_MAO04_FILE_000_B"/>
    <s v="RECORD COUNT by MBR_ID, DOS_THRU_DT, DX_CD Grain grouped by PAYER, SRC_FILE_NM, DOS_THRU_YYYYMM"/>
  </r>
  <r>
    <x v="0"/>
    <s v="MHS_MA_MAO4_202605_20260602.txt"/>
    <x v="121"/>
    <x v="11"/>
    <n v="466927"/>
    <n v="17369246"/>
    <n v="2.69"/>
    <s v="DQS_MAO04_FILE_000_B"/>
    <s v="RECORD COUNT by MBR_ID, DOS_THRU_DT, DX_CD Grain grouped by PAYER, SRC_FILE_NM, DOS_THRU_YYYYMM"/>
  </r>
  <r>
    <x v="0"/>
    <s v="MHS_MA_MAO4_202605_20260602.txt"/>
    <x v="122"/>
    <x v="12"/>
    <n v="329528"/>
    <n v="17369246"/>
    <n v="1.9"/>
    <s v="DQS_MAO04_FILE_000_B"/>
    <s v="RECORD COUNT by MBR_ID, DOS_THRU_DT, DX_CD Grain grouped by PAYER, SRC_FILE_NM, DOS_THRU_YYYYMM"/>
  </r>
  <r>
    <x v="0"/>
    <s v="MHS_MA_MAO4_202605_20260602.txt"/>
    <x v="123"/>
    <x v="12"/>
    <n v="317855"/>
    <n v="17369246"/>
    <n v="1.83"/>
    <s v="DQS_MAO04_FILE_000_B"/>
    <s v="RECORD COUNT by MBR_ID, DOS_THRU_DT, DX_CD Grain grouped by PAYER, SRC_FILE_NM, DOS_THRU_YYYYMM"/>
  </r>
  <r>
    <x v="0"/>
    <s v="MHS_MA_MAO4_202605_20260602.txt"/>
    <x v="124"/>
    <x v="12"/>
    <n v="288358"/>
    <n v="17369246"/>
    <n v="1.66"/>
    <s v="DQS_MAO04_FILE_000_B"/>
    <s v="RECORD COUNT by MBR_ID, DOS_THRU_DT, DX_CD Grain grouped by PAYER, SRC_FILE_NM, DOS_THRU_YYYYMM"/>
  </r>
  <r>
    <x v="0"/>
    <s v="MHS_MA_MAO4_202605_20260602.txt"/>
    <x v="125"/>
    <x v="12"/>
    <n v="41592"/>
    <n v="17369246"/>
    <n v="0.24"/>
    <s v="DQS_MAO04_FILE_000_B"/>
    <s v="RECORD COUNT by MBR_ID, DOS_THRU_DT, DX_CD Grain grouped by PAYER, SRC_FILE_NM, DOS_THRU_YYYYMM"/>
  </r>
  <r>
    <x v="1"/>
    <s v="FFV.MA_MAO004.MERCYOK.1214771.20240126.143710579.TXT"/>
    <x v="65"/>
    <x v="7"/>
    <n v="1899"/>
    <n v="57122"/>
    <n v="3.32"/>
    <s v="DQS_MAO04_FILE_000_B"/>
    <s v="RECORD COUNT by MBR_ID, DOS_THRU_DT, DX_CD Grain grouped by PAYER, SRC_FILE_NM, DOS_THRU_YYYYMM"/>
  </r>
  <r>
    <x v="1"/>
    <s v="FFV.MA_MAO004.MERCYOK.1214771.20240126.143710579.TXT"/>
    <x v="66"/>
    <x v="7"/>
    <n v="2069"/>
    <n v="57122"/>
    <n v="3.62"/>
    <s v="DQS_MAO04_FILE_000_B"/>
    <s v="RECORD COUNT by MBR_ID, DOS_THRU_DT, DX_CD Grain grouped by PAYER, SRC_FILE_NM, DOS_THRU_YYYYMM"/>
  </r>
  <r>
    <x v="1"/>
    <s v="FFV.MA_MAO004.MERCYOK.1214771.20240126.143710579.TXT"/>
    <x v="67"/>
    <x v="7"/>
    <n v="2309"/>
    <n v="57122"/>
    <n v="4.04"/>
    <s v="DQS_MAO04_FILE_000_B"/>
    <s v="RECORD COUNT by MBR_ID, DOS_THRU_DT, DX_CD Grain grouped by PAYER, SRC_FILE_NM, DOS_THRU_YYYYMM"/>
  </r>
  <r>
    <x v="1"/>
    <s v="FFV.MA_MAO004.MERCYOK.1214771.20240126.143710579.TXT"/>
    <x v="68"/>
    <x v="7"/>
    <n v="1928"/>
    <n v="57122"/>
    <n v="3.38"/>
    <s v="DQS_MAO04_FILE_000_B"/>
    <s v="RECORD COUNT by MBR_ID, DOS_THRU_DT, DX_CD Grain grouped by PAYER, SRC_FILE_NM, DOS_THRU_YYYYMM"/>
  </r>
  <r>
    <x v="1"/>
    <s v="FFV.MA_MAO004.MERCYOK.1214771.20240126.143710579.TXT"/>
    <x v="69"/>
    <x v="7"/>
    <n v="2178"/>
    <n v="57122"/>
    <n v="3.81"/>
    <s v="DQS_MAO04_FILE_000_B"/>
    <s v="RECORD COUNT by MBR_ID, DOS_THRU_DT, DX_CD Grain grouped by PAYER, SRC_FILE_NM, DOS_THRU_YYYYMM"/>
  </r>
  <r>
    <x v="1"/>
    <s v="FFV.MA_MAO004.MERCYOK.1214771.20240126.143710579.TXT"/>
    <x v="70"/>
    <x v="7"/>
    <n v="2006"/>
    <n v="57122"/>
    <n v="3.51"/>
    <s v="DQS_MAO04_FILE_000_B"/>
    <s v="RECORD COUNT by MBR_ID, DOS_THRU_DT, DX_CD Grain grouped by PAYER, SRC_FILE_NM, DOS_THRU_YYYYMM"/>
  </r>
  <r>
    <x v="1"/>
    <s v="FFV.MA_MAO004.MERCYOK.1214771.20240126.143710579.TXT"/>
    <x v="71"/>
    <x v="7"/>
    <n v="1835"/>
    <n v="57122"/>
    <n v="3.21"/>
    <s v="DQS_MAO04_FILE_000_B"/>
    <s v="RECORD COUNT by MBR_ID, DOS_THRU_DT, DX_CD Grain grouped by PAYER, SRC_FILE_NM, DOS_THRU_YYYYMM"/>
  </r>
  <r>
    <x v="1"/>
    <s v="FFV.MA_MAO004.MERCYOK.1214771.20240126.143710579.TXT"/>
    <x v="72"/>
    <x v="7"/>
    <n v="2383"/>
    <n v="57122"/>
    <n v="4.17"/>
    <s v="DQS_MAO04_FILE_000_B"/>
    <s v="RECORD COUNT by MBR_ID, DOS_THRU_DT, DX_CD Grain grouped by PAYER, SRC_FILE_NM, DOS_THRU_YYYYMM"/>
  </r>
  <r>
    <x v="1"/>
    <s v="FFV.MA_MAO004.MERCYOK.1214771.20240126.143710579.TXT"/>
    <x v="73"/>
    <x v="7"/>
    <n v="2312"/>
    <n v="57122"/>
    <n v="4.05"/>
    <s v="DQS_MAO04_FILE_000_B"/>
    <s v="RECORD COUNT by MBR_ID, DOS_THRU_DT, DX_CD Grain grouped by PAYER, SRC_FILE_NM, DOS_THRU_YYYYMM"/>
  </r>
  <r>
    <x v="1"/>
    <s v="FFV.MA_MAO004.MERCYOK.1214771.20240126.143710579.TXT"/>
    <x v="74"/>
    <x v="7"/>
    <n v="2242"/>
    <n v="57122"/>
    <n v="3.92"/>
    <s v="DQS_MAO04_FILE_000_B"/>
    <s v="RECORD COUNT by MBR_ID, DOS_THRU_DT, DX_CD Grain grouped by PAYER, SRC_FILE_NM, DOS_THRU_YYYYMM"/>
  </r>
  <r>
    <x v="1"/>
    <s v="FFV.MA_MAO004.MERCYOK.1214771.20240126.143710579.TXT"/>
    <x v="75"/>
    <x v="7"/>
    <n v="2247"/>
    <n v="57122"/>
    <n v="3.93"/>
    <s v="DQS_MAO04_FILE_000_B"/>
    <s v="RECORD COUNT by MBR_ID, DOS_THRU_DT, DX_CD Grain grouped by PAYER, SRC_FILE_NM, DOS_THRU_YYYYMM"/>
  </r>
  <r>
    <x v="1"/>
    <s v="FFV.MA_MAO004.MERCYOK.1214771.20240126.143710579.TXT"/>
    <x v="76"/>
    <x v="7"/>
    <n v="2302"/>
    <n v="57122"/>
    <n v="4.03"/>
    <s v="DQS_MAO04_FILE_000_B"/>
    <s v="RECORD COUNT by MBR_ID, DOS_THRU_DT, DX_CD Grain grouped by PAYER, SRC_FILE_NM, DOS_THRU_YYYYMM"/>
  </r>
  <r>
    <x v="1"/>
    <s v="FFV.MA_MAO004.MERCYOK.1214771.20240126.143710579.TXT"/>
    <x v="77"/>
    <x v="8"/>
    <n v="2254"/>
    <n v="57122"/>
    <n v="3.95"/>
    <s v="DQS_MAO04_FILE_000_B"/>
    <s v="RECORD COUNT by MBR_ID, DOS_THRU_DT, DX_CD Grain grouped by PAYER, SRC_FILE_NM, DOS_THRU_YYYYMM"/>
  </r>
  <r>
    <x v="1"/>
    <s v="FFV.MA_MAO004.MERCYOK.1214771.20240126.143710579.TXT"/>
    <x v="78"/>
    <x v="8"/>
    <n v="2630"/>
    <n v="57122"/>
    <n v="4.5999999999999996"/>
    <s v="DQS_MAO04_FILE_000_B"/>
    <s v="RECORD COUNT by MBR_ID, DOS_THRU_DT, DX_CD Grain grouped by PAYER, SRC_FILE_NM, DOS_THRU_YYYYMM"/>
  </r>
  <r>
    <x v="1"/>
    <s v="FFV.MA_MAO004.MERCYOK.1214771.20240126.143710579.TXT"/>
    <x v="79"/>
    <x v="8"/>
    <n v="2922"/>
    <n v="57122"/>
    <n v="5.12"/>
    <s v="DQS_MAO04_FILE_000_B"/>
    <s v="RECORD COUNT by MBR_ID, DOS_THRU_DT, DX_CD Grain grouped by PAYER, SRC_FILE_NM, DOS_THRU_YYYYMM"/>
  </r>
  <r>
    <x v="1"/>
    <s v="FFV.MA_MAO004.MERCYOK.1214771.20240126.143710579.TXT"/>
    <x v="80"/>
    <x v="8"/>
    <n v="2939"/>
    <n v="57122"/>
    <n v="5.15"/>
    <s v="DQS_MAO04_FILE_000_B"/>
    <s v="RECORD COUNT by MBR_ID, DOS_THRU_DT, DX_CD Grain grouped by PAYER, SRC_FILE_NM, DOS_THRU_YYYYMM"/>
  </r>
  <r>
    <x v="1"/>
    <s v="FFV.MA_MAO004.MERCYOK.1214771.20240126.143710579.TXT"/>
    <x v="81"/>
    <x v="8"/>
    <n v="2614"/>
    <n v="57122"/>
    <n v="4.58"/>
    <s v="DQS_MAO04_FILE_000_B"/>
    <s v="RECORD COUNT by MBR_ID, DOS_THRU_DT, DX_CD Grain grouped by PAYER, SRC_FILE_NM, DOS_THRU_YYYYMM"/>
  </r>
  <r>
    <x v="1"/>
    <s v="FFV.MA_MAO004.MERCYOK.1214771.20240126.143710579.TXT"/>
    <x v="82"/>
    <x v="8"/>
    <n v="2808"/>
    <n v="57122"/>
    <n v="4.92"/>
    <s v="DQS_MAO04_FILE_000_B"/>
    <s v="RECORD COUNT by MBR_ID, DOS_THRU_DT, DX_CD Grain grouped by PAYER, SRC_FILE_NM, DOS_THRU_YYYYMM"/>
  </r>
  <r>
    <x v="1"/>
    <s v="FFV.MA_MAO004.MERCYOK.1214771.20240126.143710579.TXT"/>
    <x v="83"/>
    <x v="8"/>
    <n v="2891"/>
    <n v="57122"/>
    <n v="5.0599999999999996"/>
    <s v="DQS_MAO04_FILE_000_B"/>
    <s v="RECORD COUNT by MBR_ID, DOS_THRU_DT, DX_CD Grain grouped by PAYER, SRC_FILE_NM, DOS_THRU_YYYYMM"/>
  </r>
  <r>
    <x v="1"/>
    <s v="FFV.MA_MAO004.MERCYOK.1214771.20240126.143710579.TXT"/>
    <x v="84"/>
    <x v="8"/>
    <n v="2680"/>
    <n v="57122"/>
    <n v="4.6900000000000004"/>
    <s v="DQS_MAO04_FILE_000_B"/>
    <s v="RECORD COUNT by MBR_ID, DOS_THRU_DT, DX_CD Grain grouped by PAYER, SRC_FILE_NM, DOS_THRU_YYYYMM"/>
  </r>
  <r>
    <x v="1"/>
    <s v="FFV.MA_MAO004.MERCYOK.1214771.20240126.143710579.TXT"/>
    <x v="85"/>
    <x v="8"/>
    <n v="2718"/>
    <n v="57122"/>
    <n v="4.76"/>
    <s v="DQS_MAO04_FILE_000_B"/>
    <s v="RECORD COUNT by MBR_ID, DOS_THRU_DT, DX_CD Grain grouped by PAYER, SRC_FILE_NM, DOS_THRU_YYYYMM"/>
  </r>
  <r>
    <x v="1"/>
    <s v="FFV.MA_MAO004.MERCYOK.1214771.20240126.143710579.TXT"/>
    <x v="86"/>
    <x v="8"/>
    <n v="2732"/>
    <n v="57122"/>
    <n v="4.78"/>
    <s v="DQS_MAO04_FILE_000_B"/>
    <s v="RECORD COUNT by MBR_ID, DOS_THRU_DT, DX_CD Grain grouped by PAYER, SRC_FILE_NM, DOS_THRU_YYYYMM"/>
  </r>
  <r>
    <x v="1"/>
    <s v="FFV.MA_MAO004.MERCYOK.1214771.20240126.143710579.TXT"/>
    <x v="87"/>
    <x v="8"/>
    <n v="3034"/>
    <n v="57122"/>
    <n v="5.31"/>
    <s v="DQS_MAO04_FILE_000_B"/>
    <s v="RECORD COUNT by MBR_ID, DOS_THRU_DT, DX_CD Grain grouped by PAYER, SRC_FILE_NM, DOS_THRU_YYYYMM"/>
  </r>
  <r>
    <x v="1"/>
    <s v="FFV.MA_MAO004.MERCYOK.1214771.20240126.143710579.TXT"/>
    <x v="88"/>
    <x v="8"/>
    <n v="1190"/>
    <n v="57122"/>
    <n v="2.08"/>
    <s v="DQS_MAO04_FILE_000_B"/>
    <s v="RECORD COUNT by MBR_ID, DOS_THRU_DT, DX_CD Grain grouped by PAYER, SRC_FILE_NM, DOS_THRU_YYYYMM"/>
  </r>
  <r>
    <x v="1"/>
    <s v="FFV.MA_MAO004.MERCYOK.1214771.20240222.152547588.TXT"/>
    <x v="65"/>
    <x v="7"/>
    <n v="1880"/>
    <n v="56330"/>
    <n v="3.34"/>
    <s v="DQS_MAO04_FILE_000_B"/>
    <s v="RECORD COUNT by MBR_ID, DOS_THRU_DT, DX_CD Grain grouped by PAYER, SRC_FILE_NM, DOS_THRU_YYYYMM"/>
  </r>
  <r>
    <x v="1"/>
    <s v="FFV.MA_MAO004.MERCYOK.1214771.20240222.152547588.TXT"/>
    <x v="66"/>
    <x v="7"/>
    <n v="2069"/>
    <n v="56330"/>
    <n v="3.67"/>
    <s v="DQS_MAO04_FILE_000_B"/>
    <s v="RECORD COUNT by MBR_ID, DOS_THRU_DT, DX_CD Grain grouped by PAYER, SRC_FILE_NM, DOS_THRU_YYYYMM"/>
  </r>
  <r>
    <x v="1"/>
    <s v="FFV.MA_MAO004.MERCYOK.1214771.20240222.152547588.TXT"/>
    <x v="67"/>
    <x v="7"/>
    <n v="2308"/>
    <n v="56330"/>
    <n v="4.0999999999999996"/>
    <s v="DQS_MAO04_FILE_000_B"/>
    <s v="RECORD COUNT by MBR_ID, DOS_THRU_DT, DX_CD Grain grouped by PAYER, SRC_FILE_NM, DOS_THRU_YYYYMM"/>
  </r>
  <r>
    <x v="1"/>
    <s v="FFV.MA_MAO004.MERCYOK.1214771.20240222.152547588.TXT"/>
    <x v="68"/>
    <x v="7"/>
    <n v="1901"/>
    <n v="56330"/>
    <n v="3.37"/>
    <s v="DQS_MAO04_FILE_000_B"/>
    <s v="RECORD COUNT by MBR_ID, DOS_THRU_DT, DX_CD Grain grouped by PAYER, SRC_FILE_NM, DOS_THRU_YYYYMM"/>
  </r>
  <r>
    <x v="1"/>
    <s v="FFV.MA_MAO004.MERCYOK.1214771.20240222.152547588.TXT"/>
    <x v="69"/>
    <x v="7"/>
    <n v="2171"/>
    <n v="56330"/>
    <n v="3.85"/>
    <s v="DQS_MAO04_FILE_000_B"/>
    <s v="RECORD COUNT by MBR_ID, DOS_THRU_DT, DX_CD Grain grouped by PAYER, SRC_FILE_NM, DOS_THRU_YYYYMM"/>
  </r>
  <r>
    <x v="1"/>
    <s v="FFV.MA_MAO004.MERCYOK.1214771.20240222.152547588.TXT"/>
    <x v="70"/>
    <x v="7"/>
    <n v="1997"/>
    <n v="56330"/>
    <n v="3.55"/>
    <s v="DQS_MAO04_FILE_000_B"/>
    <s v="RECORD COUNT by MBR_ID, DOS_THRU_DT, DX_CD Grain grouped by PAYER, SRC_FILE_NM, DOS_THRU_YYYYMM"/>
  </r>
  <r>
    <x v="1"/>
    <s v="FFV.MA_MAO004.MERCYOK.1214771.20240222.152547588.TXT"/>
    <x v="71"/>
    <x v="7"/>
    <n v="1820"/>
    <n v="56330"/>
    <n v="3.23"/>
    <s v="DQS_MAO04_FILE_000_B"/>
    <s v="RECORD COUNT by MBR_ID, DOS_THRU_DT, DX_CD Grain grouped by PAYER, SRC_FILE_NM, DOS_THRU_YYYYMM"/>
  </r>
  <r>
    <x v="1"/>
    <s v="FFV.MA_MAO004.MERCYOK.1214771.20240222.152547588.TXT"/>
    <x v="72"/>
    <x v="7"/>
    <n v="2378"/>
    <n v="56330"/>
    <n v="4.22"/>
    <s v="DQS_MAO04_FILE_000_B"/>
    <s v="RECORD COUNT by MBR_ID, DOS_THRU_DT, DX_CD Grain grouped by PAYER, SRC_FILE_NM, DOS_THRU_YYYYMM"/>
  </r>
  <r>
    <x v="1"/>
    <s v="FFV.MA_MAO004.MERCYOK.1214771.20240222.152547588.TXT"/>
    <x v="73"/>
    <x v="7"/>
    <n v="2312"/>
    <n v="56330"/>
    <n v="4.0999999999999996"/>
    <s v="DQS_MAO04_FILE_000_B"/>
    <s v="RECORD COUNT by MBR_ID, DOS_THRU_DT, DX_CD Grain grouped by PAYER, SRC_FILE_NM, DOS_THRU_YYYYMM"/>
  </r>
  <r>
    <x v="1"/>
    <s v="FFV.MA_MAO004.MERCYOK.1214771.20240222.152547588.TXT"/>
    <x v="74"/>
    <x v="7"/>
    <n v="2214"/>
    <n v="56330"/>
    <n v="3.93"/>
    <s v="DQS_MAO04_FILE_000_B"/>
    <s v="RECORD COUNT by MBR_ID, DOS_THRU_DT, DX_CD Grain grouped by PAYER, SRC_FILE_NM, DOS_THRU_YYYYMM"/>
  </r>
  <r>
    <x v="1"/>
    <s v="FFV.MA_MAO004.MERCYOK.1214771.20240222.152547588.TXT"/>
    <x v="75"/>
    <x v="7"/>
    <n v="2238"/>
    <n v="56330"/>
    <n v="3.97"/>
    <s v="DQS_MAO04_FILE_000_B"/>
    <s v="RECORD COUNT by MBR_ID, DOS_THRU_DT, DX_CD Grain grouped by PAYER, SRC_FILE_NM, DOS_THRU_YYYYMM"/>
  </r>
  <r>
    <x v="1"/>
    <s v="FFV.MA_MAO004.MERCYOK.1214771.20240222.152547588.TXT"/>
    <x v="76"/>
    <x v="7"/>
    <n v="2293"/>
    <n v="56330"/>
    <n v="4.07"/>
    <s v="DQS_MAO04_FILE_000_B"/>
    <s v="RECORD COUNT by MBR_ID, DOS_THRU_DT, DX_CD Grain grouped by PAYER, SRC_FILE_NM, DOS_THRU_YYYYMM"/>
  </r>
  <r>
    <x v="1"/>
    <s v="FFV.MA_MAO004.MERCYOK.1214771.20240222.152547588.TXT"/>
    <x v="77"/>
    <x v="8"/>
    <n v="2256"/>
    <n v="56330"/>
    <n v="4"/>
    <s v="DQS_MAO04_FILE_000_B"/>
    <s v="RECORD COUNT by MBR_ID, DOS_THRU_DT, DX_CD Grain grouped by PAYER, SRC_FILE_NM, DOS_THRU_YYYYMM"/>
  </r>
  <r>
    <x v="1"/>
    <s v="FFV.MA_MAO004.MERCYOK.1214771.20240222.152547588.TXT"/>
    <x v="78"/>
    <x v="8"/>
    <n v="2626"/>
    <n v="56330"/>
    <n v="4.66"/>
    <s v="DQS_MAO04_FILE_000_B"/>
    <s v="RECORD COUNT by MBR_ID, DOS_THRU_DT, DX_CD Grain grouped by PAYER, SRC_FILE_NM, DOS_THRU_YYYYMM"/>
  </r>
  <r>
    <x v="1"/>
    <s v="FFV.MA_MAO004.MERCYOK.1214771.20240222.152547588.TXT"/>
    <x v="79"/>
    <x v="8"/>
    <n v="2906"/>
    <n v="56330"/>
    <n v="5.16"/>
    <s v="DQS_MAO04_FILE_000_B"/>
    <s v="RECORD COUNT by MBR_ID, DOS_THRU_DT, DX_CD Grain grouped by PAYER, SRC_FILE_NM, DOS_THRU_YYYYMM"/>
  </r>
  <r>
    <x v="1"/>
    <s v="FFV.MA_MAO004.MERCYOK.1214771.20240222.152547588.TXT"/>
    <x v="80"/>
    <x v="8"/>
    <n v="2936"/>
    <n v="56330"/>
    <n v="5.21"/>
    <s v="DQS_MAO04_FILE_000_B"/>
    <s v="RECORD COUNT by MBR_ID, DOS_THRU_DT, DX_CD Grain grouped by PAYER, SRC_FILE_NM, DOS_THRU_YYYYMM"/>
  </r>
  <r>
    <x v="1"/>
    <s v="FFV.MA_MAO004.MERCYOK.1214771.20240222.152547588.TXT"/>
    <x v="81"/>
    <x v="8"/>
    <n v="2578"/>
    <n v="56330"/>
    <n v="4.58"/>
    <s v="DQS_MAO04_FILE_000_B"/>
    <s v="RECORD COUNT by MBR_ID, DOS_THRU_DT, DX_CD Grain grouped by PAYER, SRC_FILE_NM, DOS_THRU_YYYYMM"/>
  </r>
  <r>
    <x v="1"/>
    <s v="FFV.MA_MAO004.MERCYOK.1214771.20240222.152547588.TXT"/>
    <x v="82"/>
    <x v="8"/>
    <n v="2786"/>
    <n v="56330"/>
    <n v="4.95"/>
    <s v="DQS_MAO04_FILE_000_B"/>
    <s v="RECORD COUNT by MBR_ID, DOS_THRU_DT, DX_CD Grain grouped by PAYER, SRC_FILE_NM, DOS_THRU_YYYYMM"/>
  </r>
  <r>
    <x v="1"/>
    <s v="FFV.MA_MAO004.MERCYOK.1214771.20240222.152547588.TXT"/>
    <x v="83"/>
    <x v="8"/>
    <n v="2873"/>
    <n v="56330"/>
    <n v="5.0999999999999996"/>
    <s v="DQS_MAO04_FILE_000_B"/>
    <s v="RECORD COUNT by MBR_ID, DOS_THRU_DT, DX_CD Grain grouped by PAYER, SRC_FILE_NM, DOS_THRU_YYYYMM"/>
  </r>
  <r>
    <x v="1"/>
    <s v="FFV.MA_MAO004.MERCYOK.1214771.20240222.152547588.TXT"/>
    <x v="84"/>
    <x v="8"/>
    <n v="2663"/>
    <n v="56330"/>
    <n v="4.7300000000000004"/>
    <s v="DQS_MAO04_FILE_000_B"/>
    <s v="RECORD COUNT by MBR_ID, DOS_THRU_DT, DX_CD Grain grouped by PAYER, SRC_FILE_NM, DOS_THRU_YYYYMM"/>
  </r>
  <r>
    <x v="1"/>
    <s v="FFV.MA_MAO004.MERCYOK.1214771.20240222.152547588.TXT"/>
    <x v="85"/>
    <x v="8"/>
    <n v="2690"/>
    <n v="56330"/>
    <n v="4.78"/>
    <s v="DQS_MAO04_FILE_000_B"/>
    <s v="RECORD COUNT by MBR_ID, DOS_THRU_DT, DX_CD Grain grouped by PAYER, SRC_FILE_NM, DOS_THRU_YYYYMM"/>
  </r>
  <r>
    <x v="1"/>
    <s v="FFV.MA_MAO004.MERCYOK.1214771.20240222.152547588.TXT"/>
    <x v="86"/>
    <x v="8"/>
    <n v="2511"/>
    <n v="56330"/>
    <n v="4.46"/>
    <s v="DQS_MAO04_FILE_000_B"/>
    <s v="RECORD COUNT by MBR_ID, DOS_THRU_DT, DX_CD Grain grouped by PAYER, SRC_FILE_NM, DOS_THRU_YYYYMM"/>
  </r>
  <r>
    <x v="1"/>
    <s v="FFV.MA_MAO004.MERCYOK.1214771.20240222.152547588.TXT"/>
    <x v="87"/>
    <x v="8"/>
    <n v="2826"/>
    <n v="56330"/>
    <n v="5.0199999999999996"/>
    <s v="DQS_MAO04_FILE_000_B"/>
    <s v="RECORD COUNT by MBR_ID, DOS_THRU_DT, DX_CD Grain grouped by PAYER, SRC_FILE_NM, DOS_THRU_YYYYMM"/>
  </r>
  <r>
    <x v="1"/>
    <s v="FFV.MA_MAO004.MERCYOK.1214771.20240222.152547588.TXT"/>
    <x v="88"/>
    <x v="8"/>
    <n v="1098"/>
    <n v="56330"/>
    <n v="1.95"/>
    <s v="DQS_MAO04_FILE_000_B"/>
    <s v="RECORD COUNT by MBR_ID, DOS_THRU_DT, DX_CD Grain grouped by PAYER, SRC_FILE_NM, DOS_THRU_YYYYMM"/>
  </r>
  <r>
    <x v="1"/>
    <s v="FFV.MA_MAO004.MERCYOK.1214771.20240327.164409360.TXT"/>
    <x v="65"/>
    <x v="7"/>
    <n v="1881"/>
    <n v="62327"/>
    <n v="3.02"/>
    <s v="DQS_MAO04_FILE_000_B"/>
    <s v="RECORD COUNT by MBR_ID, DOS_THRU_DT, DX_CD Grain grouped by PAYER, SRC_FILE_NM, DOS_THRU_YYYYMM"/>
  </r>
  <r>
    <x v="1"/>
    <s v="FFV.MA_MAO004.MERCYOK.1214771.20240327.164409360.TXT"/>
    <x v="66"/>
    <x v="7"/>
    <n v="2080"/>
    <n v="62327"/>
    <n v="3.34"/>
    <s v="DQS_MAO04_FILE_000_B"/>
    <s v="RECORD COUNT by MBR_ID, DOS_THRU_DT, DX_CD Grain grouped by PAYER, SRC_FILE_NM, DOS_THRU_YYYYMM"/>
  </r>
  <r>
    <x v="1"/>
    <s v="FFV.MA_MAO004.MERCYOK.1214771.20240327.164409360.TXT"/>
    <x v="67"/>
    <x v="7"/>
    <n v="2317"/>
    <n v="62327"/>
    <n v="3.72"/>
    <s v="DQS_MAO04_FILE_000_B"/>
    <s v="RECORD COUNT by MBR_ID, DOS_THRU_DT, DX_CD Grain grouped by PAYER, SRC_FILE_NM, DOS_THRU_YYYYMM"/>
  </r>
  <r>
    <x v="1"/>
    <s v="FFV.MA_MAO004.MERCYOK.1214771.20240327.164409360.TXT"/>
    <x v="68"/>
    <x v="7"/>
    <n v="1899"/>
    <n v="62327"/>
    <n v="3.05"/>
    <s v="DQS_MAO04_FILE_000_B"/>
    <s v="RECORD COUNT by MBR_ID, DOS_THRU_DT, DX_CD Grain grouped by PAYER, SRC_FILE_NM, DOS_THRU_YYYYMM"/>
  </r>
  <r>
    <x v="1"/>
    <s v="FFV.MA_MAO004.MERCYOK.1214771.20240327.164409360.TXT"/>
    <x v="69"/>
    <x v="7"/>
    <n v="2119"/>
    <n v="62327"/>
    <n v="3.4"/>
    <s v="DQS_MAO04_FILE_000_B"/>
    <s v="RECORD COUNT by MBR_ID, DOS_THRU_DT, DX_CD Grain grouped by PAYER, SRC_FILE_NM, DOS_THRU_YYYYMM"/>
  </r>
  <r>
    <x v="1"/>
    <s v="FFV.MA_MAO004.MERCYOK.1214771.20240327.164409360.TXT"/>
    <x v="70"/>
    <x v="7"/>
    <n v="1998"/>
    <n v="62327"/>
    <n v="3.21"/>
    <s v="DQS_MAO04_FILE_000_B"/>
    <s v="RECORD COUNT by MBR_ID, DOS_THRU_DT, DX_CD Grain grouped by PAYER, SRC_FILE_NM, DOS_THRU_YYYYMM"/>
  </r>
  <r>
    <x v="1"/>
    <s v="FFV.MA_MAO004.MERCYOK.1214771.20240327.164409360.TXT"/>
    <x v="71"/>
    <x v="7"/>
    <n v="1760"/>
    <n v="62327"/>
    <n v="2.82"/>
    <s v="DQS_MAO04_FILE_000_B"/>
    <s v="RECORD COUNT by MBR_ID, DOS_THRU_DT, DX_CD Grain grouped by PAYER, SRC_FILE_NM, DOS_THRU_YYYYMM"/>
  </r>
  <r>
    <x v="1"/>
    <s v="FFV.MA_MAO004.MERCYOK.1214771.20240327.164409360.TXT"/>
    <x v="72"/>
    <x v="7"/>
    <n v="2397"/>
    <n v="62327"/>
    <n v="3.85"/>
    <s v="DQS_MAO04_FILE_000_B"/>
    <s v="RECORD COUNT by MBR_ID, DOS_THRU_DT, DX_CD Grain grouped by PAYER, SRC_FILE_NM, DOS_THRU_YYYYMM"/>
  </r>
  <r>
    <x v="1"/>
    <s v="FFV.MA_MAO004.MERCYOK.1214771.20240327.164409360.TXT"/>
    <x v="73"/>
    <x v="7"/>
    <n v="2365"/>
    <n v="62327"/>
    <n v="3.79"/>
    <s v="DQS_MAO04_FILE_000_B"/>
    <s v="RECORD COUNT by MBR_ID, DOS_THRU_DT, DX_CD Grain grouped by PAYER, SRC_FILE_NM, DOS_THRU_YYYYMM"/>
  </r>
  <r>
    <x v="1"/>
    <s v="FFV.MA_MAO004.MERCYOK.1214771.20240327.164409360.TXT"/>
    <x v="74"/>
    <x v="7"/>
    <n v="2267"/>
    <n v="62327"/>
    <n v="3.64"/>
    <s v="DQS_MAO04_FILE_000_B"/>
    <s v="RECORD COUNT by MBR_ID, DOS_THRU_DT, DX_CD Grain grouped by PAYER, SRC_FILE_NM, DOS_THRU_YYYYMM"/>
  </r>
  <r>
    <x v="1"/>
    <s v="FFV.MA_MAO004.MERCYOK.1214771.20240327.164409360.TXT"/>
    <x v="75"/>
    <x v="7"/>
    <n v="2276"/>
    <n v="62327"/>
    <n v="3.65"/>
    <s v="DQS_MAO04_FILE_000_B"/>
    <s v="RECORD COUNT by MBR_ID, DOS_THRU_DT, DX_CD Grain grouped by PAYER, SRC_FILE_NM, DOS_THRU_YYYYMM"/>
  </r>
  <r>
    <x v="1"/>
    <s v="FFV.MA_MAO004.MERCYOK.1214771.20240327.164409360.TXT"/>
    <x v="76"/>
    <x v="7"/>
    <n v="2257"/>
    <n v="62327"/>
    <n v="3.62"/>
    <s v="DQS_MAO04_FILE_000_B"/>
    <s v="RECORD COUNT by MBR_ID, DOS_THRU_DT, DX_CD Grain grouped by PAYER, SRC_FILE_NM, DOS_THRU_YYYYMM"/>
  </r>
  <r>
    <x v="1"/>
    <s v="FFV.MA_MAO004.MERCYOK.1214771.20240327.164409360.TXT"/>
    <x v="77"/>
    <x v="8"/>
    <n v="2262"/>
    <n v="62327"/>
    <n v="3.63"/>
    <s v="DQS_MAO04_FILE_000_B"/>
    <s v="RECORD COUNT by MBR_ID, DOS_THRU_DT, DX_CD Grain grouped by PAYER, SRC_FILE_NM, DOS_THRU_YYYYMM"/>
  </r>
  <r>
    <x v="1"/>
    <s v="FFV.MA_MAO004.MERCYOK.1214771.20240327.164409360.TXT"/>
    <x v="78"/>
    <x v="8"/>
    <n v="2624"/>
    <n v="62327"/>
    <n v="4.21"/>
    <s v="DQS_MAO04_FILE_000_B"/>
    <s v="RECORD COUNT by MBR_ID, DOS_THRU_DT, DX_CD Grain grouped by PAYER, SRC_FILE_NM, DOS_THRU_YYYYMM"/>
  </r>
  <r>
    <x v="1"/>
    <s v="FFV.MA_MAO004.MERCYOK.1214771.20240327.164409360.TXT"/>
    <x v="79"/>
    <x v="8"/>
    <n v="2879"/>
    <n v="62327"/>
    <n v="4.62"/>
    <s v="DQS_MAO04_FILE_000_B"/>
    <s v="RECORD COUNT by MBR_ID, DOS_THRU_DT, DX_CD Grain grouped by PAYER, SRC_FILE_NM, DOS_THRU_YYYYMM"/>
  </r>
  <r>
    <x v="1"/>
    <s v="FFV.MA_MAO004.MERCYOK.1214771.20240327.164409360.TXT"/>
    <x v="80"/>
    <x v="8"/>
    <n v="2929"/>
    <n v="62327"/>
    <n v="4.7"/>
    <s v="DQS_MAO04_FILE_000_B"/>
    <s v="RECORD COUNT by MBR_ID, DOS_THRU_DT, DX_CD Grain grouped by PAYER, SRC_FILE_NM, DOS_THRU_YYYYMM"/>
  </r>
  <r>
    <x v="1"/>
    <s v="FFV.MA_MAO004.MERCYOK.1214771.20240327.164409360.TXT"/>
    <x v="81"/>
    <x v="8"/>
    <n v="2573"/>
    <n v="62327"/>
    <n v="4.13"/>
    <s v="DQS_MAO04_FILE_000_B"/>
    <s v="RECORD COUNT by MBR_ID, DOS_THRU_DT, DX_CD Grain grouped by PAYER, SRC_FILE_NM, DOS_THRU_YYYYMM"/>
  </r>
  <r>
    <x v="1"/>
    <s v="FFV.MA_MAO004.MERCYOK.1214771.20240327.164409360.TXT"/>
    <x v="82"/>
    <x v="8"/>
    <n v="2752"/>
    <n v="62327"/>
    <n v="4.42"/>
    <s v="DQS_MAO04_FILE_000_B"/>
    <s v="RECORD COUNT by MBR_ID, DOS_THRU_DT, DX_CD Grain grouped by PAYER, SRC_FILE_NM, DOS_THRU_YYYYMM"/>
  </r>
  <r>
    <x v="1"/>
    <s v="FFV.MA_MAO004.MERCYOK.1214771.20240327.164409360.TXT"/>
    <x v="83"/>
    <x v="8"/>
    <n v="2883"/>
    <n v="62327"/>
    <n v="4.63"/>
    <s v="DQS_MAO04_FILE_000_B"/>
    <s v="RECORD COUNT by MBR_ID, DOS_THRU_DT, DX_CD Grain grouped by PAYER, SRC_FILE_NM, DOS_THRU_YYYYMM"/>
  </r>
  <r>
    <x v="1"/>
    <s v="FFV.MA_MAO004.MERCYOK.1214771.20240327.164409360.TXT"/>
    <x v="84"/>
    <x v="8"/>
    <n v="2686"/>
    <n v="62327"/>
    <n v="4.3099999999999996"/>
    <s v="DQS_MAO04_FILE_000_B"/>
    <s v="RECORD COUNT by MBR_ID, DOS_THRU_DT, DX_CD Grain grouped by PAYER, SRC_FILE_NM, DOS_THRU_YYYYMM"/>
  </r>
  <r>
    <x v="1"/>
    <s v="FFV.MA_MAO004.MERCYOK.1214771.20240327.164409360.TXT"/>
    <x v="85"/>
    <x v="8"/>
    <n v="2664"/>
    <n v="62327"/>
    <n v="4.2699999999999996"/>
    <s v="DQS_MAO04_FILE_000_B"/>
    <s v="RECORD COUNT by MBR_ID, DOS_THRU_DT, DX_CD Grain grouped by PAYER, SRC_FILE_NM, DOS_THRU_YYYYMM"/>
  </r>
  <r>
    <x v="1"/>
    <s v="FFV.MA_MAO004.MERCYOK.1214771.20240327.164409360.TXT"/>
    <x v="86"/>
    <x v="8"/>
    <n v="2477"/>
    <n v="62327"/>
    <n v="3.97"/>
    <s v="DQS_MAO04_FILE_000_B"/>
    <s v="RECORD COUNT by MBR_ID, DOS_THRU_DT, DX_CD Grain grouped by PAYER, SRC_FILE_NM, DOS_THRU_YYYYMM"/>
  </r>
  <r>
    <x v="1"/>
    <s v="FFV.MA_MAO004.MERCYOK.1214771.20240327.164409360.TXT"/>
    <x v="87"/>
    <x v="8"/>
    <n v="3003"/>
    <n v="62327"/>
    <n v="4.82"/>
    <s v="DQS_MAO04_FILE_000_B"/>
    <s v="RECORD COUNT by MBR_ID, DOS_THRU_DT, DX_CD Grain grouped by PAYER, SRC_FILE_NM, DOS_THRU_YYYYMM"/>
  </r>
  <r>
    <x v="1"/>
    <s v="FFV.MA_MAO004.MERCYOK.1214771.20240327.164409360.TXT"/>
    <x v="88"/>
    <x v="8"/>
    <n v="2568"/>
    <n v="62327"/>
    <n v="4.12"/>
    <s v="DQS_MAO04_FILE_000_B"/>
    <s v="RECORD COUNT by MBR_ID, DOS_THRU_DT, DX_CD Grain grouped by PAYER, SRC_FILE_NM, DOS_THRU_YYYYMM"/>
  </r>
  <r>
    <x v="1"/>
    <s v="FFV.MA_MAO004.MERCYOK.1214771.20240327.164409360.TXT"/>
    <x v="89"/>
    <x v="9"/>
    <n v="2812"/>
    <n v="62327"/>
    <n v="4.51"/>
    <s v="DQS_MAO04_FILE_000_B"/>
    <s v="RECORD COUNT by MBR_ID, DOS_THRU_DT, DX_CD Grain grouped by PAYER, SRC_FILE_NM, DOS_THRU_YYYYMM"/>
  </r>
  <r>
    <x v="1"/>
    <s v="FFV.MA_MAO004.MERCYOK.1214771.20240327.164409360.TXT"/>
    <x v="97"/>
    <x v="9"/>
    <n v="1599"/>
    <n v="62327"/>
    <n v="2.57"/>
    <s v="DQS_MAO04_FILE_000_B"/>
    <s v="RECORD COUNT by MBR_ID, DOS_THRU_DT, DX_CD Grain grouped by PAYER, SRC_FILE_NM, DOS_THRU_YYYYMM"/>
  </r>
  <r>
    <x v="1"/>
    <s v="FFV.MA_MAO004.MERCYOK.1214771.20240424.145736099.TXT"/>
    <x v="65"/>
    <x v="7"/>
    <n v="1829"/>
    <n v="64862"/>
    <n v="2.82"/>
    <s v="DQS_MAO04_FILE_000_B"/>
    <s v="RECORD COUNT by MBR_ID, DOS_THRU_DT, DX_CD Grain grouped by PAYER, SRC_FILE_NM, DOS_THRU_YYYYMM"/>
  </r>
  <r>
    <x v="1"/>
    <s v="FFV.MA_MAO004.MERCYOK.1214771.20240424.145736099.TXT"/>
    <x v="66"/>
    <x v="7"/>
    <n v="2016"/>
    <n v="64862"/>
    <n v="3.11"/>
    <s v="DQS_MAO04_FILE_000_B"/>
    <s v="RECORD COUNT by MBR_ID, DOS_THRU_DT, DX_CD Grain grouped by PAYER, SRC_FILE_NM, DOS_THRU_YYYYMM"/>
  </r>
  <r>
    <x v="1"/>
    <s v="FFV.MA_MAO004.MERCYOK.1214771.20240424.145736099.TXT"/>
    <x v="67"/>
    <x v="7"/>
    <n v="2227"/>
    <n v="64862"/>
    <n v="3.43"/>
    <s v="DQS_MAO04_FILE_000_B"/>
    <s v="RECORD COUNT by MBR_ID, DOS_THRU_DT, DX_CD Grain grouped by PAYER, SRC_FILE_NM, DOS_THRU_YYYYMM"/>
  </r>
  <r>
    <x v="1"/>
    <s v="FFV.MA_MAO004.MERCYOK.1214771.20240424.145736099.TXT"/>
    <x v="68"/>
    <x v="7"/>
    <n v="1837"/>
    <n v="64862"/>
    <n v="2.83"/>
    <s v="DQS_MAO04_FILE_000_B"/>
    <s v="RECORD COUNT by MBR_ID, DOS_THRU_DT, DX_CD Grain grouped by PAYER, SRC_FILE_NM, DOS_THRU_YYYYMM"/>
  </r>
  <r>
    <x v="1"/>
    <s v="FFV.MA_MAO004.MERCYOK.1214771.20240424.145736099.TXT"/>
    <x v="69"/>
    <x v="7"/>
    <n v="2083"/>
    <n v="64862"/>
    <n v="3.21"/>
    <s v="DQS_MAO04_FILE_000_B"/>
    <s v="RECORD COUNT by MBR_ID, DOS_THRU_DT, DX_CD Grain grouped by PAYER, SRC_FILE_NM, DOS_THRU_YYYYMM"/>
  </r>
  <r>
    <x v="1"/>
    <s v="FFV.MA_MAO004.MERCYOK.1214771.20240424.145736099.TXT"/>
    <x v="70"/>
    <x v="7"/>
    <n v="1877"/>
    <n v="64862"/>
    <n v="2.89"/>
    <s v="DQS_MAO04_FILE_000_B"/>
    <s v="RECORD COUNT by MBR_ID, DOS_THRU_DT, DX_CD Grain grouped by PAYER, SRC_FILE_NM, DOS_THRU_YYYYMM"/>
  </r>
  <r>
    <x v="1"/>
    <s v="FFV.MA_MAO004.MERCYOK.1214771.20240424.145736099.TXT"/>
    <x v="71"/>
    <x v="7"/>
    <n v="1707"/>
    <n v="64862"/>
    <n v="2.63"/>
    <s v="DQS_MAO04_FILE_000_B"/>
    <s v="RECORD COUNT by MBR_ID, DOS_THRU_DT, DX_CD Grain grouped by PAYER, SRC_FILE_NM, DOS_THRU_YYYYMM"/>
  </r>
  <r>
    <x v="1"/>
    <s v="FFV.MA_MAO004.MERCYOK.1214771.20240424.145736099.TXT"/>
    <x v="72"/>
    <x v="7"/>
    <n v="2261"/>
    <n v="64862"/>
    <n v="3.49"/>
    <s v="DQS_MAO04_FILE_000_B"/>
    <s v="RECORD COUNT by MBR_ID, DOS_THRU_DT, DX_CD Grain grouped by PAYER, SRC_FILE_NM, DOS_THRU_YYYYMM"/>
  </r>
  <r>
    <x v="1"/>
    <s v="FFV.MA_MAO004.MERCYOK.1214771.20240424.145736099.TXT"/>
    <x v="73"/>
    <x v="7"/>
    <n v="2274"/>
    <n v="64862"/>
    <n v="3.51"/>
    <s v="DQS_MAO04_FILE_000_B"/>
    <s v="RECORD COUNT by MBR_ID, DOS_THRU_DT, DX_CD Grain grouped by PAYER, SRC_FILE_NM, DOS_THRU_YYYYMM"/>
  </r>
  <r>
    <x v="1"/>
    <s v="FFV.MA_MAO004.MERCYOK.1214771.20240424.145736099.TXT"/>
    <x v="74"/>
    <x v="7"/>
    <n v="2222"/>
    <n v="64862"/>
    <n v="3.43"/>
    <s v="DQS_MAO04_FILE_000_B"/>
    <s v="RECORD COUNT by MBR_ID, DOS_THRU_DT, DX_CD Grain grouped by PAYER, SRC_FILE_NM, DOS_THRU_YYYYMM"/>
  </r>
  <r>
    <x v="1"/>
    <s v="FFV.MA_MAO004.MERCYOK.1214771.20240424.145736099.TXT"/>
    <x v="75"/>
    <x v="7"/>
    <n v="2253"/>
    <n v="64862"/>
    <n v="3.47"/>
    <s v="DQS_MAO04_FILE_000_B"/>
    <s v="RECORD COUNT by MBR_ID, DOS_THRU_DT, DX_CD Grain grouped by PAYER, SRC_FILE_NM, DOS_THRU_YYYYMM"/>
  </r>
  <r>
    <x v="1"/>
    <s v="FFV.MA_MAO004.MERCYOK.1214771.20240424.145736099.TXT"/>
    <x v="76"/>
    <x v="7"/>
    <n v="2289"/>
    <n v="64862"/>
    <n v="3.53"/>
    <s v="DQS_MAO04_FILE_000_B"/>
    <s v="RECORD COUNT by MBR_ID, DOS_THRU_DT, DX_CD Grain grouped by PAYER, SRC_FILE_NM, DOS_THRU_YYYYMM"/>
  </r>
  <r>
    <x v="1"/>
    <s v="FFV.MA_MAO004.MERCYOK.1214771.20240424.145736099.TXT"/>
    <x v="77"/>
    <x v="8"/>
    <n v="2147"/>
    <n v="64862"/>
    <n v="3.31"/>
    <s v="DQS_MAO04_FILE_000_B"/>
    <s v="RECORD COUNT by MBR_ID, DOS_THRU_DT, DX_CD Grain grouped by PAYER, SRC_FILE_NM, DOS_THRU_YYYYMM"/>
  </r>
  <r>
    <x v="1"/>
    <s v="FFV.MA_MAO004.MERCYOK.1214771.20240424.145736099.TXT"/>
    <x v="78"/>
    <x v="8"/>
    <n v="2535"/>
    <n v="64862"/>
    <n v="3.91"/>
    <s v="DQS_MAO04_FILE_000_B"/>
    <s v="RECORD COUNT by MBR_ID, DOS_THRU_DT, DX_CD Grain grouped by PAYER, SRC_FILE_NM, DOS_THRU_YYYYMM"/>
  </r>
  <r>
    <x v="1"/>
    <s v="FFV.MA_MAO004.MERCYOK.1214771.20240424.145736099.TXT"/>
    <x v="79"/>
    <x v="8"/>
    <n v="2808"/>
    <n v="64862"/>
    <n v="4.33"/>
    <s v="DQS_MAO04_FILE_000_B"/>
    <s v="RECORD COUNT by MBR_ID, DOS_THRU_DT, DX_CD Grain grouped by PAYER, SRC_FILE_NM, DOS_THRU_YYYYMM"/>
  </r>
  <r>
    <x v="1"/>
    <s v="FFV.MA_MAO004.MERCYOK.1214771.20240424.145736099.TXT"/>
    <x v="80"/>
    <x v="8"/>
    <n v="2860"/>
    <n v="64862"/>
    <n v="4.41"/>
    <s v="DQS_MAO04_FILE_000_B"/>
    <s v="RECORD COUNT by MBR_ID, DOS_THRU_DT, DX_CD Grain grouped by PAYER, SRC_FILE_NM, DOS_THRU_YYYYMM"/>
  </r>
  <r>
    <x v="1"/>
    <s v="FFV.MA_MAO004.MERCYOK.1214771.20240424.145736099.TXT"/>
    <x v="81"/>
    <x v="8"/>
    <n v="2517"/>
    <n v="64862"/>
    <n v="3.88"/>
    <s v="DQS_MAO04_FILE_000_B"/>
    <s v="RECORD COUNT by MBR_ID, DOS_THRU_DT, DX_CD Grain grouped by PAYER, SRC_FILE_NM, DOS_THRU_YYYYMM"/>
  </r>
  <r>
    <x v="1"/>
    <s v="FFV.MA_MAO004.MERCYOK.1214771.20240424.145736099.TXT"/>
    <x v="82"/>
    <x v="8"/>
    <n v="2800"/>
    <n v="64862"/>
    <n v="4.32"/>
    <s v="DQS_MAO04_FILE_000_B"/>
    <s v="RECORD COUNT by MBR_ID, DOS_THRU_DT, DX_CD Grain grouped by PAYER, SRC_FILE_NM, DOS_THRU_YYYYMM"/>
  </r>
  <r>
    <x v="1"/>
    <s v="FFV.MA_MAO004.MERCYOK.1214771.20240424.145736099.TXT"/>
    <x v="83"/>
    <x v="8"/>
    <n v="2894"/>
    <n v="64862"/>
    <n v="4.46"/>
    <s v="DQS_MAO04_FILE_000_B"/>
    <s v="RECORD COUNT by MBR_ID, DOS_THRU_DT, DX_CD Grain grouped by PAYER, SRC_FILE_NM, DOS_THRU_YYYYMM"/>
  </r>
  <r>
    <x v="1"/>
    <s v="FFV.MA_MAO004.MERCYOK.1214771.20240424.145736099.TXT"/>
    <x v="84"/>
    <x v="8"/>
    <n v="2685"/>
    <n v="64862"/>
    <n v="4.1399999999999997"/>
    <s v="DQS_MAO04_FILE_000_B"/>
    <s v="RECORD COUNT by MBR_ID, DOS_THRU_DT, DX_CD Grain grouped by PAYER, SRC_FILE_NM, DOS_THRU_YYYYMM"/>
  </r>
  <r>
    <x v="1"/>
    <s v="FFV.MA_MAO004.MERCYOK.1214771.20240424.145736099.TXT"/>
    <x v="85"/>
    <x v="8"/>
    <n v="2647"/>
    <n v="64862"/>
    <n v="4.08"/>
    <s v="DQS_MAO04_FILE_000_B"/>
    <s v="RECORD COUNT by MBR_ID, DOS_THRU_DT, DX_CD Grain grouped by PAYER, SRC_FILE_NM, DOS_THRU_YYYYMM"/>
  </r>
  <r>
    <x v="1"/>
    <s v="FFV.MA_MAO004.MERCYOK.1214771.20240424.145736099.TXT"/>
    <x v="86"/>
    <x v="8"/>
    <n v="2422"/>
    <n v="64862"/>
    <n v="3.73"/>
    <s v="DQS_MAO04_FILE_000_B"/>
    <s v="RECORD COUNT by MBR_ID, DOS_THRU_DT, DX_CD Grain grouped by PAYER, SRC_FILE_NM, DOS_THRU_YYYYMM"/>
  </r>
  <r>
    <x v="1"/>
    <s v="FFV.MA_MAO004.MERCYOK.1214771.20240424.145736099.TXT"/>
    <x v="87"/>
    <x v="8"/>
    <n v="2969"/>
    <n v="64862"/>
    <n v="4.58"/>
    <s v="DQS_MAO04_FILE_000_B"/>
    <s v="RECORD COUNT by MBR_ID, DOS_THRU_DT, DX_CD Grain grouped by PAYER, SRC_FILE_NM, DOS_THRU_YYYYMM"/>
  </r>
  <r>
    <x v="1"/>
    <s v="FFV.MA_MAO004.MERCYOK.1214771.20240424.145736099.TXT"/>
    <x v="88"/>
    <x v="8"/>
    <n v="2652"/>
    <n v="64862"/>
    <n v="4.09"/>
    <s v="DQS_MAO04_FILE_000_B"/>
    <s v="RECORD COUNT by MBR_ID, DOS_THRU_DT, DX_CD Grain grouped by PAYER, SRC_FILE_NM, DOS_THRU_YYYYMM"/>
  </r>
  <r>
    <x v="1"/>
    <s v="FFV.MA_MAO004.MERCYOK.1214771.20240424.145736099.TXT"/>
    <x v="89"/>
    <x v="9"/>
    <n v="3130"/>
    <n v="64862"/>
    <n v="4.83"/>
    <s v="DQS_MAO04_FILE_000_B"/>
    <s v="RECORD COUNT by MBR_ID, DOS_THRU_DT, DX_CD Grain grouped by PAYER, SRC_FILE_NM, DOS_THRU_YYYYMM"/>
  </r>
  <r>
    <x v="1"/>
    <s v="FFV.MA_MAO004.MERCYOK.1214771.20240424.145736099.TXT"/>
    <x v="97"/>
    <x v="9"/>
    <n v="3571"/>
    <n v="64862"/>
    <n v="5.51"/>
    <s v="DQS_MAO04_FILE_000_B"/>
    <s v="RECORD COUNT by MBR_ID, DOS_THRU_DT, DX_CD Grain grouped by PAYER, SRC_FILE_NM, DOS_THRU_YYYYMM"/>
  </r>
  <r>
    <x v="1"/>
    <s v="FFV.MA_MAO004.MERCYOK.1214771.20240424.145736099.TXT"/>
    <x v="98"/>
    <x v="9"/>
    <n v="1350"/>
    <n v="64862"/>
    <n v="2.08"/>
    <s v="DQS_MAO04_FILE_000_B"/>
    <s v="RECORD COUNT by MBR_ID, DOS_THRU_DT, DX_CD Grain grouped by PAYER, SRC_FILE_NM, DOS_THRU_YYYYMM"/>
  </r>
  <r>
    <x v="1"/>
    <s v="FFV.MA_MAO004.MERCYOK.1214771.20240522.101043496.TXT"/>
    <x v="65"/>
    <x v="7"/>
    <n v="1782"/>
    <n v="62424"/>
    <n v="2.85"/>
    <s v="DQS_MAO04_FILE_000_B"/>
    <s v="RECORD COUNT by MBR_ID, DOS_THRU_DT, DX_CD Grain grouped by PAYER, SRC_FILE_NM, DOS_THRU_YYYYMM"/>
  </r>
  <r>
    <x v="1"/>
    <s v="FFV.MA_MAO004.MERCYOK.1214771.20240522.101043496.TXT"/>
    <x v="66"/>
    <x v="7"/>
    <n v="1966"/>
    <n v="62424"/>
    <n v="3.15"/>
    <s v="DQS_MAO04_FILE_000_B"/>
    <s v="RECORD COUNT by MBR_ID, DOS_THRU_DT, DX_CD Grain grouped by PAYER, SRC_FILE_NM, DOS_THRU_YYYYMM"/>
  </r>
  <r>
    <x v="1"/>
    <s v="FFV.MA_MAO004.MERCYOK.1214771.20240522.101043496.TXT"/>
    <x v="67"/>
    <x v="7"/>
    <n v="2176"/>
    <n v="62424"/>
    <n v="3.49"/>
    <s v="DQS_MAO04_FILE_000_B"/>
    <s v="RECORD COUNT by MBR_ID, DOS_THRU_DT, DX_CD Grain grouped by PAYER, SRC_FILE_NM, DOS_THRU_YYYYMM"/>
  </r>
  <r>
    <x v="1"/>
    <s v="FFV.MA_MAO004.MERCYOK.1214771.20240522.101043496.TXT"/>
    <x v="68"/>
    <x v="7"/>
    <n v="1815"/>
    <n v="62424"/>
    <n v="2.91"/>
    <s v="DQS_MAO04_FILE_000_B"/>
    <s v="RECORD COUNT by MBR_ID, DOS_THRU_DT, DX_CD Grain grouped by PAYER, SRC_FILE_NM, DOS_THRU_YYYYMM"/>
  </r>
  <r>
    <x v="1"/>
    <s v="FFV.MA_MAO004.MERCYOK.1214771.20240522.101043496.TXT"/>
    <x v="69"/>
    <x v="7"/>
    <n v="2043"/>
    <n v="62424"/>
    <n v="3.27"/>
    <s v="DQS_MAO04_FILE_000_B"/>
    <s v="RECORD COUNT by MBR_ID, DOS_THRU_DT, DX_CD Grain grouped by PAYER, SRC_FILE_NM, DOS_THRU_YYYYMM"/>
  </r>
  <r>
    <x v="1"/>
    <s v="FFV.MA_MAO004.MERCYOK.1214771.20240522.101043496.TXT"/>
    <x v="70"/>
    <x v="7"/>
    <n v="1826"/>
    <n v="62424"/>
    <n v="2.93"/>
    <s v="DQS_MAO04_FILE_000_B"/>
    <s v="RECORD COUNT by MBR_ID, DOS_THRU_DT, DX_CD Grain grouped by PAYER, SRC_FILE_NM, DOS_THRU_YYYYMM"/>
  </r>
  <r>
    <x v="1"/>
    <s v="FFV.MA_MAO004.MERCYOK.1214771.20240522.101043496.TXT"/>
    <x v="71"/>
    <x v="7"/>
    <n v="1681"/>
    <n v="62424"/>
    <n v="2.69"/>
    <s v="DQS_MAO04_FILE_000_B"/>
    <s v="RECORD COUNT by MBR_ID, DOS_THRU_DT, DX_CD Grain grouped by PAYER, SRC_FILE_NM, DOS_THRU_YYYYMM"/>
  </r>
  <r>
    <x v="1"/>
    <s v="FFV.MA_MAO004.MERCYOK.1214771.20240522.101043496.TXT"/>
    <x v="72"/>
    <x v="7"/>
    <n v="2197"/>
    <n v="62424"/>
    <n v="3.52"/>
    <s v="DQS_MAO04_FILE_000_B"/>
    <s v="RECORD COUNT by MBR_ID, DOS_THRU_DT, DX_CD Grain grouped by PAYER, SRC_FILE_NM, DOS_THRU_YYYYMM"/>
  </r>
  <r>
    <x v="1"/>
    <s v="FFV.MA_MAO004.MERCYOK.1214771.20240522.101043496.TXT"/>
    <x v="73"/>
    <x v="7"/>
    <n v="2139"/>
    <n v="62424"/>
    <n v="3.43"/>
    <s v="DQS_MAO04_FILE_000_B"/>
    <s v="RECORD COUNT by MBR_ID, DOS_THRU_DT, DX_CD Grain grouped by PAYER, SRC_FILE_NM, DOS_THRU_YYYYMM"/>
  </r>
  <r>
    <x v="1"/>
    <s v="FFV.MA_MAO004.MERCYOK.1214771.20240522.101043496.TXT"/>
    <x v="74"/>
    <x v="7"/>
    <n v="2046"/>
    <n v="62424"/>
    <n v="3.28"/>
    <s v="DQS_MAO04_FILE_000_B"/>
    <s v="RECORD COUNT by MBR_ID, DOS_THRU_DT, DX_CD Grain grouped by PAYER, SRC_FILE_NM, DOS_THRU_YYYYMM"/>
  </r>
  <r>
    <x v="1"/>
    <s v="FFV.MA_MAO004.MERCYOK.1214771.20240522.101043496.TXT"/>
    <x v="75"/>
    <x v="7"/>
    <n v="2177"/>
    <n v="62424"/>
    <n v="3.49"/>
    <s v="DQS_MAO04_FILE_000_B"/>
    <s v="RECORD COUNT by MBR_ID, DOS_THRU_DT, DX_CD Grain grouped by PAYER, SRC_FILE_NM, DOS_THRU_YYYYMM"/>
  </r>
  <r>
    <x v="1"/>
    <s v="FFV.MA_MAO004.MERCYOK.1214771.20240522.101043496.TXT"/>
    <x v="76"/>
    <x v="7"/>
    <n v="2204"/>
    <n v="62424"/>
    <n v="3.53"/>
    <s v="DQS_MAO04_FILE_000_B"/>
    <s v="RECORD COUNT by MBR_ID, DOS_THRU_DT, DX_CD Grain grouped by PAYER, SRC_FILE_NM, DOS_THRU_YYYYMM"/>
  </r>
  <r>
    <x v="1"/>
    <s v="FFV.MA_MAO004.MERCYOK.1214771.20240522.101043496.TXT"/>
    <x v="77"/>
    <x v="8"/>
    <n v="2081"/>
    <n v="62424"/>
    <n v="3.33"/>
    <s v="DQS_MAO04_FILE_000_B"/>
    <s v="RECORD COUNT by MBR_ID, DOS_THRU_DT, DX_CD Grain grouped by PAYER, SRC_FILE_NM, DOS_THRU_YYYYMM"/>
  </r>
  <r>
    <x v="1"/>
    <s v="FFV.MA_MAO004.MERCYOK.1214771.20240522.101043496.TXT"/>
    <x v="78"/>
    <x v="8"/>
    <n v="2476"/>
    <n v="62424"/>
    <n v="3.97"/>
    <s v="DQS_MAO04_FILE_000_B"/>
    <s v="RECORD COUNT by MBR_ID, DOS_THRU_DT, DX_CD Grain grouped by PAYER, SRC_FILE_NM, DOS_THRU_YYYYMM"/>
  </r>
  <r>
    <x v="1"/>
    <s v="FFV.MA_MAO004.MERCYOK.1214771.20240522.101043496.TXT"/>
    <x v="79"/>
    <x v="8"/>
    <n v="2694"/>
    <n v="62424"/>
    <n v="4.32"/>
    <s v="DQS_MAO04_FILE_000_B"/>
    <s v="RECORD COUNT by MBR_ID, DOS_THRU_DT, DX_CD Grain grouped by PAYER, SRC_FILE_NM, DOS_THRU_YYYYMM"/>
  </r>
  <r>
    <x v="1"/>
    <s v="FFV.MA_MAO004.MERCYOK.1214771.20240522.101043496.TXT"/>
    <x v="80"/>
    <x v="8"/>
    <n v="2815"/>
    <n v="62424"/>
    <n v="4.51"/>
    <s v="DQS_MAO04_FILE_000_B"/>
    <s v="RECORD COUNT by MBR_ID, DOS_THRU_DT, DX_CD Grain grouped by PAYER, SRC_FILE_NM, DOS_THRU_YYYYMM"/>
  </r>
  <r>
    <x v="1"/>
    <s v="FFV.MA_MAO004.MERCYOK.1214771.20240522.101043496.TXT"/>
    <x v="81"/>
    <x v="8"/>
    <n v="2429"/>
    <n v="62424"/>
    <n v="3.89"/>
    <s v="DQS_MAO04_FILE_000_B"/>
    <s v="RECORD COUNT by MBR_ID, DOS_THRU_DT, DX_CD Grain grouped by PAYER, SRC_FILE_NM, DOS_THRU_YYYYMM"/>
  </r>
  <r>
    <x v="1"/>
    <s v="FFV.MA_MAO004.MERCYOK.1214771.20240522.101043496.TXT"/>
    <x v="82"/>
    <x v="8"/>
    <n v="2673"/>
    <n v="62424"/>
    <n v="4.28"/>
    <s v="DQS_MAO04_FILE_000_B"/>
    <s v="RECORD COUNT by MBR_ID, DOS_THRU_DT, DX_CD Grain grouped by PAYER, SRC_FILE_NM, DOS_THRU_YYYYMM"/>
  </r>
  <r>
    <x v="1"/>
    <s v="FFV.MA_MAO004.MERCYOK.1214771.20240522.101043496.TXT"/>
    <x v="83"/>
    <x v="8"/>
    <n v="2758"/>
    <n v="62424"/>
    <n v="4.42"/>
    <s v="DQS_MAO04_FILE_000_B"/>
    <s v="RECORD COUNT by MBR_ID, DOS_THRU_DT, DX_CD Grain grouped by PAYER, SRC_FILE_NM, DOS_THRU_YYYYMM"/>
  </r>
  <r>
    <x v="1"/>
    <s v="FFV.MA_MAO004.MERCYOK.1214771.20240522.101043496.TXT"/>
    <x v="84"/>
    <x v="8"/>
    <n v="2589"/>
    <n v="62424"/>
    <n v="4.1500000000000004"/>
    <s v="DQS_MAO04_FILE_000_B"/>
    <s v="RECORD COUNT by MBR_ID, DOS_THRU_DT, DX_CD Grain grouped by PAYER, SRC_FILE_NM, DOS_THRU_YYYYMM"/>
  </r>
  <r>
    <x v="1"/>
    <s v="FFV.MA_MAO004.MERCYOK.1214771.20240522.101043496.TXT"/>
    <x v="85"/>
    <x v="8"/>
    <n v="2558"/>
    <n v="62424"/>
    <n v="4.0999999999999996"/>
    <s v="DQS_MAO04_FILE_000_B"/>
    <s v="RECORD COUNT by MBR_ID, DOS_THRU_DT, DX_CD Grain grouped by PAYER, SRC_FILE_NM, DOS_THRU_YYYYMM"/>
  </r>
  <r>
    <x v="1"/>
    <s v="FFV.MA_MAO004.MERCYOK.1214771.20240522.101043496.TXT"/>
    <x v="86"/>
    <x v="8"/>
    <n v="2353"/>
    <n v="62424"/>
    <n v="3.77"/>
    <s v="DQS_MAO04_FILE_000_B"/>
    <s v="RECORD COUNT by MBR_ID, DOS_THRU_DT, DX_CD Grain grouped by PAYER, SRC_FILE_NM, DOS_THRU_YYYYMM"/>
  </r>
  <r>
    <x v="1"/>
    <s v="FFV.MA_MAO004.MERCYOK.1214771.20240522.101043496.TXT"/>
    <x v="87"/>
    <x v="8"/>
    <n v="2666"/>
    <n v="62424"/>
    <n v="4.2699999999999996"/>
    <s v="DQS_MAO04_FILE_000_B"/>
    <s v="RECORD COUNT by MBR_ID, DOS_THRU_DT, DX_CD Grain grouped by PAYER, SRC_FILE_NM, DOS_THRU_YYYYMM"/>
  </r>
  <r>
    <x v="1"/>
    <s v="FFV.MA_MAO004.MERCYOK.1214771.20240522.101043496.TXT"/>
    <x v="88"/>
    <x v="8"/>
    <n v="2499"/>
    <n v="62424"/>
    <n v="4"/>
    <s v="DQS_MAO04_FILE_000_B"/>
    <s v="RECORD COUNT by MBR_ID, DOS_THRU_DT, DX_CD Grain grouped by PAYER, SRC_FILE_NM, DOS_THRU_YYYYMM"/>
  </r>
  <r>
    <x v="1"/>
    <s v="FFV.MA_MAO004.MERCYOK.1214771.20240522.101043496.TXT"/>
    <x v="89"/>
    <x v="9"/>
    <n v="3009"/>
    <n v="62424"/>
    <n v="4.82"/>
    <s v="DQS_MAO04_FILE_000_B"/>
    <s v="RECORD COUNT by MBR_ID, DOS_THRU_DT, DX_CD Grain grouped by PAYER, SRC_FILE_NM, DOS_THRU_YYYYMM"/>
  </r>
  <r>
    <x v="1"/>
    <s v="FFV.MA_MAO004.MERCYOK.1214771.20240522.101043496.TXT"/>
    <x v="97"/>
    <x v="9"/>
    <n v="3447"/>
    <n v="62424"/>
    <n v="5.52"/>
    <s v="DQS_MAO04_FILE_000_B"/>
    <s v="RECORD COUNT by MBR_ID, DOS_THRU_DT, DX_CD Grain grouped by PAYER, SRC_FILE_NM, DOS_THRU_YYYYMM"/>
  </r>
  <r>
    <x v="1"/>
    <s v="FFV.MA_MAO004.MERCYOK.1214771.20240522.101043496.TXT"/>
    <x v="98"/>
    <x v="9"/>
    <n v="1325"/>
    <n v="62424"/>
    <n v="2.12"/>
    <s v="DQS_MAO04_FILE_000_B"/>
    <s v="RECORD COUNT by MBR_ID, DOS_THRU_DT, DX_CD Grain grouped by PAYER, SRC_FILE_NM, DOS_THRU_YYYYMM"/>
  </r>
  <r>
    <x v="1"/>
    <s v="FFV.MA_MAO004.MERCYOK.1214771.20240626.150235263.TXT"/>
    <x v="65"/>
    <x v="7"/>
    <n v="1739"/>
    <n v="68042"/>
    <n v="2.56"/>
    <s v="DQS_MAO04_FILE_000_B"/>
    <s v="RECORD COUNT by MBR_ID, DOS_THRU_DT, DX_CD Grain grouped by PAYER, SRC_FILE_NM, DOS_THRU_YYYYMM"/>
  </r>
  <r>
    <x v="1"/>
    <s v="FFV.MA_MAO004.MERCYOK.1214771.20240626.150235263.TXT"/>
    <x v="66"/>
    <x v="7"/>
    <n v="1951"/>
    <n v="68042"/>
    <n v="2.87"/>
    <s v="DQS_MAO04_FILE_000_B"/>
    <s v="RECORD COUNT by MBR_ID, DOS_THRU_DT, DX_CD Grain grouped by PAYER, SRC_FILE_NM, DOS_THRU_YYYYMM"/>
  </r>
  <r>
    <x v="1"/>
    <s v="FFV.MA_MAO004.MERCYOK.1214771.20240626.150235263.TXT"/>
    <x v="67"/>
    <x v="7"/>
    <n v="2228"/>
    <n v="68042"/>
    <n v="3.27"/>
    <s v="DQS_MAO04_FILE_000_B"/>
    <s v="RECORD COUNT by MBR_ID, DOS_THRU_DT, DX_CD Grain grouped by PAYER, SRC_FILE_NM, DOS_THRU_YYYYMM"/>
  </r>
  <r>
    <x v="1"/>
    <s v="FFV.MA_MAO004.MERCYOK.1214771.20240626.150235263.TXT"/>
    <x v="68"/>
    <x v="7"/>
    <n v="1827"/>
    <n v="68042"/>
    <n v="2.69"/>
    <s v="DQS_MAO04_FILE_000_B"/>
    <s v="RECORD COUNT by MBR_ID, DOS_THRU_DT, DX_CD Grain grouped by PAYER, SRC_FILE_NM, DOS_THRU_YYYYMM"/>
  </r>
  <r>
    <x v="1"/>
    <s v="FFV.MA_MAO004.MERCYOK.1214771.20240626.150235263.TXT"/>
    <x v="69"/>
    <x v="7"/>
    <n v="1987"/>
    <n v="68042"/>
    <n v="2.92"/>
    <s v="DQS_MAO04_FILE_000_B"/>
    <s v="RECORD COUNT by MBR_ID, DOS_THRU_DT, DX_CD Grain grouped by PAYER, SRC_FILE_NM, DOS_THRU_YYYYMM"/>
  </r>
  <r>
    <x v="1"/>
    <s v="FFV.MA_MAO004.MERCYOK.1214771.20240626.150235263.TXT"/>
    <x v="70"/>
    <x v="7"/>
    <n v="1836"/>
    <n v="68042"/>
    <n v="2.7"/>
    <s v="DQS_MAO04_FILE_000_B"/>
    <s v="RECORD COUNT by MBR_ID, DOS_THRU_DT, DX_CD Grain grouped by PAYER, SRC_FILE_NM, DOS_THRU_YYYYMM"/>
  </r>
  <r>
    <x v="1"/>
    <s v="FFV.MA_MAO004.MERCYOK.1214771.20240626.150235263.TXT"/>
    <x v="71"/>
    <x v="7"/>
    <n v="1648"/>
    <n v="68042"/>
    <n v="2.42"/>
    <s v="DQS_MAO04_FILE_000_B"/>
    <s v="RECORD COUNT by MBR_ID, DOS_THRU_DT, DX_CD Grain grouped by PAYER, SRC_FILE_NM, DOS_THRU_YYYYMM"/>
  </r>
  <r>
    <x v="1"/>
    <s v="FFV.MA_MAO004.MERCYOK.1214771.20240626.150235263.TXT"/>
    <x v="72"/>
    <x v="7"/>
    <n v="2291"/>
    <n v="68042"/>
    <n v="3.37"/>
    <s v="DQS_MAO04_FILE_000_B"/>
    <s v="RECORD COUNT by MBR_ID, DOS_THRU_DT, DX_CD Grain grouped by PAYER, SRC_FILE_NM, DOS_THRU_YYYYMM"/>
  </r>
  <r>
    <x v="1"/>
    <s v="FFV.MA_MAO004.MERCYOK.1214771.20240626.150235263.TXT"/>
    <x v="73"/>
    <x v="7"/>
    <n v="2133"/>
    <n v="68042"/>
    <n v="3.13"/>
    <s v="DQS_MAO04_FILE_000_B"/>
    <s v="RECORD COUNT by MBR_ID, DOS_THRU_DT, DX_CD Grain grouped by PAYER, SRC_FILE_NM, DOS_THRU_YYYYMM"/>
  </r>
  <r>
    <x v="1"/>
    <s v="FFV.MA_MAO004.MERCYOK.1214771.20240626.150235263.TXT"/>
    <x v="74"/>
    <x v="7"/>
    <n v="1971"/>
    <n v="68042"/>
    <n v="2.9"/>
    <s v="DQS_MAO04_FILE_000_B"/>
    <s v="RECORD COUNT by MBR_ID, DOS_THRU_DT, DX_CD Grain grouped by PAYER, SRC_FILE_NM, DOS_THRU_YYYYMM"/>
  </r>
  <r>
    <x v="1"/>
    <s v="FFV.MA_MAO004.MERCYOK.1214771.20240626.150235263.TXT"/>
    <x v="75"/>
    <x v="7"/>
    <n v="2076"/>
    <n v="68042"/>
    <n v="3.05"/>
    <s v="DQS_MAO04_FILE_000_B"/>
    <s v="RECORD COUNT by MBR_ID, DOS_THRU_DT, DX_CD Grain grouped by PAYER, SRC_FILE_NM, DOS_THRU_YYYYMM"/>
  </r>
  <r>
    <x v="1"/>
    <s v="FFV.MA_MAO004.MERCYOK.1214771.20240626.150235263.TXT"/>
    <x v="76"/>
    <x v="7"/>
    <n v="2154"/>
    <n v="68042"/>
    <n v="3.17"/>
    <s v="DQS_MAO04_FILE_000_B"/>
    <s v="RECORD COUNT by MBR_ID, DOS_THRU_DT, DX_CD Grain grouped by PAYER, SRC_FILE_NM, DOS_THRU_YYYYMM"/>
  </r>
  <r>
    <x v="1"/>
    <s v="FFV.MA_MAO004.MERCYOK.1214771.20240626.150235263.TXT"/>
    <x v="77"/>
    <x v="8"/>
    <n v="2018"/>
    <n v="68042"/>
    <n v="2.97"/>
    <s v="DQS_MAO04_FILE_000_B"/>
    <s v="RECORD COUNT by MBR_ID, DOS_THRU_DT, DX_CD Grain grouped by PAYER, SRC_FILE_NM, DOS_THRU_YYYYMM"/>
  </r>
  <r>
    <x v="1"/>
    <s v="FFV.MA_MAO004.MERCYOK.1214771.20240626.150235263.TXT"/>
    <x v="78"/>
    <x v="8"/>
    <n v="2443"/>
    <n v="68042"/>
    <n v="3.59"/>
    <s v="DQS_MAO04_FILE_000_B"/>
    <s v="RECORD COUNT by MBR_ID, DOS_THRU_DT, DX_CD Grain grouped by PAYER, SRC_FILE_NM, DOS_THRU_YYYYMM"/>
  </r>
  <r>
    <x v="1"/>
    <s v="FFV.MA_MAO004.MERCYOK.1214771.20240626.150235263.TXT"/>
    <x v="79"/>
    <x v="8"/>
    <n v="2574"/>
    <n v="68042"/>
    <n v="3.78"/>
    <s v="DQS_MAO04_FILE_000_B"/>
    <s v="RECORD COUNT by MBR_ID, DOS_THRU_DT, DX_CD Grain grouped by PAYER, SRC_FILE_NM, DOS_THRU_YYYYMM"/>
  </r>
  <r>
    <x v="1"/>
    <s v="FFV.MA_MAO004.MERCYOK.1214771.20240626.150235263.TXT"/>
    <x v="80"/>
    <x v="8"/>
    <n v="2676"/>
    <n v="68042"/>
    <n v="3.93"/>
    <s v="DQS_MAO04_FILE_000_B"/>
    <s v="RECORD COUNT by MBR_ID, DOS_THRU_DT, DX_CD Grain grouped by PAYER, SRC_FILE_NM, DOS_THRU_YYYYMM"/>
  </r>
  <r>
    <x v="1"/>
    <s v="FFV.MA_MAO004.MERCYOK.1214771.20240626.150235263.TXT"/>
    <x v="81"/>
    <x v="8"/>
    <n v="2396"/>
    <n v="68042"/>
    <n v="3.52"/>
    <s v="DQS_MAO04_FILE_000_B"/>
    <s v="RECORD COUNT by MBR_ID, DOS_THRU_DT, DX_CD Grain grouped by PAYER, SRC_FILE_NM, DOS_THRU_YYYYMM"/>
  </r>
  <r>
    <x v="1"/>
    <s v="FFV.MA_MAO004.MERCYOK.1214771.20240626.150235263.TXT"/>
    <x v="82"/>
    <x v="8"/>
    <n v="2595"/>
    <n v="68042"/>
    <n v="3.81"/>
    <s v="DQS_MAO04_FILE_000_B"/>
    <s v="RECORD COUNT by MBR_ID, DOS_THRU_DT, DX_CD Grain grouped by PAYER, SRC_FILE_NM, DOS_THRU_YYYYMM"/>
  </r>
  <r>
    <x v="1"/>
    <s v="FFV.MA_MAO004.MERCYOK.1214771.20240626.150235263.TXT"/>
    <x v="83"/>
    <x v="8"/>
    <n v="2666"/>
    <n v="68042"/>
    <n v="3.92"/>
    <s v="DQS_MAO04_FILE_000_B"/>
    <s v="RECORD COUNT by MBR_ID, DOS_THRU_DT, DX_CD Grain grouped by PAYER, SRC_FILE_NM, DOS_THRU_YYYYMM"/>
  </r>
  <r>
    <x v="1"/>
    <s v="FFV.MA_MAO004.MERCYOK.1214771.20240626.150235263.TXT"/>
    <x v="84"/>
    <x v="8"/>
    <n v="2449"/>
    <n v="68042"/>
    <n v="3.6"/>
    <s v="DQS_MAO04_FILE_000_B"/>
    <s v="RECORD COUNT by MBR_ID, DOS_THRU_DT, DX_CD Grain grouped by PAYER, SRC_FILE_NM, DOS_THRU_YYYYMM"/>
  </r>
  <r>
    <x v="1"/>
    <s v="FFV.MA_MAO004.MERCYOK.1214771.20240626.150235263.TXT"/>
    <x v="85"/>
    <x v="8"/>
    <n v="2467"/>
    <n v="68042"/>
    <n v="3.63"/>
    <s v="DQS_MAO04_FILE_000_B"/>
    <s v="RECORD COUNT by MBR_ID, DOS_THRU_DT, DX_CD Grain grouped by PAYER, SRC_FILE_NM, DOS_THRU_YYYYMM"/>
  </r>
  <r>
    <x v="1"/>
    <s v="FFV.MA_MAO004.MERCYOK.1214771.20240626.150235263.TXT"/>
    <x v="86"/>
    <x v="8"/>
    <n v="2289"/>
    <n v="68042"/>
    <n v="3.36"/>
    <s v="DQS_MAO04_FILE_000_B"/>
    <s v="RECORD COUNT by MBR_ID, DOS_THRU_DT, DX_CD Grain grouped by PAYER, SRC_FILE_NM, DOS_THRU_YYYYMM"/>
  </r>
  <r>
    <x v="1"/>
    <s v="FFV.MA_MAO004.MERCYOK.1214771.20240626.150235263.TXT"/>
    <x v="87"/>
    <x v="8"/>
    <n v="2556"/>
    <n v="68042"/>
    <n v="3.76"/>
    <s v="DQS_MAO04_FILE_000_B"/>
    <s v="RECORD COUNT by MBR_ID, DOS_THRU_DT, DX_CD Grain grouped by PAYER, SRC_FILE_NM, DOS_THRU_YYYYMM"/>
  </r>
  <r>
    <x v="1"/>
    <s v="FFV.MA_MAO004.MERCYOK.1214771.20240626.150235263.TXT"/>
    <x v="88"/>
    <x v="8"/>
    <n v="2475"/>
    <n v="68042"/>
    <n v="3.64"/>
    <s v="DQS_MAO04_FILE_000_B"/>
    <s v="RECORD COUNT by MBR_ID, DOS_THRU_DT, DX_CD Grain grouped by PAYER, SRC_FILE_NM, DOS_THRU_YYYYMM"/>
  </r>
  <r>
    <x v="1"/>
    <s v="FFV.MA_MAO004.MERCYOK.1214771.20240626.150235263.TXT"/>
    <x v="89"/>
    <x v="9"/>
    <n v="2909"/>
    <n v="68042"/>
    <n v="4.28"/>
    <s v="DQS_MAO04_FILE_000_B"/>
    <s v="RECORD COUNT by MBR_ID, DOS_THRU_DT, DX_CD Grain grouped by PAYER, SRC_FILE_NM, DOS_THRU_YYYYMM"/>
  </r>
  <r>
    <x v="1"/>
    <s v="FFV.MA_MAO004.MERCYOK.1214771.20240626.150235263.TXT"/>
    <x v="97"/>
    <x v="9"/>
    <n v="3632"/>
    <n v="68042"/>
    <n v="5.34"/>
    <s v="DQS_MAO04_FILE_000_B"/>
    <s v="RECORD COUNT by MBR_ID, DOS_THRU_DT, DX_CD Grain grouped by PAYER, SRC_FILE_NM, DOS_THRU_YYYYMM"/>
  </r>
  <r>
    <x v="1"/>
    <s v="FFV.MA_MAO004.MERCYOK.1214771.20240626.150235263.TXT"/>
    <x v="98"/>
    <x v="9"/>
    <n v="3165"/>
    <n v="68042"/>
    <n v="4.6500000000000004"/>
    <s v="DQS_MAO04_FILE_000_B"/>
    <s v="RECORD COUNT by MBR_ID, DOS_THRU_DT, DX_CD Grain grouped by PAYER, SRC_FILE_NM, DOS_THRU_YYYYMM"/>
  </r>
  <r>
    <x v="1"/>
    <s v="FFV.MA_MAO004.MERCYOK.1214771.20240626.150235263.TXT"/>
    <x v="99"/>
    <x v="9"/>
    <n v="3283"/>
    <n v="68042"/>
    <n v="4.82"/>
    <s v="DQS_MAO04_FILE_000_B"/>
    <s v="RECORD COUNT by MBR_ID, DOS_THRU_DT, DX_CD Grain grouped by PAYER, SRC_FILE_NM, DOS_THRU_YYYYMM"/>
  </r>
  <r>
    <x v="1"/>
    <s v="FFV.MA_MAO004.MERCYOK.1214771.20240626.150235263.TXT"/>
    <x v="100"/>
    <x v="9"/>
    <n v="1608"/>
    <n v="68042"/>
    <n v="2.36"/>
    <s v="DQS_MAO04_FILE_000_B"/>
    <s v="RECORD COUNT by MBR_ID, DOS_THRU_DT, DX_CD Grain grouped by PAYER, SRC_FILE_NM, DOS_THRU_YYYYMM"/>
  </r>
  <r>
    <x v="1"/>
    <s v="FFV.MA_MAO004.MERCYOK.1214771.20240723.144648327.TXT"/>
    <x v="65"/>
    <x v="7"/>
    <n v="1730"/>
    <n v="69180"/>
    <n v="2.5"/>
    <s v="DQS_MAO04_FILE_000_B"/>
    <s v="RECORD COUNT by MBR_ID, DOS_THRU_DT, DX_CD Grain grouped by PAYER, SRC_FILE_NM, DOS_THRU_YYYYMM"/>
  </r>
  <r>
    <x v="1"/>
    <s v="FFV.MA_MAO004.MERCYOK.1214771.20240723.144648327.TXT"/>
    <x v="66"/>
    <x v="7"/>
    <n v="1929"/>
    <n v="69180"/>
    <n v="2.79"/>
    <s v="DQS_MAO04_FILE_000_B"/>
    <s v="RECORD COUNT by MBR_ID, DOS_THRU_DT, DX_CD Grain grouped by PAYER, SRC_FILE_NM, DOS_THRU_YYYYMM"/>
  </r>
  <r>
    <x v="1"/>
    <s v="FFV.MA_MAO004.MERCYOK.1214771.20240723.144648327.TXT"/>
    <x v="67"/>
    <x v="7"/>
    <n v="2205"/>
    <n v="69180"/>
    <n v="3.19"/>
    <s v="DQS_MAO04_FILE_000_B"/>
    <s v="RECORD COUNT by MBR_ID, DOS_THRU_DT, DX_CD Grain grouped by PAYER, SRC_FILE_NM, DOS_THRU_YYYYMM"/>
  </r>
  <r>
    <x v="1"/>
    <s v="FFV.MA_MAO004.MERCYOK.1214771.20240723.144648327.TXT"/>
    <x v="68"/>
    <x v="7"/>
    <n v="1819"/>
    <n v="69180"/>
    <n v="2.63"/>
    <s v="DQS_MAO04_FILE_000_B"/>
    <s v="RECORD COUNT by MBR_ID, DOS_THRU_DT, DX_CD Grain grouped by PAYER, SRC_FILE_NM, DOS_THRU_YYYYMM"/>
  </r>
  <r>
    <x v="1"/>
    <s v="FFV.MA_MAO004.MERCYOK.1214771.20240723.144648327.TXT"/>
    <x v="69"/>
    <x v="7"/>
    <n v="1975"/>
    <n v="69180"/>
    <n v="2.85"/>
    <s v="DQS_MAO04_FILE_000_B"/>
    <s v="RECORD COUNT by MBR_ID, DOS_THRU_DT, DX_CD Grain grouped by PAYER, SRC_FILE_NM, DOS_THRU_YYYYMM"/>
  </r>
  <r>
    <x v="1"/>
    <s v="FFV.MA_MAO004.MERCYOK.1214771.20240723.144648327.TXT"/>
    <x v="70"/>
    <x v="7"/>
    <n v="1816"/>
    <n v="69180"/>
    <n v="2.63"/>
    <s v="DQS_MAO04_FILE_000_B"/>
    <s v="RECORD COUNT by MBR_ID, DOS_THRU_DT, DX_CD Grain grouped by PAYER, SRC_FILE_NM, DOS_THRU_YYYYMM"/>
  </r>
  <r>
    <x v="1"/>
    <s v="FFV.MA_MAO004.MERCYOK.1214771.20240723.144648327.TXT"/>
    <x v="71"/>
    <x v="7"/>
    <n v="1552"/>
    <n v="69180"/>
    <n v="2.2400000000000002"/>
    <s v="DQS_MAO04_FILE_000_B"/>
    <s v="RECORD COUNT by MBR_ID, DOS_THRU_DT, DX_CD Grain grouped by PAYER, SRC_FILE_NM, DOS_THRU_YYYYMM"/>
  </r>
  <r>
    <x v="1"/>
    <s v="FFV.MA_MAO004.MERCYOK.1214771.20240723.144648327.TXT"/>
    <x v="72"/>
    <x v="7"/>
    <n v="2019"/>
    <n v="69180"/>
    <n v="2.92"/>
    <s v="DQS_MAO04_FILE_000_B"/>
    <s v="RECORD COUNT by MBR_ID, DOS_THRU_DT, DX_CD Grain grouped by PAYER, SRC_FILE_NM, DOS_THRU_YYYYMM"/>
  </r>
  <r>
    <x v="1"/>
    <s v="FFV.MA_MAO004.MERCYOK.1214771.20240723.144648327.TXT"/>
    <x v="73"/>
    <x v="7"/>
    <n v="2068"/>
    <n v="69180"/>
    <n v="2.99"/>
    <s v="DQS_MAO04_FILE_000_B"/>
    <s v="RECORD COUNT by MBR_ID, DOS_THRU_DT, DX_CD Grain grouped by PAYER, SRC_FILE_NM, DOS_THRU_YYYYMM"/>
  </r>
  <r>
    <x v="1"/>
    <s v="FFV.MA_MAO004.MERCYOK.1214771.20240723.144648327.TXT"/>
    <x v="74"/>
    <x v="7"/>
    <n v="1930"/>
    <n v="69180"/>
    <n v="2.79"/>
    <s v="DQS_MAO04_FILE_000_B"/>
    <s v="RECORD COUNT by MBR_ID, DOS_THRU_DT, DX_CD Grain grouped by PAYER, SRC_FILE_NM, DOS_THRU_YYYYMM"/>
  </r>
  <r>
    <x v="1"/>
    <s v="FFV.MA_MAO004.MERCYOK.1214771.20240723.144648327.TXT"/>
    <x v="75"/>
    <x v="7"/>
    <n v="2038"/>
    <n v="69180"/>
    <n v="2.95"/>
    <s v="DQS_MAO04_FILE_000_B"/>
    <s v="RECORD COUNT by MBR_ID, DOS_THRU_DT, DX_CD Grain grouped by PAYER, SRC_FILE_NM, DOS_THRU_YYYYMM"/>
  </r>
  <r>
    <x v="1"/>
    <s v="FFV.MA_MAO004.MERCYOK.1214771.20240723.144648327.TXT"/>
    <x v="76"/>
    <x v="7"/>
    <n v="2123"/>
    <n v="69180"/>
    <n v="3.07"/>
    <s v="DQS_MAO04_FILE_000_B"/>
    <s v="RECORD COUNT by MBR_ID, DOS_THRU_DT, DX_CD Grain grouped by PAYER, SRC_FILE_NM, DOS_THRU_YYYYMM"/>
  </r>
  <r>
    <x v="1"/>
    <s v="FFV.MA_MAO004.MERCYOK.1214771.20240723.144648327.TXT"/>
    <x v="77"/>
    <x v="8"/>
    <n v="1966"/>
    <n v="69180"/>
    <n v="2.84"/>
    <s v="DQS_MAO04_FILE_000_B"/>
    <s v="RECORD COUNT by MBR_ID, DOS_THRU_DT, DX_CD Grain grouped by PAYER, SRC_FILE_NM, DOS_THRU_YYYYMM"/>
  </r>
  <r>
    <x v="1"/>
    <s v="FFV.MA_MAO004.MERCYOK.1214771.20240723.144648327.TXT"/>
    <x v="78"/>
    <x v="8"/>
    <n v="2406"/>
    <n v="69180"/>
    <n v="3.48"/>
    <s v="DQS_MAO04_FILE_000_B"/>
    <s v="RECORD COUNT by MBR_ID, DOS_THRU_DT, DX_CD Grain grouped by PAYER, SRC_FILE_NM, DOS_THRU_YYYYMM"/>
  </r>
  <r>
    <x v="1"/>
    <s v="FFV.MA_MAO004.MERCYOK.1214771.20240723.144648327.TXT"/>
    <x v="79"/>
    <x v="8"/>
    <n v="2560"/>
    <n v="69180"/>
    <n v="3.7"/>
    <s v="DQS_MAO04_FILE_000_B"/>
    <s v="RECORD COUNT by MBR_ID, DOS_THRU_DT, DX_CD Grain grouped by PAYER, SRC_FILE_NM, DOS_THRU_YYYYMM"/>
  </r>
  <r>
    <x v="1"/>
    <s v="FFV.MA_MAO004.MERCYOK.1214771.20240723.144648327.TXT"/>
    <x v="80"/>
    <x v="8"/>
    <n v="2639"/>
    <n v="69180"/>
    <n v="3.81"/>
    <s v="DQS_MAO04_FILE_000_B"/>
    <s v="RECORD COUNT by MBR_ID, DOS_THRU_DT, DX_CD Grain grouped by PAYER, SRC_FILE_NM, DOS_THRU_YYYYMM"/>
  </r>
  <r>
    <x v="1"/>
    <s v="FFV.MA_MAO004.MERCYOK.1214771.20240723.144648327.TXT"/>
    <x v="81"/>
    <x v="8"/>
    <n v="2332"/>
    <n v="69180"/>
    <n v="3.37"/>
    <s v="DQS_MAO04_FILE_000_B"/>
    <s v="RECORD COUNT by MBR_ID, DOS_THRU_DT, DX_CD Grain grouped by PAYER, SRC_FILE_NM, DOS_THRU_YYYYMM"/>
  </r>
  <r>
    <x v="1"/>
    <s v="FFV.MA_MAO004.MERCYOK.1214771.20240723.144648327.TXT"/>
    <x v="82"/>
    <x v="8"/>
    <n v="2505"/>
    <n v="69180"/>
    <n v="3.62"/>
    <s v="DQS_MAO04_FILE_000_B"/>
    <s v="RECORD COUNT by MBR_ID, DOS_THRU_DT, DX_CD Grain grouped by PAYER, SRC_FILE_NM, DOS_THRU_YYYYMM"/>
  </r>
  <r>
    <x v="1"/>
    <s v="FFV.MA_MAO004.MERCYOK.1214771.20240723.144648327.TXT"/>
    <x v="83"/>
    <x v="8"/>
    <n v="2576"/>
    <n v="69180"/>
    <n v="3.72"/>
    <s v="DQS_MAO04_FILE_000_B"/>
    <s v="RECORD COUNT by MBR_ID, DOS_THRU_DT, DX_CD Grain grouped by PAYER, SRC_FILE_NM, DOS_THRU_YYYYMM"/>
  </r>
  <r>
    <x v="1"/>
    <s v="FFV.MA_MAO004.MERCYOK.1214771.20240723.144648327.TXT"/>
    <x v="84"/>
    <x v="8"/>
    <n v="2413"/>
    <n v="69180"/>
    <n v="3.49"/>
    <s v="DQS_MAO04_FILE_000_B"/>
    <s v="RECORD COUNT by MBR_ID, DOS_THRU_DT, DX_CD Grain grouped by PAYER, SRC_FILE_NM, DOS_THRU_YYYYMM"/>
  </r>
  <r>
    <x v="1"/>
    <s v="FFV.MA_MAO004.MERCYOK.1214771.20240723.144648327.TXT"/>
    <x v="85"/>
    <x v="8"/>
    <n v="2375"/>
    <n v="69180"/>
    <n v="3.43"/>
    <s v="DQS_MAO04_FILE_000_B"/>
    <s v="RECORD COUNT by MBR_ID, DOS_THRU_DT, DX_CD Grain grouped by PAYER, SRC_FILE_NM, DOS_THRU_YYYYMM"/>
  </r>
  <r>
    <x v="1"/>
    <s v="FFV.MA_MAO004.MERCYOK.1214771.20240723.144648327.TXT"/>
    <x v="86"/>
    <x v="8"/>
    <n v="2208"/>
    <n v="69180"/>
    <n v="3.19"/>
    <s v="DQS_MAO04_FILE_000_B"/>
    <s v="RECORD COUNT by MBR_ID, DOS_THRU_DT, DX_CD Grain grouped by PAYER, SRC_FILE_NM, DOS_THRU_YYYYMM"/>
  </r>
  <r>
    <x v="1"/>
    <s v="FFV.MA_MAO004.MERCYOK.1214771.20240723.144648327.TXT"/>
    <x v="87"/>
    <x v="8"/>
    <n v="2511"/>
    <n v="69180"/>
    <n v="3.63"/>
    <s v="DQS_MAO04_FILE_000_B"/>
    <s v="RECORD COUNT by MBR_ID, DOS_THRU_DT, DX_CD Grain grouped by PAYER, SRC_FILE_NM, DOS_THRU_YYYYMM"/>
  </r>
  <r>
    <x v="1"/>
    <s v="FFV.MA_MAO004.MERCYOK.1214771.20240723.144648327.TXT"/>
    <x v="88"/>
    <x v="8"/>
    <n v="2385"/>
    <n v="69180"/>
    <n v="3.45"/>
    <s v="DQS_MAO04_FILE_000_B"/>
    <s v="RECORD COUNT by MBR_ID, DOS_THRU_DT, DX_CD Grain grouped by PAYER, SRC_FILE_NM, DOS_THRU_YYYYMM"/>
  </r>
  <r>
    <x v="1"/>
    <s v="FFV.MA_MAO004.MERCYOK.1214771.20240723.144648327.TXT"/>
    <x v="89"/>
    <x v="9"/>
    <n v="2865"/>
    <n v="69180"/>
    <n v="4.1399999999999997"/>
    <s v="DQS_MAO04_FILE_000_B"/>
    <s v="RECORD COUNT by MBR_ID, DOS_THRU_DT, DX_CD Grain grouped by PAYER, SRC_FILE_NM, DOS_THRU_YYYYMM"/>
  </r>
  <r>
    <x v="1"/>
    <s v="FFV.MA_MAO004.MERCYOK.1214771.20240723.144648327.TXT"/>
    <x v="97"/>
    <x v="9"/>
    <n v="3560"/>
    <n v="69180"/>
    <n v="5.15"/>
    <s v="DQS_MAO04_FILE_000_B"/>
    <s v="RECORD COUNT by MBR_ID, DOS_THRU_DT, DX_CD Grain grouped by PAYER, SRC_FILE_NM, DOS_THRU_YYYYMM"/>
  </r>
  <r>
    <x v="1"/>
    <s v="FFV.MA_MAO004.MERCYOK.1214771.20240723.144648327.TXT"/>
    <x v="98"/>
    <x v="9"/>
    <n v="3082"/>
    <n v="69180"/>
    <n v="4.46"/>
    <s v="DQS_MAO04_FILE_000_B"/>
    <s v="RECORD COUNT by MBR_ID, DOS_THRU_DT, DX_CD Grain grouped by PAYER, SRC_FILE_NM, DOS_THRU_YYYYMM"/>
  </r>
  <r>
    <x v="1"/>
    <s v="FFV.MA_MAO004.MERCYOK.1214771.20240723.144648327.TXT"/>
    <x v="99"/>
    <x v="9"/>
    <n v="3332"/>
    <n v="69180"/>
    <n v="4.82"/>
    <s v="DQS_MAO04_FILE_000_B"/>
    <s v="RECORD COUNT by MBR_ID, DOS_THRU_DT, DX_CD Grain grouped by PAYER, SRC_FILE_NM, DOS_THRU_YYYYMM"/>
  </r>
  <r>
    <x v="1"/>
    <s v="FFV.MA_MAO004.MERCYOK.1214771.20240723.144648327.TXT"/>
    <x v="100"/>
    <x v="9"/>
    <n v="2995"/>
    <n v="69180"/>
    <n v="4.33"/>
    <s v="DQS_MAO04_FILE_000_B"/>
    <s v="RECORD COUNT by MBR_ID, DOS_THRU_DT, DX_CD Grain grouped by PAYER, SRC_FILE_NM, DOS_THRU_YYYYMM"/>
  </r>
  <r>
    <x v="1"/>
    <s v="FFV.MA_MAO004.MERCYOK.1214771.20240723.144648327.TXT"/>
    <x v="102"/>
    <x v="9"/>
    <n v="1266"/>
    <n v="69180"/>
    <n v="1.83"/>
    <s v="DQS_MAO04_FILE_000_B"/>
    <s v="RECORD COUNT by MBR_ID, DOS_THRU_DT, DX_CD Grain grouped by PAYER, SRC_FILE_NM, DOS_THRU_YYYYMM"/>
  </r>
  <r>
    <x v="1"/>
    <s v="FFV.MA_MAO004.MERCYOK.1214771.20240821.103159907.TXT"/>
    <x v="65"/>
    <x v="7"/>
    <n v="1702"/>
    <n v="71124"/>
    <n v="2.39"/>
    <s v="DQS_MAO04_FILE_000_B"/>
    <s v="RECORD COUNT by MBR_ID, DOS_THRU_DT, DX_CD Grain grouped by PAYER, SRC_FILE_NM, DOS_THRU_YYYYMM"/>
  </r>
  <r>
    <x v="1"/>
    <s v="FFV.MA_MAO004.MERCYOK.1214771.20240821.103159907.TXT"/>
    <x v="66"/>
    <x v="7"/>
    <n v="1898"/>
    <n v="71124"/>
    <n v="2.67"/>
    <s v="DQS_MAO04_FILE_000_B"/>
    <s v="RECORD COUNT by MBR_ID, DOS_THRU_DT, DX_CD Grain grouped by PAYER, SRC_FILE_NM, DOS_THRU_YYYYMM"/>
  </r>
  <r>
    <x v="1"/>
    <s v="FFV.MA_MAO004.MERCYOK.1214771.20240821.103159907.TXT"/>
    <x v="67"/>
    <x v="7"/>
    <n v="2183"/>
    <n v="71124"/>
    <n v="3.07"/>
    <s v="DQS_MAO04_FILE_000_B"/>
    <s v="RECORD COUNT by MBR_ID, DOS_THRU_DT, DX_CD Grain grouped by PAYER, SRC_FILE_NM, DOS_THRU_YYYYMM"/>
  </r>
  <r>
    <x v="1"/>
    <s v="FFV.MA_MAO004.MERCYOK.1214771.20240821.103159907.TXT"/>
    <x v="68"/>
    <x v="7"/>
    <n v="1810"/>
    <n v="71124"/>
    <n v="2.54"/>
    <s v="DQS_MAO04_FILE_000_B"/>
    <s v="RECORD COUNT by MBR_ID, DOS_THRU_DT, DX_CD Grain grouped by PAYER, SRC_FILE_NM, DOS_THRU_YYYYMM"/>
  </r>
  <r>
    <x v="1"/>
    <s v="FFV.MA_MAO004.MERCYOK.1214771.20240821.103159907.TXT"/>
    <x v="69"/>
    <x v="7"/>
    <n v="1935"/>
    <n v="71124"/>
    <n v="2.72"/>
    <s v="DQS_MAO04_FILE_000_B"/>
    <s v="RECORD COUNT by MBR_ID, DOS_THRU_DT, DX_CD Grain grouped by PAYER, SRC_FILE_NM, DOS_THRU_YYYYMM"/>
  </r>
  <r>
    <x v="1"/>
    <s v="FFV.MA_MAO004.MERCYOK.1214771.20240821.103159907.TXT"/>
    <x v="70"/>
    <x v="7"/>
    <n v="1806"/>
    <n v="71124"/>
    <n v="2.54"/>
    <s v="DQS_MAO04_FILE_000_B"/>
    <s v="RECORD COUNT by MBR_ID, DOS_THRU_DT, DX_CD Grain grouped by PAYER, SRC_FILE_NM, DOS_THRU_YYYYMM"/>
  </r>
  <r>
    <x v="1"/>
    <s v="FFV.MA_MAO004.MERCYOK.1214771.20240821.103159907.TXT"/>
    <x v="71"/>
    <x v="7"/>
    <n v="1512"/>
    <n v="71124"/>
    <n v="2.13"/>
    <s v="DQS_MAO04_FILE_000_B"/>
    <s v="RECORD COUNT by MBR_ID, DOS_THRU_DT, DX_CD Grain grouped by PAYER, SRC_FILE_NM, DOS_THRU_YYYYMM"/>
  </r>
  <r>
    <x v="1"/>
    <s v="FFV.MA_MAO004.MERCYOK.1214771.20240821.103159907.TXT"/>
    <x v="72"/>
    <x v="7"/>
    <n v="1977"/>
    <n v="71124"/>
    <n v="2.78"/>
    <s v="DQS_MAO04_FILE_000_B"/>
    <s v="RECORD COUNT by MBR_ID, DOS_THRU_DT, DX_CD Grain grouped by PAYER, SRC_FILE_NM, DOS_THRU_YYYYMM"/>
  </r>
  <r>
    <x v="1"/>
    <s v="FFV.MA_MAO004.MERCYOK.1214771.20240821.103159907.TXT"/>
    <x v="73"/>
    <x v="7"/>
    <n v="2034"/>
    <n v="71124"/>
    <n v="2.86"/>
    <s v="DQS_MAO04_FILE_000_B"/>
    <s v="RECORD COUNT by MBR_ID, DOS_THRU_DT, DX_CD Grain grouped by PAYER, SRC_FILE_NM, DOS_THRU_YYYYMM"/>
  </r>
  <r>
    <x v="1"/>
    <s v="FFV.MA_MAO004.MERCYOK.1214771.20240821.103159907.TXT"/>
    <x v="74"/>
    <x v="7"/>
    <n v="1875"/>
    <n v="71124"/>
    <n v="2.64"/>
    <s v="DQS_MAO04_FILE_000_B"/>
    <s v="RECORD COUNT by MBR_ID, DOS_THRU_DT, DX_CD Grain grouped by PAYER, SRC_FILE_NM, DOS_THRU_YYYYMM"/>
  </r>
  <r>
    <x v="1"/>
    <s v="FFV.MA_MAO004.MERCYOK.1214771.20240821.103159907.TXT"/>
    <x v="75"/>
    <x v="7"/>
    <n v="2033"/>
    <n v="71124"/>
    <n v="2.86"/>
    <s v="DQS_MAO04_FILE_000_B"/>
    <s v="RECORD COUNT by MBR_ID, DOS_THRU_DT, DX_CD Grain grouped by PAYER, SRC_FILE_NM, DOS_THRU_YYYYMM"/>
  </r>
  <r>
    <x v="1"/>
    <s v="FFV.MA_MAO004.MERCYOK.1214771.20240821.103159907.TXT"/>
    <x v="76"/>
    <x v="7"/>
    <n v="2123"/>
    <n v="71124"/>
    <n v="2.98"/>
    <s v="DQS_MAO04_FILE_000_B"/>
    <s v="RECORD COUNT by MBR_ID, DOS_THRU_DT, DX_CD Grain grouped by PAYER, SRC_FILE_NM, DOS_THRU_YYYYMM"/>
  </r>
  <r>
    <x v="1"/>
    <s v="FFV.MA_MAO004.MERCYOK.1214771.20240821.103159907.TXT"/>
    <x v="77"/>
    <x v="8"/>
    <n v="1940"/>
    <n v="71124"/>
    <n v="2.73"/>
    <s v="DQS_MAO04_FILE_000_B"/>
    <s v="RECORD COUNT by MBR_ID, DOS_THRU_DT, DX_CD Grain grouped by PAYER, SRC_FILE_NM, DOS_THRU_YYYYMM"/>
  </r>
  <r>
    <x v="1"/>
    <s v="FFV.MA_MAO004.MERCYOK.1214771.20240821.103159907.TXT"/>
    <x v="78"/>
    <x v="8"/>
    <n v="2421"/>
    <n v="71124"/>
    <n v="3.4"/>
    <s v="DQS_MAO04_FILE_000_B"/>
    <s v="RECORD COUNT by MBR_ID, DOS_THRU_DT, DX_CD Grain grouped by PAYER, SRC_FILE_NM, DOS_THRU_YYYYMM"/>
  </r>
  <r>
    <x v="1"/>
    <s v="FFV.MA_MAO004.MERCYOK.1214771.20240821.103159907.TXT"/>
    <x v="79"/>
    <x v="8"/>
    <n v="2530"/>
    <n v="71124"/>
    <n v="3.56"/>
    <s v="DQS_MAO04_FILE_000_B"/>
    <s v="RECORD COUNT by MBR_ID, DOS_THRU_DT, DX_CD Grain grouped by PAYER, SRC_FILE_NM, DOS_THRU_YYYYMM"/>
  </r>
  <r>
    <x v="1"/>
    <s v="FFV.MA_MAO004.MERCYOK.1214771.20240821.103159907.TXT"/>
    <x v="80"/>
    <x v="8"/>
    <n v="2612"/>
    <n v="71124"/>
    <n v="3.67"/>
    <s v="DQS_MAO04_FILE_000_B"/>
    <s v="RECORD COUNT by MBR_ID, DOS_THRU_DT, DX_CD Grain grouped by PAYER, SRC_FILE_NM, DOS_THRU_YYYYMM"/>
  </r>
  <r>
    <x v="1"/>
    <s v="FFV.MA_MAO004.MERCYOK.1214771.20240821.103159907.TXT"/>
    <x v="81"/>
    <x v="8"/>
    <n v="2329"/>
    <n v="71124"/>
    <n v="3.27"/>
    <s v="DQS_MAO04_FILE_000_B"/>
    <s v="RECORD COUNT by MBR_ID, DOS_THRU_DT, DX_CD Grain grouped by PAYER, SRC_FILE_NM, DOS_THRU_YYYYMM"/>
  </r>
  <r>
    <x v="1"/>
    <s v="FFV.MA_MAO004.MERCYOK.1214771.20240821.103159907.TXT"/>
    <x v="82"/>
    <x v="8"/>
    <n v="2506"/>
    <n v="71124"/>
    <n v="3.52"/>
    <s v="DQS_MAO04_FILE_000_B"/>
    <s v="RECORD COUNT by MBR_ID, DOS_THRU_DT, DX_CD Grain grouped by PAYER, SRC_FILE_NM, DOS_THRU_YYYYMM"/>
  </r>
  <r>
    <x v="1"/>
    <s v="FFV.MA_MAO004.MERCYOK.1214771.20240821.103159907.TXT"/>
    <x v="83"/>
    <x v="8"/>
    <n v="2599"/>
    <n v="71124"/>
    <n v="3.65"/>
    <s v="DQS_MAO04_FILE_000_B"/>
    <s v="RECORD COUNT by MBR_ID, DOS_THRU_DT, DX_CD Grain grouped by PAYER, SRC_FILE_NM, DOS_THRU_YYYYMM"/>
  </r>
  <r>
    <x v="1"/>
    <s v="FFV.MA_MAO004.MERCYOK.1214771.20240821.103159907.TXT"/>
    <x v="84"/>
    <x v="8"/>
    <n v="2421"/>
    <n v="71124"/>
    <n v="3.4"/>
    <s v="DQS_MAO04_FILE_000_B"/>
    <s v="RECORD COUNT by MBR_ID, DOS_THRU_DT, DX_CD Grain grouped by PAYER, SRC_FILE_NM, DOS_THRU_YYYYMM"/>
  </r>
  <r>
    <x v="1"/>
    <s v="FFV.MA_MAO004.MERCYOK.1214771.20240821.103159907.TXT"/>
    <x v="85"/>
    <x v="8"/>
    <n v="2379"/>
    <n v="71124"/>
    <n v="3.34"/>
    <s v="DQS_MAO04_FILE_000_B"/>
    <s v="RECORD COUNT by MBR_ID, DOS_THRU_DT, DX_CD Grain grouped by PAYER, SRC_FILE_NM, DOS_THRU_YYYYMM"/>
  </r>
  <r>
    <x v="1"/>
    <s v="FFV.MA_MAO004.MERCYOK.1214771.20240821.103159907.TXT"/>
    <x v="86"/>
    <x v="8"/>
    <n v="2211"/>
    <n v="71124"/>
    <n v="3.11"/>
    <s v="DQS_MAO04_FILE_000_B"/>
    <s v="RECORD COUNT by MBR_ID, DOS_THRU_DT, DX_CD Grain grouped by PAYER, SRC_FILE_NM, DOS_THRU_YYYYMM"/>
  </r>
  <r>
    <x v="1"/>
    <s v="FFV.MA_MAO004.MERCYOK.1214771.20240821.103159907.TXT"/>
    <x v="87"/>
    <x v="8"/>
    <n v="2484"/>
    <n v="71124"/>
    <n v="3.49"/>
    <s v="DQS_MAO04_FILE_000_B"/>
    <s v="RECORD COUNT by MBR_ID, DOS_THRU_DT, DX_CD Grain grouped by PAYER, SRC_FILE_NM, DOS_THRU_YYYYMM"/>
  </r>
  <r>
    <x v="1"/>
    <s v="FFV.MA_MAO004.MERCYOK.1214771.20240821.103159907.TXT"/>
    <x v="88"/>
    <x v="8"/>
    <n v="2385"/>
    <n v="71124"/>
    <n v="3.35"/>
    <s v="DQS_MAO04_FILE_000_B"/>
    <s v="RECORD COUNT by MBR_ID, DOS_THRU_DT, DX_CD Grain grouped by PAYER, SRC_FILE_NM, DOS_THRU_YYYYMM"/>
  </r>
  <r>
    <x v="1"/>
    <s v="FFV.MA_MAO004.MERCYOK.1214771.20240821.103159907.TXT"/>
    <x v="89"/>
    <x v="9"/>
    <n v="2887"/>
    <n v="71124"/>
    <n v="4.0599999999999996"/>
    <s v="DQS_MAO04_FILE_000_B"/>
    <s v="RECORD COUNT by MBR_ID, DOS_THRU_DT, DX_CD Grain grouped by PAYER, SRC_FILE_NM, DOS_THRU_YYYYMM"/>
  </r>
  <r>
    <x v="1"/>
    <s v="FFV.MA_MAO004.MERCYOK.1214771.20240821.103159907.TXT"/>
    <x v="97"/>
    <x v="9"/>
    <n v="3586"/>
    <n v="71124"/>
    <n v="5.04"/>
    <s v="DQS_MAO04_FILE_000_B"/>
    <s v="RECORD COUNT by MBR_ID, DOS_THRU_DT, DX_CD Grain grouped by PAYER, SRC_FILE_NM, DOS_THRU_YYYYMM"/>
  </r>
  <r>
    <x v="1"/>
    <s v="FFV.MA_MAO004.MERCYOK.1214771.20240821.103159907.TXT"/>
    <x v="98"/>
    <x v="9"/>
    <n v="3069"/>
    <n v="71124"/>
    <n v="4.3099999999999996"/>
    <s v="DQS_MAO04_FILE_000_B"/>
    <s v="RECORD COUNT by MBR_ID, DOS_THRU_DT, DX_CD Grain grouped by PAYER, SRC_FILE_NM, DOS_THRU_YYYYMM"/>
  </r>
  <r>
    <x v="1"/>
    <s v="FFV.MA_MAO004.MERCYOK.1214771.20240821.103159907.TXT"/>
    <x v="99"/>
    <x v="9"/>
    <n v="3501"/>
    <n v="71124"/>
    <n v="4.92"/>
    <s v="DQS_MAO04_FILE_000_B"/>
    <s v="RECORD COUNT by MBR_ID, DOS_THRU_DT, DX_CD Grain grouped by PAYER, SRC_FILE_NM, DOS_THRU_YYYYMM"/>
  </r>
  <r>
    <x v="1"/>
    <s v="FFV.MA_MAO004.MERCYOK.1214771.20240821.103159907.TXT"/>
    <x v="100"/>
    <x v="9"/>
    <n v="3164"/>
    <n v="71124"/>
    <n v="4.45"/>
    <s v="DQS_MAO04_FILE_000_B"/>
    <s v="RECORD COUNT by MBR_ID, DOS_THRU_DT, DX_CD Grain grouped by PAYER, SRC_FILE_NM, DOS_THRU_YYYYMM"/>
  </r>
  <r>
    <x v="1"/>
    <s v="FFV.MA_MAO004.MERCYOK.1214771.20240821.103159907.TXT"/>
    <x v="102"/>
    <x v="9"/>
    <n v="2936"/>
    <n v="71124"/>
    <n v="4.13"/>
    <s v="DQS_MAO04_FILE_000_B"/>
    <s v="RECORD COUNT by MBR_ID, DOS_THRU_DT, DX_CD Grain grouped by PAYER, SRC_FILE_NM, DOS_THRU_YYYYMM"/>
  </r>
  <r>
    <x v="1"/>
    <s v="FFV.MA_MAO004.MERCYOK.1214771.20240821.103159907.TXT"/>
    <x v="103"/>
    <x v="9"/>
    <n v="276"/>
    <n v="71124"/>
    <n v="0.39"/>
    <s v="DQS_MAO04_FILE_000_B"/>
    <s v="RECORD COUNT by MBR_ID, DOS_THRU_DT, DX_CD Grain grouped by PAYER, SRC_FILE_NM, DOS_THRU_YYYYMM"/>
  </r>
  <r>
    <x v="1"/>
    <s v="FFV.MA_MAO004.MERCYOK.1214771.20240924.101434377.TXT"/>
    <x v="65"/>
    <x v="7"/>
    <n v="1724"/>
    <n v="75802"/>
    <n v="2.27"/>
    <s v="DQS_MAO04_FILE_000_B"/>
    <s v="RECORD COUNT by MBR_ID, DOS_THRU_DT, DX_CD Grain grouped by PAYER, SRC_FILE_NM, DOS_THRU_YYYYMM"/>
  </r>
  <r>
    <x v="1"/>
    <s v="FFV.MA_MAO004.MERCYOK.1214771.20240924.101434377.TXT"/>
    <x v="66"/>
    <x v="7"/>
    <n v="1915"/>
    <n v="75802"/>
    <n v="2.5299999999999998"/>
    <s v="DQS_MAO04_FILE_000_B"/>
    <s v="RECORD COUNT by MBR_ID, DOS_THRU_DT, DX_CD Grain grouped by PAYER, SRC_FILE_NM, DOS_THRU_YYYYMM"/>
  </r>
  <r>
    <x v="1"/>
    <s v="FFV.MA_MAO004.MERCYOK.1214771.20240924.101434377.TXT"/>
    <x v="67"/>
    <x v="7"/>
    <n v="2224"/>
    <n v="75802"/>
    <n v="2.93"/>
    <s v="DQS_MAO04_FILE_000_B"/>
    <s v="RECORD COUNT by MBR_ID, DOS_THRU_DT, DX_CD Grain grouped by PAYER, SRC_FILE_NM, DOS_THRU_YYYYMM"/>
  </r>
  <r>
    <x v="1"/>
    <s v="FFV.MA_MAO004.MERCYOK.1214771.20240924.101434377.TXT"/>
    <x v="68"/>
    <x v="7"/>
    <n v="1831"/>
    <n v="75802"/>
    <n v="2.42"/>
    <s v="DQS_MAO04_FILE_000_B"/>
    <s v="RECORD COUNT by MBR_ID, DOS_THRU_DT, DX_CD Grain grouped by PAYER, SRC_FILE_NM, DOS_THRU_YYYYMM"/>
  </r>
  <r>
    <x v="1"/>
    <s v="FFV.MA_MAO004.MERCYOK.1214771.20240924.101434377.TXT"/>
    <x v="69"/>
    <x v="7"/>
    <n v="1970"/>
    <n v="75802"/>
    <n v="2.6"/>
    <s v="DQS_MAO04_FILE_000_B"/>
    <s v="RECORD COUNT by MBR_ID, DOS_THRU_DT, DX_CD Grain grouped by PAYER, SRC_FILE_NM, DOS_THRU_YYYYMM"/>
  </r>
  <r>
    <x v="1"/>
    <s v="FFV.MA_MAO004.MERCYOK.1214771.20240924.101434377.TXT"/>
    <x v="70"/>
    <x v="7"/>
    <n v="1855"/>
    <n v="75802"/>
    <n v="2.4500000000000002"/>
    <s v="DQS_MAO04_FILE_000_B"/>
    <s v="RECORD COUNT by MBR_ID, DOS_THRU_DT, DX_CD Grain grouped by PAYER, SRC_FILE_NM, DOS_THRU_YYYYMM"/>
  </r>
  <r>
    <x v="1"/>
    <s v="FFV.MA_MAO004.MERCYOK.1214771.20240924.101434377.TXT"/>
    <x v="71"/>
    <x v="7"/>
    <n v="1513"/>
    <n v="75802"/>
    <n v="2"/>
    <s v="DQS_MAO04_FILE_000_B"/>
    <s v="RECORD COUNT by MBR_ID, DOS_THRU_DT, DX_CD Grain grouped by PAYER, SRC_FILE_NM, DOS_THRU_YYYYMM"/>
  </r>
  <r>
    <x v="1"/>
    <s v="FFV.MA_MAO004.MERCYOK.1214771.20240924.101434377.TXT"/>
    <x v="72"/>
    <x v="7"/>
    <n v="1996"/>
    <n v="75802"/>
    <n v="2.63"/>
    <s v="DQS_MAO04_FILE_000_B"/>
    <s v="RECORD COUNT by MBR_ID, DOS_THRU_DT, DX_CD Grain grouped by PAYER, SRC_FILE_NM, DOS_THRU_YYYYMM"/>
  </r>
  <r>
    <x v="1"/>
    <s v="FFV.MA_MAO004.MERCYOK.1214771.20240924.101434377.TXT"/>
    <x v="73"/>
    <x v="7"/>
    <n v="2031"/>
    <n v="75802"/>
    <n v="2.68"/>
    <s v="DQS_MAO04_FILE_000_B"/>
    <s v="RECORD COUNT by MBR_ID, DOS_THRU_DT, DX_CD Grain grouped by PAYER, SRC_FILE_NM, DOS_THRU_YYYYMM"/>
  </r>
  <r>
    <x v="1"/>
    <s v="FFV.MA_MAO004.MERCYOK.1214771.20240924.101434377.TXT"/>
    <x v="74"/>
    <x v="7"/>
    <n v="1979"/>
    <n v="75802"/>
    <n v="2.61"/>
    <s v="DQS_MAO04_FILE_000_B"/>
    <s v="RECORD COUNT by MBR_ID, DOS_THRU_DT, DX_CD Grain grouped by PAYER, SRC_FILE_NM, DOS_THRU_YYYYMM"/>
  </r>
  <r>
    <x v="1"/>
    <s v="FFV.MA_MAO004.MERCYOK.1214771.20240924.101434377.TXT"/>
    <x v="75"/>
    <x v="7"/>
    <n v="1899"/>
    <n v="75802"/>
    <n v="2.5099999999999998"/>
    <s v="DQS_MAO04_FILE_000_B"/>
    <s v="RECORD COUNT by MBR_ID, DOS_THRU_DT, DX_CD Grain grouped by PAYER, SRC_FILE_NM, DOS_THRU_YYYYMM"/>
  </r>
  <r>
    <x v="1"/>
    <s v="FFV.MA_MAO004.MERCYOK.1214771.20240924.101434377.TXT"/>
    <x v="76"/>
    <x v="7"/>
    <n v="2028"/>
    <n v="75802"/>
    <n v="2.68"/>
    <s v="DQS_MAO04_FILE_000_B"/>
    <s v="RECORD COUNT by MBR_ID, DOS_THRU_DT, DX_CD Grain grouped by PAYER, SRC_FILE_NM, DOS_THRU_YYYYMM"/>
  </r>
  <r>
    <x v="1"/>
    <s v="FFV.MA_MAO004.MERCYOK.1214771.20240924.101434377.TXT"/>
    <x v="77"/>
    <x v="8"/>
    <n v="1920"/>
    <n v="75802"/>
    <n v="2.5299999999999998"/>
    <s v="DQS_MAO04_FILE_000_B"/>
    <s v="RECORD COUNT by MBR_ID, DOS_THRU_DT, DX_CD Grain grouped by PAYER, SRC_FILE_NM, DOS_THRU_YYYYMM"/>
  </r>
  <r>
    <x v="1"/>
    <s v="FFV.MA_MAO004.MERCYOK.1214771.20240924.101434377.TXT"/>
    <x v="78"/>
    <x v="8"/>
    <n v="2394"/>
    <n v="75802"/>
    <n v="3.16"/>
    <s v="DQS_MAO04_FILE_000_B"/>
    <s v="RECORD COUNT by MBR_ID, DOS_THRU_DT, DX_CD Grain grouped by PAYER, SRC_FILE_NM, DOS_THRU_YYYYMM"/>
  </r>
  <r>
    <x v="1"/>
    <s v="FFV.MA_MAO004.MERCYOK.1214771.20240924.101434377.TXT"/>
    <x v="79"/>
    <x v="8"/>
    <n v="2511"/>
    <n v="75802"/>
    <n v="3.31"/>
    <s v="DQS_MAO04_FILE_000_B"/>
    <s v="RECORD COUNT by MBR_ID, DOS_THRU_DT, DX_CD Grain grouped by PAYER, SRC_FILE_NM, DOS_THRU_YYYYMM"/>
  </r>
  <r>
    <x v="1"/>
    <s v="FFV.MA_MAO004.MERCYOK.1214771.20240924.101434377.TXT"/>
    <x v="80"/>
    <x v="8"/>
    <n v="2594"/>
    <n v="75802"/>
    <n v="3.42"/>
    <s v="DQS_MAO04_FILE_000_B"/>
    <s v="RECORD COUNT by MBR_ID, DOS_THRU_DT, DX_CD Grain grouped by PAYER, SRC_FILE_NM, DOS_THRU_YYYYMM"/>
  </r>
  <r>
    <x v="1"/>
    <s v="FFV.MA_MAO004.MERCYOK.1214771.20240924.101434377.TXT"/>
    <x v="81"/>
    <x v="8"/>
    <n v="2332"/>
    <n v="75802"/>
    <n v="3.08"/>
    <s v="DQS_MAO04_FILE_000_B"/>
    <s v="RECORD COUNT by MBR_ID, DOS_THRU_DT, DX_CD Grain grouped by PAYER, SRC_FILE_NM, DOS_THRU_YYYYMM"/>
  </r>
  <r>
    <x v="1"/>
    <s v="FFV.MA_MAO004.MERCYOK.1214771.20240924.101434377.TXT"/>
    <x v="82"/>
    <x v="8"/>
    <n v="2532"/>
    <n v="75802"/>
    <n v="3.34"/>
    <s v="DQS_MAO04_FILE_000_B"/>
    <s v="RECORD COUNT by MBR_ID, DOS_THRU_DT, DX_CD Grain grouped by PAYER, SRC_FILE_NM, DOS_THRU_YYYYMM"/>
  </r>
  <r>
    <x v="1"/>
    <s v="FFV.MA_MAO004.MERCYOK.1214771.20240924.101434377.TXT"/>
    <x v="83"/>
    <x v="8"/>
    <n v="2637"/>
    <n v="75802"/>
    <n v="3.48"/>
    <s v="DQS_MAO04_FILE_000_B"/>
    <s v="RECORD COUNT by MBR_ID, DOS_THRU_DT, DX_CD Grain grouped by PAYER, SRC_FILE_NM, DOS_THRU_YYYYMM"/>
  </r>
  <r>
    <x v="1"/>
    <s v="FFV.MA_MAO004.MERCYOK.1214771.20240924.101434377.TXT"/>
    <x v="84"/>
    <x v="8"/>
    <n v="2416"/>
    <n v="75802"/>
    <n v="3.19"/>
    <s v="DQS_MAO04_FILE_000_B"/>
    <s v="RECORD COUNT by MBR_ID, DOS_THRU_DT, DX_CD Grain grouped by PAYER, SRC_FILE_NM, DOS_THRU_YYYYMM"/>
  </r>
  <r>
    <x v="1"/>
    <s v="FFV.MA_MAO004.MERCYOK.1214771.20240924.101434377.TXT"/>
    <x v="85"/>
    <x v="8"/>
    <n v="2383"/>
    <n v="75802"/>
    <n v="3.14"/>
    <s v="DQS_MAO04_FILE_000_B"/>
    <s v="RECORD COUNT by MBR_ID, DOS_THRU_DT, DX_CD Grain grouped by PAYER, SRC_FILE_NM, DOS_THRU_YYYYMM"/>
  </r>
  <r>
    <x v="1"/>
    <s v="FFV.MA_MAO004.MERCYOK.1214771.20240924.101434377.TXT"/>
    <x v="86"/>
    <x v="8"/>
    <n v="2215"/>
    <n v="75802"/>
    <n v="2.92"/>
    <s v="DQS_MAO04_FILE_000_B"/>
    <s v="RECORD COUNT by MBR_ID, DOS_THRU_DT, DX_CD Grain grouped by PAYER, SRC_FILE_NM, DOS_THRU_YYYYMM"/>
  </r>
  <r>
    <x v="1"/>
    <s v="FFV.MA_MAO004.MERCYOK.1214771.20240924.101434377.TXT"/>
    <x v="87"/>
    <x v="8"/>
    <n v="2510"/>
    <n v="75802"/>
    <n v="3.31"/>
    <s v="DQS_MAO04_FILE_000_B"/>
    <s v="RECORD COUNT by MBR_ID, DOS_THRU_DT, DX_CD Grain grouped by PAYER, SRC_FILE_NM, DOS_THRU_YYYYMM"/>
  </r>
  <r>
    <x v="1"/>
    <s v="FFV.MA_MAO004.MERCYOK.1214771.20240924.101434377.TXT"/>
    <x v="88"/>
    <x v="8"/>
    <n v="2380"/>
    <n v="75802"/>
    <n v="3.14"/>
    <s v="DQS_MAO04_FILE_000_B"/>
    <s v="RECORD COUNT by MBR_ID, DOS_THRU_DT, DX_CD Grain grouped by PAYER, SRC_FILE_NM, DOS_THRU_YYYYMM"/>
  </r>
  <r>
    <x v="1"/>
    <s v="FFV.MA_MAO004.MERCYOK.1214771.20240924.101434377.TXT"/>
    <x v="89"/>
    <x v="9"/>
    <n v="2900"/>
    <n v="75802"/>
    <n v="3.83"/>
    <s v="DQS_MAO04_FILE_000_B"/>
    <s v="RECORD COUNT by MBR_ID, DOS_THRU_DT, DX_CD Grain grouped by PAYER, SRC_FILE_NM, DOS_THRU_YYYYMM"/>
  </r>
  <r>
    <x v="1"/>
    <s v="FFV.MA_MAO004.MERCYOK.1214771.20240924.101434377.TXT"/>
    <x v="97"/>
    <x v="9"/>
    <n v="3620"/>
    <n v="75802"/>
    <n v="4.78"/>
    <s v="DQS_MAO04_FILE_000_B"/>
    <s v="RECORD COUNT by MBR_ID, DOS_THRU_DT, DX_CD Grain grouped by PAYER, SRC_FILE_NM, DOS_THRU_YYYYMM"/>
  </r>
  <r>
    <x v="1"/>
    <s v="FFV.MA_MAO004.MERCYOK.1214771.20240924.101434377.TXT"/>
    <x v="98"/>
    <x v="9"/>
    <n v="3135"/>
    <n v="75802"/>
    <n v="4.1399999999999997"/>
    <s v="DQS_MAO04_FILE_000_B"/>
    <s v="RECORD COUNT by MBR_ID, DOS_THRU_DT, DX_CD Grain grouped by PAYER, SRC_FILE_NM, DOS_THRU_YYYYMM"/>
  </r>
  <r>
    <x v="1"/>
    <s v="FFV.MA_MAO004.MERCYOK.1214771.20240924.101434377.TXT"/>
    <x v="99"/>
    <x v="9"/>
    <n v="3511"/>
    <n v="75802"/>
    <n v="4.63"/>
    <s v="DQS_MAO04_FILE_000_B"/>
    <s v="RECORD COUNT by MBR_ID, DOS_THRU_DT, DX_CD Grain grouped by PAYER, SRC_FILE_NM, DOS_THRU_YYYYMM"/>
  </r>
  <r>
    <x v="1"/>
    <s v="FFV.MA_MAO004.MERCYOK.1214771.20240924.101434377.TXT"/>
    <x v="100"/>
    <x v="9"/>
    <n v="3221"/>
    <n v="75802"/>
    <n v="4.25"/>
    <s v="DQS_MAO04_FILE_000_B"/>
    <s v="RECORD COUNT by MBR_ID, DOS_THRU_DT, DX_CD Grain grouped by PAYER, SRC_FILE_NM, DOS_THRU_YYYYMM"/>
  </r>
  <r>
    <x v="1"/>
    <s v="FFV.MA_MAO004.MERCYOK.1214771.20240924.101434377.TXT"/>
    <x v="102"/>
    <x v="9"/>
    <n v="3166"/>
    <n v="75802"/>
    <n v="4.18"/>
    <s v="DQS_MAO04_FILE_000_B"/>
    <s v="RECORD COUNT by MBR_ID, DOS_THRU_DT, DX_CD Grain grouped by PAYER, SRC_FILE_NM, DOS_THRU_YYYYMM"/>
  </r>
  <r>
    <x v="1"/>
    <s v="FFV.MA_MAO004.MERCYOK.1214771.20240924.101434377.TXT"/>
    <x v="103"/>
    <x v="9"/>
    <n v="3141"/>
    <n v="75802"/>
    <n v="4.1399999999999997"/>
    <s v="DQS_MAO04_FILE_000_B"/>
    <s v="RECORD COUNT by MBR_ID, DOS_THRU_DT, DX_CD Grain grouped by PAYER, SRC_FILE_NM, DOS_THRU_YYYYMM"/>
  </r>
  <r>
    <x v="1"/>
    <s v="FFV.MA_MAO004.MERCYOK.1214771.20240924.101434377.TXT"/>
    <x v="105"/>
    <x v="9"/>
    <n v="1319"/>
    <n v="75802"/>
    <n v="1.74"/>
    <s v="DQS_MAO04_FILE_000_B"/>
    <s v="RECORD COUNT by MBR_ID, DOS_THRU_DT, DX_CD Grain grouped by PAYER, SRC_FILE_NM, DOS_THRU_YYYYMM"/>
  </r>
  <r>
    <x v="1"/>
    <s v="FFV.MA_MAO004.MERCYOK.1214771.20241025.103201423.TXT"/>
    <x v="65"/>
    <x v="7"/>
    <n v="1627"/>
    <n v="74640"/>
    <n v="2.1800000000000002"/>
    <s v="DQS_MAO04_FILE_000_B"/>
    <s v="RECORD COUNT by MBR_ID, DOS_THRU_DT, DX_CD Grain grouped by PAYER, SRC_FILE_NM, DOS_THRU_YYYYMM"/>
  </r>
  <r>
    <x v="1"/>
    <s v="FFV.MA_MAO004.MERCYOK.1214771.20241025.103201423.TXT"/>
    <x v="66"/>
    <x v="7"/>
    <n v="1858"/>
    <n v="74640"/>
    <n v="2.4900000000000002"/>
    <s v="DQS_MAO04_FILE_000_B"/>
    <s v="RECORD COUNT by MBR_ID, DOS_THRU_DT, DX_CD Grain grouped by PAYER, SRC_FILE_NM, DOS_THRU_YYYYMM"/>
  </r>
  <r>
    <x v="1"/>
    <s v="FFV.MA_MAO004.MERCYOK.1214771.20241025.103201423.TXT"/>
    <x v="67"/>
    <x v="7"/>
    <n v="2127"/>
    <n v="74640"/>
    <n v="2.85"/>
    <s v="DQS_MAO04_FILE_000_B"/>
    <s v="RECORD COUNT by MBR_ID, DOS_THRU_DT, DX_CD Grain grouped by PAYER, SRC_FILE_NM, DOS_THRU_YYYYMM"/>
  </r>
  <r>
    <x v="1"/>
    <s v="FFV.MA_MAO004.MERCYOK.1214771.20241025.103201423.TXT"/>
    <x v="68"/>
    <x v="7"/>
    <n v="1730"/>
    <n v="74640"/>
    <n v="2.3199999999999998"/>
    <s v="DQS_MAO04_FILE_000_B"/>
    <s v="RECORD COUNT by MBR_ID, DOS_THRU_DT, DX_CD Grain grouped by PAYER, SRC_FILE_NM, DOS_THRU_YYYYMM"/>
  </r>
  <r>
    <x v="1"/>
    <s v="FFV.MA_MAO004.MERCYOK.1214771.20241025.103201423.TXT"/>
    <x v="69"/>
    <x v="7"/>
    <n v="1879"/>
    <n v="74640"/>
    <n v="2.52"/>
    <s v="DQS_MAO04_FILE_000_B"/>
    <s v="RECORD COUNT by MBR_ID, DOS_THRU_DT, DX_CD Grain grouped by PAYER, SRC_FILE_NM, DOS_THRU_YYYYMM"/>
  </r>
  <r>
    <x v="1"/>
    <s v="FFV.MA_MAO004.MERCYOK.1214771.20241025.103201423.TXT"/>
    <x v="70"/>
    <x v="7"/>
    <n v="1681"/>
    <n v="74640"/>
    <n v="2.25"/>
    <s v="DQS_MAO04_FILE_000_B"/>
    <s v="RECORD COUNT by MBR_ID, DOS_THRU_DT, DX_CD Grain grouped by PAYER, SRC_FILE_NM, DOS_THRU_YYYYMM"/>
  </r>
  <r>
    <x v="1"/>
    <s v="FFV.MA_MAO004.MERCYOK.1214771.20241025.103201423.TXT"/>
    <x v="71"/>
    <x v="7"/>
    <n v="1414"/>
    <n v="74640"/>
    <n v="1.89"/>
    <s v="DQS_MAO04_FILE_000_B"/>
    <s v="RECORD COUNT by MBR_ID, DOS_THRU_DT, DX_CD Grain grouped by PAYER, SRC_FILE_NM, DOS_THRU_YYYYMM"/>
  </r>
  <r>
    <x v="1"/>
    <s v="FFV.MA_MAO004.MERCYOK.1214771.20241025.103201423.TXT"/>
    <x v="72"/>
    <x v="7"/>
    <n v="1940"/>
    <n v="74640"/>
    <n v="2.6"/>
    <s v="DQS_MAO04_FILE_000_B"/>
    <s v="RECORD COUNT by MBR_ID, DOS_THRU_DT, DX_CD Grain grouped by PAYER, SRC_FILE_NM, DOS_THRU_YYYYMM"/>
  </r>
  <r>
    <x v="1"/>
    <s v="FFV.MA_MAO004.MERCYOK.1214771.20241025.103201423.TXT"/>
    <x v="73"/>
    <x v="7"/>
    <n v="1950"/>
    <n v="74640"/>
    <n v="2.61"/>
    <s v="DQS_MAO04_FILE_000_B"/>
    <s v="RECORD COUNT by MBR_ID, DOS_THRU_DT, DX_CD Grain grouped by PAYER, SRC_FILE_NM, DOS_THRU_YYYYMM"/>
  </r>
  <r>
    <x v="1"/>
    <s v="FFV.MA_MAO004.MERCYOK.1214771.20241025.103201423.TXT"/>
    <x v="74"/>
    <x v="7"/>
    <n v="1901"/>
    <n v="74640"/>
    <n v="2.5499999999999998"/>
    <s v="DQS_MAO04_FILE_000_B"/>
    <s v="RECORD COUNT by MBR_ID, DOS_THRU_DT, DX_CD Grain grouped by PAYER, SRC_FILE_NM, DOS_THRU_YYYYMM"/>
  </r>
  <r>
    <x v="1"/>
    <s v="FFV.MA_MAO004.MERCYOK.1214771.20241025.103201423.TXT"/>
    <x v="75"/>
    <x v="7"/>
    <n v="1821"/>
    <n v="74640"/>
    <n v="2.44"/>
    <s v="DQS_MAO04_FILE_000_B"/>
    <s v="RECORD COUNT by MBR_ID, DOS_THRU_DT, DX_CD Grain grouped by PAYER, SRC_FILE_NM, DOS_THRU_YYYYMM"/>
  </r>
  <r>
    <x v="1"/>
    <s v="FFV.MA_MAO004.MERCYOK.1214771.20241025.103201423.TXT"/>
    <x v="76"/>
    <x v="7"/>
    <n v="1971"/>
    <n v="74640"/>
    <n v="2.64"/>
    <s v="DQS_MAO04_FILE_000_B"/>
    <s v="RECORD COUNT by MBR_ID, DOS_THRU_DT, DX_CD Grain grouped by PAYER, SRC_FILE_NM, DOS_THRU_YYYYMM"/>
  </r>
  <r>
    <x v="1"/>
    <s v="FFV.MA_MAO004.MERCYOK.1214771.20241025.103201423.TXT"/>
    <x v="77"/>
    <x v="8"/>
    <n v="1879"/>
    <n v="74640"/>
    <n v="2.52"/>
    <s v="DQS_MAO04_FILE_000_B"/>
    <s v="RECORD COUNT by MBR_ID, DOS_THRU_DT, DX_CD Grain grouped by PAYER, SRC_FILE_NM, DOS_THRU_YYYYMM"/>
  </r>
  <r>
    <x v="1"/>
    <s v="FFV.MA_MAO004.MERCYOK.1214771.20241025.103201423.TXT"/>
    <x v="78"/>
    <x v="8"/>
    <n v="2325"/>
    <n v="74640"/>
    <n v="3.11"/>
    <s v="DQS_MAO04_FILE_000_B"/>
    <s v="RECORD COUNT by MBR_ID, DOS_THRU_DT, DX_CD Grain grouped by PAYER, SRC_FILE_NM, DOS_THRU_YYYYMM"/>
  </r>
  <r>
    <x v="1"/>
    <s v="FFV.MA_MAO004.MERCYOK.1214771.20241025.103201423.TXT"/>
    <x v="79"/>
    <x v="8"/>
    <n v="2490"/>
    <n v="74640"/>
    <n v="3.34"/>
    <s v="DQS_MAO04_FILE_000_B"/>
    <s v="RECORD COUNT by MBR_ID, DOS_THRU_DT, DX_CD Grain grouped by PAYER, SRC_FILE_NM, DOS_THRU_YYYYMM"/>
  </r>
  <r>
    <x v="1"/>
    <s v="FFV.MA_MAO004.MERCYOK.1214771.20241025.103201423.TXT"/>
    <x v="80"/>
    <x v="8"/>
    <n v="2579"/>
    <n v="74640"/>
    <n v="3.46"/>
    <s v="DQS_MAO04_FILE_000_B"/>
    <s v="RECORD COUNT by MBR_ID, DOS_THRU_DT, DX_CD Grain grouped by PAYER, SRC_FILE_NM, DOS_THRU_YYYYMM"/>
  </r>
  <r>
    <x v="1"/>
    <s v="FFV.MA_MAO004.MERCYOK.1214771.20241025.103201423.TXT"/>
    <x v="81"/>
    <x v="8"/>
    <n v="2297"/>
    <n v="74640"/>
    <n v="3.08"/>
    <s v="DQS_MAO04_FILE_000_B"/>
    <s v="RECORD COUNT by MBR_ID, DOS_THRU_DT, DX_CD Grain grouped by PAYER, SRC_FILE_NM, DOS_THRU_YYYYMM"/>
  </r>
  <r>
    <x v="1"/>
    <s v="FFV.MA_MAO004.MERCYOK.1214771.20241025.103201423.TXT"/>
    <x v="82"/>
    <x v="8"/>
    <n v="2484"/>
    <n v="74640"/>
    <n v="3.33"/>
    <s v="DQS_MAO04_FILE_000_B"/>
    <s v="RECORD COUNT by MBR_ID, DOS_THRU_DT, DX_CD Grain grouped by PAYER, SRC_FILE_NM, DOS_THRU_YYYYMM"/>
  </r>
  <r>
    <x v="1"/>
    <s v="FFV.MA_MAO004.MERCYOK.1214771.20241025.103201423.TXT"/>
    <x v="83"/>
    <x v="8"/>
    <n v="2537"/>
    <n v="74640"/>
    <n v="3.4"/>
    <s v="DQS_MAO04_FILE_000_B"/>
    <s v="RECORD COUNT by MBR_ID, DOS_THRU_DT, DX_CD Grain grouped by PAYER, SRC_FILE_NM, DOS_THRU_YYYYMM"/>
  </r>
  <r>
    <x v="1"/>
    <s v="FFV.MA_MAO004.MERCYOK.1214771.20241025.103201423.TXT"/>
    <x v="84"/>
    <x v="8"/>
    <n v="2239"/>
    <n v="74640"/>
    <n v="3"/>
    <s v="DQS_MAO04_FILE_000_B"/>
    <s v="RECORD COUNT by MBR_ID, DOS_THRU_DT, DX_CD Grain grouped by PAYER, SRC_FILE_NM, DOS_THRU_YYYYMM"/>
  </r>
  <r>
    <x v="1"/>
    <s v="FFV.MA_MAO004.MERCYOK.1214771.20241025.103201423.TXT"/>
    <x v="85"/>
    <x v="8"/>
    <n v="2232"/>
    <n v="74640"/>
    <n v="2.99"/>
    <s v="DQS_MAO04_FILE_000_B"/>
    <s v="RECORD COUNT by MBR_ID, DOS_THRU_DT, DX_CD Grain grouped by PAYER, SRC_FILE_NM, DOS_THRU_YYYYMM"/>
  </r>
  <r>
    <x v="1"/>
    <s v="FFV.MA_MAO004.MERCYOK.1214771.20241025.103201423.TXT"/>
    <x v="86"/>
    <x v="8"/>
    <n v="2117"/>
    <n v="74640"/>
    <n v="2.84"/>
    <s v="DQS_MAO04_FILE_000_B"/>
    <s v="RECORD COUNT by MBR_ID, DOS_THRU_DT, DX_CD Grain grouped by PAYER, SRC_FILE_NM, DOS_THRU_YYYYMM"/>
  </r>
  <r>
    <x v="1"/>
    <s v="FFV.MA_MAO004.MERCYOK.1214771.20241025.103201423.TXT"/>
    <x v="87"/>
    <x v="8"/>
    <n v="2265"/>
    <n v="74640"/>
    <n v="3.03"/>
    <s v="DQS_MAO04_FILE_000_B"/>
    <s v="RECORD COUNT by MBR_ID, DOS_THRU_DT, DX_CD Grain grouped by PAYER, SRC_FILE_NM, DOS_THRU_YYYYMM"/>
  </r>
  <r>
    <x v="1"/>
    <s v="FFV.MA_MAO004.MERCYOK.1214771.20241025.103201423.TXT"/>
    <x v="88"/>
    <x v="8"/>
    <n v="2182"/>
    <n v="74640"/>
    <n v="2.92"/>
    <s v="DQS_MAO04_FILE_000_B"/>
    <s v="RECORD COUNT by MBR_ID, DOS_THRU_DT, DX_CD Grain grouped by PAYER, SRC_FILE_NM, DOS_THRU_YYYYMM"/>
  </r>
  <r>
    <x v="1"/>
    <s v="FFV.MA_MAO004.MERCYOK.1214771.20241025.103201423.TXT"/>
    <x v="89"/>
    <x v="9"/>
    <n v="2700"/>
    <n v="74640"/>
    <n v="3.62"/>
    <s v="DQS_MAO04_FILE_000_B"/>
    <s v="RECORD COUNT by MBR_ID, DOS_THRU_DT, DX_CD Grain grouped by PAYER, SRC_FILE_NM, DOS_THRU_YYYYMM"/>
  </r>
  <r>
    <x v="1"/>
    <s v="FFV.MA_MAO004.MERCYOK.1214771.20241025.103201423.TXT"/>
    <x v="97"/>
    <x v="9"/>
    <n v="3380"/>
    <n v="74640"/>
    <n v="4.53"/>
    <s v="DQS_MAO04_FILE_000_B"/>
    <s v="RECORD COUNT by MBR_ID, DOS_THRU_DT, DX_CD Grain grouped by PAYER, SRC_FILE_NM, DOS_THRU_YYYYMM"/>
  </r>
  <r>
    <x v="1"/>
    <s v="FFV.MA_MAO004.MERCYOK.1214771.20241025.103201423.TXT"/>
    <x v="98"/>
    <x v="9"/>
    <n v="3024"/>
    <n v="74640"/>
    <n v="4.05"/>
    <s v="DQS_MAO04_FILE_000_B"/>
    <s v="RECORD COUNT by MBR_ID, DOS_THRU_DT, DX_CD Grain grouped by PAYER, SRC_FILE_NM, DOS_THRU_YYYYMM"/>
  </r>
  <r>
    <x v="1"/>
    <s v="FFV.MA_MAO004.MERCYOK.1214771.20241025.103201423.TXT"/>
    <x v="99"/>
    <x v="9"/>
    <n v="3350"/>
    <n v="74640"/>
    <n v="4.49"/>
    <s v="DQS_MAO04_FILE_000_B"/>
    <s v="RECORD COUNT by MBR_ID, DOS_THRU_DT, DX_CD Grain grouped by PAYER, SRC_FILE_NM, DOS_THRU_YYYYMM"/>
  </r>
  <r>
    <x v="1"/>
    <s v="FFV.MA_MAO004.MERCYOK.1214771.20241025.103201423.TXT"/>
    <x v="100"/>
    <x v="9"/>
    <n v="2853"/>
    <n v="74640"/>
    <n v="3.82"/>
    <s v="DQS_MAO04_FILE_000_B"/>
    <s v="RECORD COUNT by MBR_ID, DOS_THRU_DT, DX_CD Grain grouped by PAYER, SRC_FILE_NM, DOS_THRU_YYYYMM"/>
  </r>
  <r>
    <x v="1"/>
    <s v="FFV.MA_MAO004.MERCYOK.1214771.20241025.103201423.TXT"/>
    <x v="102"/>
    <x v="9"/>
    <n v="2936"/>
    <n v="74640"/>
    <n v="3.93"/>
    <s v="DQS_MAO04_FILE_000_B"/>
    <s v="RECORD COUNT by MBR_ID, DOS_THRU_DT, DX_CD Grain grouped by PAYER, SRC_FILE_NM, DOS_THRU_YYYYMM"/>
  </r>
  <r>
    <x v="1"/>
    <s v="FFV.MA_MAO004.MERCYOK.1214771.20241025.103201423.TXT"/>
    <x v="103"/>
    <x v="9"/>
    <n v="3029"/>
    <n v="74640"/>
    <n v="4.0599999999999996"/>
    <s v="DQS_MAO04_FILE_000_B"/>
    <s v="RECORD COUNT by MBR_ID, DOS_THRU_DT, DX_CD Grain grouped by PAYER, SRC_FILE_NM, DOS_THRU_YYYYMM"/>
  </r>
  <r>
    <x v="1"/>
    <s v="FFV.MA_MAO004.MERCYOK.1214771.20241025.103201423.TXT"/>
    <x v="105"/>
    <x v="9"/>
    <n v="2816"/>
    <n v="74640"/>
    <n v="3.77"/>
    <s v="DQS_MAO04_FILE_000_B"/>
    <s v="RECORD COUNT by MBR_ID, DOS_THRU_DT, DX_CD Grain grouped by PAYER, SRC_FILE_NM, DOS_THRU_YYYYMM"/>
  </r>
  <r>
    <x v="1"/>
    <s v="FFV.MA_MAO004.MERCYOK.1214771.20241025.103201423.TXT"/>
    <x v="106"/>
    <x v="9"/>
    <n v="1027"/>
    <n v="74640"/>
    <n v="1.38"/>
    <s v="DQS_MAO04_FILE_000_B"/>
    <s v="RECORD COUNT by MBR_ID, DOS_THRU_DT, DX_CD Grain grouped by PAYER, SRC_FILE_NM, DOS_THRU_YYYYMM"/>
  </r>
  <r>
    <x v="1"/>
    <s v="FFV.MA_MAO004.MERCYOK.1214771.20241125.131337085.TXT"/>
    <x v="65"/>
    <x v="7"/>
    <n v="1597"/>
    <n v="78081"/>
    <n v="2.0499999999999998"/>
    <s v="DQS_MAO04_FILE_000_B"/>
    <s v="RECORD COUNT by MBR_ID, DOS_THRU_DT, DX_CD Grain grouped by PAYER, SRC_FILE_NM, DOS_THRU_YYYYMM"/>
  </r>
  <r>
    <x v="1"/>
    <s v="FFV.MA_MAO004.MERCYOK.1214771.20241125.131337085.TXT"/>
    <x v="66"/>
    <x v="7"/>
    <n v="1740"/>
    <n v="78081"/>
    <n v="2.23"/>
    <s v="DQS_MAO04_FILE_000_B"/>
    <s v="RECORD COUNT by MBR_ID, DOS_THRU_DT, DX_CD Grain grouped by PAYER, SRC_FILE_NM, DOS_THRU_YYYYMM"/>
  </r>
  <r>
    <x v="1"/>
    <s v="FFV.MA_MAO004.MERCYOK.1214771.20241125.131337085.TXT"/>
    <x v="67"/>
    <x v="7"/>
    <n v="2087"/>
    <n v="78081"/>
    <n v="2.67"/>
    <s v="DQS_MAO04_FILE_000_B"/>
    <s v="RECORD COUNT by MBR_ID, DOS_THRU_DT, DX_CD Grain grouped by PAYER, SRC_FILE_NM, DOS_THRU_YYYYMM"/>
  </r>
  <r>
    <x v="1"/>
    <s v="FFV.MA_MAO004.MERCYOK.1214771.20241125.131337085.TXT"/>
    <x v="68"/>
    <x v="7"/>
    <n v="1733"/>
    <n v="78081"/>
    <n v="2.2200000000000002"/>
    <s v="DQS_MAO04_FILE_000_B"/>
    <s v="RECORD COUNT by MBR_ID, DOS_THRU_DT, DX_CD Grain grouped by PAYER, SRC_FILE_NM, DOS_THRU_YYYYMM"/>
  </r>
  <r>
    <x v="1"/>
    <s v="FFV.MA_MAO004.MERCYOK.1214771.20241125.131337085.TXT"/>
    <x v="69"/>
    <x v="7"/>
    <n v="1862"/>
    <n v="78081"/>
    <n v="2.38"/>
    <s v="DQS_MAO04_FILE_000_B"/>
    <s v="RECORD COUNT by MBR_ID, DOS_THRU_DT, DX_CD Grain grouped by PAYER, SRC_FILE_NM, DOS_THRU_YYYYMM"/>
  </r>
  <r>
    <x v="1"/>
    <s v="FFV.MA_MAO004.MERCYOK.1214771.20241125.131337085.TXT"/>
    <x v="70"/>
    <x v="7"/>
    <n v="1699"/>
    <n v="78081"/>
    <n v="2.1800000000000002"/>
    <s v="DQS_MAO04_FILE_000_B"/>
    <s v="RECORD COUNT by MBR_ID, DOS_THRU_DT, DX_CD Grain grouped by PAYER, SRC_FILE_NM, DOS_THRU_YYYYMM"/>
  </r>
  <r>
    <x v="1"/>
    <s v="FFV.MA_MAO004.MERCYOK.1214771.20241125.131337085.TXT"/>
    <x v="71"/>
    <x v="7"/>
    <n v="1420"/>
    <n v="78081"/>
    <n v="1.82"/>
    <s v="DQS_MAO04_FILE_000_B"/>
    <s v="RECORD COUNT by MBR_ID, DOS_THRU_DT, DX_CD Grain grouped by PAYER, SRC_FILE_NM, DOS_THRU_YYYYMM"/>
  </r>
  <r>
    <x v="1"/>
    <s v="FFV.MA_MAO004.MERCYOK.1214771.20241125.131337085.TXT"/>
    <x v="72"/>
    <x v="7"/>
    <n v="1936"/>
    <n v="78081"/>
    <n v="2.48"/>
    <s v="DQS_MAO04_FILE_000_B"/>
    <s v="RECORD COUNT by MBR_ID, DOS_THRU_DT, DX_CD Grain grouped by PAYER, SRC_FILE_NM, DOS_THRU_YYYYMM"/>
  </r>
  <r>
    <x v="1"/>
    <s v="FFV.MA_MAO004.MERCYOK.1214771.20241125.131337085.TXT"/>
    <x v="73"/>
    <x v="7"/>
    <n v="1959"/>
    <n v="78081"/>
    <n v="2.5099999999999998"/>
    <s v="DQS_MAO04_FILE_000_B"/>
    <s v="RECORD COUNT by MBR_ID, DOS_THRU_DT, DX_CD Grain grouped by PAYER, SRC_FILE_NM, DOS_THRU_YYYYMM"/>
  </r>
  <r>
    <x v="1"/>
    <s v="FFV.MA_MAO004.MERCYOK.1214771.20241125.131337085.TXT"/>
    <x v="74"/>
    <x v="7"/>
    <n v="1908"/>
    <n v="78081"/>
    <n v="2.44"/>
    <s v="DQS_MAO04_FILE_000_B"/>
    <s v="RECORD COUNT by MBR_ID, DOS_THRU_DT, DX_CD Grain grouped by PAYER, SRC_FILE_NM, DOS_THRU_YYYYMM"/>
  </r>
  <r>
    <x v="1"/>
    <s v="FFV.MA_MAO004.MERCYOK.1214771.20241125.131337085.TXT"/>
    <x v="75"/>
    <x v="7"/>
    <n v="1827"/>
    <n v="78081"/>
    <n v="2.34"/>
    <s v="DQS_MAO04_FILE_000_B"/>
    <s v="RECORD COUNT by MBR_ID, DOS_THRU_DT, DX_CD Grain grouped by PAYER, SRC_FILE_NM, DOS_THRU_YYYYMM"/>
  </r>
  <r>
    <x v="1"/>
    <s v="FFV.MA_MAO004.MERCYOK.1214771.20241125.131337085.TXT"/>
    <x v="76"/>
    <x v="7"/>
    <n v="1987"/>
    <n v="78081"/>
    <n v="2.54"/>
    <s v="DQS_MAO04_FILE_000_B"/>
    <s v="RECORD COUNT by MBR_ID, DOS_THRU_DT, DX_CD Grain grouped by PAYER, SRC_FILE_NM, DOS_THRU_YYYYMM"/>
  </r>
  <r>
    <x v="1"/>
    <s v="FFV.MA_MAO004.MERCYOK.1214771.20241125.131337085.TXT"/>
    <x v="77"/>
    <x v="8"/>
    <n v="1891"/>
    <n v="78081"/>
    <n v="2.42"/>
    <s v="DQS_MAO04_FILE_000_B"/>
    <s v="RECORD COUNT by MBR_ID, DOS_THRU_DT, DX_CD Grain grouped by PAYER, SRC_FILE_NM, DOS_THRU_YYYYMM"/>
  </r>
  <r>
    <x v="1"/>
    <s v="FFV.MA_MAO004.MERCYOK.1214771.20241125.131337085.TXT"/>
    <x v="78"/>
    <x v="8"/>
    <n v="2360"/>
    <n v="78081"/>
    <n v="3.02"/>
    <s v="DQS_MAO04_FILE_000_B"/>
    <s v="RECORD COUNT by MBR_ID, DOS_THRU_DT, DX_CD Grain grouped by PAYER, SRC_FILE_NM, DOS_THRU_YYYYMM"/>
  </r>
  <r>
    <x v="1"/>
    <s v="FFV.MA_MAO004.MERCYOK.1214771.20241125.131337085.TXT"/>
    <x v="79"/>
    <x v="8"/>
    <n v="2555"/>
    <n v="78081"/>
    <n v="3.27"/>
    <s v="DQS_MAO04_FILE_000_B"/>
    <s v="RECORD COUNT by MBR_ID, DOS_THRU_DT, DX_CD Grain grouped by PAYER, SRC_FILE_NM, DOS_THRU_YYYYMM"/>
  </r>
  <r>
    <x v="1"/>
    <s v="FFV.MA_MAO004.MERCYOK.1214771.20241125.131337085.TXT"/>
    <x v="80"/>
    <x v="8"/>
    <n v="2614"/>
    <n v="78081"/>
    <n v="3.35"/>
    <s v="DQS_MAO04_FILE_000_B"/>
    <s v="RECORD COUNT by MBR_ID, DOS_THRU_DT, DX_CD Grain grouped by PAYER, SRC_FILE_NM, DOS_THRU_YYYYMM"/>
  </r>
  <r>
    <x v="1"/>
    <s v="FFV.MA_MAO004.MERCYOK.1214771.20241125.131337085.TXT"/>
    <x v="81"/>
    <x v="8"/>
    <n v="2308"/>
    <n v="78081"/>
    <n v="2.96"/>
    <s v="DQS_MAO04_FILE_000_B"/>
    <s v="RECORD COUNT by MBR_ID, DOS_THRU_DT, DX_CD Grain grouped by PAYER, SRC_FILE_NM, DOS_THRU_YYYYMM"/>
  </r>
  <r>
    <x v="1"/>
    <s v="FFV.MA_MAO004.MERCYOK.1214771.20241125.131337085.TXT"/>
    <x v="82"/>
    <x v="8"/>
    <n v="2539"/>
    <n v="78081"/>
    <n v="3.25"/>
    <s v="DQS_MAO04_FILE_000_B"/>
    <s v="RECORD COUNT by MBR_ID, DOS_THRU_DT, DX_CD Grain grouped by PAYER, SRC_FILE_NM, DOS_THRU_YYYYMM"/>
  </r>
  <r>
    <x v="1"/>
    <s v="FFV.MA_MAO004.MERCYOK.1214771.20241125.131337085.TXT"/>
    <x v="83"/>
    <x v="8"/>
    <n v="2614"/>
    <n v="78081"/>
    <n v="3.35"/>
    <s v="DQS_MAO04_FILE_000_B"/>
    <s v="RECORD COUNT by MBR_ID, DOS_THRU_DT, DX_CD Grain grouped by PAYER, SRC_FILE_NM, DOS_THRU_YYYYMM"/>
  </r>
  <r>
    <x v="1"/>
    <s v="FFV.MA_MAO004.MERCYOK.1214771.20241125.131337085.TXT"/>
    <x v="84"/>
    <x v="8"/>
    <n v="2331"/>
    <n v="78081"/>
    <n v="2.99"/>
    <s v="DQS_MAO04_FILE_000_B"/>
    <s v="RECORD COUNT by MBR_ID, DOS_THRU_DT, DX_CD Grain grouped by PAYER, SRC_FILE_NM, DOS_THRU_YYYYMM"/>
  </r>
  <r>
    <x v="1"/>
    <s v="FFV.MA_MAO004.MERCYOK.1214771.20241125.131337085.TXT"/>
    <x v="85"/>
    <x v="8"/>
    <n v="2147"/>
    <n v="78081"/>
    <n v="2.75"/>
    <s v="DQS_MAO04_FILE_000_B"/>
    <s v="RECORD COUNT by MBR_ID, DOS_THRU_DT, DX_CD Grain grouped by PAYER, SRC_FILE_NM, DOS_THRU_YYYYMM"/>
  </r>
  <r>
    <x v="1"/>
    <s v="FFV.MA_MAO004.MERCYOK.1214771.20241125.131337085.TXT"/>
    <x v="86"/>
    <x v="8"/>
    <n v="2173"/>
    <n v="78081"/>
    <n v="2.78"/>
    <s v="DQS_MAO04_FILE_000_B"/>
    <s v="RECORD COUNT by MBR_ID, DOS_THRU_DT, DX_CD Grain grouped by PAYER, SRC_FILE_NM, DOS_THRU_YYYYMM"/>
  </r>
  <r>
    <x v="1"/>
    <s v="FFV.MA_MAO004.MERCYOK.1214771.20241125.131337085.TXT"/>
    <x v="87"/>
    <x v="8"/>
    <n v="2393"/>
    <n v="78081"/>
    <n v="3.06"/>
    <s v="DQS_MAO04_FILE_000_B"/>
    <s v="RECORD COUNT by MBR_ID, DOS_THRU_DT, DX_CD Grain grouped by PAYER, SRC_FILE_NM, DOS_THRU_YYYYMM"/>
  </r>
  <r>
    <x v="1"/>
    <s v="FFV.MA_MAO004.MERCYOK.1214771.20241125.131337085.TXT"/>
    <x v="88"/>
    <x v="8"/>
    <n v="2246"/>
    <n v="78081"/>
    <n v="2.88"/>
    <s v="DQS_MAO04_FILE_000_B"/>
    <s v="RECORD COUNT by MBR_ID, DOS_THRU_DT, DX_CD Grain grouped by PAYER, SRC_FILE_NM, DOS_THRU_YYYYMM"/>
  </r>
  <r>
    <x v="1"/>
    <s v="FFV.MA_MAO004.MERCYOK.1214771.20241125.131337085.TXT"/>
    <x v="89"/>
    <x v="9"/>
    <n v="2791"/>
    <n v="78081"/>
    <n v="3.57"/>
    <s v="DQS_MAO04_FILE_000_B"/>
    <s v="RECORD COUNT by MBR_ID, DOS_THRU_DT, DX_CD Grain grouped by PAYER, SRC_FILE_NM, DOS_THRU_YYYYMM"/>
  </r>
  <r>
    <x v="1"/>
    <s v="FFV.MA_MAO004.MERCYOK.1214771.20241125.131337085.TXT"/>
    <x v="97"/>
    <x v="9"/>
    <n v="3412"/>
    <n v="78081"/>
    <n v="4.37"/>
    <s v="DQS_MAO04_FILE_000_B"/>
    <s v="RECORD COUNT by MBR_ID, DOS_THRU_DT, DX_CD Grain grouped by PAYER, SRC_FILE_NM, DOS_THRU_YYYYMM"/>
  </r>
  <r>
    <x v="1"/>
    <s v="FFV.MA_MAO004.MERCYOK.1214771.20241125.131337085.TXT"/>
    <x v="98"/>
    <x v="9"/>
    <n v="3069"/>
    <n v="78081"/>
    <n v="3.93"/>
    <s v="DQS_MAO04_FILE_000_B"/>
    <s v="RECORD COUNT by MBR_ID, DOS_THRU_DT, DX_CD Grain grouped by PAYER, SRC_FILE_NM, DOS_THRU_YYYYMM"/>
  </r>
  <r>
    <x v="1"/>
    <s v="FFV.MA_MAO004.MERCYOK.1214771.20241125.131337085.TXT"/>
    <x v="99"/>
    <x v="9"/>
    <n v="3518"/>
    <n v="78081"/>
    <n v="4.51"/>
    <s v="DQS_MAO04_FILE_000_B"/>
    <s v="RECORD COUNT by MBR_ID, DOS_THRU_DT, DX_CD Grain grouped by PAYER, SRC_FILE_NM, DOS_THRU_YYYYMM"/>
  </r>
  <r>
    <x v="1"/>
    <s v="FFV.MA_MAO004.MERCYOK.1214771.20241125.131337085.TXT"/>
    <x v="100"/>
    <x v="9"/>
    <n v="2993"/>
    <n v="78081"/>
    <n v="3.83"/>
    <s v="DQS_MAO04_FILE_000_B"/>
    <s v="RECORD COUNT by MBR_ID, DOS_THRU_DT, DX_CD Grain grouped by PAYER, SRC_FILE_NM, DOS_THRU_YYYYMM"/>
  </r>
  <r>
    <x v="1"/>
    <s v="FFV.MA_MAO004.MERCYOK.1214771.20241125.131337085.TXT"/>
    <x v="102"/>
    <x v="9"/>
    <n v="2954"/>
    <n v="78081"/>
    <n v="3.78"/>
    <s v="DQS_MAO04_FILE_000_B"/>
    <s v="RECORD COUNT by MBR_ID, DOS_THRU_DT, DX_CD Grain grouped by PAYER, SRC_FILE_NM, DOS_THRU_YYYYMM"/>
  </r>
  <r>
    <x v="1"/>
    <s v="FFV.MA_MAO004.MERCYOK.1214771.20241125.131337085.TXT"/>
    <x v="103"/>
    <x v="9"/>
    <n v="2992"/>
    <n v="78081"/>
    <n v="3.83"/>
    <s v="DQS_MAO04_FILE_000_B"/>
    <s v="RECORD COUNT by MBR_ID, DOS_THRU_DT, DX_CD Grain grouped by PAYER, SRC_FILE_NM, DOS_THRU_YYYYMM"/>
  </r>
  <r>
    <x v="1"/>
    <s v="FFV.MA_MAO004.MERCYOK.1214771.20241125.131337085.TXT"/>
    <x v="105"/>
    <x v="9"/>
    <n v="2974"/>
    <n v="78081"/>
    <n v="3.81"/>
    <s v="DQS_MAO04_FILE_000_B"/>
    <s v="RECORD COUNT by MBR_ID, DOS_THRU_DT, DX_CD Grain grouped by PAYER, SRC_FILE_NM, DOS_THRU_YYYYMM"/>
  </r>
  <r>
    <x v="1"/>
    <s v="FFV.MA_MAO004.MERCYOK.1214771.20241125.131337085.TXT"/>
    <x v="106"/>
    <x v="9"/>
    <n v="2921"/>
    <n v="78081"/>
    <n v="3.74"/>
    <s v="DQS_MAO04_FILE_000_B"/>
    <s v="RECORD COUNT by MBR_ID, DOS_THRU_DT, DX_CD Grain grouped by PAYER, SRC_FILE_NM, DOS_THRU_YYYYMM"/>
  </r>
  <r>
    <x v="1"/>
    <s v="FFV.MA_MAO004.MERCYOK.1214771.20241125.131337085.TXT"/>
    <x v="107"/>
    <x v="9"/>
    <n v="531"/>
    <n v="78081"/>
    <n v="0.68"/>
    <s v="DQS_MAO04_FILE_000_B"/>
    <s v="RECORD COUNT by MBR_ID, DOS_THRU_DT, DX_CD Grain grouped by PAYER, SRC_FILE_NM, DOS_THRU_YYYYMM"/>
  </r>
  <r>
    <x v="1"/>
    <s v="FFV.MA_MAO004.MERCYOK.1214771.20241224.110503321.TXT"/>
    <x v="65"/>
    <x v="7"/>
    <n v="1562"/>
    <n v="82652"/>
    <n v="1.89"/>
    <s v="DQS_MAO04_FILE_000_B"/>
    <s v="RECORD COUNT by MBR_ID, DOS_THRU_DT, DX_CD Grain grouped by PAYER, SRC_FILE_NM, DOS_THRU_YYYYMM"/>
  </r>
  <r>
    <x v="1"/>
    <s v="FFV.MA_MAO004.MERCYOK.1214771.20241224.110503321.TXT"/>
    <x v="66"/>
    <x v="7"/>
    <n v="1781"/>
    <n v="82652"/>
    <n v="2.15"/>
    <s v="DQS_MAO04_FILE_000_B"/>
    <s v="RECORD COUNT by MBR_ID, DOS_THRU_DT, DX_CD Grain grouped by PAYER, SRC_FILE_NM, DOS_THRU_YYYYMM"/>
  </r>
  <r>
    <x v="1"/>
    <s v="FFV.MA_MAO004.MERCYOK.1214771.20241224.110503321.TXT"/>
    <x v="67"/>
    <x v="7"/>
    <n v="2111"/>
    <n v="82652"/>
    <n v="2.5499999999999998"/>
    <s v="DQS_MAO04_FILE_000_B"/>
    <s v="RECORD COUNT by MBR_ID, DOS_THRU_DT, DX_CD Grain grouped by PAYER, SRC_FILE_NM, DOS_THRU_YYYYMM"/>
  </r>
  <r>
    <x v="1"/>
    <s v="FFV.MA_MAO004.MERCYOK.1214771.20241224.110503321.TXT"/>
    <x v="68"/>
    <x v="7"/>
    <n v="1743"/>
    <n v="82652"/>
    <n v="2.11"/>
    <s v="DQS_MAO04_FILE_000_B"/>
    <s v="RECORD COUNT by MBR_ID, DOS_THRU_DT, DX_CD Grain grouped by PAYER, SRC_FILE_NM, DOS_THRU_YYYYMM"/>
  </r>
  <r>
    <x v="1"/>
    <s v="FFV.MA_MAO004.MERCYOK.1214771.20241224.110503321.TXT"/>
    <x v="69"/>
    <x v="7"/>
    <n v="1881"/>
    <n v="82652"/>
    <n v="2.2799999999999998"/>
    <s v="DQS_MAO04_FILE_000_B"/>
    <s v="RECORD COUNT by MBR_ID, DOS_THRU_DT, DX_CD Grain grouped by PAYER, SRC_FILE_NM, DOS_THRU_YYYYMM"/>
  </r>
  <r>
    <x v="1"/>
    <s v="FFV.MA_MAO004.MERCYOK.1214771.20241224.110503321.TXT"/>
    <x v="70"/>
    <x v="7"/>
    <n v="1663"/>
    <n v="82652"/>
    <n v="2.0099999999999998"/>
    <s v="DQS_MAO04_FILE_000_B"/>
    <s v="RECORD COUNT by MBR_ID, DOS_THRU_DT, DX_CD Grain grouped by PAYER, SRC_FILE_NM, DOS_THRU_YYYYMM"/>
  </r>
  <r>
    <x v="1"/>
    <s v="FFV.MA_MAO004.MERCYOK.1214771.20241224.110503321.TXT"/>
    <x v="71"/>
    <x v="7"/>
    <n v="1552"/>
    <n v="82652"/>
    <n v="1.88"/>
    <s v="DQS_MAO04_FILE_000_B"/>
    <s v="RECORD COUNT by MBR_ID, DOS_THRU_DT, DX_CD Grain grouped by PAYER, SRC_FILE_NM, DOS_THRU_YYYYMM"/>
  </r>
  <r>
    <x v="1"/>
    <s v="FFV.MA_MAO004.MERCYOK.1214771.20241224.110503321.TXT"/>
    <x v="72"/>
    <x v="7"/>
    <n v="1981"/>
    <n v="82652"/>
    <n v="2.4"/>
    <s v="DQS_MAO04_FILE_000_B"/>
    <s v="RECORD COUNT by MBR_ID, DOS_THRU_DT, DX_CD Grain grouped by PAYER, SRC_FILE_NM, DOS_THRU_YYYYMM"/>
  </r>
  <r>
    <x v="1"/>
    <s v="FFV.MA_MAO004.MERCYOK.1214771.20241224.110503321.TXT"/>
    <x v="73"/>
    <x v="7"/>
    <n v="1910"/>
    <n v="82652"/>
    <n v="2.31"/>
    <s v="DQS_MAO04_FILE_000_B"/>
    <s v="RECORD COUNT by MBR_ID, DOS_THRU_DT, DX_CD Grain grouped by PAYER, SRC_FILE_NM, DOS_THRU_YYYYMM"/>
  </r>
  <r>
    <x v="1"/>
    <s v="FFV.MA_MAO004.MERCYOK.1214771.20241224.110503321.TXT"/>
    <x v="74"/>
    <x v="7"/>
    <n v="1983"/>
    <n v="82652"/>
    <n v="2.4"/>
    <s v="DQS_MAO04_FILE_000_B"/>
    <s v="RECORD COUNT by MBR_ID, DOS_THRU_DT, DX_CD Grain grouped by PAYER, SRC_FILE_NM, DOS_THRU_YYYYMM"/>
  </r>
  <r>
    <x v="1"/>
    <s v="FFV.MA_MAO004.MERCYOK.1214771.20241224.110503321.TXT"/>
    <x v="75"/>
    <x v="7"/>
    <n v="1883"/>
    <n v="82652"/>
    <n v="2.2799999999999998"/>
    <s v="DQS_MAO04_FILE_000_B"/>
    <s v="RECORD COUNT by MBR_ID, DOS_THRU_DT, DX_CD Grain grouped by PAYER, SRC_FILE_NM, DOS_THRU_YYYYMM"/>
  </r>
  <r>
    <x v="1"/>
    <s v="FFV.MA_MAO004.MERCYOK.1214771.20241224.110503321.TXT"/>
    <x v="76"/>
    <x v="7"/>
    <n v="1990"/>
    <n v="82652"/>
    <n v="2.41"/>
    <s v="DQS_MAO04_FILE_000_B"/>
    <s v="RECORD COUNT by MBR_ID, DOS_THRU_DT, DX_CD Grain grouped by PAYER, SRC_FILE_NM, DOS_THRU_YYYYMM"/>
  </r>
  <r>
    <x v="1"/>
    <s v="FFV.MA_MAO004.MERCYOK.1214771.20241224.110503321.TXT"/>
    <x v="77"/>
    <x v="8"/>
    <n v="1835"/>
    <n v="82652"/>
    <n v="2.2200000000000002"/>
    <s v="DQS_MAO04_FILE_000_B"/>
    <s v="RECORD COUNT by MBR_ID, DOS_THRU_DT, DX_CD Grain grouped by PAYER, SRC_FILE_NM, DOS_THRU_YYYYMM"/>
  </r>
  <r>
    <x v="1"/>
    <s v="FFV.MA_MAO004.MERCYOK.1214771.20241224.110503321.TXT"/>
    <x v="78"/>
    <x v="8"/>
    <n v="2432"/>
    <n v="82652"/>
    <n v="2.94"/>
    <s v="DQS_MAO04_FILE_000_B"/>
    <s v="RECORD COUNT by MBR_ID, DOS_THRU_DT, DX_CD Grain grouped by PAYER, SRC_FILE_NM, DOS_THRU_YYYYMM"/>
  </r>
  <r>
    <x v="1"/>
    <s v="FFV.MA_MAO004.MERCYOK.1214771.20241224.110503321.TXT"/>
    <x v="79"/>
    <x v="8"/>
    <n v="2534"/>
    <n v="82652"/>
    <n v="3.07"/>
    <s v="DQS_MAO04_FILE_000_B"/>
    <s v="RECORD COUNT by MBR_ID, DOS_THRU_DT, DX_CD Grain grouped by PAYER, SRC_FILE_NM, DOS_THRU_YYYYMM"/>
  </r>
  <r>
    <x v="1"/>
    <s v="FFV.MA_MAO004.MERCYOK.1214771.20241224.110503321.TXT"/>
    <x v="80"/>
    <x v="8"/>
    <n v="2640"/>
    <n v="82652"/>
    <n v="3.19"/>
    <s v="DQS_MAO04_FILE_000_B"/>
    <s v="RECORD COUNT by MBR_ID, DOS_THRU_DT, DX_CD Grain grouped by PAYER, SRC_FILE_NM, DOS_THRU_YYYYMM"/>
  </r>
  <r>
    <x v="1"/>
    <s v="FFV.MA_MAO004.MERCYOK.1214771.20241224.110503321.TXT"/>
    <x v="81"/>
    <x v="8"/>
    <n v="2349"/>
    <n v="82652"/>
    <n v="2.84"/>
    <s v="DQS_MAO04_FILE_000_B"/>
    <s v="RECORD COUNT by MBR_ID, DOS_THRU_DT, DX_CD Grain grouped by PAYER, SRC_FILE_NM, DOS_THRU_YYYYMM"/>
  </r>
  <r>
    <x v="1"/>
    <s v="FFV.MA_MAO004.MERCYOK.1214771.20241224.110503321.TXT"/>
    <x v="82"/>
    <x v="8"/>
    <n v="2525"/>
    <n v="82652"/>
    <n v="3.05"/>
    <s v="DQS_MAO04_FILE_000_B"/>
    <s v="RECORD COUNT by MBR_ID, DOS_THRU_DT, DX_CD Grain grouped by PAYER, SRC_FILE_NM, DOS_THRU_YYYYMM"/>
  </r>
  <r>
    <x v="1"/>
    <s v="FFV.MA_MAO004.MERCYOK.1214771.20241224.110503321.TXT"/>
    <x v="83"/>
    <x v="8"/>
    <n v="2649"/>
    <n v="82652"/>
    <n v="3.21"/>
    <s v="DQS_MAO04_FILE_000_B"/>
    <s v="RECORD COUNT by MBR_ID, DOS_THRU_DT, DX_CD Grain grouped by PAYER, SRC_FILE_NM, DOS_THRU_YYYYMM"/>
  </r>
  <r>
    <x v="1"/>
    <s v="FFV.MA_MAO004.MERCYOK.1214771.20241224.110503321.TXT"/>
    <x v="84"/>
    <x v="8"/>
    <n v="2507"/>
    <n v="82652"/>
    <n v="3.03"/>
    <s v="DQS_MAO04_FILE_000_B"/>
    <s v="RECORD COUNT by MBR_ID, DOS_THRU_DT, DX_CD Grain grouped by PAYER, SRC_FILE_NM, DOS_THRU_YYYYMM"/>
  </r>
  <r>
    <x v="1"/>
    <s v="FFV.MA_MAO004.MERCYOK.1214771.20241224.110503321.TXT"/>
    <x v="85"/>
    <x v="8"/>
    <n v="2346"/>
    <n v="82652"/>
    <n v="2.84"/>
    <s v="DQS_MAO04_FILE_000_B"/>
    <s v="RECORD COUNT by MBR_ID, DOS_THRU_DT, DX_CD Grain grouped by PAYER, SRC_FILE_NM, DOS_THRU_YYYYMM"/>
  </r>
  <r>
    <x v="1"/>
    <s v="FFV.MA_MAO004.MERCYOK.1214771.20241224.110503321.TXT"/>
    <x v="86"/>
    <x v="8"/>
    <n v="2253"/>
    <n v="82652"/>
    <n v="2.73"/>
    <s v="DQS_MAO04_FILE_000_B"/>
    <s v="RECORD COUNT by MBR_ID, DOS_THRU_DT, DX_CD Grain grouped by PAYER, SRC_FILE_NM, DOS_THRU_YYYYMM"/>
  </r>
  <r>
    <x v="1"/>
    <s v="FFV.MA_MAO004.MERCYOK.1214771.20241224.110503321.TXT"/>
    <x v="87"/>
    <x v="8"/>
    <n v="2561"/>
    <n v="82652"/>
    <n v="3.1"/>
    <s v="DQS_MAO04_FILE_000_B"/>
    <s v="RECORD COUNT by MBR_ID, DOS_THRU_DT, DX_CD Grain grouped by PAYER, SRC_FILE_NM, DOS_THRU_YYYYMM"/>
  </r>
  <r>
    <x v="1"/>
    <s v="FFV.MA_MAO004.MERCYOK.1214771.20241224.110503321.TXT"/>
    <x v="88"/>
    <x v="8"/>
    <n v="2344"/>
    <n v="82652"/>
    <n v="2.84"/>
    <s v="DQS_MAO04_FILE_000_B"/>
    <s v="RECORD COUNT by MBR_ID, DOS_THRU_DT, DX_CD Grain grouped by PAYER, SRC_FILE_NM, DOS_THRU_YYYYMM"/>
  </r>
  <r>
    <x v="1"/>
    <s v="FFV.MA_MAO004.MERCYOK.1214771.20241224.110503321.TXT"/>
    <x v="89"/>
    <x v="9"/>
    <n v="2694"/>
    <n v="82652"/>
    <n v="3.26"/>
    <s v="DQS_MAO04_FILE_000_B"/>
    <s v="RECORD COUNT by MBR_ID, DOS_THRU_DT, DX_CD Grain grouped by PAYER, SRC_FILE_NM, DOS_THRU_YYYYMM"/>
  </r>
  <r>
    <x v="1"/>
    <s v="FFV.MA_MAO004.MERCYOK.1214771.20241224.110503321.TXT"/>
    <x v="97"/>
    <x v="9"/>
    <n v="3332"/>
    <n v="82652"/>
    <n v="4.03"/>
    <s v="DQS_MAO04_FILE_000_B"/>
    <s v="RECORD COUNT by MBR_ID, DOS_THRU_DT, DX_CD Grain grouped by PAYER, SRC_FILE_NM, DOS_THRU_YYYYMM"/>
  </r>
  <r>
    <x v="1"/>
    <s v="FFV.MA_MAO004.MERCYOK.1214771.20241224.110503321.TXT"/>
    <x v="98"/>
    <x v="9"/>
    <n v="2937"/>
    <n v="82652"/>
    <n v="3.55"/>
    <s v="DQS_MAO04_FILE_000_B"/>
    <s v="RECORD COUNT by MBR_ID, DOS_THRU_DT, DX_CD Grain grouped by PAYER, SRC_FILE_NM, DOS_THRU_YYYYMM"/>
  </r>
  <r>
    <x v="1"/>
    <s v="FFV.MA_MAO004.MERCYOK.1214771.20241224.110503321.TXT"/>
    <x v="99"/>
    <x v="9"/>
    <n v="3376"/>
    <n v="82652"/>
    <n v="4.08"/>
    <s v="DQS_MAO04_FILE_000_B"/>
    <s v="RECORD COUNT by MBR_ID, DOS_THRU_DT, DX_CD Grain grouped by PAYER, SRC_FILE_NM, DOS_THRU_YYYYMM"/>
  </r>
  <r>
    <x v="1"/>
    <s v="FFV.MA_MAO004.MERCYOK.1214771.20241224.110503321.TXT"/>
    <x v="100"/>
    <x v="9"/>
    <n v="3223"/>
    <n v="82652"/>
    <n v="3.9"/>
    <s v="DQS_MAO04_FILE_000_B"/>
    <s v="RECORD COUNT by MBR_ID, DOS_THRU_DT, DX_CD Grain grouped by PAYER, SRC_FILE_NM, DOS_THRU_YYYYMM"/>
  </r>
  <r>
    <x v="1"/>
    <s v="FFV.MA_MAO004.MERCYOK.1214771.20241224.110503321.TXT"/>
    <x v="102"/>
    <x v="9"/>
    <n v="2914"/>
    <n v="82652"/>
    <n v="3.53"/>
    <s v="DQS_MAO04_FILE_000_B"/>
    <s v="RECORD COUNT by MBR_ID, DOS_THRU_DT, DX_CD Grain grouped by PAYER, SRC_FILE_NM, DOS_THRU_YYYYMM"/>
  </r>
  <r>
    <x v="1"/>
    <s v="FFV.MA_MAO004.MERCYOK.1214771.20241224.110503321.TXT"/>
    <x v="103"/>
    <x v="9"/>
    <n v="2825"/>
    <n v="82652"/>
    <n v="3.42"/>
    <s v="DQS_MAO04_FILE_000_B"/>
    <s v="RECORD COUNT by MBR_ID, DOS_THRU_DT, DX_CD Grain grouped by PAYER, SRC_FILE_NM, DOS_THRU_YYYYMM"/>
  </r>
  <r>
    <x v="1"/>
    <s v="FFV.MA_MAO004.MERCYOK.1214771.20241224.110503321.TXT"/>
    <x v="105"/>
    <x v="9"/>
    <n v="2902"/>
    <n v="82652"/>
    <n v="3.51"/>
    <s v="DQS_MAO04_FILE_000_B"/>
    <s v="RECORD COUNT by MBR_ID, DOS_THRU_DT, DX_CD Grain grouped by PAYER, SRC_FILE_NM, DOS_THRU_YYYYMM"/>
  </r>
  <r>
    <x v="1"/>
    <s v="FFV.MA_MAO004.MERCYOK.1214771.20241224.110503321.TXT"/>
    <x v="106"/>
    <x v="9"/>
    <n v="3044"/>
    <n v="82652"/>
    <n v="3.68"/>
    <s v="DQS_MAO04_FILE_000_B"/>
    <s v="RECORD COUNT by MBR_ID, DOS_THRU_DT, DX_CD Grain grouped by PAYER, SRC_FILE_NM, DOS_THRU_YYYYMM"/>
  </r>
  <r>
    <x v="1"/>
    <s v="FFV.MA_MAO004.MERCYOK.1214771.20241224.110503321.TXT"/>
    <x v="107"/>
    <x v="9"/>
    <n v="2940"/>
    <n v="82652"/>
    <n v="3.56"/>
    <s v="DQS_MAO04_FILE_000_B"/>
    <s v="RECORD COUNT by MBR_ID, DOS_THRU_DT, DX_CD Grain grouped by PAYER, SRC_FILE_NM, DOS_THRU_YYYYMM"/>
  </r>
  <r>
    <x v="1"/>
    <s v="FFV.MA_MAO004.MERCYOK.1214771.20241224.110503321.TXT"/>
    <x v="108"/>
    <x v="9"/>
    <n v="1450"/>
    <n v="82652"/>
    <n v="1.75"/>
    <s v="DQS_MAO04_FILE_000_B"/>
    <s v="RECORD COUNT by MBR_ID, DOS_THRU_DT, DX_CD Grain grouped by PAYER, SRC_FILE_NM, DOS_THRU_YYYYMM"/>
  </r>
  <r>
    <x v="1"/>
    <s v="FFV.MA_MAO004.MERCYOK.1214771.20250122.153105538.TXT"/>
    <x v="77"/>
    <x v="8"/>
    <n v="1778"/>
    <n v="63012"/>
    <n v="2.82"/>
    <s v="DQS_MAO04_FILE_000_B"/>
    <s v="RECORD COUNT by MBR_ID, DOS_THRU_DT, DX_CD Grain grouped by PAYER, SRC_FILE_NM, DOS_THRU_YYYYMM"/>
  </r>
  <r>
    <x v="1"/>
    <s v="FFV.MA_MAO004.MERCYOK.1214771.20250122.153105538.TXT"/>
    <x v="78"/>
    <x v="8"/>
    <n v="2440"/>
    <n v="63012"/>
    <n v="3.87"/>
    <s v="DQS_MAO04_FILE_000_B"/>
    <s v="RECORD COUNT by MBR_ID, DOS_THRU_DT, DX_CD Grain grouped by PAYER, SRC_FILE_NM, DOS_THRU_YYYYMM"/>
  </r>
  <r>
    <x v="1"/>
    <s v="FFV.MA_MAO004.MERCYOK.1214771.20250122.153105538.TXT"/>
    <x v="79"/>
    <x v="8"/>
    <n v="2531"/>
    <n v="63012"/>
    <n v="4.0199999999999996"/>
    <s v="DQS_MAO04_FILE_000_B"/>
    <s v="RECORD COUNT by MBR_ID, DOS_THRU_DT, DX_CD Grain grouped by PAYER, SRC_FILE_NM, DOS_THRU_YYYYMM"/>
  </r>
  <r>
    <x v="1"/>
    <s v="FFV.MA_MAO004.MERCYOK.1214771.20250122.153105538.TXT"/>
    <x v="80"/>
    <x v="8"/>
    <n v="2633"/>
    <n v="63012"/>
    <n v="4.18"/>
    <s v="DQS_MAO04_FILE_000_B"/>
    <s v="RECORD COUNT by MBR_ID, DOS_THRU_DT, DX_CD Grain grouped by PAYER, SRC_FILE_NM, DOS_THRU_YYYYMM"/>
  </r>
  <r>
    <x v="1"/>
    <s v="FFV.MA_MAO004.MERCYOK.1214771.20250122.153105538.TXT"/>
    <x v="81"/>
    <x v="8"/>
    <n v="2295"/>
    <n v="63012"/>
    <n v="3.64"/>
    <s v="DQS_MAO04_FILE_000_B"/>
    <s v="RECORD COUNT by MBR_ID, DOS_THRU_DT, DX_CD Grain grouped by PAYER, SRC_FILE_NM, DOS_THRU_YYYYMM"/>
  </r>
  <r>
    <x v="1"/>
    <s v="FFV.MA_MAO004.MERCYOK.1214771.20250122.153105538.TXT"/>
    <x v="82"/>
    <x v="8"/>
    <n v="2508"/>
    <n v="63012"/>
    <n v="3.98"/>
    <s v="DQS_MAO04_FILE_000_B"/>
    <s v="RECORD COUNT by MBR_ID, DOS_THRU_DT, DX_CD Grain grouped by PAYER, SRC_FILE_NM, DOS_THRU_YYYYMM"/>
  </r>
  <r>
    <x v="1"/>
    <s v="FFV.MA_MAO004.MERCYOK.1214771.20250122.153105538.TXT"/>
    <x v="83"/>
    <x v="8"/>
    <n v="2640"/>
    <n v="63012"/>
    <n v="4.1900000000000004"/>
    <s v="DQS_MAO04_FILE_000_B"/>
    <s v="RECORD COUNT by MBR_ID, DOS_THRU_DT, DX_CD Grain grouped by PAYER, SRC_FILE_NM, DOS_THRU_YYYYMM"/>
  </r>
  <r>
    <x v="1"/>
    <s v="FFV.MA_MAO004.MERCYOK.1214771.20250122.153105538.TXT"/>
    <x v="84"/>
    <x v="8"/>
    <n v="2481"/>
    <n v="63012"/>
    <n v="3.94"/>
    <s v="DQS_MAO04_FILE_000_B"/>
    <s v="RECORD COUNT by MBR_ID, DOS_THRU_DT, DX_CD Grain grouped by PAYER, SRC_FILE_NM, DOS_THRU_YYYYMM"/>
  </r>
  <r>
    <x v="1"/>
    <s v="FFV.MA_MAO004.MERCYOK.1214771.20250122.153105538.TXT"/>
    <x v="85"/>
    <x v="8"/>
    <n v="2334"/>
    <n v="63012"/>
    <n v="3.7"/>
    <s v="DQS_MAO04_FILE_000_B"/>
    <s v="RECORD COUNT by MBR_ID, DOS_THRU_DT, DX_CD Grain grouped by PAYER, SRC_FILE_NM, DOS_THRU_YYYYMM"/>
  </r>
  <r>
    <x v="1"/>
    <s v="FFV.MA_MAO004.MERCYOK.1214771.20250122.153105538.TXT"/>
    <x v="86"/>
    <x v="8"/>
    <n v="2236"/>
    <n v="63012"/>
    <n v="3.55"/>
    <s v="DQS_MAO04_FILE_000_B"/>
    <s v="RECORD COUNT by MBR_ID, DOS_THRU_DT, DX_CD Grain grouped by PAYER, SRC_FILE_NM, DOS_THRU_YYYYMM"/>
  </r>
  <r>
    <x v="1"/>
    <s v="FFV.MA_MAO004.MERCYOK.1214771.20250122.153105538.TXT"/>
    <x v="87"/>
    <x v="8"/>
    <n v="2567"/>
    <n v="63012"/>
    <n v="4.07"/>
    <s v="DQS_MAO04_FILE_000_B"/>
    <s v="RECORD COUNT by MBR_ID, DOS_THRU_DT, DX_CD Grain grouped by PAYER, SRC_FILE_NM, DOS_THRU_YYYYMM"/>
  </r>
  <r>
    <x v="1"/>
    <s v="FFV.MA_MAO004.MERCYOK.1214771.20250122.153105538.TXT"/>
    <x v="88"/>
    <x v="8"/>
    <n v="2326"/>
    <n v="63012"/>
    <n v="3.69"/>
    <s v="DQS_MAO04_FILE_000_B"/>
    <s v="RECORD COUNT by MBR_ID, DOS_THRU_DT, DX_CD Grain grouped by PAYER, SRC_FILE_NM, DOS_THRU_YYYYMM"/>
  </r>
  <r>
    <x v="1"/>
    <s v="FFV.MA_MAO004.MERCYOK.1214771.20250122.153105538.TXT"/>
    <x v="89"/>
    <x v="9"/>
    <n v="2625"/>
    <n v="63012"/>
    <n v="4.17"/>
    <s v="DQS_MAO04_FILE_000_B"/>
    <s v="RECORD COUNT by MBR_ID, DOS_THRU_DT, DX_CD Grain grouped by PAYER, SRC_FILE_NM, DOS_THRU_YYYYMM"/>
  </r>
  <r>
    <x v="1"/>
    <s v="FFV.MA_MAO004.MERCYOK.1214771.20250122.153105538.TXT"/>
    <x v="97"/>
    <x v="9"/>
    <n v="3336"/>
    <n v="63012"/>
    <n v="5.29"/>
    <s v="DQS_MAO04_FILE_000_B"/>
    <s v="RECORD COUNT by MBR_ID, DOS_THRU_DT, DX_CD Grain grouped by PAYER, SRC_FILE_NM, DOS_THRU_YYYYMM"/>
  </r>
  <r>
    <x v="1"/>
    <s v="FFV.MA_MAO004.MERCYOK.1214771.20250122.153105538.TXT"/>
    <x v="98"/>
    <x v="9"/>
    <n v="2863"/>
    <n v="63012"/>
    <n v="4.54"/>
    <s v="DQS_MAO04_FILE_000_B"/>
    <s v="RECORD COUNT by MBR_ID, DOS_THRU_DT, DX_CD Grain grouped by PAYER, SRC_FILE_NM, DOS_THRU_YYYYMM"/>
  </r>
  <r>
    <x v="1"/>
    <s v="FFV.MA_MAO004.MERCYOK.1214771.20250122.153105538.TXT"/>
    <x v="99"/>
    <x v="9"/>
    <n v="3349"/>
    <n v="63012"/>
    <n v="5.31"/>
    <s v="DQS_MAO04_FILE_000_B"/>
    <s v="RECORD COUNT by MBR_ID, DOS_THRU_DT, DX_CD Grain grouped by PAYER, SRC_FILE_NM, DOS_THRU_YYYYMM"/>
  </r>
  <r>
    <x v="1"/>
    <s v="FFV.MA_MAO004.MERCYOK.1214771.20250122.153105538.TXT"/>
    <x v="100"/>
    <x v="9"/>
    <n v="3228"/>
    <n v="63012"/>
    <n v="5.12"/>
    <s v="DQS_MAO04_FILE_000_B"/>
    <s v="RECORD COUNT by MBR_ID, DOS_THRU_DT, DX_CD Grain grouped by PAYER, SRC_FILE_NM, DOS_THRU_YYYYMM"/>
  </r>
  <r>
    <x v="1"/>
    <s v="FFV.MA_MAO004.MERCYOK.1214771.20250122.153105538.TXT"/>
    <x v="102"/>
    <x v="9"/>
    <n v="2900"/>
    <n v="63012"/>
    <n v="4.5999999999999996"/>
    <s v="DQS_MAO04_FILE_000_B"/>
    <s v="RECORD COUNT by MBR_ID, DOS_THRU_DT, DX_CD Grain grouped by PAYER, SRC_FILE_NM, DOS_THRU_YYYYMM"/>
  </r>
  <r>
    <x v="1"/>
    <s v="FFV.MA_MAO004.MERCYOK.1214771.20250122.153105538.TXT"/>
    <x v="103"/>
    <x v="9"/>
    <n v="2831"/>
    <n v="63012"/>
    <n v="4.49"/>
    <s v="DQS_MAO04_FILE_000_B"/>
    <s v="RECORD COUNT by MBR_ID, DOS_THRU_DT, DX_CD Grain grouped by PAYER, SRC_FILE_NM, DOS_THRU_YYYYMM"/>
  </r>
  <r>
    <x v="1"/>
    <s v="FFV.MA_MAO004.MERCYOK.1214771.20250122.153105538.TXT"/>
    <x v="105"/>
    <x v="9"/>
    <n v="2915"/>
    <n v="63012"/>
    <n v="4.63"/>
    <s v="DQS_MAO04_FILE_000_B"/>
    <s v="RECORD COUNT by MBR_ID, DOS_THRU_DT, DX_CD Grain grouped by PAYER, SRC_FILE_NM, DOS_THRU_YYYYMM"/>
  </r>
  <r>
    <x v="1"/>
    <s v="FFV.MA_MAO004.MERCYOK.1214771.20250122.153105538.TXT"/>
    <x v="106"/>
    <x v="9"/>
    <n v="3110"/>
    <n v="63012"/>
    <n v="4.9400000000000004"/>
    <s v="DQS_MAO04_FILE_000_B"/>
    <s v="RECORD COUNT by MBR_ID, DOS_THRU_DT, DX_CD Grain grouped by PAYER, SRC_FILE_NM, DOS_THRU_YYYYMM"/>
  </r>
  <r>
    <x v="1"/>
    <s v="FFV.MA_MAO004.MERCYOK.1214771.20250122.153105538.TXT"/>
    <x v="107"/>
    <x v="9"/>
    <n v="3083"/>
    <n v="63012"/>
    <n v="4.8899999999999997"/>
    <s v="DQS_MAO04_FILE_000_B"/>
    <s v="RECORD COUNT by MBR_ID, DOS_THRU_DT, DX_CD Grain grouped by PAYER, SRC_FILE_NM, DOS_THRU_YYYYMM"/>
  </r>
  <r>
    <x v="1"/>
    <s v="FFV.MA_MAO004.MERCYOK.1214771.20250122.153105538.TXT"/>
    <x v="108"/>
    <x v="9"/>
    <n v="2706"/>
    <n v="63012"/>
    <n v="4.29"/>
    <s v="DQS_MAO04_FILE_000_B"/>
    <s v="RECORD COUNT by MBR_ID, DOS_THRU_DT, DX_CD Grain grouped by PAYER, SRC_FILE_NM, DOS_THRU_YYYYMM"/>
  </r>
  <r>
    <x v="1"/>
    <s v="FFV.MA_MAO004.MERCYOK.1214771.20250122.153105538.TXT"/>
    <x v="109"/>
    <x v="9"/>
    <n v="1297"/>
    <n v="63012"/>
    <n v="2.06"/>
    <s v="DQS_MAO04_FILE_000_B"/>
    <s v="RECORD COUNT by MBR_ID, DOS_THRU_DT, DX_CD Grain grouped by PAYER, SRC_FILE_NM, DOS_THRU_YYYYMM"/>
  </r>
  <r>
    <x v="1"/>
    <s v="FFV.MA_MAO004.MERCYOK.1214771.20250225.145234355.TXT"/>
    <x v="77"/>
    <x v="8"/>
    <n v="1798"/>
    <n v="64444"/>
    <n v="2.79"/>
    <s v="DQS_MAO04_FILE_000_B"/>
    <s v="RECORD COUNT by MBR_ID, DOS_THRU_DT, DX_CD Grain grouped by PAYER, SRC_FILE_NM, DOS_THRU_YYYYMM"/>
  </r>
  <r>
    <x v="1"/>
    <s v="FFV.MA_MAO004.MERCYOK.1214771.20250225.145234355.TXT"/>
    <x v="78"/>
    <x v="8"/>
    <n v="2476"/>
    <n v="64444"/>
    <n v="3.84"/>
    <s v="DQS_MAO04_FILE_000_B"/>
    <s v="RECORD COUNT by MBR_ID, DOS_THRU_DT, DX_CD Grain grouped by PAYER, SRC_FILE_NM, DOS_THRU_YYYYMM"/>
  </r>
  <r>
    <x v="1"/>
    <s v="FFV.MA_MAO004.MERCYOK.1214771.20250225.145234355.TXT"/>
    <x v="79"/>
    <x v="8"/>
    <n v="2545"/>
    <n v="64444"/>
    <n v="3.95"/>
    <s v="DQS_MAO04_FILE_000_B"/>
    <s v="RECORD COUNT by MBR_ID, DOS_THRU_DT, DX_CD Grain grouped by PAYER, SRC_FILE_NM, DOS_THRU_YYYYMM"/>
  </r>
  <r>
    <x v="1"/>
    <s v="FFV.MA_MAO004.MERCYOK.1214771.20250225.145234355.TXT"/>
    <x v="80"/>
    <x v="8"/>
    <n v="2657"/>
    <n v="64444"/>
    <n v="4.12"/>
    <s v="DQS_MAO04_FILE_000_B"/>
    <s v="RECORD COUNT by MBR_ID, DOS_THRU_DT, DX_CD Grain grouped by PAYER, SRC_FILE_NM, DOS_THRU_YYYYMM"/>
  </r>
  <r>
    <x v="1"/>
    <s v="FFV.MA_MAO004.MERCYOK.1214771.20250225.145234355.TXT"/>
    <x v="81"/>
    <x v="8"/>
    <n v="2306"/>
    <n v="64444"/>
    <n v="3.58"/>
    <s v="DQS_MAO04_FILE_000_B"/>
    <s v="RECORD COUNT by MBR_ID, DOS_THRU_DT, DX_CD Grain grouped by PAYER, SRC_FILE_NM, DOS_THRU_YYYYMM"/>
  </r>
  <r>
    <x v="1"/>
    <s v="FFV.MA_MAO004.MERCYOK.1214771.20250225.145234355.TXT"/>
    <x v="82"/>
    <x v="8"/>
    <n v="2478"/>
    <n v="64444"/>
    <n v="3.85"/>
    <s v="DQS_MAO04_FILE_000_B"/>
    <s v="RECORD COUNT by MBR_ID, DOS_THRU_DT, DX_CD Grain grouped by PAYER, SRC_FILE_NM, DOS_THRU_YYYYMM"/>
  </r>
  <r>
    <x v="1"/>
    <s v="FFV.MA_MAO004.MERCYOK.1214771.20250225.145234355.TXT"/>
    <x v="83"/>
    <x v="8"/>
    <n v="2658"/>
    <n v="64444"/>
    <n v="4.12"/>
    <s v="DQS_MAO04_FILE_000_B"/>
    <s v="RECORD COUNT by MBR_ID, DOS_THRU_DT, DX_CD Grain grouped by PAYER, SRC_FILE_NM, DOS_THRU_YYYYMM"/>
  </r>
  <r>
    <x v="1"/>
    <s v="FFV.MA_MAO004.MERCYOK.1214771.20250225.145234355.TXT"/>
    <x v="84"/>
    <x v="8"/>
    <n v="2468"/>
    <n v="64444"/>
    <n v="3.83"/>
    <s v="DQS_MAO04_FILE_000_B"/>
    <s v="RECORD COUNT by MBR_ID, DOS_THRU_DT, DX_CD Grain grouped by PAYER, SRC_FILE_NM, DOS_THRU_YYYYMM"/>
  </r>
  <r>
    <x v="1"/>
    <s v="FFV.MA_MAO004.MERCYOK.1214771.20250225.145234355.TXT"/>
    <x v="85"/>
    <x v="8"/>
    <n v="2325"/>
    <n v="64444"/>
    <n v="3.61"/>
    <s v="DQS_MAO04_FILE_000_B"/>
    <s v="RECORD COUNT by MBR_ID, DOS_THRU_DT, DX_CD Grain grouped by PAYER, SRC_FILE_NM, DOS_THRU_YYYYMM"/>
  </r>
  <r>
    <x v="1"/>
    <s v="FFV.MA_MAO004.MERCYOK.1214771.20250225.145234355.TXT"/>
    <x v="86"/>
    <x v="8"/>
    <n v="2193"/>
    <n v="64444"/>
    <n v="3.4"/>
    <s v="DQS_MAO04_FILE_000_B"/>
    <s v="RECORD COUNT by MBR_ID, DOS_THRU_DT, DX_CD Grain grouped by PAYER, SRC_FILE_NM, DOS_THRU_YYYYMM"/>
  </r>
  <r>
    <x v="1"/>
    <s v="FFV.MA_MAO004.MERCYOK.1214771.20250225.145234355.TXT"/>
    <x v="87"/>
    <x v="8"/>
    <n v="2532"/>
    <n v="64444"/>
    <n v="3.93"/>
    <s v="DQS_MAO04_FILE_000_B"/>
    <s v="RECORD COUNT by MBR_ID, DOS_THRU_DT, DX_CD Grain grouped by PAYER, SRC_FILE_NM, DOS_THRU_YYYYMM"/>
  </r>
  <r>
    <x v="1"/>
    <s v="FFV.MA_MAO004.MERCYOK.1214771.20250225.145234355.TXT"/>
    <x v="88"/>
    <x v="8"/>
    <n v="2339"/>
    <n v="64444"/>
    <n v="3.63"/>
    <s v="DQS_MAO04_FILE_000_B"/>
    <s v="RECORD COUNT by MBR_ID, DOS_THRU_DT, DX_CD Grain grouped by PAYER, SRC_FILE_NM, DOS_THRU_YYYYMM"/>
  </r>
  <r>
    <x v="1"/>
    <s v="FFV.MA_MAO004.MERCYOK.1214771.20250225.145234355.TXT"/>
    <x v="89"/>
    <x v="9"/>
    <n v="2597"/>
    <n v="64444"/>
    <n v="4.03"/>
    <s v="DQS_MAO04_FILE_000_B"/>
    <s v="RECORD COUNT by MBR_ID, DOS_THRU_DT, DX_CD Grain grouped by PAYER, SRC_FILE_NM, DOS_THRU_YYYYMM"/>
  </r>
  <r>
    <x v="1"/>
    <s v="FFV.MA_MAO004.MERCYOK.1214771.20250225.145234355.TXT"/>
    <x v="97"/>
    <x v="9"/>
    <n v="3343"/>
    <n v="64444"/>
    <n v="5.19"/>
    <s v="DQS_MAO04_FILE_000_B"/>
    <s v="RECORD COUNT by MBR_ID, DOS_THRU_DT, DX_CD Grain grouped by PAYER, SRC_FILE_NM, DOS_THRU_YYYYMM"/>
  </r>
  <r>
    <x v="1"/>
    <s v="FFV.MA_MAO004.MERCYOK.1214771.20250225.145234355.TXT"/>
    <x v="98"/>
    <x v="9"/>
    <n v="2852"/>
    <n v="64444"/>
    <n v="4.43"/>
    <s v="DQS_MAO04_FILE_000_B"/>
    <s v="RECORD COUNT by MBR_ID, DOS_THRU_DT, DX_CD Grain grouped by PAYER, SRC_FILE_NM, DOS_THRU_YYYYMM"/>
  </r>
  <r>
    <x v="1"/>
    <s v="FFV.MA_MAO004.MERCYOK.1214771.20250225.145234355.TXT"/>
    <x v="99"/>
    <x v="9"/>
    <n v="3265"/>
    <n v="64444"/>
    <n v="5.07"/>
    <s v="DQS_MAO04_FILE_000_B"/>
    <s v="RECORD COUNT by MBR_ID, DOS_THRU_DT, DX_CD Grain grouped by PAYER, SRC_FILE_NM, DOS_THRU_YYYYMM"/>
  </r>
  <r>
    <x v="1"/>
    <s v="FFV.MA_MAO004.MERCYOK.1214771.20250225.145234355.TXT"/>
    <x v="100"/>
    <x v="9"/>
    <n v="3214"/>
    <n v="64444"/>
    <n v="4.99"/>
    <s v="DQS_MAO04_FILE_000_B"/>
    <s v="RECORD COUNT by MBR_ID, DOS_THRU_DT, DX_CD Grain grouped by PAYER, SRC_FILE_NM, DOS_THRU_YYYYMM"/>
  </r>
  <r>
    <x v="1"/>
    <s v="FFV.MA_MAO004.MERCYOK.1214771.20250225.145234355.TXT"/>
    <x v="102"/>
    <x v="9"/>
    <n v="2826"/>
    <n v="64444"/>
    <n v="4.3899999999999997"/>
    <s v="DQS_MAO04_FILE_000_B"/>
    <s v="RECORD COUNT by MBR_ID, DOS_THRU_DT, DX_CD Grain grouped by PAYER, SRC_FILE_NM, DOS_THRU_YYYYMM"/>
  </r>
  <r>
    <x v="1"/>
    <s v="FFV.MA_MAO004.MERCYOK.1214771.20250225.145234355.TXT"/>
    <x v="103"/>
    <x v="9"/>
    <n v="2747"/>
    <n v="64444"/>
    <n v="4.26"/>
    <s v="DQS_MAO04_FILE_000_B"/>
    <s v="RECORD COUNT by MBR_ID, DOS_THRU_DT, DX_CD Grain grouped by PAYER, SRC_FILE_NM, DOS_THRU_YYYYMM"/>
  </r>
  <r>
    <x v="1"/>
    <s v="FFV.MA_MAO004.MERCYOK.1214771.20250225.145234355.TXT"/>
    <x v="105"/>
    <x v="9"/>
    <n v="2874"/>
    <n v="64444"/>
    <n v="4.46"/>
    <s v="DQS_MAO04_FILE_000_B"/>
    <s v="RECORD COUNT by MBR_ID, DOS_THRU_DT, DX_CD Grain grouped by PAYER, SRC_FILE_NM, DOS_THRU_YYYYMM"/>
  </r>
  <r>
    <x v="1"/>
    <s v="FFV.MA_MAO004.MERCYOK.1214771.20250225.145234355.TXT"/>
    <x v="106"/>
    <x v="9"/>
    <n v="3071"/>
    <n v="64444"/>
    <n v="4.7699999999999996"/>
    <s v="DQS_MAO04_FILE_000_B"/>
    <s v="RECORD COUNT by MBR_ID, DOS_THRU_DT, DX_CD Grain grouped by PAYER, SRC_FILE_NM, DOS_THRU_YYYYMM"/>
  </r>
  <r>
    <x v="1"/>
    <s v="FFV.MA_MAO004.MERCYOK.1214771.20250225.145234355.TXT"/>
    <x v="107"/>
    <x v="9"/>
    <n v="3041"/>
    <n v="64444"/>
    <n v="4.72"/>
    <s v="DQS_MAO04_FILE_000_B"/>
    <s v="RECORD COUNT by MBR_ID, DOS_THRU_DT, DX_CD Grain grouped by PAYER, SRC_FILE_NM, DOS_THRU_YYYYMM"/>
  </r>
  <r>
    <x v="1"/>
    <s v="FFV.MA_MAO004.MERCYOK.1214771.20250225.145234355.TXT"/>
    <x v="108"/>
    <x v="9"/>
    <n v="2797"/>
    <n v="64444"/>
    <n v="4.34"/>
    <s v="DQS_MAO04_FILE_000_B"/>
    <s v="RECORD COUNT by MBR_ID, DOS_THRU_DT, DX_CD Grain grouped by PAYER, SRC_FILE_NM, DOS_THRU_YYYYMM"/>
  </r>
  <r>
    <x v="1"/>
    <s v="FFV.MA_MAO004.MERCYOK.1214771.20250225.145234355.TXT"/>
    <x v="109"/>
    <x v="9"/>
    <n v="2606"/>
    <n v="64444"/>
    <n v="4.04"/>
    <s v="DQS_MAO04_FILE_000_B"/>
    <s v="RECORD COUNT by MBR_ID, DOS_THRU_DT, DX_CD Grain grouped by PAYER, SRC_FILE_NM, DOS_THRU_YYYYMM"/>
  </r>
  <r>
    <x v="1"/>
    <s v="FFV.MA_MAO004.MERCYOK.1214771.20250225.145234355.TXT"/>
    <x v="110"/>
    <x v="11"/>
    <n v="436"/>
    <n v="64444"/>
    <n v="0.68"/>
    <s v="DQS_MAO04_FILE_000_B"/>
    <s v="RECORD COUNT by MBR_ID, DOS_THRU_DT, DX_CD Grain grouped by PAYER, SRC_FILE_NM, DOS_THRU_YYYYMM"/>
  </r>
  <r>
    <x v="1"/>
    <s v="FFV.MA_MAO004.MERCYOK.1214771.20250325.193538008.TXT"/>
    <x v="77"/>
    <x v="8"/>
    <n v="1778"/>
    <n v="71058"/>
    <n v="2.5"/>
    <s v="DQS_MAO04_FILE_000_B"/>
    <s v="RECORD COUNT by MBR_ID, DOS_THRU_DT, DX_CD Grain grouped by PAYER, SRC_FILE_NM, DOS_THRU_YYYYMM"/>
  </r>
  <r>
    <x v="1"/>
    <s v="FFV.MA_MAO004.MERCYOK.1214771.20250325.193538008.TXT"/>
    <x v="78"/>
    <x v="8"/>
    <n v="2462"/>
    <n v="71058"/>
    <n v="3.46"/>
    <s v="DQS_MAO04_FILE_000_B"/>
    <s v="RECORD COUNT by MBR_ID, DOS_THRU_DT, DX_CD Grain grouped by PAYER, SRC_FILE_NM, DOS_THRU_YYYYMM"/>
  </r>
  <r>
    <x v="1"/>
    <s v="FFV.MA_MAO004.MERCYOK.1214771.20250325.193538008.TXT"/>
    <x v="79"/>
    <x v="8"/>
    <n v="2513"/>
    <n v="71058"/>
    <n v="3.54"/>
    <s v="DQS_MAO04_FILE_000_B"/>
    <s v="RECORD COUNT by MBR_ID, DOS_THRU_DT, DX_CD Grain grouped by PAYER, SRC_FILE_NM, DOS_THRU_YYYYMM"/>
  </r>
  <r>
    <x v="1"/>
    <s v="FFV.MA_MAO004.MERCYOK.1214771.20250325.193538008.TXT"/>
    <x v="80"/>
    <x v="8"/>
    <n v="2599"/>
    <n v="71058"/>
    <n v="3.66"/>
    <s v="DQS_MAO04_FILE_000_B"/>
    <s v="RECORD COUNT by MBR_ID, DOS_THRU_DT, DX_CD Grain grouped by PAYER, SRC_FILE_NM, DOS_THRU_YYYYMM"/>
  </r>
  <r>
    <x v="1"/>
    <s v="FFV.MA_MAO004.MERCYOK.1214771.20250325.193538008.TXT"/>
    <x v="81"/>
    <x v="8"/>
    <n v="2276"/>
    <n v="71058"/>
    <n v="3.2"/>
    <s v="DQS_MAO04_FILE_000_B"/>
    <s v="RECORD COUNT by MBR_ID, DOS_THRU_DT, DX_CD Grain grouped by PAYER, SRC_FILE_NM, DOS_THRU_YYYYMM"/>
  </r>
  <r>
    <x v="1"/>
    <s v="FFV.MA_MAO004.MERCYOK.1214771.20250325.193538008.TXT"/>
    <x v="82"/>
    <x v="8"/>
    <n v="2492"/>
    <n v="71058"/>
    <n v="3.51"/>
    <s v="DQS_MAO04_FILE_000_B"/>
    <s v="RECORD COUNT by MBR_ID, DOS_THRU_DT, DX_CD Grain grouped by PAYER, SRC_FILE_NM, DOS_THRU_YYYYMM"/>
  </r>
  <r>
    <x v="1"/>
    <s v="FFV.MA_MAO004.MERCYOK.1214771.20250325.193538008.TXT"/>
    <x v="83"/>
    <x v="8"/>
    <n v="2462"/>
    <n v="71058"/>
    <n v="3.46"/>
    <s v="DQS_MAO04_FILE_000_B"/>
    <s v="RECORD COUNT by MBR_ID, DOS_THRU_DT, DX_CD Grain grouped by PAYER, SRC_FILE_NM, DOS_THRU_YYYYMM"/>
  </r>
  <r>
    <x v="1"/>
    <s v="FFV.MA_MAO004.MERCYOK.1214771.20250325.193538008.TXT"/>
    <x v="84"/>
    <x v="8"/>
    <n v="2451"/>
    <n v="71058"/>
    <n v="3.45"/>
    <s v="DQS_MAO04_FILE_000_B"/>
    <s v="RECORD COUNT by MBR_ID, DOS_THRU_DT, DX_CD Grain grouped by PAYER, SRC_FILE_NM, DOS_THRU_YYYYMM"/>
  </r>
  <r>
    <x v="1"/>
    <s v="FFV.MA_MAO004.MERCYOK.1214771.20250325.193538008.TXT"/>
    <x v="85"/>
    <x v="8"/>
    <n v="2317"/>
    <n v="71058"/>
    <n v="3.26"/>
    <s v="DQS_MAO04_FILE_000_B"/>
    <s v="RECORD COUNT by MBR_ID, DOS_THRU_DT, DX_CD Grain grouped by PAYER, SRC_FILE_NM, DOS_THRU_YYYYMM"/>
  </r>
  <r>
    <x v="1"/>
    <s v="FFV.MA_MAO004.MERCYOK.1214771.20250325.193538008.TXT"/>
    <x v="86"/>
    <x v="8"/>
    <n v="2195"/>
    <n v="71058"/>
    <n v="3.09"/>
    <s v="DQS_MAO04_FILE_000_B"/>
    <s v="RECORD COUNT by MBR_ID, DOS_THRU_DT, DX_CD Grain grouped by PAYER, SRC_FILE_NM, DOS_THRU_YYYYMM"/>
  </r>
  <r>
    <x v="1"/>
    <s v="FFV.MA_MAO004.MERCYOK.1214771.20250325.193538008.TXT"/>
    <x v="87"/>
    <x v="8"/>
    <n v="2501"/>
    <n v="71058"/>
    <n v="3.52"/>
    <s v="DQS_MAO04_FILE_000_B"/>
    <s v="RECORD COUNT by MBR_ID, DOS_THRU_DT, DX_CD Grain grouped by PAYER, SRC_FILE_NM, DOS_THRU_YYYYMM"/>
  </r>
  <r>
    <x v="1"/>
    <s v="FFV.MA_MAO004.MERCYOK.1214771.20250325.193538008.TXT"/>
    <x v="88"/>
    <x v="8"/>
    <n v="2309"/>
    <n v="71058"/>
    <n v="3.25"/>
    <s v="DQS_MAO04_FILE_000_B"/>
    <s v="RECORD COUNT by MBR_ID, DOS_THRU_DT, DX_CD Grain grouped by PAYER, SRC_FILE_NM, DOS_THRU_YYYYMM"/>
  </r>
  <r>
    <x v="1"/>
    <s v="FFV.MA_MAO004.MERCYOK.1214771.20250325.193538008.TXT"/>
    <x v="89"/>
    <x v="9"/>
    <n v="2617"/>
    <n v="71058"/>
    <n v="3.68"/>
    <s v="DQS_MAO04_FILE_000_B"/>
    <s v="RECORD COUNT by MBR_ID, DOS_THRU_DT, DX_CD Grain grouped by PAYER, SRC_FILE_NM, DOS_THRU_YYYYMM"/>
  </r>
  <r>
    <x v="1"/>
    <s v="FFV.MA_MAO004.MERCYOK.1214771.20250325.193538008.TXT"/>
    <x v="97"/>
    <x v="9"/>
    <n v="3359"/>
    <n v="71058"/>
    <n v="4.7300000000000004"/>
    <s v="DQS_MAO04_FILE_000_B"/>
    <s v="RECORD COUNT by MBR_ID, DOS_THRU_DT, DX_CD Grain grouped by PAYER, SRC_FILE_NM, DOS_THRU_YYYYMM"/>
  </r>
  <r>
    <x v="1"/>
    <s v="FFV.MA_MAO004.MERCYOK.1214771.20250325.193538008.TXT"/>
    <x v="98"/>
    <x v="9"/>
    <n v="2898"/>
    <n v="71058"/>
    <n v="4.08"/>
    <s v="DQS_MAO04_FILE_000_B"/>
    <s v="RECORD COUNT by MBR_ID, DOS_THRU_DT, DX_CD Grain grouped by PAYER, SRC_FILE_NM, DOS_THRU_YYYYMM"/>
  </r>
  <r>
    <x v="1"/>
    <s v="FFV.MA_MAO004.MERCYOK.1214771.20250325.193538008.TXT"/>
    <x v="99"/>
    <x v="9"/>
    <n v="3355"/>
    <n v="71058"/>
    <n v="4.72"/>
    <s v="DQS_MAO04_FILE_000_B"/>
    <s v="RECORD COUNT by MBR_ID, DOS_THRU_DT, DX_CD Grain grouped by PAYER, SRC_FILE_NM, DOS_THRU_YYYYMM"/>
  </r>
  <r>
    <x v="1"/>
    <s v="FFV.MA_MAO004.MERCYOK.1214771.20250325.193538008.TXT"/>
    <x v="100"/>
    <x v="9"/>
    <n v="3211"/>
    <n v="71058"/>
    <n v="4.5199999999999996"/>
    <s v="DQS_MAO04_FILE_000_B"/>
    <s v="RECORD COUNT by MBR_ID, DOS_THRU_DT, DX_CD Grain grouped by PAYER, SRC_FILE_NM, DOS_THRU_YYYYMM"/>
  </r>
  <r>
    <x v="1"/>
    <s v="FFV.MA_MAO004.MERCYOK.1214771.20250325.193538008.TXT"/>
    <x v="102"/>
    <x v="9"/>
    <n v="2877"/>
    <n v="71058"/>
    <n v="4.05"/>
    <s v="DQS_MAO04_FILE_000_B"/>
    <s v="RECORD COUNT by MBR_ID, DOS_THRU_DT, DX_CD Grain grouped by PAYER, SRC_FILE_NM, DOS_THRU_YYYYMM"/>
  </r>
  <r>
    <x v="1"/>
    <s v="FFV.MA_MAO004.MERCYOK.1214771.20250325.193538008.TXT"/>
    <x v="103"/>
    <x v="9"/>
    <n v="2723"/>
    <n v="71058"/>
    <n v="3.83"/>
    <s v="DQS_MAO04_FILE_000_B"/>
    <s v="RECORD COUNT by MBR_ID, DOS_THRU_DT, DX_CD Grain grouped by PAYER, SRC_FILE_NM, DOS_THRU_YYYYMM"/>
  </r>
  <r>
    <x v="1"/>
    <s v="FFV.MA_MAO004.MERCYOK.1214771.20250325.193538008.TXT"/>
    <x v="105"/>
    <x v="9"/>
    <n v="2898"/>
    <n v="71058"/>
    <n v="4.08"/>
    <s v="DQS_MAO04_FILE_000_B"/>
    <s v="RECORD COUNT by MBR_ID, DOS_THRU_DT, DX_CD Grain grouped by PAYER, SRC_FILE_NM, DOS_THRU_YYYYMM"/>
  </r>
  <r>
    <x v="1"/>
    <s v="FFV.MA_MAO004.MERCYOK.1214771.20250325.193538008.TXT"/>
    <x v="106"/>
    <x v="9"/>
    <n v="3080"/>
    <n v="71058"/>
    <n v="4.33"/>
    <s v="DQS_MAO04_FILE_000_B"/>
    <s v="RECORD COUNT by MBR_ID, DOS_THRU_DT, DX_CD Grain grouped by PAYER, SRC_FILE_NM, DOS_THRU_YYYYMM"/>
  </r>
  <r>
    <x v="1"/>
    <s v="FFV.MA_MAO004.MERCYOK.1214771.20250325.193538008.TXT"/>
    <x v="107"/>
    <x v="9"/>
    <n v="3098"/>
    <n v="71058"/>
    <n v="4.3600000000000003"/>
    <s v="DQS_MAO04_FILE_000_B"/>
    <s v="RECORD COUNT by MBR_ID, DOS_THRU_DT, DX_CD Grain grouped by PAYER, SRC_FILE_NM, DOS_THRU_YYYYMM"/>
  </r>
  <r>
    <x v="1"/>
    <s v="FFV.MA_MAO004.MERCYOK.1214771.20250325.193538008.TXT"/>
    <x v="108"/>
    <x v="9"/>
    <n v="2844"/>
    <n v="71058"/>
    <n v="4"/>
    <s v="DQS_MAO04_FILE_000_B"/>
    <s v="RECORD COUNT by MBR_ID, DOS_THRU_DT, DX_CD Grain grouped by PAYER, SRC_FILE_NM, DOS_THRU_YYYYMM"/>
  </r>
  <r>
    <x v="1"/>
    <s v="FFV.MA_MAO004.MERCYOK.1214771.20250325.193538008.TXT"/>
    <x v="109"/>
    <x v="9"/>
    <n v="2870"/>
    <n v="71058"/>
    <n v="4.04"/>
    <s v="DQS_MAO04_FILE_000_B"/>
    <s v="RECORD COUNT by MBR_ID, DOS_THRU_DT, DX_CD Grain grouped by PAYER, SRC_FILE_NM, DOS_THRU_YYYYMM"/>
  </r>
  <r>
    <x v="1"/>
    <s v="FFV.MA_MAO004.MERCYOK.1214771.20250325.193538008.TXT"/>
    <x v="110"/>
    <x v="11"/>
    <n v="4808"/>
    <n v="71058"/>
    <n v="6.77"/>
    <s v="DQS_MAO04_FILE_000_B"/>
    <s v="RECORD COUNT by MBR_ID, DOS_THRU_DT, DX_CD Grain grouped by PAYER, SRC_FILE_NM, DOS_THRU_YYYYMM"/>
  </r>
  <r>
    <x v="1"/>
    <s v="FFV.MA_MAO004.MERCYOK.1214771.20250325.193538008.TXT"/>
    <x v="111"/>
    <x v="11"/>
    <n v="2065"/>
    <n v="71058"/>
    <n v="2.91"/>
    <s v="DQS_MAO04_FILE_000_B"/>
    <s v="RECORD COUNT by MBR_ID, DOS_THRU_DT, DX_CD Grain grouped by PAYER, SRC_FILE_NM, DOS_THRU_YYYYMM"/>
  </r>
  <r>
    <x v="1"/>
    <s v="FFV.MA_MAO004.MERCYOK.1214771.20250425.195942281.TXT"/>
    <x v="77"/>
    <x v="8"/>
    <n v="1730"/>
    <n v="73481"/>
    <n v="2.35"/>
    <s v="DQS_MAO04_FILE_000_B"/>
    <s v="RECORD COUNT by MBR_ID, DOS_THRU_DT, DX_CD Grain grouped by PAYER, SRC_FILE_NM, DOS_THRU_YYYYMM"/>
  </r>
  <r>
    <x v="1"/>
    <s v="FFV.MA_MAO004.MERCYOK.1214771.20250425.195942281.TXT"/>
    <x v="78"/>
    <x v="8"/>
    <n v="2303"/>
    <n v="73481"/>
    <n v="3.13"/>
    <s v="DQS_MAO04_FILE_000_B"/>
    <s v="RECORD COUNT by MBR_ID, DOS_THRU_DT, DX_CD Grain grouped by PAYER, SRC_FILE_NM, DOS_THRU_YYYYMM"/>
  </r>
  <r>
    <x v="1"/>
    <s v="FFV.MA_MAO004.MERCYOK.1214771.20250425.195942281.TXT"/>
    <x v="79"/>
    <x v="8"/>
    <n v="2431"/>
    <n v="73481"/>
    <n v="3.31"/>
    <s v="DQS_MAO04_FILE_000_B"/>
    <s v="RECORD COUNT by MBR_ID, DOS_THRU_DT, DX_CD Grain grouped by PAYER, SRC_FILE_NM, DOS_THRU_YYYYMM"/>
  </r>
  <r>
    <x v="1"/>
    <s v="FFV.MA_MAO004.MERCYOK.1214771.20250425.195942281.TXT"/>
    <x v="80"/>
    <x v="8"/>
    <n v="2394"/>
    <n v="73481"/>
    <n v="3.26"/>
    <s v="DQS_MAO04_FILE_000_B"/>
    <s v="RECORD COUNT by MBR_ID, DOS_THRU_DT, DX_CD Grain grouped by PAYER, SRC_FILE_NM, DOS_THRU_YYYYMM"/>
  </r>
  <r>
    <x v="1"/>
    <s v="FFV.MA_MAO004.MERCYOK.1214771.20250425.195942281.TXT"/>
    <x v="81"/>
    <x v="8"/>
    <n v="2078"/>
    <n v="73481"/>
    <n v="2.83"/>
    <s v="DQS_MAO04_FILE_000_B"/>
    <s v="RECORD COUNT by MBR_ID, DOS_THRU_DT, DX_CD Grain grouped by PAYER, SRC_FILE_NM, DOS_THRU_YYYYMM"/>
  </r>
  <r>
    <x v="1"/>
    <s v="FFV.MA_MAO004.MERCYOK.1214771.20250425.195942281.TXT"/>
    <x v="82"/>
    <x v="8"/>
    <n v="2385"/>
    <n v="73481"/>
    <n v="3.25"/>
    <s v="DQS_MAO04_FILE_000_B"/>
    <s v="RECORD COUNT by MBR_ID, DOS_THRU_DT, DX_CD Grain grouped by PAYER, SRC_FILE_NM, DOS_THRU_YYYYMM"/>
  </r>
  <r>
    <x v="1"/>
    <s v="FFV.MA_MAO004.MERCYOK.1214771.20250425.195942281.TXT"/>
    <x v="83"/>
    <x v="8"/>
    <n v="2373"/>
    <n v="73481"/>
    <n v="3.23"/>
    <s v="DQS_MAO04_FILE_000_B"/>
    <s v="RECORD COUNT by MBR_ID, DOS_THRU_DT, DX_CD Grain grouped by PAYER, SRC_FILE_NM, DOS_THRU_YYYYMM"/>
  </r>
  <r>
    <x v="1"/>
    <s v="FFV.MA_MAO004.MERCYOK.1214771.20250425.195942281.TXT"/>
    <x v="84"/>
    <x v="8"/>
    <n v="2261"/>
    <n v="73481"/>
    <n v="3.08"/>
    <s v="DQS_MAO04_FILE_000_B"/>
    <s v="RECORD COUNT by MBR_ID, DOS_THRU_DT, DX_CD Grain grouped by PAYER, SRC_FILE_NM, DOS_THRU_YYYYMM"/>
  </r>
  <r>
    <x v="1"/>
    <s v="FFV.MA_MAO004.MERCYOK.1214771.20250425.195942281.TXT"/>
    <x v="85"/>
    <x v="8"/>
    <n v="2047"/>
    <n v="73481"/>
    <n v="2.79"/>
    <s v="DQS_MAO04_FILE_000_B"/>
    <s v="RECORD COUNT by MBR_ID, DOS_THRU_DT, DX_CD Grain grouped by PAYER, SRC_FILE_NM, DOS_THRU_YYYYMM"/>
  </r>
  <r>
    <x v="1"/>
    <s v="FFV.MA_MAO004.MERCYOK.1214771.20250425.195942281.TXT"/>
    <x v="86"/>
    <x v="8"/>
    <n v="2012"/>
    <n v="73481"/>
    <n v="2.74"/>
    <s v="DQS_MAO04_FILE_000_B"/>
    <s v="RECORD COUNT by MBR_ID, DOS_THRU_DT, DX_CD Grain grouped by PAYER, SRC_FILE_NM, DOS_THRU_YYYYMM"/>
  </r>
  <r>
    <x v="1"/>
    <s v="FFV.MA_MAO004.MERCYOK.1214771.20250425.195942281.TXT"/>
    <x v="87"/>
    <x v="8"/>
    <n v="2402"/>
    <n v="73481"/>
    <n v="3.27"/>
    <s v="DQS_MAO04_FILE_000_B"/>
    <s v="RECORD COUNT by MBR_ID, DOS_THRU_DT, DX_CD Grain grouped by PAYER, SRC_FILE_NM, DOS_THRU_YYYYMM"/>
  </r>
  <r>
    <x v="1"/>
    <s v="FFV.MA_MAO004.MERCYOK.1214771.20250425.195942281.TXT"/>
    <x v="88"/>
    <x v="8"/>
    <n v="2178"/>
    <n v="73481"/>
    <n v="2.96"/>
    <s v="DQS_MAO04_FILE_000_B"/>
    <s v="RECORD COUNT by MBR_ID, DOS_THRU_DT, DX_CD Grain grouped by PAYER, SRC_FILE_NM, DOS_THRU_YYYYMM"/>
  </r>
  <r>
    <x v="1"/>
    <s v="FFV.MA_MAO004.MERCYOK.1214771.20250425.195942281.TXT"/>
    <x v="89"/>
    <x v="9"/>
    <n v="2566"/>
    <n v="73481"/>
    <n v="3.49"/>
    <s v="DQS_MAO04_FILE_000_B"/>
    <s v="RECORD COUNT by MBR_ID, DOS_THRU_DT, DX_CD Grain grouped by PAYER, SRC_FILE_NM, DOS_THRU_YYYYMM"/>
  </r>
  <r>
    <x v="1"/>
    <s v="FFV.MA_MAO004.MERCYOK.1214771.20250425.195942281.TXT"/>
    <x v="97"/>
    <x v="9"/>
    <n v="3297"/>
    <n v="73481"/>
    <n v="4.49"/>
    <s v="DQS_MAO04_FILE_000_B"/>
    <s v="RECORD COUNT by MBR_ID, DOS_THRU_DT, DX_CD Grain grouped by PAYER, SRC_FILE_NM, DOS_THRU_YYYYMM"/>
  </r>
  <r>
    <x v="1"/>
    <s v="FFV.MA_MAO004.MERCYOK.1214771.20250425.195942281.TXT"/>
    <x v="98"/>
    <x v="9"/>
    <n v="2871"/>
    <n v="73481"/>
    <n v="3.91"/>
    <s v="DQS_MAO04_FILE_000_B"/>
    <s v="RECORD COUNT by MBR_ID, DOS_THRU_DT, DX_CD Grain grouped by PAYER, SRC_FILE_NM, DOS_THRU_YYYYMM"/>
  </r>
  <r>
    <x v="1"/>
    <s v="FFV.MA_MAO004.MERCYOK.1214771.20250425.195942281.TXT"/>
    <x v="99"/>
    <x v="9"/>
    <n v="3391"/>
    <n v="73481"/>
    <n v="4.6100000000000003"/>
    <s v="DQS_MAO04_FILE_000_B"/>
    <s v="RECORD COUNT by MBR_ID, DOS_THRU_DT, DX_CD Grain grouped by PAYER, SRC_FILE_NM, DOS_THRU_YYYYMM"/>
  </r>
  <r>
    <x v="1"/>
    <s v="FFV.MA_MAO004.MERCYOK.1214771.20250425.195942281.TXT"/>
    <x v="100"/>
    <x v="9"/>
    <n v="3082"/>
    <n v="73481"/>
    <n v="4.1900000000000004"/>
    <s v="DQS_MAO04_FILE_000_B"/>
    <s v="RECORD COUNT by MBR_ID, DOS_THRU_DT, DX_CD Grain grouped by PAYER, SRC_FILE_NM, DOS_THRU_YYYYMM"/>
  </r>
  <r>
    <x v="1"/>
    <s v="FFV.MA_MAO004.MERCYOK.1214771.20250425.195942281.TXT"/>
    <x v="102"/>
    <x v="9"/>
    <n v="2778"/>
    <n v="73481"/>
    <n v="3.78"/>
    <s v="DQS_MAO04_FILE_000_B"/>
    <s v="RECORD COUNT by MBR_ID, DOS_THRU_DT, DX_CD Grain grouped by PAYER, SRC_FILE_NM, DOS_THRU_YYYYMM"/>
  </r>
  <r>
    <x v="1"/>
    <s v="FFV.MA_MAO004.MERCYOK.1214771.20250425.195942281.TXT"/>
    <x v="103"/>
    <x v="9"/>
    <n v="2781"/>
    <n v="73481"/>
    <n v="3.78"/>
    <s v="DQS_MAO04_FILE_000_B"/>
    <s v="RECORD COUNT by MBR_ID, DOS_THRU_DT, DX_CD Grain grouped by PAYER, SRC_FILE_NM, DOS_THRU_YYYYMM"/>
  </r>
  <r>
    <x v="1"/>
    <s v="FFV.MA_MAO004.MERCYOK.1214771.20250425.195942281.TXT"/>
    <x v="105"/>
    <x v="9"/>
    <n v="2852"/>
    <n v="73481"/>
    <n v="3.88"/>
    <s v="DQS_MAO04_FILE_000_B"/>
    <s v="RECORD COUNT by MBR_ID, DOS_THRU_DT, DX_CD Grain grouped by PAYER, SRC_FILE_NM, DOS_THRU_YYYYMM"/>
  </r>
  <r>
    <x v="1"/>
    <s v="FFV.MA_MAO004.MERCYOK.1214771.20250425.195942281.TXT"/>
    <x v="106"/>
    <x v="9"/>
    <n v="3089"/>
    <n v="73481"/>
    <n v="4.2"/>
    <s v="DQS_MAO04_FILE_000_B"/>
    <s v="RECORD COUNT by MBR_ID, DOS_THRU_DT, DX_CD Grain grouped by PAYER, SRC_FILE_NM, DOS_THRU_YYYYMM"/>
  </r>
  <r>
    <x v="1"/>
    <s v="FFV.MA_MAO004.MERCYOK.1214771.20250425.195942281.TXT"/>
    <x v="107"/>
    <x v="9"/>
    <n v="3173"/>
    <n v="73481"/>
    <n v="4.32"/>
    <s v="DQS_MAO04_FILE_000_B"/>
    <s v="RECORD COUNT by MBR_ID, DOS_THRU_DT, DX_CD Grain grouped by PAYER, SRC_FILE_NM, DOS_THRU_YYYYMM"/>
  </r>
  <r>
    <x v="1"/>
    <s v="FFV.MA_MAO004.MERCYOK.1214771.20250425.195942281.TXT"/>
    <x v="108"/>
    <x v="9"/>
    <n v="2817"/>
    <n v="73481"/>
    <n v="3.83"/>
    <s v="DQS_MAO04_FILE_000_B"/>
    <s v="RECORD COUNT by MBR_ID, DOS_THRU_DT, DX_CD Grain grouped by PAYER, SRC_FILE_NM, DOS_THRU_YYYYMM"/>
  </r>
  <r>
    <x v="1"/>
    <s v="FFV.MA_MAO004.MERCYOK.1214771.20250425.195942281.TXT"/>
    <x v="109"/>
    <x v="9"/>
    <n v="3004"/>
    <n v="73481"/>
    <n v="4.09"/>
    <s v="DQS_MAO04_FILE_000_B"/>
    <s v="RECORD COUNT by MBR_ID, DOS_THRU_DT, DX_CD Grain grouped by PAYER, SRC_FILE_NM, DOS_THRU_YYYYMM"/>
  </r>
  <r>
    <x v="1"/>
    <s v="FFV.MA_MAO004.MERCYOK.1214771.20250425.195942281.TXT"/>
    <x v="110"/>
    <x v="11"/>
    <n v="5028"/>
    <n v="73481"/>
    <n v="6.84"/>
    <s v="DQS_MAO04_FILE_000_B"/>
    <s v="RECORD COUNT by MBR_ID, DOS_THRU_DT, DX_CD Grain grouped by PAYER, SRC_FILE_NM, DOS_THRU_YYYYMM"/>
  </r>
  <r>
    <x v="1"/>
    <s v="FFV.MA_MAO004.MERCYOK.1214771.20250425.195942281.TXT"/>
    <x v="111"/>
    <x v="11"/>
    <n v="4235"/>
    <n v="73481"/>
    <n v="5.76"/>
    <s v="DQS_MAO04_FILE_000_B"/>
    <s v="RECORD COUNT by MBR_ID, DOS_THRU_DT, DX_CD Grain grouped by PAYER, SRC_FILE_NM, DOS_THRU_YYYYMM"/>
  </r>
  <r>
    <x v="1"/>
    <s v="FFV.MA_MAO004.MERCYOK.1214771.20250425.195942281.TXT"/>
    <x v="112"/>
    <x v="11"/>
    <n v="1923"/>
    <n v="73481"/>
    <n v="2.62"/>
    <s v="DQS_MAO04_FILE_000_B"/>
    <s v="RECORD COUNT by MBR_ID, DOS_THRU_DT, DX_CD Grain grouped by PAYER, SRC_FILE_NM, DOS_THRU_YYYYMM"/>
  </r>
  <r>
    <x v="1"/>
    <s v="FFV.MA_MAO004.MERCYOK.1214771.20250529.050643770.TXT"/>
    <x v="77"/>
    <x v="8"/>
    <n v="1730"/>
    <n v="78857"/>
    <n v="2.19"/>
    <s v="DQS_MAO04_FILE_000_B"/>
    <s v="RECORD COUNT by MBR_ID, DOS_THRU_DT, DX_CD Grain grouped by PAYER, SRC_FILE_NM, DOS_THRU_YYYYMM"/>
  </r>
  <r>
    <x v="1"/>
    <s v="FFV.MA_MAO004.MERCYOK.1214771.20250529.050643770.TXT"/>
    <x v="78"/>
    <x v="8"/>
    <n v="2270"/>
    <n v="78857"/>
    <n v="2.88"/>
    <s v="DQS_MAO04_FILE_000_B"/>
    <s v="RECORD COUNT by MBR_ID, DOS_THRU_DT, DX_CD Grain grouped by PAYER, SRC_FILE_NM, DOS_THRU_YYYYMM"/>
  </r>
  <r>
    <x v="1"/>
    <s v="FFV.MA_MAO004.MERCYOK.1214771.20250529.050643770.TXT"/>
    <x v="79"/>
    <x v="8"/>
    <n v="2405"/>
    <n v="78857"/>
    <n v="3.05"/>
    <s v="DQS_MAO04_FILE_000_B"/>
    <s v="RECORD COUNT by MBR_ID, DOS_THRU_DT, DX_CD Grain grouped by PAYER, SRC_FILE_NM, DOS_THRU_YYYYMM"/>
  </r>
  <r>
    <x v="1"/>
    <s v="FFV.MA_MAO004.MERCYOK.1214771.20250529.050643770.TXT"/>
    <x v="80"/>
    <x v="8"/>
    <n v="2397"/>
    <n v="78857"/>
    <n v="3.04"/>
    <s v="DQS_MAO04_FILE_000_B"/>
    <s v="RECORD COUNT by MBR_ID, DOS_THRU_DT, DX_CD Grain grouped by PAYER, SRC_FILE_NM, DOS_THRU_YYYYMM"/>
  </r>
  <r>
    <x v="1"/>
    <s v="FFV.MA_MAO004.MERCYOK.1214771.20250529.050643770.TXT"/>
    <x v="81"/>
    <x v="8"/>
    <n v="2087"/>
    <n v="78857"/>
    <n v="2.65"/>
    <s v="DQS_MAO04_FILE_000_B"/>
    <s v="RECORD COUNT by MBR_ID, DOS_THRU_DT, DX_CD Grain grouped by PAYER, SRC_FILE_NM, DOS_THRU_YYYYMM"/>
  </r>
  <r>
    <x v="1"/>
    <s v="FFV.MA_MAO004.MERCYOK.1214771.20250529.050643770.TXT"/>
    <x v="82"/>
    <x v="8"/>
    <n v="2379"/>
    <n v="78857"/>
    <n v="3.02"/>
    <s v="DQS_MAO04_FILE_000_B"/>
    <s v="RECORD COUNT by MBR_ID, DOS_THRU_DT, DX_CD Grain grouped by PAYER, SRC_FILE_NM, DOS_THRU_YYYYMM"/>
  </r>
  <r>
    <x v="1"/>
    <s v="FFV.MA_MAO004.MERCYOK.1214771.20250529.050643770.TXT"/>
    <x v="83"/>
    <x v="8"/>
    <n v="2356"/>
    <n v="78857"/>
    <n v="2.99"/>
    <s v="DQS_MAO04_FILE_000_B"/>
    <s v="RECORD COUNT by MBR_ID, DOS_THRU_DT, DX_CD Grain grouped by PAYER, SRC_FILE_NM, DOS_THRU_YYYYMM"/>
  </r>
  <r>
    <x v="1"/>
    <s v="FFV.MA_MAO004.MERCYOK.1214771.20250529.050643770.TXT"/>
    <x v="84"/>
    <x v="8"/>
    <n v="2254"/>
    <n v="78857"/>
    <n v="2.86"/>
    <s v="DQS_MAO04_FILE_000_B"/>
    <s v="RECORD COUNT by MBR_ID, DOS_THRU_DT, DX_CD Grain grouped by PAYER, SRC_FILE_NM, DOS_THRU_YYYYMM"/>
  </r>
  <r>
    <x v="1"/>
    <s v="FFV.MA_MAO004.MERCYOK.1214771.20250529.050643770.TXT"/>
    <x v="85"/>
    <x v="8"/>
    <n v="2037"/>
    <n v="78857"/>
    <n v="2.58"/>
    <s v="DQS_MAO04_FILE_000_B"/>
    <s v="RECORD COUNT by MBR_ID, DOS_THRU_DT, DX_CD Grain grouped by PAYER, SRC_FILE_NM, DOS_THRU_YYYYMM"/>
  </r>
  <r>
    <x v="1"/>
    <s v="FFV.MA_MAO004.MERCYOK.1214771.20250529.050643770.TXT"/>
    <x v="86"/>
    <x v="8"/>
    <n v="2016"/>
    <n v="78857"/>
    <n v="2.56"/>
    <s v="DQS_MAO04_FILE_000_B"/>
    <s v="RECORD COUNT by MBR_ID, DOS_THRU_DT, DX_CD Grain grouped by PAYER, SRC_FILE_NM, DOS_THRU_YYYYMM"/>
  </r>
  <r>
    <x v="1"/>
    <s v="FFV.MA_MAO004.MERCYOK.1214771.20250529.050643770.TXT"/>
    <x v="87"/>
    <x v="8"/>
    <n v="2363"/>
    <n v="78857"/>
    <n v="3"/>
    <s v="DQS_MAO04_FILE_000_B"/>
    <s v="RECORD COUNT by MBR_ID, DOS_THRU_DT, DX_CD Grain grouped by PAYER, SRC_FILE_NM, DOS_THRU_YYYYMM"/>
  </r>
  <r>
    <x v="1"/>
    <s v="FFV.MA_MAO004.MERCYOK.1214771.20250529.050643770.TXT"/>
    <x v="88"/>
    <x v="8"/>
    <n v="2178"/>
    <n v="78857"/>
    <n v="2.76"/>
    <s v="DQS_MAO04_FILE_000_B"/>
    <s v="RECORD COUNT by MBR_ID, DOS_THRU_DT, DX_CD Grain grouped by PAYER, SRC_FILE_NM, DOS_THRU_YYYYMM"/>
  </r>
  <r>
    <x v="1"/>
    <s v="FFV.MA_MAO004.MERCYOK.1214771.20250529.050643770.TXT"/>
    <x v="89"/>
    <x v="9"/>
    <n v="2566"/>
    <n v="78857"/>
    <n v="3.25"/>
    <s v="DQS_MAO04_FILE_000_B"/>
    <s v="RECORD COUNT by MBR_ID, DOS_THRU_DT, DX_CD Grain grouped by PAYER, SRC_FILE_NM, DOS_THRU_YYYYMM"/>
  </r>
  <r>
    <x v="1"/>
    <s v="FFV.MA_MAO004.MERCYOK.1214771.20250529.050643770.TXT"/>
    <x v="97"/>
    <x v="9"/>
    <n v="3299"/>
    <n v="78857"/>
    <n v="4.18"/>
    <s v="DQS_MAO04_FILE_000_B"/>
    <s v="RECORD COUNT by MBR_ID, DOS_THRU_DT, DX_CD Grain grouped by PAYER, SRC_FILE_NM, DOS_THRU_YYYYMM"/>
  </r>
  <r>
    <x v="1"/>
    <s v="FFV.MA_MAO004.MERCYOK.1214771.20250529.050643770.TXT"/>
    <x v="98"/>
    <x v="9"/>
    <n v="2835"/>
    <n v="78857"/>
    <n v="3.6"/>
    <s v="DQS_MAO04_FILE_000_B"/>
    <s v="RECORD COUNT by MBR_ID, DOS_THRU_DT, DX_CD Grain grouped by PAYER, SRC_FILE_NM, DOS_THRU_YYYYMM"/>
  </r>
  <r>
    <x v="1"/>
    <s v="FFV.MA_MAO004.MERCYOK.1214771.20250529.050643770.TXT"/>
    <x v="99"/>
    <x v="9"/>
    <n v="3387"/>
    <n v="78857"/>
    <n v="4.3"/>
    <s v="DQS_MAO04_FILE_000_B"/>
    <s v="RECORD COUNT by MBR_ID, DOS_THRU_DT, DX_CD Grain grouped by PAYER, SRC_FILE_NM, DOS_THRU_YYYYMM"/>
  </r>
  <r>
    <x v="1"/>
    <s v="FFV.MA_MAO004.MERCYOK.1214771.20250529.050643770.TXT"/>
    <x v="100"/>
    <x v="9"/>
    <n v="3098"/>
    <n v="78857"/>
    <n v="3.93"/>
    <s v="DQS_MAO04_FILE_000_B"/>
    <s v="RECORD COUNT by MBR_ID, DOS_THRU_DT, DX_CD Grain grouped by PAYER, SRC_FILE_NM, DOS_THRU_YYYYMM"/>
  </r>
  <r>
    <x v="1"/>
    <s v="FFV.MA_MAO004.MERCYOK.1214771.20250529.050643770.TXT"/>
    <x v="102"/>
    <x v="9"/>
    <n v="2798"/>
    <n v="78857"/>
    <n v="3.55"/>
    <s v="DQS_MAO04_FILE_000_B"/>
    <s v="RECORD COUNT by MBR_ID, DOS_THRU_DT, DX_CD Grain grouped by PAYER, SRC_FILE_NM, DOS_THRU_YYYYMM"/>
  </r>
  <r>
    <x v="1"/>
    <s v="FFV.MA_MAO004.MERCYOK.1214771.20250529.050643770.TXT"/>
    <x v="103"/>
    <x v="9"/>
    <n v="2767"/>
    <n v="78857"/>
    <n v="3.51"/>
    <s v="DQS_MAO04_FILE_000_B"/>
    <s v="RECORD COUNT by MBR_ID, DOS_THRU_DT, DX_CD Grain grouped by PAYER, SRC_FILE_NM, DOS_THRU_YYYYMM"/>
  </r>
  <r>
    <x v="1"/>
    <s v="FFV.MA_MAO004.MERCYOK.1214771.20250529.050643770.TXT"/>
    <x v="105"/>
    <x v="9"/>
    <n v="2864"/>
    <n v="78857"/>
    <n v="3.63"/>
    <s v="DQS_MAO04_FILE_000_B"/>
    <s v="RECORD COUNT by MBR_ID, DOS_THRU_DT, DX_CD Grain grouped by PAYER, SRC_FILE_NM, DOS_THRU_YYYYMM"/>
  </r>
  <r>
    <x v="1"/>
    <s v="FFV.MA_MAO004.MERCYOK.1214771.20250529.050643770.TXT"/>
    <x v="106"/>
    <x v="9"/>
    <n v="3099"/>
    <n v="78857"/>
    <n v="3.93"/>
    <s v="DQS_MAO04_FILE_000_B"/>
    <s v="RECORD COUNT by MBR_ID, DOS_THRU_DT, DX_CD Grain grouped by PAYER, SRC_FILE_NM, DOS_THRU_YYYYMM"/>
  </r>
  <r>
    <x v="1"/>
    <s v="FFV.MA_MAO004.MERCYOK.1214771.20250529.050643770.TXT"/>
    <x v="107"/>
    <x v="9"/>
    <n v="3198"/>
    <n v="78857"/>
    <n v="4.0599999999999996"/>
    <s v="DQS_MAO04_FILE_000_B"/>
    <s v="RECORD COUNT by MBR_ID, DOS_THRU_DT, DX_CD Grain grouped by PAYER, SRC_FILE_NM, DOS_THRU_YYYYMM"/>
  </r>
  <r>
    <x v="1"/>
    <s v="FFV.MA_MAO004.MERCYOK.1214771.20250529.050643770.TXT"/>
    <x v="108"/>
    <x v="9"/>
    <n v="2874"/>
    <n v="78857"/>
    <n v="3.64"/>
    <s v="DQS_MAO04_FILE_000_B"/>
    <s v="RECORD COUNT by MBR_ID, DOS_THRU_DT, DX_CD Grain grouped by PAYER, SRC_FILE_NM, DOS_THRU_YYYYMM"/>
  </r>
  <r>
    <x v="1"/>
    <s v="FFV.MA_MAO004.MERCYOK.1214771.20250529.050643770.TXT"/>
    <x v="109"/>
    <x v="9"/>
    <n v="3036"/>
    <n v="78857"/>
    <n v="3.85"/>
    <s v="DQS_MAO04_FILE_000_B"/>
    <s v="RECORD COUNT by MBR_ID, DOS_THRU_DT, DX_CD Grain grouped by PAYER, SRC_FILE_NM, DOS_THRU_YYYYMM"/>
  </r>
  <r>
    <x v="1"/>
    <s v="FFV.MA_MAO004.MERCYOK.1214771.20250529.050643770.TXT"/>
    <x v="110"/>
    <x v="11"/>
    <n v="5180"/>
    <n v="78857"/>
    <n v="6.57"/>
    <s v="DQS_MAO04_FILE_000_B"/>
    <s v="RECORD COUNT by MBR_ID, DOS_THRU_DT, DX_CD Grain grouped by PAYER, SRC_FILE_NM, DOS_THRU_YYYYMM"/>
  </r>
  <r>
    <x v="1"/>
    <s v="FFV.MA_MAO004.MERCYOK.1214771.20250529.050643770.TXT"/>
    <x v="111"/>
    <x v="11"/>
    <n v="4830"/>
    <n v="78857"/>
    <n v="6.13"/>
    <s v="DQS_MAO04_FILE_000_B"/>
    <s v="RECORD COUNT by MBR_ID, DOS_THRU_DT, DX_CD Grain grouped by PAYER, SRC_FILE_NM, DOS_THRU_YYYYMM"/>
  </r>
  <r>
    <x v="1"/>
    <s v="FFV.MA_MAO004.MERCYOK.1214771.20250529.050643770.TXT"/>
    <x v="112"/>
    <x v="11"/>
    <n v="4862"/>
    <n v="78857"/>
    <n v="6.17"/>
    <s v="DQS_MAO04_FILE_000_B"/>
    <s v="RECORD COUNT by MBR_ID, DOS_THRU_DT, DX_CD Grain grouped by PAYER, SRC_FILE_NM, DOS_THRU_YYYYMM"/>
  </r>
  <r>
    <x v="1"/>
    <s v="FFV.MA_MAO004.MERCYOK.1214771.20250529.050643770.TXT"/>
    <x v="113"/>
    <x v="11"/>
    <n v="1692"/>
    <n v="78857"/>
    <n v="2.15"/>
    <s v="DQS_MAO04_FILE_000_B"/>
    <s v="RECORD COUNT by MBR_ID, DOS_THRU_DT, DX_CD Grain grouped by PAYER, SRC_FILE_NM, DOS_THRU_YYYYMM"/>
  </r>
  <r>
    <x v="1"/>
    <s v="FFV.MA_MAO004.MERCYOK.1214771.20250625.142410116.TXT"/>
    <x v="77"/>
    <x v="8"/>
    <n v="1721"/>
    <n v="82574"/>
    <n v="2.08"/>
    <s v="DQS_MAO04_FILE_000_B"/>
    <s v="RECORD COUNT by MBR_ID, DOS_THRU_DT, DX_CD Grain grouped by PAYER, SRC_FILE_NM, DOS_THRU_YYYYMM"/>
  </r>
  <r>
    <x v="1"/>
    <s v="FFV.MA_MAO004.MERCYOK.1214771.20250625.142410116.TXT"/>
    <x v="78"/>
    <x v="8"/>
    <n v="2256"/>
    <n v="82574"/>
    <n v="2.73"/>
    <s v="DQS_MAO04_FILE_000_B"/>
    <s v="RECORD COUNT by MBR_ID, DOS_THRU_DT, DX_CD Grain grouped by PAYER, SRC_FILE_NM, DOS_THRU_YYYYMM"/>
  </r>
  <r>
    <x v="1"/>
    <s v="FFV.MA_MAO004.MERCYOK.1214771.20250625.142410116.TXT"/>
    <x v="79"/>
    <x v="8"/>
    <n v="2348"/>
    <n v="82574"/>
    <n v="2.84"/>
    <s v="DQS_MAO04_FILE_000_B"/>
    <s v="RECORD COUNT by MBR_ID, DOS_THRU_DT, DX_CD Grain grouped by PAYER, SRC_FILE_NM, DOS_THRU_YYYYMM"/>
  </r>
  <r>
    <x v="1"/>
    <s v="FFV.MA_MAO004.MERCYOK.1214771.20250625.142410116.TXT"/>
    <x v="80"/>
    <x v="8"/>
    <n v="2327"/>
    <n v="82574"/>
    <n v="2.82"/>
    <s v="DQS_MAO04_FILE_000_B"/>
    <s v="RECORD COUNT by MBR_ID, DOS_THRU_DT, DX_CD Grain grouped by PAYER, SRC_FILE_NM, DOS_THRU_YYYYMM"/>
  </r>
  <r>
    <x v="1"/>
    <s v="FFV.MA_MAO004.MERCYOK.1214771.20250625.142410116.TXT"/>
    <x v="81"/>
    <x v="8"/>
    <n v="2050"/>
    <n v="82574"/>
    <n v="2.48"/>
    <s v="DQS_MAO04_FILE_000_B"/>
    <s v="RECORD COUNT by MBR_ID, DOS_THRU_DT, DX_CD Grain grouped by PAYER, SRC_FILE_NM, DOS_THRU_YYYYMM"/>
  </r>
  <r>
    <x v="1"/>
    <s v="FFV.MA_MAO004.MERCYOK.1214771.20250625.142410116.TXT"/>
    <x v="82"/>
    <x v="8"/>
    <n v="2431"/>
    <n v="82574"/>
    <n v="2.94"/>
    <s v="DQS_MAO04_FILE_000_B"/>
    <s v="RECORD COUNT by MBR_ID, DOS_THRU_DT, DX_CD Grain grouped by PAYER, SRC_FILE_NM, DOS_THRU_YYYYMM"/>
  </r>
  <r>
    <x v="1"/>
    <s v="FFV.MA_MAO004.MERCYOK.1214771.20250625.142410116.TXT"/>
    <x v="83"/>
    <x v="8"/>
    <n v="2354"/>
    <n v="82574"/>
    <n v="2.85"/>
    <s v="DQS_MAO04_FILE_000_B"/>
    <s v="RECORD COUNT by MBR_ID, DOS_THRU_DT, DX_CD Grain grouped by PAYER, SRC_FILE_NM, DOS_THRU_YYYYMM"/>
  </r>
  <r>
    <x v="1"/>
    <s v="FFV.MA_MAO004.MERCYOK.1214771.20250625.142410116.TXT"/>
    <x v="84"/>
    <x v="8"/>
    <n v="2224"/>
    <n v="82574"/>
    <n v="2.69"/>
    <s v="DQS_MAO04_FILE_000_B"/>
    <s v="RECORD COUNT by MBR_ID, DOS_THRU_DT, DX_CD Grain grouped by PAYER, SRC_FILE_NM, DOS_THRU_YYYYMM"/>
  </r>
  <r>
    <x v="1"/>
    <s v="FFV.MA_MAO004.MERCYOK.1214771.20250625.142410116.TXT"/>
    <x v="85"/>
    <x v="8"/>
    <n v="1994"/>
    <n v="82574"/>
    <n v="2.41"/>
    <s v="DQS_MAO04_FILE_000_B"/>
    <s v="RECORD COUNT by MBR_ID, DOS_THRU_DT, DX_CD Grain grouped by PAYER, SRC_FILE_NM, DOS_THRU_YYYYMM"/>
  </r>
  <r>
    <x v="1"/>
    <s v="FFV.MA_MAO004.MERCYOK.1214771.20250625.142410116.TXT"/>
    <x v="86"/>
    <x v="8"/>
    <n v="2000"/>
    <n v="82574"/>
    <n v="2.42"/>
    <s v="DQS_MAO04_FILE_000_B"/>
    <s v="RECORD COUNT by MBR_ID, DOS_THRU_DT, DX_CD Grain grouped by PAYER, SRC_FILE_NM, DOS_THRU_YYYYMM"/>
  </r>
  <r>
    <x v="1"/>
    <s v="FFV.MA_MAO004.MERCYOK.1214771.20250625.142410116.TXT"/>
    <x v="87"/>
    <x v="8"/>
    <n v="2378"/>
    <n v="82574"/>
    <n v="2.88"/>
    <s v="DQS_MAO04_FILE_000_B"/>
    <s v="RECORD COUNT by MBR_ID, DOS_THRU_DT, DX_CD Grain grouped by PAYER, SRC_FILE_NM, DOS_THRU_YYYYMM"/>
  </r>
  <r>
    <x v="1"/>
    <s v="FFV.MA_MAO004.MERCYOK.1214771.20250625.142410116.TXT"/>
    <x v="88"/>
    <x v="8"/>
    <n v="2162"/>
    <n v="82574"/>
    <n v="2.62"/>
    <s v="DQS_MAO04_FILE_000_B"/>
    <s v="RECORD COUNT by MBR_ID, DOS_THRU_DT, DX_CD Grain grouped by PAYER, SRC_FILE_NM, DOS_THRU_YYYYMM"/>
  </r>
  <r>
    <x v="1"/>
    <s v="FFV.MA_MAO004.MERCYOK.1214771.20250625.142410116.TXT"/>
    <x v="89"/>
    <x v="9"/>
    <n v="2474"/>
    <n v="82574"/>
    <n v="3"/>
    <s v="DQS_MAO04_FILE_000_B"/>
    <s v="RECORD COUNT by MBR_ID, DOS_THRU_DT, DX_CD Grain grouped by PAYER, SRC_FILE_NM, DOS_THRU_YYYYMM"/>
  </r>
  <r>
    <x v="1"/>
    <s v="FFV.MA_MAO004.MERCYOK.1214771.20250625.142410116.TXT"/>
    <x v="97"/>
    <x v="9"/>
    <n v="3264"/>
    <n v="82574"/>
    <n v="3.95"/>
    <s v="DQS_MAO04_FILE_000_B"/>
    <s v="RECORD COUNT by MBR_ID, DOS_THRU_DT, DX_CD Grain grouped by PAYER, SRC_FILE_NM, DOS_THRU_YYYYMM"/>
  </r>
  <r>
    <x v="1"/>
    <s v="FFV.MA_MAO004.MERCYOK.1214771.20250625.142410116.TXT"/>
    <x v="98"/>
    <x v="9"/>
    <n v="2824"/>
    <n v="82574"/>
    <n v="3.42"/>
    <s v="DQS_MAO04_FILE_000_B"/>
    <s v="RECORD COUNT by MBR_ID, DOS_THRU_DT, DX_CD Grain grouped by PAYER, SRC_FILE_NM, DOS_THRU_YYYYMM"/>
  </r>
  <r>
    <x v="1"/>
    <s v="FFV.MA_MAO004.MERCYOK.1214771.20250625.142410116.TXT"/>
    <x v="99"/>
    <x v="9"/>
    <n v="3373"/>
    <n v="82574"/>
    <n v="4.08"/>
    <s v="DQS_MAO04_FILE_000_B"/>
    <s v="RECORD COUNT by MBR_ID, DOS_THRU_DT, DX_CD Grain grouped by PAYER, SRC_FILE_NM, DOS_THRU_YYYYMM"/>
  </r>
  <r>
    <x v="1"/>
    <s v="FFV.MA_MAO004.MERCYOK.1214771.20250625.142410116.TXT"/>
    <x v="100"/>
    <x v="9"/>
    <n v="3093"/>
    <n v="82574"/>
    <n v="3.75"/>
    <s v="DQS_MAO04_FILE_000_B"/>
    <s v="RECORD COUNT by MBR_ID, DOS_THRU_DT, DX_CD Grain grouped by PAYER, SRC_FILE_NM, DOS_THRU_YYYYMM"/>
  </r>
  <r>
    <x v="1"/>
    <s v="FFV.MA_MAO004.MERCYOK.1214771.20250625.142410116.TXT"/>
    <x v="102"/>
    <x v="9"/>
    <n v="2821"/>
    <n v="82574"/>
    <n v="3.42"/>
    <s v="DQS_MAO04_FILE_000_B"/>
    <s v="RECORD COUNT by MBR_ID, DOS_THRU_DT, DX_CD Grain grouped by PAYER, SRC_FILE_NM, DOS_THRU_YYYYMM"/>
  </r>
  <r>
    <x v="1"/>
    <s v="FFV.MA_MAO004.MERCYOK.1214771.20250625.142410116.TXT"/>
    <x v="103"/>
    <x v="9"/>
    <n v="2754"/>
    <n v="82574"/>
    <n v="3.34"/>
    <s v="DQS_MAO04_FILE_000_B"/>
    <s v="RECORD COUNT by MBR_ID, DOS_THRU_DT, DX_CD Grain grouped by PAYER, SRC_FILE_NM, DOS_THRU_YYYYMM"/>
  </r>
  <r>
    <x v="1"/>
    <s v="FFV.MA_MAO004.MERCYOK.1214771.20250625.142410116.TXT"/>
    <x v="105"/>
    <x v="9"/>
    <n v="2844"/>
    <n v="82574"/>
    <n v="3.44"/>
    <s v="DQS_MAO04_FILE_000_B"/>
    <s v="RECORD COUNT by MBR_ID, DOS_THRU_DT, DX_CD Grain grouped by PAYER, SRC_FILE_NM, DOS_THRU_YYYYMM"/>
  </r>
  <r>
    <x v="1"/>
    <s v="FFV.MA_MAO004.MERCYOK.1214771.20250625.142410116.TXT"/>
    <x v="106"/>
    <x v="9"/>
    <n v="3011"/>
    <n v="82574"/>
    <n v="3.65"/>
    <s v="DQS_MAO04_FILE_000_B"/>
    <s v="RECORD COUNT by MBR_ID, DOS_THRU_DT, DX_CD Grain grouped by PAYER, SRC_FILE_NM, DOS_THRU_YYYYMM"/>
  </r>
  <r>
    <x v="1"/>
    <s v="FFV.MA_MAO004.MERCYOK.1214771.20250625.142410116.TXT"/>
    <x v="107"/>
    <x v="9"/>
    <n v="3194"/>
    <n v="82574"/>
    <n v="3.87"/>
    <s v="DQS_MAO04_FILE_000_B"/>
    <s v="RECORD COUNT by MBR_ID, DOS_THRU_DT, DX_CD Grain grouped by PAYER, SRC_FILE_NM, DOS_THRU_YYYYMM"/>
  </r>
  <r>
    <x v="1"/>
    <s v="FFV.MA_MAO004.MERCYOK.1214771.20250625.142410116.TXT"/>
    <x v="108"/>
    <x v="9"/>
    <n v="2858"/>
    <n v="82574"/>
    <n v="3.46"/>
    <s v="DQS_MAO04_FILE_000_B"/>
    <s v="RECORD COUNT by MBR_ID, DOS_THRU_DT, DX_CD Grain grouped by PAYER, SRC_FILE_NM, DOS_THRU_YYYYMM"/>
  </r>
  <r>
    <x v="1"/>
    <s v="FFV.MA_MAO004.MERCYOK.1214771.20250625.142410116.TXT"/>
    <x v="109"/>
    <x v="9"/>
    <n v="3040"/>
    <n v="82574"/>
    <n v="3.68"/>
    <s v="DQS_MAO04_FILE_000_B"/>
    <s v="RECORD COUNT by MBR_ID, DOS_THRU_DT, DX_CD Grain grouped by PAYER, SRC_FILE_NM, DOS_THRU_YYYYMM"/>
  </r>
  <r>
    <x v="1"/>
    <s v="FFV.MA_MAO004.MERCYOK.1214771.20250625.142410116.TXT"/>
    <x v="110"/>
    <x v="11"/>
    <n v="4922"/>
    <n v="82574"/>
    <n v="5.96"/>
    <s v="DQS_MAO04_FILE_000_B"/>
    <s v="RECORD COUNT by MBR_ID, DOS_THRU_DT, DX_CD Grain grouped by PAYER, SRC_FILE_NM, DOS_THRU_YYYYMM"/>
  </r>
  <r>
    <x v="1"/>
    <s v="FFV.MA_MAO004.MERCYOK.1214771.20250625.142410116.TXT"/>
    <x v="111"/>
    <x v="11"/>
    <n v="4802"/>
    <n v="82574"/>
    <n v="5.82"/>
    <s v="DQS_MAO04_FILE_000_B"/>
    <s v="RECORD COUNT by MBR_ID, DOS_THRU_DT, DX_CD Grain grouped by PAYER, SRC_FILE_NM, DOS_THRU_YYYYMM"/>
  </r>
  <r>
    <x v="1"/>
    <s v="FFV.MA_MAO004.MERCYOK.1214771.20250625.142410116.TXT"/>
    <x v="112"/>
    <x v="11"/>
    <n v="4965"/>
    <n v="82574"/>
    <n v="6.01"/>
    <s v="DQS_MAO04_FILE_000_B"/>
    <s v="RECORD COUNT by MBR_ID, DOS_THRU_DT, DX_CD Grain grouped by PAYER, SRC_FILE_NM, DOS_THRU_YYYYMM"/>
  </r>
  <r>
    <x v="1"/>
    <s v="FFV.MA_MAO004.MERCYOK.1214771.20250625.142410116.TXT"/>
    <x v="113"/>
    <x v="11"/>
    <n v="4333"/>
    <n v="82574"/>
    <n v="5.25"/>
    <s v="DQS_MAO04_FILE_000_B"/>
    <s v="RECORD COUNT by MBR_ID, DOS_THRU_DT, DX_CD Grain grouped by PAYER, SRC_FILE_NM, DOS_THRU_YYYYMM"/>
  </r>
  <r>
    <x v="1"/>
    <s v="FFV.MA_MAO004.MERCYOK.1214771.20250625.142410116.TXT"/>
    <x v="114"/>
    <x v="11"/>
    <n v="1757"/>
    <n v="82574"/>
    <n v="2.13"/>
    <s v="DQS_MAO04_FILE_000_B"/>
    <s v="RECORD COUNT by MBR_ID, DOS_THRU_DT, DX_CD Grain grouped by PAYER, SRC_FILE_NM, DOS_THRU_YYYYMM"/>
  </r>
  <r>
    <x v="1"/>
    <s v="FFV.MA_MAO004.MERCYOK.1214771.20250725.092840223.TXT"/>
    <x v="77"/>
    <x v="8"/>
    <n v="1723"/>
    <n v="88149"/>
    <n v="1.95"/>
    <s v="DQS_MAO04_FILE_000_B"/>
    <s v="RECORD COUNT by MBR_ID, DOS_THRU_DT, DX_CD Grain grouped by PAYER, SRC_FILE_NM, DOS_THRU_YYYYMM"/>
  </r>
  <r>
    <x v="1"/>
    <s v="FFV.MA_MAO004.MERCYOK.1214771.20250725.092840223.TXT"/>
    <x v="78"/>
    <x v="8"/>
    <n v="2245"/>
    <n v="88149"/>
    <n v="2.5499999999999998"/>
    <s v="DQS_MAO04_FILE_000_B"/>
    <s v="RECORD COUNT by MBR_ID, DOS_THRU_DT, DX_CD Grain grouped by PAYER, SRC_FILE_NM, DOS_THRU_YYYYMM"/>
  </r>
  <r>
    <x v="1"/>
    <s v="FFV.MA_MAO004.MERCYOK.1214771.20250725.092840223.TXT"/>
    <x v="79"/>
    <x v="8"/>
    <n v="2469"/>
    <n v="88149"/>
    <n v="2.8"/>
    <s v="DQS_MAO04_FILE_000_B"/>
    <s v="RECORD COUNT by MBR_ID, DOS_THRU_DT, DX_CD Grain grouped by PAYER, SRC_FILE_NM, DOS_THRU_YYYYMM"/>
  </r>
  <r>
    <x v="1"/>
    <s v="FFV.MA_MAO004.MERCYOK.1214771.20250725.092840223.TXT"/>
    <x v="80"/>
    <x v="8"/>
    <n v="2345"/>
    <n v="88149"/>
    <n v="2.66"/>
    <s v="DQS_MAO04_FILE_000_B"/>
    <s v="RECORD COUNT by MBR_ID, DOS_THRU_DT, DX_CD Grain grouped by PAYER, SRC_FILE_NM, DOS_THRU_YYYYMM"/>
  </r>
  <r>
    <x v="1"/>
    <s v="FFV.MA_MAO004.MERCYOK.1214771.20250725.092840223.TXT"/>
    <x v="81"/>
    <x v="8"/>
    <n v="2073"/>
    <n v="88149"/>
    <n v="2.35"/>
    <s v="DQS_MAO04_FILE_000_B"/>
    <s v="RECORD COUNT by MBR_ID, DOS_THRU_DT, DX_CD Grain grouped by PAYER, SRC_FILE_NM, DOS_THRU_YYYYMM"/>
  </r>
  <r>
    <x v="1"/>
    <s v="FFV.MA_MAO004.MERCYOK.1214771.20250725.092840223.TXT"/>
    <x v="82"/>
    <x v="8"/>
    <n v="2471"/>
    <n v="88149"/>
    <n v="2.8"/>
    <s v="DQS_MAO04_FILE_000_B"/>
    <s v="RECORD COUNT by MBR_ID, DOS_THRU_DT, DX_CD Grain grouped by PAYER, SRC_FILE_NM, DOS_THRU_YYYYMM"/>
  </r>
  <r>
    <x v="1"/>
    <s v="FFV.MA_MAO004.MERCYOK.1214771.20250725.092840223.TXT"/>
    <x v="83"/>
    <x v="8"/>
    <n v="2361"/>
    <n v="88149"/>
    <n v="2.68"/>
    <s v="DQS_MAO04_FILE_000_B"/>
    <s v="RECORD COUNT by MBR_ID, DOS_THRU_DT, DX_CD Grain grouped by PAYER, SRC_FILE_NM, DOS_THRU_YYYYMM"/>
  </r>
  <r>
    <x v="1"/>
    <s v="FFV.MA_MAO004.MERCYOK.1214771.20250725.092840223.TXT"/>
    <x v="84"/>
    <x v="8"/>
    <n v="2249"/>
    <n v="88149"/>
    <n v="2.5499999999999998"/>
    <s v="DQS_MAO04_FILE_000_B"/>
    <s v="RECORD COUNT by MBR_ID, DOS_THRU_DT, DX_CD Grain grouped by PAYER, SRC_FILE_NM, DOS_THRU_YYYYMM"/>
  </r>
  <r>
    <x v="1"/>
    <s v="FFV.MA_MAO004.MERCYOK.1214771.20250725.092840223.TXT"/>
    <x v="85"/>
    <x v="8"/>
    <n v="2011"/>
    <n v="88149"/>
    <n v="2.2799999999999998"/>
    <s v="DQS_MAO04_FILE_000_B"/>
    <s v="RECORD COUNT by MBR_ID, DOS_THRU_DT, DX_CD Grain grouped by PAYER, SRC_FILE_NM, DOS_THRU_YYYYMM"/>
  </r>
  <r>
    <x v="1"/>
    <s v="FFV.MA_MAO004.MERCYOK.1214771.20250725.092840223.TXT"/>
    <x v="86"/>
    <x v="8"/>
    <n v="1996"/>
    <n v="88149"/>
    <n v="2.2599999999999998"/>
    <s v="DQS_MAO04_FILE_000_B"/>
    <s v="RECORD COUNT by MBR_ID, DOS_THRU_DT, DX_CD Grain grouped by PAYER, SRC_FILE_NM, DOS_THRU_YYYYMM"/>
  </r>
  <r>
    <x v="1"/>
    <s v="FFV.MA_MAO004.MERCYOK.1214771.20250725.092840223.TXT"/>
    <x v="87"/>
    <x v="8"/>
    <n v="2411"/>
    <n v="88149"/>
    <n v="2.74"/>
    <s v="DQS_MAO04_FILE_000_B"/>
    <s v="RECORD COUNT by MBR_ID, DOS_THRU_DT, DX_CD Grain grouped by PAYER, SRC_FILE_NM, DOS_THRU_YYYYMM"/>
  </r>
  <r>
    <x v="1"/>
    <s v="FFV.MA_MAO004.MERCYOK.1214771.20250725.092840223.TXT"/>
    <x v="88"/>
    <x v="8"/>
    <n v="2138"/>
    <n v="88149"/>
    <n v="2.4300000000000002"/>
    <s v="DQS_MAO04_FILE_000_B"/>
    <s v="RECORD COUNT by MBR_ID, DOS_THRU_DT, DX_CD Grain grouped by PAYER, SRC_FILE_NM, DOS_THRU_YYYYMM"/>
  </r>
  <r>
    <x v="1"/>
    <s v="FFV.MA_MAO004.MERCYOK.1214771.20250725.092840223.TXT"/>
    <x v="89"/>
    <x v="9"/>
    <n v="2432"/>
    <n v="88149"/>
    <n v="2.76"/>
    <s v="DQS_MAO04_FILE_000_B"/>
    <s v="RECORD COUNT by MBR_ID, DOS_THRU_DT, DX_CD Grain grouped by PAYER, SRC_FILE_NM, DOS_THRU_YYYYMM"/>
  </r>
  <r>
    <x v="1"/>
    <s v="FFV.MA_MAO004.MERCYOK.1214771.20250725.092840223.TXT"/>
    <x v="97"/>
    <x v="9"/>
    <n v="3235"/>
    <n v="88149"/>
    <n v="3.67"/>
    <s v="DQS_MAO04_FILE_000_B"/>
    <s v="RECORD COUNT by MBR_ID, DOS_THRU_DT, DX_CD Grain grouped by PAYER, SRC_FILE_NM, DOS_THRU_YYYYMM"/>
  </r>
  <r>
    <x v="1"/>
    <s v="FFV.MA_MAO004.MERCYOK.1214771.20250725.092840223.TXT"/>
    <x v="98"/>
    <x v="9"/>
    <n v="2780"/>
    <n v="88149"/>
    <n v="3.15"/>
    <s v="DQS_MAO04_FILE_000_B"/>
    <s v="RECORD COUNT by MBR_ID, DOS_THRU_DT, DX_CD Grain grouped by PAYER, SRC_FILE_NM, DOS_THRU_YYYYMM"/>
  </r>
  <r>
    <x v="1"/>
    <s v="FFV.MA_MAO004.MERCYOK.1214771.20250725.092840223.TXT"/>
    <x v="99"/>
    <x v="9"/>
    <n v="3290"/>
    <n v="88149"/>
    <n v="3.73"/>
    <s v="DQS_MAO04_FILE_000_B"/>
    <s v="RECORD COUNT by MBR_ID, DOS_THRU_DT, DX_CD Grain grouped by PAYER, SRC_FILE_NM, DOS_THRU_YYYYMM"/>
  </r>
  <r>
    <x v="1"/>
    <s v="FFV.MA_MAO004.MERCYOK.1214771.20250725.092840223.TXT"/>
    <x v="100"/>
    <x v="9"/>
    <n v="3097"/>
    <n v="88149"/>
    <n v="3.51"/>
    <s v="DQS_MAO04_FILE_000_B"/>
    <s v="RECORD COUNT by MBR_ID, DOS_THRU_DT, DX_CD Grain grouped by PAYER, SRC_FILE_NM, DOS_THRU_YYYYMM"/>
  </r>
  <r>
    <x v="1"/>
    <s v="FFV.MA_MAO004.MERCYOK.1214771.20250725.092840223.TXT"/>
    <x v="102"/>
    <x v="9"/>
    <n v="2742"/>
    <n v="88149"/>
    <n v="3.11"/>
    <s v="DQS_MAO04_FILE_000_B"/>
    <s v="RECORD COUNT by MBR_ID, DOS_THRU_DT, DX_CD Grain grouped by PAYER, SRC_FILE_NM, DOS_THRU_YYYYMM"/>
  </r>
  <r>
    <x v="1"/>
    <s v="FFV.MA_MAO004.MERCYOK.1214771.20250725.092840223.TXT"/>
    <x v="103"/>
    <x v="9"/>
    <n v="2748"/>
    <n v="88149"/>
    <n v="3.12"/>
    <s v="DQS_MAO04_FILE_000_B"/>
    <s v="RECORD COUNT by MBR_ID, DOS_THRU_DT, DX_CD Grain grouped by PAYER, SRC_FILE_NM, DOS_THRU_YYYYMM"/>
  </r>
  <r>
    <x v="1"/>
    <s v="FFV.MA_MAO004.MERCYOK.1214771.20250725.092840223.TXT"/>
    <x v="105"/>
    <x v="9"/>
    <n v="2838"/>
    <n v="88149"/>
    <n v="3.22"/>
    <s v="DQS_MAO04_FILE_000_B"/>
    <s v="RECORD COUNT by MBR_ID, DOS_THRU_DT, DX_CD Grain grouped by PAYER, SRC_FILE_NM, DOS_THRU_YYYYMM"/>
  </r>
  <r>
    <x v="1"/>
    <s v="FFV.MA_MAO004.MERCYOK.1214771.20250725.092840223.TXT"/>
    <x v="106"/>
    <x v="9"/>
    <n v="2999"/>
    <n v="88149"/>
    <n v="3.4"/>
    <s v="DQS_MAO04_FILE_000_B"/>
    <s v="RECORD COUNT by MBR_ID, DOS_THRU_DT, DX_CD Grain grouped by PAYER, SRC_FILE_NM, DOS_THRU_YYYYMM"/>
  </r>
  <r>
    <x v="1"/>
    <s v="FFV.MA_MAO004.MERCYOK.1214771.20250725.092840223.TXT"/>
    <x v="107"/>
    <x v="9"/>
    <n v="3271"/>
    <n v="88149"/>
    <n v="3.71"/>
    <s v="DQS_MAO04_FILE_000_B"/>
    <s v="RECORD COUNT by MBR_ID, DOS_THRU_DT, DX_CD Grain grouped by PAYER, SRC_FILE_NM, DOS_THRU_YYYYMM"/>
  </r>
  <r>
    <x v="1"/>
    <s v="FFV.MA_MAO004.MERCYOK.1214771.20250725.092840223.TXT"/>
    <x v="108"/>
    <x v="9"/>
    <n v="2976"/>
    <n v="88149"/>
    <n v="3.38"/>
    <s v="DQS_MAO04_FILE_000_B"/>
    <s v="RECORD COUNT by MBR_ID, DOS_THRU_DT, DX_CD Grain grouped by PAYER, SRC_FILE_NM, DOS_THRU_YYYYMM"/>
  </r>
  <r>
    <x v="1"/>
    <s v="FFV.MA_MAO004.MERCYOK.1214771.20250725.092840223.TXT"/>
    <x v="109"/>
    <x v="9"/>
    <n v="3049"/>
    <n v="88149"/>
    <n v="3.46"/>
    <s v="DQS_MAO04_FILE_000_B"/>
    <s v="RECORD COUNT by MBR_ID, DOS_THRU_DT, DX_CD Grain grouped by PAYER, SRC_FILE_NM, DOS_THRU_YYYYMM"/>
  </r>
  <r>
    <x v="1"/>
    <s v="FFV.MA_MAO004.MERCYOK.1214771.20250725.092840223.TXT"/>
    <x v="110"/>
    <x v="11"/>
    <n v="5023"/>
    <n v="88149"/>
    <n v="5.7"/>
    <s v="DQS_MAO04_FILE_000_B"/>
    <s v="RECORD COUNT by MBR_ID, DOS_THRU_DT, DX_CD Grain grouped by PAYER, SRC_FILE_NM, DOS_THRU_YYYYMM"/>
  </r>
  <r>
    <x v="1"/>
    <s v="FFV.MA_MAO004.MERCYOK.1214771.20250725.092840223.TXT"/>
    <x v="111"/>
    <x v="11"/>
    <n v="4887"/>
    <n v="88149"/>
    <n v="5.54"/>
    <s v="DQS_MAO04_FILE_000_B"/>
    <s v="RECORD COUNT by MBR_ID, DOS_THRU_DT, DX_CD Grain grouped by PAYER, SRC_FILE_NM, DOS_THRU_YYYYMM"/>
  </r>
  <r>
    <x v="1"/>
    <s v="FFV.MA_MAO004.MERCYOK.1214771.20250725.092840223.TXT"/>
    <x v="112"/>
    <x v="11"/>
    <n v="5203"/>
    <n v="88149"/>
    <n v="5.9"/>
    <s v="DQS_MAO04_FILE_000_B"/>
    <s v="RECORD COUNT by MBR_ID, DOS_THRU_DT, DX_CD Grain grouped by PAYER, SRC_FILE_NM, DOS_THRU_YYYYMM"/>
  </r>
  <r>
    <x v="1"/>
    <s v="FFV.MA_MAO004.MERCYOK.1214771.20250725.092840223.TXT"/>
    <x v="113"/>
    <x v="11"/>
    <n v="4797"/>
    <n v="88149"/>
    <n v="5.44"/>
    <s v="DQS_MAO04_FILE_000_B"/>
    <s v="RECORD COUNT by MBR_ID, DOS_THRU_DT, DX_CD Grain grouped by PAYER, SRC_FILE_NM, DOS_THRU_YYYYMM"/>
  </r>
  <r>
    <x v="1"/>
    <s v="FFV.MA_MAO004.MERCYOK.1214771.20250725.092840223.TXT"/>
    <x v="114"/>
    <x v="11"/>
    <n v="4775"/>
    <n v="88149"/>
    <n v="5.42"/>
    <s v="DQS_MAO04_FILE_000_B"/>
    <s v="RECORD COUNT by MBR_ID, DOS_THRU_DT, DX_CD Grain grouped by PAYER, SRC_FILE_NM, DOS_THRU_YYYYMM"/>
  </r>
  <r>
    <x v="1"/>
    <s v="FFV.MA_MAO004.MERCYOK.1214771.20250725.092840223.TXT"/>
    <x v="115"/>
    <x v="11"/>
    <n v="1515"/>
    <n v="88149"/>
    <n v="1.72"/>
    <s v="DQS_MAO04_FILE_000_B"/>
    <s v="RECORD COUNT by MBR_ID, DOS_THRU_DT, DX_CD Grain grouped by PAYER, SRC_FILE_NM, DOS_THRU_YYYYMM"/>
  </r>
  <r>
    <x v="1"/>
    <s v="FFV.MA_MAO004.MERCYOK.1214771.20250827.131304584.TXT"/>
    <x v="77"/>
    <x v="8"/>
    <n v="1697"/>
    <n v="91896"/>
    <n v="1.85"/>
    <s v="DQS_MAO04_FILE_000_B"/>
    <s v="RECORD COUNT by MBR_ID, DOS_THRU_DT, DX_CD Grain grouped by PAYER, SRC_FILE_NM, DOS_THRU_YYYYMM"/>
  </r>
  <r>
    <x v="1"/>
    <s v="FFV.MA_MAO004.MERCYOK.1214771.20250827.131304584.TXT"/>
    <x v="78"/>
    <x v="8"/>
    <n v="2188"/>
    <n v="91896"/>
    <n v="2.38"/>
    <s v="DQS_MAO04_FILE_000_B"/>
    <s v="RECORD COUNT by MBR_ID, DOS_THRU_DT, DX_CD Grain grouped by PAYER, SRC_FILE_NM, DOS_THRU_YYYYMM"/>
  </r>
  <r>
    <x v="1"/>
    <s v="FFV.MA_MAO004.MERCYOK.1214771.20250827.131304584.TXT"/>
    <x v="79"/>
    <x v="8"/>
    <n v="2386"/>
    <n v="91896"/>
    <n v="2.6"/>
    <s v="DQS_MAO04_FILE_000_B"/>
    <s v="RECORD COUNT by MBR_ID, DOS_THRU_DT, DX_CD Grain grouped by PAYER, SRC_FILE_NM, DOS_THRU_YYYYMM"/>
  </r>
  <r>
    <x v="1"/>
    <s v="FFV.MA_MAO004.MERCYOK.1214771.20250827.131304584.TXT"/>
    <x v="80"/>
    <x v="8"/>
    <n v="2245"/>
    <n v="91896"/>
    <n v="2.44"/>
    <s v="DQS_MAO04_FILE_000_B"/>
    <s v="RECORD COUNT by MBR_ID, DOS_THRU_DT, DX_CD Grain grouped by PAYER, SRC_FILE_NM, DOS_THRU_YYYYMM"/>
  </r>
  <r>
    <x v="1"/>
    <s v="FFV.MA_MAO004.MERCYOK.1214771.20250827.131304584.TXT"/>
    <x v="81"/>
    <x v="8"/>
    <n v="2136"/>
    <n v="91896"/>
    <n v="2.3199999999999998"/>
    <s v="DQS_MAO04_FILE_000_B"/>
    <s v="RECORD COUNT by MBR_ID, DOS_THRU_DT, DX_CD Grain grouped by PAYER, SRC_FILE_NM, DOS_THRU_YYYYMM"/>
  </r>
  <r>
    <x v="1"/>
    <s v="FFV.MA_MAO004.MERCYOK.1214771.20250827.131304584.TXT"/>
    <x v="82"/>
    <x v="8"/>
    <n v="2483"/>
    <n v="91896"/>
    <n v="2.7"/>
    <s v="DQS_MAO04_FILE_000_B"/>
    <s v="RECORD COUNT by MBR_ID, DOS_THRU_DT, DX_CD Grain grouped by PAYER, SRC_FILE_NM, DOS_THRU_YYYYMM"/>
  </r>
  <r>
    <x v="1"/>
    <s v="FFV.MA_MAO004.MERCYOK.1214771.20250827.131304584.TXT"/>
    <x v="83"/>
    <x v="8"/>
    <n v="2360"/>
    <n v="91896"/>
    <n v="2.57"/>
    <s v="DQS_MAO04_FILE_000_B"/>
    <s v="RECORD COUNT by MBR_ID, DOS_THRU_DT, DX_CD Grain grouped by PAYER, SRC_FILE_NM, DOS_THRU_YYYYMM"/>
  </r>
  <r>
    <x v="1"/>
    <s v="FFV.MA_MAO004.MERCYOK.1214771.20250827.131304584.TXT"/>
    <x v="84"/>
    <x v="8"/>
    <n v="2139"/>
    <n v="91896"/>
    <n v="2.33"/>
    <s v="DQS_MAO04_FILE_000_B"/>
    <s v="RECORD COUNT by MBR_ID, DOS_THRU_DT, DX_CD Grain grouped by PAYER, SRC_FILE_NM, DOS_THRU_YYYYMM"/>
  </r>
  <r>
    <x v="1"/>
    <s v="FFV.MA_MAO004.MERCYOK.1214771.20250827.131304584.TXT"/>
    <x v="85"/>
    <x v="8"/>
    <n v="2012"/>
    <n v="91896"/>
    <n v="2.19"/>
    <s v="DQS_MAO04_FILE_000_B"/>
    <s v="RECORD COUNT by MBR_ID, DOS_THRU_DT, DX_CD Grain grouped by PAYER, SRC_FILE_NM, DOS_THRU_YYYYMM"/>
  </r>
  <r>
    <x v="1"/>
    <s v="FFV.MA_MAO004.MERCYOK.1214771.20250827.131304584.TXT"/>
    <x v="86"/>
    <x v="8"/>
    <n v="1972"/>
    <n v="91896"/>
    <n v="2.15"/>
    <s v="DQS_MAO04_FILE_000_B"/>
    <s v="RECORD COUNT by MBR_ID, DOS_THRU_DT, DX_CD Grain grouped by PAYER, SRC_FILE_NM, DOS_THRU_YYYYMM"/>
  </r>
  <r>
    <x v="1"/>
    <s v="FFV.MA_MAO004.MERCYOK.1214771.20250827.131304584.TXT"/>
    <x v="87"/>
    <x v="8"/>
    <n v="2413"/>
    <n v="91896"/>
    <n v="2.63"/>
    <s v="DQS_MAO04_FILE_000_B"/>
    <s v="RECORD COUNT by MBR_ID, DOS_THRU_DT, DX_CD Grain grouped by PAYER, SRC_FILE_NM, DOS_THRU_YYYYMM"/>
  </r>
  <r>
    <x v="1"/>
    <s v="FFV.MA_MAO004.MERCYOK.1214771.20250827.131304584.TXT"/>
    <x v="88"/>
    <x v="8"/>
    <n v="2137"/>
    <n v="91896"/>
    <n v="2.33"/>
    <s v="DQS_MAO04_FILE_000_B"/>
    <s v="RECORD COUNT by MBR_ID, DOS_THRU_DT, DX_CD Grain grouped by PAYER, SRC_FILE_NM, DOS_THRU_YYYYMM"/>
  </r>
  <r>
    <x v="1"/>
    <s v="FFV.MA_MAO004.MERCYOK.1214771.20250827.131304584.TXT"/>
    <x v="89"/>
    <x v="9"/>
    <n v="2441"/>
    <n v="91896"/>
    <n v="2.66"/>
    <s v="DQS_MAO04_FILE_000_B"/>
    <s v="RECORD COUNT by MBR_ID, DOS_THRU_DT, DX_CD Grain grouped by PAYER, SRC_FILE_NM, DOS_THRU_YYYYMM"/>
  </r>
  <r>
    <x v="1"/>
    <s v="FFV.MA_MAO004.MERCYOK.1214771.20250827.131304584.TXT"/>
    <x v="97"/>
    <x v="9"/>
    <n v="3201"/>
    <n v="91896"/>
    <n v="3.48"/>
    <s v="DQS_MAO04_FILE_000_B"/>
    <s v="RECORD COUNT by MBR_ID, DOS_THRU_DT, DX_CD Grain grouped by PAYER, SRC_FILE_NM, DOS_THRU_YYYYMM"/>
  </r>
  <r>
    <x v="1"/>
    <s v="FFV.MA_MAO004.MERCYOK.1214771.20250827.131304584.TXT"/>
    <x v="98"/>
    <x v="9"/>
    <n v="2821"/>
    <n v="91896"/>
    <n v="3.07"/>
    <s v="DQS_MAO04_FILE_000_B"/>
    <s v="RECORD COUNT by MBR_ID, DOS_THRU_DT, DX_CD Grain grouped by PAYER, SRC_FILE_NM, DOS_THRU_YYYYMM"/>
  </r>
  <r>
    <x v="1"/>
    <s v="FFV.MA_MAO004.MERCYOK.1214771.20250827.131304584.TXT"/>
    <x v="99"/>
    <x v="9"/>
    <n v="3338"/>
    <n v="91896"/>
    <n v="3.63"/>
    <s v="DQS_MAO04_FILE_000_B"/>
    <s v="RECORD COUNT by MBR_ID, DOS_THRU_DT, DX_CD Grain grouped by PAYER, SRC_FILE_NM, DOS_THRU_YYYYMM"/>
  </r>
  <r>
    <x v="1"/>
    <s v="FFV.MA_MAO004.MERCYOK.1214771.20250827.131304584.TXT"/>
    <x v="100"/>
    <x v="9"/>
    <n v="3071"/>
    <n v="91896"/>
    <n v="3.34"/>
    <s v="DQS_MAO04_FILE_000_B"/>
    <s v="RECORD COUNT by MBR_ID, DOS_THRU_DT, DX_CD Grain grouped by PAYER, SRC_FILE_NM, DOS_THRU_YYYYMM"/>
  </r>
  <r>
    <x v="1"/>
    <s v="FFV.MA_MAO004.MERCYOK.1214771.20250827.131304584.TXT"/>
    <x v="102"/>
    <x v="9"/>
    <n v="2718"/>
    <n v="91896"/>
    <n v="2.96"/>
    <s v="DQS_MAO04_FILE_000_B"/>
    <s v="RECORD COUNT by MBR_ID, DOS_THRU_DT, DX_CD Grain grouped by PAYER, SRC_FILE_NM, DOS_THRU_YYYYMM"/>
  </r>
  <r>
    <x v="1"/>
    <s v="FFV.MA_MAO004.MERCYOK.1214771.20250827.131304584.TXT"/>
    <x v="103"/>
    <x v="9"/>
    <n v="2745"/>
    <n v="91896"/>
    <n v="2.99"/>
    <s v="DQS_MAO04_FILE_000_B"/>
    <s v="RECORD COUNT by MBR_ID, DOS_THRU_DT, DX_CD Grain grouped by PAYER, SRC_FILE_NM, DOS_THRU_YYYYMM"/>
  </r>
  <r>
    <x v="1"/>
    <s v="FFV.MA_MAO004.MERCYOK.1214771.20250827.131304584.TXT"/>
    <x v="105"/>
    <x v="9"/>
    <n v="2861"/>
    <n v="91896"/>
    <n v="3.11"/>
    <s v="DQS_MAO04_FILE_000_B"/>
    <s v="RECORD COUNT by MBR_ID, DOS_THRU_DT, DX_CD Grain grouped by PAYER, SRC_FILE_NM, DOS_THRU_YYYYMM"/>
  </r>
  <r>
    <x v="1"/>
    <s v="FFV.MA_MAO004.MERCYOK.1214771.20250827.131304584.TXT"/>
    <x v="106"/>
    <x v="9"/>
    <n v="2991"/>
    <n v="91896"/>
    <n v="3.25"/>
    <s v="DQS_MAO04_FILE_000_B"/>
    <s v="RECORD COUNT by MBR_ID, DOS_THRU_DT, DX_CD Grain grouped by PAYER, SRC_FILE_NM, DOS_THRU_YYYYMM"/>
  </r>
  <r>
    <x v="1"/>
    <s v="FFV.MA_MAO004.MERCYOK.1214771.20250827.131304584.TXT"/>
    <x v="107"/>
    <x v="9"/>
    <n v="3247"/>
    <n v="91896"/>
    <n v="3.53"/>
    <s v="DQS_MAO04_FILE_000_B"/>
    <s v="RECORD COUNT by MBR_ID, DOS_THRU_DT, DX_CD Grain grouped by PAYER, SRC_FILE_NM, DOS_THRU_YYYYMM"/>
  </r>
  <r>
    <x v="1"/>
    <s v="FFV.MA_MAO004.MERCYOK.1214771.20250827.131304584.TXT"/>
    <x v="108"/>
    <x v="9"/>
    <n v="3006"/>
    <n v="91896"/>
    <n v="3.27"/>
    <s v="DQS_MAO04_FILE_000_B"/>
    <s v="RECORD COUNT by MBR_ID, DOS_THRU_DT, DX_CD Grain grouped by PAYER, SRC_FILE_NM, DOS_THRU_YYYYMM"/>
  </r>
  <r>
    <x v="1"/>
    <s v="FFV.MA_MAO004.MERCYOK.1214771.20250827.131304584.TXT"/>
    <x v="109"/>
    <x v="9"/>
    <n v="3082"/>
    <n v="91896"/>
    <n v="3.35"/>
    <s v="DQS_MAO04_FILE_000_B"/>
    <s v="RECORD COUNT by MBR_ID, DOS_THRU_DT, DX_CD Grain grouped by PAYER, SRC_FILE_NM, DOS_THRU_YYYYMM"/>
  </r>
  <r>
    <x v="1"/>
    <s v="FFV.MA_MAO004.MERCYOK.1214771.20250827.131304584.TXT"/>
    <x v="110"/>
    <x v="11"/>
    <n v="5120"/>
    <n v="91896"/>
    <n v="5.57"/>
    <s v="DQS_MAO04_FILE_000_B"/>
    <s v="RECORD COUNT by MBR_ID, DOS_THRU_DT, DX_CD Grain grouped by PAYER, SRC_FILE_NM, DOS_THRU_YYYYMM"/>
  </r>
  <r>
    <x v="1"/>
    <s v="FFV.MA_MAO004.MERCYOK.1214771.20250827.131304584.TXT"/>
    <x v="111"/>
    <x v="11"/>
    <n v="4961"/>
    <n v="91896"/>
    <n v="5.4"/>
    <s v="DQS_MAO04_FILE_000_B"/>
    <s v="RECORD COUNT by MBR_ID, DOS_THRU_DT, DX_CD Grain grouped by PAYER, SRC_FILE_NM, DOS_THRU_YYYYMM"/>
  </r>
  <r>
    <x v="1"/>
    <s v="FFV.MA_MAO004.MERCYOK.1214771.20250827.131304584.TXT"/>
    <x v="112"/>
    <x v="11"/>
    <n v="5348"/>
    <n v="91896"/>
    <n v="5.82"/>
    <s v="DQS_MAO04_FILE_000_B"/>
    <s v="RECORD COUNT by MBR_ID, DOS_THRU_DT, DX_CD Grain grouped by PAYER, SRC_FILE_NM, DOS_THRU_YYYYMM"/>
  </r>
  <r>
    <x v="1"/>
    <s v="FFV.MA_MAO004.MERCYOK.1214771.20250827.131304584.TXT"/>
    <x v="113"/>
    <x v="11"/>
    <n v="5046"/>
    <n v="91896"/>
    <n v="5.49"/>
    <s v="DQS_MAO04_FILE_000_B"/>
    <s v="RECORD COUNT by MBR_ID, DOS_THRU_DT, DX_CD Grain grouped by PAYER, SRC_FILE_NM, DOS_THRU_YYYYMM"/>
  </r>
  <r>
    <x v="1"/>
    <s v="FFV.MA_MAO004.MERCYOK.1214771.20250827.131304584.TXT"/>
    <x v="114"/>
    <x v="11"/>
    <n v="5142"/>
    <n v="91896"/>
    <n v="5.6"/>
    <s v="DQS_MAO04_FILE_000_B"/>
    <s v="RECORD COUNT by MBR_ID, DOS_THRU_DT, DX_CD Grain grouped by PAYER, SRC_FILE_NM, DOS_THRU_YYYYMM"/>
  </r>
  <r>
    <x v="1"/>
    <s v="FFV.MA_MAO004.MERCYOK.1214771.20250827.131304584.TXT"/>
    <x v="115"/>
    <x v="11"/>
    <n v="4176"/>
    <n v="91896"/>
    <n v="4.54"/>
    <s v="DQS_MAO04_FILE_000_B"/>
    <s v="RECORD COUNT by MBR_ID, DOS_THRU_DT, DX_CD Grain grouped by PAYER, SRC_FILE_NM, DOS_THRU_YYYYMM"/>
  </r>
  <r>
    <x v="1"/>
    <s v="FFV.MA_MAO004.MERCYOK.1214771.20250827.131304584.TXT"/>
    <x v="116"/>
    <x v="11"/>
    <n v="413"/>
    <n v="91896"/>
    <n v="0.45"/>
    <s v="DQS_MAO04_FILE_000_B"/>
    <s v="RECORD COUNT by MBR_ID, DOS_THRU_DT, DX_CD Grain grouped by PAYER, SRC_FILE_NM, DOS_THRU_YYYYMM"/>
  </r>
  <r>
    <x v="1"/>
    <s v="FFV.MA_MAO004.MERCYOK.1214771.20250926.113235750.TXT"/>
    <x v="77"/>
    <x v="8"/>
    <n v="1702"/>
    <n v="99088"/>
    <n v="1.72"/>
    <s v="DQS_MAO04_FILE_000_B"/>
    <s v="RECORD COUNT by MBR_ID, DOS_THRU_DT, DX_CD Grain grouped by PAYER, SRC_FILE_NM, DOS_THRU_YYYYMM"/>
  </r>
  <r>
    <x v="1"/>
    <s v="FFV.MA_MAO004.MERCYOK.1214771.20250926.113235750.TXT"/>
    <x v="78"/>
    <x v="8"/>
    <n v="2187"/>
    <n v="99088"/>
    <n v="2.21"/>
    <s v="DQS_MAO04_FILE_000_B"/>
    <s v="RECORD COUNT by MBR_ID, DOS_THRU_DT, DX_CD Grain grouped by PAYER, SRC_FILE_NM, DOS_THRU_YYYYMM"/>
  </r>
  <r>
    <x v="1"/>
    <s v="FFV.MA_MAO004.MERCYOK.1214771.20250926.113235750.TXT"/>
    <x v="79"/>
    <x v="8"/>
    <n v="2360"/>
    <n v="99088"/>
    <n v="2.38"/>
    <s v="DQS_MAO04_FILE_000_B"/>
    <s v="RECORD COUNT by MBR_ID, DOS_THRU_DT, DX_CD Grain grouped by PAYER, SRC_FILE_NM, DOS_THRU_YYYYMM"/>
  </r>
  <r>
    <x v="1"/>
    <s v="FFV.MA_MAO004.MERCYOK.1214771.20250926.113235750.TXT"/>
    <x v="80"/>
    <x v="8"/>
    <n v="2187"/>
    <n v="99088"/>
    <n v="2.21"/>
    <s v="DQS_MAO04_FILE_000_B"/>
    <s v="RECORD COUNT by MBR_ID, DOS_THRU_DT, DX_CD Grain grouped by PAYER, SRC_FILE_NM, DOS_THRU_YYYYMM"/>
  </r>
  <r>
    <x v="1"/>
    <s v="FFV.MA_MAO004.MERCYOK.1214771.20250926.113235750.TXT"/>
    <x v="81"/>
    <x v="8"/>
    <n v="1992"/>
    <n v="99088"/>
    <n v="2.0099999999999998"/>
    <s v="DQS_MAO04_FILE_000_B"/>
    <s v="RECORD COUNT by MBR_ID, DOS_THRU_DT, DX_CD Grain grouped by PAYER, SRC_FILE_NM, DOS_THRU_YYYYMM"/>
  </r>
  <r>
    <x v="1"/>
    <s v="FFV.MA_MAO004.MERCYOK.1214771.20250926.113235750.TXT"/>
    <x v="82"/>
    <x v="8"/>
    <n v="2338"/>
    <n v="99088"/>
    <n v="2.36"/>
    <s v="DQS_MAO04_FILE_000_B"/>
    <s v="RECORD COUNT by MBR_ID, DOS_THRU_DT, DX_CD Grain grouped by PAYER, SRC_FILE_NM, DOS_THRU_YYYYMM"/>
  </r>
  <r>
    <x v="1"/>
    <s v="FFV.MA_MAO004.MERCYOK.1214771.20250926.113235750.TXT"/>
    <x v="83"/>
    <x v="8"/>
    <n v="2144"/>
    <n v="99088"/>
    <n v="2.16"/>
    <s v="DQS_MAO04_FILE_000_B"/>
    <s v="RECORD COUNT by MBR_ID, DOS_THRU_DT, DX_CD Grain grouped by PAYER, SRC_FILE_NM, DOS_THRU_YYYYMM"/>
  </r>
  <r>
    <x v="1"/>
    <s v="FFV.MA_MAO004.MERCYOK.1214771.20250926.113235750.TXT"/>
    <x v="84"/>
    <x v="8"/>
    <n v="2010"/>
    <n v="99088"/>
    <n v="2.0299999999999998"/>
    <s v="DQS_MAO04_FILE_000_B"/>
    <s v="RECORD COUNT by MBR_ID, DOS_THRU_DT, DX_CD Grain grouped by PAYER, SRC_FILE_NM, DOS_THRU_YYYYMM"/>
  </r>
  <r>
    <x v="1"/>
    <s v="FFV.MA_MAO004.MERCYOK.1214771.20250926.113235750.TXT"/>
    <x v="85"/>
    <x v="8"/>
    <n v="1917"/>
    <n v="99088"/>
    <n v="1.93"/>
    <s v="DQS_MAO04_FILE_000_B"/>
    <s v="RECORD COUNT by MBR_ID, DOS_THRU_DT, DX_CD Grain grouped by PAYER, SRC_FILE_NM, DOS_THRU_YYYYMM"/>
  </r>
  <r>
    <x v="1"/>
    <s v="FFV.MA_MAO004.MERCYOK.1214771.20250926.113235750.TXT"/>
    <x v="86"/>
    <x v="8"/>
    <n v="1825"/>
    <n v="99088"/>
    <n v="1.84"/>
    <s v="DQS_MAO04_FILE_000_B"/>
    <s v="RECORD COUNT by MBR_ID, DOS_THRU_DT, DX_CD Grain grouped by PAYER, SRC_FILE_NM, DOS_THRU_YYYYMM"/>
  </r>
  <r>
    <x v="1"/>
    <s v="FFV.MA_MAO004.MERCYOK.1214771.20250926.113235750.TXT"/>
    <x v="87"/>
    <x v="8"/>
    <n v="2356"/>
    <n v="99088"/>
    <n v="2.38"/>
    <s v="DQS_MAO04_FILE_000_B"/>
    <s v="RECORD COUNT by MBR_ID, DOS_THRU_DT, DX_CD Grain grouped by PAYER, SRC_FILE_NM, DOS_THRU_YYYYMM"/>
  </r>
  <r>
    <x v="1"/>
    <s v="FFV.MA_MAO004.MERCYOK.1214771.20250926.113235750.TXT"/>
    <x v="88"/>
    <x v="8"/>
    <n v="2132"/>
    <n v="99088"/>
    <n v="2.15"/>
    <s v="DQS_MAO04_FILE_000_B"/>
    <s v="RECORD COUNT by MBR_ID, DOS_THRU_DT, DX_CD Grain grouped by PAYER, SRC_FILE_NM, DOS_THRU_YYYYMM"/>
  </r>
  <r>
    <x v="1"/>
    <s v="FFV.MA_MAO004.MERCYOK.1214771.20250926.113235750.TXT"/>
    <x v="89"/>
    <x v="9"/>
    <n v="2404"/>
    <n v="99088"/>
    <n v="2.4300000000000002"/>
    <s v="DQS_MAO04_FILE_000_B"/>
    <s v="RECORD COUNT by MBR_ID, DOS_THRU_DT, DX_CD Grain grouped by PAYER, SRC_FILE_NM, DOS_THRU_YYYYMM"/>
  </r>
  <r>
    <x v="1"/>
    <s v="FFV.MA_MAO004.MERCYOK.1214771.20250926.113235750.TXT"/>
    <x v="97"/>
    <x v="9"/>
    <n v="3300"/>
    <n v="99088"/>
    <n v="3.33"/>
    <s v="DQS_MAO04_FILE_000_B"/>
    <s v="RECORD COUNT by MBR_ID, DOS_THRU_DT, DX_CD Grain grouped by PAYER, SRC_FILE_NM, DOS_THRU_YYYYMM"/>
  </r>
  <r>
    <x v="1"/>
    <s v="FFV.MA_MAO004.MERCYOK.1214771.20250926.113235750.TXT"/>
    <x v="98"/>
    <x v="9"/>
    <n v="2937"/>
    <n v="99088"/>
    <n v="2.96"/>
    <s v="DQS_MAO04_FILE_000_B"/>
    <s v="RECORD COUNT by MBR_ID, DOS_THRU_DT, DX_CD Grain grouped by PAYER, SRC_FILE_NM, DOS_THRU_YYYYMM"/>
  </r>
  <r>
    <x v="1"/>
    <s v="FFV.MA_MAO004.MERCYOK.1214771.20250926.113235750.TXT"/>
    <x v="99"/>
    <x v="9"/>
    <n v="3383"/>
    <n v="99088"/>
    <n v="3.41"/>
    <s v="DQS_MAO04_FILE_000_B"/>
    <s v="RECORD COUNT by MBR_ID, DOS_THRU_DT, DX_CD Grain grouped by PAYER, SRC_FILE_NM, DOS_THRU_YYYYMM"/>
  </r>
  <r>
    <x v="1"/>
    <s v="FFV.MA_MAO004.MERCYOK.1214771.20250926.113235750.TXT"/>
    <x v="100"/>
    <x v="9"/>
    <n v="3114"/>
    <n v="99088"/>
    <n v="3.14"/>
    <s v="DQS_MAO04_FILE_000_B"/>
    <s v="RECORD COUNT by MBR_ID, DOS_THRU_DT, DX_CD Grain grouped by PAYER, SRC_FILE_NM, DOS_THRU_YYYYMM"/>
  </r>
  <r>
    <x v="1"/>
    <s v="FFV.MA_MAO004.MERCYOK.1214771.20250926.113235750.TXT"/>
    <x v="102"/>
    <x v="9"/>
    <n v="2728"/>
    <n v="99088"/>
    <n v="2.75"/>
    <s v="DQS_MAO04_FILE_000_B"/>
    <s v="RECORD COUNT by MBR_ID, DOS_THRU_DT, DX_CD Grain grouped by PAYER, SRC_FILE_NM, DOS_THRU_YYYYMM"/>
  </r>
  <r>
    <x v="1"/>
    <s v="FFV.MA_MAO004.MERCYOK.1214771.20250926.113235750.TXT"/>
    <x v="103"/>
    <x v="9"/>
    <n v="2731"/>
    <n v="99088"/>
    <n v="2.76"/>
    <s v="DQS_MAO04_FILE_000_B"/>
    <s v="RECORD COUNT by MBR_ID, DOS_THRU_DT, DX_CD Grain grouped by PAYER, SRC_FILE_NM, DOS_THRU_YYYYMM"/>
  </r>
  <r>
    <x v="1"/>
    <s v="FFV.MA_MAO004.MERCYOK.1214771.20250926.113235750.TXT"/>
    <x v="105"/>
    <x v="9"/>
    <n v="2951"/>
    <n v="99088"/>
    <n v="2.98"/>
    <s v="DQS_MAO04_FILE_000_B"/>
    <s v="RECORD COUNT by MBR_ID, DOS_THRU_DT, DX_CD Grain grouped by PAYER, SRC_FILE_NM, DOS_THRU_YYYYMM"/>
  </r>
  <r>
    <x v="1"/>
    <s v="FFV.MA_MAO004.MERCYOK.1214771.20250926.113235750.TXT"/>
    <x v="106"/>
    <x v="9"/>
    <n v="3062"/>
    <n v="99088"/>
    <n v="3.09"/>
    <s v="DQS_MAO04_FILE_000_B"/>
    <s v="RECORD COUNT by MBR_ID, DOS_THRU_DT, DX_CD Grain grouped by PAYER, SRC_FILE_NM, DOS_THRU_YYYYMM"/>
  </r>
  <r>
    <x v="1"/>
    <s v="FFV.MA_MAO004.MERCYOK.1214771.20250926.113235750.TXT"/>
    <x v="107"/>
    <x v="9"/>
    <n v="3471"/>
    <n v="99088"/>
    <n v="3.5"/>
    <s v="DQS_MAO04_FILE_000_B"/>
    <s v="RECORD COUNT by MBR_ID, DOS_THRU_DT, DX_CD Grain grouped by PAYER, SRC_FILE_NM, DOS_THRU_YYYYMM"/>
  </r>
  <r>
    <x v="1"/>
    <s v="FFV.MA_MAO004.MERCYOK.1214771.20250926.113235750.TXT"/>
    <x v="108"/>
    <x v="9"/>
    <n v="3090"/>
    <n v="99088"/>
    <n v="3.12"/>
    <s v="DQS_MAO04_FILE_000_B"/>
    <s v="RECORD COUNT by MBR_ID, DOS_THRU_DT, DX_CD Grain grouped by PAYER, SRC_FILE_NM, DOS_THRU_YYYYMM"/>
  </r>
  <r>
    <x v="1"/>
    <s v="FFV.MA_MAO004.MERCYOK.1214771.20250926.113235750.TXT"/>
    <x v="109"/>
    <x v="9"/>
    <n v="3165"/>
    <n v="99088"/>
    <n v="3.19"/>
    <s v="DQS_MAO04_FILE_000_B"/>
    <s v="RECORD COUNT by MBR_ID, DOS_THRU_DT, DX_CD Grain grouped by PAYER, SRC_FILE_NM, DOS_THRU_YYYYMM"/>
  </r>
  <r>
    <x v="1"/>
    <s v="FFV.MA_MAO004.MERCYOK.1214771.20250926.113235750.TXT"/>
    <x v="110"/>
    <x v="11"/>
    <n v="5318"/>
    <n v="99088"/>
    <n v="5.37"/>
    <s v="DQS_MAO04_FILE_000_B"/>
    <s v="RECORD COUNT by MBR_ID, DOS_THRU_DT, DX_CD Grain grouped by PAYER, SRC_FILE_NM, DOS_THRU_YYYYMM"/>
  </r>
  <r>
    <x v="1"/>
    <s v="FFV.MA_MAO004.MERCYOK.1214771.20250926.113235750.TXT"/>
    <x v="111"/>
    <x v="11"/>
    <n v="5090"/>
    <n v="99088"/>
    <n v="5.14"/>
    <s v="DQS_MAO04_FILE_000_B"/>
    <s v="RECORD COUNT by MBR_ID, DOS_THRU_DT, DX_CD Grain grouped by PAYER, SRC_FILE_NM, DOS_THRU_YYYYMM"/>
  </r>
  <r>
    <x v="1"/>
    <s v="FFV.MA_MAO004.MERCYOK.1214771.20250926.113235750.TXT"/>
    <x v="112"/>
    <x v="11"/>
    <n v="5428"/>
    <n v="99088"/>
    <n v="5.48"/>
    <s v="DQS_MAO04_FILE_000_B"/>
    <s v="RECORD COUNT by MBR_ID, DOS_THRU_DT, DX_CD Grain grouped by PAYER, SRC_FILE_NM, DOS_THRU_YYYYMM"/>
  </r>
  <r>
    <x v="1"/>
    <s v="FFV.MA_MAO004.MERCYOK.1214771.20250926.113235750.TXT"/>
    <x v="113"/>
    <x v="11"/>
    <n v="5130"/>
    <n v="99088"/>
    <n v="5.18"/>
    <s v="DQS_MAO04_FILE_000_B"/>
    <s v="RECORD COUNT by MBR_ID, DOS_THRU_DT, DX_CD Grain grouped by PAYER, SRC_FILE_NM, DOS_THRU_YYYYMM"/>
  </r>
  <r>
    <x v="1"/>
    <s v="FFV.MA_MAO004.MERCYOK.1214771.20250926.113235750.TXT"/>
    <x v="114"/>
    <x v="11"/>
    <n v="5256"/>
    <n v="99088"/>
    <n v="5.3"/>
    <s v="DQS_MAO04_FILE_000_B"/>
    <s v="RECORD COUNT by MBR_ID, DOS_THRU_DT, DX_CD Grain grouped by PAYER, SRC_FILE_NM, DOS_THRU_YYYYMM"/>
  </r>
  <r>
    <x v="1"/>
    <s v="FFV.MA_MAO004.MERCYOK.1214771.20250926.113235750.TXT"/>
    <x v="115"/>
    <x v="11"/>
    <n v="4326"/>
    <n v="99088"/>
    <n v="4.37"/>
    <s v="DQS_MAO04_FILE_000_B"/>
    <s v="RECORD COUNT by MBR_ID, DOS_THRU_DT, DX_CD Grain grouped by PAYER, SRC_FILE_NM, DOS_THRU_YYYYMM"/>
  </r>
  <r>
    <x v="1"/>
    <s v="FFV.MA_MAO004.MERCYOK.1214771.20250926.113235750.TXT"/>
    <x v="116"/>
    <x v="11"/>
    <n v="4919"/>
    <n v="99088"/>
    <n v="4.96"/>
    <s v="DQS_MAO04_FILE_000_B"/>
    <s v="RECORD COUNT by MBR_ID, DOS_THRU_DT, DX_CD Grain grouped by PAYER, SRC_FILE_NM, DOS_THRU_YYYYMM"/>
  </r>
  <r>
    <x v="1"/>
    <s v="FFV.MA_MAO004.MERCYOK.1214771.20250926.113235750.TXT"/>
    <x v="117"/>
    <x v="11"/>
    <n v="2135"/>
    <n v="99088"/>
    <n v="2.15"/>
    <s v="DQS_MAO04_FILE_000_B"/>
    <s v="RECORD COUNT by MBR_ID, DOS_THRU_DT, DX_CD Grain grouped by PAYER, SRC_FILE_NM, DOS_THRU_YYYYMM"/>
  </r>
  <r>
    <x v="1"/>
    <s v="FFV.MA_MAO004.MERCYOK.1214771.20251028.232935805.TXT"/>
    <x v="77"/>
    <x v="8"/>
    <n v="1665"/>
    <n v="99481"/>
    <n v="1.67"/>
    <s v="DQS_MAO04_FILE_000_B"/>
    <s v="RECORD COUNT by MBR_ID, DOS_THRU_DT, DX_CD Grain grouped by PAYER, SRC_FILE_NM, DOS_THRU_YYYYMM"/>
  </r>
  <r>
    <x v="1"/>
    <s v="FFV.MA_MAO004.MERCYOK.1214771.20251028.232935805.TXT"/>
    <x v="78"/>
    <x v="8"/>
    <n v="2141"/>
    <n v="99481"/>
    <n v="2.15"/>
    <s v="DQS_MAO04_FILE_000_B"/>
    <s v="RECORD COUNT by MBR_ID, DOS_THRU_DT, DX_CD Grain grouped by PAYER, SRC_FILE_NM, DOS_THRU_YYYYMM"/>
  </r>
  <r>
    <x v="1"/>
    <s v="FFV.MA_MAO004.MERCYOK.1214771.20251028.232935805.TXT"/>
    <x v="79"/>
    <x v="8"/>
    <n v="2186"/>
    <n v="99481"/>
    <n v="2.2000000000000002"/>
    <s v="DQS_MAO04_FILE_000_B"/>
    <s v="RECORD COUNT by MBR_ID, DOS_THRU_DT, DX_CD Grain grouped by PAYER, SRC_FILE_NM, DOS_THRU_YYYYMM"/>
  </r>
  <r>
    <x v="1"/>
    <s v="FFV.MA_MAO004.MERCYOK.1214771.20251028.232935805.TXT"/>
    <x v="80"/>
    <x v="8"/>
    <n v="2015"/>
    <n v="99481"/>
    <n v="2.0299999999999998"/>
    <s v="DQS_MAO04_FILE_000_B"/>
    <s v="RECORD COUNT by MBR_ID, DOS_THRU_DT, DX_CD Grain grouped by PAYER, SRC_FILE_NM, DOS_THRU_YYYYMM"/>
  </r>
  <r>
    <x v="1"/>
    <s v="FFV.MA_MAO004.MERCYOK.1214771.20251028.232935805.TXT"/>
    <x v="81"/>
    <x v="8"/>
    <n v="1875"/>
    <n v="99481"/>
    <n v="1.88"/>
    <s v="DQS_MAO04_FILE_000_B"/>
    <s v="RECORD COUNT by MBR_ID, DOS_THRU_DT, DX_CD Grain grouped by PAYER, SRC_FILE_NM, DOS_THRU_YYYYMM"/>
  </r>
  <r>
    <x v="1"/>
    <s v="FFV.MA_MAO004.MERCYOK.1214771.20251028.232935805.TXT"/>
    <x v="82"/>
    <x v="8"/>
    <n v="2219"/>
    <n v="99481"/>
    <n v="2.23"/>
    <s v="DQS_MAO04_FILE_000_B"/>
    <s v="RECORD COUNT by MBR_ID, DOS_THRU_DT, DX_CD Grain grouped by PAYER, SRC_FILE_NM, DOS_THRU_YYYYMM"/>
  </r>
  <r>
    <x v="1"/>
    <s v="FFV.MA_MAO004.MERCYOK.1214771.20251028.232935805.TXT"/>
    <x v="83"/>
    <x v="8"/>
    <n v="2000"/>
    <n v="99481"/>
    <n v="2.0099999999999998"/>
    <s v="DQS_MAO04_FILE_000_B"/>
    <s v="RECORD COUNT by MBR_ID, DOS_THRU_DT, DX_CD Grain grouped by PAYER, SRC_FILE_NM, DOS_THRU_YYYYMM"/>
  </r>
  <r>
    <x v="1"/>
    <s v="FFV.MA_MAO004.MERCYOK.1214771.20251028.232935805.TXT"/>
    <x v="84"/>
    <x v="8"/>
    <n v="1943"/>
    <n v="99481"/>
    <n v="1.95"/>
    <s v="DQS_MAO04_FILE_000_B"/>
    <s v="RECORD COUNT by MBR_ID, DOS_THRU_DT, DX_CD Grain grouped by PAYER, SRC_FILE_NM, DOS_THRU_YYYYMM"/>
  </r>
  <r>
    <x v="1"/>
    <s v="FFV.MA_MAO004.MERCYOK.1214771.20251028.232935805.TXT"/>
    <x v="85"/>
    <x v="8"/>
    <n v="1849"/>
    <n v="99481"/>
    <n v="1.86"/>
    <s v="DQS_MAO04_FILE_000_B"/>
    <s v="RECORD COUNT by MBR_ID, DOS_THRU_DT, DX_CD Grain grouped by PAYER, SRC_FILE_NM, DOS_THRU_YYYYMM"/>
  </r>
  <r>
    <x v="1"/>
    <s v="FFV.MA_MAO004.MERCYOK.1214771.20251028.232935805.TXT"/>
    <x v="86"/>
    <x v="8"/>
    <n v="1767"/>
    <n v="99481"/>
    <n v="1.78"/>
    <s v="DQS_MAO04_FILE_000_B"/>
    <s v="RECORD COUNT by MBR_ID, DOS_THRU_DT, DX_CD Grain grouped by PAYER, SRC_FILE_NM, DOS_THRU_YYYYMM"/>
  </r>
  <r>
    <x v="1"/>
    <s v="FFV.MA_MAO004.MERCYOK.1214771.20251028.232935805.TXT"/>
    <x v="87"/>
    <x v="8"/>
    <n v="2314"/>
    <n v="99481"/>
    <n v="2.33"/>
    <s v="DQS_MAO04_FILE_000_B"/>
    <s v="RECORD COUNT by MBR_ID, DOS_THRU_DT, DX_CD Grain grouped by PAYER, SRC_FILE_NM, DOS_THRU_YYYYMM"/>
  </r>
  <r>
    <x v="1"/>
    <s v="FFV.MA_MAO004.MERCYOK.1214771.20251028.232935805.TXT"/>
    <x v="88"/>
    <x v="8"/>
    <n v="2068"/>
    <n v="99481"/>
    <n v="2.08"/>
    <s v="DQS_MAO04_FILE_000_B"/>
    <s v="RECORD COUNT by MBR_ID, DOS_THRU_DT, DX_CD Grain grouped by PAYER, SRC_FILE_NM, DOS_THRU_YYYYMM"/>
  </r>
  <r>
    <x v="1"/>
    <s v="FFV.MA_MAO004.MERCYOK.1214771.20251028.232935805.TXT"/>
    <x v="89"/>
    <x v="9"/>
    <n v="2325"/>
    <n v="99481"/>
    <n v="2.34"/>
    <s v="DQS_MAO04_FILE_000_B"/>
    <s v="RECORD COUNT by MBR_ID, DOS_THRU_DT, DX_CD Grain grouped by PAYER, SRC_FILE_NM, DOS_THRU_YYYYMM"/>
  </r>
  <r>
    <x v="1"/>
    <s v="FFV.MA_MAO004.MERCYOK.1214771.20251028.232935805.TXT"/>
    <x v="97"/>
    <x v="9"/>
    <n v="3210"/>
    <n v="99481"/>
    <n v="3.23"/>
    <s v="DQS_MAO04_FILE_000_B"/>
    <s v="RECORD COUNT by MBR_ID, DOS_THRU_DT, DX_CD Grain grouped by PAYER, SRC_FILE_NM, DOS_THRU_YYYYMM"/>
  </r>
  <r>
    <x v="1"/>
    <s v="FFV.MA_MAO004.MERCYOK.1214771.20251028.232935805.TXT"/>
    <x v="98"/>
    <x v="9"/>
    <n v="2896"/>
    <n v="99481"/>
    <n v="2.91"/>
    <s v="DQS_MAO04_FILE_000_B"/>
    <s v="RECORD COUNT by MBR_ID, DOS_THRU_DT, DX_CD Grain grouped by PAYER, SRC_FILE_NM, DOS_THRU_YYYYMM"/>
  </r>
  <r>
    <x v="1"/>
    <s v="FFV.MA_MAO004.MERCYOK.1214771.20251028.232935805.TXT"/>
    <x v="99"/>
    <x v="9"/>
    <n v="3225"/>
    <n v="99481"/>
    <n v="3.24"/>
    <s v="DQS_MAO04_FILE_000_B"/>
    <s v="RECORD COUNT by MBR_ID, DOS_THRU_DT, DX_CD Grain grouped by PAYER, SRC_FILE_NM, DOS_THRU_YYYYMM"/>
  </r>
  <r>
    <x v="1"/>
    <s v="FFV.MA_MAO004.MERCYOK.1214771.20251028.232935805.TXT"/>
    <x v="100"/>
    <x v="9"/>
    <n v="2942"/>
    <n v="99481"/>
    <n v="2.96"/>
    <s v="DQS_MAO04_FILE_000_B"/>
    <s v="RECORD COUNT by MBR_ID, DOS_THRU_DT, DX_CD Grain grouped by PAYER, SRC_FILE_NM, DOS_THRU_YYYYMM"/>
  </r>
  <r>
    <x v="1"/>
    <s v="FFV.MA_MAO004.MERCYOK.1214771.20251028.232935805.TXT"/>
    <x v="102"/>
    <x v="9"/>
    <n v="2652"/>
    <n v="99481"/>
    <n v="2.67"/>
    <s v="DQS_MAO04_FILE_000_B"/>
    <s v="RECORD COUNT by MBR_ID, DOS_THRU_DT, DX_CD Grain grouped by PAYER, SRC_FILE_NM, DOS_THRU_YYYYMM"/>
  </r>
  <r>
    <x v="1"/>
    <s v="FFV.MA_MAO004.MERCYOK.1214771.20251028.232935805.TXT"/>
    <x v="103"/>
    <x v="9"/>
    <n v="2568"/>
    <n v="99481"/>
    <n v="2.58"/>
    <s v="DQS_MAO04_FILE_000_B"/>
    <s v="RECORD COUNT by MBR_ID, DOS_THRU_DT, DX_CD Grain grouped by PAYER, SRC_FILE_NM, DOS_THRU_YYYYMM"/>
  </r>
  <r>
    <x v="1"/>
    <s v="FFV.MA_MAO004.MERCYOK.1214771.20251028.232935805.TXT"/>
    <x v="105"/>
    <x v="9"/>
    <n v="2776"/>
    <n v="99481"/>
    <n v="2.79"/>
    <s v="DQS_MAO04_FILE_000_B"/>
    <s v="RECORD COUNT by MBR_ID, DOS_THRU_DT, DX_CD Grain grouped by PAYER, SRC_FILE_NM, DOS_THRU_YYYYMM"/>
  </r>
  <r>
    <x v="1"/>
    <s v="FFV.MA_MAO004.MERCYOK.1214771.20251028.232935805.TXT"/>
    <x v="106"/>
    <x v="9"/>
    <n v="2963"/>
    <n v="99481"/>
    <n v="2.98"/>
    <s v="DQS_MAO04_FILE_000_B"/>
    <s v="RECORD COUNT by MBR_ID, DOS_THRU_DT, DX_CD Grain grouped by PAYER, SRC_FILE_NM, DOS_THRU_YYYYMM"/>
  </r>
  <r>
    <x v="1"/>
    <s v="FFV.MA_MAO004.MERCYOK.1214771.20251028.232935805.TXT"/>
    <x v="107"/>
    <x v="9"/>
    <n v="3363"/>
    <n v="99481"/>
    <n v="3.38"/>
    <s v="DQS_MAO04_FILE_000_B"/>
    <s v="RECORD COUNT by MBR_ID, DOS_THRU_DT, DX_CD Grain grouped by PAYER, SRC_FILE_NM, DOS_THRU_YYYYMM"/>
  </r>
  <r>
    <x v="1"/>
    <s v="FFV.MA_MAO004.MERCYOK.1214771.20251028.232935805.TXT"/>
    <x v="108"/>
    <x v="9"/>
    <n v="2930"/>
    <n v="99481"/>
    <n v="2.95"/>
    <s v="DQS_MAO04_FILE_000_B"/>
    <s v="RECORD COUNT by MBR_ID, DOS_THRU_DT, DX_CD Grain grouped by PAYER, SRC_FILE_NM, DOS_THRU_YYYYMM"/>
  </r>
  <r>
    <x v="1"/>
    <s v="FFV.MA_MAO004.MERCYOK.1214771.20251028.232935805.TXT"/>
    <x v="109"/>
    <x v="9"/>
    <n v="3099"/>
    <n v="99481"/>
    <n v="3.12"/>
    <s v="DQS_MAO04_FILE_000_B"/>
    <s v="RECORD COUNT by MBR_ID, DOS_THRU_DT, DX_CD Grain grouped by PAYER, SRC_FILE_NM, DOS_THRU_YYYYMM"/>
  </r>
  <r>
    <x v="1"/>
    <s v="FFV.MA_MAO004.MERCYOK.1214771.20251028.232935805.TXT"/>
    <x v="110"/>
    <x v="11"/>
    <n v="5014"/>
    <n v="99481"/>
    <n v="5.04"/>
    <s v="DQS_MAO04_FILE_000_B"/>
    <s v="RECORD COUNT by MBR_ID, DOS_THRU_DT, DX_CD Grain grouped by PAYER, SRC_FILE_NM, DOS_THRU_YYYYMM"/>
  </r>
  <r>
    <x v="1"/>
    <s v="FFV.MA_MAO004.MERCYOK.1214771.20251028.232935805.TXT"/>
    <x v="111"/>
    <x v="11"/>
    <n v="4887"/>
    <n v="99481"/>
    <n v="4.91"/>
    <s v="DQS_MAO04_FILE_000_B"/>
    <s v="RECORD COUNT by MBR_ID, DOS_THRU_DT, DX_CD Grain grouped by PAYER, SRC_FILE_NM, DOS_THRU_YYYYMM"/>
  </r>
  <r>
    <x v="1"/>
    <s v="FFV.MA_MAO004.MERCYOK.1214771.20251028.232935805.TXT"/>
    <x v="112"/>
    <x v="11"/>
    <n v="5260"/>
    <n v="99481"/>
    <n v="5.29"/>
    <s v="DQS_MAO04_FILE_000_B"/>
    <s v="RECORD COUNT by MBR_ID, DOS_THRU_DT, DX_CD Grain grouped by PAYER, SRC_FILE_NM, DOS_THRU_YYYYMM"/>
  </r>
  <r>
    <x v="1"/>
    <s v="FFV.MA_MAO004.MERCYOK.1214771.20251028.232935805.TXT"/>
    <x v="113"/>
    <x v="11"/>
    <n v="4940"/>
    <n v="99481"/>
    <n v="4.97"/>
    <s v="DQS_MAO04_FILE_000_B"/>
    <s v="RECORD COUNT by MBR_ID, DOS_THRU_DT, DX_CD Grain grouped by PAYER, SRC_FILE_NM, DOS_THRU_YYYYMM"/>
  </r>
  <r>
    <x v="1"/>
    <s v="FFV.MA_MAO004.MERCYOK.1214771.20251028.232935805.TXT"/>
    <x v="114"/>
    <x v="11"/>
    <n v="5101"/>
    <n v="99481"/>
    <n v="5.13"/>
    <s v="DQS_MAO04_FILE_000_B"/>
    <s v="RECORD COUNT by MBR_ID, DOS_THRU_DT, DX_CD Grain grouped by PAYER, SRC_FILE_NM, DOS_THRU_YYYYMM"/>
  </r>
  <r>
    <x v="1"/>
    <s v="FFV.MA_MAO004.MERCYOK.1214771.20251028.232935805.TXT"/>
    <x v="115"/>
    <x v="11"/>
    <n v="4202"/>
    <n v="99481"/>
    <n v="4.22"/>
    <s v="DQS_MAO04_FILE_000_B"/>
    <s v="RECORD COUNT by MBR_ID, DOS_THRU_DT, DX_CD Grain grouped by PAYER, SRC_FILE_NM, DOS_THRU_YYYYMM"/>
  </r>
  <r>
    <x v="1"/>
    <s v="FFV.MA_MAO004.MERCYOK.1214771.20251028.232935805.TXT"/>
    <x v="116"/>
    <x v="11"/>
    <n v="5116"/>
    <n v="99481"/>
    <n v="5.14"/>
    <s v="DQS_MAO04_FILE_000_B"/>
    <s v="RECORD COUNT by MBR_ID, DOS_THRU_DT, DX_CD Grain grouped by PAYER, SRC_FILE_NM, DOS_THRU_YYYYMM"/>
  </r>
  <r>
    <x v="1"/>
    <s v="FFV.MA_MAO004.MERCYOK.1214771.20251028.232935805.TXT"/>
    <x v="117"/>
    <x v="11"/>
    <n v="4130"/>
    <n v="99481"/>
    <n v="4.1500000000000004"/>
    <s v="DQS_MAO04_FILE_000_B"/>
    <s v="RECORD COUNT by MBR_ID, DOS_THRU_DT, DX_CD Grain grouped by PAYER, SRC_FILE_NM, DOS_THRU_YYYYMM"/>
  </r>
  <r>
    <x v="1"/>
    <s v="FFV.MA_MAO004.MERCYOK.1214771.20251028.232935805.TXT"/>
    <x v="118"/>
    <x v="11"/>
    <n v="1840"/>
    <n v="99481"/>
    <n v="1.85"/>
    <s v="DQS_MAO04_FILE_000_B"/>
    <s v="RECORD COUNT by MBR_ID, DOS_THRU_DT, DX_CD Grain grouped by PAYER, SRC_FILE_NM, DOS_THRU_YYYYMM"/>
  </r>
  <r>
    <x v="1"/>
    <s v="FFV.MA_MAO004.MERCYOK.1214771.20251124.151406883.TXT"/>
    <x v="77"/>
    <x v="8"/>
    <n v="1663"/>
    <n v="104716"/>
    <n v="1.59"/>
    <s v="DQS_MAO04_FILE_000_B"/>
    <s v="RECORD COUNT by MBR_ID, DOS_THRU_DT, DX_CD Grain grouped by PAYER, SRC_FILE_NM, DOS_THRU_YYYYMM"/>
  </r>
  <r>
    <x v="1"/>
    <s v="FFV.MA_MAO004.MERCYOK.1214771.20251124.151406883.TXT"/>
    <x v="78"/>
    <x v="8"/>
    <n v="2139"/>
    <n v="104716"/>
    <n v="2.04"/>
    <s v="DQS_MAO04_FILE_000_B"/>
    <s v="RECORD COUNT by MBR_ID, DOS_THRU_DT, DX_CD Grain grouped by PAYER, SRC_FILE_NM, DOS_THRU_YYYYMM"/>
  </r>
  <r>
    <x v="1"/>
    <s v="FFV.MA_MAO004.MERCYOK.1214771.20251124.151406883.TXT"/>
    <x v="79"/>
    <x v="8"/>
    <n v="2215"/>
    <n v="104716"/>
    <n v="2.12"/>
    <s v="DQS_MAO04_FILE_000_B"/>
    <s v="RECORD COUNT by MBR_ID, DOS_THRU_DT, DX_CD Grain grouped by PAYER, SRC_FILE_NM, DOS_THRU_YYYYMM"/>
  </r>
  <r>
    <x v="1"/>
    <s v="FFV.MA_MAO004.MERCYOK.1214771.20251124.151406883.TXT"/>
    <x v="80"/>
    <x v="8"/>
    <n v="2056"/>
    <n v="104716"/>
    <n v="1.96"/>
    <s v="DQS_MAO04_FILE_000_B"/>
    <s v="RECORD COUNT by MBR_ID, DOS_THRU_DT, DX_CD Grain grouped by PAYER, SRC_FILE_NM, DOS_THRU_YYYYMM"/>
  </r>
  <r>
    <x v="1"/>
    <s v="FFV.MA_MAO004.MERCYOK.1214771.20251124.151406883.TXT"/>
    <x v="81"/>
    <x v="8"/>
    <n v="1896"/>
    <n v="104716"/>
    <n v="1.81"/>
    <s v="DQS_MAO04_FILE_000_B"/>
    <s v="RECORD COUNT by MBR_ID, DOS_THRU_DT, DX_CD Grain grouped by PAYER, SRC_FILE_NM, DOS_THRU_YYYYMM"/>
  </r>
  <r>
    <x v="1"/>
    <s v="FFV.MA_MAO004.MERCYOK.1214771.20251124.151406883.TXT"/>
    <x v="82"/>
    <x v="8"/>
    <n v="2225"/>
    <n v="104716"/>
    <n v="2.12"/>
    <s v="DQS_MAO04_FILE_000_B"/>
    <s v="RECORD COUNT by MBR_ID, DOS_THRU_DT, DX_CD Grain grouped by PAYER, SRC_FILE_NM, DOS_THRU_YYYYMM"/>
  </r>
  <r>
    <x v="1"/>
    <s v="FFV.MA_MAO004.MERCYOK.1214771.20251124.151406883.TXT"/>
    <x v="83"/>
    <x v="8"/>
    <n v="2005"/>
    <n v="104716"/>
    <n v="1.91"/>
    <s v="DQS_MAO04_FILE_000_B"/>
    <s v="RECORD COUNT by MBR_ID, DOS_THRU_DT, DX_CD Grain grouped by PAYER, SRC_FILE_NM, DOS_THRU_YYYYMM"/>
  </r>
  <r>
    <x v="1"/>
    <s v="FFV.MA_MAO004.MERCYOK.1214771.20251124.151406883.TXT"/>
    <x v="84"/>
    <x v="8"/>
    <n v="1939"/>
    <n v="104716"/>
    <n v="1.85"/>
    <s v="DQS_MAO04_FILE_000_B"/>
    <s v="RECORD COUNT by MBR_ID, DOS_THRU_DT, DX_CD Grain grouped by PAYER, SRC_FILE_NM, DOS_THRU_YYYYMM"/>
  </r>
  <r>
    <x v="1"/>
    <s v="FFV.MA_MAO004.MERCYOK.1214771.20251124.151406883.TXT"/>
    <x v="85"/>
    <x v="8"/>
    <n v="1833"/>
    <n v="104716"/>
    <n v="1.75"/>
    <s v="DQS_MAO04_FILE_000_B"/>
    <s v="RECORD COUNT by MBR_ID, DOS_THRU_DT, DX_CD Grain grouped by PAYER, SRC_FILE_NM, DOS_THRU_YYYYMM"/>
  </r>
  <r>
    <x v="1"/>
    <s v="FFV.MA_MAO004.MERCYOK.1214771.20251124.151406883.TXT"/>
    <x v="86"/>
    <x v="8"/>
    <n v="1803"/>
    <n v="104716"/>
    <n v="1.72"/>
    <s v="DQS_MAO04_FILE_000_B"/>
    <s v="RECORD COUNT by MBR_ID, DOS_THRU_DT, DX_CD Grain grouped by PAYER, SRC_FILE_NM, DOS_THRU_YYYYMM"/>
  </r>
  <r>
    <x v="1"/>
    <s v="FFV.MA_MAO004.MERCYOK.1214771.20251124.151406883.TXT"/>
    <x v="87"/>
    <x v="8"/>
    <n v="2315"/>
    <n v="104716"/>
    <n v="2.21"/>
    <s v="DQS_MAO04_FILE_000_B"/>
    <s v="RECORD COUNT by MBR_ID, DOS_THRU_DT, DX_CD Grain grouped by PAYER, SRC_FILE_NM, DOS_THRU_YYYYMM"/>
  </r>
  <r>
    <x v="1"/>
    <s v="FFV.MA_MAO004.MERCYOK.1214771.20251124.151406883.TXT"/>
    <x v="88"/>
    <x v="8"/>
    <n v="2059"/>
    <n v="104716"/>
    <n v="1.97"/>
    <s v="DQS_MAO04_FILE_000_B"/>
    <s v="RECORD COUNT by MBR_ID, DOS_THRU_DT, DX_CD Grain grouped by PAYER, SRC_FILE_NM, DOS_THRU_YYYYMM"/>
  </r>
  <r>
    <x v="1"/>
    <s v="FFV.MA_MAO004.MERCYOK.1214771.20251124.151406883.TXT"/>
    <x v="89"/>
    <x v="9"/>
    <n v="2367"/>
    <n v="104716"/>
    <n v="2.2599999999999998"/>
    <s v="DQS_MAO04_FILE_000_B"/>
    <s v="RECORD COUNT by MBR_ID, DOS_THRU_DT, DX_CD Grain grouped by PAYER, SRC_FILE_NM, DOS_THRU_YYYYMM"/>
  </r>
  <r>
    <x v="1"/>
    <s v="FFV.MA_MAO004.MERCYOK.1214771.20251124.151406883.TXT"/>
    <x v="97"/>
    <x v="9"/>
    <n v="3202"/>
    <n v="104716"/>
    <n v="3.06"/>
    <s v="DQS_MAO04_FILE_000_B"/>
    <s v="RECORD COUNT by MBR_ID, DOS_THRU_DT, DX_CD Grain grouped by PAYER, SRC_FILE_NM, DOS_THRU_YYYYMM"/>
  </r>
  <r>
    <x v="1"/>
    <s v="FFV.MA_MAO004.MERCYOK.1214771.20251124.151406883.TXT"/>
    <x v="98"/>
    <x v="9"/>
    <n v="2878"/>
    <n v="104716"/>
    <n v="2.75"/>
    <s v="DQS_MAO04_FILE_000_B"/>
    <s v="RECORD COUNT by MBR_ID, DOS_THRU_DT, DX_CD Grain grouped by PAYER, SRC_FILE_NM, DOS_THRU_YYYYMM"/>
  </r>
  <r>
    <x v="1"/>
    <s v="FFV.MA_MAO004.MERCYOK.1214771.20251124.151406883.TXT"/>
    <x v="99"/>
    <x v="9"/>
    <n v="3206"/>
    <n v="104716"/>
    <n v="3.06"/>
    <s v="DQS_MAO04_FILE_000_B"/>
    <s v="RECORD COUNT by MBR_ID, DOS_THRU_DT, DX_CD Grain grouped by PAYER, SRC_FILE_NM, DOS_THRU_YYYYMM"/>
  </r>
  <r>
    <x v="1"/>
    <s v="FFV.MA_MAO004.MERCYOK.1214771.20251124.151406883.TXT"/>
    <x v="100"/>
    <x v="9"/>
    <n v="2932"/>
    <n v="104716"/>
    <n v="2.8"/>
    <s v="DQS_MAO04_FILE_000_B"/>
    <s v="RECORD COUNT by MBR_ID, DOS_THRU_DT, DX_CD Grain grouped by PAYER, SRC_FILE_NM, DOS_THRU_YYYYMM"/>
  </r>
  <r>
    <x v="1"/>
    <s v="FFV.MA_MAO004.MERCYOK.1214771.20251124.151406883.TXT"/>
    <x v="102"/>
    <x v="9"/>
    <n v="2647"/>
    <n v="104716"/>
    <n v="2.5299999999999998"/>
    <s v="DQS_MAO04_FILE_000_B"/>
    <s v="RECORD COUNT by MBR_ID, DOS_THRU_DT, DX_CD Grain grouped by PAYER, SRC_FILE_NM, DOS_THRU_YYYYMM"/>
  </r>
  <r>
    <x v="1"/>
    <s v="FFV.MA_MAO004.MERCYOK.1214771.20251124.151406883.TXT"/>
    <x v="103"/>
    <x v="9"/>
    <n v="2559"/>
    <n v="104716"/>
    <n v="2.44"/>
    <s v="DQS_MAO04_FILE_000_B"/>
    <s v="RECORD COUNT by MBR_ID, DOS_THRU_DT, DX_CD Grain grouped by PAYER, SRC_FILE_NM, DOS_THRU_YYYYMM"/>
  </r>
  <r>
    <x v="1"/>
    <s v="FFV.MA_MAO004.MERCYOK.1214771.20251124.151406883.TXT"/>
    <x v="105"/>
    <x v="9"/>
    <n v="2771"/>
    <n v="104716"/>
    <n v="2.65"/>
    <s v="DQS_MAO04_FILE_000_B"/>
    <s v="RECORD COUNT by MBR_ID, DOS_THRU_DT, DX_CD Grain grouped by PAYER, SRC_FILE_NM, DOS_THRU_YYYYMM"/>
  </r>
  <r>
    <x v="1"/>
    <s v="FFV.MA_MAO004.MERCYOK.1214771.20251124.151406883.TXT"/>
    <x v="106"/>
    <x v="9"/>
    <n v="2951"/>
    <n v="104716"/>
    <n v="2.82"/>
    <s v="DQS_MAO04_FILE_000_B"/>
    <s v="RECORD COUNT by MBR_ID, DOS_THRU_DT, DX_CD Grain grouped by PAYER, SRC_FILE_NM, DOS_THRU_YYYYMM"/>
  </r>
  <r>
    <x v="1"/>
    <s v="FFV.MA_MAO004.MERCYOK.1214771.20251124.151406883.TXT"/>
    <x v="107"/>
    <x v="9"/>
    <n v="3349"/>
    <n v="104716"/>
    <n v="3.2"/>
    <s v="DQS_MAO04_FILE_000_B"/>
    <s v="RECORD COUNT by MBR_ID, DOS_THRU_DT, DX_CD Grain grouped by PAYER, SRC_FILE_NM, DOS_THRU_YYYYMM"/>
  </r>
  <r>
    <x v="1"/>
    <s v="FFV.MA_MAO004.MERCYOK.1214771.20251124.151406883.TXT"/>
    <x v="108"/>
    <x v="9"/>
    <n v="2948"/>
    <n v="104716"/>
    <n v="2.82"/>
    <s v="DQS_MAO04_FILE_000_B"/>
    <s v="RECORD COUNT by MBR_ID, DOS_THRU_DT, DX_CD Grain grouped by PAYER, SRC_FILE_NM, DOS_THRU_YYYYMM"/>
  </r>
  <r>
    <x v="1"/>
    <s v="FFV.MA_MAO004.MERCYOK.1214771.20251124.151406883.TXT"/>
    <x v="109"/>
    <x v="9"/>
    <n v="3095"/>
    <n v="104716"/>
    <n v="2.96"/>
    <s v="DQS_MAO04_FILE_000_B"/>
    <s v="RECORD COUNT by MBR_ID, DOS_THRU_DT, DX_CD Grain grouped by PAYER, SRC_FILE_NM, DOS_THRU_YYYYMM"/>
  </r>
  <r>
    <x v="1"/>
    <s v="FFV.MA_MAO004.MERCYOK.1214771.20251124.151406883.TXT"/>
    <x v="110"/>
    <x v="11"/>
    <n v="5002"/>
    <n v="104716"/>
    <n v="4.78"/>
    <s v="DQS_MAO04_FILE_000_B"/>
    <s v="RECORD COUNT by MBR_ID, DOS_THRU_DT, DX_CD Grain grouped by PAYER, SRC_FILE_NM, DOS_THRU_YYYYMM"/>
  </r>
  <r>
    <x v="1"/>
    <s v="FFV.MA_MAO004.MERCYOK.1214771.20251124.151406883.TXT"/>
    <x v="111"/>
    <x v="11"/>
    <n v="4920"/>
    <n v="104716"/>
    <n v="4.7"/>
    <s v="DQS_MAO04_FILE_000_B"/>
    <s v="RECORD COUNT by MBR_ID, DOS_THRU_DT, DX_CD Grain grouped by PAYER, SRC_FILE_NM, DOS_THRU_YYYYMM"/>
  </r>
  <r>
    <x v="1"/>
    <s v="FFV.MA_MAO004.MERCYOK.1214771.20251124.151406883.TXT"/>
    <x v="112"/>
    <x v="11"/>
    <n v="5226"/>
    <n v="104716"/>
    <n v="4.99"/>
    <s v="DQS_MAO04_FILE_000_B"/>
    <s v="RECORD COUNT by MBR_ID, DOS_THRU_DT, DX_CD Grain grouped by PAYER, SRC_FILE_NM, DOS_THRU_YYYYMM"/>
  </r>
  <r>
    <x v="1"/>
    <s v="FFV.MA_MAO004.MERCYOK.1214771.20251124.151406883.TXT"/>
    <x v="113"/>
    <x v="11"/>
    <n v="4896"/>
    <n v="104716"/>
    <n v="4.68"/>
    <s v="DQS_MAO04_FILE_000_B"/>
    <s v="RECORD COUNT by MBR_ID, DOS_THRU_DT, DX_CD Grain grouped by PAYER, SRC_FILE_NM, DOS_THRU_YYYYMM"/>
  </r>
  <r>
    <x v="1"/>
    <s v="FFV.MA_MAO004.MERCYOK.1214771.20251124.151406883.TXT"/>
    <x v="114"/>
    <x v="11"/>
    <n v="5087"/>
    <n v="104716"/>
    <n v="4.8600000000000003"/>
    <s v="DQS_MAO04_FILE_000_B"/>
    <s v="RECORD COUNT by MBR_ID, DOS_THRU_DT, DX_CD Grain grouped by PAYER, SRC_FILE_NM, DOS_THRU_YYYYMM"/>
  </r>
  <r>
    <x v="1"/>
    <s v="FFV.MA_MAO004.MERCYOK.1214771.20251124.151406883.TXT"/>
    <x v="115"/>
    <x v="11"/>
    <n v="4235"/>
    <n v="104716"/>
    <n v="4.04"/>
    <s v="DQS_MAO04_FILE_000_B"/>
    <s v="RECORD COUNT by MBR_ID, DOS_THRU_DT, DX_CD Grain grouped by PAYER, SRC_FILE_NM, DOS_THRU_YYYYMM"/>
  </r>
  <r>
    <x v="1"/>
    <s v="FFV.MA_MAO004.MERCYOK.1214771.20251124.151406883.TXT"/>
    <x v="116"/>
    <x v="11"/>
    <n v="5259"/>
    <n v="104716"/>
    <n v="5.0199999999999996"/>
    <s v="DQS_MAO04_FILE_000_B"/>
    <s v="RECORD COUNT by MBR_ID, DOS_THRU_DT, DX_CD Grain grouped by PAYER, SRC_FILE_NM, DOS_THRU_YYYYMM"/>
  </r>
  <r>
    <x v="1"/>
    <s v="FFV.MA_MAO004.MERCYOK.1214771.20251124.151406883.TXT"/>
    <x v="117"/>
    <x v="11"/>
    <n v="4473"/>
    <n v="104716"/>
    <n v="4.2699999999999996"/>
    <s v="DQS_MAO04_FILE_000_B"/>
    <s v="RECORD COUNT by MBR_ID, DOS_THRU_DT, DX_CD Grain grouped by PAYER, SRC_FILE_NM, DOS_THRU_YYYYMM"/>
  </r>
  <r>
    <x v="1"/>
    <s v="FFV.MA_MAO004.MERCYOK.1214771.20251124.151406883.TXT"/>
    <x v="118"/>
    <x v="11"/>
    <n v="4886"/>
    <n v="104716"/>
    <n v="4.67"/>
    <s v="DQS_MAO04_FILE_000_B"/>
    <s v="RECORD COUNT by MBR_ID, DOS_THRU_DT, DX_CD Grain grouped by PAYER, SRC_FILE_NM, DOS_THRU_YYYYMM"/>
  </r>
  <r>
    <x v="1"/>
    <s v="FFV.MA_MAO004.MERCYOK.1214771.20251124.151406883.TXT"/>
    <x v="119"/>
    <x v="11"/>
    <n v="1679"/>
    <n v="104716"/>
    <n v="1.6"/>
    <s v="DQS_MAO04_FILE_000_B"/>
    <s v="RECORD COUNT by MBR_ID, DOS_THRU_DT, DX_CD Grain grouped by PAYER, SRC_FILE_NM, DOS_THRU_YYYYMM"/>
  </r>
  <r>
    <x v="1"/>
    <s v="FFV.MA_MAO004.MERCYOK.1214771.20251221.101120609.TXT"/>
    <x v="77"/>
    <x v="8"/>
    <n v="2893"/>
    <n v="189871"/>
    <n v="1.52"/>
    <s v="DQS_MAO04_FILE_000_B"/>
    <s v="RECORD COUNT by MBR_ID, DOS_THRU_DT, DX_CD Grain grouped by PAYER, SRC_FILE_NM, DOS_THRU_YYYYMM"/>
  </r>
  <r>
    <x v="1"/>
    <s v="FFV.MA_MAO004.MERCYOK.1214771.20251221.101120609.TXT"/>
    <x v="78"/>
    <x v="8"/>
    <n v="3164"/>
    <n v="189871"/>
    <n v="1.67"/>
    <s v="DQS_MAO04_FILE_000_B"/>
    <s v="RECORD COUNT by MBR_ID, DOS_THRU_DT, DX_CD Grain grouped by PAYER, SRC_FILE_NM, DOS_THRU_YYYYMM"/>
  </r>
  <r>
    <x v="1"/>
    <s v="FFV.MA_MAO004.MERCYOK.1214771.20251221.101120609.TXT"/>
    <x v="79"/>
    <x v="8"/>
    <n v="3779"/>
    <n v="189871"/>
    <n v="1.99"/>
    <s v="DQS_MAO04_FILE_000_B"/>
    <s v="RECORD COUNT by MBR_ID, DOS_THRU_DT, DX_CD Grain grouped by PAYER, SRC_FILE_NM, DOS_THRU_YYYYMM"/>
  </r>
  <r>
    <x v="1"/>
    <s v="FFV.MA_MAO004.MERCYOK.1214771.20251221.101120609.TXT"/>
    <x v="80"/>
    <x v="8"/>
    <n v="3316"/>
    <n v="189871"/>
    <n v="1.75"/>
    <s v="DQS_MAO04_FILE_000_B"/>
    <s v="RECORD COUNT by MBR_ID, DOS_THRU_DT, DX_CD Grain grouped by PAYER, SRC_FILE_NM, DOS_THRU_YYYYMM"/>
  </r>
  <r>
    <x v="1"/>
    <s v="FFV.MA_MAO004.MERCYOK.1214771.20251221.101120609.TXT"/>
    <x v="81"/>
    <x v="8"/>
    <n v="3310"/>
    <n v="189871"/>
    <n v="1.74"/>
    <s v="DQS_MAO04_FILE_000_B"/>
    <s v="RECORD COUNT by MBR_ID, DOS_THRU_DT, DX_CD Grain grouped by PAYER, SRC_FILE_NM, DOS_THRU_YYYYMM"/>
  </r>
  <r>
    <x v="1"/>
    <s v="FFV.MA_MAO004.MERCYOK.1214771.20251221.101120609.TXT"/>
    <x v="82"/>
    <x v="8"/>
    <n v="3502"/>
    <n v="189871"/>
    <n v="1.84"/>
    <s v="DQS_MAO04_FILE_000_B"/>
    <s v="RECORD COUNT by MBR_ID, DOS_THRU_DT, DX_CD Grain grouped by PAYER, SRC_FILE_NM, DOS_THRU_YYYYMM"/>
  </r>
  <r>
    <x v="1"/>
    <s v="FFV.MA_MAO004.MERCYOK.1214771.20251221.101120609.TXT"/>
    <x v="83"/>
    <x v="8"/>
    <n v="3615"/>
    <n v="189871"/>
    <n v="1.9"/>
    <s v="DQS_MAO04_FILE_000_B"/>
    <s v="RECORD COUNT by MBR_ID, DOS_THRU_DT, DX_CD Grain grouped by PAYER, SRC_FILE_NM, DOS_THRU_YYYYMM"/>
  </r>
  <r>
    <x v="1"/>
    <s v="FFV.MA_MAO004.MERCYOK.1214771.20251221.101120609.TXT"/>
    <x v="84"/>
    <x v="8"/>
    <n v="3756"/>
    <n v="189871"/>
    <n v="1.98"/>
    <s v="DQS_MAO04_FILE_000_B"/>
    <s v="RECORD COUNT by MBR_ID, DOS_THRU_DT, DX_CD Grain grouped by PAYER, SRC_FILE_NM, DOS_THRU_YYYYMM"/>
  </r>
  <r>
    <x v="1"/>
    <s v="FFV.MA_MAO004.MERCYOK.1214771.20251221.101120609.TXT"/>
    <x v="85"/>
    <x v="8"/>
    <n v="3829"/>
    <n v="189871"/>
    <n v="2.02"/>
    <s v="DQS_MAO04_FILE_000_B"/>
    <s v="RECORD COUNT by MBR_ID, DOS_THRU_DT, DX_CD Grain grouped by PAYER, SRC_FILE_NM, DOS_THRU_YYYYMM"/>
  </r>
  <r>
    <x v="1"/>
    <s v="FFV.MA_MAO004.MERCYOK.1214771.20251221.101120609.TXT"/>
    <x v="86"/>
    <x v="8"/>
    <n v="3734"/>
    <n v="189871"/>
    <n v="1.97"/>
    <s v="DQS_MAO04_FILE_000_B"/>
    <s v="RECORD COUNT by MBR_ID, DOS_THRU_DT, DX_CD Grain grouped by PAYER, SRC_FILE_NM, DOS_THRU_YYYYMM"/>
  </r>
  <r>
    <x v="1"/>
    <s v="FFV.MA_MAO004.MERCYOK.1214771.20251221.101120609.TXT"/>
    <x v="87"/>
    <x v="8"/>
    <n v="4194"/>
    <n v="189871"/>
    <n v="2.21"/>
    <s v="DQS_MAO04_FILE_000_B"/>
    <s v="RECORD COUNT by MBR_ID, DOS_THRU_DT, DX_CD Grain grouped by PAYER, SRC_FILE_NM, DOS_THRU_YYYYMM"/>
  </r>
  <r>
    <x v="1"/>
    <s v="FFV.MA_MAO004.MERCYOK.1214771.20251221.101120609.TXT"/>
    <x v="88"/>
    <x v="8"/>
    <n v="3959"/>
    <n v="189871"/>
    <n v="2.09"/>
    <s v="DQS_MAO04_FILE_000_B"/>
    <s v="RECORD COUNT by MBR_ID, DOS_THRU_DT, DX_CD Grain grouped by PAYER, SRC_FILE_NM, DOS_THRU_YYYYMM"/>
  </r>
  <r>
    <x v="1"/>
    <s v="FFV.MA_MAO004.MERCYOK.1214771.20251221.101120609.TXT"/>
    <x v="89"/>
    <x v="9"/>
    <n v="4645"/>
    <n v="189871"/>
    <n v="2.4500000000000002"/>
    <s v="DQS_MAO04_FILE_000_B"/>
    <s v="RECORD COUNT by MBR_ID, DOS_THRU_DT, DX_CD Grain grouped by PAYER, SRC_FILE_NM, DOS_THRU_YYYYMM"/>
  </r>
  <r>
    <x v="1"/>
    <s v="FFV.MA_MAO004.MERCYOK.1214771.20251221.101120609.TXT"/>
    <x v="97"/>
    <x v="9"/>
    <n v="6086"/>
    <n v="189871"/>
    <n v="3.21"/>
    <s v="DQS_MAO04_FILE_000_B"/>
    <s v="RECORD COUNT by MBR_ID, DOS_THRU_DT, DX_CD Grain grouped by PAYER, SRC_FILE_NM, DOS_THRU_YYYYMM"/>
  </r>
  <r>
    <x v="1"/>
    <s v="FFV.MA_MAO004.MERCYOK.1214771.20251221.101120609.TXT"/>
    <x v="98"/>
    <x v="9"/>
    <n v="5540"/>
    <n v="189871"/>
    <n v="2.92"/>
    <s v="DQS_MAO04_FILE_000_B"/>
    <s v="RECORD COUNT by MBR_ID, DOS_THRU_DT, DX_CD Grain grouped by PAYER, SRC_FILE_NM, DOS_THRU_YYYYMM"/>
  </r>
  <r>
    <x v="1"/>
    <s v="FFV.MA_MAO004.MERCYOK.1214771.20251221.101120609.TXT"/>
    <x v="99"/>
    <x v="9"/>
    <n v="5710"/>
    <n v="189871"/>
    <n v="3.01"/>
    <s v="DQS_MAO04_FILE_000_B"/>
    <s v="RECORD COUNT by MBR_ID, DOS_THRU_DT, DX_CD Grain grouped by PAYER, SRC_FILE_NM, DOS_THRU_YYYYMM"/>
  </r>
  <r>
    <x v="1"/>
    <s v="FFV.MA_MAO004.MERCYOK.1214771.20251221.101120609.TXT"/>
    <x v="100"/>
    <x v="9"/>
    <n v="5739"/>
    <n v="189871"/>
    <n v="3.02"/>
    <s v="DQS_MAO04_FILE_000_B"/>
    <s v="RECORD COUNT by MBR_ID, DOS_THRU_DT, DX_CD Grain grouped by PAYER, SRC_FILE_NM, DOS_THRU_YYYYMM"/>
  </r>
  <r>
    <x v="1"/>
    <s v="FFV.MA_MAO004.MERCYOK.1214771.20251221.101120609.TXT"/>
    <x v="102"/>
    <x v="9"/>
    <n v="5020"/>
    <n v="189871"/>
    <n v="2.64"/>
    <s v="DQS_MAO04_FILE_000_B"/>
    <s v="RECORD COUNT by MBR_ID, DOS_THRU_DT, DX_CD Grain grouped by PAYER, SRC_FILE_NM, DOS_THRU_YYYYMM"/>
  </r>
  <r>
    <x v="1"/>
    <s v="FFV.MA_MAO004.MERCYOK.1214771.20251221.101120609.TXT"/>
    <x v="103"/>
    <x v="9"/>
    <n v="5704"/>
    <n v="189871"/>
    <n v="3"/>
    <s v="DQS_MAO04_FILE_000_B"/>
    <s v="RECORD COUNT by MBR_ID, DOS_THRU_DT, DX_CD Grain grouped by PAYER, SRC_FILE_NM, DOS_THRU_YYYYMM"/>
  </r>
  <r>
    <x v="1"/>
    <s v="FFV.MA_MAO004.MERCYOK.1214771.20251221.101120609.TXT"/>
    <x v="105"/>
    <x v="9"/>
    <n v="5320"/>
    <n v="189871"/>
    <n v="2.8"/>
    <s v="DQS_MAO04_FILE_000_B"/>
    <s v="RECORD COUNT by MBR_ID, DOS_THRU_DT, DX_CD Grain grouped by PAYER, SRC_FILE_NM, DOS_THRU_YYYYMM"/>
  </r>
  <r>
    <x v="1"/>
    <s v="FFV.MA_MAO004.MERCYOK.1214771.20251221.101120609.TXT"/>
    <x v="106"/>
    <x v="9"/>
    <n v="5286"/>
    <n v="189871"/>
    <n v="2.78"/>
    <s v="DQS_MAO04_FILE_000_B"/>
    <s v="RECORD COUNT by MBR_ID, DOS_THRU_DT, DX_CD Grain grouped by PAYER, SRC_FILE_NM, DOS_THRU_YYYYMM"/>
  </r>
  <r>
    <x v="1"/>
    <s v="FFV.MA_MAO004.MERCYOK.1214771.20251221.101120609.TXT"/>
    <x v="107"/>
    <x v="9"/>
    <n v="6321"/>
    <n v="189871"/>
    <n v="3.33"/>
    <s v="DQS_MAO04_FILE_000_B"/>
    <s v="RECORD COUNT by MBR_ID, DOS_THRU_DT, DX_CD Grain grouped by PAYER, SRC_FILE_NM, DOS_THRU_YYYYMM"/>
  </r>
  <r>
    <x v="1"/>
    <s v="FFV.MA_MAO004.MERCYOK.1214771.20251221.101120609.TXT"/>
    <x v="108"/>
    <x v="9"/>
    <n v="5095"/>
    <n v="189871"/>
    <n v="2.68"/>
    <s v="DQS_MAO04_FILE_000_B"/>
    <s v="RECORD COUNT by MBR_ID, DOS_THRU_DT, DX_CD Grain grouped by PAYER, SRC_FILE_NM, DOS_THRU_YYYYMM"/>
  </r>
  <r>
    <x v="1"/>
    <s v="FFV.MA_MAO004.MERCYOK.1214771.20251221.101120609.TXT"/>
    <x v="109"/>
    <x v="9"/>
    <n v="5833"/>
    <n v="189871"/>
    <n v="3.07"/>
    <s v="DQS_MAO04_FILE_000_B"/>
    <s v="RECORD COUNT by MBR_ID, DOS_THRU_DT, DX_CD Grain grouped by PAYER, SRC_FILE_NM, DOS_THRU_YYYYMM"/>
  </r>
  <r>
    <x v="1"/>
    <s v="FFV.MA_MAO004.MERCYOK.1214771.20251221.101120609.TXT"/>
    <x v="110"/>
    <x v="11"/>
    <n v="7955"/>
    <n v="189871"/>
    <n v="4.1900000000000004"/>
    <s v="DQS_MAO04_FILE_000_B"/>
    <s v="RECORD COUNT by MBR_ID, DOS_THRU_DT, DX_CD Grain grouped by PAYER, SRC_FILE_NM, DOS_THRU_YYYYMM"/>
  </r>
  <r>
    <x v="1"/>
    <s v="FFV.MA_MAO004.MERCYOK.1214771.20251221.101120609.TXT"/>
    <x v="111"/>
    <x v="11"/>
    <n v="7561"/>
    <n v="189871"/>
    <n v="3.98"/>
    <s v="DQS_MAO04_FILE_000_B"/>
    <s v="RECORD COUNT by MBR_ID, DOS_THRU_DT, DX_CD Grain grouped by PAYER, SRC_FILE_NM, DOS_THRU_YYYYMM"/>
  </r>
  <r>
    <x v="1"/>
    <s v="FFV.MA_MAO004.MERCYOK.1214771.20251221.101120609.TXT"/>
    <x v="112"/>
    <x v="11"/>
    <n v="8642"/>
    <n v="189871"/>
    <n v="4.55"/>
    <s v="DQS_MAO04_FILE_000_B"/>
    <s v="RECORD COUNT by MBR_ID, DOS_THRU_DT, DX_CD Grain grouped by PAYER, SRC_FILE_NM, DOS_THRU_YYYYMM"/>
  </r>
  <r>
    <x v="1"/>
    <s v="FFV.MA_MAO004.MERCYOK.1214771.20251221.101120609.TXT"/>
    <x v="113"/>
    <x v="11"/>
    <n v="7676"/>
    <n v="189871"/>
    <n v="4.04"/>
    <s v="DQS_MAO04_FILE_000_B"/>
    <s v="RECORD COUNT by MBR_ID, DOS_THRU_DT, DX_CD Grain grouped by PAYER, SRC_FILE_NM, DOS_THRU_YYYYMM"/>
  </r>
  <r>
    <x v="1"/>
    <s v="FFV.MA_MAO004.MERCYOK.1214771.20251221.101120609.TXT"/>
    <x v="114"/>
    <x v="11"/>
    <n v="7576"/>
    <n v="189871"/>
    <n v="3.99"/>
    <s v="DQS_MAO04_FILE_000_B"/>
    <s v="RECORD COUNT by MBR_ID, DOS_THRU_DT, DX_CD Grain grouped by PAYER, SRC_FILE_NM, DOS_THRU_YYYYMM"/>
  </r>
  <r>
    <x v="1"/>
    <s v="FFV.MA_MAO004.MERCYOK.1214771.20251221.101120609.TXT"/>
    <x v="115"/>
    <x v="11"/>
    <n v="7264"/>
    <n v="189871"/>
    <n v="3.83"/>
    <s v="DQS_MAO04_FILE_000_B"/>
    <s v="RECORD COUNT by MBR_ID, DOS_THRU_DT, DX_CD Grain grouped by PAYER, SRC_FILE_NM, DOS_THRU_YYYYMM"/>
  </r>
  <r>
    <x v="1"/>
    <s v="FFV.MA_MAO004.MERCYOK.1214771.20251221.101120609.TXT"/>
    <x v="116"/>
    <x v="11"/>
    <n v="8196"/>
    <n v="189871"/>
    <n v="4.32"/>
    <s v="DQS_MAO04_FILE_000_B"/>
    <s v="RECORD COUNT by MBR_ID, DOS_THRU_DT, DX_CD Grain grouped by PAYER, SRC_FILE_NM, DOS_THRU_YYYYMM"/>
  </r>
  <r>
    <x v="1"/>
    <s v="FFV.MA_MAO004.MERCYOK.1214771.20251221.101120609.TXT"/>
    <x v="117"/>
    <x v="11"/>
    <n v="7274"/>
    <n v="189871"/>
    <n v="3.83"/>
    <s v="DQS_MAO04_FILE_000_B"/>
    <s v="RECORD COUNT by MBR_ID, DOS_THRU_DT, DX_CD Grain grouped by PAYER, SRC_FILE_NM, DOS_THRU_YYYYMM"/>
  </r>
  <r>
    <x v="1"/>
    <s v="FFV.MA_MAO004.MERCYOK.1214771.20251221.101120609.TXT"/>
    <x v="118"/>
    <x v="11"/>
    <n v="7178"/>
    <n v="189871"/>
    <n v="3.78"/>
    <s v="DQS_MAO04_FILE_000_B"/>
    <s v="RECORD COUNT by MBR_ID, DOS_THRU_DT, DX_CD Grain grouped by PAYER, SRC_FILE_NM, DOS_THRU_YYYYMM"/>
  </r>
  <r>
    <x v="1"/>
    <s v="FFV.MA_MAO004.MERCYOK.1214771.20251221.101120609.TXT"/>
    <x v="119"/>
    <x v="11"/>
    <n v="7850"/>
    <n v="189871"/>
    <n v="4.13"/>
    <s v="DQS_MAO04_FILE_000_B"/>
    <s v="RECORD COUNT by MBR_ID, DOS_THRU_DT, DX_CD Grain grouped by PAYER, SRC_FILE_NM, DOS_THRU_YYYYMM"/>
  </r>
  <r>
    <x v="1"/>
    <s v="FFV.MA_MAO004.MERCYOK.1214771.20251221.101120609.TXT"/>
    <x v="120"/>
    <x v="11"/>
    <n v="3349"/>
    <n v="189871"/>
    <n v="1.76"/>
    <s v="DQS_MAO04_FILE_000_B"/>
    <s v="RECORD COUNT by MBR_ID, DOS_THRU_DT, DX_CD Grain grouped by PAYER, SRC_FILE_NM, DOS_THRU_YYYYMM"/>
  </r>
  <r>
    <x v="1"/>
    <s v="FFV.MA_MAO004.MERCYOK.1214771.20260123.122553114.TXT"/>
    <x v="89"/>
    <x v="9"/>
    <n v="4592"/>
    <n v="154899"/>
    <n v="2.96"/>
    <s v="DQS_MAO04_FILE_000_B"/>
    <s v="RECORD COUNT by MBR_ID, DOS_THRU_DT, DX_CD Grain grouped by PAYER, SRC_FILE_NM, DOS_THRU_YYYYMM"/>
  </r>
  <r>
    <x v="1"/>
    <s v="FFV.MA_MAO004.MERCYOK.1214771.20260123.122553114.TXT"/>
    <x v="97"/>
    <x v="9"/>
    <n v="5947"/>
    <n v="154899"/>
    <n v="3.84"/>
    <s v="DQS_MAO04_FILE_000_B"/>
    <s v="RECORD COUNT by MBR_ID, DOS_THRU_DT, DX_CD Grain grouped by PAYER, SRC_FILE_NM, DOS_THRU_YYYYMM"/>
  </r>
  <r>
    <x v="1"/>
    <s v="FFV.MA_MAO004.MERCYOK.1214771.20260123.122553114.TXT"/>
    <x v="98"/>
    <x v="9"/>
    <n v="5557"/>
    <n v="154899"/>
    <n v="3.59"/>
    <s v="DQS_MAO04_FILE_000_B"/>
    <s v="RECORD COUNT by MBR_ID, DOS_THRU_DT, DX_CD Grain grouped by PAYER, SRC_FILE_NM, DOS_THRU_YYYYMM"/>
  </r>
  <r>
    <x v="1"/>
    <s v="FFV.MA_MAO004.MERCYOK.1214771.20260123.122553114.TXT"/>
    <x v="99"/>
    <x v="9"/>
    <n v="5749"/>
    <n v="154899"/>
    <n v="3.71"/>
    <s v="DQS_MAO04_FILE_000_B"/>
    <s v="RECORD COUNT by MBR_ID, DOS_THRU_DT, DX_CD Grain grouped by PAYER, SRC_FILE_NM, DOS_THRU_YYYYMM"/>
  </r>
  <r>
    <x v="1"/>
    <s v="FFV.MA_MAO004.MERCYOK.1214771.20260123.122553114.TXT"/>
    <x v="100"/>
    <x v="9"/>
    <n v="5765"/>
    <n v="154899"/>
    <n v="3.72"/>
    <s v="DQS_MAO04_FILE_000_B"/>
    <s v="RECORD COUNT by MBR_ID, DOS_THRU_DT, DX_CD Grain grouped by PAYER, SRC_FILE_NM, DOS_THRU_YYYYMM"/>
  </r>
  <r>
    <x v="1"/>
    <s v="FFV.MA_MAO004.MERCYOK.1214771.20260123.122553114.TXT"/>
    <x v="102"/>
    <x v="9"/>
    <n v="4991"/>
    <n v="154899"/>
    <n v="3.22"/>
    <s v="DQS_MAO04_FILE_000_B"/>
    <s v="RECORD COUNT by MBR_ID, DOS_THRU_DT, DX_CD Grain grouped by PAYER, SRC_FILE_NM, DOS_THRU_YYYYMM"/>
  </r>
  <r>
    <x v="1"/>
    <s v="FFV.MA_MAO004.MERCYOK.1214771.20260123.122553114.TXT"/>
    <x v="103"/>
    <x v="9"/>
    <n v="5674"/>
    <n v="154899"/>
    <n v="3.66"/>
    <s v="DQS_MAO04_FILE_000_B"/>
    <s v="RECORD COUNT by MBR_ID, DOS_THRU_DT, DX_CD Grain grouped by PAYER, SRC_FILE_NM, DOS_THRU_YYYYMM"/>
  </r>
  <r>
    <x v="1"/>
    <s v="FFV.MA_MAO004.MERCYOK.1214771.20260123.122553114.TXT"/>
    <x v="105"/>
    <x v="9"/>
    <n v="5364"/>
    <n v="154899"/>
    <n v="3.46"/>
    <s v="DQS_MAO04_FILE_000_B"/>
    <s v="RECORD COUNT by MBR_ID, DOS_THRU_DT, DX_CD Grain grouped by PAYER, SRC_FILE_NM, DOS_THRU_YYYYMM"/>
  </r>
  <r>
    <x v="1"/>
    <s v="FFV.MA_MAO004.MERCYOK.1214771.20260123.122553114.TXT"/>
    <x v="106"/>
    <x v="9"/>
    <n v="5269"/>
    <n v="154899"/>
    <n v="3.4"/>
    <s v="DQS_MAO04_FILE_000_B"/>
    <s v="RECORD COUNT by MBR_ID, DOS_THRU_DT, DX_CD Grain grouped by PAYER, SRC_FILE_NM, DOS_THRU_YYYYMM"/>
  </r>
  <r>
    <x v="1"/>
    <s v="FFV.MA_MAO004.MERCYOK.1214771.20260123.122553114.TXT"/>
    <x v="107"/>
    <x v="9"/>
    <n v="6400"/>
    <n v="154899"/>
    <n v="4.13"/>
    <s v="DQS_MAO04_FILE_000_B"/>
    <s v="RECORD COUNT by MBR_ID, DOS_THRU_DT, DX_CD Grain grouped by PAYER, SRC_FILE_NM, DOS_THRU_YYYYMM"/>
  </r>
  <r>
    <x v="1"/>
    <s v="FFV.MA_MAO004.MERCYOK.1214771.20260123.122553114.TXT"/>
    <x v="108"/>
    <x v="9"/>
    <n v="5242"/>
    <n v="154899"/>
    <n v="3.38"/>
    <s v="DQS_MAO04_FILE_000_B"/>
    <s v="RECORD COUNT by MBR_ID, DOS_THRU_DT, DX_CD Grain grouped by PAYER, SRC_FILE_NM, DOS_THRU_YYYYMM"/>
  </r>
  <r>
    <x v="1"/>
    <s v="FFV.MA_MAO004.MERCYOK.1214771.20260123.122553114.TXT"/>
    <x v="109"/>
    <x v="9"/>
    <n v="5976"/>
    <n v="154899"/>
    <n v="3.86"/>
    <s v="DQS_MAO04_FILE_000_B"/>
    <s v="RECORD COUNT by MBR_ID, DOS_THRU_DT, DX_CD Grain grouped by PAYER, SRC_FILE_NM, DOS_THRU_YYYYMM"/>
  </r>
  <r>
    <x v="1"/>
    <s v="FFV.MA_MAO004.MERCYOK.1214771.20260123.122553114.TXT"/>
    <x v="110"/>
    <x v="11"/>
    <n v="7909"/>
    <n v="154899"/>
    <n v="5.1100000000000003"/>
    <s v="DQS_MAO04_FILE_000_B"/>
    <s v="RECORD COUNT by MBR_ID, DOS_THRU_DT, DX_CD Grain grouped by PAYER, SRC_FILE_NM, DOS_THRU_YYYYMM"/>
  </r>
  <r>
    <x v="1"/>
    <s v="FFV.MA_MAO004.MERCYOK.1214771.20260123.122553114.TXT"/>
    <x v="111"/>
    <x v="11"/>
    <n v="7341"/>
    <n v="154899"/>
    <n v="4.74"/>
    <s v="DQS_MAO04_FILE_000_B"/>
    <s v="RECORD COUNT by MBR_ID, DOS_THRU_DT, DX_CD Grain grouped by PAYER, SRC_FILE_NM, DOS_THRU_YYYYMM"/>
  </r>
  <r>
    <x v="1"/>
    <s v="FFV.MA_MAO004.MERCYOK.1214771.20260123.122553114.TXT"/>
    <x v="112"/>
    <x v="11"/>
    <n v="8455"/>
    <n v="154899"/>
    <n v="5.46"/>
    <s v="DQS_MAO04_FILE_000_B"/>
    <s v="RECORD COUNT by MBR_ID, DOS_THRU_DT, DX_CD Grain grouped by PAYER, SRC_FILE_NM, DOS_THRU_YYYYMM"/>
  </r>
  <r>
    <x v="1"/>
    <s v="FFV.MA_MAO004.MERCYOK.1214771.20260123.122553114.TXT"/>
    <x v="113"/>
    <x v="11"/>
    <n v="7384"/>
    <n v="154899"/>
    <n v="4.7699999999999996"/>
    <s v="DQS_MAO04_FILE_000_B"/>
    <s v="RECORD COUNT by MBR_ID, DOS_THRU_DT, DX_CD Grain grouped by PAYER, SRC_FILE_NM, DOS_THRU_YYYYMM"/>
  </r>
  <r>
    <x v="1"/>
    <s v="FFV.MA_MAO004.MERCYOK.1214771.20260123.122553114.TXT"/>
    <x v="114"/>
    <x v="11"/>
    <n v="7456"/>
    <n v="154899"/>
    <n v="4.8099999999999996"/>
    <s v="DQS_MAO04_FILE_000_B"/>
    <s v="RECORD COUNT by MBR_ID, DOS_THRU_DT, DX_CD Grain grouped by PAYER, SRC_FILE_NM, DOS_THRU_YYYYMM"/>
  </r>
  <r>
    <x v="1"/>
    <s v="FFV.MA_MAO004.MERCYOK.1214771.20260123.122553114.TXT"/>
    <x v="115"/>
    <x v="11"/>
    <n v="7224"/>
    <n v="154899"/>
    <n v="4.66"/>
    <s v="DQS_MAO04_FILE_000_B"/>
    <s v="RECORD COUNT by MBR_ID, DOS_THRU_DT, DX_CD Grain grouped by PAYER, SRC_FILE_NM, DOS_THRU_YYYYMM"/>
  </r>
  <r>
    <x v="1"/>
    <s v="FFV.MA_MAO004.MERCYOK.1214771.20260123.122553114.TXT"/>
    <x v="116"/>
    <x v="11"/>
    <n v="7927"/>
    <n v="154899"/>
    <n v="5.12"/>
    <s v="DQS_MAO04_FILE_000_B"/>
    <s v="RECORD COUNT by MBR_ID, DOS_THRU_DT, DX_CD Grain grouped by PAYER, SRC_FILE_NM, DOS_THRU_YYYYMM"/>
  </r>
  <r>
    <x v="1"/>
    <s v="FFV.MA_MAO004.MERCYOK.1214771.20260123.122553114.TXT"/>
    <x v="117"/>
    <x v="11"/>
    <n v="7227"/>
    <n v="154899"/>
    <n v="4.67"/>
    <s v="DQS_MAO04_FILE_000_B"/>
    <s v="RECORD COUNT by MBR_ID, DOS_THRU_DT, DX_CD Grain grouped by PAYER, SRC_FILE_NM, DOS_THRU_YYYYMM"/>
  </r>
  <r>
    <x v="1"/>
    <s v="FFV.MA_MAO004.MERCYOK.1214771.20260123.122553114.TXT"/>
    <x v="118"/>
    <x v="11"/>
    <n v="7558"/>
    <n v="154899"/>
    <n v="4.88"/>
    <s v="DQS_MAO04_FILE_000_B"/>
    <s v="RECORD COUNT by MBR_ID, DOS_THRU_DT, DX_CD Grain grouped by PAYER, SRC_FILE_NM, DOS_THRU_YYYYMM"/>
  </r>
  <r>
    <x v="1"/>
    <s v="FFV.MA_MAO004.MERCYOK.1214771.20260123.122553114.TXT"/>
    <x v="119"/>
    <x v="11"/>
    <n v="8549"/>
    <n v="154899"/>
    <n v="5.52"/>
    <s v="DQS_MAO04_FILE_000_B"/>
    <s v="RECORD COUNT by MBR_ID, DOS_THRU_DT, DX_CD Grain grouped by PAYER, SRC_FILE_NM, DOS_THRU_YYYYMM"/>
  </r>
  <r>
    <x v="1"/>
    <s v="FFV.MA_MAO004.MERCYOK.1214771.20260123.122553114.TXT"/>
    <x v="120"/>
    <x v="11"/>
    <n v="7052"/>
    <n v="154899"/>
    <n v="4.55"/>
    <s v="DQS_MAO04_FILE_000_B"/>
    <s v="RECORD COUNT by MBR_ID, DOS_THRU_DT, DX_CD Grain grouped by PAYER, SRC_FILE_NM, DOS_THRU_YYYYMM"/>
  </r>
  <r>
    <x v="1"/>
    <s v="FFV.MA_MAO004.MERCYOK.1214771.20260123.122553114.TXT"/>
    <x v="121"/>
    <x v="11"/>
    <n v="4291"/>
    <n v="154899"/>
    <n v="2.77"/>
    <s v="DQS_MAO04_FILE_000_B"/>
    <s v="RECORD COUNT by MBR_ID, DOS_THRU_DT, DX_CD Grain grouped by PAYER, SRC_FILE_NM, DOS_THRU_YYYYMM"/>
  </r>
  <r>
    <x v="1"/>
    <s v="FFV.MA_MAO004.MERCYOK.1214771.20260227.131832682.txt"/>
    <x v="89"/>
    <x v="9"/>
    <n v="4550"/>
    <n v="153851"/>
    <n v="2.96"/>
    <s v="DQS_MAO04_FILE_000_B"/>
    <s v="RECORD COUNT by MBR_ID, DOS_THRU_DT, DX_CD Grain grouped by PAYER, SRC_FILE_NM, DOS_THRU_YYYYMM"/>
  </r>
  <r>
    <x v="1"/>
    <s v="FFV.MA_MAO004.MERCYOK.1214771.20260227.131832682.txt"/>
    <x v="97"/>
    <x v="9"/>
    <n v="5883"/>
    <n v="153851"/>
    <n v="3.82"/>
    <s v="DQS_MAO04_FILE_000_B"/>
    <s v="RECORD COUNT by MBR_ID, DOS_THRU_DT, DX_CD Grain grouped by PAYER, SRC_FILE_NM, DOS_THRU_YYYYMM"/>
  </r>
  <r>
    <x v="1"/>
    <s v="FFV.MA_MAO004.MERCYOK.1214771.20260227.131832682.txt"/>
    <x v="98"/>
    <x v="9"/>
    <n v="5412"/>
    <n v="153851"/>
    <n v="3.52"/>
    <s v="DQS_MAO04_FILE_000_B"/>
    <s v="RECORD COUNT by MBR_ID, DOS_THRU_DT, DX_CD Grain grouped by PAYER, SRC_FILE_NM, DOS_THRU_YYYYMM"/>
  </r>
  <r>
    <x v="1"/>
    <s v="FFV.MA_MAO004.MERCYOK.1214771.20260227.131832682.txt"/>
    <x v="99"/>
    <x v="9"/>
    <n v="5625"/>
    <n v="153851"/>
    <n v="3.66"/>
    <s v="DQS_MAO04_FILE_000_B"/>
    <s v="RECORD COUNT by MBR_ID, DOS_THRU_DT, DX_CD Grain grouped by PAYER, SRC_FILE_NM, DOS_THRU_YYYYMM"/>
  </r>
  <r>
    <x v="1"/>
    <s v="FFV.MA_MAO004.MERCYOK.1214771.20260227.131832682.txt"/>
    <x v="100"/>
    <x v="9"/>
    <n v="5647"/>
    <n v="153851"/>
    <n v="3.67"/>
    <s v="DQS_MAO04_FILE_000_B"/>
    <s v="RECORD COUNT by MBR_ID, DOS_THRU_DT, DX_CD Grain grouped by PAYER, SRC_FILE_NM, DOS_THRU_YYYYMM"/>
  </r>
  <r>
    <x v="1"/>
    <s v="FFV.MA_MAO004.MERCYOK.1214771.20260227.131832682.txt"/>
    <x v="102"/>
    <x v="9"/>
    <n v="5091"/>
    <n v="153851"/>
    <n v="3.31"/>
    <s v="DQS_MAO04_FILE_000_B"/>
    <s v="RECORD COUNT by MBR_ID, DOS_THRU_DT, DX_CD Grain grouped by PAYER, SRC_FILE_NM, DOS_THRU_YYYYMM"/>
  </r>
  <r>
    <x v="1"/>
    <s v="FFV.MA_MAO004.MERCYOK.1214771.20260227.131832682.txt"/>
    <x v="103"/>
    <x v="9"/>
    <n v="5750"/>
    <n v="153851"/>
    <n v="3.74"/>
    <s v="DQS_MAO04_FILE_000_B"/>
    <s v="RECORD COUNT by MBR_ID, DOS_THRU_DT, DX_CD Grain grouped by PAYER, SRC_FILE_NM, DOS_THRU_YYYYMM"/>
  </r>
  <r>
    <x v="1"/>
    <s v="FFV.MA_MAO004.MERCYOK.1214771.20260227.131832682.txt"/>
    <x v="105"/>
    <x v="9"/>
    <n v="5360"/>
    <n v="153851"/>
    <n v="3.48"/>
    <s v="DQS_MAO04_FILE_000_B"/>
    <s v="RECORD COUNT by MBR_ID, DOS_THRU_DT, DX_CD Grain grouped by PAYER, SRC_FILE_NM, DOS_THRU_YYYYMM"/>
  </r>
  <r>
    <x v="1"/>
    <s v="FFV.MA_MAO004.MERCYOK.1214771.20260227.131832682.txt"/>
    <x v="106"/>
    <x v="9"/>
    <n v="5392"/>
    <n v="153851"/>
    <n v="3.5"/>
    <s v="DQS_MAO04_FILE_000_B"/>
    <s v="RECORD COUNT by MBR_ID, DOS_THRU_DT, DX_CD Grain grouped by PAYER, SRC_FILE_NM, DOS_THRU_YYYYMM"/>
  </r>
  <r>
    <x v="1"/>
    <s v="FFV.MA_MAO004.MERCYOK.1214771.20260227.131832682.txt"/>
    <x v="107"/>
    <x v="9"/>
    <n v="6308"/>
    <n v="153851"/>
    <n v="4.0999999999999996"/>
    <s v="DQS_MAO04_FILE_000_B"/>
    <s v="RECORD COUNT by MBR_ID, DOS_THRU_DT, DX_CD Grain grouped by PAYER, SRC_FILE_NM, DOS_THRU_YYYYMM"/>
  </r>
  <r>
    <x v="1"/>
    <s v="FFV.MA_MAO004.MERCYOK.1214771.20260227.131832682.txt"/>
    <x v="108"/>
    <x v="9"/>
    <n v="5195"/>
    <n v="153851"/>
    <n v="3.38"/>
    <s v="DQS_MAO04_FILE_000_B"/>
    <s v="RECORD COUNT by MBR_ID, DOS_THRU_DT, DX_CD Grain grouped by PAYER, SRC_FILE_NM, DOS_THRU_YYYYMM"/>
  </r>
  <r>
    <x v="1"/>
    <s v="FFV.MA_MAO004.MERCYOK.1214771.20260227.131832682.txt"/>
    <x v="109"/>
    <x v="9"/>
    <n v="5895"/>
    <n v="153851"/>
    <n v="3.83"/>
    <s v="DQS_MAO04_FILE_000_B"/>
    <s v="RECORD COUNT by MBR_ID, DOS_THRU_DT, DX_CD Grain grouped by PAYER, SRC_FILE_NM, DOS_THRU_YYYYMM"/>
  </r>
  <r>
    <x v="1"/>
    <s v="FFV.MA_MAO004.MERCYOK.1214771.20260227.131832682.txt"/>
    <x v="110"/>
    <x v="11"/>
    <n v="7599"/>
    <n v="153851"/>
    <n v="4.9400000000000004"/>
    <s v="DQS_MAO04_FILE_000_B"/>
    <s v="RECORD COUNT by MBR_ID, DOS_THRU_DT, DX_CD Grain grouped by PAYER, SRC_FILE_NM, DOS_THRU_YYYYMM"/>
  </r>
  <r>
    <x v="1"/>
    <s v="FFV.MA_MAO004.MERCYOK.1214771.20260227.131832682.txt"/>
    <x v="111"/>
    <x v="11"/>
    <n v="6735"/>
    <n v="153851"/>
    <n v="4.38"/>
    <s v="DQS_MAO04_FILE_000_B"/>
    <s v="RECORD COUNT by MBR_ID, DOS_THRU_DT, DX_CD Grain grouped by PAYER, SRC_FILE_NM, DOS_THRU_YYYYMM"/>
  </r>
  <r>
    <x v="1"/>
    <s v="FFV.MA_MAO004.MERCYOK.1214771.20260227.131832682.txt"/>
    <x v="112"/>
    <x v="11"/>
    <n v="7788"/>
    <n v="153851"/>
    <n v="5.0599999999999996"/>
    <s v="DQS_MAO04_FILE_000_B"/>
    <s v="RECORD COUNT by MBR_ID, DOS_THRU_DT, DX_CD Grain grouped by PAYER, SRC_FILE_NM, DOS_THRU_YYYYMM"/>
  </r>
  <r>
    <x v="1"/>
    <s v="FFV.MA_MAO004.MERCYOK.1214771.20260227.131832682.txt"/>
    <x v="113"/>
    <x v="11"/>
    <n v="7035"/>
    <n v="153851"/>
    <n v="4.57"/>
    <s v="DQS_MAO04_FILE_000_B"/>
    <s v="RECORD COUNT by MBR_ID, DOS_THRU_DT, DX_CD Grain grouped by PAYER, SRC_FILE_NM, DOS_THRU_YYYYMM"/>
  </r>
  <r>
    <x v="1"/>
    <s v="FFV.MA_MAO004.MERCYOK.1214771.20260227.131832682.txt"/>
    <x v="114"/>
    <x v="11"/>
    <n v="7105"/>
    <n v="153851"/>
    <n v="4.62"/>
    <s v="DQS_MAO04_FILE_000_B"/>
    <s v="RECORD COUNT by MBR_ID, DOS_THRU_DT, DX_CD Grain grouped by PAYER, SRC_FILE_NM, DOS_THRU_YYYYMM"/>
  </r>
  <r>
    <x v="1"/>
    <s v="FFV.MA_MAO004.MERCYOK.1214771.20260227.131832682.txt"/>
    <x v="115"/>
    <x v="11"/>
    <n v="7001"/>
    <n v="153851"/>
    <n v="4.55"/>
    <s v="DQS_MAO04_FILE_000_B"/>
    <s v="RECORD COUNT by MBR_ID, DOS_THRU_DT, DX_CD Grain grouped by PAYER, SRC_FILE_NM, DOS_THRU_YYYYMM"/>
  </r>
  <r>
    <x v="1"/>
    <s v="FFV.MA_MAO004.MERCYOK.1214771.20260227.131832682.txt"/>
    <x v="116"/>
    <x v="11"/>
    <n v="7625"/>
    <n v="153851"/>
    <n v="4.96"/>
    <s v="DQS_MAO04_FILE_000_B"/>
    <s v="RECORD COUNT by MBR_ID, DOS_THRU_DT, DX_CD Grain grouped by PAYER, SRC_FILE_NM, DOS_THRU_YYYYMM"/>
  </r>
  <r>
    <x v="1"/>
    <s v="FFV.MA_MAO004.MERCYOK.1214771.20260227.131832682.txt"/>
    <x v="117"/>
    <x v="11"/>
    <n v="6964"/>
    <n v="153851"/>
    <n v="4.53"/>
    <s v="DQS_MAO04_FILE_000_B"/>
    <s v="RECORD COUNT by MBR_ID, DOS_THRU_DT, DX_CD Grain grouped by PAYER, SRC_FILE_NM, DOS_THRU_YYYYMM"/>
  </r>
  <r>
    <x v="1"/>
    <s v="FFV.MA_MAO004.MERCYOK.1214771.20260227.131832682.txt"/>
    <x v="118"/>
    <x v="11"/>
    <n v="7296"/>
    <n v="153851"/>
    <n v="4.74"/>
    <s v="DQS_MAO04_FILE_000_B"/>
    <s v="RECORD COUNT by MBR_ID, DOS_THRU_DT, DX_CD Grain grouped by PAYER, SRC_FILE_NM, DOS_THRU_YYYYMM"/>
  </r>
  <r>
    <x v="1"/>
    <s v="FFV.MA_MAO004.MERCYOK.1214771.20260227.131832682.txt"/>
    <x v="119"/>
    <x v="11"/>
    <n v="8377"/>
    <n v="153851"/>
    <n v="5.44"/>
    <s v="DQS_MAO04_FILE_000_B"/>
    <s v="RECORD COUNT by MBR_ID, DOS_THRU_DT, DX_CD Grain grouped by PAYER, SRC_FILE_NM, DOS_THRU_YYYYMM"/>
  </r>
  <r>
    <x v="1"/>
    <s v="FFV.MA_MAO004.MERCYOK.1214771.20260227.131832682.txt"/>
    <x v="120"/>
    <x v="11"/>
    <n v="6816"/>
    <n v="153851"/>
    <n v="4.43"/>
    <s v="DQS_MAO04_FILE_000_B"/>
    <s v="RECORD COUNT by MBR_ID, DOS_THRU_DT, DX_CD Grain grouped by PAYER, SRC_FILE_NM, DOS_THRU_YYYYMM"/>
  </r>
  <r>
    <x v="1"/>
    <s v="FFV.MA_MAO004.MERCYOK.1214771.20260227.131832682.txt"/>
    <x v="121"/>
    <x v="11"/>
    <n v="7214"/>
    <n v="153851"/>
    <n v="4.6900000000000004"/>
    <s v="DQS_MAO04_FILE_000_B"/>
    <s v="RECORD COUNT by MBR_ID, DOS_THRU_DT, DX_CD Grain grouped by PAYER, SRC_FILE_NM, DOS_THRU_YYYYMM"/>
  </r>
  <r>
    <x v="1"/>
    <s v="FFV.MA_MAO004.MERCYOK.1214771.20260227.131832682.txt"/>
    <x v="122"/>
    <x v="12"/>
    <n v="188"/>
    <n v="153851"/>
    <n v="0.12"/>
    <s v="DQS_MAO04_FILE_000_B"/>
    <s v="RECORD COUNT by MBR_ID, DOS_THRU_DT, DX_CD Grain grouped by PAYER, SRC_FILE_NM, DOS_THRU_YYYYMM"/>
  </r>
  <r>
    <x v="1"/>
    <s v="FFV.MA_MAO004.MERCYOK.1214771.20260321.202024531.txt"/>
    <x v="89"/>
    <x v="9"/>
    <n v="2348"/>
    <n v="90383"/>
    <n v="2.6"/>
    <s v="DQS_MAO04_FILE_000_B"/>
    <s v="RECORD COUNT by MBR_ID, DOS_THRU_DT, DX_CD Grain grouped by PAYER, SRC_FILE_NM, DOS_THRU_YYYYMM"/>
  </r>
  <r>
    <x v="1"/>
    <s v="FFV.MA_MAO004.MERCYOK.1214771.20260321.202024531.txt"/>
    <x v="97"/>
    <x v="9"/>
    <n v="3071"/>
    <n v="90383"/>
    <n v="3.4"/>
    <s v="DQS_MAO04_FILE_000_B"/>
    <s v="RECORD COUNT by MBR_ID, DOS_THRU_DT, DX_CD Grain grouped by PAYER, SRC_FILE_NM, DOS_THRU_YYYYMM"/>
  </r>
  <r>
    <x v="1"/>
    <s v="FFV.MA_MAO004.MERCYOK.1214771.20260321.202024531.txt"/>
    <x v="98"/>
    <x v="9"/>
    <n v="2887"/>
    <n v="90383"/>
    <n v="3.19"/>
    <s v="DQS_MAO04_FILE_000_B"/>
    <s v="RECORD COUNT by MBR_ID, DOS_THRU_DT, DX_CD Grain grouped by PAYER, SRC_FILE_NM, DOS_THRU_YYYYMM"/>
  </r>
  <r>
    <x v="1"/>
    <s v="FFV.MA_MAO004.MERCYOK.1214771.20260321.202024531.txt"/>
    <x v="99"/>
    <x v="9"/>
    <n v="3032"/>
    <n v="90383"/>
    <n v="3.35"/>
    <s v="DQS_MAO04_FILE_000_B"/>
    <s v="RECORD COUNT by MBR_ID, DOS_THRU_DT, DX_CD Grain grouped by PAYER, SRC_FILE_NM, DOS_THRU_YYYYMM"/>
  </r>
  <r>
    <x v="1"/>
    <s v="FFV.MA_MAO004.MERCYOK.1214771.20260321.202024531.txt"/>
    <x v="100"/>
    <x v="9"/>
    <n v="2842"/>
    <n v="90383"/>
    <n v="3.14"/>
    <s v="DQS_MAO04_FILE_000_B"/>
    <s v="RECORD COUNT by MBR_ID, DOS_THRU_DT, DX_CD Grain grouped by PAYER, SRC_FILE_NM, DOS_THRU_YYYYMM"/>
  </r>
  <r>
    <x v="1"/>
    <s v="FFV.MA_MAO004.MERCYOK.1214771.20260321.202024531.txt"/>
    <x v="102"/>
    <x v="9"/>
    <n v="2558"/>
    <n v="90383"/>
    <n v="2.83"/>
    <s v="DQS_MAO04_FILE_000_B"/>
    <s v="RECORD COUNT by MBR_ID, DOS_THRU_DT, DX_CD Grain grouped by PAYER, SRC_FILE_NM, DOS_THRU_YYYYMM"/>
  </r>
  <r>
    <x v="1"/>
    <s v="FFV.MA_MAO004.MERCYOK.1214771.20260321.202024531.txt"/>
    <x v="103"/>
    <x v="9"/>
    <n v="2564"/>
    <n v="90383"/>
    <n v="2.84"/>
    <s v="DQS_MAO04_FILE_000_B"/>
    <s v="RECORD COUNT by MBR_ID, DOS_THRU_DT, DX_CD Grain grouped by PAYER, SRC_FILE_NM, DOS_THRU_YYYYMM"/>
  </r>
  <r>
    <x v="1"/>
    <s v="FFV.MA_MAO004.MERCYOK.1214771.20260321.202024531.txt"/>
    <x v="105"/>
    <x v="9"/>
    <n v="2833"/>
    <n v="90383"/>
    <n v="3.13"/>
    <s v="DQS_MAO04_FILE_000_B"/>
    <s v="RECORD COUNT by MBR_ID, DOS_THRU_DT, DX_CD Grain grouped by PAYER, SRC_FILE_NM, DOS_THRU_YYYYMM"/>
  </r>
  <r>
    <x v="1"/>
    <s v="FFV.MA_MAO004.MERCYOK.1214771.20260321.202024531.txt"/>
    <x v="106"/>
    <x v="9"/>
    <n v="2977"/>
    <n v="90383"/>
    <n v="3.29"/>
    <s v="DQS_MAO04_FILE_000_B"/>
    <s v="RECORD COUNT by MBR_ID, DOS_THRU_DT, DX_CD Grain grouped by PAYER, SRC_FILE_NM, DOS_THRU_YYYYMM"/>
  </r>
  <r>
    <x v="1"/>
    <s v="FFV.MA_MAO004.MERCYOK.1214771.20260321.202024531.txt"/>
    <x v="107"/>
    <x v="9"/>
    <n v="3332"/>
    <n v="90383"/>
    <n v="3.69"/>
    <s v="DQS_MAO04_FILE_000_B"/>
    <s v="RECORD COUNT by MBR_ID, DOS_THRU_DT, DX_CD Grain grouped by PAYER, SRC_FILE_NM, DOS_THRU_YYYYMM"/>
  </r>
  <r>
    <x v="1"/>
    <s v="FFV.MA_MAO004.MERCYOK.1214771.20260321.202024531.txt"/>
    <x v="108"/>
    <x v="9"/>
    <n v="2948"/>
    <n v="90383"/>
    <n v="3.26"/>
    <s v="DQS_MAO04_FILE_000_B"/>
    <s v="RECORD COUNT by MBR_ID, DOS_THRU_DT, DX_CD Grain grouped by PAYER, SRC_FILE_NM, DOS_THRU_YYYYMM"/>
  </r>
  <r>
    <x v="1"/>
    <s v="FFV.MA_MAO004.MERCYOK.1214771.20260321.202024531.txt"/>
    <x v="109"/>
    <x v="9"/>
    <n v="3001"/>
    <n v="90383"/>
    <n v="3.32"/>
    <s v="DQS_MAO04_FILE_000_B"/>
    <s v="RECORD COUNT by MBR_ID, DOS_THRU_DT, DX_CD Grain grouped by PAYER, SRC_FILE_NM, DOS_THRU_YYYYMM"/>
  </r>
  <r>
    <x v="1"/>
    <s v="FFV.MA_MAO004.MERCYOK.1214771.20260321.202024531.txt"/>
    <x v="110"/>
    <x v="11"/>
    <n v="4268"/>
    <n v="90383"/>
    <n v="4.72"/>
    <s v="DQS_MAO04_FILE_000_B"/>
    <s v="RECORD COUNT by MBR_ID, DOS_THRU_DT, DX_CD Grain grouped by PAYER, SRC_FILE_NM, DOS_THRU_YYYYMM"/>
  </r>
  <r>
    <x v="1"/>
    <s v="FFV.MA_MAO004.MERCYOK.1214771.20260321.202024531.txt"/>
    <x v="111"/>
    <x v="11"/>
    <n v="3746"/>
    <n v="90383"/>
    <n v="4.1399999999999997"/>
    <s v="DQS_MAO04_FILE_000_B"/>
    <s v="RECORD COUNT by MBR_ID, DOS_THRU_DT, DX_CD Grain grouped by PAYER, SRC_FILE_NM, DOS_THRU_YYYYMM"/>
  </r>
  <r>
    <x v="1"/>
    <s v="FFV.MA_MAO004.MERCYOK.1214771.20260321.202024531.txt"/>
    <x v="112"/>
    <x v="11"/>
    <n v="4166"/>
    <n v="90383"/>
    <n v="4.6100000000000003"/>
    <s v="DQS_MAO04_FILE_000_B"/>
    <s v="RECORD COUNT by MBR_ID, DOS_THRU_DT, DX_CD Grain grouped by PAYER, SRC_FILE_NM, DOS_THRU_YYYYMM"/>
  </r>
  <r>
    <x v="1"/>
    <s v="FFV.MA_MAO004.MERCYOK.1214771.20260321.202024531.txt"/>
    <x v="113"/>
    <x v="11"/>
    <n v="3743"/>
    <n v="90383"/>
    <n v="4.1399999999999997"/>
    <s v="DQS_MAO04_FILE_000_B"/>
    <s v="RECORD COUNT by MBR_ID, DOS_THRU_DT, DX_CD Grain grouped by PAYER, SRC_FILE_NM, DOS_THRU_YYYYMM"/>
  </r>
  <r>
    <x v="1"/>
    <s v="FFV.MA_MAO004.MERCYOK.1214771.20260321.202024531.txt"/>
    <x v="114"/>
    <x v="11"/>
    <n v="3930"/>
    <n v="90383"/>
    <n v="4.3499999999999996"/>
    <s v="DQS_MAO04_FILE_000_B"/>
    <s v="RECORD COUNT by MBR_ID, DOS_THRU_DT, DX_CD Grain grouped by PAYER, SRC_FILE_NM, DOS_THRU_YYYYMM"/>
  </r>
  <r>
    <x v="1"/>
    <s v="FFV.MA_MAO004.MERCYOK.1214771.20260321.202024531.txt"/>
    <x v="115"/>
    <x v="11"/>
    <n v="3614"/>
    <n v="90383"/>
    <n v="4"/>
    <s v="DQS_MAO04_FILE_000_B"/>
    <s v="RECORD COUNT by MBR_ID, DOS_THRU_DT, DX_CD Grain grouped by PAYER, SRC_FILE_NM, DOS_THRU_YYYYMM"/>
  </r>
  <r>
    <x v="1"/>
    <s v="FFV.MA_MAO004.MERCYOK.1214771.20260321.202024531.txt"/>
    <x v="116"/>
    <x v="11"/>
    <n v="4058"/>
    <n v="90383"/>
    <n v="4.49"/>
    <s v="DQS_MAO04_FILE_000_B"/>
    <s v="RECORD COUNT by MBR_ID, DOS_THRU_DT, DX_CD Grain grouped by PAYER, SRC_FILE_NM, DOS_THRU_YYYYMM"/>
  </r>
  <r>
    <x v="1"/>
    <s v="FFV.MA_MAO004.MERCYOK.1214771.20260321.202024531.txt"/>
    <x v="117"/>
    <x v="11"/>
    <n v="3866"/>
    <n v="90383"/>
    <n v="4.28"/>
    <s v="DQS_MAO04_FILE_000_B"/>
    <s v="RECORD COUNT by MBR_ID, DOS_THRU_DT, DX_CD Grain grouped by PAYER, SRC_FILE_NM, DOS_THRU_YYYYMM"/>
  </r>
  <r>
    <x v="1"/>
    <s v="FFV.MA_MAO004.MERCYOK.1214771.20260321.202024531.txt"/>
    <x v="118"/>
    <x v="11"/>
    <n v="4076"/>
    <n v="90383"/>
    <n v="4.51"/>
    <s v="DQS_MAO04_FILE_000_B"/>
    <s v="RECORD COUNT by MBR_ID, DOS_THRU_DT, DX_CD Grain grouped by PAYER, SRC_FILE_NM, DOS_THRU_YYYYMM"/>
  </r>
  <r>
    <x v="1"/>
    <s v="FFV.MA_MAO004.MERCYOK.1214771.20260321.202024531.txt"/>
    <x v="119"/>
    <x v="11"/>
    <n v="4536"/>
    <n v="90383"/>
    <n v="5.0199999999999996"/>
    <s v="DQS_MAO04_FILE_000_B"/>
    <s v="RECORD COUNT by MBR_ID, DOS_THRU_DT, DX_CD Grain grouped by PAYER, SRC_FILE_NM, DOS_THRU_YYYYMM"/>
  </r>
  <r>
    <x v="1"/>
    <s v="FFV.MA_MAO004.MERCYOK.1214771.20260321.202024531.txt"/>
    <x v="120"/>
    <x v="11"/>
    <n v="3924"/>
    <n v="90383"/>
    <n v="4.34"/>
    <s v="DQS_MAO04_FILE_000_B"/>
    <s v="RECORD COUNT by MBR_ID, DOS_THRU_DT, DX_CD Grain grouped by PAYER, SRC_FILE_NM, DOS_THRU_YYYYMM"/>
  </r>
  <r>
    <x v="1"/>
    <s v="FFV.MA_MAO004.MERCYOK.1214771.20260321.202024531.txt"/>
    <x v="121"/>
    <x v="11"/>
    <n v="4595"/>
    <n v="90383"/>
    <n v="5.08"/>
    <s v="DQS_MAO04_FILE_000_B"/>
    <s v="RECORD COUNT by MBR_ID, DOS_THRU_DT, DX_CD Grain grouped by PAYER, SRC_FILE_NM, DOS_THRU_YYYYMM"/>
  </r>
  <r>
    <x v="1"/>
    <s v="FFV.MA_MAO004.MERCYOK.1214771.20260321.202024531.txt"/>
    <x v="122"/>
    <x v="12"/>
    <n v="5150"/>
    <n v="90383"/>
    <n v="5.7"/>
    <s v="DQS_MAO04_FILE_000_B"/>
    <s v="RECORD COUNT by MBR_ID, DOS_THRU_DT, DX_CD Grain grouped by PAYER, SRC_FILE_NM, DOS_THRU_YYYYMM"/>
  </r>
  <r>
    <x v="1"/>
    <s v="FFV.MA_MAO004.MERCYOK.1214771.20260321.202024531.txt"/>
    <x v="123"/>
    <x v="12"/>
    <n v="2318"/>
    <n v="90383"/>
    <n v="2.56"/>
    <s v="DQS_MAO04_FILE_000_B"/>
    <s v="RECORD COUNT by MBR_ID, DOS_THRU_DT, DX_CD Grain grouped by PAYER, SRC_FILE_NM, DOS_THRU_YYYYMM"/>
  </r>
  <r>
    <x v="1"/>
    <s v="FFV.MA_MAO004.MERCYOK.1214771.20260422.224531921.txt"/>
    <x v="89"/>
    <x v="9"/>
    <n v="2463"/>
    <n v="91865"/>
    <n v="2.68"/>
    <s v="DQS_MAO04_FILE_000_B"/>
    <s v="RECORD COUNT by MBR_ID, DOS_THRU_DT, DX_CD Grain grouped by PAYER, SRC_FILE_NM, DOS_THRU_YYYYMM"/>
  </r>
  <r>
    <x v="1"/>
    <s v="FFV.MA_MAO004.MERCYOK.1214771.20260422.224531921.txt"/>
    <x v="97"/>
    <x v="9"/>
    <n v="2921"/>
    <n v="91865"/>
    <n v="3.18"/>
    <s v="DQS_MAO04_FILE_000_B"/>
    <s v="RECORD COUNT by MBR_ID, DOS_THRU_DT, DX_CD Grain grouped by PAYER, SRC_FILE_NM, DOS_THRU_YYYYMM"/>
  </r>
  <r>
    <x v="1"/>
    <s v="FFV.MA_MAO004.MERCYOK.1214771.20260422.224531921.txt"/>
    <x v="98"/>
    <x v="9"/>
    <n v="2865"/>
    <n v="91865"/>
    <n v="3.12"/>
    <s v="DQS_MAO04_FILE_000_B"/>
    <s v="RECORD COUNT by MBR_ID, DOS_THRU_DT, DX_CD Grain grouped by PAYER, SRC_FILE_NM, DOS_THRU_YYYYMM"/>
  </r>
  <r>
    <x v="1"/>
    <s v="FFV.MA_MAO004.MERCYOK.1214771.20260422.224531921.txt"/>
    <x v="99"/>
    <x v="9"/>
    <n v="3038"/>
    <n v="91865"/>
    <n v="3.31"/>
    <s v="DQS_MAO04_FILE_000_B"/>
    <s v="RECORD COUNT by MBR_ID, DOS_THRU_DT, DX_CD Grain grouped by PAYER, SRC_FILE_NM, DOS_THRU_YYYYMM"/>
  </r>
  <r>
    <x v="1"/>
    <s v="FFV.MA_MAO004.MERCYOK.1214771.20260422.224531921.txt"/>
    <x v="100"/>
    <x v="9"/>
    <n v="2694"/>
    <n v="91865"/>
    <n v="2.93"/>
    <s v="DQS_MAO04_FILE_000_B"/>
    <s v="RECORD COUNT by MBR_ID, DOS_THRU_DT, DX_CD Grain grouped by PAYER, SRC_FILE_NM, DOS_THRU_YYYYMM"/>
  </r>
  <r>
    <x v="1"/>
    <s v="FFV.MA_MAO004.MERCYOK.1214771.20260422.224531921.txt"/>
    <x v="102"/>
    <x v="9"/>
    <n v="2489"/>
    <n v="91865"/>
    <n v="2.71"/>
    <s v="DQS_MAO04_FILE_000_B"/>
    <s v="RECORD COUNT by MBR_ID, DOS_THRU_DT, DX_CD Grain grouped by PAYER, SRC_FILE_NM, DOS_THRU_YYYYMM"/>
  </r>
  <r>
    <x v="1"/>
    <s v="FFV.MA_MAO004.MERCYOK.1214771.20260422.224531921.txt"/>
    <x v="103"/>
    <x v="9"/>
    <n v="2503"/>
    <n v="91865"/>
    <n v="2.72"/>
    <s v="DQS_MAO04_FILE_000_B"/>
    <s v="RECORD COUNT by MBR_ID, DOS_THRU_DT, DX_CD Grain grouped by PAYER, SRC_FILE_NM, DOS_THRU_YYYYMM"/>
  </r>
  <r>
    <x v="1"/>
    <s v="FFV.MA_MAO004.MERCYOK.1214771.20260422.224531921.txt"/>
    <x v="105"/>
    <x v="9"/>
    <n v="2754"/>
    <n v="91865"/>
    <n v="3"/>
    <s v="DQS_MAO04_FILE_000_B"/>
    <s v="RECORD COUNT by MBR_ID, DOS_THRU_DT, DX_CD Grain grouped by PAYER, SRC_FILE_NM, DOS_THRU_YYYYMM"/>
  </r>
  <r>
    <x v="1"/>
    <s v="FFV.MA_MAO004.MERCYOK.1214771.20260422.224531921.txt"/>
    <x v="106"/>
    <x v="9"/>
    <n v="2913"/>
    <n v="91865"/>
    <n v="3.17"/>
    <s v="DQS_MAO04_FILE_000_B"/>
    <s v="RECORD COUNT by MBR_ID, DOS_THRU_DT, DX_CD Grain grouped by PAYER, SRC_FILE_NM, DOS_THRU_YYYYMM"/>
  </r>
  <r>
    <x v="1"/>
    <s v="FFV.MA_MAO004.MERCYOK.1214771.20260422.224531921.txt"/>
    <x v="107"/>
    <x v="9"/>
    <n v="3341"/>
    <n v="91865"/>
    <n v="3.64"/>
    <s v="DQS_MAO04_FILE_000_B"/>
    <s v="RECORD COUNT by MBR_ID, DOS_THRU_DT, DX_CD Grain grouped by PAYER, SRC_FILE_NM, DOS_THRU_YYYYMM"/>
  </r>
  <r>
    <x v="1"/>
    <s v="FFV.MA_MAO004.MERCYOK.1214771.20260422.224531921.txt"/>
    <x v="108"/>
    <x v="9"/>
    <n v="2871"/>
    <n v="91865"/>
    <n v="3.13"/>
    <s v="DQS_MAO04_FILE_000_B"/>
    <s v="RECORD COUNT by MBR_ID, DOS_THRU_DT, DX_CD Grain grouped by PAYER, SRC_FILE_NM, DOS_THRU_YYYYMM"/>
  </r>
  <r>
    <x v="1"/>
    <s v="FFV.MA_MAO004.MERCYOK.1214771.20260422.224531921.txt"/>
    <x v="109"/>
    <x v="9"/>
    <n v="2886"/>
    <n v="91865"/>
    <n v="3.14"/>
    <s v="DQS_MAO04_FILE_000_B"/>
    <s v="RECORD COUNT by MBR_ID, DOS_THRU_DT, DX_CD Grain grouped by PAYER, SRC_FILE_NM, DOS_THRU_YYYYMM"/>
  </r>
  <r>
    <x v="1"/>
    <s v="FFV.MA_MAO004.MERCYOK.1214771.20260422.224531921.txt"/>
    <x v="110"/>
    <x v="11"/>
    <n v="4181"/>
    <n v="91865"/>
    <n v="4.55"/>
    <s v="DQS_MAO04_FILE_000_B"/>
    <s v="RECORD COUNT by MBR_ID, DOS_THRU_DT, DX_CD Grain grouped by PAYER, SRC_FILE_NM, DOS_THRU_YYYYMM"/>
  </r>
  <r>
    <x v="1"/>
    <s v="FFV.MA_MAO004.MERCYOK.1214771.20260422.224531921.txt"/>
    <x v="111"/>
    <x v="11"/>
    <n v="3594"/>
    <n v="91865"/>
    <n v="3.91"/>
    <s v="DQS_MAO04_FILE_000_B"/>
    <s v="RECORD COUNT by MBR_ID, DOS_THRU_DT, DX_CD Grain grouped by PAYER, SRC_FILE_NM, DOS_THRU_YYYYMM"/>
  </r>
  <r>
    <x v="1"/>
    <s v="FFV.MA_MAO004.MERCYOK.1214771.20260422.224531921.txt"/>
    <x v="112"/>
    <x v="11"/>
    <n v="3964"/>
    <n v="91865"/>
    <n v="4.32"/>
    <s v="DQS_MAO04_FILE_000_B"/>
    <s v="RECORD COUNT by MBR_ID, DOS_THRU_DT, DX_CD Grain grouped by PAYER, SRC_FILE_NM, DOS_THRU_YYYYMM"/>
  </r>
  <r>
    <x v="1"/>
    <s v="FFV.MA_MAO004.MERCYOK.1214771.20260422.224531921.txt"/>
    <x v="113"/>
    <x v="11"/>
    <n v="3577"/>
    <n v="91865"/>
    <n v="3.89"/>
    <s v="DQS_MAO04_FILE_000_B"/>
    <s v="RECORD COUNT by MBR_ID, DOS_THRU_DT, DX_CD Grain grouped by PAYER, SRC_FILE_NM, DOS_THRU_YYYYMM"/>
  </r>
  <r>
    <x v="1"/>
    <s v="FFV.MA_MAO004.MERCYOK.1214771.20260422.224531921.txt"/>
    <x v="114"/>
    <x v="11"/>
    <n v="3817"/>
    <n v="91865"/>
    <n v="4.16"/>
    <s v="DQS_MAO04_FILE_000_B"/>
    <s v="RECORD COUNT by MBR_ID, DOS_THRU_DT, DX_CD Grain grouped by PAYER, SRC_FILE_NM, DOS_THRU_YYYYMM"/>
  </r>
  <r>
    <x v="1"/>
    <s v="FFV.MA_MAO004.MERCYOK.1214771.20260422.224531921.txt"/>
    <x v="115"/>
    <x v="11"/>
    <n v="3508"/>
    <n v="91865"/>
    <n v="3.82"/>
    <s v="DQS_MAO04_FILE_000_B"/>
    <s v="RECORD COUNT by MBR_ID, DOS_THRU_DT, DX_CD Grain grouped by PAYER, SRC_FILE_NM, DOS_THRU_YYYYMM"/>
  </r>
  <r>
    <x v="1"/>
    <s v="FFV.MA_MAO004.MERCYOK.1214771.20260422.224531921.txt"/>
    <x v="116"/>
    <x v="11"/>
    <n v="3729"/>
    <n v="91865"/>
    <n v="4.0599999999999996"/>
    <s v="DQS_MAO04_FILE_000_B"/>
    <s v="RECORD COUNT by MBR_ID, DOS_THRU_DT, DX_CD Grain grouped by PAYER, SRC_FILE_NM, DOS_THRU_YYYYMM"/>
  </r>
  <r>
    <x v="1"/>
    <s v="FFV.MA_MAO004.MERCYOK.1214771.20260422.224531921.txt"/>
    <x v="117"/>
    <x v="11"/>
    <n v="3501"/>
    <n v="91865"/>
    <n v="3.81"/>
    <s v="DQS_MAO04_FILE_000_B"/>
    <s v="RECORD COUNT by MBR_ID, DOS_THRU_DT, DX_CD Grain grouped by PAYER, SRC_FILE_NM, DOS_THRU_YYYYMM"/>
  </r>
  <r>
    <x v="1"/>
    <s v="FFV.MA_MAO004.MERCYOK.1214771.20260422.224531921.txt"/>
    <x v="118"/>
    <x v="11"/>
    <n v="3878"/>
    <n v="91865"/>
    <n v="4.22"/>
    <s v="DQS_MAO04_FILE_000_B"/>
    <s v="RECORD COUNT by MBR_ID, DOS_THRU_DT, DX_CD Grain grouped by PAYER, SRC_FILE_NM, DOS_THRU_YYYYMM"/>
  </r>
  <r>
    <x v="1"/>
    <s v="FFV.MA_MAO004.MERCYOK.1214771.20260422.224531921.txt"/>
    <x v="119"/>
    <x v="11"/>
    <n v="4335"/>
    <n v="91865"/>
    <n v="4.72"/>
    <s v="DQS_MAO04_FILE_000_B"/>
    <s v="RECORD COUNT by MBR_ID, DOS_THRU_DT, DX_CD Grain grouped by PAYER, SRC_FILE_NM, DOS_THRU_YYYYMM"/>
  </r>
  <r>
    <x v="1"/>
    <s v="FFV.MA_MAO004.MERCYOK.1214771.20260422.224531921.txt"/>
    <x v="120"/>
    <x v="11"/>
    <n v="3772"/>
    <n v="91865"/>
    <n v="4.1100000000000003"/>
    <s v="DQS_MAO04_FILE_000_B"/>
    <s v="RECORD COUNT by MBR_ID, DOS_THRU_DT, DX_CD Grain grouped by PAYER, SRC_FILE_NM, DOS_THRU_YYYYMM"/>
  </r>
  <r>
    <x v="1"/>
    <s v="FFV.MA_MAO004.MERCYOK.1214771.20260422.224531921.txt"/>
    <x v="121"/>
    <x v="11"/>
    <n v="4317"/>
    <n v="91865"/>
    <n v="4.7"/>
    <s v="DQS_MAO04_FILE_000_B"/>
    <s v="RECORD COUNT by MBR_ID, DOS_THRU_DT, DX_CD Grain grouped by PAYER, SRC_FILE_NM, DOS_THRU_YYYYMM"/>
  </r>
  <r>
    <x v="1"/>
    <s v="FFV.MA_MAO004.MERCYOK.1214771.20260422.224531921.txt"/>
    <x v="122"/>
    <x v="12"/>
    <n v="5160"/>
    <n v="91865"/>
    <n v="5.62"/>
    <s v="DQS_MAO04_FILE_000_B"/>
    <s v="RECORD COUNT by MBR_ID, DOS_THRU_DT, DX_CD Grain grouped by PAYER, SRC_FILE_NM, DOS_THRU_YYYYMM"/>
  </r>
  <r>
    <x v="1"/>
    <s v="FFV.MA_MAO004.MERCYOK.1214771.20260422.224531921.txt"/>
    <x v="123"/>
    <x v="12"/>
    <n v="4778"/>
    <n v="91865"/>
    <n v="5.2"/>
    <s v="DQS_MAO04_FILE_000_B"/>
    <s v="RECORD COUNT by MBR_ID, DOS_THRU_DT, DX_CD Grain grouped by PAYER, SRC_FILE_NM, DOS_THRU_YYYYMM"/>
  </r>
  <r>
    <x v="1"/>
    <s v="FFV.MA_MAO004.MERCYOK.1214771.20260422.224531921.txt"/>
    <x v="124"/>
    <x v="12"/>
    <n v="2016"/>
    <n v="91865"/>
    <n v="2.19"/>
    <s v="DQS_MAO04_FILE_000_B"/>
    <s v="RECORD COUNT by MBR_ID, DOS_THRU_DT, DX_CD Grain grouped by PAYER, SRC_FILE_NM, DOS_THRU_YYYYMM"/>
  </r>
  <r>
    <x v="1"/>
    <s v="FFV.MA_MAO004.MERCYOK.1214771.20260521.180338616.txt"/>
    <x v="89"/>
    <x v="9"/>
    <n v="2447"/>
    <n v="96413"/>
    <n v="2.54"/>
    <s v="DQS_MAO04_FILE_000_B"/>
    <s v="RECORD COUNT by MBR_ID, DOS_THRU_DT, DX_CD Grain grouped by PAYER, SRC_FILE_NM, DOS_THRU_YYYYMM"/>
  </r>
  <r>
    <x v="1"/>
    <s v="FFV.MA_MAO004.MERCYOK.1214771.20260521.180338616.txt"/>
    <x v="97"/>
    <x v="9"/>
    <n v="3068"/>
    <n v="96413"/>
    <n v="3.18"/>
    <s v="DQS_MAO04_FILE_000_B"/>
    <s v="RECORD COUNT by MBR_ID, DOS_THRU_DT, DX_CD Grain grouped by PAYER, SRC_FILE_NM, DOS_THRU_YYYYMM"/>
  </r>
  <r>
    <x v="1"/>
    <s v="FFV.MA_MAO004.MERCYOK.1214771.20260521.180338616.txt"/>
    <x v="98"/>
    <x v="9"/>
    <n v="3041"/>
    <n v="96413"/>
    <n v="3.15"/>
    <s v="DQS_MAO04_FILE_000_B"/>
    <s v="RECORD COUNT by MBR_ID, DOS_THRU_DT, DX_CD Grain grouped by PAYER, SRC_FILE_NM, DOS_THRU_YYYYMM"/>
  </r>
  <r>
    <x v="1"/>
    <s v="FFV.MA_MAO004.MERCYOK.1214771.20260521.180338616.txt"/>
    <x v="99"/>
    <x v="9"/>
    <n v="3212"/>
    <n v="96413"/>
    <n v="3.33"/>
    <s v="DQS_MAO04_FILE_000_B"/>
    <s v="RECORD COUNT by MBR_ID, DOS_THRU_DT, DX_CD Grain grouped by PAYER, SRC_FILE_NM, DOS_THRU_YYYYMM"/>
  </r>
  <r>
    <x v="1"/>
    <s v="FFV.MA_MAO004.MERCYOK.1214771.20260521.180338616.txt"/>
    <x v="100"/>
    <x v="9"/>
    <n v="2830"/>
    <n v="96413"/>
    <n v="2.94"/>
    <s v="DQS_MAO04_FILE_000_B"/>
    <s v="RECORD COUNT by MBR_ID, DOS_THRU_DT, DX_CD Grain grouped by PAYER, SRC_FILE_NM, DOS_THRU_YYYYMM"/>
  </r>
  <r>
    <x v="1"/>
    <s v="FFV.MA_MAO004.MERCYOK.1214771.20260521.180338616.txt"/>
    <x v="102"/>
    <x v="9"/>
    <n v="2652"/>
    <n v="96413"/>
    <n v="2.75"/>
    <s v="DQS_MAO04_FILE_000_B"/>
    <s v="RECORD COUNT by MBR_ID, DOS_THRU_DT, DX_CD Grain grouped by PAYER, SRC_FILE_NM, DOS_THRU_YYYYMM"/>
  </r>
  <r>
    <x v="1"/>
    <s v="FFV.MA_MAO004.MERCYOK.1214771.20260521.180338616.txt"/>
    <x v="103"/>
    <x v="9"/>
    <n v="2494"/>
    <n v="96413"/>
    <n v="2.59"/>
    <s v="DQS_MAO04_FILE_000_B"/>
    <s v="RECORD COUNT by MBR_ID, DOS_THRU_DT, DX_CD Grain grouped by PAYER, SRC_FILE_NM, DOS_THRU_YYYYMM"/>
  </r>
  <r>
    <x v="1"/>
    <s v="FFV.MA_MAO004.MERCYOK.1214771.20260521.180338616.txt"/>
    <x v="105"/>
    <x v="9"/>
    <n v="2946"/>
    <n v="96413"/>
    <n v="3.06"/>
    <s v="DQS_MAO04_FILE_000_B"/>
    <s v="RECORD COUNT by MBR_ID, DOS_THRU_DT, DX_CD Grain grouped by PAYER, SRC_FILE_NM, DOS_THRU_YYYYMM"/>
  </r>
  <r>
    <x v="1"/>
    <s v="FFV.MA_MAO004.MERCYOK.1214771.20260521.180338616.txt"/>
    <x v="106"/>
    <x v="9"/>
    <n v="2884"/>
    <n v="96413"/>
    <n v="2.99"/>
    <s v="DQS_MAO04_FILE_000_B"/>
    <s v="RECORD COUNT by MBR_ID, DOS_THRU_DT, DX_CD Grain grouped by PAYER, SRC_FILE_NM, DOS_THRU_YYYYMM"/>
  </r>
  <r>
    <x v="1"/>
    <s v="FFV.MA_MAO004.MERCYOK.1214771.20260521.180338616.txt"/>
    <x v="107"/>
    <x v="9"/>
    <n v="3514"/>
    <n v="96413"/>
    <n v="3.64"/>
    <s v="DQS_MAO04_FILE_000_B"/>
    <s v="RECORD COUNT by MBR_ID, DOS_THRU_DT, DX_CD Grain grouped by PAYER, SRC_FILE_NM, DOS_THRU_YYYYMM"/>
  </r>
  <r>
    <x v="1"/>
    <s v="FFV.MA_MAO004.MERCYOK.1214771.20260521.180338616.txt"/>
    <x v="108"/>
    <x v="9"/>
    <n v="2847"/>
    <n v="96413"/>
    <n v="2.95"/>
    <s v="DQS_MAO04_FILE_000_B"/>
    <s v="RECORD COUNT by MBR_ID, DOS_THRU_DT, DX_CD Grain grouped by PAYER, SRC_FILE_NM, DOS_THRU_YYYYMM"/>
  </r>
  <r>
    <x v="1"/>
    <s v="FFV.MA_MAO004.MERCYOK.1214771.20260521.180338616.txt"/>
    <x v="109"/>
    <x v="9"/>
    <n v="3004"/>
    <n v="96413"/>
    <n v="3.12"/>
    <s v="DQS_MAO04_FILE_000_B"/>
    <s v="RECORD COUNT by MBR_ID, DOS_THRU_DT, DX_CD Grain grouped by PAYER, SRC_FILE_NM, DOS_THRU_YYYYMM"/>
  </r>
  <r>
    <x v="1"/>
    <s v="FFV.MA_MAO004.MERCYOK.1214771.20260521.180338616.txt"/>
    <x v="110"/>
    <x v="11"/>
    <n v="4165"/>
    <n v="96413"/>
    <n v="4.32"/>
    <s v="DQS_MAO04_FILE_000_B"/>
    <s v="RECORD COUNT by MBR_ID, DOS_THRU_DT, DX_CD Grain grouped by PAYER, SRC_FILE_NM, DOS_THRU_YYYYMM"/>
  </r>
  <r>
    <x v="1"/>
    <s v="FFV.MA_MAO004.MERCYOK.1214771.20260521.180338616.txt"/>
    <x v="111"/>
    <x v="11"/>
    <n v="3545"/>
    <n v="96413"/>
    <n v="3.68"/>
    <s v="DQS_MAO04_FILE_000_B"/>
    <s v="RECORD COUNT by MBR_ID, DOS_THRU_DT, DX_CD Grain grouped by PAYER, SRC_FILE_NM, DOS_THRU_YYYYMM"/>
  </r>
  <r>
    <x v="1"/>
    <s v="FFV.MA_MAO004.MERCYOK.1214771.20260521.180338616.txt"/>
    <x v="112"/>
    <x v="11"/>
    <n v="3952"/>
    <n v="96413"/>
    <n v="4.0999999999999996"/>
    <s v="DQS_MAO04_FILE_000_B"/>
    <s v="RECORD COUNT by MBR_ID, DOS_THRU_DT, DX_CD Grain grouped by PAYER, SRC_FILE_NM, DOS_THRU_YYYYMM"/>
  </r>
  <r>
    <x v="1"/>
    <s v="FFV.MA_MAO004.MERCYOK.1214771.20260521.180338616.txt"/>
    <x v="113"/>
    <x v="11"/>
    <n v="3557"/>
    <n v="96413"/>
    <n v="3.69"/>
    <s v="DQS_MAO04_FILE_000_B"/>
    <s v="RECORD COUNT by MBR_ID, DOS_THRU_DT, DX_CD Grain grouped by PAYER, SRC_FILE_NM, DOS_THRU_YYYYMM"/>
  </r>
  <r>
    <x v="1"/>
    <s v="FFV.MA_MAO004.MERCYOK.1214771.20260521.180338616.txt"/>
    <x v="114"/>
    <x v="11"/>
    <n v="3792"/>
    <n v="96413"/>
    <n v="3.93"/>
    <s v="DQS_MAO04_FILE_000_B"/>
    <s v="RECORD COUNT by MBR_ID, DOS_THRU_DT, DX_CD Grain grouped by PAYER, SRC_FILE_NM, DOS_THRU_YYYYMM"/>
  </r>
  <r>
    <x v="1"/>
    <s v="FFV.MA_MAO004.MERCYOK.1214771.20260521.180338616.txt"/>
    <x v="115"/>
    <x v="11"/>
    <n v="3481"/>
    <n v="96413"/>
    <n v="3.61"/>
    <s v="DQS_MAO04_FILE_000_B"/>
    <s v="RECORD COUNT by MBR_ID, DOS_THRU_DT, DX_CD Grain grouped by PAYER, SRC_FILE_NM, DOS_THRU_YYYYMM"/>
  </r>
  <r>
    <x v="1"/>
    <s v="FFV.MA_MAO004.MERCYOK.1214771.20260521.180338616.txt"/>
    <x v="116"/>
    <x v="11"/>
    <n v="3734"/>
    <n v="96413"/>
    <n v="3.87"/>
    <s v="DQS_MAO04_FILE_000_B"/>
    <s v="RECORD COUNT by MBR_ID, DOS_THRU_DT, DX_CD Grain grouped by PAYER, SRC_FILE_NM, DOS_THRU_YYYYMM"/>
  </r>
  <r>
    <x v="1"/>
    <s v="FFV.MA_MAO004.MERCYOK.1214771.20260521.180338616.txt"/>
    <x v="117"/>
    <x v="11"/>
    <n v="3494"/>
    <n v="96413"/>
    <n v="3.62"/>
    <s v="DQS_MAO04_FILE_000_B"/>
    <s v="RECORD COUNT by MBR_ID, DOS_THRU_DT, DX_CD Grain grouped by PAYER, SRC_FILE_NM, DOS_THRU_YYYYMM"/>
  </r>
  <r>
    <x v="1"/>
    <s v="FFV.MA_MAO004.MERCYOK.1214771.20260521.180338616.txt"/>
    <x v="118"/>
    <x v="11"/>
    <n v="3869"/>
    <n v="96413"/>
    <n v="4.01"/>
    <s v="DQS_MAO04_FILE_000_B"/>
    <s v="RECORD COUNT by MBR_ID, DOS_THRU_DT, DX_CD Grain grouped by PAYER, SRC_FILE_NM, DOS_THRU_YYYYMM"/>
  </r>
  <r>
    <x v="1"/>
    <s v="FFV.MA_MAO004.MERCYOK.1214771.20260521.180338616.txt"/>
    <x v="119"/>
    <x v="11"/>
    <n v="4342"/>
    <n v="96413"/>
    <n v="4.5"/>
    <s v="DQS_MAO04_FILE_000_B"/>
    <s v="RECORD COUNT by MBR_ID, DOS_THRU_DT, DX_CD Grain grouped by PAYER, SRC_FILE_NM, DOS_THRU_YYYYMM"/>
  </r>
  <r>
    <x v="1"/>
    <s v="FFV.MA_MAO004.MERCYOK.1214771.20260521.180338616.txt"/>
    <x v="120"/>
    <x v="11"/>
    <n v="3746"/>
    <n v="96413"/>
    <n v="3.89"/>
    <s v="DQS_MAO04_FILE_000_B"/>
    <s v="RECORD COUNT by MBR_ID, DOS_THRU_DT, DX_CD Grain grouped by PAYER, SRC_FILE_NM, DOS_THRU_YYYYMM"/>
  </r>
  <r>
    <x v="1"/>
    <s v="FFV.MA_MAO004.MERCYOK.1214771.20260521.180338616.txt"/>
    <x v="121"/>
    <x v="11"/>
    <n v="4290"/>
    <n v="96413"/>
    <n v="4.45"/>
    <s v="DQS_MAO04_FILE_000_B"/>
    <s v="RECORD COUNT by MBR_ID, DOS_THRU_DT, DX_CD Grain grouped by PAYER, SRC_FILE_NM, DOS_THRU_YYYYMM"/>
  </r>
  <r>
    <x v="1"/>
    <s v="FFV.MA_MAO004.MERCYOK.1214771.20260521.180338616.txt"/>
    <x v="122"/>
    <x v="12"/>
    <n v="5191"/>
    <n v="96413"/>
    <n v="5.38"/>
    <s v="DQS_MAO04_FILE_000_B"/>
    <s v="RECORD COUNT by MBR_ID, DOS_THRU_DT, DX_CD Grain grouped by PAYER, SRC_FILE_NM, DOS_THRU_YYYYMM"/>
  </r>
  <r>
    <x v="1"/>
    <s v="FFV.MA_MAO004.MERCYOK.1214771.20260521.180338616.txt"/>
    <x v="123"/>
    <x v="12"/>
    <n v="5039"/>
    <n v="96413"/>
    <n v="5.23"/>
    <s v="DQS_MAO04_FILE_000_B"/>
    <s v="RECORD COUNT by MBR_ID, DOS_THRU_DT, DX_CD Grain grouped by PAYER, SRC_FILE_NM, DOS_THRU_YYYYMM"/>
  </r>
  <r>
    <x v="1"/>
    <s v="FFV.MA_MAO004.MERCYOK.1214771.20260521.180338616.txt"/>
    <x v="124"/>
    <x v="12"/>
    <n v="5034"/>
    <n v="96413"/>
    <n v="5.22"/>
    <s v="DQS_MAO04_FILE_000_B"/>
    <s v="RECORD COUNT by MBR_ID, DOS_THRU_DT, DX_CD Grain grouped by PAYER, SRC_FILE_NM, DOS_THRU_YYYYMM"/>
  </r>
  <r>
    <x v="1"/>
    <s v="FFV.MA_MAO004.MERCYOK.1214771.20260521.180338616.txt"/>
    <x v="125"/>
    <x v="12"/>
    <n v="243"/>
    <n v="96413"/>
    <n v="0.25"/>
    <s v="DQS_MAO04_FILE_000_B"/>
    <s v="RECORD COUNT by MBR_ID, DOS_THRU_DT, DX_CD Grain grouped by PAYER, SRC_FILE_NM, DOS_THRU_YYYYMM"/>
  </r>
  <r>
    <x v="2"/>
    <s v="FINGLOBL_PE202401_REMAO004.TXT"/>
    <x v="47"/>
    <x v="5"/>
    <n v="1"/>
    <n v="147431"/>
    <n v="0"/>
    <s v="DQS_MAO04_FILE_000_B"/>
    <s v="RECORD COUNT by MBR_ID, DOS_THRU_DT, DX_CD Grain grouped by PAYER, SRC_FILE_NM, DOS_THRU_YYYYMM"/>
  </r>
  <r>
    <x v="2"/>
    <s v="FINGLOBL_PE202401_REMAO004.TXT"/>
    <x v="48"/>
    <x v="5"/>
    <n v="11"/>
    <n v="147431"/>
    <n v="0.01"/>
    <s v="DQS_MAO04_FILE_000_B"/>
    <s v="RECORD COUNT by MBR_ID, DOS_THRU_DT, DX_CD Grain grouped by PAYER, SRC_FILE_NM, DOS_THRU_YYYYMM"/>
  </r>
  <r>
    <x v="2"/>
    <s v="FINGLOBL_PE202401_REMAO004.TXT"/>
    <x v="50"/>
    <x v="5"/>
    <n v="5"/>
    <n v="147431"/>
    <n v="0"/>
    <s v="DQS_MAO04_FILE_000_B"/>
    <s v="RECORD COUNT by MBR_ID, DOS_THRU_DT, DX_CD Grain grouped by PAYER, SRC_FILE_NM, DOS_THRU_YYYYMM"/>
  </r>
  <r>
    <x v="2"/>
    <s v="FINGLOBL_PE202401_REMAO004.TXT"/>
    <x v="59"/>
    <x v="6"/>
    <n v="10"/>
    <n v="147431"/>
    <n v="0.01"/>
    <s v="DQS_MAO04_FILE_000_B"/>
    <s v="RECORD COUNT by MBR_ID, DOS_THRU_DT, DX_CD Grain grouped by PAYER, SRC_FILE_NM, DOS_THRU_YYYYMM"/>
  </r>
  <r>
    <x v="2"/>
    <s v="FINGLOBL_PE202401_REMAO004.TXT"/>
    <x v="60"/>
    <x v="6"/>
    <n v="2"/>
    <n v="147431"/>
    <n v="0"/>
    <s v="DQS_MAO04_FILE_000_B"/>
    <s v="RECORD COUNT by MBR_ID, DOS_THRU_DT, DX_CD Grain grouped by PAYER, SRC_FILE_NM, DOS_THRU_YYYYMM"/>
  </r>
  <r>
    <x v="2"/>
    <s v="FINGLOBL_PE202401_REMAO004.TXT"/>
    <x v="61"/>
    <x v="6"/>
    <n v="7"/>
    <n v="147431"/>
    <n v="0"/>
    <s v="DQS_MAO04_FILE_000_B"/>
    <s v="RECORD COUNT by MBR_ID, DOS_THRU_DT, DX_CD Grain grouped by PAYER, SRC_FILE_NM, DOS_THRU_YYYYMM"/>
  </r>
  <r>
    <x v="2"/>
    <s v="FINGLOBL_PE202401_REMAO004.TXT"/>
    <x v="62"/>
    <x v="6"/>
    <n v="1"/>
    <n v="147431"/>
    <n v="0"/>
    <s v="DQS_MAO04_FILE_000_B"/>
    <s v="RECORD COUNT by MBR_ID, DOS_THRU_DT, DX_CD Grain grouped by PAYER, SRC_FILE_NM, DOS_THRU_YYYYMM"/>
  </r>
  <r>
    <x v="2"/>
    <s v="FINGLOBL_PE202401_REMAO004.TXT"/>
    <x v="63"/>
    <x v="6"/>
    <n v="13"/>
    <n v="147431"/>
    <n v="0.01"/>
    <s v="DQS_MAO04_FILE_000_B"/>
    <s v="RECORD COUNT by MBR_ID, DOS_THRU_DT, DX_CD Grain grouped by PAYER, SRC_FILE_NM, DOS_THRU_YYYYMM"/>
  </r>
  <r>
    <x v="2"/>
    <s v="FINGLOBL_PE202401_REMAO004.TXT"/>
    <x v="64"/>
    <x v="6"/>
    <n v="16"/>
    <n v="147431"/>
    <n v="0.01"/>
    <s v="DQS_MAO04_FILE_000_B"/>
    <s v="RECORD COUNT by MBR_ID, DOS_THRU_DT, DX_CD Grain grouped by PAYER, SRC_FILE_NM, DOS_THRU_YYYYMM"/>
  </r>
  <r>
    <x v="2"/>
    <s v="FINGLOBL_PE202401_REMAO004.TXT"/>
    <x v="65"/>
    <x v="7"/>
    <n v="94"/>
    <n v="147431"/>
    <n v="0.06"/>
    <s v="DQS_MAO04_FILE_000_B"/>
    <s v="RECORD COUNT by MBR_ID, DOS_THRU_DT, DX_CD Grain grouped by PAYER, SRC_FILE_NM, DOS_THRU_YYYYMM"/>
  </r>
  <r>
    <x v="2"/>
    <s v="FINGLOBL_PE202401_REMAO004.TXT"/>
    <x v="66"/>
    <x v="7"/>
    <n v="119"/>
    <n v="147431"/>
    <n v="0.08"/>
    <s v="DQS_MAO04_FILE_000_B"/>
    <s v="RECORD COUNT by MBR_ID, DOS_THRU_DT, DX_CD Grain grouped by PAYER, SRC_FILE_NM, DOS_THRU_YYYYMM"/>
  </r>
  <r>
    <x v="2"/>
    <s v="FINGLOBL_PE202401_REMAO004.TXT"/>
    <x v="67"/>
    <x v="7"/>
    <n v="106"/>
    <n v="147431"/>
    <n v="7.0000000000000007E-2"/>
    <s v="DQS_MAO04_FILE_000_B"/>
    <s v="RECORD COUNT by MBR_ID, DOS_THRU_DT, DX_CD Grain grouped by PAYER, SRC_FILE_NM, DOS_THRU_YYYYMM"/>
  </r>
  <r>
    <x v="2"/>
    <s v="FINGLOBL_PE202401_REMAO004.TXT"/>
    <x v="68"/>
    <x v="7"/>
    <n v="203"/>
    <n v="147431"/>
    <n v="0.14000000000000001"/>
    <s v="DQS_MAO04_FILE_000_B"/>
    <s v="RECORD COUNT by MBR_ID, DOS_THRU_DT, DX_CD Grain grouped by PAYER, SRC_FILE_NM, DOS_THRU_YYYYMM"/>
  </r>
  <r>
    <x v="2"/>
    <s v="FINGLOBL_PE202401_REMAO004.TXT"/>
    <x v="69"/>
    <x v="7"/>
    <n v="35"/>
    <n v="147431"/>
    <n v="0.02"/>
    <s v="DQS_MAO04_FILE_000_B"/>
    <s v="RECORD COUNT by MBR_ID, DOS_THRU_DT, DX_CD Grain grouped by PAYER, SRC_FILE_NM, DOS_THRU_YYYYMM"/>
  </r>
  <r>
    <x v="2"/>
    <s v="FINGLOBL_PE202401_REMAO004.TXT"/>
    <x v="70"/>
    <x v="7"/>
    <n v="163"/>
    <n v="147431"/>
    <n v="0.11"/>
    <s v="DQS_MAO04_FILE_000_B"/>
    <s v="RECORD COUNT by MBR_ID, DOS_THRU_DT, DX_CD Grain grouped by PAYER, SRC_FILE_NM, DOS_THRU_YYYYMM"/>
  </r>
  <r>
    <x v="2"/>
    <s v="FINGLOBL_PE202401_REMAO004.TXT"/>
    <x v="71"/>
    <x v="7"/>
    <n v="90"/>
    <n v="147431"/>
    <n v="0.06"/>
    <s v="DQS_MAO04_FILE_000_B"/>
    <s v="RECORD COUNT by MBR_ID, DOS_THRU_DT, DX_CD Grain grouped by PAYER, SRC_FILE_NM, DOS_THRU_YYYYMM"/>
  </r>
  <r>
    <x v="2"/>
    <s v="FINGLOBL_PE202401_REMAO004.TXT"/>
    <x v="72"/>
    <x v="7"/>
    <n v="146"/>
    <n v="147431"/>
    <n v="0.1"/>
    <s v="DQS_MAO04_FILE_000_B"/>
    <s v="RECORD COUNT by MBR_ID, DOS_THRU_DT, DX_CD Grain grouped by PAYER, SRC_FILE_NM, DOS_THRU_YYYYMM"/>
  </r>
  <r>
    <x v="2"/>
    <s v="FINGLOBL_PE202401_REMAO004.TXT"/>
    <x v="73"/>
    <x v="7"/>
    <n v="167"/>
    <n v="147431"/>
    <n v="0.11"/>
    <s v="DQS_MAO04_FILE_000_B"/>
    <s v="RECORD COUNT by MBR_ID, DOS_THRU_DT, DX_CD Grain grouped by PAYER, SRC_FILE_NM, DOS_THRU_YYYYMM"/>
  </r>
  <r>
    <x v="2"/>
    <s v="FINGLOBL_PE202401_REMAO004.TXT"/>
    <x v="74"/>
    <x v="7"/>
    <n v="251"/>
    <n v="147431"/>
    <n v="0.17"/>
    <s v="DQS_MAO04_FILE_000_B"/>
    <s v="RECORD COUNT by MBR_ID, DOS_THRU_DT, DX_CD Grain grouped by PAYER, SRC_FILE_NM, DOS_THRU_YYYYMM"/>
  </r>
  <r>
    <x v="2"/>
    <s v="FINGLOBL_PE202401_REMAO004.TXT"/>
    <x v="75"/>
    <x v="7"/>
    <n v="317"/>
    <n v="147431"/>
    <n v="0.22"/>
    <s v="DQS_MAO04_FILE_000_B"/>
    <s v="RECORD COUNT by MBR_ID, DOS_THRU_DT, DX_CD Grain grouped by PAYER, SRC_FILE_NM, DOS_THRU_YYYYMM"/>
  </r>
  <r>
    <x v="2"/>
    <s v="FINGLOBL_PE202401_REMAO004.TXT"/>
    <x v="76"/>
    <x v="7"/>
    <n v="308"/>
    <n v="147431"/>
    <n v="0.21"/>
    <s v="DQS_MAO04_FILE_000_B"/>
    <s v="RECORD COUNT by MBR_ID, DOS_THRU_DT, DX_CD Grain grouped by PAYER, SRC_FILE_NM, DOS_THRU_YYYYMM"/>
  </r>
  <r>
    <x v="2"/>
    <s v="FINGLOBL_PE202401_REMAO004.TXT"/>
    <x v="77"/>
    <x v="8"/>
    <n v="550"/>
    <n v="147431"/>
    <n v="0.37"/>
    <s v="DQS_MAO04_FILE_000_B"/>
    <s v="RECORD COUNT by MBR_ID, DOS_THRU_DT, DX_CD Grain grouped by PAYER, SRC_FILE_NM, DOS_THRU_YYYYMM"/>
  </r>
  <r>
    <x v="2"/>
    <s v="FINGLOBL_PE202401_REMAO004.TXT"/>
    <x v="78"/>
    <x v="8"/>
    <n v="650"/>
    <n v="147431"/>
    <n v="0.44"/>
    <s v="DQS_MAO04_FILE_000_B"/>
    <s v="RECORD COUNT by MBR_ID, DOS_THRU_DT, DX_CD Grain grouped by PAYER, SRC_FILE_NM, DOS_THRU_YYYYMM"/>
  </r>
  <r>
    <x v="2"/>
    <s v="FINGLOBL_PE202401_REMAO004.TXT"/>
    <x v="79"/>
    <x v="8"/>
    <n v="927"/>
    <n v="147431"/>
    <n v="0.63"/>
    <s v="DQS_MAO04_FILE_000_B"/>
    <s v="RECORD COUNT by MBR_ID, DOS_THRU_DT, DX_CD Grain grouped by PAYER, SRC_FILE_NM, DOS_THRU_YYYYMM"/>
  </r>
  <r>
    <x v="2"/>
    <s v="FINGLOBL_PE202401_REMAO004.TXT"/>
    <x v="80"/>
    <x v="8"/>
    <n v="794"/>
    <n v="147431"/>
    <n v="0.54"/>
    <s v="DQS_MAO04_FILE_000_B"/>
    <s v="RECORD COUNT by MBR_ID, DOS_THRU_DT, DX_CD Grain grouped by PAYER, SRC_FILE_NM, DOS_THRU_YYYYMM"/>
  </r>
  <r>
    <x v="2"/>
    <s v="FINGLOBL_PE202401_REMAO004.TXT"/>
    <x v="81"/>
    <x v="8"/>
    <n v="881"/>
    <n v="147431"/>
    <n v="0.6"/>
    <s v="DQS_MAO04_FILE_000_B"/>
    <s v="RECORD COUNT by MBR_ID, DOS_THRU_DT, DX_CD Grain grouped by PAYER, SRC_FILE_NM, DOS_THRU_YYYYMM"/>
  </r>
  <r>
    <x v="2"/>
    <s v="FINGLOBL_PE202401_REMAO004.TXT"/>
    <x v="82"/>
    <x v="8"/>
    <n v="1686"/>
    <n v="147431"/>
    <n v="1.1399999999999999"/>
    <s v="DQS_MAO04_FILE_000_B"/>
    <s v="RECORD COUNT by MBR_ID, DOS_THRU_DT, DX_CD Grain grouped by PAYER, SRC_FILE_NM, DOS_THRU_YYYYMM"/>
  </r>
  <r>
    <x v="2"/>
    <s v="FINGLOBL_PE202401_REMAO004.TXT"/>
    <x v="83"/>
    <x v="8"/>
    <n v="2659"/>
    <n v="147431"/>
    <n v="1.8"/>
    <s v="DQS_MAO04_FILE_000_B"/>
    <s v="RECORD COUNT by MBR_ID, DOS_THRU_DT, DX_CD Grain grouped by PAYER, SRC_FILE_NM, DOS_THRU_YYYYMM"/>
  </r>
  <r>
    <x v="2"/>
    <s v="FINGLOBL_PE202401_REMAO004.TXT"/>
    <x v="84"/>
    <x v="8"/>
    <n v="4683"/>
    <n v="147431"/>
    <n v="3.18"/>
    <s v="DQS_MAO04_FILE_000_B"/>
    <s v="RECORD COUNT by MBR_ID, DOS_THRU_DT, DX_CD Grain grouped by PAYER, SRC_FILE_NM, DOS_THRU_YYYYMM"/>
  </r>
  <r>
    <x v="2"/>
    <s v="FINGLOBL_PE202401_REMAO004.TXT"/>
    <x v="85"/>
    <x v="8"/>
    <n v="8028"/>
    <n v="147431"/>
    <n v="5.45"/>
    <s v="DQS_MAO04_FILE_000_B"/>
    <s v="RECORD COUNT by MBR_ID, DOS_THRU_DT, DX_CD Grain grouped by PAYER, SRC_FILE_NM, DOS_THRU_YYYYMM"/>
  </r>
  <r>
    <x v="2"/>
    <s v="FINGLOBL_PE202401_REMAO004.TXT"/>
    <x v="86"/>
    <x v="8"/>
    <n v="73159"/>
    <n v="147431"/>
    <n v="49.62"/>
    <s v="DQS_MAO04_FILE_000_B"/>
    <s v="RECORD COUNT by MBR_ID, DOS_THRU_DT, DX_CD Grain grouped by PAYER, SRC_FILE_NM, DOS_THRU_YYYYMM"/>
  </r>
  <r>
    <x v="2"/>
    <s v="FINGLOBL_PE202401_REMAO004.TXT"/>
    <x v="87"/>
    <x v="8"/>
    <n v="51349"/>
    <n v="147431"/>
    <n v="34.83"/>
    <s v="DQS_MAO04_FILE_000_B"/>
    <s v="RECORD COUNT by MBR_ID, DOS_THRU_DT, DX_CD Grain grouped by PAYER, SRC_FILE_NM, DOS_THRU_YYYYMM"/>
  </r>
  <r>
    <x v="2"/>
    <s v="FINGLOBL_PE202402_REMAO004.TXT"/>
    <x v="46"/>
    <x v="5"/>
    <n v="5"/>
    <n v="195203"/>
    <n v="0"/>
    <s v="DQS_MAO04_FILE_000_B"/>
    <s v="RECORD COUNT by MBR_ID, DOS_THRU_DT, DX_CD Grain grouped by PAYER, SRC_FILE_NM, DOS_THRU_YYYYMM"/>
  </r>
  <r>
    <x v="2"/>
    <s v="FINGLOBL_PE202402_REMAO004.TXT"/>
    <x v="48"/>
    <x v="5"/>
    <n v="9"/>
    <n v="195203"/>
    <n v="0"/>
    <s v="DQS_MAO04_FILE_000_B"/>
    <s v="RECORD COUNT by MBR_ID, DOS_THRU_DT, DX_CD Grain grouped by PAYER, SRC_FILE_NM, DOS_THRU_YYYYMM"/>
  </r>
  <r>
    <x v="2"/>
    <s v="FINGLOBL_PE202402_REMAO004.TXT"/>
    <x v="56"/>
    <x v="6"/>
    <n v="12"/>
    <n v="195203"/>
    <n v="0.01"/>
    <s v="DQS_MAO04_FILE_000_B"/>
    <s v="RECORD COUNT by MBR_ID, DOS_THRU_DT, DX_CD Grain grouped by PAYER, SRC_FILE_NM, DOS_THRU_YYYYMM"/>
  </r>
  <r>
    <x v="2"/>
    <s v="FINGLOBL_PE202402_REMAO004.TXT"/>
    <x v="57"/>
    <x v="6"/>
    <n v="20"/>
    <n v="195203"/>
    <n v="0.01"/>
    <s v="DQS_MAO04_FILE_000_B"/>
    <s v="RECORD COUNT by MBR_ID, DOS_THRU_DT, DX_CD Grain grouped by PAYER, SRC_FILE_NM, DOS_THRU_YYYYMM"/>
  </r>
  <r>
    <x v="2"/>
    <s v="FINGLOBL_PE202402_REMAO004.TXT"/>
    <x v="58"/>
    <x v="6"/>
    <n v="37"/>
    <n v="195203"/>
    <n v="0.02"/>
    <s v="DQS_MAO04_FILE_000_B"/>
    <s v="RECORD COUNT by MBR_ID, DOS_THRU_DT, DX_CD Grain grouped by PAYER, SRC_FILE_NM, DOS_THRU_YYYYMM"/>
  </r>
  <r>
    <x v="2"/>
    <s v="FINGLOBL_PE202402_REMAO004.TXT"/>
    <x v="59"/>
    <x v="6"/>
    <n v="3"/>
    <n v="195203"/>
    <n v="0"/>
    <s v="DQS_MAO04_FILE_000_B"/>
    <s v="RECORD COUNT by MBR_ID, DOS_THRU_DT, DX_CD Grain grouped by PAYER, SRC_FILE_NM, DOS_THRU_YYYYMM"/>
  </r>
  <r>
    <x v="2"/>
    <s v="FINGLOBL_PE202402_REMAO004.TXT"/>
    <x v="60"/>
    <x v="6"/>
    <n v="27"/>
    <n v="195203"/>
    <n v="0.01"/>
    <s v="DQS_MAO04_FILE_000_B"/>
    <s v="RECORD COUNT by MBR_ID, DOS_THRU_DT, DX_CD Grain grouped by PAYER, SRC_FILE_NM, DOS_THRU_YYYYMM"/>
  </r>
  <r>
    <x v="2"/>
    <s v="FINGLOBL_PE202402_REMAO004.TXT"/>
    <x v="61"/>
    <x v="6"/>
    <n v="22"/>
    <n v="195203"/>
    <n v="0.01"/>
    <s v="DQS_MAO04_FILE_000_B"/>
    <s v="RECORD COUNT by MBR_ID, DOS_THRU_DT, DX_CD Grain grouped by PAYER, SRC_FILE_NM, DOS_THRU_YYYYMM"/>
  </r>
  <r>
    <x v="2"/>
    <s v="FINGLOBL_PE202402_REMAO004.TXT"/>
    <x v="62"/>
    <x v="6"/>
    <n v="22"/>
    <n v="195203"/>
    <n v="0.01"/>
    <s v="DQS_MAO04_FILE_000_B"/>
    <s v="RECORD COUNT by MBR_ID, DOS_THRU_DT, DX_CD Grain grouped by PAYER, SRC_FILE_NM, DOS_THRU_YYYYMM"/>
  </r>
  <r>
    <x v="2"/>
    <s v="FINGLOBL_PE202402_REMAO004.TXT"/>
    <x v="63"/>
    <x v="6"/>
    <n v="35"/>
    <n v="195203"/>
    <n v="0.02"/>
    <s v="DQS_MAO04_FILE_000_B"/>
    <s v="RECORD COUNT by MBR_ID, DOS_THRU_DT, DX_CD Grain grouped by PAYER, SRC_FILE_NM, DOS_THRU_YYYYMM"/>
  </r>
  <r>
    <x v="2"/>
    <s v="FINGLOBL_PE202402_REMAO004.TXT"/>
    <x v="64"/>
    <x v="6"/>
    <n v="117"/>
    <n v="195203"/>
    <n v="0.06"/>
    <s v="DQS_MAO04_FILE_000_B"/>
    <s v="RECORD COUNT by MBR_ID, DOS_THRU_DT, DX_CD Grain grouped by PAYER, SRC_FILE_NM, DOS_THRU_YYYYMM"/>
  </r>
  <r>
    <x v="2"/>
    <s v="FINGLOBL_PE202402_REMAO004.TXT"/>
    <x v="65"/>
    <x v="7"/>
    <n v="173"/>
    <n v="195203"/>
    <n v="0.09"/>
    <s v="DQS_MAO04_FILE_000_B"/>
    <s v="RECORD COUNT by MBR_ID, DOS_THRU_DT, DX_CD Grain grouped by PAYER, SRC_FILE_NM, DOS_THRU_YYYYMM"/>
  </r>
  <r>
    <x v="2"/>
    <s v="FINGLOBL_PE202402_REMAO004.TXT"/>
    <x v="66"/>
    <x v="7"/>
    <n v="143"/>
    <n v="195203"/>
    <n v="7.0000000000000007E-2"/>
    <s v="DQS_MAO04_FILE_000_B"/>
    <s v="RECORD COUNT by MBR_ID, DOS_THRU_DT, DX_CD Grain grouped by PAYER, SRC_FILE_NM, DOS_THRU_YYYYMM"/>
  </r>
  <r>
    <x v="2"/>
    <s v="FINGLOBL_PE202402_REMAO004.TXT"/>
    <x v="67"/>
    <x v="7"/>
    <n v="114"/>
    <n v="195203"/>
    <n v="0.06"/>
    <s v="DQS_MAO04_FILE_000_B"/>
    <s v="RECORD COUNT by MBR_ID, DOS_THRU_DT, DX_CD Grain grouped by PAYER, SRC_FILE_NM, DOS_THRU_YYYYMM"/>
  </r>
  <r>
    <x v="2"/>
    <s v="FINGLOBL_PE202402_REMAO004.TXT"/>
    <x v="68"/>
    <x v="7"/>
    <n v="163"/>
    <n v="195203"/>
    <n v="0.08"/>
    <s v="DQS_MAO04_FILE_000_B"/>
    <s v="RECORD COUNT by MBR_ID, DOS_THRU_DT, DX_CD Grain grouped by PAYER, SRC_FILE_NM, DOS_THRU_YYYYMM"/>
  </r>
  <r>
    <x v="2"/>
    <s v="FINGLOBL_PE202402_REMAO004.TXT"/>
    <x v="69"/>
    <x v="7"/>
    <n v="221"/>
    <n v="195203"/>
    <n v="0.11"/>
    <s v="DQS_MAO04_FILE_000_B"/>
    <s v="RECORD COUNT by MBR_ID, DOS_THRU_DT, DX_CD Grain grouped by PAYER, SRC_FILE_NM, DOS_THRU_YYYYMM"/>
  </r>
  <r>
    <x v="2"/>
    <s v="FINGLOBL_PE202402_REMAO004.TXT"/>
    <x v="70"/>
    <x v="7"/>
    <n v="149"/>
    <n v="195203"/>
    <n v="0.08"/>
    <s v="DQS_MAO04_FILE_000_B"/>
    <s v="RECORD COUNT by MBR_ID, DOS_THRU_DT, DX_CD Grain grouped by PAYER, SRC_FILE_NM, DOS_THRU_YYYYMM"/>
  </r>
  <r>
    <x v="2"/>
    <s v="FINGLOBL_PE202402_REMAO004.TXT"/>
    <x v="71"/>
    <x v="7"/>
    <n v="374"/>
    <n v="195203"/>
    <n v="0.19"/>
    <s v="DQS_MAO04_FILE_000_B"/>
    <s v="RECORD COUNT by MBR_ID, DOS_THRU_DT, DX_CD Grain grouped by PAYER, SRC_FILE_NM, DOS_THRU_YYYYMM"/>
  </r>
  <r>
    <x v="2"/>
    <s v="FINGLOBL_PE202402_REMAO004.TXT"/>
    <x v="72"/>
    <x v="7"/>
    <n v="234"/>
    <n v="195203"/>
    <n v="0.12"/>
    <s v="DQS_MAO04_FILE_000_B"/>
    <s v="RECORD COUNT by MBR_ID, DOS_THRU_DT, DX_CD Grain grouped by PAYER, SRC_FILE_NM, DOS_THRU_YYYYMM"/>
  </r>
  <r>
    <x v="2"/>
    <s v="FINGLOBL_PE202402_REMAO004.TXT"/>
    <x v="73"/>
    <x v="7"/>
    <n v="349"/>
    <n v="195203"/>
    <n v="0.18"/>
    <s v="DQS_MAO04_FILE_000_B"/>
    <s v="RECORD COUNT by MBR_ID, DOS_THRU_DT, DX_CD Grain grouped by PAYER, SRC_FILE_NM, DOS_THRU_YYYYMM"/>
  </r>
  <r>
    <x v="2"/>
    <s v="FINGLOBL_PE202402_REMAO004.TXT"/>
    <x v="74"/>
    <x v="7"/>
    <n v="345"/>
    <n v="195203"/>
    <n v="0.18"/>
    <s v="DQS_MAO04_FILE_000_B"/>
    <s v="RECORD COUNT by MBR_ID, DOS_THRU_DT, DX_CD Grain grouped by PAYER, SRC_FILE_NM, DOS_THRU_YYYYMM"/>
  </r>
  <r>
    <x v="2"/>
    <s v="FINGLOBL_PE202402_REMAO004.TXT"/>
    <x v="75"/>
    <x v="7"/>
    <n v="595"/>
    <n v="195203"/>
    <n v="0.3"/>
    <s v="DQS_MAO04_FILE_000_B"/>
    <s v="RECORD COUNT by MBR_ID, DOS_THRU_DT, DX_CD Grain grouped by PAYER, SRC_FILE_NM, DOS_THRU_YYYYMM"/>
  </r>
  <r>
    <x v="2"/>
    <s v="FINGLOBL_PE202402_REMAO004.TXT"/>
    <x v="76"/>
    <x v="7"/>
    <n v="534"/>
    <n v="195203"/>
    <n v="0.27"/>
    <s v="DQS_MAO04_FILE_000_B"/>
    <s v="RECORD COUNT by MBR_ID, DOS_THRU_DT, DX_CD Grain grouped by PAYER, SRC_FILE_NM, DOS_THRU_YYYYMM"/>
  </r>
  <r>
    <x v="2"/>
    <s v="FINGLOBL_PE202402_REMAO004.TXT"/>
    <x v="77"/>
    <x v="8"/>
    <n v="851"/>
    <n v="195203"/>
    <n v="0.44"/>
    <s v="DQS_MAO04_FILE_000_B"/>
    <s v="RECORD COUNT by MBR_ID, DOS_THRU_DT, DX_CD Grain grouped by PAYER, SRC_FILE_NM, DOS_THRU_YYYYMM"/>
  </r>
  <r>
    <x v="2"/>
    <s v="FINGLOBL_PE202402_REMAO004.TXT"/>
    <x v="78"/>
    <x v="8"/>
    <n v="1023"/>
    <n v="195203"/>
    <n v="0.52"/>
    <s v="DQS_MAO04_FILE_000_B"/>
    <s v="RECORD COUNT by MBR_ID, DOS_THRU_DT, DX_CD Grain grouped by PAYER, SRC_FILE_NM, DOS_THRU_YYYYMM"/>
  </r>
  <r>
    <x v="2"/>
    <s v="FINGLOBL_PE202402_REMAO004.TXT"/>
    <x v="79"/>
    <x v="8"/>
    <n v="1151"/>
    <n v="195203"/>
    <n v="0.59"/>
    <s v="DQS_MAO04_FILE_000_B"/>
    <s v="RECORD COUNT by MBR_ID, DOS_THRU_DT, DX_CD Grain grouped by PAYER, SRC_FILE_NM, DOS_THRU_YYYYMM"/>
  </r>
  <r>
    <x v="2"/>
    <s v="FINGLOBL_PE202402_REMAO004.TXT"/>
    <x v="80"/>
    <x v="8"/>
    <n v="1153"/>
    <n v="195203"/>
    <n v="0.59"/>
    <s v="DQS_MAO04_FILE_000_B"/>
    <s v="RECORD COUNT by MBR_ID, DOS_THRU_DT, DX_CD Grain grouped by PAYER, SRC_FILE_NM, DOS_THRU_YYYYMM"/>
  </r>
  <r>
    <x v="2"/>
    <s v="FINGLOBL_PE202402_REMAO004.TXT"/>
    <x v="81"/>
    <x v="8"/>
    <n v="1578"/>
    <n v="195203"/>
    <n v="0.81"/>
    <s v="DQS_MAO04_FILE_000_B"/>
    <s v="RECORD COUNT by MBR_ID, DOS_THRU_DT, DX_CD Grain grouped by PAYER, SRC_FILE_NM, DOS_THRU_YYYYMM"/>
  </r>
  <r>
    <x v="2"/>
    <s v="FINGLOBL_PE202402_REMAO004.TXT"/>
    <x v="82"/>
    <x v="8"/>
    <n v="3449"/>
    <n v="195203"/>
    <n v="1.77"/>
    <s v="DQS_MAO04_FILE_000_B"/>
    <s v="RECORD COUNT by MBR_ID, DOS_THRU_DT, DX_CD Grain grouped by PAYER, SRC_FILE_NM, DOS_THRU_YYYYMM"/>
  </r>
  <r>
    <x v="2"/>
    <s v="FINGLOBL_PE202402_REMAO004.TXT"/>
    <x v="83"/>
    <x v="8"/>
    <n v="2582"/>
    <n v="195203"/>
    <n v="1.32"/>
    <s v="DQS_MAO04_FILE_000_B"/>
    <s v="RECORD COUNT by MBR_ID, DOS_THRU_DT, DX_CD Grain grouped by PAYER, SRC_FILE_NM, DOS_THRU_YYYYMM"/>
  </r>
  <r>
    <x v="2"/>
    <s v="FINGLOBL_PE202402_REMAO004.TXT"/>
    <x v="84"/>
    <x v="8"/>
    <n v="3983"/>
    <n v="195203"/>
    <n v="2.04"/>
    <s v="DQS_MAO04_FILE_000_B"/>
    <s v="RECORD COUNT by MBR_ID, DOS_THRU_DT, DX_CD Grain grouped by PAYER, SRC_FILE_NM, DOS_THRU_YYYYMM"/>
  </r>
  <r>
    <x v="2"/>
    <s v="FINGLOBL_PE202402_REMAO004.TXT"/>
    <x v="85"/>
    <x v="8"/>
    <n v="6474"/>
    <n v="195203"/>
    <n v="3.32"/>
    <s v="DQS_MAO04_FILE_000_B"/>
    <s v="RECORD COUNT by MBR_ID, DOS_THRU_DT, DX_CD Grain grouped by PAYER, SRC_FILE_NM, DOS_THRU_YYYYMM"/>
  </r>
  <r>
    <x v="2"/>
    <s v="FINGLOBL_PE202402_REMAO004.TXT"/>
    <x v="86"/>
    <x v="8"/>
    <n v="22377"/>
    <n v="195203"/>
    <n v="11.46"/>
    <s v="DQS_MAO04_FILE_000_B"/>
    <s v="RECORD COUNT by MBR_ID, DOS_THRU_DT, DX_CD Grain grouped by PAYER, SRC_FILE_NM, DOS_THRU_YYYYMM"/>
  </r>
  <r>
    <x v="2"/>
    <s v="FINGLOBL_PE202402_REMAO004.TXT"/>
    <x v="87"/>
    <x v="8"/>
    <n v="80074"/>
    <n v="195203"/>
    <n v="41.02"/>
    <s v="DQS_MAO04_FILE_000_B"/>
    <s v="RECORD COUNT by MBR_ID, DOS_THRU_DT, DX_CD Grain grouped by PAYER, SRC_FILE_NM, DOS_THRU_YYYYMM"/>
  </r>
  <r>
    <x v="2"/>
    <s v="FINGLOBL_PE202402_REMAO004.TXT"/>
    <x v="88"/>
    <x v="8"/>
    <n v="66805"/>
    <n v="195203"/>
    <n v="34.22"/>
    <s v="DQS_MAO04_FILE_000_B"/>
    <s v="RECORD COUNT by MBR_ID, DOS_THRU_DT, DX_CD Grain grouped by PAYER, SRC_FILE_NM, DOS_THRU_YYYYMM"/>
  </r>
  <r>
    <x v="2"/>
    <s v="FINGLOBL_PE202403_REMAO004.TXT"/>
    <x v="18"/>
    <x v="3"/>
    <n v="2"/>
    <n v="169042"/>
    <n v="0"/>
    <s v="DQS_MAO04_FILE_000_B"/>
    <s v="RECORD COUNT by MBR_ID, DOS_THRU_DT, DX_CD Grain grouped by PAYER, SRC_FILE_NM, DOS_THRU_YYYYMM"/>
  </r>
  <r>
    <x v="2"/>
    <s v="FINGLOBL_PE202403_REMAO004.TXT"/>
    <x v="36"/>
    <x v="4"/>
    <n v="1"/>
    <n v="169042"/>
    <n v="0"/>
    <s v="DQS_MAO04_FILE_000_B"/>
    <s v="RECORD COUNT by MBR_ID, DOS_THRU_DT, DX_CD Grain grouped by PAYER, SRC_FILE_NM, DOS_THRU_YYYYMM"/>
  </r>
  <r>
    <x v="2"/>
    <s v="FINGLOBL_PE202403_REMAO004.TXT"/>
    <x v="43"/>
    <x v="5"/>
    <n v="2"/>
    <n v="169042"/>
    <n v="0"/>
    <s v="DQS_MAO04_FILE_000_B"/>
    <s v="RECORD COUNT by MBR_ID, DOS_THRU_DT, DX_CD Grain grouped by PAYER, SRC_FILE_NM, DOS_THRU_YYYYMM"/>
  </r>
  <r>
    <x v="2"/>
    <s v="FINGLOBL_PE202403_REMAO004.TXT"/>
    <x v="53"/>
    <x v="6"/>
    <n v="42"/>
    <n v="169042"/>
    <n v="0.02"/>
    <s v="DQS_MAO04_FILE_000_B"/>
    <s v="RECORD COUNT by MBR_ID, DOS_THRU_DT, DX_CD Grain grouped by PAYER, SRC_FILE_NM, DOS_THRU_YYYYMM"/>
  </r>
  <r>
    <x v="2"/>
    <s v="FINGLOBL_PE202403_REMAO004.TXT"/>
    <x v="54"/>
    <x v="6"/>
    <n v="83"/>
    <n v="169042"/>
    <n v="0.05"/>
    <s v="DQS_MAO04_FILE_000_B"/>
    <s v="RECORD COUNT by MBR_ID, DOS_THRU_DT, DX_CD Grain grouped by PAYER, SRC_FILE_NM, DOS_THRU_YYYYMM"/>
  </r>
  <r>
    <x v="2"/>
    <s v="FINGLOBL_PE202403_REMAO004.TXT"/>
    <x v="55"/>
    <x v="6"/>
    <n v="64"/>
    <n v="169042"/>
    <n v="0.04"/>
    <s v="DQS_MAO04_FILE_000_B"/>
    <s v="RECORD COUNT by MBR_ID, DOS_THRU_DT, DX_CD Grain grouped by PAYER, SRC_FILE_NM, DOS_THRU_YYYYMM"/>
  </r>
  <r>
    <x v="2"/>
    <s v="FINGLOBL_PE202403_REMAO004.TXT"/>
    <x v="56"/>
    <x v="6"/>
    <n v="110"/>
    <n v="169042"/>
    <n v="7.0000000000000007E-2"/>
    <s v="DQS_MAO04_FILE_000_B"/>
    <s v="RECORD COUNT by MBR_ID, DOS_THRU_DT, DX_CD Grain grouped by PAYER, SRC_FILE_NM, DOS_THRU_YYYYMM"/>
  </r>
  <r>
    <x v="2"/>
    <s v="FINGLOBL_PE202403_REMAO004.TXT"/>
    <x v="57"/>
    <x v="6"/>
    <n v="61"/>
    <n v="169042"/>
    <n v="0.04"/>
    <s v="DQS_MAO04_FILE_000_B"/>
    <s v="RECORD COUNT by MBR_ID, DOS_THRU_DT, DX_CD Grain grouped by PAYER, SRC_FILE_NM, DOS_THRU_YYYYMM"/>
  </r>
  <r>
    <x v="2"/>
    <s v="FINGLOBL_PE202403_REMAO004.TXT"/>
    <x v="58"/>
    <x v="6"/>
    <n v="13"/>
    <n v="169042"/>
    <n v="0.01"/>
    <s v="DQS_MAO04_FILE_000_B"/>
    <s v="RECORD COUNT by MBR_ID, DOS_THRU_DT, DX_CD Grain grouped by PAYER, SRC_FILE_NM, DOS_THRU_YYYYMM"/>
  </r>
  <r>
    <x v="2"/>
    <s v="FINGLOBL_PE202403_REMAO004.TXT"/>
    <x v="59"/>
    <x v="6"/>
    <n v="38"/>
    <n v="169042"/>
    <n v="0.02"/>
    <s v="DQS_MAO04_FILE_000_B"/>
    <s v="RECORD COUNT by MBR_ID, DOS_THRU_DT, DX_CD Grain grouped by PAYER, SRC_FILE_NM, DOS_THRU_YYYYMM"/>
  </r>
  <r>
    <x v="2"/>
    <s v="FINGLOBL_PE202403_REMAO004.TXT"/>
    <x v="60"/>
    <x v="6"/>
    <n v="65"/>
    <n v="169042"/>
    <n v="0.04"/>
    <s v="DQS_MAO04_FILE_000_B"/>
    <s v="RECORD COUNT by MBR_ID, DOS_THRU_DT, DX_CD Grain grouped by PAYER, SRC_FILE_NM, DOS_THRU_YYYYMM"/>
  </r>
  <r>
    <x v="2"/>
    <s v="FINGLOBL_PE202403_REMAO004.TXT"/>
    <x v="61"/>
    <x v="6"/>
    <n v="30"/>
    <n v="169042"/>
    <n v="0.02"/>
    <s v="DQS_MAO04_FILE_000_B"/>
    <s v="RECORD COUNT by MBR_ID, DOS_THRU_DT, DX_CD Grain grouped by PAYER, SRC_FILE_NM, DOS_THRU_YYYYMM"/>
  </r>
  <r>
    <x v="2"/>
    <s v="FINGLOBL_PE202403_REMAO004.TXT"/>
    <x v="62"/>
    <x v="6"/>
    <n v="58"/>
    <n v="169042"/>
    <n v="0.03"/>
    <s v="DQS_MAO04_FILE_000_B"/>
    <s v="RECORD COUNT by MBR_ID, DOS_THRU_DT, DX_CD Grain grouped by PAYER, SRC_FILE_NM, DOS_THRU_YYYYMM"/>
  </r>
  <r>
    <x v="2"/>
    <s v="FINGLOBL_PE202403_REMAO004.TXT"/>
    <x v="63"/>
    <x v="6"/>
    <n v="43"/>
    <n v="169042"/>
    <n v="0.03"/>
    <s v="DQS_MAO04_FILE_000_B"/>
    <s v="RECORD COUNT by MBR_ID, DOS_THRU_DT, DX_CD Grain grouped by PAYER, SRC_FILE_NM, DOS_THRU_YYYYMM"/>
  </r>
  <r>
    <x v="2"/>
    <s v="FINGLOBL_PE202403_REMAO004.TXT"/>
    <x v="64"/>
    <x v="6"/>
    <n v="26"/>
    <n v="169042"/>
    <n v="0.02"/>
    <s v="DQS_MAO04_FILE_000_B"/>
    <s v="RECORD COUNT by MBR_ID, DOS_THRU_DT, DX_CD Grain grouped by PAYER, SRC_FILE_NM, DOS_THRU_YYYYMM"/>
  </r>
  <r>
    <x v="2"/>
    <s v="FINGLOBL_PE202403_REMAO004.TXT"/>
    <x v="65"/>
    <x v="7"/>
    <n v="208"/>
    <n v="169042"/>
    <n v="0.12"/>
    <s v="DQS_MAO04_FILE_000_B"/>
    <s v="RECORD COUNT by MBR_ID, DOS_THRU_DT, DX_CD Grain grouped by PAYER, SRC_FILE_NM, DOS_THRU_YYYYMM"/>
  </r>
  <r>
    <x v="2"/>
    <s v="FINGLOBL_PE202403_REMAO004.TXT"/>
    <x v="66"/>
    <x v="7"/>
    <n v="198"/>
    <n v="169042"/>
    <n v="0.12"/>
    <s v="DQS_MAO04_FILE_000_B"/>
    <s v="RECORD COUNT by MBR_ID, DOS_THRU_DT, DX_CD Grain grouped by PAYER, SRC_FILE_NM, DOS_THRU_YYYYMM"/>
  </r>
  <r>
    <x v="2"/>
    <s v="FINGLOBL_PE202403_REMAO004.TXT"/>
    <x v="67"/>
    <x v="7"/>
    <n v="241"/>
    <n v="169042"/>
    <n v="0.14000000000000001"/>
    <s v="DQS_MAO04_FILE_000_B"/>
    <s v="RECORD COUNT by MBR_ID, DOS_THRU_DT, DX_CD Grain grouped by PAYER, SRC_FILE_NM, DOS_THRU_YYYYMM"/>
  </r>
  <r>
    <x v="2"/>
    <s v="FINGLOBL_PE202403_REMAO004.TXT"/>
    <x v="68"/>
    <x v="7"/>
    <n v="349"/>
    <n v="169042"/>
    <n v="0.21"/>
    <s v="DQS_MAO04_FILE_000_B"/>
    <s v="RECORD COUNT by MBR_ID, DOS_THRU_DT, DX_CD Grain grouped by PAYER, SRC_FILE_NM, DOS_THRU_YYYYMM"/>
  </r>
  <r>
    <x v="2"/>
    <s v="FINGLOBL_PE202403_REMAO004.TXT"/>
    <x v="69"/>
    <x v="7"/>
    <n v="238"/>
    <n v="169042"/>
    <n v="0.14000000000000001"/>
    <s v="DQS_MAO04_FILE_000_B"/>
    <s v="RECORD COUNT by MBR_ID, DOS_THRU_DT, DX_CD Grain grouped by PAYER, SRC_FILE_NM, DOS_THRU_YYYYMM"/>
  </r>
  <r>
    <x v="2"/>
    <s v="FINGLOBL_PE202403_REMAO004.TXT"/>
    <x v="70"/>
    <x v="7"/>
    <n v="273"/>
    <n v="169042"/>
    <n v="0.16"/>
    <s v="DQS_MAO04_FILE_000_B"/>
    <s v="RECORD COUNT by MBR_ID, DOS_THRU_DT, DX_CD Grain grouped by PAYER, SRC_FILE_NM, DOS_THRU_YYYYMM"/>
  </r>
  <r>
    <x v="2"/>
    <s v="FINGLOBL_PE202403_REMAO004.TXT"/>
    <x v="71"/>
    <x v="7"/>
    <n v="271"/>
    <n v="169042"/>
    <n v="0.16"/>
    <s v="DQS_MAO04_FILE_000_B"/>
    <s v="RECORD COUNT by MBR_ID, DOS_THRU_DT, DX_CD Grain grouped by PAYER, SRC_FILE_NM, DOS_THRU_YYYYMM"/>
  </r>
  <r>
    <x v="2"/>
    <s v="FINGLOBL_PE202403_REMAO004.TXT"/>
    <x v="72"/>
    <x v="7"/>
    <n v="255"/>
    <n v="169042"/>
    <n v="0.15"/>
    <s v="DQS_MAO04_FILE_000_B"/>
    <s v="RECORD COUNT by MBR_ID, DOS_THRU_DT, DX_CD Grain grouped by PAYER, SRC_FILE_NM, DOS_THRU_YYYYMM"/>
  </r>
  <r>
    <x v="2"/>
    <s v="FINGLOBL_PE202403_REMAO004.TXT"/>
    <x v="73"/>
    <x v="7"/>
    <n v="376"/>
    <n v="169042"/>
    <n v="0.22"/>
    <s v="DQS_MAO04_FILE_000_B"/>
    <s v="RECORD COUNT by MBR_ID, DOS_THRU_DT, DX_CD Grain grouped by PAYER, SRC_FILE_NM, DOS_THRU_YYYYMM"/>
  </r>
  <r>
    <x v="2"/>
    <s v="FINGLOBL_PE202403_REMAO004.TXT"/>
    <x v="74"/>
    <x v="7"/>
    <n v="397"/>
    <n v="169042"/>
    <n v="0.23"/>
    <s v="DQS_MAO04_FILE_000_B"/>
    <s v="RECORD COUNT by MBR_ID, DOS_THRU_DT, DX_CD Grain grouped by PAYER, SRC_FILE_NM, DOS_THRU_YYYYMM"/>
  </r>
  <r>
    <x v="2"/>
    <s v="FINGLOBL_PE202403_REMAO004.TXT"/>
    <x v="75"/>
    <x v="7"/>
    <n v="437"/>
    <n v="169042"/>
    <n v="0.26"/>
    <s v="DQS_MAO04_FILE_000_B"/>
    <s v="RECORD COUNT by MBR_ID, DOS_THRU_DT, DX_CD Grain grouped by PAYER, SRC_FILE_NM, DOS_THRU_YYYYMM"/>
  </r>
  <r>
    <x v="2"/>
    <s v="FINGLOBL_PE202403_REMAO004.TXT"/>
    <x v="76"/>
    <x v="7"/>
    <n v="443"/>
    <n v="169042"/>
    <n v="0.26"/>
    <s v="DQS_MAO04_FILE_000_B"/>
    <s v="RECORD COUNT by MBR_ID, DOS_THRU_DT, DX_CD Grain grouped by PAYER, SRC_FILE_NM, DOS_THRU_YYYYMM"/>
  </r>
  <r>
    <x v="2"/>
    <s v="FINGLOBL_PE202403_REMAO004.TXT"/>
    <x v="77"/>
    <x v="8"/>
    <n v="949"/>
    <n v="169042"/>
    <n v="0.56000000000000005"/>
    <s v="DQS_MAO04_FILE_000_B"/>
    <s v="RECORD COUNT by MBR_ID, DOS_THRU_DT, DX_CD Grain grouped by PAYER, SRC_FILE_NM, DOS_THRU_YYYYMM"/>
  </r>
  <r>
    <x v="2"/>
    <s v="FINGLOBL_PE202403_REMAO004.TXT"/>
    <x v="78"/>
    <x v="8"/>
    <n v="1288"/>
    <n v="169042"/>
    <n v="0.76"/>
    <s v="DQS_MAO04_FILE_000_B"/>
    <s v="RECORD COUNT by MBR_ID, DOS_THRU_DT, DX_CD Grain grouped by PAYER, SRC_FILE_NM, DOS_THRU_YYYYMM"/>
  </r>
  <r>
    <x v="2"/>
    <s v="FINGLOBL_PE202403_REMAO004.TXT"/>
    <x v="79"/>
    <x v="8"/>
    <n v="1410"/>
    <n v="169042"/>
    <n v="0.83"/>
    <s v="DQS_MAO04_FILE_000_B"/>
    <s v="RECORD COUNT by MBR_ID, DOS_THRU_DT, DX_CD Grain grouped by PAYER, SRC_FILE_NM, DOS_THRU_YYYYMM"/>
  </r>
  <r>
    <x v="2"/>
    <s v="FINGLOBL_PE202403_REMAO004.TXT"/>
    <x v="80"/>
    <x v="8"/>
    <n v="1537"/>
    <n v="169042"/>
    <n v="0.91"/>
    <s v="DQS_MAO04_FILE_000_B"/>
    <s v="RECORD COUNT by MBR_ID, DOS_THRU_DT, DX_CD Grain grouped by PAYER, SRC_FILE_NM, DOS_THRU_YYYYMM"/>
  </r>
  <r>
    <x v="2"/>
    <s v="FINGLOBL_PE202403_REMAO004.TXT"/>
    <x v="81"/>
    <x v="8"/>
    <n v="2277"/>
    <n v="169042"/>
    <n v="1.35"/>
    <s v="DQS_MAO04_FILE_000_B"/>
    <s v="RECORD COUNT by MBR_ID, DOS_THRU_DT, DX_CD Grain grouped by PAYER, SRC_FILE_NM, DOS_THRU_YYYYMM"/>
  </r>
  <r>
    <x v="2"/>
    <s v="FINGLOBL_PE202403_REMAO004.TXT"/>
    <x v="82"/>
    <x v="8"/>
    <n v="3711"/>
    <n v="169042"/>
    <n v="2.2000000000000002"/>
    <s v="DQS_MAO04_FILE_000_B"/>
    <s v="RECORD COUNT by MBR_ID, DOS_THRU_DT, DX_CD Grain grouped by PAYER, SRC_FILE_NM, DOS_THRU_YYYYMM"/>
  </r>
  <r>
    <x v="2"/>
    <s v="FINGLOBL_PE202403_REMAO004.TXT"/>
    <x v="83"/>
    <x v="8"/>
    <n v="2151"/>
    <n v="169042"/>
    <n v="1.27"/>
    <s v="DQS_MAO04_FILE_000_B"/>
    <s v="RECORD COUNT by MBR_ID, DOS_THRU_DT, DX_CD Grain grouped by PAYER, SRC_FILE_NM, DOS_THRU_YYYYMM"/>
  </r>
  <r>
    <x v="2"/>
    <s v="FINGLOBL_PE202403_REMAO004.TXT"/>
    <x v="84"/>
    <x v="8"/>
    <n v="3661"/>
    <n v="169042"/>
    <n v="2.17"/>
    <s v="DQS_MAO04_FILE_000_B"/>
    <s v="RECORD COUNT by MBR_ID, DOS_THRU_DT, DX_CD Grain grouped by PAYER, SRC_FILE_NM, DOS_THRU_YYYYMM"/>
  </r>
  <r>
    <x v="2"/>
    <s v="FINGLOBL_PE202403_REMAO004.TXT"/>
    <x v="85"/>
    <x v="8"/>
    <n v="3808"/>
    <n v="169042"/>
    <n v="2.25"/>
    <s v="DQS_MAO04_FILE_000_B"/>
    <s v="RECORD COUNT by MBR_ID, DOS_THRU_DT, DX_CD Grain grouped by PAYER, SRC_FILE_NM, DOS_THRU_YYYYMM"/>
  </r>
  <r>
    <x v="2"/>
    <s v="FINGLOBL_PE202403_REMAO004.TXT"/>
    <x v="86"/>
    <x v="8"/>
    <n v="7990"/>
    <n v="169042"/>
    <n v="4.7300000000000004"/>
    <s v="DQS_MAO04_FILE_000_B"/>
    <s v="RECORD COUNT by MBR_ID, DOS_THRU_DT, DX_CD Grain grouped by PAYER, SRC_FILE_NM, DOS_THRU_YYYYMM"/>
  </r>
  <r>
    <x v="2"/>
    <s v="FINGLOBL_PE202403_REMAO004.TXT"/>
    <x v="87"/>
    <x v="8"/>
    <n v="10184"/>
    <n v="169042"/>
    <n v="6.02"/>
    <s v="DQS_MAO04_FILE_000_B"/>
    <s v="RECORD COUNT by MBR_ID, DOS_THRU_DT, DX_CD Grain grouped by PAYER, SRC_FILE_NM, DOS_THRU_YYYYMM"/>
  </r>
  <r>
    <x v="2"/>
    <s v="FINGLOBL_PE202403_REMAO004.TXT"/>
    <x v="88"/>
    <x v="8"/>
    <n v="71506"/>
    <n v="169042"/>
    <n v="42.3"/>
    <s v="DQS_MAO04_FILE_000_B"/>
    <s v="RECORD COUNT by MBR_ID, DOS_THRU_DT, DX_CD Grain grouped by PAYER, SRC_FILE_NM, DOS_THRU_YYYYMM"/>
  </r>
  <r>
    <x v="2"/>
    <s v="FINGLOBL_PE202403_REMAO004.TXT"/>
    <x v="89"/>
    <x v="9"/>
    <n v="54246"/>
    <n v="169042"/>
    <n v="32.090000000000003"/>
    <s v="DQS_MAO04_FILE_000_B"/>
    <s v="RECORD COUNT by MBR_ID, DOS_THRU_DT, DX_CD Grain grouped by PAYER, SRC_FILE_NM, DOS_THRU_YYYYMM"/>
  </r>
  <r>
    <x v="2"/>
    <s v="FINGLOBL_PE202404_REMAO004.TXT"/>
    <x v="36"/>
    <x v="4"/>
    <n v="5"/>
    <n v="200101"/>
    <n v="0"/>
    <s v="DQS_MAO04_FILE_000_B"/>
    <s v="RECORD COUNT by MBR_ID, DOS_THRU_DT, DX_CD Grain grouped by PAYER, SRC_FILE_NM, DOS_THRU_YYYYMM"/>
  </r>
  <r>
    <x v="2"/>
    <s v="FINGLOBL_PE202404_REMAO004.TXT"/>
    <x v="44"/>
    <x v="5"/>
    <n v="11"/>
    <n v="200101"/>
    <n v="0.01"/>
    <s v="DQS_MAO04_FILE_000_B"/>
    <s v="RECORD COUNT by MBR_ID, DOS_THRU_DT, DX_CD Grain grouped by PAYER, SRC_FILE_NM, DOS_THRU_YYYYMM"/>
  </r>
  <r>
    <x v="2"/>
    <s v="FINGLOBL_PE202404_REMAO004.TXT"/>
    <x v="45"/>
    <x v="5"/>
    <n v="13"/>
    <n v="200101"/>
    <n v="0.01"/>
    <s v="DQS_MAO04_FILE_000_B"/>
    <s v="RECORD COUNT by MBR_ID, DOS_THRU_DT, DX_CD Grain grouped by PAYER, SRC_FILE_NM, DOS_THRU_YYYYMM"/>
  </r>
  <r>
    <x v="2"/>
    <s v="FINGLOBL_PE202404_REMAO004.TXT"/>
    <x v="46"/>
    <x v="5"/>
    <n v="25"/>
    <n v="200101"/>
    <n v="0.01"/>
    <s v="DQS_MAO04_FILE_000_B"/>
    <s v="RECORD COUNT by MBR_ID, DOS_THRU_DT, DX_CD Grain grouped by PAYER, SRC_FILE_NM, DOS_THRU_YYYYMM"/>
  </r>
  <r>
    <x v="2"/>
    <s v="FINGLOBL_PE202404_REMAO004.TXT"/>
    <x v="47"/>
    <x v="5"/>
    <n v="5"/>
    <n v="200101"/>
    <n v="0"/>
    <s v="DQS_MAO04_FILE_000_B"/>
    <s v="RECORD COUNT by MBR_ID, DOS_THRU_DT, DX_CD Grain grouped by PAYER, SRC_FILE_NM, DOS_THRU_YYYYMM"/>
  </r>
  <r>
    <x v="2"/>
    <s v="FINGLOBL_PE202404_REMAO004.TXT"/>
    <x v="50"/>
    <x v="5"/>
    <n v="5"/>
    <n v="200101"/>
    <n v="0"/>
    <s v="DQS_MAO04_FILE_000_B"/>
    <s v="RECORD COUNT by MBR_ID, DOS_THRU_DT, DX_CD Grain grouped by PAYER, SRC_FILE_NM, DOS_THRU_YYYYMM"/>
  </r>
  <r>
    <x v="2"/>
    <s v="FINGLOBL_PE202404_REMAO004.TXT"/>
    <x v="51"/>
    <x v="5"/>
    <n v="3"/>
    <n v="200101"/>
    <n v="0"/>
    <s v="DQS_MAO04_FILE_000_B"/>
    <s v="RECORD COUNT by MBR_ID, DOS_THRU_DT, DX_CD Grain grouped by PAYER, SRC_FILE_NM, DOS_THRU_YYYYMM"/>
  </r>
  <r>
    <x v="2"/>
    <s v="FINGLOBL_PE202404_REMAO004.TXT"/>
    <x v="53"/>
    <x v="6"/>
    <n v="26"/>
    <n v="200101"/>
    <n v="0.01"/>
    <s v="DQS_MAO04_FILE_000_B"/>
    <s v="RECORD COUNT by MBR_ID, DOS_THRU_DT, DX_CD Grain grouped by PAYER, SRC_FILE_NM, DOS_THRU_YYYYMM"/>
  </r>
  <r>
    <x v="2"/>
    <s v="FINGLOBL_PE202404_REMAO004.TXT"/>
    <x v="54"/>
    <x v="6"/>
    <n v="57"/>
    <n v="200101"/>
    <n v="0.03"/>
    <s v="DQS_MAO04_FILE_000_B"/>
    <s v="RECORD COUNT by MBR_ID, DOS_THRU_DT, DX_CD Grain grouped by PAYER, SRC_FILE_NM, DOS_THRU_YYYYMM"/>
  </r>
  <r>
    <x v="2"/>
    <s v="FINGLOBL_PE202404_REMAO004.TXT"/>
    <x v="55"/>
    <x v="6"/>
    <n v="56"/>
    <n v="200101"/>
    <n v="0.03"/>
    <s v="DQS_MAO04_FILE_000_B"/>
    <s v="RECORD COUNT by MBR_ID, DOS_THRU_DT, DX_CD Grain grouped by PAYER, SRC_FILE_NM, DOS_THRU_YYYYMM"/>
  </r>
  <r>
    <x v="2"/>
    <s v="FINGLOBL_PE202404_REMAO004.TXT"/>
    <x v="56"/>
    <x v="6"/>
    <n v="21"/>
    <n v="200101"/>
    <n v="0.01"/>
    <s v="DQS_MAO04_FILE_000_B"/>
    <s v="RECORD COUNT by MBR_ID, DOS_THRU_DT, DX_CD Grain grouped by PAYER, SRC_FILE_NM, DOS_THRU_YYYYMM"/>
  </r>
  <r>
    <x v="2"/>
    <s v="FINGLOBL_PE202404_REMAO004.TXT"/>
    <x v="57"/>
    <x v="6"/>
    <n v="6"/>
    <n v="200101"/>
    <n v="0"/>
    <s v="DQS_MAO04_FILE_000_B"/>
    <s v="RECORD COUNT by MBR_ID, DOS_THRU_DT, DX_CD Grain grouped by PAYER, SRC_FILE_NM, DOS_THRU_YYYYMM"/>
  </r>
  <r>
    <x v="2"/>
    <s v="FINGLOBL_PE202404_REMAO004.TXT"/>
    <x v="58"/>
    <x v="6"/>
    <n v="33"/>
    <n v="200101"/>
    <n v="0.02"/>
    <s v="DQS_MAO04_FILE_000_B"/>
    <s v="RECORD COUNT by MBR_ID, DOS_THRU_DT, DX_CD Grain grouped by PAYER, SRC_FILE_NM, DOS_THRU_YYYYMM"/>
  </r>
  <r>
    <x v="2"/>
    <s v="FINGLOBL_PE202404_REMAO004.TXT"/>
    <x v="59"/>
    <x v="6"/>
    <n v="16"/>
    <n v="200101"/>
    <n v="0.01"/>
    <s v="DQS_MAO04_FILE_000_B"/>
    <s v="RECORD COUNT by MBR_ID, DOS_THRU_DT, DX_CD Grain grouped by PAYER, SRC_FILE_NM, DOS_THRU_YYYYMM"/>
  </r>
  <r>
    <x v="2"/>
    <s v="FINGLOBL_PE202404_REMAO004.TXT"/>
    <x v="60"/>
    <x v="6"/>
    <n v="38"/>
    <n v="200101"/>
    <n v="0.02"/>
    <s v="DQS_MAO04_FILE_000_B"/>
    <s v="RECORD COUNT by MBR_ID, DOS_THRU_DT, DX_CD Grain grouped by PAYER, SRC_FILE_NM, DOS_THRU_YYYYMM"/>
  </r>
  <r>
    <x v="2"/>
    <s v="FINGLOBL_PE202404_REMAO004.TXT"/>
    <x v="61"/>
    <x v="6"/>
    <n v="17"/>
    <n v="200101"/>
    <n v="0.01"/>
    <s v="DQS_MAO04_FILE_000_B"/>
    <s v="RECORD COUNT by MBR_ID, DOS_THRU_DT, DX_CD Grain grouped by PAYER, SRC_FILE_NM, DOS_THRU_YYYYMM"/>
  </r>
  <r>
    <x v="2"/>
    <s v="FINGLOBL_PE202404_REMAO004.TXT"/>
    <x v="62"/>
    <x v="6"/>
    <n v="48"/>
    <n v="200101"/>
    <n v="0.02"/>
    <s v="DQS_MAO04_FILE_000_B"/>
    <s v="RECORD COUNT by MBR_ID, DOS_THRU_DT, DX_CD Grain grouped by PAYER, SRC_FILE_NM, DOS_THRU_YYYYMM"/>
  </r>
  <r>
    <x v="2"/>
    <s v="FINGLOBL_PE202404_REMAO004.TXT"/>
    <x v="63"/>
    <x v="6"/>
    <n v="19"/>
    <n v="200101"/>
    <n v="0.01"/>
    <s v="DQS_MAO04_FILE_000_B"/>
    <s v="RECORD COUNT by MBR_ID, DOS_THRU_DT, DX_CD Grain grouped by PAYER, SRC_FILE_NM, DOS_THRU_YYYYMM"/>
  </r>
  <r>
    <x v="2"/>
    <s v="FINGLOBL_PE202404_REMAO004.TXT"/>
    <x v="64"/>
    <x v="6"/>
    <n v="44"/>
    <n v="200101"/>
    <n v="0.02"/>
    <s v="DQS_MAO04_FILE_000_B"/>
    <s v="RECORD COUNT by MBR_ID, DOS_THRU_DT, DX_CD Grain grouped by PAYER, SRC_FILE_NM, DOS_THRU_YYYYMM"/>
  </r>
  <r>
    <x v="2"/>
    <s v="FINGLOBL_PE202404_REMAO004.TXT"/>
    <x v="65"/>
    <x v="7"/>
    <n v="10"/>
    <n v="200101"/>
    <n v="0"/>
    <s v="DQS_MAO04_FILE_000_B"/>
    <s v="RECORD COUNT by MBR_ID, DOS_THRU_DT, DX_CD Grain grouped by PAYER, SRC_FILE_NM, DOS_THRU_YYYYMM"/>
  </r>
  <r>
    <x v="2"/>
    <s v="FINGLOBL_PE202404_REMAO004.TXT"/>
    <x v="66"/>
    <x v="7"/>
    <n v="44"/>
    <n v="200101"/>
    <n v="0.02"/>
    <s v="DQS_MAO04_FILE_000_B"/>
    <s v="RECORD COUNT by MBR_ID, DOS_THRU_DT, DX_CD Grain grouped by PAYER, SRC_FILE_NM, DOS_THRU_YYYYMM"/>
  </r>
  <r>
    <x v="2"/>
    <s v="FINGLOBL_PE202404_REMAO004.TXT"/>
    <x v="67"/>
    <x v="7"/>
    <n v="58"/>
    <n v="200101"/>
    <n v="0.03"/>
    <s v="DQS_MAO04_FILE_000_B"/>
    <s v="RECORD COUNT by MBR_ID, DOS_THRU_DT, DX_CD Grain grouped by PAYER, SRC_FILE_NM, DOS_THRU_YYYYMM"/>
  </r>
  <r>
    <x v="2"/>
    <s v="FINGLOBL_PE202404_REMAO004.TXT"/>
    <x v="68"/>
    <x v="7"/>
    <n v="62"/>
    <n v="200101"/>
    <n v="0.03"/>
    <s v="DQS_MAO04_FILE_000_B"/>
    <s v="RECORD COUNT by MBR_ID, DOS_THRU_DT, DX_CD Grain grouped by PAYER, SRC_FILE_NM, DOS_THRU_YYYYMM"/>
  </r>
  <r>
    <x v="2"/>
    <s v="FINGLOBL_PE202404_REMAO004.TXT"/>
    <x v="69"/>
    <x v="7"/>
    <n v="101"/>
    <n v="200101"/>
    <n v="0.05"/>
    <s v="DQS_MAO04_FILE_000_B"/>
    <s v="RECORD COUNT by MBR_ID, DOS_THRU_DT, DX_CD Grain grouped by PAYER, SRC_FILE_NM, DOS_THRU_YYYYMM"/>
  </r>
  <r>
    <x v="2"/>
    <s v="FINGLOBL_PE202404_REMAO004.TXT"/>
    <x v="70"/>
    <x v="7"/>
    <n v="109"/>
    <n v="200101"/>
    <n v="0.05"/>
    <s v="DQS_MAO04_FILE_000_B"/>
    <s v="RECORD COUNT by MBR_ID, DOS_THRU_DT, DX_CD Grain grouped by PAYER, SRC_FILE_NM, DOS_THRU_YYYYMM"/>
  </r>
  <r>
    <x v="2"/>
    <s v="FINGLOBL_PE202404_REMAO004.TXT"/>
    <x v="71"/>
    <x v="7"/>
    <n v="90"/>
    <n v="200101"/>
    <n v="0.04"/>
    <s v="DQS_MAO04_FILE_000_B"/>
    <s v="RECORD COUNT by MBR_ID, DOS_THRU_DT, DX_CD Grain grouped by PAYER, SRC_FILE_NM, DOS_THRU_YYYYMM"/>
  </r>
  <r>
    <x v="2"/>
    <s v="FINGLOBL_PE202404_REMAO004.TXT"/>
    <x v="72"/>
    <x v="7"/>
    <n v="66"/>
    <n v="200101"/>
    <n v="0.03"/>
    <s v="DQS_MAO04_FILE_000_B"/>
    <s v="RECORD COUNT by MBR_ID, DOS_THRU_DT, DX_CD Grain grouped by PAYER, SRC_FILE_NM, DOS_THRU_YYYYMM"/>
  </r>
  <r>
    <x v="2"/>
    <s v="FINGLOBL_PE202404_REMAO004.TXT"/>
    <x v="73"/>
    <x v="7"/>
    <n v="93"/>
    <n v="200101"/>
    <n v="0.05"/>
    <s v="DQS_MAO04_FILE_000_B"/>
    <s v="RECORD COUNT by MBR_ID, DOS_THRU_DT, DX_CD Grain grouped by PAYER, SRC_FILE_NM, DOS_THRU_YYYYMM"/>
  </r>
  <r>
    <x v="2"/>
    <s v="FINGLOBL_PE202404_REMAO004.TXT"/>
    <x v="74"/>
    <x v="7"/>
    <n v="128"/>
    <n v="200101"/>
    <n v="0.06"/>
    <s v="DQS_MAO04_FILE_000_B"/>
    <s v="RECORD COUNT by MBR_ID, DOS_THRU_DT, DX_CD Grain grouped by PAYER, SRC_FILE_NM, DOS_THRU_YYYYMM"/>
  </r>
  <r>
    <x v="2"/>
    <s v="FINGLOBL_PE202404_REMAO004.TXT"/>
    <x v="75"/>
    <x v="7"/>
    <n v="295"/>
    <n v="200101"/>
    <n v="0.15"/>
    <s v="DQS_MAO04_FILE_000_B"/>
    <s v="RECORD COUNT by MBR_ID, DOS_THRU_DT, DX_CD Grain grouped by PAYER, SRC_FILE_NM, DOS_THRU_YYYYMM"/>
  </r>
  <r>
    <x v="2"/>
    <s v="FINGLOBL_PE202404_REMAO004.TXT"/>
    <x v="76"/>
    <x v="7"/>
    <n v="330"/>
    <n v="200101"/>
    <n v="0.16"/>
    <s v="DQS_MAO04_FILE_000_B"/>
    <s v="RECORD COUNT by MBR_ID, DOS_THRU_DT, DX_CD Grain grouped by PAYER, SRC_FILE_NM, DOS_THRU_YYYYMM"/>
  </r>
  <r>
    <x v="2"/>
    <s v="FINGLOBL_PE202404_REMAO004.TXT"/>
    <x v="77"/>
    <x v="8"/>
    <n v="1796"/>
    <n v="200101"/>
    <n v="0.9"/>
    <s v="DQS_MAO04_FILE_000_B"/>
    <s v="RECORD COUNT by MBR_ID, DOS_THRU_DT, DX_CD Grain grouped by PAYER, SRC_FILE_NM, DOS_THRU_YYYYMM"/>
  </r>
  <r>
    <x v="2"/>
    <s v="FINGLOBL_PE202404_REMAO004.TXT"/>
    <x v="78"/>
    <x v="8"/>
    <n v="2272"/>
    <n v="200101"/>
    <n v="1.1399999999999999"/>
    <s v="DQS_MAO04_FILE_000_B"/>
    <s v="RECORD COUNT by MBR_ID, DOS_THRU_DT, DX_CD Grain grouped by PAYER, SRC_FILE_NM, DOS_THRU_YYYYMM"/>
  </r>
  <r>
    <x v="2"/>
    <s v="FINGLOBL_PE202404_REMAO004.TXT"/>
    <x v="79"/>
    <x v="8"/>
    <n v="3388"/>
    <n v="200101"/>
    <n v="1.69"/>
    <s v="DQS_MAO04_FILE_000_B"/>
    <s v="RECORD COUNT by MBR_ID, DOS_THRU_DT, DX_CD Grain grouped by PAYER, SRC_FILE_NM, DOS_THRU_YYYYMM"/>
  </r>
  <r>
    <x v="2"/>
    <s v="FINGLOBL_PE202404_REMAO004.TXT"/>
    <x v="80"/>
    <x v="8"/>
    <n v="3344"/>
    <n v="200101"/>
    <n v="1.67"/>
    <s v="DQS_MAO04_FILE_000_B"/>
    <s v="RECORD COUNT by MBR_ID, DOS_THRU_DT, DX_CD Grain grouped by PAYER, SRC_FILE_NM, DOS_THRU_YYYYMM"/>
  </r>
  <r>
    <x v="2"/>
    <s v="FINGLOBL_PE202404_REMAO004.TXT"/>
    <x v="81"/>
    <x v="8"/>
    <n v="3246"/>
    <n v="200101"/>
    <n v="1.62"/>
    <s v="DQS_MAO04_FILE_000_B"/>
    <s v="RECORD COUNT by MBR_ID, DOS_THRU_DT, DX_CD Grain grouped by PAYER, SRC_FILE_NM, DOS_THRU_YYYYMM"/>
  </r>
  <r>
    <x v="2"/>
    <s v="FINGLOBL_PE202404_REMAO004.TXT"/>
    <x v="82"/>
    <x v="8"/>
    <n v="3717"/>
    <n v="200101"/>
    <n v="1.86"/>
    <s v="DQS_MAO04_FILE_000_B"/>
    <s v="RECORD COUNT by MBR_ID, DOS_THRU_DT, DX_CD Grain grouped by PAYER, SRC_FILE_NM, DOS_THRU_YYYYMM"/>
  </r>
  <r>
    <x v="2"/>
    <s v="FINGLOBL_PE202404_REMAO004.TXT"/>
    <x v="83"/>
    <x v="8"/>
    <n v="3851"/>
    <n v="200101"/>
    <n v="1.92"/>
    <s v="DQS_MAO04_FILE_000_B"/>
    <s v="RECORD COUNT by MBR_ID, DOS_THRU_DT, DX_CD Grain grouped by PAYER, SRC_FILE_NM, DOS_THRU_YYYYMM"/>
  </r>
  <r>
    <x v="2"/>
    <s v="FINGLOBL_PE202404_REMAO004.TXT"/>
    <x v="84"/>
    <x v="8"/>
    <n v="4507"/>
    <n v="200101"/>
    <n v="2.25"/>
    <s v="DQS_MAO04_FILE_000_B"/>
    <s v="RECORD COUNT by MBR_ID, DOS_THRU_DT, DX_CD Grain grouped by PAYER, SRC_FILE_NM, DOS_THRU_YYYYMM"/>
  </r>
  <r>
    <x v="2"/>
    <s v="FINGLOBL_PE202404_REMAO004.TXT"/>
    <x v="85"/>
    <x v="8"/>
    <n v="4616"/>
    <n v="200101"/>
    <n v="2.31"/>
    <s v="DQS_MAO04_FILE_000_B"/>
    <s v="RECORD COUNT by MBR_ID, DOS_THRU_DT, DX_CD Grain grouped by PAYER, SRC_FILE_NM, DOS_THRU_YYYYMM"/>
  </r>
  <r>
    <x v="2"/>
    <s v="FINGLOBL_PE202404_REMAO004.TXT"/>
    <x v="86"/>
    <x v="8"/>
    <n v="7052"/>
    <n v="200101"/>
    <n v="3.52"/>
    <s v="DQS_MAO04_FILE_000_B"/>
    <s v="RECORD COUNT by MBR_ID, DOS_THRU_DT, DX_CD Grain grouped by PAYER, SRC_FILE_NM, DOS_THRU_YYYYMM"/>
  </r>
  <r>
    <x v="2"/>
    <s v="FINGLOBL_PE202404_REMAO004.TXT"/>
    <x v="87"/>
    <x v="8"/>
    <n v="5308"/>
    <n v="200101"/>
    <n v="2.65"/>
    <s v="DQS_MAO04_FILE_000_B"/>
    <s v="RECORD COUNT by MBR_ID, DOS_THRU_DT, DX_CD Grain grouped by PAYER, SRC_FILE_NM, DOS_THRU_YYYYMM"/>
  </r>
  <r>
    <x v="2"/>
    <s v="FINGLOBL_PE202404_REMAO004.TXT"/>
    <x v="88"/>
    <x v="8"/>
    <n v="9153"/>
    <n v="200101"/>
    <n v="4.57"/>
    <s v="DQS_MAO04_FILE_000_B"/>
    <s v="RECORD COUNT by MBR_ID, DOS_THRU_DT, DX_CD Grain grouped by PAYER, SRC_FILE_NM, DOS_THRU_YYYYMM"/>
  </r>
  <r>
    <x v="2"/>
    <s v="FINGLOBL_PE202404_REMAO004.TXT"/>
    <x v="89"/>
    <x v="9"/>
    <n v="85018"/>
    <n v="200101"/>
    <n v="42.49"/>
    <s v="DQS_MAO04_FILE_000_B"/>
    <s v="RECORD COUNT by MBR_ID, DOS_THRU_DT, DX_CD Grain grouped by PAYER, SRC_FILE_NM, DOS_THRU_YYYYMM"/>
  </r>
  <r>
    <x v="2"/>
    <s v="FINGLOBL_PE202404_REMAO004.TXT"/>
    <x v="97"/>
    <x v="9"/>
    <n v="60999"/>
    <n v="200101"/>
    <n v="30.48"/>
    <s v="DQS_MAO04_FILE_000_B"/>
    <s v="RECORD COUNT by MBR_ID, DOS_THRU_DT, DX_CD Grain grouped by PAYER, SRC_FILE_NM, DOS_THRU_YYYYMM"/>
  </r>
  <r>
    <x v="2"/>
    <s v="FINGLOBL_PE202405_REMAO004.TXT"/>
    <x v="31"/>
    <x v="4"/>
    <n v="1"/>
    <n v="188486"/>
    <n v="0"/>
    <s v="DQS_MAO04_FILE_000_B"/>
    <s v="RECORD COUNT by MBR_ID, DOS_THRU_DT, DX_CD Grain grouped by PAYER, SRC_FILE_NM, DOS_THRU_YYYYMM"/>
  </r>
  <r>
    <x v="2"/>
    <s v="FINGLOBL_PE202405_REMAO004.TXT"/>
    <x v="33"/>
    <x v="4"/>
    <n v="2"/>
    <n v="188486"/>
    <n v="0"/>
    <s v="DQS_MAO04_FILE_000_B"/>
    <s v="RECORD COUNT by MBR_ID, DOS_THRU_DT, DX_CD Grain grouped by PAYER, SRC_FILE_NM, DOS_THRU_YYYYMM"/>
  </r>
  <r>
    <x v="2"/>
    <s v="FINGLOBL_PE202405_REMAO004.TXT"/>
    <x v="36"/>
    <x v="4"/>
    <n v="3"/>
    <n v="188486"/>
    <n v="0"/>
    <s v="DQS_MAO04_FILE_000_B"/>
    <s v="RECORD COUNT by MBR_ID, DOS_THRU_DT, DX_CD Grain grouped by PAYER, SRC_FILE_NM, DOS_THRU_YYYYMM"/>
  </r>
  <r>
    <x v="2"/>
    <s v="FINGLOBL_PE202405_REMAO004.TXT"/>
    <x v="37"/>
    <x v="4"/>
    <n v="27"/>
    <n v="188486"/>
    <n v="0.01"/>
    <s v="DQS_MAO04_FILE_000_B"/>
    <s v="RECORD COUNT by MBR_ID, DOS_THRU_DT, DX_CD Grain grouped by PAYER, SRC_FILE_NM, DOS_THRU_YYYYMM"/>
  </r>
  <r>
    <x v="2"/>
    <s v="FINGLOBL_PE202405_REMAO004.TXT"/>
    <x v="38"/>
    <x v="4"/>
    <n v="22"/>
    <n v="188486"/>
    <n v="0.01"/>
    <s v="DQS_MAO04_FILE_000_B"/>
    <s v="RECORD COUNT by MBR_ID, DOS_THRU_DT, DX_CD Grain grouped by PAYER, SRC_FILE_NM, DOS_THRU_YYYYMM"/>
  </r>
  <r>
    <x v="2"/>
    <s v="FINGLOBL_PE202405_REMAO004.TXT"/>
    <x v="42"/>
    <x v="5"/>
    <n v="1"/>
    <n v="188486"/>
    <n v="0"/>
    <s v="DQS_MAO04_FILE_000_B"/>
    <s v="RECORD COUNT by MBR_ID, DOS_THRU_DT, DX_CD Grain grouped by PAYER, SRC_FILE_NM, DOS_THRU_YYYYMM"/>
  </r>
  <r>
    <x v="2"/>
    <s v="FINGLOBL_PE202405_REMAO004.TXT"/>
    <x v="44"/>
    <x v="5"/>
    <n v="3"/>
    <n v="188486"/>
    <n v="0"/>
    <s v="DQS_MAO04_FILE_000_B"/>
    <s v="RECORD COUNT by MBR_ID, DOS_THRU_DT, DX_CD Grain grouped by PAYER, SRC_FILE_NM, DOS_THRU_YYYYMM"/>
  </r>
  <r>
    <x v="2"/>
    <s v="FINGLOBL_PE202405_REMAO004.TXT"/>
    <x v="45"/>
    <x v="5"/>
    <n v="10"/>
    <n v="188486"/>
    <n v="0.01"/>
    <s v="DQS_MAO04_FILE_000_B"/>
    <s v="RECORD COUNT by MBR_ID, DOS_THRU_DT, DX_CD Grain grouped by PAYER, SRC_FILE_NM, DOS_THRU_YYYYMM"/>
  </r>
  <r>
    <x v="2"/>
    <s v="FINGLOBL_PE202405_REMAO004.TXT"/>
    <x v="47"/>
    <x v="5"/>
    <n v="9"/>
    <n v="188486"/>
    <n v="0"/>
    <s v="DQS_MAO04_FILE_000_B"/>
    <s v="RECORD COUNT by MBR_ID, DOS_THRU_DT, DX_CD Grain grouped by PAYER, SRC_FILE_NM, DOS_THRU_YYYYMM"/>
  </r>
  <r>
    <x v="2"/>
    <s v="FINGLOBL_PE202405_REMAO004.TXT"/>
    <x v="49"/>
    <x v="5"/>
    <n v="14"/>
    <n v="188486"/>
    <n v="0.01"/>
    <s v="DQS_MAO04_FILE_000_B"/>
    <s v="RECORD COUNT by MBR_ID, DOS_THRU_DT, DX_CD Grain grouped by PAYER, SRC_FILE_NM, DOS_THRU_YYYYMM"/>
  </r>
  <r>
    <x v="2"/>
    <s v="FINGLOBL_PE202405_REMAO004.TXT"/>
    <x v="50"/>
    <x v="5"/>
    <n v="10"/>
    <n v="188486"/>
    <n v="0.01"/>
    <s v="DQS_MAO04_FILE_000_B"/>
    <s v="RECORD COUNT by MBR_ID, DOS_THRU_DT, DX_CD Grain grouped by PAYER, SRC_FILE_NM, DOS_THRU_YYYYMM"/>
  </r>
  <r>
    <x v="2"/>
    <s v="FINGLOBL_PE202405_REMAO004.TXT"/>
    <x v="51"/>
    <x v="5"/>
    <n v="2"/>
    <n v="188486"/>
    <n v="0"/>
    <s v="DQS_MAO04_FILE_000_B"/>
    <s v="RECORD COUNT by MBR_ID, DOS_THRU_DT, DX_CD Grain grouped by PAYER, SRC_FILE_NM, DOS_THRU_YYYYMM"/>
  </r>
  <r>
    <x v="2"/>
    <s v="FINGLOBL_PE202405_REMAO004.TXT"/>
    <x v="53"/>
    <x v="6"/>
    <n v="9"/>
    <n v="188486"/>
    <n v="0"/>
    <s v="DQS_MAO04_FILE_000_B"/>
    <s v="RECORD COUNT by MBR_ID, DOS_THRU_DT, DX_CD Grain grouped by PAYER, SRC_FILE_NM, DOS_THRU_YYYYMM"/>
  </r>
  <r>
    <x v="2"/>
    <s v="FINGLOBL_PE202405_REMAO004.TXT"/>
    <x v="54"/>
    <x v="6"/>
    <n v="33"/>
    <n v="188486"/>
    <n v="0.02"/>
    <s v="DQS_MAO04_FILE_000_B"/>
    <s v="RECORD COUNT by MBR_ID, DOS_THRU_DT, DX_CD Grain grouped by PAYER, SRC_FILE_NM, DOS_THRU_YYYYMM"/>
  </r>
  <r>
    <x v="2"/>
    <s v="FINGLOBL_PE202405_REMAO004.TXT"/>
    <x v="55"/>
    <x v="6"/>
    <n v="49"/>
    <n v="188486"/>
    <n v="0.03"/>
    <s v="DQS_MAO04_FILE_000_B"/>
    <s v="RECORD COUNT by MBR_ID, DOS_THRU_DT, DX_CD Grain grouped by PAYER, SRC_FILE_NM, DOS_THRU_YYYYMM"/>
  </r>
  <r>
    <x v="2"/>
    <s v="FINGLOBL_PE202405_REMAO004.TXT"/>
    <x v="56"/>
    <x v="6"/>
    <n v="25"/>
    <n v="188486"/>
    <n v="0.01"/>
    <s v="DQS_MAO04_FILE_000_B"/>
    <s v="RECORD COUNT by MBR_ID, DOS_THRU_DT, DX_CD Grain grouped by PAYER, SRC_FILE_NM, DOS_THRU_YYYYMM"/>
  </r>
  <r>
    <x v="2"/>
    <s v="FINGLOBL_PE202405_REMAO004.TXT"/>
    <x v="57"/>
    <x v="6"/>
    <n v="11"/>
    <n v="188486"/>
    <n v="0.01"/>
    <s v="DQS_MAO04_FILE_000_B"/>
    <s v="RECORD COUNT by MBR_ID, DOS_THRU_DT, DX_CD Grain grouped by PAYER, SRC_FILE_NM, DOS_THRU_YYYYMM"/>
  </r>
  <r>
    <x v="2"/>
    <s v="FINGLOBL_PE202405_REMAO004.TXT"/>
    <x v="58"/>
    <x v="6"/>
    <n v="12"/>
    <n v="188486"/>
    <n v="0.01"/>
    <s v="DQS_MAO04_FILE_000_B"/>
    <s v="RECORD COUNT by MBR_ID, DOS_THRU_DT, DX_CD Grain grouped by PAYER, SRC_FILE_NM, DOS_THRU_YYYYMM"/>
  </r>
  <r>
    <x v="2"/>
    <s v="FINGLOBL_PE202405_REMAO004.TXT"/>
    <x v="59"/>
    <x v="6"/>
    <n v="25"/>
    <n v="188486"/>
    <n v="0.01"/>
    <s v="DQS_MAO04_FILE_000_B"/>
    <s v="RECORD COUNT by MBR_ID, DOS_THRU_DT, DX_CD Grain grouped by PAYER, SRC_FILE_NM, DOS_THRU_YYYYMM"/>
  </r>
  <r>
    <x v="2"/>
    <s v="FINGLOBL_PE202405_REMAO004.TXT"/>
    <x v="60"/>
    <x v="6"/>
    <n v="9"/>
    <n v="188486"/>
    <n v="0"/>
    <s v="DQS_MAO04_FILE_000_B"/>
    <s v="RECORD COUNT by MBR_ID, DOS_THRU_DT, DX_CD Grain grouped by PAYER, SRC_FILE_NM, DOS_THRU_YYYYMM"/>
  </r>
  <r>
    <x v="2"/>
    <s v="FINGLOBL_PE202405_REMAO004.TXT"/>
    <x v="61"/>
    <x v="6"/>
    <n v="4"/>
    <n v="188486"/>
    <n v="0"/>
    <s v="DQS_MAO04_FILE_000_B"/>
    <s v="RECORD COUNT by MBR_ID, DOS_THRU_DT, DX_CD Grain grouped by PAYER, SRC_FILE_NM, DOS_THRU_YYYYMM"/>
  </r>
  <r>
    <x v="2"/>
    <s v="FINGLOBL_PE202405_REMAO004.TXT"/>
    <x v="62"/>
    <x v="6"/>
    <n v="18"/>
    <n v="188486"/>
    <n v="0.01"/>
    <s v="DQS_MAO04_FILE_000_B"/>
    <s v="RECORD COUNT by MBR_ID, DOS_THRU_DT, DX_CD Grain grouped by PAYER, SRC_FILE_NM, DOS_THRU_YYYYMM"/>
  </r>
  <r>
    <x v="2"/>
    <s v="FINGLOBL_PE202405_REMAO004.TXT"/>
    <x v="63"/>
    <x v="6"/>
    <n v="35"/>
    <n v="188486"/>
    <n v="0.02"/>
    <s v="DQS_MAO04_FILE_000_B"/>
    <s v="RECORD COUNT by MBR_ID, DOS_THRU_DT, DX_CD Grain grouped by PAYER, SRC_FILE_NM, DOS_THRU_YYYYMM"/>
  </r>
  <r>
    <x v="2"/>
    <s v="FINGLOBL_PE202405_REMAO004.TXT"/>
    <x v="64"/>
    <x v="6"/>
    <n v="7"/>
    <n v="188486"/>
    <n v="0"/>
    <s v="DQS_MAO04_FILE_000_B"/>
    <s v="RECORD COUNT by MBR_ID, DOS_THRU_DT, DX_CD Grain grouped by PAYER, SRC_FILE_NM, DOS_THRU_YYYYMM"/>
  </r>
  <r>
    <x v="2"/>
    <s v="FINGLOBL_PE202405_REMAO004.TXT"/>
    <x v="65"/>
    <x v="7"/>
    <n v="14"/>
    <n v="188486"/>
    <n v="0.01"/>
    <s v="DQS_MAO04_FILE_000_B"/>
    <s v="RECORD COUNT by MBR_ID, DOS_THRU_DT, DX_CD Grain grouped by PAYER, SRC_FILE_NM, DOS_THRU_YYYYMM"/>
  </r>
  <r>
    <x v="2"/>
    <s v="FINGLOBL_PE202405_REMAO004.TXT"/>
    <x v="66"/>
    <x v="7"/>
    <n v="12"/>
    <n v="188486"/>
    <n v="0.01"/>
    <s v="DQS_MAO04_FILE_000_B"/>
    <s v="RECORD COUNT by MBR_ID, DOS_THRU_DT, DX_CD Grain grouped by PAYER, SRC_FILE_NM, DOS_THRU_YYYYMM"/>
  </r>
  <r>
    <x v="2"/>
    <s v="FINGLOBL_PE202405_REMAO004.TXT"/>
    <x v="67"/>
    <x v="7"/>
    <n v="8"/>
    <n v="188486"/>
    <n v="0"/>
    <s v="DQS_MAO04_FILE_000_B"/>
    <s v="RECORD COUNT by MBR_ID, DOS_THRU_DT, DX_CD Grain grouped by PAYER, SRC_FILE_NM, DOS_THRU_YYYYMM"/>
  </r>
  <r>
    <x v="2"/>
    <s v="FINGLOBL_PE202405_REMAO004.TXT"/>
    <x v="68"/>
    <x v="7"/>
    <n v="67"/>
    <n v="188486"/>
    <n v="0.04"/>
    <s v="DQS_MAO04_FILE_000_B"/>
    <s v="RECORD COUNT by MBR_ID, DOS_THRU_DT, DX_CD Grain grouped by PAYER, SRC_FILE_NM, DOS_THRU_YYYYMM"/>
  </r>
  <r>
    <x v="2"/>
    <s v="FINGLOBL_PE202405_REMAO004.TXT"/>
    <x v="69"/>
    <x v="7"/>
    <n v="38"/>
    <n v="188486"/>
    <n v="0.02"/>
    <s v="DQS_MAO04_FILE_000_B"/>
    <s v="RECORD COUNT by MBR_ID, DOS_THRU_DT, DX_CD Grain grouped by PAYER, SRC_FILE_NM, DOS_THRU_YYYYMM"/>
  </r>
  <r>
    <x v="2"/>
    <s v="FINGLOBL_PE202405_REMAO004.TXT"/>
    <x v="70"/>
    <x v="7"/>
    <n v="145"/>
    <n v="188486"/>
    <n v="0.08"/>
    <s v="DQS_MAO04_FILE_000_B"/>
    <s v="RECORD COUNT by MBR_ID, DOS_THRU_DT, DX_CD Grain grouped by PAYER, SRC_FILE_NM, DOS_THRU_YYYYMM"/>
  </r>
  <r>
    <x v="2"/>
    <s v="FINGLOBL_PE202405_REMAO004.TXT"/>
    <x v="71"/>
    <x v="7"/>
    <n v="62"/>
    <n v="188486"/>
    <n v="0.03"/>
    <s v="DQS_MAO04_FILE_000_B"/>
    <s v="RECORD COUNT by MBR_ID, DOS_THRU_DT, DX_CD Grain grouped by PAYER, SRC_FILE_NM, DOS_THRU_YYYYMM"/>
  </r>
  <r>
    <x v="2"/>
    <s v="FINGLOBL_PE202405_REMAO004.TXT"/>
    <x v="72"/>
    <x v="7"/>
    <n v="104"/>
    <n v="188486"/>
    <n v="0.06"/>
    <s v="DQS_MAO04_FILE_000_B"/>
    <s v="RECORD COUNT by MBR_ID, DOS_THRU_DT, DX_CD Grain grouped by PAYER, SRC_FILE_NM, DOS_THRU_YYYYMM"/>
  </r>
  <r>
    <x v="2"/>
    <s v="FINGLOBL_PE202405_REMAO004.TXT"/>
    <x v="73"/>
    <x v="7"/>
    <n v="121"/>
    <n v="188486"/>
    <n v="0.06"/>
    <s v="DQS_MAO04_FILE_000_B"/>
    <s v="RECORD COUNT by MBR_ID, DOS_THRU_DT, DX_CD Grain grouped by PAYER, SRC_FILE_NM, DOS_THRU_YYYYMM"/>
  </r>
  <r>
    <x v="2"/>
    <s v="FINGLOBL_PE202405_REMAO004.TXT"/>
    <x v="74"/>
    <x v="7"/>
    <n v="126"/>
    <n v="188486"/>
    <n v="7.0000000000000007E-2"/>
    <s v="DQS_MAO04_FILE_000_B"/>
    <s v="RECORD COUNT by MBR_ID, DOS_THRU_DT, DX_CD Grain grouped by PAYER, SRC_FILE_NM, DOS_THRU_YYYYMM"/>
  </r>
  <r>
    <x v="2"/>
    <s v="FINGLOBL_PE202405_REMAO004.TXT"/>
    <x v="75"/>
    <x v="7"/>
    <n v="219"/>
    <n v="188486"/>
    <n v="0.12"/>
    <s v="DQS_MAO04_FILE_000_B"/>
    <s v="RECORD COUNT by MBR_ID, DOS_THRU_DT, DX_CD Grain grouped by PAYER, SRC_FILE_NM, DOS_THRU_YYYYMM"/>
  </r>
  <r>
    <x v="2"/>
    <s v="FINGLOBL_PE202405_REMAO004.TXT"/>
    <x v="76"/>
    <x v="7"/>
    <n v="187"/>
    <n v="188486"/>
    <n v="0.1"/>
    <s v="DQS_MAO04_FILE_000_B"/>
    <s v="RECORD COUNT by MBR_ID, DOS_THRU_DT, DX_CD Grain grouped by PAYER, SRC_FILE_NM, DOS_THRU_YYYYMM"/>
  </r>
  <r>
    <x v="2"/>
    <s v="FINGLOBL_PE202405_REMAO004.TXT"/>
    <x v="77"/>
    <x v="8"/>
    <n v="1316"/>
    <n v="188486"/>
    <n v="0.7"/>
    <s v="DQS_MAO04_FILE_000_B"/>
    <s v="RECORD COUNT by MBR_ID, DOS_THRU_DT, DX_CD Grain grouped by PAYER, SRC_FILE_NM, DOS_THRU_YYYYMM"/>
  </r>
  <r>
    <x v="2"/>
    <s v="FINGLOBL_PE202405_REMAO004.TXT"/>
    <x v="78"/>
    <x v="8"/>
    <n v="1593"/>
    <n v="188486"/>
    <n v="0.85"/>
    <s v="DQS_MAO04_FILE_000_B"/>
    <s v="RECORD COUNT by MBR_ID, DOS_THRU_DT, DX_CD Grain grouped by PAYER, SRC_FILE_NM, DOS_THRU_YYYYMM"/>
  </r>
  <r>
    <x v="2"/>
    <s v="FINGLOBL_PE202405_REMAO004.TXT"/>
    <x v="79"/>
    <x v="8"/>
    <n v="2339"/>
    <n v="188486"/>
    <n v="1.24"/>
    <s v="DQS_MAO04_FILE_000_B"/>
    <s v="RECORD COUNT by MBR_ID, DOS_THRU_DT, DX_CD Grain grouped by PAYER, SRC_FILE_NM, DOS_THRU_YYYYMM"/>
  </r>
  <r>
    <x v="2"/>
    <s v="FINGLOBL_PE202405_REMAO004.TXT"/>
    <x v="80"/>
    <x v="8"/>
    <n v="2267"/>
    <n v="188486"/>
    <n v="1.2"/>
    <s v="DQS_MAO04_FILE_000_B"/>
    <s v="RECORD COUNT by MBR_ID, DOS_THRU_DT, DX_CD Grain grouped by PAYER, SRC_FILE_NM, DOS_THRU_YYYYMM"/>
  </r>
  <r>
    <x v="2"/>
    <s v="FINGLOBL_PE202405_REMAO004.TXT"/>
    <x v="81"/>
    <x v="8"/>
    <n v="3014"/>
    <n v="188486"/>
    <n v="1.6"/>
    <s v="DQS_MAO04_FILE_000_B"/>
    <s v="RECORD COUNT by MBR_ID, DOS_THRU_DT, DX_CD Grain grouped by PAYER, SRC_FILE_NM, DOS_THRU_YYYYMM"/>
  </r>
  <r>
    <x v="2"/>
    <s v="FINGLOBL_PE202405_REMAO004.TXT"/>
    <x v="82"/>
    <x v="8"/>
    <n v="3531"/>
    <n v="188486"/>
    <n v="1.87"/>
    <s v="DQS_MAO04_FILE_000_B"/>
    <s v="RECORD COUNT by MBR_ID, DOS_THRU_DT, DX_CD Grain grouped by PAYER, SRC_FILE_NM, DOS_THRU_YYYYMM"/>
  </r>
  <r>
    <x v="2"/>
    <s v="FINGLOBL_PE202405_REMAO004.TXT"/>
    <x v="83"/>
    <x v="8"/>
    <n v="3524"/>
    <n v="188486"/>
    <n v="1.87"/>
    <s v="DQS_MAO04_FILE_000_B"/>
    <s v="RECORD COUNT by MBR_ID, DOS_THRU_DT, DX_CD Grain grouped by PAYER, SRC_FILE_NM, DOS_THRU_YYYYMM"/>
  </r>
  <r>
    <x v="2"/>
    <s v="FINGLOBL_PE202405_REMAO004.TXT"/>
    <x v="84"/>
    <x v="8"/>
    <n v="4799"/>
    <n v="188486"/>
    <n v="2.5499999999999998"/>
    <s v="DQS_MAO04_FILE_000_B"/>
    <s v="RECORD COUNT by MBR_ID, DOS_THRU_DT, DX_CD Grain grouped by PAYER, SRC_FILE_NM, DOS_THRU_YYYYMM"/>
  </r>
  <r>
    <x v="2"/>
    <s v="FINGLOBL_PE202405_REMAO004.TXT"/>
    <x v="85"/>
    <x v="8"/>
    <n v="5756"/>
    <n v="188486"/>
    <n v="3.05"/>
    <s v="DQS_MAO04_FILE_000_B"/>
    <s v="RECORD COUNT by MBR_ID, DOS_THRU_DT, DX_CD Grain grouped by PAYER, SRC_FILE_NM, DOS_THRU_YYYYMM"/>
  </r>
  <r>
    <x v="2"/>
    <s v="FINGLOBL_PE202405_REMAO004.TXT"/>
    <x v="86"/>
    <x v="8"/>
    <n v="3721"/>
    <n v="188486"/>
    <n v="1.97"/>
    <s v="DQS_MAO04_FILE_000_B"/>
    <s v="RECORD COUNT by MBR_ID, DOS_THRU_DT, DX_CD Grain grouped by PAYER, SRC_FILE_NM, DOS_THRU_YYYYMM"/>
  </r>
  <r>
    <x v="2"/>
    <s v="FINGLOBL_PE202405_REMAO004.TXT"/>
    <x v="87"/>
    <x v="8"/>
    <n v="7717"/>
    <n v="188486"/>
    <n v="4.09"/>
    <s v="DQS_MAO04_FILE_000_B"/>
    <s v="RECORD COUNT by MBR_ID, DOS_THRU_DT, DX_CD Grain grouped by PAYER, SRC_FILE_NM, DOS_THRU_YYYYMM"/>
  </r>
  <r>
    <x v="2"/>
    <s v="FINGLOBL_PE202405_REMAO004.TXT"/>
    <x v="88"/>
    <x v="8"/>
    <n v="4911"/>
    <n v="188486"/>
    <n v="2.61"/>
    <s v="DQS_MAO04_FILE_000_B"/>
    <s v="RECORD COUNT by MBR_ID, DOS_THRU_DT, DX_CD Grain grouped by PAYER, SRC_FILE_NM, DOS_THRU_YYYYMM"/>
  </r>
  <r>
    <x v="2"/>
    <s v="FINGLOBL_PE202405_REMAO004.TXT"/>
    <x v="89"/>
    <x v="9"/>
    <n v="17109"/>
    <n v="188486"/>
    <n v="9.08"/>
    <s v="DQS_MAO04_FILE_000_B"/>
    <s v="RECORD COUNT by MBR_ID, DOS_THRU_DT, DX_CD Grain grouped by PAYER, SRC_FILE_NM, DOS_THRU_YYYYMM"/>
  </r>
  <r>
    <x v="2"/>
    <s v="FINGLOBL_PE202405_REMAO004.TXT"/>
    <x v="97"/>
    <x v="9"/>
    <n v="76337"/>
    <n v="188486"/>
    <n v="40.5"/>
    <s v="DQS_MAO04_FILE_000_B"/>
    <s v="RECORD COUNT by MBR_ID, DOS_THRU_DT, DX_CD Grain grouped by PAYER, SRC_FILE_NM, DOS_THRU_YYYYMM"/>
  </r>
  <r>
    <x v="2"/>
    <s v="FINGLOBL_PE202405_REMAO004.TXT"/>
    <x v="98"/>
    <x v="9"/>
    <n v="49108"/>
    <n v="188486"/>
    <n v="26.05"/>
    <s v="DQS_MAO04_FILE_000_B"/>
    <s v="RECORD COUNT by MBR_ID, DOS_THRU_DT, DX_CD Grain grouped by PAYER, SRC_FILE_NM, DOS_THRU_YYYYMM"/>
  </r>
  <r>
    <x v="2"/>
    <s v="FINGLOBL_PE202406_REMAO004.TXT"/>
    <x v="31"/>
    <x v="4"/>
    <n v="1"/>
    <n v="214432"/>
    <n v="0"/>
    <s v="DQS_MAO04_FILE_000_B"/>
    <s v="RECORD COUNT by MBR_ID, DOS_THRU_DT, DX_CD Grain grouped by PAYER, SRC_FILE_NM, DOS_THRU_YYYYMM"/>
  </r>
  <r>
    <x v="2"/>
    <s v="FINGLOBL_PE202406_REMAO004.TXT"/>
    <x v="33"/>
    <x v="4"/>
    <n v="2"/>
    <n v="214432"/>
    <n v="0"/>
    <s v="DQS_MAO04_FILE_000_B"/>
    <s v="RECORD COUNT by MBR_ID, DOS_THRU_DT, DX_CD Grain grouped by PAYER, SRC_FILE_NM, DOS_THRU_YYYYMM"/>
  </r>
  <r>
    <x v="2"/>
    <s v="FINGLOBL_PE202406_REMAO004.TXT"/>
    <x v="36"/>
    <x v="4"/>
    <n v="3"/>
    <n v="214432"/>
    <n v="0"/>
    <s v="DQS_MAO04_FILE_000_B"/>
    <s v="RECORD COUNT by MBR_ID, DOS_THRU_DT, DX_CD Grain grouped by PAYER, SRC_FILE_NM, DOS_THRU_YYYYMM"/>
  </r>
  <r>
    <x v="2"/>
    <s v="FINGLOBL_PE202406_REMAO004.TXT"/>
    <x v="37"/>
    <x v="4"/>
    <n v="27"/>
    <n v="214432"/>
    <n v="0.01"/>
    <s v="DQS_MAO04_FILE_000_B"/>
    <s v="RECORD COUNT by MBR_ID, DOS_THRU_DT, DX_CD Grain grouped by PAYER, SRC_FILE_NM, DOS_THRU_YYYYMM"/>
  </r>
  <r>
    <x v="2"/>
    <s v="FINGLOBL_PE202406_REMAO004.TXT"/>
    <x v="38"/>
    <x v="4"/>
    <n v="22"/>
    <n v="214432"/>
    <n v="0.01"/>
    <s v="DQS_MAO04_FILE_000_B"/>
    <s v="RECORD COUNT by MBR_ID, DOS_THRU_DT, DX_CD Grain grouped by PAYER, SRC_FILE_NM, DOS_THRU_YYYYMM"/>
  </r>
  <r>
    <x v="2"/>
    <s v="FINGLOBL_PE202406_REMAO004.TXT"/>
    <x v="42"/>
    <x v="5"/>
    <n v="1"/>
    <n v="214432"/>
    <n v="0"/>
    <s v="DQS_MAO04_FILE_000_B"/>
    <s v="RECORD COUNT by MBR_ID, DOS_THRU_DT, DX_CD Grain grouped by PAYER, SRC_FILE_NM, DOS_THRU_YYYYMM"/>
  </r>
  <r>
    <x v="2"/>
    <s v="FINGLOBL_PE202406_REMAO004.TXT"/>
    <x v="44"/>
    <x v="5"/>
    <n v="3"/>
    <n v="214432"/>
    <n v="0"/>
    <s v="DQS_MAO04_FILE_000_B"/>
    <s v="RECORD COUNT by MBR_ID, DOS_THRU_DT, DX_CD Grain grouped by PAYER, SRC_FILE_NM, DOS_THRU_YYYYMM"/>
  </r>
  <r>
    <x v="2"/>
    <s v="FINGLOBL_PE202406_REMAO004.TXT"/>
    <x v="45"/>
    <x v="5"/>
    <n v="10"/>
    <n v="214432"/>
    <n v="0"/>
    <s v="DQS_MAO04_FILE_000_B"/>
    <s v="RECORD COUNT by MBR_ID, DOS_THRU_DT, DX_CD Grain grouped by PAYER, SRC_FILE_NM, DOS_THRU_YYYYMM"/>
  </r>
  <r>
    <x v="2"/>
    <s v="FINGLOBL_PE202406_REMAO004.TXT"/>
    <x v="47"/>
    <x v="5"/>
    <n v="9"/>
    <n v="214432"/>
    <n v="0"/>
    <s v="DQS_MAO04_FILE_000_B"/>
    <s v="RECORD COUNT by MBR_ID, DOS_THRU_DT, DX_CD Grain grouped by PAYER, SRC_FILE_NM, DOS_THRU_YYYYMM"/>
  </r>
  <r>
    <x v="2"/>
    <s v="FINGLOBL_PE202406_REMAO004.TXT"/>
    <x v="49"/>
    <x v="5"/>
    <n v="39"/>
    <n v="214432"/>
    <n v="0.02"/>
    <s v="DQS_MAO04_FILE_000_B"/>
    <s v="RECORD COUNT by MBR_ID, DOS_THRU_DT, DX_CD Grain grouped by PAYER, SRC_FILE_NM, DOS_THRU_YYYYMM"/>
  </r>
  <r>
    <x v="2"/>
    <s v="FINGLOBL_PE202406_REMAO004.TXT"/>
    <x v="50"/>
    <x v="5"/>
    <n v="10"/>
    <n v="214432"/>
    <n v="0"/>
    <s v="DQS_MAO04_FILE_000_B"/>
    <s v="RECORD COUNT by MBR_ID, DOS_THRU_DT, DX_CD Grain grouped by PAYER, SRC_FILE_NM, DOS_THRU_YYYYMM"/>
  </r>
  <r>
    <x v="2"/>
    <s v="FINGLOBL_PE202406_REMAO004.TXT"/>
    <x v="51"/>
    <x v="5"/>
    <n v="2"/>
    <n v="214432"/>
    <n v="0"/>
    <s v="DQS_MAO04_FILE_000_B"/>
    <s v="RECORD COUNT by MBR_ID, DOS_THRU_DT, DX_CD Grain grouped by PAYER, SRC_FILE_NM, DOS_THRU_YYYYMM"/>
  </r>
  <r>
    <x v="2"/>
    <s v="FINGLOBL_PE202406_REMAO004.TXT"/>
    <x v="53"/>
    <x v="6"/>
    <n v="9"/>
    <n v="214432"/>
    <n v="0"/>
    <s v="DQS_MAO04_FILE_000_B"/>
    <s v="RECORD COUNT by MBR_ID, DOS_THRU_DT, DX_CD Grain grouped by PAYER, SRC_FILE_NM, DOS_THRU_YYYYMM"/>
  </r>
  <r>
    <x v="2"/>
    <s v="FINGLOBL_PE202406_REMAO004.TXT"/>
    <x v="54"/>
    <x v="6"/>
    <n v="33"/>
    <n v="214432"/>
    <n v="0.02"/>
    <s v="DQS_MAO04_FILE_000_B"/>
    <s v="RECORD COUNT by MBR_ID, DOS_THRU_DT, DX_CD Grain grouped by PAYER, SRC_FILE_NM, DOS_THRU_YYYYMM"/>
  </r>
  <r>
    <x v="2"/>
    <s v="FINGLOBL_PE202406_REMAO004.TXT"/>
    <x v="55"/>
    <x v="6"/>
    <n v="49"/>
    <n v="214432"/>
    <n v="0.02"/>
    <s v="DQS_MAO04_FILE_000_B"/>
    <s v="RECORD COUNT by MBR_ID, DOS_THRU_DT, DX_CD Grain grouped by PAYER, SRC_FILE_NM, DOS_THRU_YYYYMM"/>
  </r>
  <r>
    <x v="2"/>
    <s v="FINGLOBL_PE202406_REMAO004.TXT"/>
    <x v="56"/>
    <x v="6"/>
    <n v="30"/>
    <n v="214432"/>
    <n v="0.01"/>
    <s v="DQS_MAO04_FILE_000_B"/>
    <s v="RECORD COUNT by MBR_ID, DOS_THRU_DT, DX_CD Grain grouped by PAYER, SRC_FILE_NM, DOS_THRU_YYYYMM"/>
  </r>
  <r>
    <x v="2"/>
    <s v="FINGLOBL_PE202406_REMAO004.TXT"/>
    <x v="57"/>
    <x v="6"/>
    <n v="11"/>
    <n v="214432"/>
    <n v="0.01"/>
    <s v="DQS_MAO04_FILE_000_B"/>
    <s v="RECORD COUNT by MBR_ID, DOS_THRU_DT, DX_CD Grain grouped by PAYER, SRC_FILE_NM, DOS_THRU_YYYYMM"/>
  </r>
  <r>
    <x v="2"/>
    <s v="FINGLOBL_PE202406_REMAO004.TXT"/>
    <x v="58"/>
    <x v="6"/>
    <n v="19"/>
    <n v="214432"/>
    <n v="0.01"/>
    <s v="DQS_MAO04_FILE_000_B"/>
    <s v="RECORD COUNT by MBR_ID, DOS_THRU_DT, DX_CD Grain grouped by PAYER, SRC_FILE_NM, DOS_THRU_YYYYMM"/>
  </r>
  <r>
    <x v="2"/>
    <s v="FINGLOBL_PE202406_REMAO004.TXT"/>
    <x v="59"/>
    <x v="6"/>
    <n v="25"/>
    <n v="214432"/>
    <n v="0.01"/>
    <s v="DQS_MAO04_FILE_000_B"/>
    <s v="RECORD COUNT by MBR_ID, DOS_THRU_DT, DX_CD Grain grouped by PAYER, SRC_FILE_NM, DOS_THRU_YYYYMM"/>
  </r>
  <r>
    <x v="2"/>
    <s v="FINGLOBL_PE202406_REMAO004.TXT"/>
    <x v="60"/>
    <x v="6"/>
    <n v="13"/>
    <n v="214432"/>
    <n v="0.01"/>
    <s v="DQS_MAO04_FILE_000_B"/>
    <s v="RECORD COUNT by MBR_ID, DOS_THRU_DT, DX_CD Grain grouped by PAYER, SRC_FILE_NM, DOS_THRU_YYYYMM"/>
  </r>
  <r>
    <x v="2"/>
    <s v="FINGLOBL_PE202406_REMAO004.TXT"/>
    <x v="61"/>
    <x v="6"/>
    <n v="29"/>
    <n v="214432"/>
    <n v="0.01"/>
    <s v="DQS_MAO04_FILE_000_B"/>
    <s v="RECORD COUNT by MBR_ID, DOS_THRU_DT, DX_CD Grain grouped by PAYER, SRC_FILE_NM, DOS_THRU_YYYYMM"/>
  </r>
  <r>
    <x v="2"/>
    <s v="FINGLOBL_PE202406_REMAO004.TXT"/>
    <x v="62"/>
    <x v="6"/>
    <n v="19"/>
    <n v="214432"/>
    <n v="0.01"/>
    <s v="DQS_MAO04_FILE_000_B"/>
    <s v="RECORD COUNT by MBR_ID, DOS_THRU_DT, DX_CD Grain grouped by PAYER, SRC_FILE_NM, DOS_THRU_YYYYMM"/>
  </r>
  <r>
    <x v="2"/>
    <s v="FINGLOBL_PE202406_REMAO004.TXT"/>
    <x v="63"/>
    <x v="6"/>
    <n v="59"/>
    <n v="214432"/>
    <n v="0.03"/>
    <s v="DQS_MAO04_FILE_000_B"/>
    <s v="RECORD COUNT by MBR_ID, DOS_THRU_DT, DX_CD Grain grouped by PAYER, SRC_FILE_NM, DOS_THRU_YYYYMM"/>
  </r>
  <r>
    <x v="2"/>
    <s v="FINGLOBL_PE202406_REMAO004.TXT"/>
    <x v="64"/>
    <x v="6"/>
    <n v="14"/>
    <n v="214432"/>
    <n v="0.01"/>
    <s v="DQS_MAO04_FILE_000_B"/>
    <s v="RECORD COUNT by MBR_ID, DOS_THRU_DT, DX_CD Grain grouped by PAYER, SRC_FILE_NM, DOS_THRU_YYYYMM"/>
  </r>
  <r>
    <x v="2"/>
    <s v="FINGLOBL_PE202406_REMAO004.TXT"/>
    <x v="65"/>
    <x v="7"/>
    <n v="14"/>
    <n v="214432"/>
    <n v="0.01"/>
    <s v="DQS_MAO04_FILE_000_B"/>
    <s v="RECORD COUNT by MBR_ID, DOS_THRU_DT, DX_CD Grain grouped by PAYER, SRC_FILE_NM, DOS_THRU_YYYYMM"/>
  </r>
  <r>
    <x v="2"/>
    <s v="FINGLOBL_PE202406_REMAO004.TXT"/>
    <x v="66"/>
    <x v="7"/>
    <n v="37"/>
    <n v="214432"/>
    <n v="0.02"/>
    <s v="DQS_MAO04_FILE_000_B"/>
    <s v="RECORD COUNT by MBR_ID, DOS_THRU_DT, DX_CD Grain grouped by PAYER, SRC_FILE_NM, DOS_THRU_YYYYMM"/>
  </r>
  <r>
    <x v="2"/>
    <s v="FINGLOBL_PE202406_REMAO004.TXT"/>
    <x v="67"/>
    <x v="7"/>
    <n v="8"/>
    <n v="214432"/>
    <n v="0"/>
    <s v="DQS_MAO04_FILE_000_B"/>
    <s v="RECORD COUNT by MBR_ID, DOS_THRU_DT, DX_CD Grain grouped by PAYER, SRC_FILE_NM, DOS_THRU_YYYYMM"/>
  </r>
  <r>
    <x v="2"/>
    <s v="FINGLOBL_PE202406_REMAO004.TXT"/>
    <x v="68"/>
    <x v="7"/>
    <n v="76"/>
    <n v="214432"/>
    <n v="0.04"/>
    <s v="DQS_MAO04_FILE_000_B"/>
    <s v="RECORD COUNT by MBR_ID, DOS_THRU_DT, DX_CD Grain grouped by PAYER, SRC_FILE_NM, DOS_THRU_YYYYMM"/>
  </r>
  <r>
    <x v="2"/>
    <s v="FINGLOBL_PE202406_REMAO004.TXT"/>
    <x v="69"/>
    <x v="7"/>
    <n v="38"/>
    <n v="214432"/>
    <n v="0.02"/>
    <s v="DQS_MAO04_FILE_000_B"/>
    <s v="RECORD COUNT by MBR_ID, DOS_THRU_DT, DX_CD Grain grouped by PAYER, SRC_FILE_NM, DOS_THRU_YYYYMM"/>
  </r>
  <r>
    <x v="2"/>
    <s v="FINGLOBL_PE202406_REMAO004.TXT"/>
    <x v="70"/>
    <x v="7"/>
    <n v="150"/>
    <n v="214432"/>
    <n v="7.0000000000000007E-2"/>
    <s v="DQS_MAO04_FILE_000_B"/>
    <s v="RECORD COUNT by MBR_ID, DOS_THRU_DT, DX_CD Grain grouped by PAYER, SRC_FILE_NM, DOS_THRU_YYYYMM"/>
  </r>
  <r>
    <x v="2"/>
    <s v="FINGLOBL_PE202406_REMAO004.TXT"/>
    <x v="71"/>
    <x v="7"/>
    <n v="62"/>
    <n v="214432"/>
    <n v="0.03"/>
    <s v="DQS_MAO04_FILE_000_B"/>
    <s v="RECORD COUNT by MBR_ID, DOS_THRU_DT, DX_CD Grain grouped by PAYER, SRC_FILE_NM, DOS_THRU_YYYYMM"/>
  </r>
  <r>
    <x v="2"/>
    <s v="FINGLOBL_PE202406_REMAO004.TXT"/>
    <x v="72"/>
    <x v="7"/>
    <n v="111"/>
    <n v="214432"/>
    <n v="0.05"/>
    <s v="DQS_MAO04_FILE_000_B"/>
    <s v="RECORD COUNT by MBR_ID, DOS_THRU_DT, DX_CD Grain grouped by PAYER, SRC_FILE_NM, DOS_THRU_YYYYMM"/>
  </r>
  <r>
    <x v="2"/>
    <s v="FINGLOBL_PE202406_REMAO004.TXT"/>
    <x v="73"/>
    <x v="7"/>
    <n v="121"/>
    <n v="214432"/>
    <n v="0.06"/>
    <s v="DQS_MAO04_FILE_000_B"/>
    <s v="RECORD COUNT by MBR_ID, DOS_THRU_DT, DX_CD Grain grouped by PAYER, SRC_FILE_NM, DOS_THRU_YYYYMM"/>
  </r>
  <r>
    <x v="2"/>
    <s v="FINGLOBL_PE202406_REMAO004.TXT"/>
    <x v="74"/>
    <x v="7"/>
    <n v="187"/>
    <n v="214432"/>
    <n v="0.09"/>
    <s v="DQS_MAO04_FILE_000_B"/>
    <s v="RECORD COUNT by MBR_ID, DOS_THRU_DT, DX_CD Grain grouped by PAYER, SRC_FILE_NM, DOS_THRU_YYYYMM"/>
  </r>
  <r>
    <x v="2"/>
    <s v="FINGLOBL_PE202406_REMAO004.TXT"/>
    <x v="75"/>
    <x v="7"/>
    <n v="227"/>
    <n v="214432"/>
    <n v="0.11"/>
    <s v="DQS_MAO04_FILE_000_B"/>
    <s v="RECORD COUNT by MBR_ID, DOS_THRU_DT, DX_CD Grain grouped by PAYER, SRC_FILE_NM, DOS_THRU_YYYYMM"/>
  </r>
  <r>
    <x v="2"/>
    <s v="FINGLOBL_PE202406_REMAO004.TXT"/>
    <x v="76"/>
    <x v="7"/>
    <n v="196"/>
    <n v="214432"/>
    <n v="0.09"/>
    <s v="DQS_MAO04_FILE_000_B"/>
    <s v="RECORD COUNT by MBR_ID, DOS_THRU_DT, DX_CD Grain grouped by PAYER, SRC_FILE_NM, DOS_THRU_YYYYMM"/>
  </r>
  <r>
    <x v="2"/>
    <s v="FINGLOBL_PE202406_REMAO004.TXT"/>
    <x v="77"/>
    <x v="8"/>
    <n v="1538"/>
    <n v="214432"/>
    <n v="0.72"/>
    <s v="DQS_MAO04_FILE_000_B"/>
    <s v="RECORD COUNT by MBR_ID, DOS_THRU_DT, DX_CD Grain grouped by PAYER, SRC_FILE_NM, DOS_THRU_YYYYMM"/>
  </r>
  <r>
    <x v="2"/>
    <s v="FINGLOBL_PE202406_REMAO004.TXT"/>
    <x v="78"/>
    <x v="8"/>
    <n v="1852"/>
    <n v="214432"/>
    <n v="0.86"/>
    <s v="DQS_MAO04_FILE_000_B"/>
    <s v="RECORD COUNT by MBR_ID, DOS_THRU_DT, DX_CD Grain grouped by PAYER, SRC_FILE_NM, DOS_THRU_YYYYMM"/>
  </r>
  <r>
    <x v="2"/>
    <s v="FINGLOBL_PE202406_REMAO004.TXT"/>
    <x v="79"/>
    <x v="8"/>
    <n v="2605"/>
    <n v="214432"/>
    <n v="1.21"/>
    <s v="DQS_MAO04_FILE_000_B"/>
    <s v="RECORD COUNT by MBR_ID, DOS_THRU_DT, DX_CD Grain grouped by PAYER, SRC_FILE_NM, DOS_THRU_YYYYMM"/>
  </r>
  <r>
    <x v="2"/>
    <s v="FINGLOBL_PE202406_REMAO004.TXT"/>
    <x v="80"/>
    <x v="8"/>
    <n v="2679"/>
    <n v="214432"/>
    <n v="1.25"/>
    <s v="DQS_MAO04_FILE_000_B"/>
    <s v="RECORD COUNT by MBR_ID, DOS_THRU_DT, DX_CD Grain grouped by PAYER, SRC_FILE_NM, DOS_THRU_YYYYMM"/>
  </r>
  <r>
    <x v="2"/>
    <s v="FINGLOBL_PE202406_REMAO004.TXT"/>
    <x v="81"/>
    <x v="8"/>
    <n v="3527"/>
    <n v="214432"/>
    <n v="1.64"/>
    <s v="DQS_MAO04_FILE_000_B"/>
    <s v="RECORD COUNT by MBR_ID, DOS_THRU_DT, DX_CD Grain grouped by PAYER, SRC_FILE_NM, DOS_THRU_YYYYMM"/>
  </r>
  <r>
    <x v="2"/>
    <s v="FINGLOBL_PE202406_REMAO004.TXT"/>
    <x v="82"/>
    <x v="8"/>
    <n v="4083"/>
    <n v="214432"/>
    <n v="1.9"/>
    <s v="DQS_MAO04_FILE_000_B"/>
    <s v="RECORD COUNT by MBR_ID, DOS_THRU_DT, DX_CD Grain grouped by PAYER, SRC_FILE_NM, DOS_THRU_YYYYMM"/>
  </r>
  <r>
    <x v="2"/>
    <s v="FINGLOBL_PE202406_REMAO004.TXT"/>
    <x v="83"/>
    <x v="8"/>
    <n v="3963"/>
    <n v="214432"/>
    <n v="1.85"/>
    <s v="DQS_MAO04_FILE_000_B"/>
    <s v="RECORD COUNT by MBR_ID, DOS_THRU_DT, DX_CD Grain grouped by PAYER, SRC_FILE_NM, DOS_THRU_YYYYMM"/>
  </r>
  <r>
    <x v="2"/>
    <s v="FINGLOBL_PE202406_REMAO004.TXT"/>
    <x v="84"/>
    <x v="8"/>
    <n v="5553"/>
    <n v="214432"/>
    <n v="2.59"/>
    <s v="DQS_MAO04_FILE_000_B"/>
    <s v="RECORD COUNT by MBR_ID, DOS_THRU_DT, DX_CD Grain grouped by PAYER, SRC_FILE_NM, DOS_THRU_YYYYMM"/>
  </r>
  <r>
    <x v="2"/>
    <s v="FINGLOBL_PE202406_REMAO004.TXT"/>
    <x v="85"/>
    <x v="8"/>
    <n v="6451"/>
    <n v="214432"/>
    <n v="3.01"/>
    <s v="DQS_MAO04_FILE_000_B"/>
    <s v="RECORD COUNT by MBR_ID, DOS_THRU_DT, DX_CD Grain grouped by PAYER, SRC_FILE_NM, DOS_THRU_YYYYMM"/>
  </r>
  <r>
    <x v="2"/>
    <s v="FINGLOBL_PE202406_REMAO004.TXT"/>
    <x v="86"/>
    <x v="8"/>
    <n v="4154"/>
    <n v="214432"/>
    <n v="1.94"/>
    <s v="DQS_MAO04_FILE_000_B"/>
    <s v="RECORD COUNT by MBR_ID, DOS_THRU_DT, DX_CD Grain grouped by PAYER, SRC_FILE_NM, DOS_THRU_YYYYMM"/>
  </r>
  <r>
    <x v="2"/>
    <s v="FINGLOBL_PE202406_REMAO004.TXT"/>
    <x v="87"/>
    <x v="8"/>
    <n v="8117"/>
    <n v="214432"/>
    <n v="3.79"/>
    <s v="DQS_MAO04_FILE_000_B"/>
    <s v="RECORD COUNT by MBR_ID, DOS_THRU_DT, DX_CD Grain grouped by PAYER, SRC_FILE_NM, DOS_THRU_YYYYMM"/>
  </r>
  <r>
    <x v="2"/>
    <s v="FINGLOBL_PE202406_REMAO004.TXT"/>
    <x v="88"/>
    <x v="8"/>
    <n v="5213"/>
    <n v="214432"/>
    <n v="2.4300000000000002"/>
    <s v="DQS_MAO04_FILE_000_B"/>
    <s v="RECORD COUNT by MBR_ID, DOS_THRU_DT, DX_CD Grain grouped by PAYER, SRC_FILE_NM, DOS_THRU_YYYYMM"/>
  </r>
  <r>
    <x v="2"/>
    <s v="FINGLOBL_PE202406_REMAO004.TXT"/>
    <x v="89"/>
    <x v="9"/>
    <n v="20308"/>
    <n v="214432"/>
    <n v="9.4700000000000006"/>
    <s v="DQS_MAO04_FILE_000_B"/>
    <s v="RECORD COUNT by MBR_ID, DOS_THRU_DT, DX_CD Grain grouped by PAYER, SRC_FILE_NM, DOS_THRU_YYYYMM"/>
  </r>
  <r>
    <x v="2"/>
    <s v="FINGLOBL_PE202406_REMAO004.TXT"/>
    <x v="97"/>
    <x v="9"/>
    <n v="81881"/>
    <n v="214432"/>
    <n v="38.19"/>
    <s v="DQS_MAO04_FILE_000_B"/>
    <s v="RECORD COUNT by MBR_ID, DOS_THRU_DT, DX_CD Grain grouped by PAYER, SRC_FILE_NM, DOS_THRU_YYYYMM"/>
  </r>
  <r>
    <x v="2"/>
    <s v="FINGLOBL_PE202406_REMAO004.TXT"/>
    <x v="98"/>
    <x v="9"/>
    <n v="60842"/>
    <n v="214432"/>
    <n v="28.37"/>
    <s v="DQS_MAO04_FILE_000_B"/>
    <s v="RECORD COUNT by MBR_ID, DOS_THRU_DT, DX_CD Grain grouped by PAYER, SRC_FILE_NM, DOS_THRU_YYYYMM"/>
  </r>
  <r>
    <x v="2"/>
    <s v="FINGLOBL_PE202407_REMAO004.TXT"/>
    <x v="126"/>
    <x v="1"/>
    <n v="1"/>
    <n v="175591"/>
    <n v="0"/>
    <s v="DQS_MAO04_FILE_000_B"/>
    <s v="RECORD COUNT by MBR_ID, DOS_THRU_DT, DX_CD Grain grouped by PAYER, SRC_FILE_NM, DOS_THRU_YYYYMM"/>
  </r>
  <r>
    <x v="2"/>
    <s v="FINGLOBL_PE202407_REMAO004.TXT"/>
    <x v="2"/>
    <x v="1"/>
    <n v="1"/>
    <n v="175591"/>
    <n v="0"/>
    <s v="DQS_MAO04_FILE_000_B"/>
    <s v="RECORD COUNT by MBR_ID, DOS_THRU_DT, DX_CD Grain grouped by PAYER, SRC_FILE_NM, DOS_THRU_YYYYMM"/>
  </r>
  <r>
    <x v="2"/>
    <s v="FINGLOBL_PE202407_REMAO004.TXT"/>
    <x v="127"/>
    <x v="1"/>
    <n v="1"/>
    <n v="175591"/>
    <n v="0"/>
    <s v="DQS_MAO04_FILE_000_B"/>
    <s v="RECORD COUNT by MBR_ID, DOS_THRU_DT, DX_CD Grain grouped by PAYER, SRC_FILE_NM, DOS_THRU_YYYYMM"/>
  </r>
  <r>
    <x v="2"/>
    <s v="FINGLOBL_PE202407_REMAO004.TXT"/>
    <x v="9"/>
    <x v="2"/>
    <n v="18"/>
    <n v="175591"/>
    <n v="0.01"/>
    <s v="DQS_MAO04_FILE_000_B"/>
    <s v="RECORD COUNT by MBR_ID, DOS_THRU_DT, DX_CD Grain grouped by PAYER, SRC_FILE_NM, DOS_THRU_YYYYMM"/>
  </r>
  <r>
    <x v="2"/>
    <s v="FINGLOBL_PE202407_REMAO004.TXT"/>
    <x v="10"/>
    <x v="2"/>
    <n v="1"/>
    <n v="175591"/>
    <n v="0"/>
    <s v="DQS_MAO04_FILE_000_B"/>
    <s v="RECORD COUNT by MBR_ID, DOS_THRU_DT, DX_CD Grain grouped by PAYER, SRC_FILE_NM, DOS_THRU_YYYYMM"/>
  </r>
  <r>
    <x v="2"/>
    <s v="FINGLOBL_PE202407_REMAO004.TXT"/>
    <x v="18"/>
    <x v="3"/>
    <n v="1"/>
    <n v="175591"/>
    <n v="0"/>
    <s v="DQS_MAO04_FILE_000_B"/>
    <s v="RECORD COUNT by MBR_ID, DOS_THRU_DT, DX_CD Grain grouped by PAYER, SRC_FILE_NM, DOS_THRU_YYYYMM"/>
  </r>
  <r>
    <x v="2"/>
    <s v="FINGLOBL_PE202407_REMAO004.TXT"/>
    <x v="19"/>
    <x v="3"/>
    <n v="2"/>
    <n v="175591"/>
    <n v="0"/>
    <s v="DQS_MAO04_FILE_000_B"/>
    <s v="RECORD COUNT by MBR_ID, DOS_THRU_DT, DX_CD Grain grouped by PAYER, SRC_FILE_NM, DOS_THRU_YYYYMM"/>
  </r>
  <r>
    <x v="2"/>
    <s v="FINGLOBL_PE202407_REMAO004.TXT"/>
    <x v="20"/>
    <x v="3"/>
    <n v="1"/>
    <n v="175591"/>
    <n v="0"/>
    <s v="DQS_MAO04_FILE_000_B"/>
    <s v="RECORD COUNT by MBR_ID, DOS_THRU_DT, DX_CD Grain grouped by PAYER, SRC_FILE_NM, DOS_THRU_YYYYMM"/>
  </r>
  <r>
    <x v="2"/>
    <s v="FINGLOBL_PE202407_REMAO004.TXT"/>
    <x v="21"/>
    <x v="3"/>
    <n v="13"/>
    <n v="175591"/>
    <n v="0.01"/>
    <s v="DQS_MAO04_FILE_000_B"/>
    <s v="RECORD COUNT by MBR_ID, DOS_THRU_DT, DX_CD Grain grouped by PAYER, SRC_FILE_NM, DOS_THRU_YYYYMM"/>
  </r>
  <r>
    <x v="2"/>
    <s v="FINGLOBL_PE202407_REMAO004.TXT"/>
    <x v="22"/>
    <x v="3"/>
    <n v="27"/>
    <n v="175591"/>
    <n v="0.02"/>
    <s v="DQS_MAO04_FILE_000_B"/>
    <s v="RECORD COUNT by MBR_ID, DOS_THRU_DT, DX_CD Grain grouped by PAYER, SRC_FILE_NM, DOS_THRU_YYYYMM"/>
  </r>
  <r>
    <x v="2"/>
    <s v="FINGLOBL_PE202407_REMAO004.TXT"/>
    <x v="23"/>
    <x v="3"/>
    <n v="24"/>
    <n v="175591"/>
    <n v="0.01"/>
    <s v="DQS_MAO04_FILE_000_B"/>
    <s v="RECORD COUNT by MBR_ID, DOS_THRU_DT, DX_CD Grain grouped by PAYER, SRC_FILE_NM, DOS_THRU_YYYYMM"/>
  </r>
  <r>
    <x v="2"/>
    <s v="FINGLOBL_PE202407_REMAO004.TXT"/>
    <x v="24"/>
    <x v="3"/>
    <n v="16"/>
    <n v="175591"/>
    <n v="0.01"/>
    <s v="DQS_MAO04_FILE_000_B"/>
    <s v="RECORD COUNT by MBR_ID, DOS_THRU_DT, DX_CD Grain grouped by PAYER, SRC_FILE_NM, DOS_THRU_YYYYMM"/>
  </r>
  <r>
    <x v="2"/>
    <s v="FINGLOBL_PE202407_REMAO004.TXT"/>
    <x v="25"/>
    <x v="3"/>
    <n v="1"/>
    <n v="175591"/>
    <n v="0"/>
    <s v="DQS_MAO04_FILE_000_B"/>
    <s v="RECORD COUNT by MBR_ID, DOS_THRU_DT, DX_CD Grain grouped by PAYER, SRC_FILE_NM, DOS_THRU_YYYYMM"/>
  </r>
  <r>
    <x v="2"/>
    <s v="FINGLOBL_PE202407_REMAO004.TXT"/>
    <x v="26"/>
    <x v="3"/>
    <n v="10"/>
    <n v="175591"/>
    <n v="0.01"/>
    <s v="DQS_MAO04_FILE_000_B"/>
    <s v="RECORD COUNT by MBR_ID, DOS_THRU_DT, DX_CD Grain grouped by PAYER, SRC_FILE_NM, DOS_THRU_YYYYMM"/>
  </r>
  <r>
    <x v="2"/>
    <s v="FINGLOBL_PE202407_REMAO004.TXT"/>
    <x v="27"/>
    <x v="3"/>
    <n v="28"/>
    <n v="175591"/>
    <n v="0.02"/>
    <s v="DQS_MAO04_FILE_000_B"/>
    <s v="RECORD COUNT by MBR_ID, DOS_THRU_DT, DX_CD Grain grouped by PAYER, SRC_FILE_NM, DOS_THRU_YYYYMM"/>
  </r>
  <r>
    <x v="2"/>
    <s v="FINGLOBL_PE202407_REMAO004.TXT"/>
    <x v="28"/>
    <x v="3"/>
    <n v="23"/>
    <n v="175591"/>
    <n v="0.01"/>
    <s v="DQS_MAO04_FILE_000_B"/>
    <s v="RECORD COUNT by MBR_ID, DOS_THRU_DT, DX_CD Grain grouped by PAYER, SRC_FILE_NM, DOS_THRU_YYYYMM"/>
  </r>
  <r>
    <x v="2"/>
    <s v="FINGLOBL_PE202407_REMAO004.TXT"/>
    <x v="29"/>
    <x v="4"/>
    <n v="1"/>
    <n v="175591"/>
    <n v="0"/>
    <s v="DQS_MAO04_FILE_000_B"/>
    <s v="RECORD COUNT by MBR_ID, DOS_THRU_DT, DX_CD Grain grouped by PAYER, SRC_FILE_NM, DOS_THRU_YYYYMM"/>
  </r>
  <r>
    <x v="2"/>
    <s v="FINGLOBL_PE202407_REMAO004.TXT"/>
    <x v="30"/>
    <x v="4"/>
    <n v="7"/>
    <n v="175591"/>
    <n v="0"/>
    <s v="DQS_MAO04_FILE_000_B"/>
    <s v="RECORD COUNT by MBR_ID, DOS_THRU_DT, DX_CD Grain grouped by PAYER, SRC_FILE_NM, DOS_THRU_YYYYMM"/>
  </r>
  <r>
    <x v="2"/>
    <s v="FINGLOBL_PE202407_REMAO004.TXT"/>
    <x v="40"/>
    <x v="4"/>
    <n v="26"/>
    <n v="175591"/>
    <n v="0.01"/>
    <s v="DQS_MAO04_FILE_000_B"/>
    <s v="RECORD COUNT by MBR_ID, DOS_THRU_DT, DX_CD Grain grouped by PAYER, SRC_FILE_NM, DOS_THRU_YYYYMM"/>
  </r>
  <r>
    <x v="2"/>
    <s v="FINGLOBL_PE202407_REMAO004.TXT"/>
    <x v="42"/>
    <x v="5"/>
    <n v="7"/>
    <n v="175591"/>
    <n v="0"/>
    <s v="DQS_MAO04_FILE_000_B"/>
    <s v="RECORD COUNT by MBR_ID, DOS_THRU_DT, DX_CD Grain grouped by PAYER, SRC_FILE_NM, DOS_THRU_YYYYMM"/>
  </r>
  <r>
    <x v="2"/>
    <s v="FINGLOBL_PE202407_REMAO004.TXT"/>
    <x v="45"/>
    <x v="5"/>
    <n v="27"/>
    <n v="175591"/>
    <n v="0.02"/>
    <s v="DQS_MAO04_FILE_000_B"/>
    <s v="RECORD COUNT by MBR_ID, DOS_THRU_DT, DX_CD Grain grouped by PAYER, SRC_FILE_NM, DOS_THRU_YYYYMM"/>
  </r>
  <r>
    <x v="2"/>
    <s v="FINGLOBL_PE202407_REMAO004.TXT"/>
    <x v="46"/>
    <x v="5"/>
    <n v="27"/>
    <n v="175591"/>
    <n v="0.02"/>
    <s v="DQS_MAO04_FILE_000_B"/>
    <s v="RECORD COUNT by MBR_ID, DOS_THRU_DT, DX_CD Grain grouped by PAYER, SRC_FILE_NM, DOS_THRU_YYYYMM"/>
  </r>
  <r>
    <x v="2"/>
    <s v="FINGLOBL_PE202407_REMAO004.TXT"/>
    <x v="50"/>
    <x v="5"/>
    <n v="19"/>
    <n v="175591"/>
    <n v="0.01"/>
    <s v="DQS_MAO04_FILE_000_B"/>
    <s v="RECORD COUNT by MBR_ID, DOS_THRU_DT, DX_CD Grain grouped by PAYER, SRC_FILE_NM, DOS_THRU_YYYYMM"/>
  </r>
  <r>
    <x v="2"/>
    <s v="FINGLOBL_PE202407_REMAO004.TXT"/>
    <x v="53"/>
    <x v="6"/>
    <n v="1"/>
    <n v="175591"/>
    <n v="0"/>
    <s v="DQS_MAO04_FILE_000_B"/>
    <s v="RECORD COUNT by MBR_ID, DOS_THRU_DT, DX_CD Grain grouped by PAYER, SRC_FILE_NM, DOS_THRU_YYYYMM"/>
  </r>
  <r>
    <x v="2"/>
    <s v="FINGLOBL_PE202407_REMAO004.TXT"/>
    <x v="59"/>
    <x v="6"/>
    <n v="4"/>
    <n v="175591"/>
    <n v="0"/>
    <s v="DQS_MAO04_FILE_000_B"/>
    <s v="RECORD COUNT by MBR_ID, DOS_THRU_DT, DX_CD Grain grouped by PAYER, SRC_FILE_NM, DOS_THRU_YYYYMM"/>
  </r>
  <r>
    <x v="2"/>
    <s v="FINGLOBL_PE202407_REMAO004.TXT"/>
    <x v="62"/>
    <x v="6"/>
    <n v="1"/>
    <n v="175591"/>
    <n v="0"/>
    <s v="DQS_MAO04_FILE_000_B"/>
    <s v="RECORD COUNT by MBR_ID, DOS_THRU_DT, DX_CD Grain grouped by PAYER, SRC_FILE_NM, DOS_THRU_YYYYMM"/>
  </r>
  <r>
    <x v="2"/>
    <s v="FINGLOBL_PE202407_REMAO004.TXT"/>
    <x v="63"/>
    <x v="6"/>
    <n v="16"/>
    <n v="175591"/>
    <n v="0.01"/>
    <s v="DQS_MAO04_FILE_000_B"/>
    <s v="RECORD COUNT by MBR_ID, DOS_THRU_DT, DX_CD Grain grouped by PAYER, SRC_FILE_NM, DOS_THRU_YYYYMM"/>
  </r>
  <r>
    <x v="2"/>
    <s v="FINGLOBL_PE202407_REMAO004.TXT"/>
    <x v="64"/>
    <x v="6"/>
    <n v="22"/>
    <n v="175591"/>
    <n v="0.01"/>
    <s v="DQS_MAO04_FILE_000_B"/>
    <s v="RECORD COUNT by MBR_ID, DOS_THRU_DT, DX_CD Grain grouped by PAYER, SRC_FILE_NM, DOS_THRU_YYYYMM"/>
  </r>
  <r>
    <x v="2"/>
    <s v="FINGLOBL_PE202407_REMAO004.TXT"/>
    <x v="65"/>
    <x v="7"/>
    <n v="61"/>
    <n v="175591"/>
    <n v="0.03"/>
    <s v="DQS_MAO04_FILE_000_B"/>
    <s v="RECORD COUNT by MBR_ID, DOS_THRU_DT, DX_CD Grain grouped by PAYER, SRC_FILE_NM, DOS_THRU_YYYYMM"/>
  </r>
  <r>
    <x v="2"/>
    <s v="FINGLOBL_PE202407_REMAO004.TXT"/>
    <x v="66"/>
    <x v="7"/>
    <n v="134"/>
    <n v="175591"/>
    <n v="0.08"/>
    <s v="DQS_MAO04_FILE_000_B"/>
    <s v="RECORD COUNT by MBR_ID, DOS_THRU_DT, DX_CD Grain grouped by PAYER, SRC_FILE_NM, DOS_THRU_YYYYMM"/>
  </r>
  <r>
    <x v="2"/>
    <s v="FINGLOBL_PE202407_REMAO004.TXT"/>
    <x v="67"/>
    <x v="7"/>
    <n v="132"/>
    <n v="175591"/>
    <n v="0.08"/>
    <s v="DQS_MAO04_FILE_000_B"/>
    <s v="RECORD COUNT by MBR_ID, DOS_THRU_DT, DX_CD Grain grouped by PAYER, SRC_FILE_NM, DOS_THRU_YYYYMM"/>
  </r>
  <r>
    <x v="2"/>
    <s v="FINGLOBL_PE202407_REMAO004.TXT"/>
    <x v="68"/>
    <x v="7"/>
    <n v="410"/>
    <n v="175591"/>
    <n v="0.23"/>
    <s v="DQS_MAO04_FILE_000_B"/>
    <s v="RECORD COUNT by MBR_ID, DOS_THRU_DT, DX_CD Grain grouped by PAYER, SRC_FILE_NM, DOS_THRU_YYYYMM"/>
  </r>
  <r>
    <x v="2"/>
    <s v="FINGLOBL_PE202407_REMAO004.TXT"/>
    <x v="69"/>
    <x v="7"/>
    <n v="73"/>
    <n v="175591"/>
    <n v="0.04"/>
    <s v="DQS_MAO04_FILE_000_B"/>
    <s v="RECORD COUNT by MBR_ID, DOS_THRU_DT, DX_CD Grain grouped by PAYER, SRC_FILE_NM, DOS_THRU_YYYYMM"/>
  </r>
  <r>
    <x v="2"/>
    <s v="FINGLOBL_PE202407_REMAO004.TXT"/>
    <x v="70"/>
    <x v="7"/>
    <n v="86"/>
    <n v="175591"/>
    <n v="0.05"/>
    <s v="DQS_MAO04_FILE_000_B"/>
    <s v="RECORD COUNT by MBR_ID, DOS_THRU_DT, DX_CD Grain grouped by PAYER, SRC_FILE_NM, DOS_THRU_YYYYMM"/>
  </r>
  <r>
    <x v="2"/>
    <s v="FINGLOBL_PE202407_REMAO004.TXT"/>
    <x v="71"/>
    <x v="7"/>
    <n v="30"/>
    <n v="175591"/>
    <n v="0.02"/>
    <s v="DQS_MAO04_FILE_000_B"/>
    <s v="RECORD COUNT by MBR_ID, DOS_THRU_DT, DX_CD Grain grouped by PAYER, SRC_FILE_NM, DOS_THRU_YYYYMM"/>
  </r>
  <r>
    <x v="2"/>
    <s v="FINGLOBL_PE202407_REMAO004.TXT"/>
    <x v="72"/>
    <x v="7"/>
    <n v="175"/>
    <n v="175591"/>
    <n v="0.1"/>
    <s v="DQS_MAO04_FILE_000_B"/>
    <s v="RECORD COUNT by MBR_ID, DOS_THRU_DT, DX_CD Grain grouped by PAYER, SRC_FILE_NM, DOS_THRU_YYYYMM"/>
  </r>
  <r>
    <x v="2"/>
    <s v="FINGLOBL_PE202407_REMAO004.TXT"/>
    <x v="73"/>
    <x v="7"/>
    <n v="114"/>
    <n v="175591"/>
    <n v="0.06"/>
    <s v="DQS_MAO04_FILE_000_B"/>
    <s v="RECORD COUNT by MBR_ID, DOS_THRU_DT, DX_CD Grain grouped by PAYER, SRC_FILE_NM, DOS_THRU_YYYYMM"/>
  </r>
  <r>
    <x v="2"/>
    <s v="FINGLOBL_PE202407_REMAO004.TXT"/>
    <x v="74"/>
    <x v="7"/>
    <n v="104"/>
    <n v="175591"/>
    <n v="0.06"/>
    <s v="DQS_MAO04_FILE_000_B"/>
    <s v="RECORD COUNT by MBR_ID, DOS_THRU_DT, DX_CD Grain grouped by PAYER, SRC_FILE_NM, DOS_THRU_YYYYMM"/>
  </r>
  <r>
    <x v="2"/>
    <s v="FINGLOBL_PE202407_REMAO004.TXT"/>
    <x v="75"/>
    <x v="7"/>
    <n v="221"/>
    <n v="175591"/>
    <n v="0.13"/>
    <s v="DQS_MAO04_FILE_000_B"/>
    <s v="RECORD COUNT by MBR_ID, DOS_THRU_DT, DX_CD Grain grouped by PAYER, SRC_FILE_NM, DOS_THRU_YYYYMM"/>
  </r>
  <r>
    <x v="2"/>
    <s v="FINGLOBL_PE202407_REMAO004.TXT"/>
    <x v="76"/>
    <x v="7"/>
    <n v="164"/>
    <n v="175591"/>
    <n v="0.09"/>
    <s v="DQS_MAO04_FILE_000_B"/>
    <s v="RECORD COUNT by MBR_ID, DOS_THRU_DT, DX_CD Grain grouped by PAYER, SRC_FILE_NM, DOS_THRU_YYYYMM"/>
  </r>
  <r>
    <x v="2"/>
    <s v="FINGLOBL_PE202407_REMAO004.TXT"/>
    <x v="77"/>
    <x v="8"/>
    <n v="317"/>
    <n v="175591"/>
    <n v="0.18"/>
    <s v="DQS_MAO04_FILE_000_B"/>
    <s v="RECORD COUNT by MBR_ID, DOS_THRU_DT, DX_CD Grain grouped by PAYER, SRC_FILE_NM, DOS_THRU_YYYYMM"/>
  </r>
  <r>
    <x v="2"/>
    <s v="FINGLOBL_PE202407_REMAO004.TXT"/>
    <x v="78"/>
    <x v="8"/>
    <n v="460"/>
    <n v="175591"/>
    <n v="0.26"/>
    <s v="DQS_MAO04_FILE_000_B"/>
    <s v="RECORD COUNT by MBR_ID, DOS_THRU_DT, DX_CD Grain grouped by PAYER, SRC_FILE_NM, DOS_THRU_YYYYMM"/>
  </r>
  <r>
    <x v="2"/>
    <s v="FINGLOBL_PE202407_REMAO004.TXT"/>
    <x v="79"/>
    <x v="8"/>
    <n v="647"/>
    <n v="175591"/>
    <n v="0.37"/>
    <s v="DQS_MAO04_FILE_000_B"/>
    <s v="RECORD COUNT by MBR_ID, DOS_THRU_DT, DX_CD Grain grouped by PAYER, SRC_FILE_NM, DOS_THRU_YYYYMM"/>
  </r>
  <r>
    <x v="2"/>
    <s v="FINGLOBL_PE202407_REMAO004.TXT"/>
    <x v="80"/>
    <x v="8"/>
    <n v="734"/>
    <n v="175591"/>
    <n v="0.42"/>
    <s v="DQS_MAO04_FILE_000_B"/>
    <s v="RECORD COUNT by MBR_ID, DOS_THRU_DT, DX_CD Grain grouped by PAYER, SRC_FILE_NM, DOS_THRU_YYYYMM"/>
  </r>
  <r>
    <x v="2"/>
    <s v="FINGLOBL_PE202407_REMAO004.TXT"/>
    <x v="81"/>
    <x v="8"/>
    <n v="822"/>
    <n v="175591"/>
    <n v="0.47"/>
    <s v="DQS_MAO04_FILE_000_B"/>
    <s v="RECORD COUNT by MBR_ID, DOS_THRU_DT, DX_CD Grain grouped by PAYER, SRC_FILE_NM, DOS_THRU_YYYYMM"/>
  </r>
  <r>
    <x v="2"/>
    <s v="FINGLOBL_PE202407_REMAO004.TXT"/>
    <x v="82"/>
    <x v="8"/>
    <n v="1155"/>
    <n v="175591"/>
    <n v="0.66"/>
    <s v="DQS_MAO04_FILE_000_B"/>
    <s v="RECORD COUNT by MBR_ID, DOS_THRU_DT, DX_CD Grain grouped by PAYER, SRC_FILE_NM, DOS_THRU_YYYYMM"/>
  </r>
  <r>
    <x v="2"/>
    <s v="FINGLOBL_PE202407_REMAO004.TXT"/>
    <x v="83"/>
    <x v="8"/>
    <n v="1091"/>
    <n v="175591"/>
    <n v="0.62"/>
    <s v="DQS_MAO04_FILE_000_B"/>
    <s v="RECORD COUNT by MBR_ID, DOS_THRU_DT, DX_CD Grain grouped by PAYER, SRC_FILE_NM, DOS_THRU_YYYYMM"/>
  </r>
  <r>
    <x v="2"/>
    <s v="FINGLOBL_PE202407_REMAO004.TXT"/>
    <x v="84"/>
    <x v="8"/>
    <n v="2173"/>
    <n v="175591"/>
    <n v="1.24"/>
    <s v="DQS_MAO04_FILE_000_B"/>
    <s v="RECORD COUNT by MBR_ID, DOS_THRU_DT, DX_CD Grain grouped by PAYER, SRC_FILE_NM, DOS_THRU_YYYYMM"/>
  </r>
  <r>
    <x v="2"/>
    <s v="FINGLOBL_PE202407_REMAO004.TXT"/>
    <x v="85"/>
    <x v="8"/>
    <n v="3569"/>
    <n v="175591"/>
    <n v="2.0299999999999998"/>
    <s v="DQS_MAO04_FILE_000_B"/>
    <s v="RECORD COUNT by MBR_ID, DOS_THRU_DT, DX_CD Grain grouped by PAYER, SRC_FILE_NM, DOS_THRU_YYYYMM"/>
  </r>
  <r>
    <x v="2"/>
    <s v="FINGLOBL_PE202407_REMAO004.TXT"/>
    <x v="86"/>
    <x v="8"/>
    <n v="4905"/>
    <n v="175591"/>
    <n v="2.79"/>
    <s v="DQS_MAO04_FILE_000_B"/>
    <s v="RECORD COUNT by MBR_ID, DOS_THRU_DT, DX_CD Grain grouped by PAYER, SRC_FILE_NM, DOS_THRU_YYYYMM"/>
  </r>
  <r>
    <x v="2"/>
    <s v="FINGLOBL_PE202407_REMAO004.TXT"/>
    <x v="87"/>
    <x v="8"/>
    <n v="4858"/>
    <n v="175591"/>
    <n v="2.77"/>
    <s v="DQS_MAO04_FILE_000_B"/>
    <s v="RECORD COUNT by MBR_ID, DOS_THRU_DT, DX_CD Grain grouped by PAYER, SRC_FILE_NM, DOS_THRU_YYYYMM"/>
  </r>
  <r>
    <x v="2"/>
    <s v="FINGLOBL_PE202407_REMAO004.TXT"/>
    <x v="88"/>
    <x v="8"/>
    <n v="4955"/>
    <n v="175591"/>
    <n v="2.82"/>
    <s v="DQS_MAO04_FILE_000_B"/>
    <s v="RECORD COUNT by MBR_ID, DOS_THRU_DT, DX_CD Grain grouped by PAYER, SRC_FILE_NM, DOS_THRU_YYYYMM"/>
  </r>
  <r>
    <x v="2"/>
    <s v="FINGLOBL_PE202407_REMAO004.TXT"/>
    <x v="89"/>
    <x v="9"/>
    <n v="4358"/>
    <n v="175591"/>
    <n v="2.48"/>
    <s v="DQS_MAO04_FILE_000_B"/>
    <s v="RECORD COUNT by MBR_ID, DOS_THRU_DT, DX_CD Grain grouped by PAYER, SRC_FILE_NM, DOS_THRU_YYYYMM"/>
  </r>
  <r>
    <x v="2"/>
    <s v="FINGLOBL_PE202407_REMAO004.TXT"/>
    <x v="97"/>
    <x v="9"/>
    <n v="4997"/>
    <n v="175591"/>
    <n v="2.85"/>
    <s v="DQS_MAO04_FILE_000_B"/>
    <s v="RECORD COUNT by MBR_ID, DOS_THRU_DT, DX_CD Grain grouped by PAYER, SRC_FILE_NM, DOS_THRU_YYYYMM"/>
  </r>
  <r>
    <x v="2"/>
    <s v="FINGLOBL_PE202407_REMAO004.TXT"/>
    <x v="98"/>
    <x v="9"/>
    <n v="10899"/>
    <n v="175591"/>
    <n v="6.21"/>
    <s v="DQS_MAO04_FILE_000_B"/>
    <s v="RECORD COUNT by MBR_ID, DOS_THRU_DT, DX_CD Grain grouped by PAYER, SRC_FILE_NM, DOS_THRU_YYYYMM"/>
  </r>
  <r>
    <x v="2"/>
    <s v="FINGLOBL_PE202407_REMAO004.TXT"/>
    <x v="99"/>
    <x v="9"/>
    <n v="74204"/>
    <n v="175591"/>
    <n v="42.26"/>
    <s v="DQS_MAO04_FILE_000_B"/>
    <s v="RECORD COUNT by MBR_ID, DOS_THRU_DT, DX_CD Grain grouped by PAYER, SRC_FILE_NM, DOS_THRU_YYYYMM"/>
  </r>
  <r>
    <x v="2"/>
    <s v="FINGLOBL_PE202407_REMAO004.TXT"/>
    <x v="100"/>
    <x v="9"/>
    <n v="53417"/>
    <n v="175591"/>
    <n v="30.42"/>
    <s v="DQS_MAO04_FILE_000_B"/>
    <s v="RECORD COUNT by MBR_ID, DOS_THRU_DT, DX_CD Grain grouped by PAYER, SRC_FILE_NM, DOS_THRU_YYYYMM"/>
  </r>
  <r>
    <x v="2"/>
    <s v="FINGLOBL_PE202408_REMAO004.TXT"/>
    <x v="55"/>
    <x v="6"/>
    <n v="1"/>
    <n v="187609"/>
    <n v="0"/>
    <s v="DQS_MAO04_FILE_000_B"/>
    <s v="RECORD COUNT by MBR_ID, DOS_THRU_DT, DX_CD Grain grouped by PAYER, SRC_FILE_NM, DOS_THRU_YYYYMM"/>
  </r>
  <r>
    <x v="2"/>
    <s v="FINGLOBL_PE202408_REMAO004.TXT"/>
    <x v="63"/>
    <x v="6"/>
    <n v="16"/>
    <n v="187609"/>
    <n v="0.01"/>
    <s v="DQS_MAO04_FILE_000_B"/>
    <s v="RECORD COUNT by MBR_ID, DOS_THRU_DT, DX_CD Grain grouped by PAYER, SRC_FILE_NM, DOS_THRU_YYYYMM"/>
  </r>
  <r>
    <x v="2"/>
    <s v="FINGLOBL_PE202408_REMAO004.TXT"/>
    <x v="64"/>
    <x v="6"/>
    <n v="24"/>
    <n v="187609"/>
    <n v="0.01"/>
    <s v="DQS_MAO04_FILE_000_B"/>
    <s v="RECORD COUNT by MBR_ID, DOS_THRU_DT, DX_CD Grain grouped by PAYER, SRC_FILE_NM, DOS_THRU_YYYYMM"/>
  </r>
  <r>
    <x v="2"/>
    <s v="FINGLOBL_PE202408_REMAO004.TXT"/>
    <x v="66"/>
    <x v="7"/>
    <n v="54"/>
    <n v="187609"/>
    <n v="0.03"/>
    <s v="DQS_MAO04_FILE_000_B"/>
    <s v="RECORD COUNT by MBR_ID, DOS_THRU_DT, DX_CD Grain grouped by PAYER, SRC_FILE_NM, DOS_THRU_YYYYMM"/>
  </r>
  <r>
    <x v="2"/>
    <s v="FINGLOBL_PE202408_REMAO004.TXT"/>
    <x v="68"/>
    <x v="7"/>
    <n v="17"/>
    <n v="187609"/>
    <n v="0.01"/>
    <s v="DQS_MAO04_FILE_000_B"/>
    <s v="RECORD COUNT by MBR_ID, DOS_THRU_DT, DX_CD Grain grouped by PAYER, SRC_FILE_NM, DOS_THRU_YYYYMM"/>
  </r>
  <r>
    <x v="2"/>
    <s v="FINGLOBL_PE202408_REMAO004.TXT"/>
    <x v="69"/>
    <x v="7"/>
    <n v="24"/>
    <n v="187609"/>
    <n v="0.01"/>
    <s v="DQS_MAO04_FILE_000_B"/>
    <s v="RECORD COUNT by MBR_ID, DOS_THRU_DT, DX_CD Grain grouped by PAYER, SRC_FILE_NM, DOS_THRU_YYYYMM"/>
  </r>
  <r>
    <x v="2"/>
    <s v="FINGLOBL_PE202408_REMAO004.TXT"/>
    <x v="70"/>
    <x v="7"/>
    <n v="26"/>
    <n v="187609"/>
    <n v="0.01"/>
    <s v="DQS_MAO04_FILE_000_B"/>
    <s v="RECORD COUNT by MBR_ID, DOS_THRU_DT, DX_CD Grain grouped by PAYER, SRC_FILE_NM, DOS_THRU_YYYYMM"/>
  </r>
  <r>
    <x v="2"/>
    <s v="FINGLOBL_PE202408_REMAO004.TXT"/>
    <x v="71"/>
    <x v="7"/>
    <n v="16"/>
    <n v="187609"/>
    <n v="0.01"/>
    <s v="DQS_MAO04_FILE_000_B"/>
    <s v="RECORD COUNT by MBR_ID, DOS_THRU_DT, DX_CD Grain grouped by PAYER, SRC_FILE_NM, DOS_THRU_YYYYMM"/>
  </r>
  <r>
    <x v="2"/>
    <s v="FINGLOBL_PE202408_REMAO004.TXT"/>
    <x v="72"/>
    <x v="7"/>
    <n v="34"/>
    <n v="187609"/>
    <n v="0.02"/>
    <s v="DQS_MAO04_FILE_000_B"/>
    <s v="RECORD COUNT by MBR_ID, DOS_THRU_DT, DX_CD Grain grouped by PAYER, SRC_FILE_NM, DOS_THRU_YYYYMM"/>
  </r>
  <r>
    <x v="2"/>
    <s v="FINGLOBL_PE202408_REMAO004.TXT"/>
    <x v="73"/>
    <x v="7"/>
    <n v="102"/>
    <n v="187609"/>
    <n v="0.05"/>
    <s v="DQS_MAO04_FILE_000_B"/>
    <s v="RECORD COUNT by MBR_ID, DOS_THRU_DT, DX_CD Grain grouped by PAYER, SRC_FILE_NM, DOS_THRU_YYYYMM"/>
  </r>
  <r>
    <x v="2"/>
    <s v="FINGLOBL_PE202408_REMAO004.TXT"/>
    <x v="74"/>
    <x v="7"/>
    <n v="47"/>
    <n v="187609"/>
    <n v="0.03"/>
    <s v="DQS_MAO04_FILE_000_B"/>
    <s v="RECORD COUNT by MBR_ID, DOS_THRU_DT, DX_CD Grain grouped by PAYER, SRC_FILE_NM, DOS_THRU_YYYYMM"/>
  </r>
  <r>
    <x v="2"/>
    <s v="FINGLOBL_PE202408_REMAO004.TXT"/>
    <x v="75"/>
    <x v="7"/>
    <n v="340"/>
    <n v="187609"/>
    <n v="0.18"/>
    <s v="DQS_MAO04_FILE_000_B"/>
    <s v="RECORD COUNT by MBR_ID, DOS_THRU_DT, DX_CD Grain grouped by PAYER, SRC_FILE_NM, DOS_THRU_YYYYMM"/>
  </r>
  <r>
    <x v="2"/>
    <s v="FINGLOBL_PE202408_REMAO004.TXT"/>
    <x v="76"/>
    <x v="7"/>
    <n v="112"/>
    <n v="187609"/>
    <n v="0.06"/>
    <s v="DQS_MAO04_FILE_000_B"/>
    <s v="RECORD COUNT by MBR_ID, DOS_THRU_DT, DX_CD Grain grouped by PAYER, SRC_FILE_NM, DOS_THRU_YYYYMM"/>
  </r>
  <r>
    <x v="2"/>
    <s v="FINGLOBL_PE202408_REMAO004.TXT"/>
    <x v="77"/>
    <x v="8"/>
    <n v="1704"/>
    <n v="187609"/>
    <n v="0.91"/>
    <s v="DQS_MAO04_FILE_000_B"/>
    <s v="RECORD COUNT by MBR_ID, DOS_THRU_DT, DX_CD Grain grouped by PAYER, SRC_FILE_NM, DOS_THRU_YYYYMM"/>
  </r>
  <r>
    <x v="2"/>
    <s v="FINGLOBL_PE202408_REMAO004.TXT"/>
    <x v="78"/>
    <x v="8"/>
    <n v="1448"/>
    <n v="187609"/>
    <n v="0.77"/>
    <s v="DQS_MAO04_FILE_000_B"/>
    <s v="RECORD COUNT by MBR_ID, DOS_THRU_DT, DX_CD Grain grouped by PAYER, SRC_FILE_NM, DOS_THRU_YYYYMM"/>
  </r>
  <r>
    <x v="2"/>
    <s v="FINGLOBL_PE202408_REMAO004.TXT"/>
    <x v="79"/>
    <x v="8"/>
    <n v="2449"/>
    <n v="187609"/>
    <n v="1.31"/>
    <s v="DQS_MAO04_FILE_000_B"/>
    <s v="RECORD COUNT by MBR_ID, DOS_THRU_DT, DX_CD Grain grouped by PAYER, SRC_FILE_NM, DOS_THRU_YYYYMM"/>
  </r>
  <r>
    <x v="2"/>
    <s v="FINGLOBL_PE202408_REMAO004.TXT"/>
    <x v="80"/>
    <x v="8"/>
    <n v="2622"/>
    <n v="187609"/>
    <n v="1.4"/>
    <s v="DQS_MAO04_FILE_000_B"/>
    <s v="RECORD COUNT by MBR_ID, DOS_THRU_DT, DX_CD Grain grouped by PAYER, SRC_FILE_NM, DOS_THRU_YYYYMM"/>
  </r>
  <r>
    <x v="2"/>
    <s v="FINGLOBL_PE202408_REMAO004.TXT"/>
    <x v="81"/>
    <x v="8"/>
    <n v="3048"/>
    <n v="187609"/>
    <n v="1.62"/>
    <s v="DQS_MAO04_FILE_000_B"/>
    <s v="RECORD COUNT by MBR_ID, DOS_THRU_DT, DX_CD Grain grouped by PAYER, SRC_FILE_NM, DOS_THRU_YYYYMM"/>
  </r>
  <r>
    <x v="2"/>
    <s v="FINGLOBL_PE202408_REMAO004.TXT"/>
    <x v="82"/>
    <x v="8"/>
    <n v="3076"/>
    <n v="187609"/>
    <n v="1.64"/>
    <s v="DQS_MAO04_FILE_000_B"/>
    <s v="RECORD COUNT by MBR_ID, DOS_THRU_DT, DX_CD Grain grouped by PAYER, SRC_FILE_NM, DOS_THRU_YYYYMM"/>
  </r>
  <r>
    <x v="2"/>
    <s v="FINGLOBL_PE202408_REMAO004.TXT"/>
    <x v="83"/>
    <x v="8"/>
    <n v="3412"/>
    <n v="187609"/>
    <n v="1.82"/>
    <s v="DQS_MAO04_FILE_000_B"/>
    <s v="RECORD COUNT by MBR_ID, DOS_THRU_DT, DX_CD Grain grouped by PAYER, SRC_FILE_NM, DOS_THRU_YYYYMM"/>
  </r>
  <r>
    <x v="2"/>
    <s v="FINGLOBL_PE202408_REMAO004.TXT"/>
    <x v="84"/>
    <x v="8"/>
    <n v="4041"/>
    <n v="187609"/>
    <n v="2.15"/>
    <s v="DQS_MAO04_FILE_000_B"/>
    <s v="RECORD COUNT by MBR_ID, DOS_THRU_DT, DX_CD Grain grouped by PAYER, SRC_FILE_NM, DOS_THRU_YYYYMM"/>
  </r>
  <r>
    <x v="2"/>
    <s v="FINGLOBL_PE202408_REMAO004.TXT"/>
    <x v="85"/>
    <x v="8"/>
    <n v="6476"/>
    <n v="187609"/>
    <n v="3.45"/>
    <s v="DQS_MAO04_FILE_000_B"/>
    <s v="RECORD COUNT by MBR_ID, DOS_THRU_DT, DX_CD Grain grouped by PAYER, SRC_FILE_NM, DOS_THRU_YYYYMM"/>
  </r>
  <r>
    <x v="2"/>
    <s v="FINGLOBL_PE202408_REMAO004.TXT"/>
    <x v="86"/>
    <x v="8"/>
    <n v="3854"/>
    <n v="187609"/>
    <n v="2.0499999999999998"/>
    <s v="DQS_MAO04_FILE_000_B"/>
    <s v="RECORD COUNT by MBR_ID, DOS_THRU_DT, DX_CD Grain grouped by PAYER, SRC_FILE_NM, DOS_THRU_YYYYMM"/>
  </r>
  <r>
    <x v="2"/>
    <s v="FINGLOBL_PE202408_REMAO004.TXT"/>
    <x v="87"/>
    <x v="8"/>
    <n v="2178"/>
    <n v="187609"/>
    <n v="1.1599999999999999"/>
    <s v="DQS_MAO04_FILE_000_B"/>
    <s v="RECORD COUNT by MBR_ID, DOS_THRU_DT, DX_CD Grain grouped by PAYER, SRC_FILE_NM, DOS_THRU_YYYYMM"/>
  </r>
  <r>
    <x v="2"/>
    <s v="FINGLOBL_PE202408_REMAO004.TXT"/>
    <x v="88"/>
    <x v="8"/>
    <n v="1841"/>
    <n v="187609"/>
    <n v="0.98"/>
    <s v="DQS_MAO04_FILE_000_B"/>
    <s v="RECORD COUNT by MBR_ID, DOS_THRU_DT, DX_CD Grain grouped by PAYER, SRC_FILE_NM, DOS_THRU_YYYYMM"/>
  </r>
  <r>
    <x v="2"/>
    <s v="FINGLOBL_PE202408_REMAO004.TXT"/>
    <x v="89"/>
    <x v="9"/>
    <n v="3250"/>
    <n v="187609"/>
    <n v="1.73"/>
    <s v="DQS_MAO04_FILE_000_B"/>
    <s v="RECORD COUNT by MBR_ID, DOS_THRU_DT, DX_CD Grain grouped by PAYER, SRC_FILE_NM, DOS_THRU_YYYYMM"/>
  </r>
  <r>
    <x v="2"/>
    <s v="FINGLOBL_PE202408_REMAO004.TXT"/>
    <x v="97"/>
    <x v="9"/>
    <n v="2938"/>
    <n v="187609"/>
    <n v="1.57"/>
    <s v="DQS_MAO04_FILE_000_B"/>
    <s v="RECORD COUNT by MBR_ID, DOS_THRU_DT, DX_CD Grain grouped by PAYER, SRC_FILE_NM, DOS_THRU_YYYYMM"/>
  </r>
  <r>
    <x v="2"/>
    <s v="FINGLOBL_PE202408_REMAO004.TXT"/>
    <x v="98"/>
    <x v="9"/>
    <n v="5940"/>
    <n v="187609"/>
    <n v="3.17"/>
    <s v="DQS_MAO04_FILE_000_B"/>
    <s v="RECORD COUNT by MBR_ID, DOS_THRU_DT, DX_CD Grain grouped by PAYER, SRC_FILE_NM, DOS_THRU_YYYYMM"/>
  </r>
  <r>
    <x v="2"/>
    <s v="FINGLOBL_PE202408_REMAO004.TXT"/>
    <x v="99"/>
    <x v="9"/>
    <n v="8926"/>
    <n v="187609"/>
    <n v="4.76"/>
    <s v="DQS_MAO04_FILE_000_B"/>
    <s v="RECORD COUNT by MBR_ID, DOS_THRU_DT, DX_CD Grain grouped by PAYER, SRC_FILE_NM, DOS_THRU_YYYYMM"/>
  </r>
  <r>
    <x v="2"/>
    <s v="FINGLOBL_PE202408_REMAO004.TXT"/>
    <x v="100"/>
    <x v="9"/>
    <n v="79757"/>
    <n v="187609"/>
    <n v="42.51"/>
    <s v="DQS_MAO04_FILE_000_B"/>
    <s v="RECORD COUNT by MBR_ID, DOS_THRU_DT, DX_CD Grain grouped by PAYER, SRC_FILE_NM, DOS_THRU_YYYYMM"/>
  </r>
  <r>
    <x v="2"/>
    <s v="FINGLOBL_PE202408_REMAO004.TXT"/>
    <x v="102"/>
    <x v="9"/>
    <n v="49836"/>
    <n v="187609"/>
    <n v="26.56"/>
    <s v="DQS_MAO04_FILE_000_B"/>
    <s v="RECORD COUNT by MBR_ID, DOS_THRU_DT, DX_CD Grain grouped by PAYER, SRC_FILE_NM, DOS_THRU_YYYYMM"/>
  </r>
  <r>
    <x v="2"/>
    <s v="FINGLOBL_PE202409_REMAO004.TXT"/>
    <x v="19"/>
    <x v="3"/>
    <n v="1"/>
    <n v="173610"/>
    <n v="0"/>
    <s v="DQS_MAO04_FILE_000_B"/>
    <s v="RECORD COUNT by MBR_ID, DOS_THRU_DT, DX_CD Grain grouped by PAYER, SRC_FILE_NM, DOS_THRU_YYYYMM"/>
  </r>
  <r>
    <x v="2"/>
    <s v="FINGLOBL_PE202409_REMAO004.TXT"/>
    <x v="37"/>
    <x v="4"/>
    <n v="14"/>
    <n v="173610"/>
    <n v="0.01"/>
    <s v="DQS_MAO04_FILE_000_B"/>
    <s v="RECORD COUNT by MBR_ID, DOS_THRU_DT, DX_CD Grain grouped by PAYER, SRC_FILE_NM, DOS_THRU_YYYYMM"/>
  </r>
  <r>
    <x v="2"/>
    <s v="FINGLOBL_PE202409_REMAO004.TXT"/>
    <x v="49"/>
    <x v="5"/>
    <n v="43"/>
    <n v="173610"/>
    <n v="0.02"/>
    <s v="DQS_MAO04_FILE_000_B"/>
    <s v="RECORD COUNT by MBR_ID, DOS_THRU_DT, DX_CD Grain grouped by PAYER, SRC_FILE_NM, DOS_THRU_YYYYMM"/>
  </r>
  <r>
    <x v="2"/>
    <s v="FINGLOBL_PE202409_REMAO004.TXT"/>
    <x v="50"/>
    <x v="5"/>
    <n v="200"/>
    <n v="173610"/>
    <n v="0.12"/>
    <s v="DQS_MAO04_FILE_000_B"/>
    <s v="RECORD COUNT by MBR_ID, DOS_THRU_DT, DX_CD Grain grouped by PAYER, SRC_FILE_NM, DOS_THRU_YYYYMM"/>
  </r>
  <r>
    <x v="2"/>
    <s v="FINGLOBL_PE202409_REMAO004.TXT"/>
    <x v="59"/>
    <x v="6"/>
    <n v="2"/>
    <n v="173610"/>
    <n v="0"/>
    <s v="DQS_MAO04_FILE_000_B"/>
    <s v="RECORD COUNT by MBR_ID, DOS_THRU_DT, DX_CD Grain grouped by PAYER, SRC_FILE_NM, DOS_THRU_YYYYMM"/>
  </r>
  <r>
    <x v="2"/>
    <s v="FINGLOBL_PE202409_REMAO004.TXT"/>
    <x v="60"/>
    <x v="6"/>
    <n v="2"/>
    <n v="173610"/>
    <n v="0"/>
    <s v="DQS_MAO04_FILE_000_B"/>
    <s v="RECORD COUNT by MBR_ID, DOS_THRU_DT, DX_CD Grain grouped by PAYER, SRC_FILE_NM, DOS_THRU_YYYYMM"/>
  </r>
  <r>
    <x v="2"/>
    <s v="FINGLOBL_PE202409_REMAO004.TXT"/>
    <x v="61"/>
    <x v="6"/>
    <n v="1"/>
    <n v="173610"/>
    <n v="0"/>
    <s v="DQS_MAO04_FILE_000_B"/>
    <s v="RECORD COUNT by MBR_ID, DOS_THRU_DT, DX_CD Grain grouped by PAYER, SRC_FILE_NM, DOS_THRU_YYYYMM"/>
  </r>
  <r>
    <x v="2"/>
    <s v="FINGLOBL_PE202409_REMAO004.TXT"/>
    <x v="63"/>
    <x v="6"/>
    <n v="18"/>
    <n v="173610"/>
    <n v="0.01"/>
    <s v="DQS_MAO04_FILE_000_B"/>
    <s v="RECORD COUNT by MBR_ID, DOS_THRU_DT, DX_CD Grain grouped by PAYER, SRC_FILE_NM, DOS_THRU_YYYYMM"/>
  </r>
  <r>
    <x v="2"/>
    <s v="FINGLOBL_PE202409_REMAO004.TXT"/>
    <x v="64"/>
    <x v="6"/>
    <n v="7"/>
    <n v="173610"/>
    <n v="0"/>
    <s v="DQS_MAO04_FILE_000_B"/>
    <s v="RECORD COUNT by MBR_ID, DOS_THRU_DT, DX_CD Grain grouped by PAYER, SRC_FILE_NM, DOS_THRU_YYYYMM"/>
  </r>
  <r>
    <x v="2"/>
    <s v="FINGLOBL_PE202409_REMAO004.TXT"/>
    <x v="65"/>
    <x v="7"/>
    <n v="1"/>
    <n v="173610"/>
    <n v="0"/>
    <s v="DQS_MAO04_FILE_000_B"/>
    <s v="RECORD COUNT by MBR_ID, DOS_THRU_DT, DX_CD Grain grouped by PAYER, SRC_FILE_NM, DOS_THRU_YYYYMM"/>
  </r>
  <r>
    <x v="2"/>
    <s v="FINGLOBL_PE202409_REMAO004.TXT"/>
    <x v="66"/>
    <x v="7"/>
    <n v="22"/>
    <n v="173610"/>
    <n v="0.01"/>
    <s v="DQS_MAO04_FILE_000_B"/>
    <s v="RECORD COUNT by MBR_ID, DOS_THRU_DT, DX_CD Grain grouped by PAYER, SRC_FILE_NM, DOS_THRU_YYYYMM"/>
  </r>
  <r>
    <x v="2"/>
    <s v="FINGLOBL_PE202409_REMAO004.TXT"/>
    <x v="67"/>
    <x v="7"/>
    <n v="5"/>
    <n v="173610"/>
    <n v="0"/>
    <s v="DQS_MAO04_FILE_000_B"/>
    <s v="RECORD COUNT by MBR_ID, DOS_THRU_DT, DX_CD Grain grouped by PAYER, SRC_FILE_NM, DOS_THRU_YYYYMM"/>
  </r>
  <r>
    <x v="2"/>
    <s v="FINGLOBL_PE202409_REMAO004.TXT"/>
    <x v="68"/>
    <x v="7"/>
    <n v="9"/>
    <n v="173610"/>
    <n v="0.01"/>
    <s v="DQS_MAO04_FILE_000_B"/>
    <s v="RECORD COUNT by MBR_ID, DOS_THRU_DT, DX_CD Grain grouped by PAYER, SRC_FILE_NM, DOS_THRU_YYYYMM"/>
  </r>
  <r>
    <x v="2"/>
    <s v="FINGLOBL_PE202409_REMAO004.TXT"/>
    <x v="69"/>
    <x v="7"/>
    <n v="4"/>
    <n v="173610"/>
    <n v="0"/>
    <s v="DQS_MAO04_FILE_000_B"/>
    <s v="RECORD COUNT by MBR_ID, DOS_THRU_DT, DX_CD Grain grouped by PAYER, SRC_FILE_NM, DOS_THRU_YYYYMM"/>
  </r>
  <r>
    <x v="2"/>
    <s v="FINGLOBL_PE202409_REMAO004.TXT"/>
    <x v="70"/>
    <x v="7"/>
    <n v="10"/>
    <n v="173610"/>
    <n v="0.01"/>
    <s v="DQS_MAO04_FILE_000_B"/>
    <s v="RECORD COUNT by MBR_ID, DOS_THRU_DT, DX_CD Grain grouped by PAYER, SRC_FILE_NM, DOS_THRU_YYYYMM"/>
  </r>
  <r>
    <x v="2"/>
    <s v="FINGLOBL_PE202409_REMAO004.TXT"/>
    <x v="71"/>
    <x v="7"/>
    <n v="5"/>
    <n v="173610"/>
    <n v="0"/>
    <s v="DQS_MAO04_FILE_000_B"/>
    <s v="RECORD COUNT by MBR_ID, DOS_THRU_DT, DX_CD Grain grouped by PAYER, SRC_FILE_NM, DOS_THRU_YYYYMM"/>
  </r>
  <r>
    <x v="2"/>
    <s v="FINGLOBL_PE202409_REMAO004.TXT"/>
    <x v="72"/>
    <x v="7"/>
    <n v="8"/>
    <n v="173610"/>
    <n v="0"/>
    <s v="DQS_MAO04_FILE_000_B"/>
    <s v="RECORD COUNT by MBR_ID, DOS_THRU_DT, DX_CD Grain grouped by PAYER, SRC_FILE_NM, DOS_THRU_YYYYMM"/>
  </r>
  <r>
    <x v="2"/>
    <s v="FINGLOBL_PE202409_REMAO004.TXT"/>
    <x v="73"/>
    <x v="7"/>
    <n v="115"/>
    <n v="173610"/>
    <n v="7.0000000000000007E-2"/>
    <s v="DQS_MAO04_FILE_000_B"/>
    <s v="RECORD COUNT by MBR_ID, DOS_THRU_DT, DX_CD Grain grouped by PAYER, SRC_FILE_NM, DOS_THRU_YYYYMM"/>
  </r>
  <r>
    <x v="2"/>
    <s v="FINGLOBL_PE202409_REMAO004.TXT"/>
    <x v="74"/>
    <x v="7"/>
    <n v="165"/>
    <n v="173610"/>
    <n v="0.1"/>
    <s v="DQS_MAO04_FILE_000_B"/>
    <s v="RECORD COUNT by MBR_ID, DOS_THRU_DT, DX_CD Grain grouped by PAYER, SRC_FILE_NM, DOS_THRU_YYYYMM"/>
  </r>
  <r>
    <x v="2"/>
    <s v="FINGLOBL_PE202409_REMAO004.TXT"/>
    <x v="75"/>
    <x v="7"/>
    <n v="61"/>
    <n v="173610"/>
    <n v="0.04"/>
    <s v="DQS_MAO04_FILE_000_B"/>
    <s v="RECORD COUNT by MBR_ID, DOS_THRU_DT, DX_CD Grain grouped by PAYER, SRC_FILE_NM, DOS_THRU_YYYYMM"/>
  </r>
  <r>
    <x v="2"/>
    <s v="FINGLOBL_PE202409_REMAO004.TXT"/>
    <x v="76"/>
    <x v="7"/>
    <n v="117"/>
    <n v="173610"/>
    <n v="7.0000000000000007E-2"/>
    <s v="DQS_MAO04_FILE_000_B"/>
    <s v="RECORD COUNT by MBR_ID, DOS_THRU_DT, DX_CD Grain grouped by PAYER, SRC_FILE_NM, DOS_THRU_YYYYMM"/>
  </r>
  <r>
    <x v="2"/>
    <s v="FINGLOBL_PE202409_REMAO004.TXT"/>
    <x v="77"/>
    <x v="8"/>
    <n v="629"/>
    <n v="173610"/>
    <n v="0.36"/>
    <s v="DQS_MAO04_FILE_000_B"/>
    <s v="RECORD COUNT by MBR_ID, DOS_THRU_DT, DX_CD Grain grouped by PAYER, SRC_FILE_NM, DOS_THRU_YYYYMM"/>
  </r>
  <r>
    <x v="2"/>
    <s v="FINGLOBL_PE202409_REMAO004.TXT"/>
    <x v="78"/>
    <x v="8"/>
    <n v="518"/>
    <n v="173610"/>
    <n v="0.3"/>
    <s v="DQS_MAO04_FILE_000_B"/>
    <s v="RECORD COUNT by MBR_ID, DOS_THRU_DT, DX_CD Grain grouped by PAYER, SRC_FILE_NM, DOS_THRU_YYYYMM"/>
  </r>
  <r>
    <x v="2"/>
    <s v="FINGLOBL_PE202409_REMAO004.TXT"/>
    <x v="79"/>
    <x v="8"/>
    <n v="923"/>
    <n v="173610"/>
    <n v="0.53"/>
    <s v="DQS_MAO04_FILE_000_B"/>
    <s v="RECORD COUNT by MBR_ID, DOS_THRU_DT, DX_CD Grain grouped by PAYER, SRC_FILE_NM, DOS_THRU_YYYYMM"/>
  </r>
  <r>
    <x v="2"/>
    <s v="FINGLOBL_PE202409_REMAO004.TXT"/>
    <x v="80"/>
    <x v="8"/>
    <n v="623"/>
    <n v="173610"/>
    <n v="0.36"/>
    <s v="DQS_MAO04_FILE_000_B"/>
    <s v="RECORD COUNT by MBR_ID, DOS_THRU_DT, DX_CD Grain grouped by PAYER, SRC_FILE_NM, DOS_THRU_YYYYMM"/>
  </r>
  <r>
    <x v="2"/>
    <s v="FINGLOBL_PE202409_REMAO004.TXT"/>
    <x v="81"/>
    <x v="8"/>
    <n v="980"/>
    <n v="173610"/>
    <n v="0.56000000000000005"/>
    <s v="DQS_MAO04_FILE_000_B"/>
    <s v="RECORD COUNT by MBR_ID, DOS_THRU_DT, DX_CD Grain grouped by PAYER, SRC_FILE_NM, DOS_THRU_YYYYMM"/>
  </r>
  <r>
    <x v="2"/>
    <s v="FINGLOBL_PE202409_REMAO004.TXT"/>
    <x v="82"/>
    <x v="8"/>
    <n v="1406"/>
    <n v="173610"/>
    <n v="0.81"/>
    <s v="DQS_MAO04_FILE_000_B"/>
    <s v="RECORD COUNT by MBR_ID, DOS_THRU_DT, DX_CD Grain grouped by PAYER, SRC_FILE_NM, DOS_THRU_YYYYMM"/>
  </r>
  <r>
    <x v="2"/>
    <s v="FINGLOBL_PE202409_REMAO004.TXT"/>
    <x v="83"/>
    <x v="8"/>
    <n v="1322"/>
    <n v="173610"/>
    <n v="0.76"/>
    <s v="DQS_MAO04_FILE_000_B"/>
    <s v="RECORD COUNT by MBR_ID, DOS_THRU_DT, DX_CD Grain grouped by PAYER, SRC_FILE_NM, DOS_THRU_YYYYMM"/>
  </r>
  <r>
    <x v="2"/>
    <s v="FINGLOBL_PE202409_REMAO004.TXT"/>
    <x v="84"/>
    <x v="8"/>
    <n v="1570"/>
    <n v="173610"/>
    <n v="0.9"/>
    <s v="DQS_MAO04_FILE_000_B"/>
    <s v="RECORD COUNT by MBR_ID, DOS_THRU_DT, DX_CD Grain grouped by PAYER, SRC_FILE_NM, DOS_THRU_YYYYMM"/>
  </r>
  <r>
    <x v="2"/>
    <s v="FINGLOBL_PE202409_REMAO004.TXT"/>
    <x v="85"/>
    <x v="8"/>
    <n v="2140"/>
    <n v="173610"/>
    <n v="1.23"/>
    <s v="DQS_MAO04_FILE_000_B"/>
    <s v="RECORD COUNT by MBR_ID, DOS_THRU_DT, DX_CD Grain grouped by PAYER, SRC_FILE_NM, DOS_THRU_YYYYMM"/>
  </r>
  <r>
    <x v="2"/>
    <s v="FINGLOBL_PE202409_REMAO004.TXT"/>
    <x v="86"/>
    <x v="8"/>
    <n v="3777"/>
    <n v="173610"/>
    <n v="2.1800000000000002"/>
    <s v="DQS_MAO04_FILE_000_B"/>
    <s v="RECORD COUNT by MBR_ID, DOS_THRU_DT, DX_CD Grain grouped by PAYER, SRC_FILE_NM, DOS_THRU_YYYYMM"/>
  </r>
  <r>
    <x v="2"/>
    <s v="FINGLOBL_PE202409_REMAO004.TXT"/>
    <x v="87"/>
    <x v="8"/>
    <n v="3540"/>
    <n v="173610"/>
    <n v="2.04"/>
    <s v="DQS_MAO04_FILE_000_B"/>
    <s v="RECORD COUNT by MBR_ID, DOS_THRU_DT, DX_CD Grain grouped by PAYER, SRC_FILE_NM, DOS_THRU_YYYYMM"/>
  </r>
  <r>
    <x v="2"/>
    <s v="FINGLOBL_PE202409_REMAO004.TXT"/>
    <x v="88"/>
    <x v="8"/>
    <n v="3072"/>
    <n v="173610"/>
    <n v="1.77"/>
    <s v="DQS_MAO04_FILE_000_B"/>
    <s v="RECORD COUNT by MBR_ID, DOS_THRU_DT, DX_CD Grain grouped by PAYER, SRC_FILE_NM, DOS_THRU_YYYYMM"/>
  </r>
  <r>
    <x v="2"/>
    <s v="FINGLOBL_PE202409_REMAO004.TXT"/>
    <x v="89"/>
    <x v="9"/>
    <n v="2554"/>
    <n v="173610"/>
    <n v="1.47"/>
    <s v="DQS_MAO04_FILE_000_B"/>
    <s v="RECORD COUNT by MBR_ID, DOS_THRU_DT, DX_CD Grain grouped by PAYER, SRC_FILE_NM, DOS_THRU_YYYYMM"/>
  </r>
  <r>
    <x v="2"/>
    <s v="FINGLOBL_PE202409_REMAO004.TXT"/>
    <x v="97"/>
    <x v="9"/>
    <n v="3024"/>
    <n v="173610"/>
    <n v="1.74"/>
    <s v="DQS_MAO04_FILE_000_B"/>
    <s v="RECORD COUNT by MBR_ID, DOS_THRU_DT, DX_CD Grain grouped by PAYER, SRC_FILE_NM, DOS_THRU_YYYYMM"/>
  </r>
  <r>
    <x v="2"/>
    <s v="FINGLOBL_PE202409_REMAO004.TXT"/>
    <x v="98"/>
    <x v="9"/>
    <n v="3171"/>
    <n v="173610"/>
    <n v="1.83"/>
    <s v="DQS_MAO04_FILE_000_B"/>
    <s v="RECORD COUNT by MBR_ID, DOS_THRU_DT, DX_CD Grain grouped by PAYER, SRC_FILE_NM, DOS_THRU_YYYYMM"/>
  </r>
  <r>
    <x v="2"/>
    <s v="FINGLOBL_PE202409_REMAO004.TXT"/>
    <x v="99"/>
    <x v="9"/>
    <n v="4604"/>
    <n v="173610"/>
    <n v="2.65"/>
    <s v="DQS_MAO04_FILE_000_B"/>
    <s v="RECORD COUNT by MBR_ID, DOS_THRU_DT, DX_CD Grain grouped by PAYER, SRC_FILE_NM, DOS_THRU_YYYYMM"/>
  </r>
  <r>
    <x v="2"/>
    <s v="FINGLOBL_PE202409_REMAO004.TXT"/>
    <x v="100"/>
    <x v="9"/>
    <n v="12310"/>
    <n v="173610"/>
    <n v="7.09"/>
    <s v="DQS_MAO04_FILE_000_B"/>
    <s v="RECORD COUNT by MBR_ID, DOS_THRU_DT, DX_CD Grain grouped by PAYER, SRC_FILE_NM, DOS_THRU_YYYYMM"/>
  </r>
  <r>
    <x v="2"/>
    <s v="FINGLOBL_PE202409_REMAO004.TXT"/>
    <x v="102"/>
    <x v="9"/>
    <n v="76087"/>
    <n v="173610"/>
    <n v="43.83"/>
    <s v="DQS_MAO04_FILE_000_B"/>
    <s v="RECORD COUNT by MBR_ID, DOS_THRU_DT, DX_CD Grain grouped by PAYER, SRC_FILE_NM, DOS_THRU_YYYYMM"/>
  </r>
  <r>
    <x v="2"/>
    <s v="FINGLOBL_PE202409_REMAO004.TXT"/>
    <x v="103"/>
    <x v="9"/>
    <n v="50550"/>
    <n v="173610"/>
    <n v="29.12"/>
    <s v="DQS_MAO04_FILE_000_B"/>
    <s v="RECORD COUNT by MBR_ID, DOS_THRU_DT, DX_CD Grain grouped by PAYER, SRC_FILE_NM, DOS_THRU_YYYYMM"/>
  </r>
  <r>
    <x v="2"/>
    <s v="FINGLOBL_PE202410_REMAO004.TXT"/>
    <x v="56"/>
    <x v="6"/>
    <n v="1"/>
    <n v="167093"/>
    <n v="0"/>
    <s v="DQS_MAO04_FILE_000_B"/>
    <s v="RECORD COUNT by MBR_ID, DOS_THRU_DT, DX_CD Grain grouped by PAYER, SRC_FILE_NM, DOS_THRU_YYYYMM"/>
  </r>
  <r>
    <x v="2"/>
    <s v="FINGLOBL_PE202410_REMAO004.TXT"/>
    <x v="59"/>
    <x v="6"/>
    <n v="3"/>
    <n v="167093"/>
    <n v="0"/>
    <s v="DQS_MAO04_FILE_000_B"/>
    <s v="RECORD COUNT by MBR_ID, DOS_THRU_DT, DX_CD Grain grouped by PAYER, SRC_FILE_NM, DOS_THRU_YYYYMM"/>
  </r>
  <r>
    <x v="2"/>
    <s v="FINGLOBL_PE202410_REMAO004.TXT"/>
    <x v="60"/>
    <x v="6"/>
    <n v="2"/>
    <n v="167093"/>
    <n v="0"/>
    <s v="DQS_MAO04_FILE_000_B"/>
    <s v="RECORD COUNT by MBR_ID, DOS_THRU_DT, DX_CD Grain grouped by PAYER, SRC_FILE_NM, DOS_THRU_YYYYMM"/>
  </r>
  <r>
    <x v="2"/>
    <s v="FINGLOBL_PE202410_REMAO004.TXT"/>
    <x v="61"/>
    <x v="6"/>
    <n v="8"/>
    <n v="167093"/>
    <n v="0"/>
    <s v="DQS_MAO04_FILE_000_B"/>
    <s v="RECORD COUNT by MBR_ID, DOS_THRU_DT, DX_CD Grain grouped by PAYER, SRC_FILE_NM, DOS_THRU_YYYYMM"/>
  </r>
  <r>
    <x v="2"/>
    <s v="FINGLOBL_PE202410_REMAO004.TXT"/>
    <x v="63"/>
    <x v="6"/>
    <n v="2"/>
    <n v="167093"/>
    <n v="0"/>
    <s v="DQS_MAO04_FILE_000_B"/>
    <s v="RECORD COUNT by MBR_ID, DOS_THRU_DT, DX_CD Grain grouped by PAYER, SRC_FILE_NM, DOS_THRU_YYYYMM"/>
  </r>
  <r>
    <x v="2"/>
    <s v="FINGLOBL_PE202410_REMAO004.TXT"/>
    <x v="65"/>
    <x v="7"/>
    <n v="2"/>
    <n v="167093"/>
    <n v="0"/>
    <s v="DQS_MAO04_FILE_000_B"/>
    <s v="RECORD COUNT by MBR_ID, DOS_THRU_DT, DX_CD Grain grouped by PAYER, SRC_FILE_NM, DOS_THRU_YYYYMM"/>
  </r>
  <r>
    <x v="2"/>
    <s v="FINGLOBL_PE202410_REMAO004.TXT"/>
    <x v="66"/>
    <x v="7"/>
    <n v="10"/>
    <n v="167093"/>
    <n v="0.01"/>
    <s v="DQS_MAO04_FILE_000_B"/>
    <s v="RECORD COUNT by MBR_ID, DOS_THRU_DT, DX_CD Grain grouped by PAYER, SRC_FILE_NM, DOS_THRU_YYYYMM"/>
  </r>
  <r>
    <x v="2"/>
    <s v="FINGLOBL_PE202410_REMAO004.TXT"/>
    <x v="67"/>
    <x v="7"/>
    <n v="6"/>
    <n v="167093"/>
    <n v="0"/>
    <s v="DQS_MAO04_FILE_000_B"/>
    <s v="RECORD COUNT by MBR_ID, DOS_THRU_DT, DX_CD Grain grouped by PAYER, SRC_FILE_NM, DOS_THRU_YYYYMM"/>
  </r>
  <r>
    <x v="2"/>
    <s v="FINGLOBL_PE202410_REMAO004.TXT"/>
    <x v="68"/>
    <x v="7"/>
    <n v="43"/>
    <n v="167093"/>
    <n v="0.03"/>
    <s v="DQS_MAO04_FILE_000_B"/>
    <s v="RECORD COUNT by MBR_ID, DOS_THRU_DT, DX_CD Grain grouped by PAYER, SRC_FILE_NM, DOS_THRU_YYYYMM"/>
  </r>
  <r>
    <x v="2"/>
    <s v="FINGLOBL_PE202410_REMAO004.TXT"/>
    <x v="69"/>
    <x v="7"/>
    <n v="38"/>
    <n v="167093"/>
    <n v="0.02"/>
    <s v="DQS_MAO04_FILE_000_B"/>
    <s v="RECORD COUNT by MBR_ID, DOS_THRU_DT, DX_CD Grain grouped by PAYER, SRC_FILE_NM, DOS_THRU_YYYYMM"/>
  </r>
  <r>
    <x v="2"/>
    <s v="FINGLOBL_PE202410_REMAO004.TXT"/>
    <x v="70"/>
    <x v="7"/>
    <n v="26"/>
    <n v="167093"/>
    <n v="0.02"/>
    <s v="DQS_MAO04_FILE_000_B"/>
    <s v="RECORD COUNT by MBR_ID, DOS_THRU_DT, DX_CD Grain grouped by PAYER, SRC_FILE_NM, DOS_THRU_YYYYMM"/>
  </r>
  <r>
    <x v="2"/>
    <s v="FINGLOBL_PE202410_REMAO004.TXT"/>
    <x v="71"/>
    <x v="7"/>
    <n v="13"/>
    <n v="167093"/>
    <n v="0.01"/>
    <s v="DQS_MAO04_FILE_000_B"/>
    <s v="RECORD COUNT by MBR_ID, DOS_THRU_DT, DX_CD Grain grouped by PAYER, SRC_FILE_NM, DOS_THRU_YYYYMM"/>
  </r>
  <r>
    <x v="2"/>
    <s v="FINGLOBL_PE202410_REMAO004.TXT"/>
    <x v="72"/>
    <x v="7"/>
    <n v="12"/>
    <n v="167093"/>
    <n v="0.01"/>
    <s v="DQS_MAO04_FILE_000_B"/>
    <s v="RECORD COUNT by MBR_ID, DOS_THRU_DT, DX_CD Grain grouped by PAYER, SRC_FILE_NM, DOS_THRU_YYYYMM"/>
  </r>
  <r>
    <x v="2"/>
    <s v="FINGLOBL_PE202410_REMAO004.TXT"/>
    <x v="73"/>
    <x v="7"/>
    <n v="82"/>
    <n v="167093"/>
    <n v="0.05"/>
    <s v="DQS_MAO04_FILE_000_B"/>
    <s v="RECORD COUNT by MBR_ID, DOS_THRU_DT, DX_CD Grain grouped by PAYER, SRC_FILE_NM, DOS_THRU_YYYYMM"/>
  </r>
  <r>
    <x v="2"/>
    <s v="FINGLOBL_PE202410_REMAO004.TXT"/>
    <x v="74"/>
    <x v="7"/>
    <n v="38"/>
    <n v="167093"/>
    <n v="0.02"/>
    <s v="DQS_MAO04_FILE_000_B"/>
    <s v="RECORD COUNT by MBR_ID, DOS_THRU_DT, DX_CD Grain grouped by PAYER, SRC_FILE_NM, DOS_THRU_YYYYMM"/>
  </r>
  <r>
    <x v="2"/>
    <s v="FINGLOBL_PE202410_REMAO004.TXT"/>
    <x v="75"/>
    <x v="7"/>
    <n v="164"/>
    <n v="167093"/>
    <n v="0.1"/>
    <s v="DQS_MAO04_FILE_000_B"/>
    <s v="RECORD COUNT by MBR_ID, DOS_THRU_DT, DX_CD Grain grouped by PAYER, SRC_FILE_NM, DOS_THRU_YYYYMM"/>
  </r>
  <r>
    <x v="2"/>
    <s v="FINGLOBL_PE202410_REMAO004.TXT"/>
    <x v="76"/>
    <x v="7"/>
    <n v="39"/>
    <n v="167093"/>
    <n v="0.02"/>
    <s v="DQS_MAO04_FILE_000_B"/>
    <s v="RECORD COUNT by MBR_ID, DOS_THRU_DT, DX_CD Grain grouped by PAYER, SRC_FILE_NM, DOS_THRU_YYYYMM"/>
  </r>
  <r>
    <x v="2"/>
    <s v="FINGLOBL_PE202410_REMAO004.TXT"/>
    <x v="77"/>
    <x v="8"/>
    <n v="455"/>
    <n v="167093"/>
    <n v="0.27"/>
    <s v="DQS_MAO04_FILE_000_B"/>
    <s v="RECORD COUNT by MBR_ID, DOS_THRU_DT, DX_CD Grain grouped by PAYER, SRC_FILE_NM, DOS_THRU_YYYYMM"/>
  </r>
  <r>
    <x v="2"/>
    <s v="FINGLOBL_PE202410_REMAO004.TXT"/>
    <x v="78"/>
    <x v="8"/>
    <n v="518"/>
    <n v="167093"/>
    <n v="0.31"/>
    <s v="DQS_MAO04_FILE_000_B"/>
    <s v="RECORD COUNT by MBR_ID, DOS_THRU_DT, DX_CD Grain grouped by PAYER, SRC_FILE_NM, DOS_THRU_YYYYMM"/>
  </r>
  <r>
    <x v="2"/>
    <s v="FINGLOBL_PE202410_REMAO004.TXT"/>
    <x v="79"/>
    <x v="8"/>
    <n v="626"/>
    <n v="167093"/>
    <n v="0.37"/>
    <s v="DQS_MAO04_FILE_000_B"/>
    <s v="RECORD COUNT by MBR_ID, DOS_THRU_DT, DX_CD Grain grouped by PAYER, SRC_FILE_NM, DOS_THRU_YYYYMM"/>
  </r>
  <r>
    <x v="2"/>
    <s v="FINGLOBL_PE202410_REMAO004.TXT"/>
    <x v="80"/>
    <x v="8"/>
    <n v="757"/>
    <n v="167093"/>
    <n v="0.45"/>
    <s v="DQS_MAO04_FILE_000_B"/>
    <s v="RECORD COUNT by MBR_ID, DOS_THRU_DT, DX_CD Grain grouped by PAYER, SRC_FILE_NM, DOS_THRU_YYYYMM"/>
  </r>
  <r>
    <x v="2"/>
    <s v="FINGLOBL_PE202410_REMAO004.TXT"/>
    <x v="81"/>
    <x v="8"/>
    <n v="758"/>
    <n v="167093"/>
    <n v="0.45"/>
    <s v="DQS_MAO04_FILE_000_B"/>
    <s v="RECORD COUNT by MBR_ID, DOS_THRU_DT, DX_CD Grain grouped by PAYER, SRC_FILE_NM, DOS_THRU_YYYYMM"/>
  </r>
  <r>
    <x v="2"/>
    <s v="FINGLOBL_PE202410_REMAO004.TXT"/>
    <x v="82"/>
    <x v="8"/>
    <n v="800"/>
    <n v="167093"/>
    <n v="0.48"/>
    <s v="DQS_MAO04_FILE_000_B"/>
    <s v="RECORD COUNT by MBR_ID, DOS_THRU_DT, DX_CD Grain grouped by PAYER, SRC_FILE_NM, DOS_THRU_YYYYMM"/>
  </r>
  <r>
    <x v="2"/>
    <s v="FINGLOBL_PE202410_REMAO004.TXT"/>
    <x v="83"/>
    <x v="8"/>
    <n v="875"/>
    <n v="167093"/>
    <n v="0.52"/>
    <s v="DQS_MAO04_FILE_000_B"/>
    <s v="RECORD COUNT by MBR_ID, DOS_THRU_DT, DX_CD Grain grouped by PAYER, SRC_FILE_NM, DOS_THRU_YYYYMM"/>
  </r>
  <r>
    <x v="2"/>
    <s v="FINGLOBL_PE202410_REMAO004.TXT"/>
    <x v="84"/>
    <x v="8"/>
    <n v="1577"/>
    <n v="167093"/>
    <n v="0.94"/>
    <s v="DQS_MAO04_FILE_000_B"/>
    <s v="RECORD COUNT by MBR_ID, DOS_THRU_DT, DX_CD Grain grouped by PAYER, SRC_FILE_NM, DOS_THRU_YYYYMM"/>
  </r>
  <r>
    <x v="2"/>
    <s v="FINGLOBL_PE202410_REMAO004.TXT"/>
    <x v="85"/>
    <x v="8"/>
    <n v="1579"/>
    <n v="167093"/>
    <n v="0.94"/>
    <s v="DQS_MAO04_FILE_000_B"/>
    <s v="RECORD COUNT by MBR_ID, DOS_THRU_DT, DX_CD Grain grouped by PAYER, SRC_FILE_NM, DOS_THRU_YYYYMM"/>
  </r>
  <r>
    <x v="2"/>
    <s v="FINGLOBL_PE202410_REMAO004.TXT"/>
    <x v="86"/>
    <x v="8"/>
    <n v="2788"/>
    <n v="167093"/>
    <n v="1.67"/>
    <s v="DQS_MAO04_FILE_000_B"/>
    <s v="RECORD COUNT by MBR_ID, DOS_THRU_DT, DX_CD Grain grouped by PAYER, SRC_FILE_NM, DOS_THRU_YYYYMM"/>
  </r>
  <r>
    <x v="2"/>
    <s v="FINGLOBL_PE202410_REMAO004.TXT"/>
    <x v="87"/>
    <x v="8"/>
    <n v="1950"/>
    <n v="167093"/>
    <n v="1.17"/>
    <s v="DQS_MAO04_FILE_000_B"/>
    <s v="RECORD COUNT by MBR_ID, DOS_THRU_DT, DX_CD Grain grouped by PAYER, SRC_FILE_NM, DOS_THRU_YYYYMM"/>
  </r>
  <r>
    <x v="2"/>
    <s v="FINGLOBL_PE202410_REMAO004.TXT"/>
    <x v="88"/>
    <x v="8"/>
    <n v="1986"/>
    <n v="167093"/>
    <n v="1.19"/>
    <s v="DQS_MAO04_FILE_000_B"/>
    <s v="RECORD COUNT by MBR_ID, DOS_THRU_DT, DX_CD Grain grouped by PAYER, SRC_FILE_NM, DOS_THRU_YYYYMM"/>
  </r>
  <r>
    <x v="2"/>
    <s v="FINGLOBL_PE202410_REMAO004.TXT"/>
    <x v="89"/>
    <x v="9"/>
    <n v="1563"/>
    <n v="167093"/>
    <n v="0.94"/>
    <s v="DQS_MAO04_FILE_000_B"/>
    <s v="RECORD COUNT by MBR_ID, DOS_THRU_DT, DX_CD Grain grouped by PAYER, SRC_FILE_NM, DOS_THRU_YYYYMM"/>
  </r>
  <r>
    <x v="2"/>
    <s v="FINGLOBL_PE202410_REMAO004.TXT"/>
    <x v="97"/>
    <x v="9"/>
    <n v="1689"/>
    <n v="167093"/>
    <n v="1.01"/>
    <s v="DQS_MAO04_FILE_000_B"/>
    <s v="RECORD COUNT by MBR_ID, DOS_THRU_DT, DX_CD Grain grouped by PAYER, SRC_FILE_NM, DOS_THRU_YYYYMM"/>
  </r>
  <r>
    <x v="2"/>
    <s v="FINGLOBL_PE202410_REMAO004.TXT"/>
    <x v="98"/>
    <x v="9"/>
    <n v="2028"/>
    <n v="167093"/>
    <n v="1.21"/>
    <s v="DQS_MAO04_FILE_000_B"/>
    <s v="RECORD COUNT by MBR_ID, DOS_THRU_DT, DX_CD Grain grouped by PAYER, SRC_FILE_NM, DOS_THRU_YYYYMM"/>
  </r>
  <r>
    <x v="2"/>
    <s v="FINGLOBL_PE202410_REMAO004.TXT"/>
    <x v="99"/>
    <x v="9"/>
    <n v="2714"/>
    <n v="167093"/>
    <n v="1.62"/>
    <s v="DQS_MAO04_FILE_000_B"/>
    <s v="RECORD COUNT by MBR_ID, DOS_THRU_DT, DX_CD Grain grouped by PAYER, SRC_FILE_NM, DOS_THRU_YYYYMM"/>
  </r>
  <r>
    <x v="2"/>
    <s v="FINGLOBL_PE202410_REMAO004.TXT"/>
    <x v="100"/>
    <x v="9"/>
    <n v="3623"/>
    <n v="167093"/>
    <n v="2.17"/>
    <s v="DQS_MAO04_FILE_000_B"/>
    <s v="RECORD COUNT by MBR_ID, DOS_THRU_DT, DX_CD Grain grouped by PAYER, SRC_FILE_NM, DOS_THRU_YYYYMM"/>
  </r>
  <r>
    <x v="2"/>
    <s v="FINGLOBL_PE202410_REMAO004.TXT"/>
    <x v="102"/>
    <x v="9"/>
    <n v="11242"/>
    <n v="167093"/>
    <n v="6.73"/>
    <s v="DQS_MAO04_FILE_000_B"/>
    <s v="RECORD COUNT by MBR_ID, DOS_THRU_DT, DX_CD Grain grouped by PAYER, SRC_FILE_NM, DOS_THRU_YYYYMM"/>
  </r>
  <r>
    <x v="2"/>
    <s v="FINGLOBL_PE202410_REMAO004.TXT"/>
    <x v="103"/>
    <x v="9"/>
    <n v="77441"/>
    <n v="167093"/>
    <n v="46.35"/>
    <s v="DQS_MAO04_FILE_000_B"/>
    <s v="RECORD COUNT by MBR_ID, DOS_THRU_DT, DX_CD Grain grouped by PAYER, SRC_FILE_NM, DOS_THRU_YYYYMM"/>
  </r>
  <r>
    <x v="2"/>
    <s v="FINGLOBL_PE202410_REMAO004.TXT"/>
    <x v="105"/>
    <x v="9"/>
    <n v="51635"/>
    <n v="167093"/>
    <n v="30.9"/>
    <s v="DQS_MAO04_FILE_000_B"/>
    <s v="RECORD COUNT by MBR_ID, DOS_THRU_DT, DX_CD Grain grouped by PAYER, SRC_FILE_NM, DOS_THRU_YYYYMM"/>
  </r>
  <r>
    <x v="2"/>
    <s v="FINGLOBL_PE202411_REMAO004.TXT"/>
    <x v="29"/>
    <x v="4"/>
    <n v="11"/>
    <n v="124290"/>
    <n v="0.01"/>
    <s v="DQS_MAO04_FILE_000_B"/>
    <s v="RECORD COUNT by MBR_ID, DOS_THRU_DT, DX_CD Grain grouped by PAYER, SRC_FILE_NM, DOS_THRU_YYYYMM"/>
  </r>
  <r>
    <x v="2"/>
    <s v="FINGLOBL_PE202411_REMAO004.TXT"/>
    <x v="30"/>
    <x v="4"/>
    <n v="1"/>
    <n v="124290"/>
    <n v="0"/>
    <s v="DQS_MAO04_FILE_000_B"/>
    <s v="RECORD COUNT by MBR_ID, DOS_THRU_DT, DX_CD Grain grouped by PAYER, SRC_FILE_NM, DOS_THRU_YYYYMM"/>
  </r>
  <r>
    <x v="2"/>
    <s v="FINGLOBL_PE202411_REMAO004.TXT"/>
    <x v="40"/>
    <x v="4"/>
    <n v="1"/>
    <n v="124290"/>
    <n v="0"/>
    <s v="DQS_MAO04_FILE_000_B"/>
    <s v="RECORD COUNT by MBR_ID, DOS_THRU_DT, DX_CD Grain grouped by PAYER, SRC_FILE_NM, DOS_THRU_YYYYMM"/>
  </r>
  <r>
    <x v="2"/>
    <s v="FINGLOBL_PE202411_REMAO004.TXT"/>
    <x v="51"/>
    <x v="5"/>
    <n v="3"/>
    <n v="124290"/>
    <n v="0"/>
    <s v="DQS_MAO04_FILE_000_B"/>
    <s v="RECORD COUNT by MBR_ID, DOS_THRU_DT, DX_CD Grain grouped by PAYER, SRC_FILE_NM, DOS_THRU_YYYYMM"/>
  </r>
  <r>
    <x v="2"/>
    <s v="FINGLOBL_PE202411_REMAO004.TXT"/>
    <x v="53"/>
    <x v="6"/>
    <n v="4"/>
    <n v="124290"/>
    <n v="0"/>
    <s v="DQS_MAO04_FILE_000_B"/>
    <s v="RECORD COUNT by MBR_ID, DOS_THRU_DT, DX_CD Grain grouped by PAYER, SRC_FILE_NM, DOS_THRU_YYYYMM"/>
  </r>
  <r>
    <x v="2"/>
    <s v="FINGLOBL_PE202411_REMAO004.TXT"/>
    <x v="54"/>
    <x v="6"/>
    <n v="6"/>
    <n v="124290"/>
    <n v="0"/>
    <s v="DQS_MAO04_FILE_000_B"/>
    <s v="RECORD COUNT by MBR_ID, DOS_THRU_DT, DX_CD Grain grouped by PAYER, SRC_FILE_NM, DOS_THRU_YYYYMM"/>
  </r>
  <r>
    <x v="2"/>
    <s v="FINGLOBL_PE202411_REMAO004.TXT"/>
    <x v="55"/>
    <x v="6"/>
    <n v="5"/>
    <n v="124290"/>
    <n v="0"/>
    <s v="DQS_MAO04_FILE_000_B"/>
    <s v="RECORD COUNT by MBR_ID, DOS_THRU_DT, DX_CD Grain grouped by PAYER, SRC_FILE_NM, DOS_THRU_YYYYMM"/>
  </r>
  <r>
    <x v="2"/>
    <s v="FINGLOBL_PE202411_REMAO004.TXT"/>
    <x v="56"/>
    <x v="6"/>
    <n v="8"/>
    <n v="124290"/>
    <n v="0.01"/>
    <s v="DQS_MAO04_FILE_000_B"/>
    <s v="RECORD COUNT by MBR_ID, DOS_THRU_DT, DX_CD Grain grouped by PAYER, SRC_FILE_NM, DOS_THRU_YYYYMM"/>
  </r>
  <r>
    <x v="2"/>
    <s v="FINGLOBL_PE202411_REMAO004.TXT"/>
    <x v="57"/>
    <x v="6"/>
    <n v="5"/>
    <n v="124290"/>
    <n v="0"/>
    <s v="DQS_MAO04_FILE_000_B"/>
    <s v="RECORD COUNT by MBR_ID, DOS_THRU_DT, DX_CD Grain grouped by PAYER, SRC_FILE_NM, DOS_THRU_YYYYMM"/>
  </r>
  <r>
    <x v="2"/>
    <s v="FINGLOBL_PE202411_REMAO004.TXT"/>
    <x v="58"/>
    <x v="6"/>
    <n v="5"/>
    <n v="124290"/>
    <n v="0"/>
    <s v="DQS_MAO04_FILE_000_B"/>
    <s v="RECORD COUNT by MBR_ID, DOS_THRU_DT, DX_CD Grain grouped by PAYER, SRC_FILE_NM, DOS_THRU_YYYYMM"/>
  </r>
  <r>
    <x v="2"/>
    <s v="FINGLOBL_PE202411_REMAO004.TXT"/>
    <x v="59"/>
    <x v="6"/>
    <n v="3"/>
    <n v="124290"/>
    <n v="0"/>
    <s v="DQS_MAO04_FILE_000_B"/>
    <s v="RECORD COUNT by MBR_ID, DOS_THRU_DT, DX_CD Grain grouped by PAYER, SRC_FILE_NM, DOS_THRU_YYYYMM"/>
  </r>
  <r>
    <x v="2"/>
    <s v="FINGLOBL_PE202411_REMAO004.TXT"/>
    <x v="60"/>
    <x v="6"/>
    <n v="2"/>
    <n v="124290"/>
    <n v="0"/>
    <s v="DQS_MAO04_FILE_000_B"/>
    <s v="RECORD COUNT by MBR_ID, DOS_THRU_DT, DX_CD Grain grouped by PAYER, SRC_FILE_NM, DOS_THRU_YYYYMM"/>
  </r>
  <r>
    <x v="2"/>
    <s v="FINGLOBL_PE202411_REMAO004.TXT"/>
    <x v="61"/>
    <x v="6"/>
    <n v="3"/>
    <n v="124290"/>
    <n v="0"/>
    <s v="DQS_MAO04_FILE_000_B"/>
    <s v="RECORD COUNT by MBR_ID, DOS_THRU_DT, DX_CD Grain grouped by PAYER, SRC_FILE_NM, DOS_THRU_YYYYMM"/>
  </r>
  <r>
    <x v="2"/>
    <s v="FINGLOBL_PE202411_REMAO004.TXT"/>
    <x v="62"/>
    <x v="6"/>
    <n v="4"/>
    <n v="124290"/>
    <n v="0"/>
    <s v="DQS_MAO04_FILE_000_B"/>
    <s v="RECORD COUNT by MBR_ID, DOS_THRU_DT, DX_CD Grain grouped by PAYER, SRC_FILE_NM, DOS_THRU_YYYYMM"/>
  </r>
  <r>
    <x v="2"/>
    <s v="FINGLOBL_PE202411_REMAO004.TXT"/>
    <x v="64"/>
    <x v="6"/>
    <n v="3"/>
    <n v="124290"/>
    <n v="0"/>
    <s v="DQS_MAO04_FILE_000_B"/>
    <s v="RECORD COUNT by MBR_ID, DOS_THRU_DT, DX_CD Grain grouped by PAYER, SRC_FILE_NM, DOS_THRU_YYYYMM"/>
  </r>
  <r>
    <x v="2"/>
    <s v="FINGLOBL_PE202411_REMAO004.TXT"/>
    <x v="65"/>
    <x v="7"/>
    <n v="25"/>
    <n v="124290"/>
    <n v="0.02"/>
    <s v="DQS_MAO04_FILE_000_B"/>
    <s v="RECORD COUNT by MBR_ID, DOS_THRU_DT, DX_CD Grain grouped by PAYER, SRC_FILE_NM, DOS_THRU_YYYYMM"/>
  </r>
  <r>
    <x v="2"/>
    <s v="FINGLOBL_PE202411_REMAO004.TXT"/>
    <x v="66"/>
    <x v="7"/>
    <n v="2"/>
    <n v="124290"/>
    <n v="0"/>
    <s v="DQS_MAO04_FILE_000_B"/>
    <s v="RECORD COUNT by MBR_ID, DOS_THRU_DT, DX_CD Grain grouped by PAYER, SRC_FILE_NM, DOS_THRU_YYYYMM"/>
  </r>
  <r>
    <x v="2"/>
    <s v="FINGLOBL_PE202411_REMAO004.TXT"/>
    <x v="68"/>
    <x v="7"/>
    <n v="2"/>
    <n v="124290"/>
    <n v="0"/>
    <s v="DQS_MAO04_FILE_000_B"/>
    <s v="RECORD COUNT by MBR_ID, DOS_THRU_DT, DX_CD Grain grouped by PAYER, SRC_FILE_NM, DOS_THRU_YYYYMM"/>
  </r>
  <r>
    <x v="2"/>
    <s v="FINGLOBL_PE202411_REMAO004.TXT"/>
    <x v="69"/>
    <x v="7"/>
    <n v="42"/>
    <n v="124290"/>
    <n v="0.03"/>
    <s v="DQS_MAO04_FILE_000_B"/>
    <s v="RECORD COUNT by MBR_ID, DOS_THRU_DT, DX_CD Grain grouped by PAYER, SRC_FILE_NM, DOS_THRU_YYYYMM"/>
  </r>
  <r>
    <x v="2"/>
    <s v="FINGLOBL_PE202411_REMAO004.TXT"/>
    <x v="70"/>
    <x v="7"/>
    <n v="50"/>
    <n v="124290"/>
    <n v="0.04"/>
    <s v="DQS_MAO04_FILE_000_B"/>
    <s v="RECORD COUNT by MBR_ID, DOS_THRU_DT, DX_CD Grain grouped by PAYER, SRC_FILE_NM, DOS_THRU_YYYYMM"/>
  </r>
  <r>
    <x v="2"/>
    <s v="FINGLOBL_PE202411_REMAO004.TXT"/>
    <x v="71"/>
    <x v="7"/>
    <n v="11"/>
    <n v="124290"/>
    <n v="0.01"/>
    <s v="DQS_MAO04_FILE_000_B"/>
    <s v="RECORD COUNT by MBR_ID, DOS_THRU_DT, DX_CD Grain grouped by PAYER, SRC_FILE_NM, DOS_THRU_YYYYMM"/>
  </r>
  <r>
    <x v="2"/>
    <s v="FINGLOBL_PE202411_REMAO004.TXT"/>
    <x v="72"/>
    <x v="7"/>
    <n v="5"/>
    <n v="124290"/>
    <n v="0"/>
    <s v="DQS_MAO04_FILE_000_B"/>
    <s v="RECORD COUNT by MBR_ID, DOS_THRU_DT, DX_CD Grain grouped by PAYER, SRC_FILE_NM, DOS_THRU_YYYYMM"/>
  </r>
  <r>
    <x v="2"/>
    <s v="FINGLOBL_PE202411_REMAO004.TXT"/>
    <x v="73"/>
    <x v="7"/>
    <n v="25"/>
    <n v="124290"/>
    <n v="0.02"/>
    <s v="DQS_MAO04_FILE_000_B"/>
    <s v="RECORD COUNT by MBR_ID, DOS_THRU_DT, DX_CD Grain grouped by PAYER, SRC_FILE_NM, DOS_THRU_YYYYMM"/>
  </r>
  <r>
    <x v="2"/>
    <s v="FINGLOBL_PE202411_REMAO004.TXT"/>
    <x v="74"/>
    <x v="7"/>
    <n v="34"/>
    <n v="124290"/>
    <n v="0.03"/>
    <s v="DQS_MAO04_FILE_000_B"/>
    <s v="RECORD COUNT by MBR_ID, DOS_THRU_DT, DX_CD Grain grouped by PAYER, SRC_FILE_NM, DOS_THRU_YYYYMM"/>
  </r>
  <r>
    <x v="2"/>
    <s v="FINGLOBL_PE202411_REMAO004.TXT"/>
    <x v="75"/>
    <x v="7"/>
    <n v="89"/>
    <n v="124290"/>
    <n v="7.0000000000000007E-2"/>
    <s v="DQS_MAO04_FILE_000_B"/>
    <s v="RECORD COUNT by MBR_ID, DOS_THRU_DT, DX_CD Grain grouped by PAYER, SRC_FILE_NM, DOS_THRU_YYYYMM"/>
  </r>
  <r>
    <x v="2"/>
    <s v="FINGLOBL_PE202411_REMAO004.TXT"/>
    <x v="76"/>
    <x v="7"/>
    <n v="26"/>
    <n v="124290"/>
    <n v="0.02"/>
    <s v="DQS_MAO04_FILE_000_B"/>
    <s v="RECORD COUNT by MBR_ID, DOS_THRU_DT, DX_CD Grain grouped by PAYER, SRC_FILE_NM, DOS_THRU_YYYYMM"/>
  </r>
  <r>
    <x v="2"/>
    <s v="FINGLOBL_PE202411_REMAO004.TXT"/>
    <x v="77"/>
    <x v="8"/>
    <n v="256"/>
    <n v="124290"/>
    <n v="0.21"/>
    <s v="DQS_MAO04_FILE_000_B"/>
    <s v="RECORD COUNT by MBR_ID, DOS_THRU_DT, DX_CD Grain grouped by PAYER, SRC_FILE_NM, DOS_THRU_YYYYMM"/>
  </r>
  <r>
    <x v="2"/>
    <s v="FINGLOBL_PE202411_REMAO004.TXT"/>
    <x v="78"/>
    <x v="8"/>
    <n v="215"/>
    <n v="124290"/>
    <n v="0.17"/>
    <s v="DQS_MAO04_FILE_000_B"/>
    <s v="RECORD COUNT by MBR_ID, DOS_THRU_DT, DX_CD Grain grouped by PAYER, SRC_FILE_NM, DOS_THRU_YYYYMM"/>
  </r>
  <r>
    <x v="2"/>
    <s v="FINGLOBL_PE202411_REMAO004.TXT"/>
    <x v="79"/>
    <x v="8"/>
    <n v="408"/>
    <n v="124290"/>
    <n v="0.33"/>
    <s v="DQS_MAO04_FILE_000_B"/>
    <s v="RECORD COUNT by MBR_ID, DOS_THRU_DT, DX_CD Grain grouped by PAYER, SRC_FILE_NM, DOS_THRU_YYYYMM"/>
  </r>
  <r>
    <x v="2"/>
    <s v="FINGLOBL_PE202411_REMAO004.TXT"/>
    <x v="80"/>
    <x v="8"/>
    <n v="800"/>
    <n v="124290"/>
    <n v="0.64"/>
    <s v="DQS_MAO04_FILE_000_B"/>
    <s v="RECORD COUNT by MBR_ID, DOS_THRU_DT, DX_CD Grain grouped by PAYER, SRC_FILE_NM, DOS_THRU_YYYYMM"/>
  </r>
  <r>
    <x v="2"/>
    <s v="FINGLOBL_PE202411_REMAO004.TXT"/>
    <x v="81"/>
    <x v="8"/>
    <n v="817"/>
    <n v="124290"/>
    <n v="0.66"/>
    <s v="DQS_MAO04_FILE_000_B"/>
    <s v="RECORD COUNT by MBR_ID, DOS_THRU_DT, DX_CD Grain grouped by PAYER, SRC_FILE_NM, DOS_THRU_YYYYMM"/>
  </r>
  <r>
    <x v="2"/>
    <s v="FINGLOBL_PE202411_REMAO004.TXT"/>
    <x v="82"/>
    <x v="8"/>
    <n v="657"/>
    <n v="124290"/>
    <n v="0.53"/>
    <s v="DQS_MAO04_FILE_000_B"/>
    <s v="RECORD COUNT by MBR_ID, DOS_THRU_DT, DX_CD Grain grouped by PAYER, SRC_FILE_NM, DOS_THRU_YYYYMM"/>
  </r>
  <r>
    <x v="2"/>
    <s v="FINGLOBL_PE202411_REMAO004.TXT"/>
    <x v="83"/>
    <x v="8"/>
    <n v="663"/>
    <n v="124290"/>
    <n v="0.53"/>
    <s v="DQS_MAO04_FILE_000_B"/>
    <s v="RECORD COUNT by MBR_ID, DOS_THRU_DT, DX_CD Grain grouped by PAYER, SRC_FILE_NM, DOS_THRU_YYYYMM"/>
  </r>
  <r>
    <x v="2"/>
    <s v="FINGLOBL_PE202411_REMAO004.TXT"/>
    <x v="84"/>
    <x v="8"/>
    <n v="811"/>
    <n v="124290"/>
    <n v="0.65"/>
    <s v="DQS_MAO04_FILE_000_B"/>
    <s v="RECORD COUNT by MBR_ID, DOS_THRU_DT, DX_CD Grain grouped by PAYER, SRC_FILE_NM, DOS_THRU_YYYYMM"/>
  </r>
  <r>
    <x v="2"/>
    <s v="FINGLOBL_PE202411_REMAO004.TXT"/>
    <x v="85"/>
    <x v="8"/>
    <n v="1355"/>
    <n v="124290"/>
    <n v="1.0900000000000001"/>
    <s v="DQS_MAO04_FILE_000_B"/>
    <s v="RECORD COUNT by MBR_ID, DOS_THRU_DT, DX_CD Grain grouped by PAYER, SRC_FILE_NM, DOS_THRU_YYYYMM"/>
  </r>
  <r>
    <x v="2"/>
    <s v="FINGLOBL_PE202411_REMAO004.TXT"/>
    <x v="86"/>
    <x v="8"/>
    <n v="1778"/>
    <n v="124290"/>
    <n v="1.43"/>
    <s v="DQS_MAO04_FILE_000_B"/>
    <s v="RECORD COUNT by MBR_ID, DOS_THRU_DT, DX_CD Grain grouped by PAYER, SRC_FILE_NM, DOS_THRU_YYYYMM"/>
  </r>
  <r>
    <x v="2"/>
    <s v="FINGLOBL_PE202411_REMAO004.TXT"/>
    <x v="87"/>
    <x v="8"/>
    <n v="2155"/>
    <n v="124290"/>
    <n v="1.73"/>
    <s v="DQS_MAO04_FILE_000_B"/>
    <s v="RECORD COUNT by MBR_ID, DOS_THRU_DT, DX_CD Grain grouped by PAYER, SRC_FILE_NM, DOS_THRU_YYYYMM"/>
  </r>
  <r>
    <x v="2"/>
    <s v="FINGLOBL_PE202411_REMAO004.TXT"/>
    <x v="88"/>
    <x v="8"/>
    <n v="1360"/>
    <n v="124290"/>
    <n v="1.0900000000000001"/>
    <s v="DQS_MAO04_FILE_000_B"/>
    <s v="RECORD COUNT by MBR_ID, DOS_THRU_DT, DX_CD Grain grouped by PAYER, SRC_FILE_NM, DOS_THRU_YYYYMM"/>
  </r>
  <r>
    <x v="2"/>
    <s v="FINGLOBL_PE202411_REMAO004.TXT"/>
    <x v="89"/>
    <x v="9"/>
    <n v="1110"/>
    <n v="124290"/>
    <n v="0.89"/>
    <s v="DQS_MAO04_FILE_000_B"/>
    <s v="RECORD COUNT by MBR_ID, DOS_THRU_DT, DX_CD Grain grouped by PAYER, SRC_FILE_NM, DOS_THRU_YYYYMM"/>
  </r>
  <r>
    <x v="2"/>
    <s v="FINGLOBL_PE202411_REMAO004.TXT"/>
    <x v="97"/>
    <x v="9"/>
    <n v="1371"/>
    <n v="124290"/>
    <n v="1.1000000000000001"/>
    <s v="DQS_MAO04_FILE_000_B"/>
    <s v="RECORD COUNT by MBR_ID, DOS_THRU_DT, DX_CD Grain grouped by PAYER, SRC_FILE_NM, DOS_THRU_YYYYMM"/>
  </r>
  <r>
    <x v="2"/>
    <s v="FINGLOBL_PE202411_REMAO004.TXT"/>
    <x v="98"/>
    <x v="9"/>
    <n v="1268"/>
    <n v="124290"/>
    <n v="1.02"/>
    <s v="DQS_MAO04_FILE_000_B"/>
    <s v="RECORD COUNT by MBR_ID, DOS_THRU_DT, DX_CD Grain grouped by PAYER, SRC_FILE_NM, DOS_THRU_YYYYMM"/>
  </r>
  <r>
    <x v="2"/>
    <s v="FINGLOBL_PE202411_REMAO004.TXT"/>
    <x v="99"/>
    <x v="9"/>
    <n v="1406"/>
    <n v="124290"/>
    <n v="1.1299999999999999"/>
    <s v="DQS_MAO04_FILE_000_B"/>
    <s v="RECORD COUNT by MBR_ID, DOS_THRU_DT, DX_CD Grain grouped by PAYER, SRC_FILE_NM, DOS_THRU_YYYYMM"/>
  </r>
  <r>
    <x v="2"/>
    <s v="FINGLOBL_PE202411_REMAO004.TXT"/>
    <x v="100"/>
    <x v="9"/>
    <n v="1873"/>
    <n v="124290"/>
    <n v="1.51"/>
    <s v="DQS_MAO04_FILE_000_B"/>
    <s v="RECORD COUNT by MBR_ID, DOS_THRU_DT, DX_CD Grain grouped by PAYER, SRC_FILE_NM, DOS_THRU_YYYYMM"/>
  </r>
  <r>
    <x v="2"/>
    <s v="FINGLOBL_PE202411_REMAO004.TXT"/>
    <x v="102"/>
    <x v="9"/>
    <n v="3564"/>
    <n v="124290"/>
    <n v="2.87"/>
    <s v="DQS_MAO04_FILE_000_B"/>
    <s v="RECORD COUNT by MBR_ID, DOS_THRU_DT, DX_CD Grain grouped by PAYER, SRC_FILE_NM, DOS_THRU_YYYYMM"/>
  </r>
  <r>
    <x v="2"/>
    <s v="FINGLOBL_PE202411_REMAO004.TXT"/>
    <x v="103"/>
    <x v="9"/>
    <n v="8882"/>
    <n v="124290"/>
    <n v="7.15"/>
    <s v="DQS_MAO04_FILE_000_B"/>
    <s v="RECORD COUNT by MBR_ID, DOS_THRU_DT, DX_CD Grain grouped by PAYER, SRC_FILE_NM, DOS_THRU_YYYYMM"/>
  </r>
  <r>
    <x v="2"/>
    <s v="FINGLOBL_PE202411_REMAO004.TXT"/>
    <x v="105"/>
    <x v="9"/>
    <n v="60619"/>
    <n v="124290"/>
    <n v="48.77"/>
    <s v="DQS_MAO04_FILE_000_B"/>
    <s v="RECORD COUNT by MBR_ID, DOS_THRU_DT, DX_CD Grain grouped by PAYER, SRC_FILE_NM, DOS_THRU_YYYYMM"/>
  </r>
  <r>
    <x v="2"/>
    <s v="FINGLOBL_PE202411_REMAO004.TXT"/>
    <x v="106"/>
    <x v="9"/>
    <n v="32547"/>
    <n v="124290"/>
    <n v="26.19"/>
    <s v="DQS_MAO04_FILE_000_B"/>
    <s v="RECORD COUNT by MBR_ID, DOS_THRU_DT, DX_CD Grain grouped by PAYER, SRC_FILE_NM, DOS_THRU_YYYYMM"/>
  </r>
  <r>
    <x v="2"/>
    <s v="FINGLOBL_PE202412_REMAO004.TXT"/>
    <x v="29"/>
    <x v="4"/>
    <n v="11"/>
    <n v="187669"/>
    <n v="0.01"/>
    <s v="DQS_MAO04_FILE_000_B"/>
    <s v="RECORD COUNT by MBR_ID, DOS_THRU_DT, DX_CD Grain grouped by PAYER, SRC_FILE_NM, DOS_THRU_YYYYMM"/>
  </r>
  <r>
    <x v="2"/>
    <s v="FINGLOBL_PE202412_REMAO004.TXT"/>
    <x v="30"/>
    <x v="4"/>
    <n v="12"/>
    <n v="187669"/>
    <n v="0.01"/>
    <s v="DQS_MAO04_FILE_000_B"/>
    <s v="RECORD COUNT by MBR_ID, DOS_THRU_DT, DX_CD Grain grouped by PAYER, SRC_FILE_NM, DOS_THRU_YYYYMM"/>
  </r>
  <r>
    <x v="2"/>
    <s v="FINGLOBL_PE202412_REMAO004.TXT"/>
    <x v="34"/>
    <x v="4"/>
    <n v="4"/>
    <n v="187669"/>
    <n v="0"/>
    <s v="DQS_MAO04_FILE_000_B"/>
    <s v="RECORD COUNT by MBR_ID, DOS_THRU_DT, DX_CD Grain grouped by PAYER, SRC_FILE_NM, DOS_THRU_YYYYMM"/>
  </r>
  <r>
    <x v="2"/>
    <s v="FINGLOBL_PE202412_REMAO004.TXT"/>
    <x v="44"/>
    <x v="5"/>
    <n v="3"/>
    <n v="187669"/>
    <n v="0"/>
    <s v="DQS_MAO04_FILE_000_B"/>
    <s v="RECORD COUNT by MBR_ID, DOS_THRU_DT, DX_CD Grain grouped by PAYER, SRC_FILE_NM, DOS_THRU_YYYYMM"/>
  </r>
  <r>
    <x v="2"/>
    <s v="FINGLOBL_PE202412_REMAO004.TXT"/>
    <x v="45"/>
    <x v="5"/>
    <n v="1"/>
    <n v="187669"/>
    <n v="0"/>
    <s v="DQS_MAO04_FILE_000_B"/>
    <s v="RECORD COUNT by MBR_ID, DOS_THRU_DT, DX_CD Grain grouped by PAYER, SRC_FILE_NM, DOS_THRU_YYYYMM"/>
  </r>
  <r>
    <x v="2"/>
    <s v="FINGLOBL_PE202412_REMAO004.TXT"/>
    <x v="50"/>
    <x v="5"/>
    <n v="1"/>
    <n v="187669"/>
    <n v="0"/>
    <s v="DQS_MAO04_FILE_000_B"/>
    <s v="RECORD COUNT by MBR_ID, DOS_THRU_DT, DX_CD Grain grouped by PAYER, SRC_FILE_NM, DOS_THRU_YYYYMM"/>
  </r>
  <r>
    <x v="2"/>
    <s v="FINGLOBL_PE202412_REMAO004.TXT"/>
    <x v="53"/>
    <x v="6"/>
    <n v="3"/>
    <n v="187669"/>
    <n v="0"/>
    <s v="DQS_MAO04_FILE_000_B"/>
    <s v="RECORD COUNT by MBR_ID, DOS_THRU_DT, DX_CD Grain grouped by PAYER, SRC_FILE_NM, DOS_THRU_YYYYMM"/>
  </r>
  <r>
    <x v="2"/>
    <s v="FINGLOBL_PE202412_REMAO004.TXT"/>
    <x v="54"/>
    <x v="6"/>
    <n v="7"/>
    <n v="187669"/>
    <n v="0"/>
    <s v="DQS_MAO04_FILE_000_B"/>
    <s v="RECORD COUNT by MBR_ID, DOS_THRU_DT, DX_CD Grain grouped by PAYER, SRC_FILE_NM, DOS_THRU_YYYYMM"/>
  </r>
  <r>
    <x v="2"/>
    <s v="FINGLOBL_PE202412_REMAO004.TXT"/>
    <x v="55"/>
    <x v="6"/>
    <n v="3"/>
    <n v="187669"/>
    <n v="0"/>
    <s v="DQS_MAO04_FILE_000_B"/>
    <s v="RECORD COUNT by MBR_ID, DOS_THRU_DT, DX_CD Grain grouped by PAYER, SRC_FILE_NM, DOS_THRU_YYYYMM"/>
  </r>
  <r>
    <x v="2"/>
    <s v="FINGLOBL_PE202412_REMAO004.TXT"/>
    <x v="56"/>
    <x v="6"/>
    <n v="3"/>
    <n v="187669"/>
    <n v="0"/>
    <s v="DQS_MAO04_FILE_000_B"/>
    <s v="RECORD COUNT by MBR_ID, DOS_THRU_DT, DX_CD Grain grouped by PAYER, SRC_FILE_NM, DOS_THRU_YYYYMM"/>
  </r>
  <r>
    <x v="2"/>
    <s v="FINGLOBL_PE202412_REMAO004.TXT"/>
    <x v="57"/>
    <x v="6"/>
    <n v="3"/>
    <n v="187669"/>
    <n v="0"/>
    <s v="DQS_MAO04_FILE_000_B"/>
    <s v="RECORD COUNT by MBR_ID, DOS_THRU_DT, DX_CD Grain grouped by PAYER, SRC_FILE_NM, DOS_THRU_YYYYMM"/>
  </r>
  <r>
    <x v="2"/>
    <s v="FINGLOBL_PE202412_REMAO004.TXT"/>
    <x v="58"/>
    <x v="6"/>
    <n v="3"/>
    <n v="187669"/>
    <n v="0"/>
    <s v="DQS_MAO04_FILE_000_B"/>
    <s v="RECORD COUNT by MBR_ID, DOS_THRU_DT, DX_CD Grain grouped by PAYER, SRC_FILE_NM, DOS_THRU_YYYYMM"/>
  </r>
  <r>
    <x v="2"/>
    <s v="FINGLOBL_PE202412_REMAO004.TXT"/>
    <x v="59"/>
    <x v="6"/>
    <n v="3"/>
    <n v="187669"/>
    <n v="0"/>
    <s v="DQS_MAO04_FILE_000_B"/>
    <s v="RECORD COUNT by MBR_ID, DOS_THRU_DT, DX_CD Grain grouped by PAYER, SRC_FILE_NM, DOS_THRU_YYYYMM"/>
  </r>
  <r>
    <x v="2"/>
    <s v="FINGLOBL_PE202412_REMAO004.TXT"/>
    <x v="60"/>
    <x v="6"/>
    <n v="3"/>
    <n v="187669"/>
    <n v="0"/>
    <s v="DQS_MAO04_FILE_000_B"/>
    <s v="RECORD COUNT by MBR_ID, DOS_THRU_DT, DX_CD Grain grouped by PAYER, SRC_FILE_NM, DOS_THRU_YYYYMM"/>
  </r>
  <r>
    <x v="2"/>
    <s v="FINGLOBL_PE202412_REMAO004.TXT"/>
    <x v="61"/>
    <x v="6"/>
    <n v="3"/>
    <n v="187669"/>
    <n v="0"/>
    <s v="DQS_MAO04_FILE_000_B"/>
    <s v="RECORD COUNT by MBR_ID, DOS_THRU_DT, DX_CD Grain grouped by PAYER, SRC_FILE_NM, DOS_THRU_YYYYMM"/>
  </r>
  <r>
    <x v="2"/>
    <s v="FINGLOBL_PE202412_REMAO004.TXT"/>
    <x v="62"/>
    <x v="6"/>
    <n v="6"/>
    <n v="187669"/>
    <n v="0"/>
    <s v="DQS_MAO04_FILE_000_B"/>
    <s v="RECORD COUNT by MBR_ID, DOS_THRU_DT, DX_CD Grain grouped by PAYER, SRC_FILE_NM, DOS_THRU_YYYYMM"/>
  </r>
  <r>
    <x v="2"/>
    <s v="FINGLOBL_PE202412_REMAO004.TXT"/>
    <x v="63"/>
    <x v="6"/>
    <n v="9"/>
    <n v="187669"/>
    <n v="0"/>
    <s v="DQS_MAO04_FILE_000_B"/>
    <s v="RECORD COUNT by MBR_ID, DOS_THRU_DT, DX_CD Grain grouped by PAYER, SRC_FILE_NM, DOS_THRU_YYYYMM"/>
  </r>
  <r>
    <x v="2"/>
    <s v="FINGLOBL_PE202412_REMAO004.TXT"/>
    <x v="64"/>
    <x v="6"/>
    <n v="3"/>
    <n v="187669"/>
    <n v="0"/>
    <s v="DQS_MAO04_FILE_000_B"/>
    <s v="RECORD COUNT by MBR_ID, DOS_THRU_DT, DX_CD Grain grouped by PAYER, SRC_FILE_NM, DOS_THRU_YYYYMM"/>
  </r>
  <r>
    <x v="2"/>
    <s v="FINGLOBL_PE202412_REMAO004.TXT"/>
    <x v="65"/>
    <x v="7"/>
    <n v="42"/>
    <n v="187669"/>
    <n v="0.02"/>
    <s v="DQS_MAO04_FILE_000_B"/>
    <s v="RECORD COUNT by MBR_ID, DOS_THRU_DT, DX_CD Grain grouped by PAYER, SRC_FILE_NM, DOS_THRU_YYYYMM"/>
  </r>
  <r>
    <x v="2"/>
    <s v="FINGLOBL_PE202412_REMAO004.TXT"/>
    <x v="67"/>
    <x v="7"/>
    <n v="8"/>
    <n v="187669"/>
    <n v="0"/>
    <s v="DQS_MAO04_FILE_000_B"/>
    <s v="RECORD COUNT by MBR_ID, DOS_THRU_DT, DX_CD Grain grouped by PAYER, SRC_FILE_NM, DOS_THRU_YYYYMM"/>
  </r>
  <r>
    <x v="2"/>
    <s v="FINGLOBL_PE202412_REMAO004.TXT"/>
    <x v="68"/>
    <x v="7"/>
    <n v="38"/>
    <n v="187669"/>
    <n v="0.02"/>
    <s v="DQS_MAO04_FILE_000_B"/>
    <s v="RECORD COUNT by MBR_ID, DOS_THRU_DT, DX_CD Grain grouped by PAYER, SRC_FILE_NM, DOS_THRU_YYYYMM"/>
  </r>
  <r>
    <x v="2"/>
    <s v="FINGLOBL_PE202412_REMAO004.TXT"/>
    <x v="69"/>
    <x v="7"/>
    <n v="66"/>
    <n v="187669"/>
    <n v="0.04"/>
    <s v="DQS_MAO04_FILE_000_B"/>
    <s v="RECORD COUNT by MBR_ID, DOS_THRU_DT, DX_CD Grain grouped by PAYER, SRC_FILE_NM, DOS_THRU_YYYYMM"/>
  </r>
  <r>
    <x v="2"/>
    <s v="FINGLOBL_PE202412_REMAO004.TXT"/>
    <x v="70"/>
    <x v="7"/>
    <n v="13"/>
    <n v="187669"/>
    <n v="0.01"/>
    <s v="DQS_MAO04_FILE_000_B"/>
    <s v="RECORD COUNT by MBR_ID, DOS_THRU_DT, DX_CD Grain grouped by PAYER, SRC_FILE_NM, DOS_THRU_YYYYMM"/>
  </r>
  <r>
    <x v="2"/>
    <s v="FINGLOBL_PE202412_REMAO004.TXT"/>
    <x v="71"/>
    <x v="7"/>
    <n v="10"/>
    <n v="187669"/>
    <n v="0.01"/>
    <s v="DQS_MAO04_FILE_000_B"/>
    <s v="RECORD COUNT by MBR_ID, DOS_THRU_DT, DX_CD Grain grouped by PAYER, SRC_FILE_NM, DOS_THRU_YYYYMM"/>
  </r>
  <r>
    <x v="2"/>
    <s v="FINGLOBL_PE202412_REMAO004.TXT"/>
    <x v="72"/>
    <x v="7"/>
    <n v="10"/>
    <n v="187669"/>
    <n v="0.01"/>
    <s v="DQS_MAO04_FILE_000_B"/>
    <s v="RECORD COUNT by MBR_ID, DOS_THRU_DT, DX_CD Grain grouped by PAYER, SRC_FILE_NM, DOS_THRU_YYYYMM"/>
  </r>
  <r>
    <x v="2"/>
    <s v="FINGLOBL_PE202412_REMAO004.TXT"/>
    <x v="73"/>
    <x v="7"/>
    <n v="4"/>
    <n v="187669"/>
    <n v="0"/>
    <s v="DQS_MAO04_FILE_000_B"/>
    <s v="RECORD COUNT by MBR_ID, DOS_THRU_DT, DX_CD Grain grouped by PAYER, SRC_FILE_NM, DOS_THRU_YYYYMM"/>
  </r>
  <r>
    <x v="2"/>
    <s v="FINGLOBL_PE202412_REMAO004.TXT"/>
    <x v="74"/>
    <x v="7"/>
    <n v="15"/>
    <n v="187669"/>
    <n v="0.01"/>
    <s v="DQS_MAO04_FILE_000_B"/>
    <s v="RECORD COUNT by MBR_ID, DOS_THRU_DT, DX_CD Grain grouped by PAYER, SRC_FILE_NM, DOS_THRU_YYYYMM"/>
  </r>
  <r>
    <x v="2"/>
    <s v="FINGLOBL_PE202412_REMAO004.TXT"/>
    <x v="75"/>
    <x v="7"/>
    <n v="124"/>
    <n v="187669"/>
    <n v="7.0000000000000007E-2"/>
    <s v="DQS_MAO04_FILE_000_B"/>
    <s v="RECORD COUNT by MBR_ID, DOS_THRU_DT, DX_CD Grain grouped by PAYER, SRC_FILE_NM, DOS_THRU_YYYYMM"/>
  </r>
  <r>
    <x v="2"/>
    <s v="FINGLOBL_PE202412_REMAO004.TXT"/>
    <x v="76"/>
    <x v="7"/>
    <n v="40"/>
    <n v="187669"/>
    <n v="0.02"/>
    <s v="DQS_MAO04_FILE_000_B"/>
    <s v="RECORD COUNT by MBR_ID, DOS_THRU_DT, DX_CD Grain grouped by PAYER, SRC_FILE_NM, DOS_THRU_YYYYMM"/>
  </r>
  <r>
    <x v="2"/>
    <s v="FINGLOBL_PE202412_REMAO004.TXT"/>
    <x v="77"/>
    <x v="8"/>
    <n v="154"/>
    <n v="187669"/>
    <n v="0.08"/>
    <s v="DQS_MAO04_FILE_000_B"/>
    <s v="RECORD COUNT by MBR_ID, DOS_THRU_DT, DX_CD Grain grouped by PAYER, SRC_FILE_NM, DOS_THRU_YYYYMM"/>
  </r>
  <r>
    <x v="2"/>
    <s v="FINGLOBL_PE202412_REMAO004.TXT"/>
    <x v="78"/>
    <x v="8"/>
    <n v="137"/>
    <n v="187669"/>
    <n v="7.0000000000000007E-2"/>
    <s v="DQS_MAO04_FILE_000_B"/>
    <s v="RECORD COUNT by MBR_ID, DOS_THRU_DT, DX_CD Grain grouped by PAYER, SRC_FILE_NM, DOS_THRU_YYYYMM"/>
  </r>
  <r>
    <x v="2"/>
    <s v="FINGLOBL_PE202412_REMAO004.TXT"/>
    <x v="79"/>
    <x v="8"/>
    <n v="190"/>
    <n v="187669"/>
    <n v="0.1"/>
    <s v="DQS_MAO04_FILE_000_B"/>
    <s v="RECORD COUNT by MBR_ID, DOS_THRU_DT, DX_CD Grain grouped by PAYER, SRC_FILE_NM, DOS_THRU_YYYYMM"/>
  </r>
  <r>
    <x v="2"/>
    <s v="FINGLOBL_PE202412_REMAO004.TXT"/>
    <x v="80"/>
    <x v="8"/>
    <n v="150"/>
    <n v="187669"/>
    <n v="0.08"/>
    <s v="DQS_MAO04_FILE_000_B"/>
    <s v="RECORD COUNT by MBR_ID, DOS_THRU_DT, DX_CD Grain grouped by PAYER, SRC_FILE_NM, DOS_THRU_YYYYMM"/>
  </r>
  <r>
    <x v="2"/>
    <s v="FINGLOBL_PE202412_REMAO004.TXT"/>
    <x v="81"/>
    <x v="8"/>
    <n v="322"/>
    <n v="187669"/>
    <n v="0.17"/>
    <s v="DQS_MAO04_FILE_000_B"/>
    <s v="RECORD COUNT by MBR_ID, DOS_THRU_DT, DX_CD Grain grouped by PAYER, SRC_FILE_NM, DOS_THRU_YYYYMM"/>
  </r>
  <r>
    <x v="2"/>
    <s v="FINGLOBL_PE202412_REMAO004.TXT"/>
    <x v="82"/>
    <x v="8"/>
    <n v="374"/>
    <n v="187669"/>
    <n v="0.2"/>
    <s v="DQS_MAO04_FILE_000_B"/>
    <s v="RECORD COUNT by MBR_ID, DOS_THRU_DT, DX_CD Grain grouped by PAYER, SRC_FILE_NM, DOS_THRU_YYYYMM"/>
  </r>
  <r>
    <x v="2"/>
    <s v="FINGLOBL_PE202412_REMAO004.TXT"/>
    <x v="83"/>
    <x v="8"/>
    <n v="525"/>
    <n v="187669"/>
    <n v="0.28000000000000003"/>
    <s v="DQS_MAO04_FILE_000_B"/>
    <s v="RECORD COUNT by MBR_ID, DOS_THRU_DT, DX_CD Grain grouped by PAYER, SRC_FILE_NM, DOS_THRU_YYYYMM"/>
  </r>
  <r>
    <x v="2"/>
    <s v="FINGLOBL_PE202412_REMAO004.TXT"/>
    <x v="84"/>
    <x v="8"/>
    <n v="835"/>
    <n v="187669"/>
    <n v="0.44"/>
    <s v="DQS_MAO04_FILE_000_B"/>
    <s v="RECORD COUNT by MBR_ID, DOS_THRU_DT, DX_CD Grain grouped by PAYER, SRC_FILE_NM, DOS_THRU_YYYYMM"/>
  </r>
  <r>
    <x v="2"/>
    <s v="FINGLOBL_PE202412_REMAO004.TXT"/>
    <x v="85"/>
    <x v="8"/>
    <n v="1200"/>
    <n v="187669"/>
    <n v="0.64"/>
    <s v="DQS_MAO04_FILE_000_B"/>
    <s v="RECORD COUNT by MBR_ID, DOS_THRU_DT, DX_CD Grain grouped by PAYER, SRC_FILE_NM, DOS_THRU_YYYYMM"/>
  </r>
  <r>
    <x v="2"/>
    <s v="FINGLOBL_PE202412_REMAO004.TXT"/>
    <x v="86"/>
    <x v="8"/>
    <n v="1627"/>
    <n v="187669"/>
    <n v="0.87"/>
    <s v="DQS_MAO04_FILE_000_B"/>
    <s v="RECORD COUNT by MBR_ID, DOS_THRU_DT, DX_CD Grain grouped by PAYER, SRC_FILE_NM, DOS_THRU_YYYYMM"/>
  </r>
  <r>
    <x v="2"/>
    <s v="FINGLOBL_PE202412_REMAO004.TXT"/>
    <x v="87"/>
    <x v="8"/>
    <n v="969"/>
    <n v="187669"/>
    <n v="0.52"/>
    <s v="DQS_MAO04_FILE_000_B"/>
    <s v="RECORD COUNT by MBR_ID, DOS_THRU_DT, DX_CD Grain grouped by PAYER, SRC_FILE_NM, DOS_THRU_YYYYMM"/>
  </r>
  <r>
    <x v="2"/>
    <s v="FINGLOBL_PE202412_REMAO004.TXT"/>
    <x v="88"/>
    <x v="8"/>
    <n v="1424"/>
    <n v="187669"/>
    <n v="0.76"/>
    <s v="DQS_MAO04_FILE_000_B"/>
    <s v="RECORD COUNT by MBR_ID, DOS_THRU_DT, DX_CD Grain grouped by PAYER, SRC_FILE_NM, DOS_THRU_YYYYMM"/>
  </r>
  <r>
    <x v="2"/>
    <s v="FINGLOBL_PE202412_REMAO004.TXT"/>
    <x v="89"/>
    <x v="9"/>
    <n v="7718"/>
    <n v="187669"/>
    <n v="4.1100000000000003"/>
    <s v="DQS_MAO04_FILE_000_B"/>
    <s v="RECORD COUNT by MBR_ID, DOS_THRU_DT, DX_CD Grain grouped by PAYER, SRC_FILE_NM, DOS_THRU_YYYYMM"/>
  </r>
  <r>
    <x v="2"/>
    <s v="FINGLOBL_PE202412_REMAO004.TXT"/>
    <x v="97"/>
    <x v="9"/>
    <n v="7832"/>
    <n v="187669"/>
    <n v="4.17"/>
    <s v="DQS_MAO04_FILE_000_B"/>
    <s v="RECORD COUNT by MBR_ID, DOS_THRU_DT, DX_CD Grain grouped by PAYER, SRC_FILE_NM, DOS_THRU_YYYYMM"/>
  </r>
  <r>
    <x v="2"/>
    <s v="FINGLOBL_PE202412_REMAO004.TXT"/>
    <x v="98"/>
    <x v="9"/>
    <n v="5860"/>
    <n v="187669"/>
    <n v="3.12"/>
    <s v="DQS_MAO04_FILE_000_B"/>
    <s v="RECORD COUNT by MBR_ID, DOS_THRU_DT, DX_CD Grain grouped by PAYER, SRC_FILE_NM, DOS_THRU_YYYYMM"/>
  </r>
  <r>
    <x v="2"/>
    <s v="FINGLOBL_PE202412_REMAO004.TXT"/>
    <x v="99"/>
    <x v="9"/>
    <n v="1653"/>
    <n v="187669"/>
    <n v="0.88"/>
    <s v="DQS_MAO04_FILE_000_B"/>
    <s v="RECORD COUNT by MBR_ID, DOS_THRU_DT, DX_CD Grain grouped by PAYER, SRC_FILE_NM, DOS_THRU_YYYYMM"/>
  </r>
  <r>
    <x v="2"/>
    <s v="FINGLOBL_PE202412_REMAO004.TXT"/>
    <x v="100"/>
    <x v="9"/>
    <n v="1836"/>
    <n v="187669"/>
    <n v="0.98"/>
    <s v="DQS_MAO04_FILE_000_B"/>
    <s v="RECORD COUNT by MBR_ID, DOS_THRU_DT, DX_CD Grain grouped by PAYER, SRC_FILE_NM, DOS_THRU_YYYYMM"/>
  </r>
  <r>
    <x v="2"/>
    <s v="FINGLOBL_PE202412_REMAO004.TXT"/>
    <x v="102"/>
    <x v="9"/>
    <n v="5253"/>
    <n v="187669"/>
    <n v="2.8"/>
    <s v="DQS_MAO04_FILE_000_B"/>
    <s v="RECORD COUNT by MBR_ID, DOS_THRU_DT, DX_CD Grain grouped by PAYER, SRC_FILE_NM, DOS_THRU_YYYYMM"/>
  </r>
  <r>
    <x v="2"/>
    <s v="FINGLOBL_PE202412_REMAO004.TXT"/>
    <x v="103"/>
    <x v="9"/>
    <n v="7164"/>
    <n v="187669"/>
    <n v="3.82"/>
    <s v="DQS_MAO04_FILE_000_B"/>
    <s v="RECORD COUNT by MBR_ID, DOS_THRU_DT, DX_CD Grain grouped by PAYER, SRC_FILE_NM, DOS_THRU_YYYYMM"/>
  </r>
  <r>
    <x v="2"/>
    <s v="FINGLOBL_PE202412_REMAO004.TXT"/>
    <x v="105"/>
    <x v="9"/>
    <n v="13480"/>
    <n v="187669"/>
    <n v="7.18"/>
    <s v="DQS_MAO04_FILE_000_B"/>
    <s v="RECORD COUNT by MBR_ID, DOS_THRU_DT, DX_CD Grain grouped by PAYER, SRC_FILE_NM, DOS_THRU_YYYYMM"/>
  </r>
  <r>
    <x v="2"/>
    <s v="FINGLOBL_PE202412_REMAO004.TXT"/>
    <x v="106"/>
    <x v="9"/>
    <n v="72099"/>
    <n v="187669"/>
    <n v="38.42"/>
    <s v="DQS_MAO04_FILE_000_B"/>
    <s v="RECORD COUNT by MBR_ID, DOS_THRU_DT, DX_CD Grain grouped by PAYER, SRC_FILE_NM, DOS_THRU_YYYYMM"/>
  </r>
  <r>
    <x v="2"/>
    <s v="FINGLOBL_PE202412_REMAO004.TXT"/>
    <x v="107"/>
    <x v="9"/>
    <n v="56416"/>
    <n v="187669"/>
    <n v="30.06"/>
    <s v="DQS_MAO04_FILE_000_B"/>
    <s v="RECORD COUNT by MBR_ID, DOS_THRU_DT, DX_CD Grain grouped by PAYER, SRC_FILE_NM, DOS_THRU_YYYYMM"/>
  </r>
  <r>
    <x v="2"/>
    <s v="FINGLOBL_PE202501_REMAO004.TXT"/>
    <x v="44"/>
    <x v="5"/>
    <n v="29"/>
    <n v="168150"/>
    <n v="0.02"/>
    <s v="DQS_MAO04_FILE_000_B"/>
    <s v="RECORD COUNT by MBR_ID, DOS_THRU_DT, DX_CD Grain grouped by PAYER, SRC_FILE_NM, DOS_THRU_YYYYMM"/>
  </r>
  <r>
    <x v="2"/>
    <s v="FINGLOBL_PE202501_REMAO004.TXT"/>
    <x v="45"/>
    <x v="5"/>
    <n v="415"/>
    <n v="168150"/>
    <n v="0.25"/>
    <s v="DQS_MAO04_FILE_000_B"/>
    <s v="RECORD COUNT by MBR_ID, DOS_THRU_DT, DX_CD Grain grouped by PAYER, SRC_FILE_NM, DOS_THRU_YYYYMM"/>
  </r>
  <r>
    <x v="2"/>
    <s v="FINGLOBL_PE202501_REMAO004.TXT"/>
    <x v="53"/>
    <x v="6"/>
    <n v="1"/>
    <n v="168150"/>
    <n v="0"/>
    <s v="DQS_MAO04_FILE_000_B"/>
    <s v="RECORD COUNT by MBR_ID, DOS_THRU_DT, DX_CD Grain grouped by PAYER, SRC_FILE_NM, DOS_THRU_YYYYMM"/>
  </r>
  <r>
    <x v="2"/>
    <s v="FINGLOBL_PE202501_REMAO004.TXT"/>
    <x v="54"/>
    <x v="6"/>
    <n v="12"/>
    <n v="168150"/>
    <n v="0.01"/>
    <s v="DQS_MAO04_FILE_000_B"/>
    <s v="RECORD COUNT by MBR_ID, DOS_THRU_DT, DX_CD Grain grouped by PAYER, SRC_FILE_NM, DOS_THRU_YYYYMM"/>
  </r>
  <r>
    <x v="2"/>
    <s v="FINGLOBL_PE202501_REMAO004.TXT"/>
    <x v="55"/>
    <x v="6"/>
    <n v="8"/>
    <n v="168150"/>
    <n v="0"/>
    <s v="DQS_MAO04_FILE_000_B"/>
    <s v="RECORD COUNT by MBR_ID, DOS_THRU_DT, DX_CD Grain grouped by PAYER, SRC_FILE_NM, DOS_THRU_YYYYMM"/>
  </r>
  <r>
    <x v="2"/>
    <s v="FINGLOBL_PE202501_REMAO004.TXT"/>
    <x v="56"/>
    <x v="6"/>
    <n v="7"/>
    <n v="168150"/>
    <n v="0"/>
    <s v="DQS_MAO04_FILE_000_B"/>
    <s v="RECORD COUNT by MBR_ID, DOS_THRU_DT, DX_CD Grain grouped by PAYER, SRC_FILE_NM, DOS_THRU_YYYYMM"/>
  </r>
  <r>
    <x v="2"/>
    <s v="FINGLOBL_PE202501_REMAO004.TXT"/>
    <x v="58"/>
    <x v="6"/>
    <n v="4"/>
    <n v="168150"/>
    <n v="0"/>
    <s v="DQS_MAO04_FILE_000_B"/>
    <s v="RECORD COUNT by MBR_ID, DOS_THRU_DT, DX_CD Grain grouped by PAYER, SRC_FILE_NM, DOS_THRU_YYYYMM"/>
  </r>
  <r>
    <x v="2"/>
    <s v="FINGLOBL_PE202501_REMAO004.TXT"/>
    <x v="59"/>
    <x v="6"/>
    <n v="11"/>
    <n v="168150"/>
    <n v="0.01"/>
    <s v="DQS_MAO04_FILE_000_B"/>
    <s v="RECORD COUNT by MBR_ID, DOS_THRU_DT, DX_CD Grain grouped by PAYER, SRC_FILE_NM, DOS_THRU_YYYYMM"/>
  </r>
  <r>
    <x v="2"/>
    <s v="FINGLOBL_PE202501_REMAO004.TXT"/>
    <x v="60"/>
    <x v="6"/>
    <n v="1"/>
    <n v="168150"/>
    <n v="0"/>
    <s v="DQS_MAO04_FILE_000_B"/>
    <s v="RECORD COUNT by MBR_ID, DOS_THRU_DT, DX_CD Grain grouped by PAYER, SRC_FILE_NM, DOS_THRU_YYYYMM"/>
  </r>
  <r>
    <x v="2"/>
    <s v="FINGLOBL_PE202501_REMAO004.TXT"/>
    <x v="61"/>
    <x v="6"/>
    <n v="14"/>
    <n v="168150"/>
    <n v="0.01"/>
    <s v="DQS_MAO04_FILE_000_B"/>
    <s v="RECORD COUNT by MBR_ID, DOS_THRU_DT, DX_CD Grain grouped by PAYER, SRC_FILE_NM, DOS_THRU_YYYYMM"/>
  </r>
  <r>
    <x v="2"/>
    <s v="FINGLOBL_PE202501_REMAO004.TXT"/>
    <x v="62"/>
    <x v="6"/>
    <n v="16"/>
    <n v="168150"/>
    <n v="0.01"/>
    <s v="DQS_MAO04_FILE_000_B"/>
    <s v="RECORD COUNT by MBR_ID, DOS_THRU_DT, DX_CD Grain grouped by PAYER, SRC_FILE_NM, DOS_THRU_YYYYMM"/>
  </r>
  <r>
    <x v="2"/>
    <s v="FINGLOBL_PE202501_REMAO004.TXT"/>
    <x v="63"/>
    <x v="6"/>
    <n v="25"/>
    <n v="168150"/>
    <n v="0.01"/>
    <s v="DQS_MAO04_FILE_000_B"/>
    <s v="RECORD COUNT by MBR_ID, DOS_THRU_DT, DX_CD Grain grouped by PAYER, SRC_FILE_NM, DOS_THRU_YYYYMM"/>
  </r>
  <r>
    <x v="2"/>
    <s v="FINGLOBL_PE202501_REMAO004.TXT"/>
    <x v="67"/>
    <x v="7"/>
    <n v="3"/>
    <n v="168150"/>
    <n v="0"/>
    <s v="DQS_MAO04_FILE_000_B"/>
    <s v="RECORD COUNT by MBR_ID, DOS_THRU_DT, DX_CD Grain grouped by PAYER, SRC_FILE_NM, DOS_THRU_YYYYMM"/>
  </r>
  <r>
    <x v="2"/>
    <s v="FINGLOBL_PE202501_REMAO004.TXT"/>
    <x v="68"/>
    <x v="7"/>
    <n v="9"/>
    <n v="168150"/>
    <n v="0.01"/>
    <s v="DQS_MAO04_FILE_000_B"/>
    <s v="RECORD COUNT by MBR_ID, DOS_THRU_DT, DX_CD Grain grouped by PAYER, SRC_FILE_NM, DOS_THRU_YYYYMM"/>
  </r>
  <r>
    <x v="2"/>
    <s v="FINGLOBL_PE202501_REMAO004.TXT"/>
    <x v="69"/>
    <x v="7"/>
    <n v="22"/>
    <n v="168150"/>
    <n v="0.01"/>
    <s v="DQS_MAO04_FILE_000_B"/>
    <s v="RECORD COUNT by MBR_ID, DOS_THRU_DT, DX_CD Grain grouped by PAYER, SRC_FILE_NM, DOS_THRU_YYYYMM"/>
  </r>
  <r>
    <x v="2"/>
    <s v="FINGLOBL_PE202501_REMAO004.TXT"/>
    <x v="70"/>
    <x v="7"/>
    <n v="21"/>
    <n v="168150"/>
    <n v="0.01"/>
    <s v="DQS_MAO04_FILE_000_B"/>
    <s v="RECORD COUNT by MBR_ID, DOS_THRU_DT, DX_CD Grain grouped by PAYER, SRC_FILE_NM, DOS_THRU_YYYYMM"/>
  </r>
  <r>
    <x v="2"/>
    <s v="FINGLOBL_PE202501_REMAO004.TXT"/>
    <x v="71"/>
    <x v="7"/>
    <n v="24"/>
    <n v="168150"/>
    <n v="0.01"/>
    <s v="DQS_MAO04_FILE_000_B"/>
    <s v="RECORD COUNT by MBR_ID, DOS_THRU_DT, DX_CD Grain grouped by PAYER, SRC_FILE_NM, DOS_THRU_YYYYMM"/>
  </r>
  <r>
    <x v="2"/>
    <s v="FINGLOBL_PE202501_REMAO004.TXT"/>
    <x v="72"/>
    <x v="7"/>
    <n v="11"/>
    <n v="168150"/>
    <n v="0.01"/>
    <s v="DQS_MAO04_FILE_000_B"/>
    <s v="RECORD COUNT by MBR_ID, DOS_THRU_DT, DX_CD Grain grouped by PAYER, SRC_FILE_NM, DOS_THRU_YYYYMM"/>
  </r>
  <r>
    <x v="2"/>
    <s v="FINGLOBL_PE202501_REMAO004.TXT"/>
    <x v="73"/>
    <x v="7"/>
    <n v="22"/>
    <n v="168150"/>
    <n v="0.01"/>
    <s v="DQS_MAO04_FILE_000_B"/>
    <s v="RECORD COUNT by MBR_ID, DOS_THRU_DT, DX_CD Grain grouped by PAYER, SRC_FILE_NM, DOS_THRU_YYYYMM"/>
  </r>
  <r>
    <x v="2"/>
    <s v="FINGLOBL_PE202501_REMAO004.TXT"/>
    <x v="74"/>
    <x v="7"/>
    <n v="59"/>
    <n v="168150"/>
    <n v="0.04"/>
    <s v="DQS_MAO04_FILE_000_B"/>
    <s v="RECORD COUNT by MBR_ID, DOS_THRU_DT, DX_CD Grain grouped by PAYER, SRC_FILE_NM, DOS_THRU_YYYYMM"/>
  </r>
  <r>
    <x v="2"/>
    <s v="FINGLOBL_PE202501_REMAO004.TXT"/>
    <x v="75"/>
    <x v="7"/>
    <n v="168"/>
    <n v="168150"/>
    <n v="0.1"/>
    <s v="DQS_MAO04_FILE_000_B"/>
    <s v="RECORD COUNT by MBR_ID, DOS_THRU_DT, DX_CD Grain grouped by PAYER, SRC_FILE_NM, DOS_THRU_YYYYMM"/>
  </r>
  <r>
    <x v="2"/>
    <s v="FINGLOBL_PE202501_REMAO004.TXT"/>
    <x v="76"/>
    <x v="7"/>
    <n v="109"/>
    <n v="168150"/>
    <n v="0.06"/>
    <s v="DQS_MAO04_FILE_000_B"/>
    <s v="RECORD COUNT by MBR_ID, DOS_THRU_DT, DX_CD Grain grouped by PAYER, SRC_FILE_NM, DOS_THRU_YYYYMM"/>
  </r>
  <r>
    <x v="2"/>
    <s v="FINGLOBL_PE202501_REMAO004.TXT"/>
    <x v="77"/>
    <x v="8"/>
    <n v="1356"/>
    <n v="168150"/>
    <n v="0.81"/>
    <s v="DQS_MAO04_FILE_000_B"/>
    <s v="RECORD COUNT by MBR_ID, DOS_THRU_DT, DX_CD Grain grouped by PAYER, SRC_FILE_NM, DOS_THRU_YYYYMM"/>
  </r>
  <r>
    <x v="2"/>
    <s v="FINGLOBL_PE202501_REMAO004.TXT"/>
    <x v="78"/>
    <x v="8"/>
    <n v="995"/>
    <n v="168150"/>
    <n v="0.59"/>
    <s v="DQS_MAO04_FILE_000_B"/>
    <s v="RECORD COUNT by MBR_ID, DOS_THRU_DT, DX_CD Grain grouped by PAYER, SRC_FILE_NM, DOS_THRU_YYYYMM"/>
  </r>
  <r>
    <x v="2"/>
    <s v="FINGLOBL_PE202501_REMAO004.TXT"/>
    <x v="79"/>
    <x v="8"/>
    <n v="980"/>
    <n v="168150"/>
    <n v="0.57999999999999996"/>
    <s v="DQS_MAO04_FILE_000_B"/>
    <s v="RECORD COUNT by MBR_ID, DOS_THRU_DT, DX_CD Grain grouped by PAYER, SRC_FILE_NM, DOS_THRU_YYYYMM"/>
  </r>
  <r>
    <x v="2"/>
    <s v="FINGLOBL_PE202501_REMAO004.TXT"/>
    <x v="80"/>
    <x v="8"/>
    <n v="1210"/>
    <n v="168150"/>
    <n v="0.72"/>
    <s v="DQS_MAO04_FILE_000_B"/>
    <s v="RECORD COUNT by MBR_ID, DOS_THRU_DT, DX_CD Grain grouped by PAYER, SRC_FILE_NM, DOS_THRU_YYYYMM"/>
  </r>
  <r>
    <x v="2"/>
    <s v="FINGLOBL_PE202501_REMAO004.TXT"/>
    <x v="81"/>
    <x v="8"/>
    <n v="1060"/>
    <n v="168150"/>
    <n v="0.63"/>
    <s v="DQS_MAO04_FILE_000_B"/>
    <s v="RECORD COUNT by MBR_ID, DOS_THRU_DT, DX_CD Grain grouped by PAYER, SRC_FILE_NM, DOS_THRU_YYYYMM"/>
  </r>
  <r>
    <x v="2"/>
    <s v="FINGLOBL_PE202501_REMAO004.TXT"/>
    <x v="82"/>
    <x v="8"/>
    <n v="943"/>
    <n v="168150"/>
    <n v="0.56000000000000005"/>
    <s v="DQS_MAO04_FILE_000_B"/>
    <s v="RECORD COUNT by MBR_ID, DOS_THRU_DT, DX_CD Grain grouped by PAYER, SRC_FILE_NM, DOS_THRU_YYYYMM"/>
  </r>
  <r>
    <x v="2"/>
    <s v="FINGLOBL_PE202501_REMAO004.TXT"/>
    <x v="83"/>
    <x v="8"/>
    <n v="1436"/>
    <n v="168150"/>
    <n v="0.85"/>
    <s v="DQS_MAO04_FILE_000_B"/>
    <s v="RECORD COUNT by MBR_ID, DOS_THRU_DT, DX_CD Grain grouped by PAYER, SRC_FILE_NM, DOS_THRU_YYYYMM"/>
  </r>
  <r>
    <x v="2"/>
    <s v="FINGLOBL_PE202501_REMAO004.TXT"/>
    <x v="84"/>
    <x v="8"/>
    <n v="1665"/>
    <n v="168150"/>
    <n v="0.99"/>
    <s v="DQS_MAO04_FILE_000_B"/>
    <s v="RECORD COUNT by MBR_ID, DOS_THRU_DT, DX_CD Grain grouped by PAYER, SRC_FILE_NM, DOS_THRU_YYYYMM"/>
  </r>
  <r>
    <x v="2"/>
    <s v="FINGLOBL_PE202501_REMAO004.TXT"/>
    <x v="85"/>
    <x v="8"/>
    <n v="1446"/>
    <n v="168150"/>
    <n v="0.86"/>
    <s v="DQS_MAO04_FILE_000_B"/>
    <s v="RECORD COUNT by MBR_ID, DOS_THRU_DT, DX_CD Grain grouped by PAYER, SRC_FILE_NM, DOS_THRU_YYYYMM"/>
  </r>
  <r>
    <x v="2"/>
    <s v="FINGLOBL_PE202501_REMAO004.TXT"/>
    <x v="86"/>
    <x v="8"/>
    <n v="1729"/>
    <n v="168150"/>
    <n v="1.03"/>
    <s v="DQS_MAO04_FILE_000_B"/>
    <s v="RECORD COUNT by MBR_ID, DOS_THRU_DT, DX_CD Grain grouped by PAYER, SRC_FILE_NM, DOS_THRU_YYYYMM"/>
  </r>
  <r>
    <x v="2"/>
    <s v="FINGLOBL_PE202501_REMAO004.TXT"/>
    <x v="87"/>
    <x v="8"/>
    <n v="1443"/>
    <n v="168150"/>
    <n v="0.86"/>
    <s v="DQS_MAO04_FILE_000_B"/>
    <s v="RECORD COUNT by MBR_ID, DOS_THRU_DT, DX_CD Grain grouped by PAYER, SRC_FILE_NM, DOS_THRU_YYYYMM"/>
  </r>
  <r>
    <x v="2"/>
    <s v="FINGLOBL_PE202501_REMAO004.TXT"/>
    <x v="88"/>
    <x v="8"/>
    <n v="1452"/>
    <n v="168150"/>
    <n v="0.86"/>
    <s v="DQS_MAO04_FILE_000_B"/>
    <s v="RECORD COUNT by MBR_ID, DOS_THRU_DT, DX_CD Grain grouped by PAYER, SRC_FILE_NM, DOS_THRU_YYYYMM"/>
  </r>
  <r>
    <x v="2"/>
    <s v="FINGLOBL_PE202501_REMAO004.TXT"/>
    <x v="89"/>
    <x v="9"/>
    <n v="1456"/>
    <n v="168150"/>
    <n v="0.87"/>
    <s v="DQS_MAO04_FILE_000_B"/>
    <s v="RECORD COUNT by MBR_ID, DOS_THRU_DT, DX_CD Grain grouped by PAYER, SRC_FILE_NM, DOS_THRU_YYYYMM"/>
  </r>
  <r>
    <x v="2"/>
    <s v="FINGLOBL_PE202501_REMAO004.TXT"/>
    <x v="97"/>
    <x v="9"/>
    <n v="1549"/>
    <n v="168150"/>
    <n v="0.92"/>
    <s v="DQS_MAO04_FILE_000_B"/>
    <s v="RECORD COUNT by MBR_ID, DOS_THRU_DT, DX_CD Grain grouped by PAYER, SRC_FILE_NM, DOS_THRU_YYYYMM"/>
  </r>
  <r>
    <x v="2"/>
    <s v="FINGLOBL_PE202501_REMAO004.TXT"/>
    <x v="98"/>
    <x v="9"/>
    <n v="2222"/>
    <n v="168150"/>
    <n v="1.32"/>
    <s v="DQS_MAO04_FILE_000_B"/>
    <s v="RECORD COUNT by MBR_ID, DOS_THRU_DT, DX_CD Grain grouped by PAYER, SRC_FILE_NM, DOS_THRU_YYYYMM"/>
  </r>
  <r>
    <x v="2"/>
    <s v="FINGLOBL_PE202501_REMAO004.TXT"/>
    <x v="99"/>
    <x v="9"/>
    <n v="1862"/>
    <n v="168150"/>
    <n v="1.1100000000000001"/>
    <s v="DQS_MAO04_FILE_000_B"/>
    <s v="RECORD COUNT by MBR_ID, DOS_THRU_DT, DX_CD Grain grouped by PAYER, SRC_FILE_NM, DOS_THRU_YYYYMM"/>
  </r>
  <r>
    <x v="2"/>
    <s v="FINGLOBL_PE202501_REMAO004.TXT"/>
    <x v="100"/>
    <x v="9"/>
    <n v="1308"/>
    <n v="168150"/>
    <n v="0.78"/>
    <s v="DQS_MAO04_FILE_000_B"/>
    <s v="RECORD COUNT by MBR_ID, DOS_THRU_DT, DX_CD Grain grouped by PAYER, SRC_FILE_NM, DOS_THRU_YYYYMM"/>
  </r>
  <r>
    <x v="2"/>
    <s v="FINGLOBL_PE202501_REMAO004.TXT"/>
    <x v="102"/>
    <x v="9"/>
    <n v="2384"/>
    <n v="168150"/>
    <n v="1.42"/>
    <s v="DQS_MAO04_FILE_000_B"/>
    <s v="RECORD COUNT by MBR_ID, DOS_THRU_DT, DX_CD Grain grouped by PAYER, SRC_FILE_NM, DOS_THRU_YYYYMM"/>
  </r>
  <r>
    <x v="2"/>
    <s v="FINGLOBL_PE202501_REMAO004.TXT"/>
    <x v="103"/>
    <x v="9"/>
    <n v="2708"/>
    <n v="168150"/>
    <n v="1.61"/>
    <s v="DQS_MAO04_FILE_000_B"/>
    <s v="RECORD COUNT by MBR_ID, DOS_THRU_DT, DX_CD Grain grouped by PAYER, SRC_FILE_NM, DOS_THRU_YYYYMM"/>
  </r>
  <r>
    <x v="2"/>
    <s v="FINGLOBL_PE202501_REMAO004.TXT"/>
    <x v="105"/>
    <x v="9"/>
    <n v="4987"/>
    <n v="168150"/>
    <n v="2.97"/>
    <s v="DQS_MAO04_FILE_000_B"/>
    <s v="RECORD COUNT by MBR_ID, DOS_THRU_DT, DX_CD Grain grouped by PAYER, SRC_FILE_NM, DOS_THRU_YYYYMM"/>
  </r>
  <r>
    <x v="2"/>
    <s v="FINGLOBL_PE202501_REMAO004.TXT"/>
    <x v="106"/>
    <x v="9"/>
    <n v="8378"/>
    <n v="168150"/>
    <n v="4.9800000000000004"/>
    <s v="DQS_MAO04_FILE_000_B"/>
    <s v="RECORD COUNT by MBR_ID, DOS_THRU_DT, DX_CD Grain grouped by PAYER, SRC_FILE_NM, DOS_THRU_YYYYMM"/>
  </r>
  <r>
    <x v="2"/>
    <s v="FINGLOBL_PE202501_REMAO004.TXT"/>
    <x v="107"/>
    <x v="9"/>
    <n v="73807"/>
    <n v="168150"/>
    <n v="43.89"/>
    <s v="DQS_MAO04_FILE_000_B"/>
    <s v="RECORD COUNT by MBR_ID, DOS_THRU_DT, DX_CD Grain grouped by PAYER, SRC_FILE_NM, DOS_THRU_YYYYMM"/>
  </r>
  <r>
    <x v="2"/>
    <s v="FINGLOBL_PE202501_REMAO004.TXT"/>
    <x v="108"/>
    <x v="9"/>
    <n v="50783"/>
    <n v="168150"/>
    <n v="30.2"/>
    <s v="DQS_MAO04_FILE_000_B"/>
    <s v="RECORD COUNT by MBR_ID, DOS_THRU_DT, DX_CD Grain grouped by PAYER, SRC_FILE_NM, DOS_THRU_YYYYMM"/>
  </r>
  <r>
    <x v="2"/>
    <s v="FINGLOBL_PE202502_REMAO004.TXT"/>
    <x v="17"/>
    <x v="3"/>
    <n v="31"/>
    <n v="145626"/>
    <n v="0.02"/>
    <s v="DQS_MAO04_FILE_000_B"/>
    <s v="RECORD COUNT by MBR_ID, DOS_THRU_DT, DX_CD Grain grouped by PAYER, SRC_FILE_NM, DOS_THRU_YYYYMM"/>
  </r>
  <r>
    <x v="2"/>
    <s v="FINGLOBL_PE202502_REMAO004.TXT"/>
    <x v="18"/>
    <x v="3"/>
    <n v="14"/>
    <n v="145626"/>
    <n v="0.01"/>
    <s v="DQS_MAO04_FILE_000_B"/>
    <s v="RECORD COUNT by MBR_ID, DOS_THRU_DT, DX_CD Grain grouped by PAYER, SRC_FILE_NM, DOS_THRU_YYYYMM"/>
  </r>
  <r>
    <x v="2"/>
    <s v="FINGLOBL_PE202502_REMAO004.TXT"/>
    <x v="19"/>
    <x v="3"/>
    <n v="21"/>
    <n v="145626"/>
    <n v="0.01"/>
    <s v="DQS_MAO04_FILE_000_B"/>
    <s v="RECORD COUNT by MBR_ID, DOS_THRU_DT, DX_CD Grain grouped by PAYER, SRC_FILE_NM, DOS_THRU_YYYYMM"/>
  </r>
  <r>
    <x v="2"/>
    <s v="FINGLOBL_PE202502_REMAO004.TXT"/>
    <x v="20"/>
    <x v="3"/>
    <n v="30"/>
    <n v="145626"/>
    <n v="0.02"/>
    <s v="DQS_MAO04_FILE_000_B"/>
    <s v="RECORD COUNT by MBR_ID, DOS_THRU_DT, DX_CD Grain grouped by PAYER, SRC_FILE_NM, DOS_THRU_YYYYMM"/>
  </r>
  <r>
    <x v="2"/>
    <s v="FINGLOBL_PE202502_REMAO004.TXT"/>
    <x v="21"/>
    <x v="3"/>
    <n v="32"/>
    <n v="145626"/>
    <n v="0.02"/>
    <s v="DQS_MAO04_FILE_000_B"/>
    <s v="RECORD COUNT by MBR_ID, DOS_THRU_DT, DX_CD Grain grouped by PAYER, SRC_FILE_NM, DOS_THRU_YYYYMM"/>
  </r>
  <r>
    <x v="2"/>
    <s v="FINGLOBL_PE202502_REMAO004.TXT"/>
    <x v="22"/>
    <x v="3"/>
    <n v="56"/>
    <n v="145626"/>
    <n v="0.04"/>
    <s v="DQS_MAO04_FILE_000_B"/>
    <s v="RECORD COUNT by MBR_ID, DOS_THRU_DT, DX_CD Grain grouped by PAYER, SRC_FILE_NM, DOS_THRU_YYYYMM"/>
  </r>
  <r>
    <x v="2"/>
    <s v="FINGLOBL_PE202502_REMAO004.TXT"/>
    <x v="23"/>
    <x v="3"/>
    <n v="81"/>
    <n v="145626"/>
    <n v="0.06"/>
    <s v="DQS_MAO04_FILE_000_B"/>
    <s v="RECORD COUNT by MBR_ID, DOS_THRU_DT, DX_CD Grain grouped by PAYER, SRC_FILE_NM, DOS_THRU_YYYYMM"/>
  </r>
  <r>
    <x v="2"/>
    <s v="FINGLOBL_PE202502_REMAO004.TXT"/>
    <x v="24"/>
    <x v="3"/>
    <n v="146"/>
    <n v="145626"/>
    <n v="0.1"/>
    <s v="DQS_MAO04_FILE_000_B"/>
    <s v="RECORD COUNT by MBR_ID, DOS_THRU_DT, DX_CD Grain grouped by PAYER, SRC_FILE_NM, DOS_THRU_YYYYMM"/>
  </r>
  <r>
    <x v="2"/>
    <s v="FINGLOBL_PE202502_REMAO004.TXT"/>
    <x v="25"/>
    <x v="3"/>
    <n v="380"/>
    <n v="145626"/>
    <n v="0.26"/>
    <s v="DQS_MAO04_FILE_000_B"/>
    <s v="RECORD COUNT by MBR_ID, DOS_THRU_DT, DX_CD Grain grouped by PAYER, SRC_FILE_NM, DOS_THRU_YYYYMM"/>
  </r>
  <r>
    <x v="2"/>
    <s v="FINGLOBL_PE202502_REMAO004.TXT"/>
    <x v="26"/>
    <x v="3"/>
    <n v="669"/>
    <n v="145626"/>
    <n v="0.46"/>
    <s v="DQS_MAO04_FILE_000_B"/>
    <s v="RECORD COUNT by MBR_ID, DOS_THRU_DT, DX_CD Grain grouped by PAYER, SRC_FILE_NM, DOS_THRU_YYYYMM"/>
  </r>
  <r>
    <x v="2"/>
    <s v="FINGLOBL_PE202502_REMAO004.TXT"/>
    <x v="27"/>
    <x v="3"/>
    <n v="41"/>
    <n v="145626"/>
    <n v="0.03"/>
    <s v="DQS_MAO04_FILE_000_B"/>
    <s v="RECORD COUNT by MBR_ID, DOS_THRU_DT, DX_CD Grain grouped by PAYER, SRC_FILE_NM, DOS_THRU_YYYYMM"/>
  </r>
  <r>
    <x v="2"/>
    <s v="FINGLOBL_PE202502_REMAO004.TXT"/>
    <x v="28"/>
    <x v="3"/>
    <n v="10"/>
    <n v="145626"/>
    <n v="0.01"/>
    <s v="DQS_MAO04_FILE_000_B"/>
    <s v="RECORD COUNT by MBR_ID, DOS_THRU_DT, DX_CD Grain grouped by PAYER, SRC_FILE_NM, DOS_THRU_YYYYMM"/>
  </r>
  <r>
    <x v="2"/>
    <s v="FINGLOBL_PE202502_REMAO004.TXT"/>
    <x v="29"/>
    <x v="4"/>
    <n v="22"/>
    <n v="145626"/>
    <n v="0.02"/>
    <s v="DQS_MAO04_FILE_000_B"/>
    <s v="RECORD COUNT by MBR_ID, DOS_THRU_DT, DX_CD Grain grouped by PAYER, SRC_FILE_NM, DOS_THRU_YYYYMM"/>
  </r>
  <r>
    <x v="2"/>
    <s v="FINGLOBL_PE202502_REMAO004.TXT"/>
    <x v="30"/>
    <x v="4"/>
    <n v="4"/>
    <n v="145626"/>
    <n v="0"/>
    <s v="DQS_MAO04_FILE_000_B"/>
    <s v="RECORD COUNT by MBR_ID, DOS_THRU_DT, DX_CD Grain grouped by PAYER, SRC_FILE_NM, DOS_THRU_YYYYMM"/>
  </r>
  <r>
    <x v="2"/>
    <s v="FINGLOBL_PE202502_REMAO004.TXT"/>
    <x v="41"/>
    <x v="5"/>
    <n v="2"/>
    <n v="145626"/>
    <n v="0"/>
    <s v="DQS_MAO04_FILE_000_B"/>
    <s v="RECORD COUNT by MBR_ID, DOS_THRU_DT, DX_CD Grain grouped by PAYER, SRC_FILE_NM, DOS_THRU_YYYYMM"/>
  </r>
  <r>
    <x v="2"/>
    <s v="FINGLOBL_PE202502_REMAO004.TXT"/>
    <x v="42"/>
    <x v="5"/>
    <n v="4"/>
    <n v="145626"/>
    <n v="0"/>
    <s v="DQS_MAO04_FILE_000_B"/>
    <s v="RECORD COUNT by MBR_ID, DOS_THRU_DT, DX_CD Grain grouped by PAYER, SRC_FILE_NM, DOS_THRU_YYYYMM"/>
  </r>
  <r>
    <x v="2"/>
    <s v="FINGLOBL_PE202502_REMAO004.TXT"/>
    <x v="43"/>
    <x v="5"/>
    <n v="7"/>
    <n v="145626"/>
    <n v="0"/>
    <s v="DQS_MAO04_FILE_000_B"/>
    <s v="RECORD COUNT by MBR_ID, DOS_THRU_DT, DX_CD Grain grouped by PAYER, SRC_FILE_NM, DOS_THRU_YYYYMM"/>
  </r>
  <r>
    <x v="2"/>
    <s v="FINGLOBL_PE202502_REMAO004.TXT"/>
    <x v="44"/>
    <x v="5"/>
    <n v="36"/>
    <n v="145626"/>
    <n v="0.02"/>
    <s v="DQS_MAO04_FILE_000_B"/>
    <s v="RECORD COUNT by MBR_ID, DOS_THRU_DT, DX_CD Grain grouped by PAYER, SRC_FILE_NM, DOS_THRU_YYYYMM"/>
  </r>
  <r>
    <x v="2"/>
    <s v="FINGLOBL_PE202502_REMAO004.TXT"/>
    <x v="45"/>
    <x v="5"/>
    <n v="148"/>
    <n v="145626"/>
    <n v="0.1"/>
    <s v="DQS_MAO04_FILE_000_B"/>
    <s v="RECORD COUNT by MBR_ID, DOS_THRU_DT, DX_CD Grain grouped by PAYER, SRC_FILE_NM, DOS_THRU_YYYYMM"/>
  </r>
  <r>
    <x v="2"/>
    <s v="FINGLOBL_PE202502_REMAO004.TXT"/>
    <x v="46"/>
    <x v="5"/>
    <n v="63"/>
    <n v="145626"/>
    <n v="0.04"/>
    <s v="DQS_MAO04_FILE_000_B"/>
    <s v="RECORD COUNT by MBR_ID, DOS_THRU_DT, DX_CD Grain grouped by PAYER, SRC_FILE_NM, DOS_THRU_YYYYMM"/>
  </r>
  <r>
    <x v="2"/>
    <s v="FINGLOBL_PE202502_REMAO004.TXT"/>
    <x v="47"/>
    <x v="5"/>
    <n v="89"/>
    <n v="145626"/>
    <n v="0.06"/>
    <s v="DQS_MAO04_FILE_000_B"/>
    <s v="RECORD COUNT by MBR_ID, DOS_THRU_DT, DX_CD Grain grouped by PAYER, SRC_FILE_NM, DOS_THRU_YYYYMM"/>
  </r>
  <r>
    <x v="2"/>
    <s v="FINGLOBL_PE202502_REMAO004.TXT"/>
    <x v="54"/>
    <x v="6"/>
    <n v="5"/>
    <n v="145626"/>
    <n v="0"/>
    <s v="DQS_MAO04_FILE_000_B"/>
    <s v="RECORD COUNT by MBR_ID, DOS_THRU_DT, DX_CD Grain grouped by PAYER, SRC_FILE_NM, DOS_THRU_YYYYMM"/>
  </r>
  <r>
    <x v="2"/>
    <s v="FINGLOBL_PE202502_REMAO004.TXT"/>
    <x v="55"/>
    <x v="6"/>
    <n v="4"/>
    <n v="145626"/>
    <n v="0"/>
    <s v="DQS_MAO04_FILE_000_B"/>
    <s v="RECORD COUNT by MBR_ID, DOS_THRU_DT, DX_CD Grain grouped by PAYER, SRC_FILE_NM, DOS_THRU_YYYYMM"/>
  </r>
  <r>
    <x v="2"/>
    <s v="FINGLOBL_PE202502_REMAO004.TXT"/>
    <x v="56"/>
    <x v="6"/>
    <n v="7"/>
    <n v="145626"/>
    <n v="0"/>
    <s v="DQS_MAO04_FILE_000_B"/>
    <s v="RECORD COUNT by MBR_ID, DOS_THRU_DT, DX_CD Grain grouped by PAYER, SRC_FILE_NM, DOS_THRU_YYYYMM"/>
  </r>
  <r>
    <x v="2"/>
    <s v="FINGLOBL_PE202502_REMAO004.TXT"/>
    <x v="58"/>
    <x v="6"/>
    <n v="3"/>
    <n v="145626"/>
    <n v="0"/>
    <s v="DQS_MAO04_FILE_000_B"/>
    <s v="RECORD COUNT by MBR_ID, DOS_THRU_DT, DX_CD Grain grouped by PAYER, SRC_FILE_NM, DOS_THRU_YYYYMM"/>
  </r>
  <r>
    <x v="2"/>
    <s v="FINGLOBL_PE202502_REMAO004.TXT"/>
    <x v="59"/>
    <x v="6"/>
    <n v="4"/>
    <n v="145626"/>
    <n v="0"/>
    <s v="DQS_MAO04_FILE_000_B"/>
    <s v="RECORD COUNT by MBR_ID, DOS_THRU_DT, DX_CD Grain grouped by PAYER, SRC_FILE_NM, DOS_THRU_YYYYMM"/>
  </r>
  <r>
    <x v="2"/>
    <s v="FINGLOBL_PE202502_REMAO004.TXT"/>
    <x v="61"/>
    <x v="6"/>
    <n v="1"/>
    <n v="145626"/>
    <n v="0"/>
    <s v="DQS_MAO04_FILE_000_B"/>
    <s v="RECORD COUNT by MBR_ID, DOS_THRU_DT, DX_CD Grain grouped by PAYER, SRC_FILE_NM, DOS_THRU_YYYYMM"/>
  </r>
  <r>
    <x v="2"/>
    <s v="FINGLOBL_PE202502_REMAO004.TXT"/>
    <x v="64"/>
    <x v="6"/>
    <n v="6"/>
    <n v="145626"/>
    <n v="0"/>
    <s v="DQS_MAO04_FILE_000_B"/>
    <s v="RECORD COUNT by MBR_ID, DOS_THRU_DT, DX_CD Grain grouped by PAYER, SRC_FILE_NM, DOS_THRU_YYYYMM"/>
  </r>
  <r>
    <x v="2"/>
    <s v="FINGLOBL_PE202502_REMAO004.TXT"/>
    <x v="65"/>
    <x v="7"/>
    <n v="1"/>
    <n v="145626"/>
    <n v="0"/>
    <s v="DQS_MAO04_FILE_000_B"/>
    <s v="RECORD COUNT by MBR_ID, DOS_THRU_DT, DX_CD Grain grouped by PAYER, SRC_FILE_NM, DOS_THRU_YYYYMM"/>
  </r>
  <r>
    <x v="2"/>
    <s v="FINGLOBL_PE202502_REMAO004.TXT"/>
    <x v="68"/>
    <x v="7"/>
    <n v="20"/>
    <n v="145626"/>
    <n v="0.01"/>
    <s v="DQS_MAO04_FILE_000_B"/>
    <s v="RECORD COUNT by MBR_ID, DOS_THRU_DT, DX_CD Grain grouped by PAYER, SRC_FILE_NM, DOS_THRU_YYYYMM"/>
  </r>
  <r>
    <x v="2"/>
    <s v="FINGLOBL_PE202502_REMAO004.TXT"/>
    <x v="69"/>
    <x v="7"/>
    <n v="3"/>
    <n v="145626"/>
    <n v="0"/>
    <s v="DQS_MAO04_FILE_000_B"/>
    <s v="RECORD COUNT by MBR_ID, DOS_THRU_DT, DX_CD Grain grouped by PAYER, SRC_FILE_NM, DOS_THRU_YYYYMM"/>
  </r>
  <r>
    <x v="2"/>
    <s v="FINGLOBL_PE202502_REMAO004.TXT"/>
    <x v="70"/>
    <x v="7"/>
    <n v="3"/>
    <n v="145626"/>
    <n v="0"/>
    <s v="DQS_MAO04_FILE_000_B"/>
    <s v="RECORD COUNT by MBR_ID, DOS_THRU_DT, DX_CD Grain grouped by PAYER, SRC_FILE_NM, DOS_THRU_YYYYMM"/>
  </r>
  <r>
    <x v="2"/>
    <s v="FINGLOBL_PE202502_REMAO004.TXT"/>
    <x v="71"/>
    <x v="7"/>
    <n v="32"/>
    <n v="145626"/>
    <n v="0.02"/>
    <s v="DQS_MAO04_FILE_000_B"/>
    <s v="RECORD COUNT by MBR_ID, DOS_THRU_DT, DX_CD Grain grouped by PAYER, SRC_FILE_NM, DOS_THRU_YYYYMM"/>
  </r>
  <r>
    <x v="2"/>
    <s v="FINGLOBL_PE202502_REMAO004.TXT"/>
    <x v="72"/>
    <x v="7"/>
    <n v="15"/>
    <n v="145626"/>
    <n v="0.01"/>
    <s v="DQS_MAO04_FILE_000_B"/>
    <s v="RECORD COUNT by MBR_ID, DOS_THRU_DT, DX_CD Grain grouped by PAYER, SRC_FILE_NM, DOS_THRU_YYYYMM"/>
  </r>
  <r>
    <x v="2"/>
    <s v="FINGLOBL_PE202502_REMAO004.TXT"/>
    <x v="73"/>
    <x v="7"/>
    <n v="3"/>
    <n v="145626"/>
    <n v="0"/>
    <s v="DQS_MAO04_FILE_000_B"/>
    <s v="RECORD COUNT by MBR_ID, DOS_THRU_DT, DX_CD Grain grouped by PAYER, SRC_FILE_NM, DOS_THRU_YYYYMM"/>
  </r>
  <r>
    <x v="2"/>
    <s v="FINGLOBL_PE202502_REMAO004.TXT"/>
    <x v="74"/>
    <x v="7"/>
    <n v="46"/>
    <n v="145626"/>
    <n v="0.03"/>
    <s v="DQS_MAO04_FILE_000_B"/>
    <s v="RECORD COUNT by MBR_ID, DOS_THRU_DT, DX_CD Grain grouped by PAYER, SRC_FILE_NM, DOS_THRU_YYYYMM"/>
  </r>
  <r>
    <x v="2"/>
    <s v="FINGLOBL_PE202502_REMAO004.TXT"/>
    <x v="75"/>
    <x v="7"/>
    <n v="88"/>
    <n v="145626"/>
    <n v="0.06"/>
    <s v="DQS_MAO04_FILE_000_B"/>
    <s v="RECORD COUNT by MBR_ID, DOS_THRU_DT, DX_CD Grain grouped by PAYER, SRC_FILE_NM, DOS_THRU_YYYYMM"/>
  </r>
  <r>
    <x v="2"/>
    <s v="FINGLOBL_PE202502_REMAO004.TXT"/>
    <x v="76"/>
    <x v="7"/>
    <n v="20"/>
    <n v="145626"/>
    <n v="0.01"/>
    <s v="DQS_MAO04_FILE_000_B"/>
    <s v="RECORD COUNT by MBR_ID, DOS_THRU_DT, DX_CD Grain grouped by PAYER, SRC_FILE_NM, DOS_THRU_YYYYMM"/>
  </r>
  <r>
    <x v="2"/>
    <s v="FINGLOBL_PE202502_REMAO004.TXT"/>
    <x v="77"/>
    <x v="8"/>
    <n v="367"/>
    <n v="145626"/>
    <n v="0.25"/>
    <s v="DQS_MAO04_FILE_000_B"/>
    <s v="RECORD COUNT by MBR_ID, DOS_THRU_DT, DX_CD Grain grouped by PAYER, SRC_FILE_NM, DOS_THRU_YYYYMM"/>
  </r>
  <r>
    <x v="2"/>
    <s v="FINGLOBL_PE202502_REMAO004.TXT"/>
    <x v="78"/>
    <x v="8"/>
    <n v="356"/>
    <n v="145626"/>
    <n v="0.24"/>
    <s v="DQS_MAO04_FILE_000_B"/>
    <s v="RECORD COUNT by MBR_ID, DOS_THRU_DT, DX_CD Grain grouped by PAYER, SRC_FILE_NM, DOS_THRU_YYYYMM"/>
  </r>
  <r>
    <x v="2"/>
    <s v="FINGLOBL_PE202502_REMAO004.TXT"/>
    <x v="79"/>
    <x v="8"/>
    <n v="366"/>
    <n v="145626"/>
    <n v="0.25"/>
    <s v="DQS_MAO04_FILE_000_B"/>
    <s v="RECORD COUNT by MBR_ID, DOS_THRU_DT, DX_CD Grain grouped by PAYER, SRC_FILE_NM, DOS_THRU_YYYYMM"/>
  </r>
  <r>
    <x v="2"/>
    <s v="FINGLOBL_PE202502_REMAO004.TXT"/>
    <x v="80"/>
    <x v="8"/>
    <n v="338"/>
    <n v="145626"/>
    <n v="0.23"/>
    <s v="DQS_MAO04_FILE_000_B"/>
    <s v="RECORD COUNT by MBR_ID, DOS_THRU_DT, DX_CD Grain grouped by PAYER, SRC_FILE_NM, DOS_THRU_YYYYMM"/>
  </r>
  <r>
    <x v="2"/>
    <s v="FINGLOBL_PE202502_REMAO004.TXT"/>
    <x v="81"/>
    <x v="8"/>
    <n v="403"/>
    <n v="145626"/>
    <n v="0.28000000000000003"/>
    <s v="DQS_MAO04_FILE_000_B"/>
    <s v="RECORD COUNT by MBR_ID, DOS_THRU_DT, DX_CD Grain grouped by PAYER, SRC_FILE_NM, DOS_THRU_YYYYMM"/>
  </r>
  <r>
    <x v="2"/>
    <s v="FINGLOBL_PE202502_REMAO004.TXT"/>
    <x v="82"/>
    <x v="8"/>
    <n v="507"/>
    <n v="145626"/>
    <n v="0.35"/>
    <s v="DQS_MAO04_FILE_000_B"/>
    <s v="RECORD COUNT by MBR_ID, DOS_THRU_DT, DX_CD Grain grouped by PAYER, SRC_FILE_NM, DOS_THRU_YYYYMM"/>
  </r>
  <r>
    <x v="2"/>
    <s v="FINGLOBL_PE202502_REMAO004.TXT"/>
    <x v="83"/>
    <x v="8"/>
    <n v="406"/>
    <n v="145626"/>
    <n v="0.28000000000000003"/>
    <s v="DQS_MAO04_FILE_000_B"/>
    <s v="RECORD COUNT by MBR_ID, DOS_THRU_DT, DX_CD Grain grouped by PAYER, SRC_FILE_NM, DOS_THRU_YYYYMM"/>
  </r>
  <r>
    <x v="2"/>
    <s v="FINGLOBL_PE202502_REMAO004.TXT"/>
    <x v="84"/>
    <x v="8"/>
    <n v="727"/>
    <n v="145626"/>
    <n v="0.5"/>
    <s v="DQS_MAO04_FILE_000_B"/>
    <s v="RECORD COUNT by MBR_ID, DOS_THRU_DT, DX_CD Grain grouped by PAYER, SRC_FILE_NM, DOS_THRU_YYYYMM"/>
  </r>
  <r>
    <x v="2"/>
    <s v="FINGLOBL_PE202502_REMAO004.TXT"/>
    <x v="85"/>
    <x v="8"/>
    <n v="807"/>
    <n v="145626"/>
    <n v="0.55000000000000004"/>
    <s v="DQS_MAO04_FILE_000_B"/>
    <s v="RECORD COUNT by MBR_ID, DOS_THRU_DT, DX_CD Grain grouped by PAYER, SRC_FILE_NM, DOS_THRU_YYYYMM"/>
  </r>
  <r>
    <x v="2"/>
    <s v="FINGLOBL_PE202502_REMAO004.TXT"/>
    <x v="86"/>
    <x v="8"/>
    <n v="616"/>
    <n v="145626"/>
    <n v="0.42"/>
    <s v="DQS_MAO04_FILE_000_B"/>
    <s v="RECORD COUNT by MBR_ID, DOS_THRU_DT, DX_CD Grain grouped by PAYER, SRC_FILE_NM, DOS_THRU_YYYYMM"/>
  </r>
  <r>
    <x v="2"/>
    <s v="FINGLOBL_PE202502_REMAO004.TXT"/>
    <x v="87"/>
    <x v="8"/>
    <n v="606"/>
    <n v="145626"/>
    <n v="0.42"/>
    <s v="DQS_MAO04_FILE_000_B"/>
    <s v="RECORD COUNT by MBR_ID, DOS_THRU_DT, DX_CD Grain grouped by PAYER, SRC_FILE_NM, DOS_THRU_YYYYMM"/>
  </r>
  <r>
    <x v="2"/>
    <s v="FINGLOBL_PE202502_REMAO004.TXT"/>
    <x v="88"/>
    <x v="8"/>
    <n v="607"/>
    <n v="145626"/>
    <n v="0.42"/>
    <s v="DQS_MAO04_FILE_000_B"/>
    <s v="RECORD COUNT by MBR_ID, DOS_THRU_DT, DX_CD Grain grouped by PAYER, SRC_FILE_NM, DOS_THRU_YYYYMM"/>
  </r>
  <r>
    <x v="2"/>
    <s v="FINGLOBL_PE202502_REMAO004.TXT"/>
    <x v="89"/>
    <x v="9"/>
    <n v="2533"/>
    <n v="145626"/>
    <n v="1.74"/>
    <s v="DQS_MAO04_FILE_000_B"/>
    <s v="RECORD COUNT by MBR_ID, DOS_THRU_DT, DX_CD Grain grouped by PAYER, SRC_FILE_NM, DOS_THRU_YYYYMM"/>
  </r>
  <r>
    <x v="2"/>
    <s v="FINGLOBL_PE202502_REMAO004.TXT"/>
    <x v="97"/>
    <x v="9"/>
    <n v="654"/>
    <n v="145626"/>
    <n v="0.45"/>
    <s v="DQS_MAO04_FILE_000_B"/>
    <s v="RECORD COUNT by MBR_ID, DOS_THRU_DT, DX_CD Grain grouped by PAYER, SRC_FILE_NM, DOS_THRU_YYYYMM"/>
  </r>
  <r>
    <x v="2"/>
    <s v="FINGLOBL_PE202502_REMAO004.TXT"/>
    <x v="98"/>
    <x v="9"/>
    <n v="999"/>
    <n v="145626"/>
    <n v="0.69"/>
    <s v="DQS_MAO04_FILE_000_B"/>
    <s v="RECORD COUNT by MBR_ID, DOS_THRU_DT, DX_CD Grain grouped by PAYER, SRC_FILE_NM, DOS_THRU_YYYYMM"/>
  </r>
  <r>
    <x v="2"/>
    <s v="FINGLOBL_PE202502_REMAO004.TXT"/>
    <x v="99"/>
    <x v="9"/>
    <n v="952"/>
    <n v="145626"/>
    <n v="0.65"/>
    <s v="DQS_MAO04_FILE_000_B"/>
    <s v="RECORD COUNT by MBR_ID, DOS_THRU_DT, DX_CD Grain grouped by PAYER, SRC_FILE_NM, DOS_THRU_YYYYMM"/>
  </r>
  <r>
    <x v="2"/>
    <s v="FINGLOBL_PE202502_REMAO004.TXT"/>
    <x v="100"/>
    <x v="9"/>
    <n v="1007"/>
    <n v="145626"/>
    <n v="0.69"/>
    <s v="DQS_MAO04_FILE_000_B"/>
    <s v="RECORD COUNT by MBR_ID, DOS_THRU_DT, DX_CD Grain grouped by PAYER, SRC_FILE_NM, DOS_THRU_YYYYMM"/>
  </r>
  <r>
    <x v="2"/>
    <s v="FINGLOBL_PE202502_REMAO004.TXT"/>
    <x v="102"/>
    <x v="9"/>
    <n v="1374"/>
    <n v="145626"/>
    <n v="0.94"/>
    <s v="DQS_MAO04_FILE_000_B"/>
    <s v="RECORD COUNT by MBR_ID, DOS_THRU_DT, DX_CD Grain grouped by PAYER, SRC_FILE_NM, DOS_THRU_YYYYMM"/>
  </r>
  <r>
    <x v="2"/>
    <s v="FINGLOBL_PE202502_REMAO004.TXT"/>
    <x v="103"/>
    <x v="9"/>
    <n v="1631"/>
    <n v="145626"/>
    <n v="1.1200000000000001"/>
    <s v="DQS_MAO04_FILE_000_B"/>
    <s v="RECORD COUNT by MBR_ID, DOS_THRU_DT, DX_CD Grain grouped by PAYER, SRC_FILE_NM, DOS_THRU_YYYYMM"/>
  </r>
  <r>
    <x v="2"/>
    <s v="FINGLOBL_PE202502_REMAO004.TXT"/>
    <x v="105"/>
    <x v="9"/>
    <n v="2740"/>
    <n v="145626"/>
    <n v="1.88"/>
    <s v="DQS_MAO04_FILE_000_B"/>
    <s v="RECORD COUNT by MBR_ID, DOS_THRU_DT, DX_CD Grain grouped by PAYER, SRC_FILE_NM, DOS_THRU_YYYYMM"/>
  </r>
  <r>
    <x v="2"/>
    <s v="FINGLOBL_PE202502_REMAO004.TXT"/>
    <x v="106"/>
    <x v="9"/>
    <n v="3602"/>
    <n v="145626"/>
    <n v="2.4700000000000002"/>
    <s v="DQS_MAO04_FILE_000_B"/>
    <s v="RECORD COUNT by MBR_ID, DOS_THRU_DT, DX_CD Grain grouped by PAYER, SRC_FILE_NM, DOS_THRU_YYYYMM"/>
  </r>
  <r>
    <x v="2"/>
    <s v="FINGLOBL_PE202502_REMAO004.TXT"/>
    <x v="107"/>
    <x v="9"/>
    <n v="9861"/>
    <n v="145626"/>
    <n v="6.77"/>
    <s v="DQS_MAO04_FILE_000_B"/>
    <s v="RECORD COUNT by MBR_ID, DOS_THRU_DT, DX_CD Grain grouped by PAYER, SRC_FILE_NM, DOS_THRU_YYYYMM"/>
  </r>
  <r>
    <x v="2"/>
    <s v="FINGLOBL_PE202502_REMAO004.TXT"/>
    <x v="108"/>
    <x v="9"/>
    <n v="61730"/>
    <n v="145626"/>
    <n v="42.39"/>
    <s v="DQS_MAO04_FILE_000_B"/>
    <s v="RECORD COUNT by MBR_ID, DOS_THRU_DT, DX_CD Grain grouped by PAYER, SRC_FILE_NM, DOS_THRU_YYYYMM"/>
  </r>
  <r>
    <x v="2"/>
    <s v="FINGLOBL_PE202502_REMAO004.TXT"/>
    <x v="109"/>
    <x v="9"/>
    <n v="50290"/>
    <n v="145626"/>
    <n v="34.53"/>
    <s v="DQS_MAO04_FILE_000_B"/>
    <s v="RECORD COUNT by MBR_ID, DOS_THRU_DT, DX_CD Grain grouped by PAYER, SRC_FILE_NM, DOS_THRU_YYYYMM"/>
  </r>
  <r>
    <x v="2"/>
    <s v="FINGLOBL_PE202503_REMAO004.TXT"/>
    <x v="22"/>
    <x v="3"/>
    <n v="2"/>
    <n v="147957"/>
    <n v="0"/>
    <s v="DQS_MAO04_FILE_000_B"/>
    <s v="RECORD COUNT by MBR_ID, DOS_THRU_DT, DX_CD Grain grouped by PAYER, SRC_FILE_NM, DOS_THRU_YYYYMM"/>
  </r>
  <r>
    <x v="2"/>
    <s v="FINGLOBL_PE202503_REMAO004.TXT"/>
    <x v="45"/>
    <x v="5"/>
    <n v="4"/>
    <n v="147957"/>
    <n v="0"/>
    <s v="DQS_MAO04_FILE_000_B"/>
    <s v="RECORD COUNT by MBR_ID, DOS_THRU_DT, DX_CD Grain grouped by PAYER, SRC_FILE_NM, DOS_THRU_YYYYMM"/>
  </r>
  <r>
    <x v="2"/>
    <s v="FINGLOBL_PE202503_REMAO004.TXT"/>
    <x v="48"/>
    <x v="5"/>
    <n v="9"/>
    <n v="147957"/>
    <n v="0.01"/>
    <s v="DQS_MAO04_FILE_000_B"/>
    <s v="RECORD COUNT by MBR_ID, DOS_THRU_DT, DX_CD Grain grouped by PAYER, SRC_FILE_NM, DOS_THRU_YYYYMM"/>
  </r>
  <r>
    <x v="2"/>
    <s v="FINGLOBL_PE202503_REMAO004.TXT"/>
    <x v="65"/>
    <x v="7"/>
    <n v="10"/>
    <n v="147957"/>
    <n v="0.01"/>
    <s v="DQS_MAO04_FILE_000_B"/>
    <s v="RECORD COUNT by MBR_ID, DOS_THRU_DT, DX_CD Grain grouped by PAYER, SRC_FILE_NM, DOS_THRU_YYYYMM"/>
  </r>
  <r>
    <x v="2"/>
    <s v="FINGLOBL_PE202503_REMAO004.TXT"/>
    <x v="67"/>
    <x v="7"/>
    <n v="1"/>
    <n v="147957"/>
    <n v="0"/>
    <s v="DQS_MAO04_FILE_000_B"/>
    <s v="RECORD COUNT by MBR_ID, DOS_THRU_DT, DX_CD Grain grouped by PAYER, SRC_FILE_NM, DOS_THRU_YYYYMM"/>
  </r>
  <r>
    <x v="2"/>
    <s v="FINGLOBL_PE202503_REMAO004.TXT"/>
    <x v="69"/>
    <x v="7"/>
    <n v="1"/>
    <n v="147957"/>
    <n v="0"/>
    <s v="DQS_MAO04_FILE_000_B"/>
    <s v="RECORD COUNT by MBR_ID, DOS_THRU_DT, DX_CD Grain grouped by PAYER, SRC_FILE_NM, DOS_THRU_YYYYMM"/>
  </r>
  <r>
    <x v="2"/>
    <s v="FINGLOBL_PE202503_REMAO004.TXT"/>
    <x v="70"/>
    <x v="7"/>
    <n v="2"/>
    <n v="147957"/>
    <n v="0"/>
    <s v="DQS_MAO04_FILE_000_B"/>
    <s v="RECORD COUNT by MBR_ID, DOS_THRU_DT, DX_CD Grain grouped by PAYER, SRC_FILE_NM, DOS_THRU_YYYYMM"/>
  </r>
  <r>
    <x v="2"/>
    <s v="FINGLOBL_PE202503_REMAO004.TXT"/>
    <x v="72"/>
    <x v="7"/>
    <n v="21"/>
    <n v="147957"/>
    <n v="0.01"/>
    <s v="DQS_MAO04_FILE_000_B"/>
    <s v="RECORD COUNT by MBR_ID, DOS_THRU_DT, DX_CD Grain grouped by PAYER, SRC_FILE_NM, DOS_THRU_YYYYMM"/>
  </r>
  <r>
    <x v="2"/>
    <s v="FINGLOBL_PE202503_REMAO004.TXT"/>
    <x v="73"/>
    <x v="7"/>
    <n v="129"/>
    <n v="147957"/>
    <n v="0.09"/>
    <s v="DQS_MAO04_FILE_000_B"/>
    <s v="RECORD COUNT by MBR_ID, DOS_THRU_DT, DX_CD Grain grouped by PAYER, SRC_FILE_NM, DOS_THRU_YYYYMM"/>
  </r>
  <r>
    <x v="2"/>
    <s v="FINGLOBL_PE202503_REMAO004.TXT"/>
    <x v="74"/>
    <x v="7"/>
    <n v="217"/>
    <n v="147957"/>
    <n v="0.15"/>
    <s v="DQS_MAO04_FILE_000_B"/>
    <s v="RECORD COUNT by MBR_ID, DOS_THRU_DT, DX_CD Grain grouped by PAYER, SRC_FILE_NM, DOS_THRU_YYYYMM"/>
  </r>
  <r>
    <x v="2"/>
    <s v="FINGLOBL_PE202503_REMAO004.TXT"/>
    <x v="75"/>
    <x v="7"/>
    <n v="298"/>
    <n v="147957"/>
    <n v="0.2"/>
    <s v="DQS_MAO04_FILE_000_B"/>
    <s v="RECORD COUNT by MBR_ID, DOS_THRU_DT, DX_CD Grain grouped by PAYER, SRC_FILE_NM, DOS_THRU_YYYYMM"/>
  </r>
  <r>
    <x v="2"/>
    <s v="FINGLOBL_PE202503_REMAO004.TXT"/>
    <x v="76"/>
    <x v="7"/>
    <n v="367"/>
    <n v="147957"/>
    <n v="0.25"/>
    <s v="DQS_MAO04_FILE_000_B"/>
    <s v="RECORD COUNT by MBR_ID, DOS_THRU_DT, DX_CD Grain grouped by PAYER, SRC_FILE_NM, DOS_THRU_YYYYMM"/>
  </r>
  <r>
    <x v="2"/>
    <s v="FINGLOBL_PE202503_REMAO004.TXT"/>
    <x v="77"/>
    <x v="8"/>
    <n v="345"/>
    <n v="147957"/>
    <n v="0.23"/>
    <s v="DQS_MAO04_FILE_000_B"/>
    <s v="RECORD COUNT by MBR_ID, DOS_THRU_DT, DX_CD Grain grouped by PAYER, SRC_FILE_NM, DOS_THRU_YYYYMM"/>
  </r>
  <r>
    <x v="2"/>
    <s v="FINGLOBL_PE202503_REMAO004.TXT"/>
    <x v="78"/>
    <x v="8"/>
    <n v="352"/>
    <n v="147957"/>
    <n v="0.24"/>
    <s v="DQS_MAO04_FILE_000_B"/>
    <s v="RECORD COUNT by MBR_ID, DOS_THRU_DT, DX_CD Grain grouped by PAYER, SRC_FILE_NM, DOS_THRU_YYYYMM"/>
  </r>
  <r>
    <x v="2"/>
    <s v="FINGLOBL_PE202503_REMAO004.TXT"/>
    <x v="79"/>
    <x v="8"/>
    <n v="536"/>
    <n v="147957"/>
    <n v="0.36"/>
    <s v="DQS_MAO04_FILE_000_B"/>
    <s v="RECORD COUNT by MBR_ID, DOS_THRU_DT, DX_CD Grain grouped by PAYER, SRC_FILE_NM, DOS_THRU_YYYYMM"/>
  </r>
  <r>
    <x v="2"/>
    <s v="FINGLOBL_PE202503_REMAO004.TXT"/>
    <x v="80"/>
    <x v="8"/>
    <n v="87"/>
    <n v="147957"/>
    <n v="0.06"/>
    <s v="DQS_MAO04_FILE_000_B"/>
    <s v="RECORD COUNT by MBR_ID, DOS_THRU_DT, DX_CD Grain grouped by PAYER, SRC_FILE_NM, DOS_THRU_YYYYMM"/>
  </r>
  <r>
    <x v="2"/>
    <s v="FINGLOBL_PE202503_REMAO004.TXT"/>
    <x v="81"/>
    <x v="8"/>
    <n v="143"/>
    <n v="147957"/>
    <n v="0.1"/>
    <s v="DQS_MAO04_FILE_000_B"/>
    <s v="RECORD COUNT by MBR_ID, DOS_THRU_DT, DX_CD Grain grouped by PAYER, SRC_FILE_NM, DOS_THRU_YYYYMM"/>
  </r>
  <r>
    <x v="2"/>
    <s v="FINGLOBL_PE202503_REMAO004.TXT"/>
    <x v="82"/>
    <x v="8"/>
    <n v="251"/>
    <n v="147957"/>
    <n v="0.17"/>
    <s v="DQS_MAO04_FILE_000_B"/>
    <s v="RECORD COUNT by MBR_ID, DOS_THRU_DT, DX_CD Grain grouped by PAYER, SRC_FILE_NM, DOS_THRU_YYYYMM"/>
  </r>
  <r>
    <x v="2"/>
    <s v="FINGLOBL_PE202503_REMAO004.TXT"/>
    <x v="83"/>
    <x v="8"/>
    <n v="109"/>
    <n v="147957"/>
    <n v="7.0000000000000007E-2"/>
    <s v="DQS_MAO04_FILE_000_B"/>
    <s v="RECORD COUNT by MBR_ID, DOS_THRU_DT, DX_CD Grain grouped by PAYER, SRC_FILE_NM, DOS_THRU_YYYYMM"/>
  </r>
  <r>
    <x v="2"/>
    <s v="FINGLOBL_PE202503_REMAO004.TXT"/>
    <x v="84"/>
    <x v="8"/>
    <n v="360"/>
    <n v="147957"/>
    <n v="0.24"/>
    <s v="DQS_MAO04_FILE_000_B"/>
    <s v="RECORD COUNT by MBR_ID, DOS_THRU_DT, DX_CD Grain grouped by PAYER, SRC_FILE_NM, DOS_THRU_YYYYMM"/>
  </r>
  <r>
    <x v="2"/>
    <s v="FINGLOBL_PE202503_REMAO004.TXT"/>
    <x v="85"/>
    <x v="8"/>
    <n v="327"/>
    <n v="147957"/>
    <n v="0.22"/>
    <s v="DQS_MAO04_FILE_000_B"/>
    <s v="RECORD COUNT by MBR_ID, DOS_THRU_DT, DX_CD Grain grouped by PAYER, SRC_FILE_NM, DOS_THRU_YYYYMM"/>
  </r>
  <r>
    <x v="2"/>
    <s v="FINGLOBL_PE202503_REMAO004.TXT"/>
    <x v="86"/>
    <x v="8"/>
    <n v="459"/>
    <n v="147957"/>
    <n v="0.31"/>
    <s v="DQS_MAO04_FILE_000_B"/>
    <s v="RECORD COUNT by MBR_ID, DOS_THRU_DT, DX_CD Grain grouped by PAYER, SRC_FILE_NM, DOS_THRU_YYYYMM"/>
  </r>
  <r>
    <x v="2"/>
    <s v="FINGLOBL_PE202503_REMAO004.TXT"/>
    <x v="87"/>
    <x v="8"/>
    <n v="680"/>
    <n v="147957"/>
    <n v="0.46"/>
    <s v="DQS_MAO04_FILE_000_B"/>
    <s v="RECORD COUNT by MBR_ID, DOS_THRU_DT, DX_CD Grain grouped by PAYER, SRC_FILE_NM, DOS_THRU_YYYYMM"/>
  </r>
  <r>
    <x v="2"/>
    <s v="FINGLOBL_PE202503_REMAO004.TXT"/>
    <x v="88"/>
    <x v="8"/>
    <n v="414"/>
    <n v="147957"/>
    <n v="0.28000000000000003"/>
    <s v="DQS_MAO04_FILE_000_B"/>
    <s v="RECORD COUNT by MBR_ID, DOS_THRU_DT, DX_CD Grain grouped by PAYER, SRC_FILE_NM, DOS_THRU_YYYYMM"/>
  </r>
  <r>
    <x v="2"/>
    <s v="FINGLOBL_PE202503_REMAO004.TXT"/>
    <x v="89"/>
    <x v="9"/>
    <n v="1706"/>
    <n v="147957"/>
    <n v="1.1499999999999999"/>
    <s v="DQS_MAO04_FILE_000_B"/>
    <s v="RECORD COUNT by MBR_ID, DOS_THRU_DT, DX_CD Grain grouped by PAYER, SRC_FILE_NM, DOS_THRU_YYYYMM"/>
  </r>
  <r>
    <x v="2"/>
    <s v="FINGLOBL_PE202503_REMAO004.TXT"/>
    <x v="97"/>
    <x v="9"/>
    <n v="2341"/>
    <n v="147957"/>
    <n v="1.58"/>
    <s v="DQS_MAO04_FILE_000_B"/>
    <s v="RECORD COUNT by MBR_ID, DOS_THRU_DT, DX_CD Grain grouped by PAYER, SRC_FILE_NM, DOS_THRU_YYYYMM"/>
  </r>
  <r>
    <x v="2"/>
    <s v="FINGLOBL_PE202503_REMAO004.TXT"/>
    <x v="98"/>
    <x v="9"/>
    <n v="3054"/>
    <n v="147957"/>
    <n v="2.06"/>
    <s v="DQS_MAO04_FILE_000_B"/>
    <s v="RECORD COUNT by MBR_ID, DOS_THRU_DT, DX_CD Grain grouped by PAYER, SRC_FILE_NM, DOS_THRU_YYYYMM"/>
  </r>
  <r>
    <x v="2"/>
    <s v="FINGLOBL_PE202503_REMAO004.TXT"/>
    <x v="99"/>
    <x v="9"/>
    <n v="2028"/>
    <n v="147957"/>
    <n v="1.37"/>
    <s v="DQS_MAO04_FILE_000_B"/>
    <s v="RECORD COUNT by MBR_ID, DOS_THRU_DT, DX_CD Grain grouped by PAYER, SRC_FILE_NM, DOS_THRU_YYYYMM"/>
  </r>
  <r>
    <x v="2"/>
    <s v="FINGLOBL_PE202503_REMAO004.TXT"/>
    <x v="100"/>
    <x v="9"/>
    <n v="2117"/>
    <n v="147957"/>
    <n v="1.43"/>
    <s v="DQS_MAO04_FILE_000_B"/>
    <s v="RECORD COUNT by MBR_ID, DOS_THRU_DT, DX_CD Grain grouped by PAYER, SRC_FILE_NM, DOS_THRU_YYYYMM"/>
  </r>
  <r>
    <x v="2"/>
    <s v="FINGLOBL_PE202503_REMAO004.TXT"/>
    <x v="102"/>
    <x v="9"/>
    <n v="1821"/>
    <n v="147957"/>
    <n v="1.23"/>
    <s v="DQS_MAO04_FILE_000_B"/>
    <s v="RECORD COUNT by MBR_ID, DOS_THRU_DT, DX_CD Grain grouped by PAYER, SRC_FILE_NM, DOS_THRU_YYYYMM"/>
  </r>
  <r>
    <x v="2"/>
    <s v="FINGLOBL_PE202503_REMAO004.TXT"/>
    <x v="103"/>
    <x v="9"/>
    <n v="2346"/>
    <n v="147957"/>
    <n v="1.59"/>
    <s v="DQS_MAO04_FILE_000_B"/>
    <s v="RECORD COUNT by MBR_ID, DOS_THRU_DT, DX_CD Grain grouped by PAYER, SRC_FILE_NM, DOS_THRU_YYYYMM"/>
  </r>
  <r>
    <x v="2"/>
    <s v="FINGLOBL_PE202503_REMAO004.TXT"/>
    <x v="105"/>
    <x v="9"/>
    <n v="1917"/>
    <n v="147957"/>
    <n v="1.3"/>
    <s v="DQS_MAO04_FILE_000_B"/>
    <s v="RECORD COUNT by MBR_ID, DOS_THRU_DT, DX_CD Grain grouped by PAYER, SRC_FILE_NM, DOS_THRU_YYYYMM"/>
  </r>
  <r>
    <x v="2"/>
    <s v="FINGLOBL_PE202503_REMAO004.TXT"/>
    <x v="106"/>
    <x v="9"/>
    <n v="2650"/>
    <n v="147957"/>
    <n v="1.79"/>
    <s v="DQS_MAO04_FILE_000_B"/>
    <s v="RECORD COUNT by MBR_ID, DOS_THRU_DT, DX_CD Grain grouped by PAYER, SRC_FILE_NM, DOS_THRU_YYYYMM"/>
  </r>
  <r>
    <x v="2"/>
    <s v="FINGLOBL_PE202503_REMAO004.TXT"/>
    <x v="107"/>
    <x v="9"/>
    <n v="4563"/>
    <n v="147957"/>
    <n v="3.08"/>
    <s v="DQS_MAO04_FILE_000_B"/>
    <s v="RECORD COUNT by MBR_ID, DOS_THRU_DT, DX_CD Grain grouped by PAYER, SRC_FILE_NM, DOS_THRU_YYYYMM"/>
  </r>
  <r>
    <x v="2"/>
    <s v="FINGLOBL_PE202503_REMAO004.TXT"/>
    <x v="108"/>
    <x v="9"/>
    <n v="11241"/>
    <n v="147957"/>
    <n v="7.6"/>
    <s v="DQS_MAO04_FILE_000_B"/>
    <s v="RECORD COUNT by MBR_ID, DOS_THRU_DT, DX_CD Grain grouped by PAYER, SRC_FILE_NM, DOS_THRU_YYYYMM"/>
  </r>
  <r>
    <x v="2"/>
    <s v="FINGLOBL_PE202503_REMAO004.TXT"/>
    <x v="109"/>
    <x v="9"/>
    <n v="66900"/>
    <n v="147957"/>
    <n v="45.22"/>
    <s v="DQS_MAO04_FILE_000_B"/>
    <s v="RECORD COUNT by MBR_ID, DOS_THRU_DT, DX_CD Grain grouped by PAYER, SRC_FILE_NM, DOS_THRU_YYYYMM"/>
  </r>
  <r>
    <x v="2"/>
    <s v="FINGLOBL_PE202503_REMAO004.TXT"/>
    <x v="110"/>
    <x v="11"/>
    <n v="40149"/>
    <n v="147957"/>
    <n v="27.14"/>
    <s v="DQS_MAO04_FILE_000_B"/>
    <s v="RECORD COUNT by MBR_ID, DOS_THRU_DT, DX_CD Grain grouped by PAYER, SRC_FILE_NM, DOS_THRU_YYYYMM"/>
  </r>
  <r>
    <x v="2"/>
    <s v="FINGLOBL_PE202504_REMAO004.TXT"/>
    <x v="26"/>
    <x v="3"/>
    <n v="1"/>
    <n v="177622"/>
    <n v="0"/>
    <s v="DQS_MAO04_FILE_000_B"/>
    <s v="RECORD COUNT by MBR_ID, DOS_THRU_DT, DX_CD Grain grouped by PAYER, SRC_FILE_NM, DOS_THRU_YYYYMM"/>
  </r>
  <r>
    <x v="2"/>
    <s v="FINGLOBL_PE202504_REMAO004.TXT"/>
    <x v="53"/>
    <x v="6"/>
    <n v="6"/>
    <n v="177622"/>
    <n v="0"/>
    <s v="DQS_MAO04_FILE_000_B"/>
    <s v="RECORD COUNT by MBR_ID, DOS_THRU_DT, DX_CD Grain grouped by PAYER, SRC_FILE_NM, DOS_THRU_YYYYMM"/>
  </r>
  <r>
    <x v="2"/>
    <s v="FINGLOBL_PE202504_REMAO004.TXT"/>
    <x v="57"/>
    <x v="6"/>
    <n v="101"/>
    <n v="177622"/>
    <n v="0.06"/>
    <s v="DQS_MAO04_FILE_000_B"/>
    <s v="RECORD COUNT by MBR_ID, DOS_THRU_DT, DX_CD Grain grouped by PAYER, SRC_FILE_NM, DOS_THRU_YYYYMM"/>
  </r>
  <r>
    <x v="2"/>
    <s v="FINGLOBL_PE202504_REMAO004.TXT"/>
    <x v="58"/>
    <x v="6"/>
    <n v="6"/>
    <n v="177622"/>
    <n v="0"/>
    <s v="DQS_MAO04_FILE_000_B"/>
    <s v="RECORD COUNT by MBR_ID, DOS_THRU_DT, DX_CD Grain grouped by PAYER, SRC_FILE_NM, DOS_THRU_YYYYMM"/>
  </r>
  <r>
    <x v="2"/>
    <s v="FINGLOBL_PE202504_REMAO004.TXT"/>
    <x v="59"/>
    <x v="6"/>
    <n v="2"/>
    <n v="177622"/>
    <n v="0"/>
    <s v="DQS_MAO04_FILE_000_B"/>
    <s v="RECORD COUNT by MBR_ID, DOS_THRU_DT, DX_CD Grain grouped by PAYER, SRC_FILE_NM, DOS_THRU_YYYYMM"/>
  </r>
  <r>
    <x v="2"/>
    <s v="FINGLOBL_PE202504_REMAO004.TXT"/>
    <x v="60"/>
    <x v="6"/>
    <n v="6"/>
    <n v="177622"/>
    <n v="0"/>
    <s v="DQS_MAO04_FILE_000_B"/>
    <s v="RECORD COUNT by MBR_ID, DOS_THRU_DT, DX_CD Grain grouped by PAYER, SRC_FILE_NM, DOS_THRU_YYYYMM"/>
  </r>
  <r>
    <x v="2"/>
    <s v="FINGLOBL_PE202504_REMAO004.TXT"/>
    <x v="61"/>
    <x v="6"/>
    <n v="3"/>
    <n v="177622"/>
    <n v="0"/>
    <s v="DQS_MAO04_FILE_000_B"/>
    <s v="RECORD COUNT by MBR_ID, DOS_THRU_DT, DX_CD Grain grouped by PAYER, SRC_FILE_NM, DOS_THRU_YYYYMM"/>
  </r>
  <r>
    <x v="2"/>
    <s v="FINGLOBL_PE202504_REMAO004.TXT"/>
    <x v="62"/>
    <x v="6"/>
    <n v="1"/>
    <n v="177622"/>
    <n v="0"/>
    <s v="DQS_MAO04_FILE_000_B"/>
    <s v="RECORD COUNT by MBR_ID, DOS_THRU_DT, DX_CD Grain grouped by PAYER, SRC_FILE_NM, DOS_THRU_YYYYMM"/>
  </r>
  <r>
    <x v="2"/>
    <s v="FINGLOBL_PE202504_REMAO004.TXT"/>
    <x v="63"/>
    <x v="6"/>
    <n v="1"/>
    <n v="177622"/>
    <n v="0"/>
    <s v="DQS_MAO04_FILE_000_B"/>
    <s v="RECORD COUNT by MBR_ID, DOS_THRU_DT, DX_CD Grain grouped by PAYER, SRC_FILE_NM, DOS_THRU_YYYYMM"/>
  </r>
  <r>
    <x v="2"/>
    <s v="FINGLOBL_PE202504_REMAO004.TXT"/>
    <x v="64"/>
    <x v="6"/>
    <n v="6"/>
    <n v="177622"/>
    <n v="0"/>
    <s v="DQS_MAO04_FILE_000_B"/>
    <s v="RECORD COUNT by MBR_ID, DOS_THRU_DT, DX_CD Grain grouped by PAYER, SRC_FILE_NM, DOS_THRU_YYYYMM"/>
  </r>
  <r>
    <x v="2"/>
    <s v="FINGLOBL_PE202504_REMAO004.TXT"/>
    <x v="67"/>
    <x v="7"/>
    <n v="1"/>
    <n v="177622"/>
    <n v="0"/>
    <s v="DQS_MAO04_FILE_000_B"/>
    <s v="RECORD COUNT by MBR_ID, DOS_THRU_DT, DX_CD Grain grouped by PAYER, SRC_FILE_NM, DOS_THRU_YYYYMM"/>
  </r>
  <r>
    <x v="2"/>
    <s v="FINGLOBL_PE202504_REMAO004.TXT"/>
    <x v="70"/>
    <x v="7"/>
    <n v="11"/>
    <n v="177622"/>
    <n v="0.01"/>
    <s v="DQS_MAO04_FILE_000_B"/>
    <s v="RECORD COUNT by MBR_ID, DOS_THRU_DT, DX_CD Grain grouped by PAYER, SRC_FILE_NM, DOS_THRU_YYYYMM"/>
  </r>
  <r>
    <x v="2"/>
    <s v="FINGLOBL_PE202504_REMAO004.TXT"/>
    <x v="71"/>
    <x v="7"/>
    <n v="10"/>
    <n v="177622"/>
    <n v="0.01"/>
    <s v="DQS_MAO04_FILE_000_B"/>
    <s v="RECORD COUNT by MBR_ID, DOS_THRU_DT, DX_CD Grain grouped by PAYER, SRC_FILE_NM, DOS_THRU_YYYYMM"/>
  </r>
  <r>
    <x v="2"/>
    <s v="FINGLOBL_PE202504_REMAO004.TXT"/>
    <x v="72"/>
    <x v="7"/>
    <n v="17"/>
    <n v="177622"/>
    <n v="0.01"/>
    <s v="DQS_MAO04_FILE_000_B"/>
    <s v="RECORD COUNT by MBR_ID, DOS_THRU_DT, DX_CD Grain grouped by PAYER, SRC_FILE_NM, DOS_THRU_YYYYMM"/>
  </r>
  <r>
    <x v="2"/>
    <s v="FINGLOBL_PE202504_REMAO004.TXT"/>
    <x v="73"/>
    <x v="7"/>
    <n v="29"/>
    <n v="177622"/>
    <n v="0.02"/>
    <s v="DQS_MAO04_FILE_000_B"/>
    <s v="RECORD COUNT by MBR_ID, DOS_THRU_DT, DX_CD Grain grouped by PAYER, SRC_FILE_NM, DOS_THRU_YYYYMM"/>
  </r>
  <r>
    <x v="2"/>
    <s v="FINGLOBL_PE202504_REMAO004.TXT"/>
    <x v="74"/>
    <x v="7"/>
    <n v="103"/>
    <n v="177622"/>
    <n v="0.06"/>
    <s v="DQS_MAO04_FILE_000_B"/>
    <s v="RECORD COUNT by MBR_ID, DOS_THRU_DT, DX_CD Grain grouped by PAYER, SRC_FILE_NM, DOS_THRU_YYYYMM"/>
  </r>
  <r>
    <x v="2"/>
    <s v="FINGLOBL_PE202504_REMAO004.TXT"/>
    <x v="75"/>
    <x v="7"/>
    <n v="35"/>
    <n v="177622"/>
    <n v="0.02"/>
    <s v="DQS_MAO04_FILE_000_B"/>
    <s v="RECORD COUNT by MBR_ID, DOS_THRU_DT, DX_CD Grain grouped by PAYER, SRC_FILE_NM, DOS_THRU_YYYYMM"/>
  </r>
  <r>
    <x v="2"/>
    <s v="FINGLOBL_PE202504_REMAO004.TXT"/>
    <x v="76"/>
    <x v="7"/>
    <n v="108"/>
    <n v="177622"/>
    <n v="0.06"/>
    <s v="DQS_MAO04_FILE_000_B"/>
    <s v="RECORD COUNT by MBR_ID, DOS_THRU_DT, DX_CD Grain grouped by PAYER, SRC_FILE_NM, DOS_THRU_YYYYMM"/>
  </r>
  <r>
    <x v="2"/>
    <s v="FINGLOBL_PE202504_REMAO004.TXT"/>
    <x v="77"/>
    <x v="8"/>
    <n v="84"/>
    <n v="177622"/>
    <n v="0.05"/>
    <s v="DQS_MAO04_FILE_000_B"/>
    <s v="RECORD COUNT by MBR_ID, DOS_THRU_DT, DX_CD Grain grouped by PAYER, SRC_FILE_NM, DOS_THRU_YYYYMM"/>
  </r>
  <r>
    <x v="2"/>
    <s v="FINGLOBL_PE202504_REMAO004.TXT"/>
    <x v="78"/>
    <x v="8"/>
    <n v="44"/>
    <n v="177622"/>
    <n v="0.02"/>
    <s v="DQS_MAO04_FILE_000_B"/>
    <s v="RECORD COUNT by MBR_ID, DOS_THRU_DT, DX_CD Grain grouped by PAYER, SRC_FILE_NM, DOS_THRU_YYYYMM"/>
  </r>
  <r>
    <x v="2"/>
    <s v="FINGLOBL_PE202504_REMAO004.TXT"/>
    <x v="79"/>
    <x v="8"/>
    <n v="136"/>
    <n v="177622"/>
    <n v="0.08"/>
    <s v="DQS_MAO04_FILE_000_B"/>
    <s v="RECORD COUNT by MBR_ID, DOS_THRU_DT, DX_CD Grain grouped by PAYER, SRC_FILE_NM, DOS_THRU_YYYYMM"/>
  </r>
  <r>
    <x v="2"/>
    <s v="FINGLOBL_PE202504_REMAO004.TXT"/>
    <x v="80"/>
    <x v="8"/>
    <n v="202"/>
    <n v="177622"/>
    <n v="0.11"/>
    <s v="DQS_MAO04_FILE_000_B"/>
    <s v="RECORD COUNT by MBR_ID, DOS_THRU_DT, DX_CD Grain grouped by PAYER, SRC_FILE_NM, DOS_THRU_YYYYMM"/>
  </r>
  <r>
    <x v="2"/>
    <s v="FINGLOBL_PE202504_REMAO004.TXT"/>
    <x v="81"/>
    <x v="8"/>
    <n v="80"/>
    <n v="177622"/>
    <n v="0.05"/>
    <s v="DQS_MAO04_FILE_000_B"/>
    <s v="RECORD COUNT by MBR_ID, DOS_THRU_DT, DX_CD Grain grouped by PAYER, SRC_FILE_NM, DOS_THRU_YYYYMM"/>
  </r>
  <r>
    <x v="2"/>
    <s v="FINGLOBL_PE202504_REMAO004.TXT"/>
    <x v="82"/>
    <x v="8"/>
    <n v="133"/>
    <n v="177622"/>
    <n v="7.0000000000000007E-2"/>
    <s v="DQS_MAO04_FILE_000_B"/>
    <s v="RECORD COUNT by MBR_ID, DOS_THRU_DT, DX_CD Grain grouped by PAYER, SRC_FILE_NM, DOS_THRU_YYYYMM"/>
  </r>
  <r>
    <x v="2"/>
    <s v="FINGLOBL_PE202504_REMAO004.TXT"/>
    <x v="83"/>
    <x v="8"/>
    <n v="124"/>
    <n v="177622"/>
    <n v="7.0000000000000007E-2"/>
    <s v="DQS_MAO04_FILE_000_B"/>
    <s v="RECORD COUNT by MBR_ID, DOS_THRU_DT, DX_CD Grain grouped by PAYER, SRC_FILE_NM, DOS_THRU_YYYYMM"/>
  </r>
  <r>
    <x v="2"/>
    <s v="FINGLOBL_PE202504_REMAO004.TXT"/>
    <x v="84"/>
    <x v="8"/>
    <n v="217"/>
    <n v="177622"/>
    <n v="0.12"/>
    <s v="DQS_MAO04_FILE_000_B"/>
    <s v="RECORD COUNT by MBR_ID, DOS_THRU_DT, DX_CD Grain grouped by PAYER, SRC_FILE_NM, DOS_THRU_YYYYMM"/>
  </r>
  <r>
    <x v="2"/>
    <s v="FINGLOBL_PE202504_REMAO004.TXT"/>
    <x v="85"/>
    <x v="8"/>
    <n v="125"/>
    <n v="177622"/>
    <n v="7.0000000000000007E-2"/>
    <s v="DQS_MAO04_FILE_000_B"/>
    <s v="RECORD COUNT by MBR_ID, DOS_THRU_DT, DX_CD Grain grouped by PAYER, SRC_FILE_NM, DOS_THRU_YYYYMM"/>
  </r>
  <r>
    <x v="2"/>
    <s v="FINGLOBL_PE202504_REMAO004.TXT"/>
    <x v="86"/>
    <x v="8"/>
    <n v="223"/>
    <n v="177622"/>
    <n v="0.13"/>
    <s v="DQS_MAO04_FILE_000_B"/>
    <s v="RECORD COUNT by MBR_ID, DOS_THRU_DT, DX_CD Grain grouped by PAYER, SRC_FILE_NM, DOS_THRU_YYYYMM"/>
  </r>
  <r>
    <x v="2"/>
    <s v="FINGLOBL_PE202504_REMAO004.TXT"/>
    <x v="87"/>
    <x v="8"/>
    <n v="331"/>
    <n v="177622"/>
    <n v="0.19"/>
    <s v="DQS_MAO04_FILE_000_B"/>
    <s v="RECORD COUNT by MBR_ID, DOS_THRU_DT, DX_CD Grain grouped by PAYER, SRC_FILE_NM, DOS_THRU_YYYYMM"/>
  </r>
  <r>
    <x v="2"/>
    <s v="FINGLOBL_PE202504_REMAO004.TXT"/>
    <x v="88"/>
    <x v="8"/>
    <n v="301"/>
    <n v="177622"/>
    <n v="0.17"/>
    <s v="DQS_MAO04_FILE_000_B"/>
    <s v="RECORD COUNT by MBR_ID, DOS_THRU_DT, DX_CD Grain grouped by PAYER, SRC_FILE_NM, DOS_THRU_YYYYMM"/>
  </r>
  <r>
    <x v="2"/>
    <s v="FINGLOBL_PE202504_REMAO004.TXT"/>
    <x v="89"/>
    <x v="9"/>
    <n v="684"/>
    <n v="177622"/>
    <n v="0.39"/>
    <s v="DQS_MAO04_FILE_000_B"/>
    <s v="RECORD COUNT by MBR_ID, DOS_THRU_DT, DX_CD Grain grouped by PAYER, SRC_FILE_NM, DOS_THRU_YYYYMM"/>
  </r>
  <r>
    <x v="2"/>
    <s v="FINGLOBL_PE202504_REMAO004.TXT"/>
    <x v="97"/>
    <x v="9"/>
    <n v="653"/>
    <n v="177622"/>
    <n v="0.37"/>
    <s v="DQS_MAO04_FILE_000_B"/>
    <s v="RECORD COUNT by MBR_ID, DOS_THRU_DT, DX_CD Grain grouped by PAYER, SRC_FILE_NM, DOS_THRU_YYYYMM"/>
  </r>
  <r>
    <x v="2"/>
    <s v="FINGLOBL_PE202504_REMAO004.TXT"/>
    <x v="98"/>
    <x v="9"/>
    <n v="888"/>
    <n v="177622"/>
    <n v="0.5"/>
    <s v="DQS_MAO04_FILE_000_B"/>
    <s v="RECORD COUNT by MBR_ID, DOS_THRU_DT, DX_CD Grain grouped by PAYER, SRC_FILE_NM, DOS_THRU_YYYYMM"/>
  </r>
  <r>
    <x v="2"/>
    <s v="FINGLOBL_PE202504_REMAO004.TXT"/>
    <x v="99"/>
    <x v="9"/>
    <n v="2743"/>
    <n v="177622"/>
    <n v="1.54"/>
    <s v="DQS_MAO04_FILE_000_B"/>
    <s v="RECORD COUNT by MBR_ID, DOS_THRU_DT, DX_CD Grain grouped by PAYER, SRC_FILE_NM, DOS_THRU_YYYYMM"/>
  </r>
  <r>
    <x v="2"/>
    <s v="FINGLOBL_PE202504_REMAO004.TXT"/>
    <x v="100"/>
    <x v="9"/>
    <n v="2138"/>
    <n v="177622"/>
    <n v="1.2"/>
    <s v="DQS_MAO04_FILE_000_B"/>
    <s v="RECORD COUNT by MBR_ID, DOS_THRU_DT, DX_CD Grain grouped by PAYER, SRC_FILE_NM, DOS_THRU_YYYYMM"/>
  </r>
  <r>
    <x v="2"/>
    <s v="FINGLOBL_PE202504_REMAO004.TXT"/>
    <x v="102"/>
    <x v="9"/>
    <n v="2901"/>
    <n v="177622"/>
    <n v="1.63"/>
    <s v="DQS_MAO04_FILE_000_B"/>
    <s v="RECORD COUNT by MBR_ID, DOS_THRU_DT, DX_CD Grain grouped by PAYER, SRC_FILE_NM, DOS_THRU_YYYYMM"/>
  </r>
  <r>
    <x v="2"/>
    <s v="FINGLOBL_PE202504_REMAO004.TXT"/>
    <x v="103"/>
    <x v="9"/>
    <n v="4397"/>
    <n v="177622"/>
    <n v="2.48"/>
    <s v="DQS_MAO04_FILE_000_B"/>
    <s v="RECORD COUNT by MBR_ID, DOS_THRU_DT, DX_CD Grain grouped by PAYER, SRC_FILE_NM, DOS_THRU_YYYYMM"/>
  </r>
  <r>
    <x v="2"/>
    <s v="FINGLOBL_PE202504_REMAO004.TXT"/>
    <x v="105"/>
    <x v="9"/>
    <n v="3846"/>
    <n v="177622"/>
    <n v="2.17"/>
    <s v="DQS_MAO04_FILE_000_B"/>
    <s v="RECORD COUNT by MBR_ID, DOS_THRU_DT, DX_CD Grain grouped by PAYER, SRC_FILE_NM, DOS_THRU_YYYYMM"/>
  </r>
  <r>
    <x v="2"/>
    <s v="FINGLOBL_PE202504_REMAO004.TXT"/>
    <x v="106"/>
    <x v="9"/>
    <n v="3930"/>
    <n v="177622"/>
    <n v="2.21"/>
    <s v="DQS_MAO04_FILE_000_B"/>
    <s v="RECORD COUNT by MBR_ID, DOS_THRU_DT, DX_CD Grain grouped by PAYER, SRC_FILE_NM, DOS_THRU_YYYYMM"/>
  </r>
  <r>
    <x v="2"/>
    <s v="FINGLOBL_PE202504_REMAO004.TXT"/>
    <x v="107"/>
    <x v="9"/>
    <n v="6281"/>
    <n v="177622"/>
    <n v="3.54"/>
    <s v="DQS_MAO04_FILE_000_B"/>
    <s v="RECORD COUNT by MBR_ID, DOS_THRU_DT, DX_CD Grain grouped by PAYER, SRC_FILE_NM, DOS_THRU_YYYYMM"/>
  </r>
  <r>
    <x v="2"/>
    <s v="FINGLOBL_PE202504_REMAO004.TXT"/>
    <x v="108"/>
    <x v="9"/>
    <n v="5628"/>
    <n v="177622"/>
    <n v="3.17"/>
    <s v="DQS_MAO04_FILE_000_B"/>
    <s v="RECORD COUNT by MBR_ID, DOS_THRU_DT, DX_CD Grain grouped by PAYER, SRC_FILE_NM, DOS_THRU_YYYYMM"/>
  </r>
  <r>
    <x v="2"/>
    <s v="FINGLOBL_PE202504_REMAO004.TXT"/>
    <x v="109"/>
    <x v="9"/>
    <n v="13321"/>
    <n v="177622"/>
    <n v="7.5"/>
    <s v="DQS_MAO04_FILE_000_B"/>
    <s v="RECORD COUNT by MBR_ID, DOS_THRU_DT, DX_CD Grain grouped by PAYER, SRC_FILE_NM, DOS_THRU_YYYYMM"/>
  </r>
  <r>
    <x v="2"/>
    <s v="FINGLOBL_PE202504_REMAO004.TXT"/>
    <x v="110"/>
    <x v="11"/>
    <n v="90921"/>
    <n v="177622"/>
    <n v="51.19"/>
    <s v="DQS_MAO04_FILE_000_B"/>
    <s v="RECORD COUNT by MBR_ID, DOS_THRU_DT, DX_CD Grain grouped by PAYER, SRC_FILE_NM, DOS_THRU_YYYYMM"/>
  </r>
  <r>
    <x v="2"/>
    <s v="FINGLOBL_PE202504_REMAO004.TXT"/>
    <x v="111"/>
    <x v="11"/>
    <n v="36844"/>
    <n v="177622"/>
    <n v="20.74"/>
    <s v="DQS_MAO04_FILE_000_B"/>
    <s v="RECORD COUNT by MBR_ID, DOS_THRU_DT, DX_CD Grain grouped by PAYER, SRC_FILE_NM, DOS_THRU_YYYYMM"/>
  </r>
  <r>
    <x v="2"/>
    <s v="FINGLOBL_PE202505_REMAO004.TXT"/>
    <x v="29"/>
    <x v="4"/>
    <n v="3"/>
    <n v="187381"/>
    <n v="0"/>
    <s v="DQS_MAO04_FILE_000_B"/>
    <s v="RECORD COUNT by MBR_ID, DOS_THRU_DT, DX_CD Grain grouped by PAYER, SRC_FILE_NM, DOS_THRU_YYYYMM"/>
  </r>
  <r>
    <x v="2"/>
    <s v="FINGLOBL_PE202505_REMAO004.TXT"/>
    <x v="45"/>
    <x v="5"/>
    <n v="12"/>
    <n v="187381"/>
    <n v="0.01"/>
    <s v="DQS_MAO04_FILE_000_B"/>
    <s v="RECORD COUNT by MBR_ID, DOS_THRU_DT, DX_CD Grain grouped by PAYER, SRC_FILE_NM, DOS_THRU_YYYYMM"/>
  </r>
  <r>
    <x v="2"/>
    <s v="FINGLOBL_PE202505_REMAO004.TXT"/>
    <x v="52"/>
    <x v="5"/>
    <n v="2"/>
    <n v="187381"/>
    <n v="0"/>
    <s v="DQS_MAO04_FILE_000_B"/>
    <s v="RECORD COUNT by MBR_ID, DOS_THRU_DT, DX_CD Grain grouped by PAYER, SRC_FILE_NM, DOS_THRU_YYYYMM"/>
  </r>
  <r>
    <x v="2"/>
    <s v="FINGLOBL_PE202505_REMAO004.TXT"/>
    <x v="53"/>
    <x v="6"/>
    <n v="9"/>
    <n v="187381"/>
    <n v="0"/>
    <s v="DQS_MAO04_FILE_000_B"/>
    <s v="RECORD COUNT by MBR_ID, DOS_THRU_DT, DX_CD Grain grouped by PAYER, SRC_FILE_NM, DOS_THRU_YYYYMM"/>
  </r>
  <r>
    <x v="2"/>
    <s v="FINGLOBL_PE202505_REMAO004.TXT"/>
    <x v="54"/>
    <x v="6"/>
    <n v="9"/>
    <n v="187381"/>
    <n v="0"/>
    <s v="DQS_MAO04_FILE_000_B"/>
    <s v="RECORD COUNT by MBR_ID, DOS_THRU_DT, DX_CD Grain grouped by PAYER, SRC_FILE_NM, DOS_THRU_YYYYMM"/>
  </r>
  <r>
    <x v="2"/>
    <s v="FINGLOBL_PE202505_REMAO004.TXT"/>
    <x v="56"/>
    <x v="6"/>
    <n v="3"/>
    <n v="187381"/>
    <n v="0"/>
    <s v="DQS_MAO04_FILE_000_B"/>
    <s v="RECORD COUNT by MBR_ID, DOS_THRU_DT, DX_CD Grain grouped by PAYER, SRC_FILE_NM, DOS_THRU_YYYYMM"/>
  </r>
  <r>
    <x v="2"/>
    <s v="FINGLOBL_PE202505_REMAO004.TXT"/>
    <x v="57"/>
    <x v="6"/>
    <n v="25"/>
    <n v="187381"/>
    <n v="0.01"/>
    <s v="DQS_MAO04_FILE_000_B"/>
    <s v="RECORD COUNT by MBR_ID, DOS_THRU_DT, DX_CD Grain grouped by PAYER, SRC_FILE_NM, DOS_THRU_YYYYMM"/>
  </r>
  <r>
    <x v="2"/>
    <s v="FINGLOBL_PE202505_REMAO004.TXT"/>
    <x v="58"/>
    <x v="6"/>
    <n v="10"/>
    <n v="187381"/>
    <n v="0.01"/>
    <s v="DQS_MAO04_FILE_000_B"/>
    <s v="RECORD COUNT by MBR_ID, DOS_THRU_DT, DX_CD Grain grouped by PAYER, SRC_FILE_NM, DOS_THRU_YYYYMM"/>
  </r>
  <r>
    <x v="2"/>
    <s v="FINGLOBL_PE202505_REMAO004.TXT"/>
    <x v="59"/>
    <x v="6"/>
    <n v="25"/>
    <n v="187381"/>
    <n v="0.01"/>
    <s v="DQS_MAO04_FILE_000_B"/>
    <s v="RECORD COUNT by MBR_ID, DOS_THRU_DT, DX_CD Grain grouped by PAYER, SRC_FILE_NM, DOS_THRU_YYYYMM"/>
  </r>
  <r>
    <x v="2"/>
    <s v="FINGLOBL_PE202505_REMAO004.TXT"/>
    <x v="60"/>
    <x v="6"/>
    <n v="9"/>
    <n v="187381"/>
    <n v="0"/>
    <s v="DQS_MAO04_FILE_000_B"/>
    <s v="RECORD COUNT by MBR_ID, DOS_THRU_DT, DX_CD Grain grouped by PAYER, SRC_FILE_NM, DOS_THRU_YYYYMM"/>
  </r>
  <r>
    <x v="2"/>
    <s v="FINGLOBL_PE202505_REMAO004.TXT"/>
    <x v="61"/>
    <x v="6"/>
    <n v="39"/>
    <n v="187381"/>
    <n v="0.02"/>
    <s v="DQS_MAO04_FILE_000_B"/>
    <s v="RECORD COUNT by MBR_ID, DOS_THRU_DT, DX_CD Grain grouped by PAYER, SRC_FILE_NM, DOS_THRU_YYYYMM"/>
  </r>
  <r>
    <x v="2"/>
    <s v="FINGLOBL_PE202505_REMAO004.TXT"/>
    <x v="62"/>
    <x v="6"/>
    <n v="22"/>
    <n v="187381"/>
    <n v="0.01"/>
    <s v="DQS_MAO04_FILE_000_B"/>
    <s v="RECORD COUNT by MBR_ID, DOS_THRU_DT, DX_CD Grain grouped by PAYER, SRC_FILE_NM, DOS_THRU_YYYYMM"/>
  </r>
  <r>
    <x v="2"/>
    <s v="FINGLOBL_PE202505_REMAO004.TXT"/>
    <x v="63"/>
    <x v="6"/>
    <n v="27"/>
    <n v="187381"/>
    <n v="0.01"/>
    <s v="DQS_MAO04_FILE_000_B"/>
    <s v="RECORD COUNT by MBR_ID, DOS_THRU_DT, DX_CD Grain grouped by PAYER, SRC_FILE_NM, DOS_THRU_YYYYMM"/>
  </r>
  <r>
    <x v="2"/>
    <s v="FINGLOBL_PE202505_REMAO004.TXT"/>
    <x v="64"/>
    <x v="6"/>
    <n v="23"/>
    <n v="187381"/>
    <n v="0.01"/>
    <s v="DQS_MAO04_FILE_000_B"/>
    <s v="RECORD COUNT by MBR_ID, DOS_THRU_DT, DX_CD Grain grouped by PAYER, SRC_FILE_NM, DOS_THRU_YYYYMM"/>
  </r>
  <r>
    <x v="2"/>
    <s v="FINGLOBL_PE202505_REMAO004.TXT"/>
    <x v="65"/>
    <x v="7"/>
    <n v="15"/>
    <n v="187381"/>
    <n v="0.01"/>
    <s v="DQS_MAO04_FILE_000_B"/>
    <s v="RECORD COUNT by MBR_ID, DOS_THRU_DT, DX_CD Grain grouped by PAYER, SRC_FILE_NM, DOS_THRU_YYYYMM"/>
  </r>
  <r>
    <x v="2"/>
    <s v="FINGLOBL_PE202505_REMAO004.TXT"/>
    <x v="67"/>
    <x v="7"/>
    <n v="1"/>
    <n v="187381"/>
    <n v="0"/>
    <s v="DQS_MAO04_FILE_000_B"/>
    <s v="RECORD COUNT by MBR_ID, DOS_THRU_DT, DX_CD Grain grouped by PAYER, SRC_FILE_NM, DOS_THRU_YYYYMM"/>
  </r>
  <r>
    <x v="2"/>
    <s v="FINGLOBL_PE202505_REMAO004.TXT"/>
    <x v="68"/>
    <x v="7"/>
    <n v="11"/>
    <n v="187381"/>
    <n v="0.01"/>
    <s v="DQS_MAO04_FILE_000_B"/>
    <s v="RECORD COUNT by MBR_ID, DOS_THRU_DT, DX_CD Grain grouped by PAYER, SRC_FILE_NM, DOS_THRU_YYYYMM"/>
  </r>
  <r>
    <x v="2"/>
    <s v="FINGLOBL_PE202505_REMAO004.TXT"/>
    <x v="69"/>
    <x v="7"/>
    <n v="8"/>
    <n v="187381"/>
    <n v="0"/>
    <s v="DQS_MAO04_FILE_000_B"/>
    <s v="RECORD COUNT by MBR_ID, DOS_THRU_DT, DX_CD Grain grouped by PAYER, SRC_FILE_NM, DOS_THRU_YYYYMM"/>
  </r>
  <r>
    <x v="2"/>
    <s v="FINGLOBL_PE202505_REMAO004.TXT"/>
    <x v="70"/>
    <x v="7"/>
    <n v="7"/>
    <n v="187381"/>
    <n v="0"/>
    <s v="DQS_MAO04_FILE_000_B"/>
    <s v="RECORD COUNT by MBR_ID, DOS_THRU_DT, DX_CD Grain grouped by PAYER, SRC_FILE_NM, DOS_THRU_YYYYMM"/>
  </r>
  <r>
    <x v="2"/>
    <s v="FINGLOBL_PE202505_REMAO004.TXT"/>
    <x v="71"/>
    <x v="7"/>
    <n v="1"/>
    <n v="187381"/>
    <n v="0"/>
    <s v="DQS_MAO04_FILE_000_B"/>
    <s v="RECORD COUNT by MBR_ID, DOS_THRU_DT, DX_CD Grain grouped by PAYER, SRC_FILE_NM, DOS_THRU_YYYYMM"/>
  </r>
  <r>
    <x v="2"/>
    <s v="FINGLOBL_PE202505_REMAO004.TXT"/>
    <x v="73"/>
    <x v="7"/>
    <n v="1"/>
    <n v="187381"/>
    <n v="0"/>
    <s v="DQS_MAO04_FILE_000_B"/>
    <s v="RECORD COUNT by MBR_ID, DOS_THRU_DT, DX_CD Grain grouped by PAYER, SRC_FILE_NM, DOS_THRU_YYYYMM"/>
  </r>
  <r>
    <x v="2"/>
    <s v="FINGLOBL_PE202505_REMAO004.TXT"/>
    <x v="74"/>
    <x v="7"/>
    <n v="26"/>
    <n v="187381"/>
    <n v="0.01"/>
    <s v="DQS_MAO04_FILE_000_B"/>
    <s v="RECORD COUNT by MBR_ID, DOS_THRU_DT, DX_CD Grain grouped by PAYER, SRC_FILE_NM, DOS_THRU_YYYYMM"/>
  </r>
  <r>
    <x v="2"/>
    <s v="FINGLOBL_PE202505_REMAO004.TXT"/>
    <x v="75"/>
    <x v="7"/>
    <n v="27"/>
    <n v="187381"/>
    <n v="0.01"/>
    <s v="DQS_MAO04_FILE_000_B"/>
    <s v="RECORD COUNT by MBR_ID, DOS_THRU_DT, DX_CD Grain grouped by PAYER, SRC_FILE_NM, DOS_THRU_YYYYMM"/>
  </r>
  <r>
    <x v="2"/>
    <s v="FINGLOBL_PE202505_REMAO004.TXT"/>
    <x v="76"/>
    <x v="7"/>
    <n v="52"/>
    <n v="187381"/>
    <n v="0.03"/>
    <s v="DQS_MAO04_FILE_000_B"/>
    <s v="RECORD COUNT by MBR_ID, DOS_THRU_DT, DX_CD Grain grouped by PAYER, SRC_FILE_NM, DOS_THRU_YYYYMM"/>
  </r>
  <r>
    <x v="2"/>
    <s v="FINGLOBL_PE202505_REMAO004.TXT"/>
    <x v="77"/>
    <x v="8"/>
    <n v="60"/>
    <n v="187381"/>
    <n v="0.03"/>
    <s v="DQS_MAO04_FILE_000_B"/>
    <s v="RECORD COUNT by MBR_ID, DOS_THRU_DT, DX_CD Grain grouped by PAYER, SRC_FILE_NM, DOS_THRU_YYYYMM"/>
  </r>
  <r>
    <x v="2"/>
    <s v="FINGLOBL_PE202505_REMAO004.TXT"/>
    <x v="78"/>
    <x v="8"/>
    <n v="17"/>
    <n v="187381"/>
    <n v="0.01"/>
    <s v="DQS_MAO04_FILE_000_B"/>
    <s v="RECORD COUNT by MBR_ID, DOS_THRU_DT, DX_CD Grain grouped by PAYER, SRC_FILE_NM, DOS_THRU_YYYYMM"/>
  </r>
  <r>
    <x v="2"/>
    <s v="FINGLOBL_PE202505_REMAO004.TXT"/>
    <x v="79"/>
    <x v="8"/>
    <n v="7"/>
    <n v="187381"/>
    <n v="0"/>
    <s v="DQS_MAO04_FILE_000_B"/>
    <s v="RECORD COUNT by MBR_ID, DOS_THRU_DT, DX_CD Grain grouped by PAYER, SRC_FILE_NM, DOS_THRU_YYYYMM"/>
  </r>
  <r>
    <x v="2"/>
    <s v="FINGLOBL_PE202505_REMAO004.TXT"/>
    <x v="80"/>
    <x v="8"/>
    <n v="105"/>
    <n v="187381"/>
    <n v="0.06"/>
    <s v="DQS_MAO04_FILE_000_B"/>
    <s v="RECORD COUNT by MBR_ID, DOS_THRU_DT, DX_CD Grain grouped by PAYER, SRC_FILE_NM, DOS_THRU_YYYYMM"/>
  </r>
  <r>
    <x v="2"/>
    <s v="FINGLOBL_PE202505_REMAO004.TXT"/>
    <x v="81"/>
    <x v="8"/>
    <n v="361"/>
    <n v="187381"/>
    <n v="0.19"/>
    <s v="DQS_MAO04_FILE_000_B"/>
    <s v="RECORD COUNT by MBR_ID, DOS_THRU_DT, DX_CD Grain grouped by PAYER, SRC_FILE_NM, DOS_THRU_YYYYMM"/>
  </r>
  <r>
    <x v="2"/>
    <s v="FINGLOBL_PE202505_REMAO004.TXT"/>
    <x v="82"/>
    <x v="8"/>
    <n v="476"/>
    <n v="187381"/>
    <n v="0.25"/>
    <s v="DQS_MAO04_FILE_000_B"/>
    <s v="RECORD COUNT by MBR_ID, DOS_THRU_DT, DX_CD Grain grouped by PAYER, SRC_FILE_NM, DOS_THRU_YYYYMM"/>
  </r>
  <r>
    <x v="2"/>
    <s v="FINGLOBL_PE202505_REMAO004.TXT"/>
    <x v="83"/>
    <x v="8"/>
    <n v="418"/>
    <n v="187381"/>
    <n v="0.22"/>
    <s v="DQS_MAO04_FILE_000_B"/>
    <s v="RECORD COUNT by MBR_ID, DOS_THRU_DT, DX_CD Grain grouped by PAYER, SRC_FILE_NM, DOS_THRU_YYYYMM"/>
  </r>
  <r>
    <x v="2"/>
    <s v="FINGLOBL_PE202505_REMAO004.TXT"/>
    <x v="84"/>
    <x v="8"/>
    <n v="534"/>
    <n v="187381"/>
    <n v="0.28000000000000003"/>
    <s v="DQS_MAO04_FILE_000_B"/>
    <s v="RECORD COUNT by MBR_ID, DOS_THRU_DT, DX_CD Grain grouped by PAYER, SRC_FILE_NM, DOS_THRU_YYYYMM"/>
  </r>
  <r>
    <x v="2"/>
    <s v="FINGLOBL_PE202505_REMAO004.TXT"/>
    <x v="85"/>
    <x v="8"/>
    <n v="403"/>
    <n v="187381"/>
    <n v="0.22"/>
    <s v="DQS_MAO04_FILE_000_B"/>
    <s v="RECORD COUNT by MBR_ID, DOS_THRU_DT, DX_CD Grain grouped by PAYER, SRC_FILE_NM, DOS_THRU_YYYYMM"/>
  </r>
  <r>
    <x v="2"/>
    <s v="FINGLOBL_PE202505_REMAO004.TXT"/>
    <x v="86"/>
    <x v="8"/>
    <n v="246"/>
    <n v="187381"/>
    <n v="0.13"/>
    <s v="DQS_MAO04_FILE_000_B"/>
    <s v="RECORD COUNT by MBR_ID, DOS_THRU_DT, DX_CD Grain grouped by PAYER, SRC_FILE_NM, DOS_THRU_YYYYMM"/>
  </r>
  <r>
    <x v="2"/>
    <s v="FINGLOBL_PE202505_REMAO004.TXT"/>
    <x v="87"/>
    <x v="8"/>
    <n v="212"/>
    <n v="187381"/>
    <n v="0.11"/>
    <s v="DQS_MAO04_FILE_000_B"/>
    <s v="RECORD COUNT by MBR_ID, DOS_THRU_DT, DX_CD Grain grouped by PAYER, SRC_FILE_NM, DOS_THRU_YYYYMM"/>
  </r>
  <r>
    <x v="2"/>
    <s v="FINGLOBL_PE202505_REMAO004.TXT"/>
    <x v="88"/>
    <x v="8"/>
    <n v="366"/>
    <n v="187381"/>
    <n v="0.2"/>
    <s v="DQS_MAO04_FILE_000_B"/>
    <s v="RECORD COUNT by MBR_ID, DOS_THRU_DT, DX_CD Grain grouped by PAYER, SRC_FILE_NM, DOS_THRU_YYYYMM"/>
  </r>
  <r>
    <x v="2"/>
    <s v="FINGLOBL_PE202505_REMAO004.TXT"/>
    <x v="89"/>
    <x v="9"/>
    <n v="1687"/>
    <n v="187381"/>
    <n v="0.9"/>
    <s v="DQS_MAO04_FILE_000_B"/>
    <s v="RECORD COUNT by MBR_ID, DOS_THRU_DT, DX_CD Grain grouped by PAYER, SRC_FILE_NM, DOS_THRU_YYYYMM"/>
  </r>
  <r>
    <x v="2"/>
    <s v="FINGLOBL_PE202505_REMAO004.TXT"/>
    <x v="97"/>
    <x v="9"/>
    <n v="1766"/>
    <n v="187381"/>
    <n v="0.94"/>
    <s v="DQS_MAO04_FILE_000_B"/>
    <s v="RECORD COUNT by MBR_ID, DOS_THRU_DT, DX_CD Grain grouped by PAYER, SRC_FILE_NM, DOS_THRU_YYYYMM"/>
  </r>
  <r>
    <x v="2"/>
    <s v="FINGLOBL_PE202505_REMAO004.TXT"/>
    <x v="98"/>
    <x v="9"/>
    <n v="1843"/>
    <n v="187381"/>
    <n v="0.98"/>
    <s v="DQS_MAO04_FILE_000_B"/>
    <s v="RECORD COUNT by MBR_ID, DOS_THRU_DT, DX_CD Grain grouped by PAYER, SRC_FILE_NM, DOS_THRU_YYYYMM"/>
  </r>
  <r>
    <x v="2"/>
    <s v="FINGLOBL_PE202505_REMAO004.TXT"/>
    <x v="99"/>
    <x v="9"/>
    <n v="2153"/>
    <n v="187381"/>
    <n v="1.1499999999999999"/>
    <s v="DQS_MAO04_FILE_000_B"/>
    <s v="RECORD COUNT by MBR_ID, DOS_THRU_DT, DX_CD Grain grouped by PAYER, SRC_FILE_NM, DOS_THRU_YYYYMM"/>
  </r>
  <r>
    <x v="2"/>
    <s v="FINGLOBL_PE202505_REMAO004.TXT"/>
    <x v="100"/>
    <x v="9"/>
    <n v="2604"/>
    <n v="187381"/>
    <n v="1.39"/>
    <s v="DQS_MAO04_FILE_000_B"/>
    <s v="RECORD COUNT by MBR_ID, DOS_THRU_DT, DX_CD Grain grouped by PAYER, SRC_FILE_NM, DOS_THRU_YYYYMM"/>
  </r>
  <r>
    <x v="2"/>
    <s v="FINGLOBL_PE202505_REMAO004.TXT"/>
    <x v="102"/>
    <x v="9"/>
    <n v="2156"/>
    <n v="187381"/>
    <n v="1.1499999999999999"/>
    <s v="DQS_MAO04_FILE_000_B"/>
    <s v="RECORD COUNT by MBR_ID, DOS_THRU_DT, DX_CD Grain grouped by PAYER, SRC_FILE_NM, DOS_THRU_YYYYMM"/>
  </r>
  <r>
    <x v="2"/>
    <s v="FINGLOBL_PE202505_REMAO004.TXT"/>
    <x v="103"/>
    <x v="9"/>
    <n v="2277"/>
    <n v="187381"/>
    <n v="1.22"/>
    <s v="DQS_MAO04_FILE_000_B"/>
    <s v="RECORD COUNT by MBR_ID, DOS_THRU_DT, DX_CD Grain grouped by PAYER, SRC_FILE_NM, DOS_THRU_YYYYMM"/>
  </r>
  <r>
    <x v="2"/>
    <s v="FINGLOBL_PE202505_REMAO004.TXT"/>
    <x v="105"/>
    <x v="9"/>
    <n v="2119"/>
    <n v="187381"/>
    <n v="1.1299999999999999"/>
    <s v="DQS_MAO04_FILE_000_B"/>
    <s v="RECORD COUNT by MBR_ID, DOS_THRU_DT, DX_CD Grain grouped by PAYER, SRC_FILE_NM, DOS_THRU_YYYYMM"/>
  </r>
  <r>
    <x v="2"/>
    <s v="FINGLOBL_PE202505_REMAO004.TXT"/>
    <x v="106"/>
    <x v="9"/>
    <n v="2094"/>
    <n v="187381"/>
    <n v="1.1200000000000001"/>
    <s v="DQS_MAO04_FILE_000_B"/>
    <s v="RECORD COUNT by MBR_ID, DOS_THRU_DT, DX_CD Grain grouped by PAYER, SRC_FILE_NM, DOS_THRU_YYYYMM"/>
  </r>
  <r>
    <x v="2"/>
    <s v="FINGLOBL_PE202505_REMAO004.TXT"/>
    <x v="107"/>
    <x v="9"/>
    <n v="2797"/>
    <n v="187381"/>
    <n v="1.49"/>
    <s v="DQS_MAO04_FILE_000_B"/>
    <s v="RECORD COUNT by MBR_ID, DOS_THRU_DT, DX_CD Grain grouped by PAYER, SRC_FILE_NM, DOS_THRU_YYYYMM"/>
  </r>
  <r>
    <x v="2"/>
    <s v="FINGLOBL_PE202505_REMAO004.TXT"/>
    <x v="108"/>
    <x v="9"/>
    <n v="4576"/>
    <n v="187381"/>
    <n v="2.44"/>
    <s v="DQS_MAO04_FILE_000_B"/>
    <s v="RECORD COUNT by MBR_ID, DOS_THRU_DT, DX_CD Grain grouped by PAYER, SRC_FILE_NM, DOS_THRU_YYYYMM"/>
  </r>
  <r>
    <x v="2"/>
    <s v="FINGLOBL_PE202505_REMAO004.TXT"/>
    <x v="109"/>
    <x v="9"/>
    <n v="5611"/>
    <n v="187381"/>
    <n v="2.99"/>
    <s v="DQS_MAO04_FILE_000_B"/>
    <s v="RECORD COUNT by MBR_ID, DOS_THRU_DT, DX_CD Grain grouped by PAYER, SRC_FILE_NM, DOS_THRU_YYYYMM"/>
  </r>
  <r>
    <x v="2"/>
    <s v="FINGLOBL_PE202505_REMAO004.TXT"/>
    <x v="110"/>
    <x v="11"/>
    <n v="16470"/>
    <n v="187381"/>
    <n v="8.7899999999999991"/>
    <s v="DQS_MAO04_FILE_000_B"/>
    <s v="RECORD COUNT by MBR_ID, DOS_THRU_DT, DX_CD Grain grouped by PAYER, SRC_FILE_NM, DOS_THRU_YYYYMM"/>
  </r>
  <r>
    <x v="2"/>
    <s v="FINGLOBL_PE202505_REMAO004.TXT"/>
    <x v="111"/>
    <x v="11"/>
    <n v="78388"/>
    <n v="187381"/>
    <n v="41.83"/>
    <s v="DQS_MAO04_FILE_000_B"/>
    <s v="RECORD COUNT by MBR_ID, DOS_THRU_DT, DX_CD Grain grouped by PAYER, SRC_FILE_NM, DOS_THRU_YYYYMM"/>
  </r>
  <r>
    <x v="2"/>
    <s v="FINGLOBL_PE202505_REMAO004.TXT"/>
    <x v="112"/>
    <x v="11"/>
    <n v="57268"/>
    <n v="187381"/>
    <n v="30.56"/>
    <s v="DQS_MAO04_FILE_000_B"/>
    <s v="RECORD COUNT by MBR_ID, DOS_THRU_DT, DX_CD Grain grouped by PAYER, SRC_FILE_NM, DOS_THRU_YYYYMM"/>
  </r>
  <r>
    <x v="2"/>
    <s v="FINGLOBL_PE202506_REMAO004.TXT"/>
    <x v="0"/>
    <x v="0"/>
    <n v="40"/>
    <n v="164322"/>
    <n v="0.02"/>
    <s v="DQS_MAO04_FILE_000_B"/>
    <s v="RECORD COUNT by MBR_ID, DOS_THRU_DT, DX_CD Grain grouped by PAYER, SRC_FILE_NM, DOS_THRU_YYYYMM"/>
  </r>
  <r>
    <x v="2"/>
    <s v="FINGLOBL_PE202506_REMAO004.TXT"/>
    <x v="1"/>
    <x v="0"/>
    <n v="38"/>
    <n v="164322"/>
    <n v="0.02"/>
    <s v="DQS_MAO04_FILE_000_B"/>
    <s v="RECORD COUNT by MBR_ID, DOS_THRU_DT, DX_CD Grain grouped by PAYER, SRC_FILE_NM, DOS_THRU_YYYYMM"/>
  </r>
  <r>
    <x v="2"/>
    <s v="FINGLOBL_PE202506_REMAO004.TXT"/>
    <x v="128"/>
    <x v="0"/>
    <n v="57"/>
    <n v="164322"/>
    <n v="0.03"/>
    <s v="DQS_MAO04_FILE_000_B"/>
    <s v="RECORD COUNT by MBR_ID, DOS_THRU_DT, DX_CD Grain grouped by PAYER, SRC_FILE_NM, DOS_THRU_YYYYMM"/>
  </r>
  <r>
    <x v="2"/>
    <s v="FINGLOBL_PE202506_REMAO004.TXT"/>
    <x v="29"/>
    <x v="4"/>
    <n v="4"/>
    <n v="164322"/>
    <n v="0"/>
    <s v="DQS_MAO04_FILE_000_B"/>
    <s v="RECORD COUNT by MBR_ID, DOS_THRU_DT, DX_CD Grain grouped by PAYER, SRC_FILE_NM, DOS_THRU_YYYYMM"/>
  </r>
  <r>
    <x v="2"/>
    <s v="FINGLOBL_PE202506_REMAO004.TXT"/>
    <x v="31"/>
    <x v="4"/>
    <n v="6"/>
    <n v="164322"/>
    <n v="0"/>
    <s v="DQS_MAO04_FILE_000_B"/>
    <s v="RECORD COUNT by MBR_ID, DOS_THRU_DT, DX_CD Grain grouped by PAYER, SRC_FILE_NM, DOS_THRU_YYYYMM"/>
  </r>
  <r>
    <x v="2"/>
    <s v="FINGLOBL_PE202506_REMAO004.TXT"/>
    <x v="35"/>
    <x v="4"/>
    <n v="4"/>
    <n v="164322"/>
    <n v="0"/>
    <s v="DQS_MAO04_FILE_000_B"/>
    <s v="RECORD COUNT by MBR_ID, DOS_THRU_DT, DX_CD Grain grouped by PAYER, SRC_FILE_NM, DOS_THRU_YYYYMM"/>
  </r>
  <r>
    <x v="2"/>
    <s v="FINGLOBL_PE202506_REMAO004.TXT"/>
    <x v="46"/>
    <x v="5"/>
    <n v="12"/>
    <n v="164322"/>
    <n v="0.01"/>
    <s v="DQS_MAO04_FILE_000_B"/>
    <s v="RECORD COUNT by MBR_ID, DOS_THRU_DT, DX_CD Grain grouped by PAYER, SRC_FILE_NM, DOS_THRU_YYYYMM"/>
  </r>
  <r>
    <x v="2"/>
    <s v="FINGLOBL_PE202506_REMAO004.TXT"/>
    <x v="51"/>
    <x v="5"/>
    <n v="1"/>
    <n v="164322"/>
    <n v="0"/>
    <s v="DQS_MAO04_FILE_000_B"/>
    <s v="RECORD COUNT by MBR_ID, DOS_THRU_DT, DX_CD Grain grouped by PAYER, SRC_FILE_NM, DOS_THRU_YYYYMM"/>
  </r>
  <r>
    <x v="2"/>
    <s v="FINGLOBL_PE202506_REMAO004.TXT"/>
    <x v="59"/>
    <x v="6"/>
    <n v="10"/>
    <n v="164322"/>
    <n v="0.01"/>
    <s v="DQS_MAO04_FILE_000_B"/>
    <s v="RECORD COUNT by MBR_ID, DOS_THRU_DT, DX_CD Grain grouped by PAYER, SRC_FILE_NM, DOS_THRU_YYYYMM"/>
  </r>
  <r>
    <x v="2"/>
    <s v="FINGLOBL_PE202506_REMAO004.TXT"/>
    <x v="60"/>
    <x v="6"/>
    <n v="12"/>
    <n v="164322"/>
    <n v="0.01"/>
    <s v="DQS_MAO04_FILE_000_B"/>
    <s v="RECORD COUNT by MBR_ID, DOS_THRU_DT, DX_CD Grain grouped by PAYER, SRC_FILE_NM, DOS_THRU_YYYYMM"/>
  </r>
  <r>
    <x v="2"/>
    <s v="FINGLOBL_PE202506_REMAO004.TXT"/>
    <x v="61"/>
    <x v="6"/>
    <n v="5"/>
    <n v="164322"/>
    <n v="0"/>
    <s v="DQS_MAO04_FILE_000_B"/>
    <s v="RECORD COUNT by MBR_ID, DOS_THRU_DT, DX_CD Grain grouped by PAYER, SRC_FILE_NM, DOS_THRU_YYYYMM"/>
  </r>
  <r>
    <x v="2"/>
    <s v="FINGLOBL_PE202506_REMAO004.TXT"/>
    <x v="62"/>
    <x v="6"/>
    <n v="11"/>
    <n v="164322"/>
    <n v="0.01"/>
    <s v="DQS_MAO04_FILE_000_B"/>
    <s v="RECORD COUNT by MBR_ID, DOS_THRU_DT, DX_CD Grain grouped by PAYER, SRC_FILE_NM, DOS_THRU_YYYYMM"/>
  </r>
  <r>
    <x v="2"/>
    <s v="FINGLOBL_PE202506_REMAO004.TXT"/>
    <x v="66"/>
    <x v="7"/>
    <n v="5"/>
    <n v="164322"/>
    <n v="0"/>
    <s v="DQS_MAO04_FILE_000_B"/>
    <s v="RECORD COUNT by MBR_ID, DOS_THRU_DT, DX_CD Grain grouped by PAYER, SRC_FILE_NM, DOS_THRU_YYYYMM"/>
  </r>
  <r>
    <x v="2"/>
    <s v="FINGLOBL_PE202506_REMAO004.TXT"/>
    <x v="68"/>
    <x v="7"/>
    <n v="1"/>
    <n v="164322"/>
    <n v="0"/>
    <s v="DQS_MAO04_FILE_000_B"/>
    <s v="RECORD COUNT by MBR_ID, DOS_THRU_DT, DX_CD Grain grouped by PAYER, SRC_FILE_NM, DOS_THRU_YYYYMM"/>
  </r>
  <r>
    <x v="2"/>
    <s v="FINGLOBL_PE202506_REMAO004.TXT"/>
    <x v="72"/>
    <x v="7"/>
    <n v="70"/>
    <n v="164322"/>
    <n v="0.04"/>
    <s v="DQS_MAO04_FILE_000_B"/>
    <s v="RECORD COUNT by MBR_ID, DOS_THRU_DT, DX_CD Grain grouped by PAYER, SRC_FILE_NM, DOS_THRU_YYYYMM"/>
  </r>
  <r>
    <x v="2"/>
    <s v="FINGLOBL_PE202506_REMAO004.TXT"/>
    <x v="73"/>
    <x v="7"/>
    <n v="43"/>
    <n v="164322"/>
    <n v="0.03"/>
    <s v="DQS_MAO04_FILE_000_B"/>
    <s v="RECORD COUNT by MBR_ID, DOS_THRU_DT, DX_CD Grain grouped by PAYER, SRC_FILE_NM, DOS_THRU_YYYYMM"/>
  </r>
  <r>
    <x v="2"/>
    <s v="FINGLOBL_PE202506_REMAO004.TXT"/>
    <x v="74"/>
    <x v="7"/>
    <n v="35"/>
    <n v="164322"/>
    <n v="0.02"/>
    <s v="DQS_MAO04_FILE_000_B"/>
    <s v="RECORD COUNT by MBR_ID, DOS_THRU_DT, DX_CD Grain grouped by PAYER, SRC_FILE_NM, DOS_THRU_YYYYMM"/>
  </r>
  <r>
    <x v="2"/>
    <s v="FINGLOBL_PE202506_REMAO004.TXT"/>
    <x v="75"/>
    <x v="7"/>
    <n v="61"/>
    <n v="164322"/>
    <n v="0.04"/>
    <s v="DQS_MAO04_FILE_000_B"/>
    <s v="RECORD COUNT by MBR_ID, DOS_THRU_DT, DX_CD Grain grouped by PAYER, SRC_FILE_NM, DOS_THRU_YYYYMM"/>
  </r>
  <r>
    <x v="2"/>
    <s v="FINGLOBL_PE202506_REMAO004.TXT"/>
    <x v="76"/>
    <x v="7"/>
    <n v="18"/>
    <n v="164322"/>
    <n v="0.01"/>
    <s v="DQS_MAO04_FILE_000_B"/>
    <s v="RECORD COUNT by MBR_ID, DOS_THRU_DT, DX_CD Grain grouped by PAYER, SRC_FILE_NM, DOS_THRU_YYYYMM"/>
  </r>
  <r>
    <x v="2"/>
    <s v="FINGLOBL_PE202506_REMAO004.TXT"/>
    <x v="77"/>
    <x v="8"/>
    <n v="54"/>
    <n v="164322"/>
    <n v="0.03"/>
    <s v="DQS_MAO04_FILE_000_B"/>
    <s v="RECORD COUNT by MBR_ID, DOS_THRU_DT, DX_CD Grain grouped by PAYER, SRC_FILE_NM, DOS_THRU_YYYYMM"/>
  </r>
  <r>
    <x v="2"/>
    <s v="FINGLOBL_PE202506_REMAO004.TXT"/>
    <x v="78"/>
    <x v="8"/>
    <n v="34"/>
    <n v="164322"/>
    <n v="0.02"/>
    <s v="DQS_MAO04_FILE_000_B"/>
    <s v="RECORD COUNT by MBR_ID, DOS_THRU_DT, DX_CD Grain grouped by PAYER, SRC_FILE_NM, DOS_THRU_YYYYMM"/>
  </r>
  <r>
    <x v="2"/>
    <s v="FINGLOBL_PE202506_REMAO004.TXT"/>
    <x v="79"/>
    <x v="8"/>
    <n v="61"/>
    <n v="164322"/>
    <n v="0.04"/>
    <s v="DQS_MAO04_FILE_000_B"/>
    <s v="RECORD COUNT by MBR_ID, DOS_THRU_DT, DX_CD Grain grouped by PAYER, SRC_FILE_NM, DOS_THRU_YYYYMM"/>
  </r>
  <r>
    <x v="2"/>
    <s v="FINGLOBL_PE202506_REMAO004.TXT"/>
    <x v="80"/>
    <x v="8"/>
    <n v="13"/>
    <n v="164322"/>
    <n v="0.01"/>
    <s v="DQS_MAO04_FILE_000_B"/>
    <s v="RECORD COUNT by MBR_ID, DOS_THRU_DT, DX_CD Grain grouped by PAYER, SRC_FILE_NM, DOS_THRU_YYYYMM"/>
  </r>
  <r>
    <x v="2"/>
    <s v="FINGLOBL_PE202506_REMAO004.TXT"/>
    <x v="81"/>
    <x v="8"/>
    <n v="59"/>
    <n v="164322"/>
    <n v="0.04"/>
    <s v="DQS_MAO04_FILE_000_B"/>
    <s v="RECORD COUNT by MBR_ID, DOS_THRU_DT, DX_CD Grain grouped by PAYER, SRC_FILE_NM, DOS_THRU_YYYYMM"/>
  </r>
  <r>
    <x v="2"/>
    <s v="FINGLOBL_PE202506_REMAO004.TXT"/>
    <x v="82"/>
    <x v="8"/>
    <n v="50"/>
    <n v="164322"/>
    <n v="0.03"/>
    <s v="DQS_MAO04_FILE_000_B"/>
    <s v="RECORD COUNT by MBR_ID, DOS_THRU_DT, DX_CD Grain grouped by PAYER, SRC_FILE_NM, DOS_THRU_YYYYMM"/>
  </r>
  <r>
    <x v="2"/>
    <s v="FINGLOBL_PE202506_REMAO004.TXT"/>
    <x v="83"/>
    <x v="8"/>
    <n v="124"/>
    <n v="164322"/>
    <n v="0.08"/>
    <s v="DQS_MAO04_FILE_000_B"/>
    <s v="RECORD COUNT by MBR_ID, DOS_THRU_DT, DX_CD Grain grouped by PAYER, SRC_FILE_NM, DOS_THRU_YYYYMM"/>
  </r>
  <r>
    <x v="2"/>
    <s v="FINGLOBL_PE202506_REMAO004.TXT"/>
    <x v="84"/>
    <x v="8"/>
    <n v="428"/>
    <n v="164322"/>
    <n v="0.26"/>
    <s v="DQS_MAO04_FILE_000_B"/>
    <s v="RECORD COUNT by MBR_ID, DOS_THRU_DT, DX_CD Grain grouped by PAYER, SRC_FILE_NM, DOS_THRU_YYYYMM"/>
  </r>
  <r>
    <x v="2"/>
    <s v="FINGLOBL_PE202506_REMAO004.TXT"/>
    <x v="85"/>
    <x v="8"/>
    <n v="2057"/>
    <n v="164322"/>
    <n v="1.25"/>
    <s v="DQS_MAO04_FILE_000_B"/>
    <s v="RECORD COUNT by MBR_ID, DOS_THRU_DT, DX_CD Grain grouped by PAYER, SRC_FILE_NM, DOS_THRU_YYYYMM"/>
  </r>
  <r>
    <x v="2"/>
    <s v="FINGLOBL_PE202506_REMAO004.TXT"/>
    <x v="86"/>
    <x v="8"/>
    <n v="276"/>
    <n v="164322"/>
    <n v="0.17"/>
    <s v="DQS_MAO04_FILE_000_B"/>
    <s v="RECORD COUNT by MBR_ID, DOS_THRU_DT, DX_CD Grain grouped by PAYER, SRC_FILE_NM, DOS_THRU_YYYYMM"/>
  </r>
  <r>
    <x v="2"/>
    <s v="FINGLOBL_PE202506_REMAO004.TXT"/>
    <x v="87"/>
    <x v="8"/>
    <n v="456"/>
    <n v="164322"/>
    <n v="0.28000000000000003"/>
    <s v="DQS_MAO04_FILE_000_B"/>
    <s v="RECORD COUNT by MBR_ID, DOS_THRU_DT, DX_CD Grain grouped by PAYER, SRC_FILE_NM, DOS_THRU_YYYYMM"/>
  </r>
  <r>
    <x v="2"/>
    <s v="FINGLOBL_PE202506_REMAO004.TXT"/>
    <x v="88"/>
    <x v="8"/>
    <n v="312"/>
    <n v="164322"/>
    <n v="0.19"/>
    <s v="DQS_MAO04_FILE_000_B"/>
    <s v="RECORD COUNT by MBR_ID, DOS_THRU_DT, DX_CD Grain grouped by PAYER, SRC_FILE_NM, DOS_THRU_YYYYMM"/>
  </r>
  <r>
    <x v="2"/>
    <s v="FINGLOBL_PE202506_REMAO004.TXT"/>
    <x v="89"/>
    <x v="9"/>
    <n v="367"/>
    <n v="164322"/>
    <n v="0.22"/>
    <s v="DQS_MAO04_FILE_000_B"/>
    <s v="RECORD COUNT by MBR_ID, DOS_THRU_DT, DX_CD Grain grouped by PAYER, SRC_FILE_NM, DOS_THRU_YYYYMM"/>
  </r>
  <r>
    <x v="2"/>
    <s v="FINGLOBL_PE202506_REMAO004.TXT"/>
    <x v="97"/>
    <x v="9"/>
    <n v="516"/>
    <n v="164322"/>
    <n v="0.31"/>
    <s v="DQS_MAO04_FILE_000_B"/>
    <s v="RECORD COUNT by MBR_ID, DOS_THRU_DT, DX_CD Grain grouped by PAYER, SRC_FILE_NM, DOS_THRU_YYYYMM"/>
  </r>
  <r>
    <x v="2"/>
    <s v="FINGLOBL_PE202506_REMAO004.TXT"/>
    <x v="98"/>
    <x v="9"/>
    <n v="429"/>
    <n v="164322"/>
    <n v="0.26"/>
    <s v="DQS_MAO04_FILE_000_B"/>
    <s v="RECORD COUNT by MBR_ID, DOS_THRU_DT, DX_CD Grain grouped by PAYER, SRC_FILE_NM, DOS_THRU_YYYYMM"/>
  </r>
  <r>
    <x v="2"/>
    <s v="FINGLOBL_PE202506_REMAO004.TXT"/>
    <x v="99"/>
    <x v="9"/>
    <n v="718"/>
    <n v="164322"/>
    <n v="0.44"/>
    <s v="DQS_MAO04_FILE_000_B"/>
    <s v="RECORD COUNT by MBR_ID, DOS_THRU_DT, DX_CD Grain grouped by PAYER, SRC_FILE_NM, DOS_THRU_YYYYMM"/>
  </r>
  <r>
    <x v="2"/>
    <s v="FINGLOBL_PE202506_REMAO004.TXT"/>
    <x v="100"/>
    <x v="9"/>
    <n v="545"/>
    <n v="164322"/>
    <n v="0.33"/>
    <s v="DQS_MAO04_FILE_000_B"/>
    <s v="RECORD COUNT by MBR_ID, DOS_THRU_DT, DX_CD Grain grouped by PAYER, SRC_FILE_NM, DOS_THRU_YYYYMM"/>
  </r>
  <r>
    <x v="2"/>
    <s v="FINGLOBL_PE202506_REMAO004.TXT"/>
    <x v="102"/>
    <x v="9"/>
    <n v="1633"/>
    <n v="164322"/>
    <n v="0.99"/>
    <s v="DQS_MAO04_FILE_000_B"/>
    <s v="RECORD COUNT by MBR_ID, DOS_THRU_DT, DX_CD Grain grouped by PAYER, SRC_FILE_NM, DOS_THRU_YYYYMM"/>
  </r>
  <r>
    <x v="2"/>
    <s v="FINGLOBL_PE202506_REMAO004.TXT"/>
    <x v="103"/>
    <x v="9"/>
    <n v="1508"/>
    <n v="164322"/>
    <n v="0.92"/>
    <s v="DQS_MAO04_FILE_000_B"/>
    <s v="RECORD COUNT by MBR_ID, DOS_THRU_DT, DX_CD Grain grouped by PAYER, SRC_FILE_NM, DOS_THRU_YYYYMM"/>
  </r>
  <r>
    <x v="2"/>
    <s v="FINGLOBL_PE202506_REMAO004.TXT"/>
    <x v="105"/>
    <x v="9"/>
    <n v="1165"/>
    <n v="164322"/>
    <n v="0.71"/>
    <s v="DQS_MAO04_FILE_000_B"/>
    <s v="RECORD COUNT by MBR_ID, DOS_THRU_DT, DX_CD Grain grouped by PAYER, SRC_FILE_NM, DOS_THRU_YYYYMM"/>
  </r>
  <r>
    <x v="2"/>
    <s v="FINGLOBL_PE202506_REMAO004.TXT"/>
    <x v="106"/>
    <x v="9"/>
    <n v="1500"/>
    <n v="164322"/>
    <n v="0.91"/>
    <s v="DQS_MAO04_FILE_000_B"/>
    <s v="RECORD COUNT by MBR_ID, DOS_THRU_DT, DX_CD Grain grouped by PAYER, SRC_FILE_NM, DOS_THRU_YYYYMM"/>
  </r>
  <r>
    <x v="2"/>
    <s v="FINGLOBL_PE202506_REMAO004.TXT"/>
    <x v="107"/>
    <x v="9"/>
    <n v="2229"/>
    <n v="164322"/>
    <n v="1.36"/>
    <s v="DQS_MAO04_FILE_000_B"/>
    <s v="RECORD COUNT by MBR_ID, DOS_THRU_DT, DX_CD Grain grouped by PAYER, SRC_FILE_NM, DOS_THRU_YYYYMM"/>
  </r>
  <r>
    <x v="2"/>
    <s v="FINGLOBL_PE202506_REMAO004.TXT"/>
    <x v="108"/>
    <x v="9"/>
    <n v="2175"/>
    <n v="164322"/>
    <n v="1.32"/>
    <s v="DQS_MAO04_FILE_000_B"/>
    <s v="RECORD COUNT by MBR_ID, DOS_THRU_DT, DX_CD Grain grouped by PAYER, SRC_FILE_NM, DOS_THRU_YYYYMM"/>
  </r>
  <r>
    <x v="2"/>
    <s v="FINGLOBL_PE202506_REMAO004.TXT"/>
    <x v="109"/>
    <x v="9"/>
    <n v="2571"/>
    <n v="164322"/>
    <n v="1.56"/>
    <s v="DQS_MAO04_FILE_000_B"/>
    <s v="RECORD COUNT by MBR_ID, DOS_THRU_DT, DX_CD Grain grouped by PAYER, SRC_FILE_NM, DOS_THRU_YYYYMM"/>
  </r>
  <r>
    <x v="2"/>
    <s v="FINGLOBL_PE202506_REMAO004.TXT"/>
    <x v="110"/>
    <x v="11"/>
    <n v="5393"/>
    <n v="164322"/>
    <n v="3.28"/>
    <s v="DQS_MAO04_FILE_000_B"/>
    <s v="RECORD COUNT by MBR_ID, DOS_THRU_DT, DX_CD Grain grouped by PAYER, SRC_FILE_NM, DOS_THRU_YYYYMM"/>
  </r>
  <r>
    <x v="2"/>
    <s v="FINGLOBL_PE202506_REMAO004.TXT"/>
    <x v="111"/>
    <x v="11"/>
    <n v="10028"/>
    <n v="164322"/>
    <n v="6.1"/>
    <s v="DQS_MAO04_FILE_000_B"/>
    <s v="RECORD COUNT by MBR_ID, DOS_THRU_DT, DX_CD Grain grouped by PAYER, SRC_FILE_NM, DOS_THRU_YYYYMM"/>
  </r>
  <r>
    <x v="2"/>
    <s v="FINGLOBL_PE202506_REMAO004.TXT"/>
    <x v="112"/>
    <x v="11"/>
    <n v="77461"/>
    <n v="164322"/>
    <n v="47.14"/>
    <s v="DQS_MAO04_FILE_000_B"/>
    <s v="RECORD COUNT by MBR_ID, DOS_THRU_DT, DX_CD Grain grouped by PAYER, SRC_FILE_NM, DOS_THRU_YYYYMM"/>
  </r>
  <r>
    <x v="2"/>
    <s v="FINGLOBL_PE202506_REMAO004.TXT"/>
    <x v="113"/>
    <x v="11"/>
    <n v="51727"/>
    <n v="164322"/>
    <n v="31.48"/>
    <s v="DQS_MAO04_FILE_000_B"/>
    <s v="RECORD COUNT by MBR_ID, DOS_THRU_DT, DX_CD Grain grouped by PAYER, SRC_FILE_NM, DOS_THRU_YYYYMM"/>
  </r>
  <r>
    <x v="2"/>
    <s v="FINGLOBL_PE202507_REMAO004.TXT"/>
    <x v="57"/>
    <x v="6"/>
    <n v="2"/>
    <n v="188388"/>
    <n v="0"/>
    <s v="DQS_MAO04_FILE_000_B"/>
    <s v="RECORD COUNT by MBR_ID, DOS_THRU_DT, DX_CD Grain grouped by PAYER, SRC_FILE_NM, DOS_THRU_YYYYMM"/>
  </r>
  <r>
    <x v="2"/>
    <s v="FINGLOBL_PE202507_REMAO004.TXT"/>
    <x v="63"/>
    <x v="6"/>
    <n v="3"/>
    <n v="188388"/>
    <n v="0"/>
    <s v="DQS_MAO04_FILE_000_B"/>
    <s v="RECORD COUNT by MBR_ID, DOS_THRU_DT, DX_CD Grain grouped by PAYER, SRC_FILE_NM, DOS_THRU_YYYYMM"/>
  </r>
  <r>
    <x v="2"/>
    <s v="FINGLOBL_PE202507_REMAO004.TXT"/>
    <x v="66"/>
    <x v="7"/>
    <n v="8"/>
    <n v="188388"/>
    <n v="0"/>
    <s v="DQS_MAO04_FILE_000_B"/>
    <s v="RECORD COUNT by MBR_ID, DOS_THRU_DT, DX_CD Grain grouped by PAYER, SRC_FILE_NM, DOS_THRU_YYYYMM"/>
  </r>
  <r>
    <x v="2"/>
    <s v="FINGLOBL_PE202507_REMAO004.TXT"/>
    <x v="69"/>
    <x v="7"/>
    <n v="2"/>
    <n v="188388"/>
    <n v="0"/>
    <s v="DQS_MAO04_FILE_000_B"/>
    <s v="RECORD COUNT by MBR_ID, DOS_THRU_DT, DX_CD Grain grouped by PAYER, SRC_FILE_NM, DOS_THRU_YYYYMM"/>
  </r>
  <r>
    <x v="2"/>
    <s v="FINGLOBL_PE202507_REMAO004.TXT"/>
    <x v="70"/>
    <x v="7"/>
    <n v="8"/>
    <n v="188388"/>
    <n v="0"/>
    <s v="DQS_MAO04_FILE_000_B"/>
    <s v="RECORD COUNT by MBR_ID, DOS_THRU_DT, DX_CD Grain grouped by PAYER, SRC_FILE_NM, DOS_THRU_YYYYMM"/>
  </r>
  <r>
    <x v="2"/>
    <s v="FINGLOBL_PE202507_REMAO004.TXT"/>
    <x v="71"/>
    <x v="7"/>
    <n v="3"/>
    <n v="188388"/>
    <n v="0"/>
    <s v="DQS_MAO04_FILE_000_B"/>
    <s v="RECORD COUNT by MBR_ID, DOS_THRU_DT, DX_CD Grain grouped by PAYER, SRC_FILE_NM, DOS_THRU_YYYYMM"/>
  </r>
  <r>
    <x v="2"/>
    <s v="FINGLOBL_PE202507_REMAO004.TXT"/>
    <x v="72"/>
    <x v="7"/>
    <n v="1"/>
    <n v="188388"/>
    <n v="0"/>
    <s v="DQS_MAO04_FILE_000_B"/>
    <s v="RECORD COUNT by MBR_ID, DOS_THRU_DT, DX_CD Grain grouped by PAYER, SRC_FILE_NM, DOS_THRU_YYYYMM"/>
  </r>
  <r>
    <x v="2"/>
    <s v="FINGLOBL_PE202507_REMAO004.TXT"/>
    <x v="74"/>
    <x v="7"/>
    <n v="62"/>
    <n v="188388"/>
    <n v="0.03"/>
    <s v="DQS_MAO04_FILE_000_B"/>
    <s v="RECORD COUNT by MBR_ID, DOS_THRU_DT, DX_CD Grain grouped by PAYER, SRC_FILE_NM, DOS_THRU_YYYYMM"/>
  </r>
  <r>
    <x v="2"/>
    <s v="FINGLOBL_PE202507_REMAO004.TXT"/>
    <x v="75"/>
    <x v="7"/>
    <n v="172"/>
    <n v="188388"/>
    <n v="0.09"/>
    <s v="DQS_MAO04_FILE_000_B"/>
    <s v="RECORD COUNT by MBR_ID, DOS_THRU_DT, DX_CD Grain grouped by PAYER, SRC_FILE_NM, DOS_THRU_YYYYMM"/>
  </r>
  <r>
    <x v="2"/>
    <s v="FINGLOBL_PE202507_REMAO004.TXT"/>
    <x v="76"/>
    <x v="7"/>
    <n v="227"/>
    <n v="188388"/>
    <n v="0.12"/>
    <s v="DQS_MAO04_FILE_000_B"/>
    <s v="RECORD COUNT by MBR_ID, DOS_THRU_DT, DX_CD Grain grouped by PAYER, SRC_FILE_NM, DOS_THRU_YYYYMM"/>
  </r>
  <r>
    <x v="2"/>
    <s v="FINGLOBL_PE202507_REMAO004.TXT"/>
    <x v="77"/>
    <x v="8"/>
    <n v="37"/>
    <n v="188388"/>
    <n v="0.02"/>
    <s v="DQS_MAO04_FILE_000_B"/>
    <s v="RECORD COUNT by MBR_ID, DOS_THRU_DT, DX_CD Grain grouped by PAYER, SRC_FILE_NM, DOS_THRU_YYYYMM"/>
  </r>
  <r>
    <x v="2"/>
    <s v="FINGLOBL_PE202507_REMAO004.TXT"/>
    <x v="78"/>
    <x v="8"/>
    <n v="28"/>
    <n v="188388"/>
    <n v="0.01"/>
    <s v="DQS_MAO04_FILE_000_B"/>
    <s v="RECORD COUNT by MBR_ID, DOS_THRU_DT, DX_CD Grain grouped by PAYER, SRC_FILE_NM, DOS_THRU_YYYYMM"/>
  </r>
  <r>
    <x v="2"/>
    <s v="FINGLOBL_PE202507_REMAO004.TXT"/>
    <x v="79"/>
    <x v="8"/>
    <n v="17"/>
    <n v="188388"/>
    <n v="0.01"/>
    <s v="DQS_MAO04_FILE_000_B"/>
    <s v="RECORD COUNT by MBR_ID, DOS_THRU_DT, DX_CD Grain grouped by PAYER, SRC_FILE_NM, DOS_THRU_YYYYMM"/>
  </r>
  <r>
    <x v="2"/>
    <s v="FINGLOBL_PE202507_REMAO004.TXT"/>
    <x v="80"/>
    <x v="8"/>
    <n v="30"/>
    <n v="188388"/>
    <n v="0.02"/>
    <s v="DQS_MAO04_FILE_000_B"/>
    <s v="RECORD COUNT by MBR_ID, DOS_THRU_DT, DX_CD Grain grouped by PAYER, SRC_FILE_NM, DOS_THRU_YYYYMM"/>
  </r>
  <r>
    <x v="2"/>
    <s v="FINGLOBL_PE202507_REMAO004.TXT"/>
    <x v="81"/>
    <x v="8"/>
    <n v="29"/>
    <n v="188388"/>
    <n v="0.02"/>
    <s v="DQS_MAO04_FILE_000_B"/>
    <s v="RECORD COUNT by MBR_ID, DOS_THRU_DT, DX_CD Grain grouped by PAYER, SRC_FILE_NM, DOS_THRU_YYYYMM"/>
  </r>
  <r>
    <x v="2"/>
    <s v="FINGLOBL_PE202507_REMAO004.TXT"/>
    <x v="82"/>
    <x v="8"/>
    <n v="32"/>
    <n v="188388"/>
    <n v="0.02"/>
    <s v="DQS_MAO04_FILE_000_B"/>
    <s v="RECORD COUNT by MBR_ID, DOS_THRU_DT, DX_CD Grain grouped by PAYER, SRC_FILE_NM, DOS_THRU_YYYYMM"/>
  </r>
  <r>
    <x v="2"/>
    <s v="FINGLOBL_PE202507_REMAO004.TXT"/>
    <x v="83"/>
    <x v="8"/>
    <n v="63"/>
    <n v="188388"/>
    <n v="0.03"/>
    <s v="DQS_MAO04_FILE_000_B"/>
    <s v="RECORD COUNT by MBR_ID, DOS_THRU_DT, DX_CD Grain grouped by PAYER, SRC_FILE_NM, DOS_THRU_YYYYMM"/>
  </r>
  <r>
    <x v="2"/>
    <s v="FINGLOBL_PE202507_REMAO004.TXT"/>
    <x v="84"/>
    <x v="8"/>
    <n v="304"/>
    <n v="188388"/>
    <n v="0.16"/>
    <s v="DQS_MAO04_FILE_000_B"/>
    <s v="RECORD COUNT by MBR_ID, DOS_THRU_DT, DX_CD Grain grouped by PAYER, SRC_FILE_NM, DOS_THRU_YYYYMM"/>
  </r>
  <r>
    <x v="2"/>
    <s v="FINGLOBL_PE202507_REMAO004.TXT"/>
    <x v="85"/>
    <x v="8"/>
    <n v="121"/>
    <n v="188388"/>
    <n v="0.06"/>
    <s v="DQS_MAO04_FILE_000_B"/>
    <s v="RECORD COUNT by MBR_ID, DOS_THRU_DT, DX_CD Grain grouped by PAYER, SRC_FILE_NM, DOS_THRU_YYYYMM"/>
  </r>
  <r>
    <x v="2"/>
    <s v="FINGLOBL_PE202507_REMAO004.TXT"/>
    <x v="86"/>
    <x v="8"/>
    <n v="144"/>
    <n v="188388"/>
    <n v="0.08"/>
    <s v="DQS_MAO04_FILE_000_B"/>
    <s v="RECORD COUNT by MBR_ID, DOS_THRU_DT, DX_CD Grain grouped by PAYER, SRC_FILE_NM, DOS_THRU_YYYYMM"/>
  </r>
  <r>
    <x v="2"/>
    <s v="FINGLOBL_PE202507_REMAO004.TXT"/>
    <x v="87"/>
    <x v="8"/>
    <n v="207"/>
    <n v="188388"/>
    <n v="0.11"/>
    <s v="DQS_MAO04_FILE_000_B"/>
    <s v="RECORD COUNT by MBR_ID, DOS_THRU_DT, DX_CD Grain grouped by PAYER, SRC_FILE_NM, DOS_THRU_YYYYMM"/>
  </r>
  <r>
    <x v="2"/>
    <s v="FINGLOBL_PE202507_REMAO004.TXT"/>
    <x v="88"/>
    <x v="8"/>
    <n v="253"/>
    <n v="188388"/>
    <n v="0.13"/>
    <s v="DQS_MAO04_FILE_000_B"/>
    <s v="RECORD COUNT by MBR_ID, DOS_THRU_DT, DX_CD Grain grouped by PAYER, SRC_FILE_NM, DOS_THRU_YYYYMM"/>
  </r>
  <r>
    <x v="2"/>
    <s v="FINGLOBL_PE202507_REMAO004.TXT"/>
    <x v="89"/>
    <x v="9"/>
    <n v="561"/>
    <n v="188388"/>
    <n v="0.3"/>
    <s v="DQS_MAO04_FILE_000_B"/>
    <s v="RECORD COUNT by MBR_ID, DOS_THRU_DT, DX_CD Grain grouped by PAYER, SRC_FILE_NM, DOS_THRU_YYYYMM"/>
  </r>
  <r>
    <x v="2"/>
    <s v="FINGLOBL_PE202507_REMAO004.TXT"/>
    <x v="97"/>
    <x v="9"/>
    <n v="559"/>
    <n v="188388"/>
    <n v="0.3"/>
    <s v="DQS_MAO04_FILE_000_B"/>
    <s v="RECORD COUNT by MBR_ID, DOS_THRU_DT, DX_CD Grain grouped by PAYER, SRC_FILE_NM, DOS_THRU_YYYYMM"/>
  </r>
  <r>
    <x v="2"/>
    <s v="FINGLOBL_PE202507_REMAO004.TXT"/>
    <x v="98"/>
    <x v="9"/>
    <n v="820"/>
    <n v="188388"/>
    <n v="0.44"/>
    <s v="DQS_MAO04_FILE_000_B"/>
    <s v="RECORD COUNT by MBR_ID, DOS_THRU_DT, DX_CD Grain grouped by PAYER, SRC_FILE_NM, DOS_THRU_YYYYMM"/>
  </r>
  <r>
    <x v="2"/>
    <s v="FINGLOBL_PE202507_REMAO004.TXT"/>
    <x v="99"/>
    <x v="9"/>
    <n v="737"/>
    <n v="188388"/>
    <n v="0.39"/>
    <s v="DQS_MAO04_FILE_000_B"/>
    <s v="RECORD COUNT by MBR_ID, DOS_THRU_DT, DX_CD Grain grouped by PAYER, SRC_FILE_NM, DOS_THRU_YYYYMM"/>
  </r>
  <r>
    <x v="2"/>
    <s v="FINGLOBL_PE202507_REMAO004.TXT"/>
    <x v="100"/>
    <x v="9"/>
    <n v="781"/>
    <n v="188388"/>
    <n v="0.41"/>
    <s v="DQS_MAO04_FILE_000_B"/>
    <s v="RECORD COUNT by MBR_ID, DOS_THRU_DT, DX_CD Grain grouped by PAYER, SRC_FILE_NM, DOS_THRU_YYYYMM"/>
  </r>
  <r>
    <x v="2"/>
    <s v="FINGLOBL_PE202507_REMAO004.TXT"/>
    <x v="102"/>
    <x v="9"/>
    <n v="1147"/>
    <n v="188388"/>
    <n v="0.61"/>
    <s v="DQS_MAO04_FILE_000_B"/>
    <s v="RECORD COUNT by MBR_ID, DOS_THRU_DT, DX_CD Grain grouped by PAYER, SRC_FILE_NM, DOS_THRU_YYYYMM"/>
  </r>
  <r>
    <x v="2"/>
    <s v="FINGLOBL_PE202507_REMAO004.TXT"/>
    <x v="103"/>
    <x v="9"/>
    <n v="1397"/>
    <n v="188388"/>
    <n v="0.74"/>
    <s v="DQS_MAO04_FILE_000_B"/>
    <s v="RECORD COUNT by MBR_ID, DOS_THRU_DT, DX_CD Grain grouped by PAYER, SRC_FILE_NM, DOS_THRU_YYYYMM"/>
  </r>
  <r>
    <x v="2"/>
    <s v="FINGLOBL_PE202507_REMAO004.TXT"/>
    <x v="105"/>
    <x v="9"/>
    <n v="1576"/>
    <n v="188388"/>
    <n v="0.84"/>
    <s v="DQS_MAO04_FILE_000_B"/>
    <s v="RECORD COUNT by MBR_ID, DOS_THRU_DT, DX_CD Grain grouped by PAYER, SRC_FILE_NM, DOS_THRU_YYYYMM"/>
  </r>
  <r>
    <x v="2"/>
    <s v="FINGLOBL_PE202507_REMAO004.TXT"/>
    <x v="106"/>
    <x v="9"/>
    <n v="1379"/>
    <n v="188388"/>
    <n v="0.73"/>
    <s v="DQS_MAO04_FILE_000_B"/>
    <s v="RECORD COUNT by MBR_ID, DOS_THRU_DT, DX_CD Grain grouped by PAYER, SRC_FILE_NM, DOS_THRU_YYYYMM"/>
  </r>
  <r>
    <x v="2"/>
    <s v="FINGLOBL_PE202507_REMAO004.TXT"/>
    <x v="107"/>
    <x v="9"/>
    <n v="3070"/>
    <n v="188388"/>
    <n v="1.63"/>
    <s v="DQS_MAO04_FILE_000_B"/>
    <s v="RECORD COUNT by MBR_ID, DOS_THRU_DT, DX_CD Grain grouped by PAYER, SRC_FILE_NM, DOS_THRU_YYYYMM"/>
  </r>
  <r>
    <x v="2"/>
    <s v="FINGLOBL_PE202507_REMAO004.TXT"/>
    <x v="108"/>
    <x v="9"/>
    <n v="2161"/>
    <n v="188388"/>
    <n v="1.1499999999999999"/>
    <s v="DQS_MAO04_FILE_000_B"/>
    <s v="RECORD COUNT by MBR_ID, DOS_THRU_DT, DX_CD Grain grouped by PAYER, SRC_FILE_NM, DOS_THRU_YYYYMM"/>
  </r>
  <r>
    <x v="2"/>
    <s v="FINGLOBL_PE202507_REMAO004.TXT"/>
    <x v="109"/>
    <x v="9"/>
    <n v="1871"/>
    <n v="188388"/>
    <n v="0.99"/>
    <s v="DQS_MAO04_FILE_000_B"/>
    <s v="RECORD COUNT by MBR_ID, DOS_THRU_DT, DX_CD Grain grouped by PAYER, SRC_FILE_NM, DOS_THRU_YYYYMM"/>
  </r>
  <r>
    <x v="2"/>
    <s v="FINGLOBL_PE202507_REMAO004.TXT"/>
    <x v="110"/>
    <x v="11"/>
    <n v="2640"/>
    <n v="188388"/>
    <n v="1.4"/>
    <s v="DQS_MAO04_FILE_000_B"/>
    <s v="RECORD COUNT by MBR_ID, DOS_THRU_DT, DX_CD Grain grouped by PAYER, SRC_FILE_NM, DOS_THRU_YYYYMM"/>
  </r>
  <r>
    <x v="2"/>
    <s v="FINGLOBL_PE202507_REMAO004.TXT"/>
    <x v="111"/>
    <x v="11"/>
    <n v="3502"/>
    <n v="188388"/>
    <n v="1.86"/>
    <s v="DQS_MAO04_FILE_000_B"/>
    <s v="RECORD COUNT by MBR_ID, DOS_THRU_DT, DX_CD Grain grouped by PAYER, SRC_FILE_NM, DOS_THRU_YYYYMM"/>
  </r>
  <r>
    <x v="2"/>
    <s v="FINGLOBL_PE202507_REMAO004.TXT"/>
    <x v="112"/>
    <x v="11"/>
    <n v="11159"/>
    <n v="188388"/>
    <n v="5.92"/>
    <s v="DQS_MAO04_FILE_000_B"/>
    <s v="RECORD COUNT by MBR_ID, DOS_THRU_DT, DX_CD Grain grouped by PAYER, SRC_FILE_NM, DOS_THRU_YYYYMM"/>
  </r>
  <r>
    <x v="2"/>
    <s v="FINGLOBL_PE202507_REMAO004.TXT"/>
    <x v="113"/>
    <x v="11"/>
    <n v="92006"/>
    <n v="188388"/>
    <n v="48.84"/>
    <s v="DQS_MAO04_FILE_000_B"/>
    <s v="RECORD COUNT by MBR_ID, DOS_THRU_DT, DX_CD Grain grouped by PAYER, SRC_FILE_NM, DOS_THRU_YYYYMM"/>
  </r>
  <r>
    <x v="2"/>
    <s v="FINGLOBL_PE202507_REMAO004.TXT"/>
    <x v="114"/>
    <x v="11"/>
    <n v="61269"/>
    <n v="188388"/>
    <n v="32.520000000000003"/>
    <s v="DQS_MAO04_FILE_000_B"/>
    <s v="RECORD COUNT by MBR_ID, DOS_THRU_DT, DX_CD Grain grouped by PAYER, SRC_FILE_NM, DOS_THRU_YYYYMM"/>
  </r>
  <r>
    <x v="2"/>
    <s v="FINGLOBL_PE202508_REMAO004.TXT"/>
    <x v="29"/>
    <x v="4"/>
    <n v="3"/>
    <n v="166725"/>
    <n v="0"/>
    <s v="DQS_MAO04_FILE_000_B"/>
    <s v="RECORD COUNT by MBR_ID, DOS_THRU_DT, DX_CD Grain grouped by PAYER, SRC_FILE_NM, DOS_THRU_YYYYMM"/>
  </r>
  <r>
    <x v="2"/>
    <s v="FINGLOBL_PE202508_REMAO004.TXT"/>
    <x v="40"/>
    <x v="4"/>
    <n v="4"/>
    <n v="166725"/>
    <n v="0"/>
    <s v="DQS_MAO04_FILE_000_B"/>
    <s v="RECORD COUNT by MBR_ID, DOS_THRU_DT, DX_CD Grain grouped by PAYER, SRC_FILE_NM, DOS_THRU_YYYYMM"/>
  </r>
  <r>
    <x v="2"/>
    <s v="FINGLOBL_PE202508_REMAO004.TXT"/>
    <x v="56"/>
    <x v="6"/>
    <n v="6"/>
    <n v="166725"/>
    <n v="0"/>
    <s v="DQS_MAO04_FILE_000_B"/>
    <s v="RECORD COUNT by MBR_ID, DOS_THRU_DT, DX_CD Grain grouped by PAYER, SRC_FILE_NM, DOS_THRU_YYYYMM"/>
  </r>
  <r>
    <x v="2"/>
    <s v="FINGLOBL_PE202508_REMAO004.TXT"/>
    <x v="57"/>
    <x v="6"/>
    <n v="1"/>
    <n v="166725"/>
    <n v="0"/>
    <s v="DQS_MAO04_FILE_000_B"/>
    <s v="RECORD COUNT by MBR_ID, DOS_THRU_DT, DX_CD Grain grouped by PAYER, SRC_FILE_NM, DOS_THRU_YYYYMM"/>
  </r>
  <r>
    <x v="2"/>
    <s v="FINGLOBL_PE202508_REMAO004.TXT"/>
    <x v="65"/>
    <x v="7"/>
    <n v="43"/>
    <n v="166725"/>
    <n v="0.03"/>
    <s v="DQS_MAO04_FILE_000_B"/>
    <s v="RECORD COUNT by MBR_ID, DOS_THRU_DT, DX_CD Grain grouped by PAYER, SRC_FILE_NM, DOS_THRU_YYYYMM"/>
  </r>
  <r>
    <x v="2"/>
    <s v="FINGLOBL_PE202508_REMAO004.TXT"/>
    <x v="66"/>
    <x v="7"/>
    <n v="7"/>
    <n v="166725"/>
    <n v="0"/>
    <s v="DQS_MAO04_FILE_000_B"/>
    <s v="RECORD COUNT by MBR_ID, DOS_THRU_DT, DX_CD Grain grouped by PAYER, SRC_FILE_NM, DOS_THRU_YYYYMM"/>
  </r>
  <r>
    <x v="2"/>
    <s v="FINGLOBL_PE202508_REMAO004.TXT"/>
    <x v="67"/>
    <x v="7"/>
    <n v="32"/>
    <n v="166725"/>
    <n v="0.02"/>
    <s v="DQS_MAO04_FILE_000_B"/>
    <s v="RECORD COUNT by MBR_ID, DOS_THRU_DT, DX_CD Grain grouped by PAYER, SRC_FILE_NM, DOS_THRU_YYYYMM"/>
  </r>
  <r>
    <x v="2"/>
    <s v="FINGLOBL_PE202508_REMAO004.TXT"/>
    <x v="68"/>
    <x v="7"/>
    <n v="29"/>
    <n v="166725"/>
    <n v="0.02"/>
    <s v="DQS_MAO04_FILE_000_B"/>
    <s v="RECORD COUNT by MBR_ID, DOS_THRU_DT, DX_CD Grain grouped by PAYER, SRC_FILE_NM, DOS_THRU_YYYYMM"/>
  </r>
  <r>
    <x v="2"/>
    <s v="FINGLOBL_PE202508_REMAO004.TXT"/>
    <x v="69"/>
    <x v="7"/>
    <n v="18"/>
    <n v="166725"/>
    <n v="0.01"/>
    <s v="DQS_MAO04_FILE_000_B"/>
    <s v="RECORD COUNT by MBR_ID, DOS_THRU_DT, DX_CD Grain grouped by PAYER, SRC_FILE_NM, DOS_THRU_YYYYMM"/>
  </r>
  <r>
    <x v="2"/>
    <s v="FINGLOBL_PE202508_REMAO004.TXT"/>
    <x v="70"/>
    <x v="7"/>
    <n v="28"/>
    <n v="166725"/>
    <n v="0.02"/>
    <s v="DQS_MAO04_FILE_000_B"/>
    <s v="RECORD COUNT by MBR_ID, DOS_THRU_DT, DX_CD Grain grouped by PAYER, SRC_FILE_NM, DOS_THRU_YYYYMM"/>
  </r>
  <r>
    <x v="2"/>
    <s v="FINGLOBL_PE202508_REMAO004.TXT"/>
    <x v="71"/>
    <x v="7"/>
    <n v="27"/>
    <n v="166725"/>
    <n v="0.02"/>
    <s v="DQS_MAO04_FILE_000_B"/>
    <s v="RECORD COUNT by MBR_ID, DOS_THRU_DT, DX_CD Grain grouped by PAYER, SRC_FILE_NM, DOS_THRU_YYYYMM"/>
  </r>
  <r>
    <x v="2"/>
    <s v="FINGLOBL_PE202508_REMAO004.TXT"/>
    <x v="72"/>
    <x v="7"/>
    <n v="21"/>
    <n v="166725"/>
    <n v="0.01"/>
    <s v="DQS_MAO04_FILE_000_B"/>
    <s v="RECORD COUNT by MBR_ID, DOS_THRU_DT, DX_CD Grain grouped by PAYER, SRC_FILE_NM, DOS_THRU_YYYYMM"/>
  </r>
  <r>
    <x v="2"/>
    <s v="FINGLOBL_PE202508_REMAO004.TXT"/>
    <x v="73"/>
    <x v="7"/>
    <n v="92"/>
    <n v="166725"/>
    <n v="0.06"/>
    <s v="DQS_MAO04_FILE_000_B"/>
    <s v="RECORD COUNT by MBR_ID, DOS_THRU_DT, DX_CD Grain grouped by PAYER, SRC_FILE_NM, DOS_THRU_YYYYMM"/>
  </r>
  <r>
    <x v="2"/>
    <s v="FINGLOBL_PE202508_REMAO004.TXT"/>
    <x v="74"/>
    <x v="7"/>
    <n v="171"/>
    <n v="166725"/>
    <n v="0.1"/>
    <s v="DQS_MAO04_FILE_000_B"/>
    <s v="RECORD COUNT by MBR_ID, DOS_THRU_DT, DX_CD Grain grouped by PAYER, SRC_FILE_NM, DOS_THRU_YYYYMM"/>
  </r>
  <r>
    <x v="2"/>
    <s v="FINGLOBL_PE202508_REMAO004.TXT"/>
    <x v="75"/>
    <x v="7"/>
    <n v="255"/>
    <n v="166725"/>
    <n v="0.15"/>
    <s v="DQS_MAO04_FILE_000_B"/>
    <s v="RECORD COUNT by MBR_ID, DOS_THRU_DT, DX_CD Grain grouped by PAYER, SRC_FILE_NM, DOS_THRU_YYYYMM"/>
  </r>
  <r>
    <x v="2"/>
    <s v="FINGLOBL_PE202508_REMAO004.TXT"/>
    <x v="76"/>
    <x v="7"/>
    <n v="182"/>
    <n v="166725"/>
    <n v="0.11"/>
    <s v="DQS_MAO04_FILE_000_B"/>
    <s v="RECORD COUNT by MBR_ID, DOS_THRU_DT, DX_CD Grain grouped by PAYER, SRC_FILE_NM, DOS_THRU_YYYYMM"/>
  </r>
  <r>
    <x v="2"/>
    <s v="FINGLOBL_PE202508_REMAO004.TXT"/>
    <x v="77"/>
    <x v="8"/>
    <n v="153"/>
    <n v="166725"/>
    <n v="0.09"/>
    <s v="DQS_MAO04_FILE_000_B"/>
    <s v="RECORD COUNT by MBR_ID, DOS_THRU_DT, DX_CD Grain grouped by PAYER, SRC_FILE_NM, DOS_THRU_YYYYMM"/>
  </r>
  <r>
    <x v="2"/>
    <s v="FINGLOBL_PE202508_REMAO004.TXT"/>
    <x v="78"/>
    <x v="8"/>
    <n v="160"/>
    <n v="166725"/>
    <n v="0.1"/>
    <s v="DQS_MAO04_FILE_000_B"/>
    <s v="RECORD COUNT by MBR_ID, DOS_THRU_DT, DX_CD Grain grouped by PAYER, SRC_FILE_NM, DOS_THRU_YYYYMM"/>
  </r>
  <r>
    <x v="2"/>
    <s v="FINGLOBL_PE202508_REMAO004.TXT"/>
    <x v="79"/>
    <x v="8"/>
    <n v="169"/>
    <n v="166725"/>
    <n v="0.1"/>
    <s v="DQS_MAO04_FILE_000_B"/>
    <s v="RECORD COUNT by MBR_ID, DOS_THRU_DT, DX_CD Grain grouped by PAYER, SRC_FILE_NM, DOS_THRU_YYYYMM"/>
  </r>
  <r>
    <x v="2"/>
    <s v="FINGLOBL_PE202508_REMAO004.TXT"/>
    <x v="80"/>
    <x v="8"/>
    <n v="38"/>
    <n v="166725"/>
    <n v="0.02"/>
    <s v="DQS_MAO04_FILE_000_B"/>
    <s v="RECORD COUNT by MBR_ID, DOS_THRU_DT, DX_CD Grain grouped by PAYER, SRC_FILE_NM, DOS_THRU_YYYYMM"/>
  </r>
  <r>
    <x v="2"/>
    <s v="FINGLOBL_PE202508_REMAO004.TXT"/>
    <x v="81"/>
    <x v="8"/>
    <n v="41"/>
    <n v="166725"/>
    <n v="0.02"/>
    <s v="DQS_MAO04_FILE_000_B"/>
    <s v="RECORD COUNT by MBR_ID, DOS_THRU_DT, DX_CD Grain grouped by PAYER, SRC_FILE_NM, DOS_THRU_YYYYMM"/>
  </r>
  <r>
    <x v="2"/>
    <s v="FINGLOBL_PE202508_REMAO004.TXT"/>
    <x v="82"/>
    <x v="8"/>
    <n v="75"/>
    <n v="166725"/>
    <n v="0.04"/>
    <s v="DQS_MAO04_FILE_000_B"/>
    <s v="RECORD COUNT by MBR_ID, DOS_THRU_DT, DX_CD Grain grouped by PAYER, SRC_FILE_NM, DOS_THRU_YYYYMM"/>
  </r>
  <r>
    <x v="2"/>
    <s v="FINGLOBL_PE202508_REMAO004.TXT"/>
    <x v="83"/>
    <x v="8"/>
    <n v="88"/>
    <n v="166725"/>
    <n v="0.05"/>
    <s v="DQS_MAO04_FILE_000_B"/>
    <s v="RECORD COUNT by MBR_ID, DOS_THRU_DT, DX_CD Grain grouped by PAYER, SRC_FILE_NM, DOS_THRU_YYYYMM"/>
  </r>
  <r>
    <x v="2"/>
    <s v="FINGLOBL_PE202508_REMAO004.TXT"/>
    <x v="84"/>
    <x v="8"/>
    <n v="153"/>
    <n v="166725"/>
    <n v="0.09"/>
    <s v="DQS_MAO04_FILE_000_B"/>
    <s v="RECORD COUNT by MBR_ID, DOS_THRU_DT, DX_CD Grain grouped by PAYER, SRC_FILE_NM, DOS_THRU_YYYYMM"/>
  </r>
  <r>
    <x v="2"/>
    <s v="FINGLOBL_PE202508_REMAO004.TXT"/>
    <x v="85"/>
    <x v="8"/>
    <n v="123"/>
    <n v="166725"/>
    <n v="7.0000000000000007E-2"/>
    <s v="DQS_MAO04_FILE_000_B"/>
    <s v="RECORD COUNT by MBR_ID, DOS_THRU_DT, DX_CD Grain grouped by PAYER, SRC_FILE_NM, DOS_THRU_YYYYMM"/>
  </r>
  <r>
    <x v="2"/>
    <s v="FINGLOBL_PE202508_REMAO004.TXT"/>
    <x v="86"/>
    <x v="8"/>
    <n v="273"/>
    <n v="166725"/>
    <n v="0.16"/>
    <s v="DQS_MAO04_FILE_000_B"/>
    <s v="RECORD COUNT by MBR_ID, DOS_THRU_DT, DX_CD Grain grouped by PAYER, SRC_FILE_NM, DOS_THRU_YYYYMM"/>
  </r>
  <r>
    <x v="2"/>
    <s v="FINGLOBL_PE202508_REMAO004.TXT"/>
    <x v="87"/>
    <x v="8"/>
    <n v="402"/>
    <n v="166725"/>
    <n v="0.24"/>
    <s v="DQS_MAO04_FILE_000_B"/>
    <s v="RECORD COUNT by MBR_ID, DOS_THRU_DT, DX_CD Grain grouped by PAYER, SRC_FILE_NM, DOS_THRU_YYYYMM"/>
  </r>
  <r>
    <x v="2"/>
    <s v="FINGLOBL_PE202508_REMAO004.TXT"/>
    <x v="88"/>
    <x v="8"/>
    <n v="398"/>
    <n v="166725"/>
    <n v="0.24"/>
    <s v="DQS_MAO04_FILE_000_B"/>
    <s v="RECORD COUNT by MBR_ID, DOS_THRU_DT, DX_CD Grain grouped by PAYER, SRC_FILE_NM, DOS_THRU_YYYYMM"/>
  </r>
  <r>
    <x v="2"/>
    <s v="FINGLOBL_PE202508_REMAO004.TXT"/>
    <x v="89"/>
    <x v="9"/>
    <n v="291"/>
    <n v="166725"/>
    <n v="0.17"/>
    <s v="DQS_MAO04_FILE_000_B"/>
    <s v="RECORD COUNT by MBR_ID, DOS_THRU_DT, DX_CD Grain grouped by PAYER, SRC_FILE_NM, DOS_THRU_YYYYMM"/>
  </r>
  <r>
    <x v="2"/>
    <s v="FINGLOBL_PE202508_REMAO004.TXT"/>
    <x v="97"/>
    <x v="9"/>
    <n v="220"/>
    <n v="166725"/>
    <n v="0.13"/>
    <s v="DQS_MAO04_FILE_000_B"/>
    <s v="RECORD COUNT by MBR_ID, DOS_THRU_DT, DX_CD Grain grouped by PAYER, SRC_FILE_NM, DOS_THRU_YYYYMM"/>
  </r>
  <r>
    <x v="2"/>
    <s v="FINGLOBL_PE202508_REMAO004.TXT"/>
    <x v="98"/>
    <x v="9"/>
    <n v="326"/>
    <n v="166725"/>
    <n v="0.2"/>
    <s v="DQS_MAO04_FILE_000_B"/>
    <s v="RECORD COUNT by MBR_ID, DOS_THRU_DT, DX_CD Grain grouped by PAYER, SRC_FILE_NM, DOS_THRU_YYYYMM"/>
  </r>
  <r>
    <x v="2"/>
    <s v="FINGLOBL_PE202508_REMAO004.TXT"/>
    <x v="99"/>
    <x v="9"/>
    <n v="409"/>
    <n v="166725"/>
    <n v="0.25"/>
    <s v="DQS_MAO04_FILE_000_B"/>
    <s v="RECORD COUNT by MBR_ID, DOS_THRU_DT, DX_CD Grain grouped by PAYER, SRC_FILE_NM, DOS_THRU_YYYYMM"/>
  </r>
  <r>
    <x v="2"/>
    <s v="FINGLOBL_PE202508_REMAO004.TXT"/>
    <x v="100"/>
    <x v="9"/>
    <n v="521"/>
    <n v="166725"/>
    <n v="0.31"/>
    <s v="DQS_MAO04_FILE_000_B"/>
    <s v="RECORD COUNT by MBR_ID, DOS_THRU_DT, DX_CD Grain grouped by PAYER, SRC_FILE_NM, DOS_THRU_YYYYMM"/>
  </r>
  <r>
    <x v="2"/>
    <s v="FINGLOBL_PE202508_REMAO004.TXT"/>
    <x v="102"/>
    <x v="9"/>
    <n v="774"/>
    <n v="166725"/>
    <n v="0.46"/>
    <s v="DQS_MAO04_FILE_000_B"/>
    <s v="RECORD COUNT by MBR_ID, DOS_THRU_DT, DX_CD Grain grouped by PAYER, SRC_FILE_NM, DOS_THRU_YYYYMM"/>
  </r>
  <r>
    <x v="2"/>
    <s v="FINGLOBL_PE202508_REMAO004.TXT"/>
    <x v="103"/>
    <x v="9"/>
    <n v="826"/>
    <n v="166725"/>
    <n v="0.5"/>
    <s v="DQS_MAO04_FILE_000_B"/>
    <s v="RECORD COUNT by MBR_ID, DOS_THRU_DT, DX_CD Grain grouped by PAYER, SRC_FILE_NM, DOS_THRU_YYYYMM"/>
  </r>
  <r>
    <x v="2"/>
    <s v="FINGLOBL_PE202508_REMAO004.TXT"/>
    <x v="105"/>
    <x v="9"/>
    <n v="625"/>
    <n v="166725"/>
    <n v="0.37"/>
    <s v="DQS_MAO04_FILE_000_B"/>
    <s v="RECORD COUNT by MBR_ID, DOS_THRU_DT, DX_CD Grain grouped by PAYER, SRC_FILE_NM, DOS_THRU_YYYYMM"/>
  </r>
  <r>
    <x v="2"/>
    <s v="FINGLOBL_PE202508_REMAO004.TXT"/>
    <x v="106"/>
    <x v="9"/>
    <n v="930"/>
    <n v="166725"/>
    <n v="0.56000000000000005"/>
    <s v="DQS_MAO04_FILE_000_B"/>
    <s v="RECORD COUNT by MBR_ID, DOS_THRU_DT, DX_CD Grain grouped by PAYER, SRC_FILE_NM, DOS_THRU_YYYYMM"/>
  </r>
  <r>
    <x v="2"/>
    <s v="FINGLOBL_PE202508_REMAO004.TXT"/>
    <x v="107"/>
    <x v="9"/>
    <n v="4131"/>
    <n v="166725"/>
    <n v="2.48"/>
    <s v="DQS_MAO04_FILE_000_B"/>
    <s v="RECORD COUNT by MBR_ID, DOS_THRU_DT, DX_CD Grain grouped by PAYER, SRC_FILE_NM, DOS_THRU_YYYYMM"/>
  </r>
  <r>
    <x v="2"/>
    <s v="FINGLOBL_PE202508_REMAO004.TXT"/>
    <x v="108"/>
    <x v="9"/>
    <n v="2861"/>
    <n v="166725"/>
    <n v="1.72"/>
    <s v="DQS_MAO04_FILE_000_B"/>
    <s v="RECORD COUNT by MBR_ID, DOS_THRU_DT, DX_CD Grain grouped by PAYER, SRC_FILE_NM, DOS_THRU_YYYYMM"/>
  </r>
  <r>
    <x v="2"/>
    <s v="FINGLOBL_PE202508_REMAO004.TXT"/>
    <x v="109"/>
    <x v="9"/>
    <n v="1779"/>
    <n v="166725"/>
    <n v="1.07"/>
    <s v="DQS_MAO04_FILE_000_B"/>
    <s v="RECORD COUNT by MBR_ID, DOS_THRU_DT, DX_CD Grain grouped by PAYER, SRC_FILE_NM, DOS_THRU_YYYYMM"/>
  </r>
  <r>
    <x v="2"/>
    <s v="FINGLOBL_PE202508_REMAO004.TXT"/>
    <x v="110"/>
    <x v="11"/>
    <n v="5501"/>
    <n v="166725"/>
    <n v="3.3"/>
    <s v="DQS_MAO04_FILE_000_B"/>
    <s v="RECORD COUNT by MBR_ID, DOS_THRU_DT, DX_CD Grain grouped by PAYER, SRC_FILE_NM, DOS_THRU_YYYYMM"/>
  </r>
  <r>
    <x v="2"/>
    <s v="FINGLOBL_PE202508_REMAO004.TXT"/>
    <x v="111"/>
    <x v="11"/>
    <n v="2946"/>
    <n v="166725"/>
    <n v="1.77"/>
    <s v="DQS_MAO04_FILE_000_B"/>
    <s v="RECORD COUNT by MBR_ID, DOS_THRU_DT, DX_CD Grain grouped by PAYER, SRC_FILE_NM, DOS_THRU_YYYYMM"/>
  </r>
  <r>
    <x v="2"/>
    <s v="FINGLOBL_PE202508_REMAO004.TXT"/>
    <x v="112"/>
    <x v="11"/>
    <n v="4338"/>
    <n v="166725"/>
    <n v="2.6"/>
    <s v="DQS_MAO04_FILE_000_B"/>
    <s v="RECORD COUNT by MBR_ID, DOS_THRU_DT, DX_CD Grain grouped by PAYER, SRC_FILE_NM, DOS_THRU_YYYYMM"/>
  </r>
  <r>
    <x v="2"/>
    <s v="FINGLOBL_PE202508_REMAO004.TXT"/>
    <x v="113"/>
    <x v="11"/>
    <n v="9322"/>
    <n v="166725"/>
    <n v="5.59"/>
    <s v="DQS_MAO04_FILE_000_B"/>
    <s v="RECORD COUNT by MBR_ID, DOS_THRU_DT, DX_CD Grain grouped by PAYER, SRC_FILE_NM, DOS_THRU_YYYYMM"/>
  </r>
  <r>
    <x v="2"/>
    <s v="FINGLOBL_PE202508_REMAO004.TXT"/>
    <x v="114"/>
    <x v="11"/>
    <n v="73493"/>
    <n v="166725"/>
    <n v="44.08"/>
    <s v="DQS_MAO04_FILE_000_B"/>
    <s v="RECORD COUNT by MBR_ID, DOS_THRU_DT, DX_CD Grain grouped by PAYER, SRC_FILE_NM, DOS_THRU_YYYYMM"/>
  </r>
  <r>
    <x v="2"/>
    <s v="FINGLOBL_PE202508_REMAO004.TXT"/>
    <x v="115"/>
    <x v="11"/>
    <n v="54440"/>
    <n v="166725"/>
    <n v="32.65"/>
    <s v="DQS_MAO04_FILE_000_B"/>
    <s v="RECORD COUNT by MBR_ID, DOS_THRU_DT, DX_CD Grain grouped by PAYER, SRC_FILE_NM, DOS_THRU_YYYYMM"/>
  </r>
  <r>
    <x v="2"/>
    <s v="FINGLOBL_PE202509_REMAO004.TXT"/>
    <x v="67"/>
    <x v="7"/>
    <n v="23"/>
    <n v="168980"/>
    <n v="0.01"/>
    <s v="DQS_MAO04_FILE_000_B"/>
    <s v="RECORD COUNT by MBR_ID, DOS_THRU_DT, DX_CD Grain grouped by PAYER, SRC_FILE_NM, DOS_THRU_YYYYMM"/>
  </r>
  <r>
    <x v="2"/>
    <s v="FINGLOBL_PE202509_REMAO004.TXT"/>
    <x v="74"/>
    <x v="7"/>
    <n v="3"/>
    <n v="168980"/>
    <n v="0"/>
    <s v="DQS_MAO04_FILE_000_B"/>
    <s v="RECORD COUNT by MBR_ID, DOS_THRU_DT, DX_CD Grain grouped by PAYER, SRC_FILE_NM, DOS_THRU_YYYYMM"/>
  </r>
  <r>
    <x v="2"/>
    <s v="FINGLOBL_PE202509_REMAO004.TXT"/>
    <x v="76"/>
    <x v="7"/>
    <n v="25"/>
    <n v="168980"/>
    <n v="0.01"/>
    <s v="DQS_MAO04_FILE_000_B"/>
    <s v="RECORD COUNT by MBR_ID, DOS_THRU_DT, DX_CD Grain grouped by PAYER, SRC_FILE_NM, DOS_THRU_YYYYMM"/>
  </r>
  <r>
    <x v="2"/>
    <s v="FINGLOBL_PE202509_REMAO004.TXT"/>
    <x v="77"/>
    <x v="8"/>
    <n v="42"/>
    <n v="168980"/>
    <n v="0.02"/>
    <s v="DQS_MAO04_FILE_000_B"/>
    <s v="RECORD COUNT by MBR_ID, DOS_THRU_DT, DX_CD Grain grouped by PAYER, SRC_FILE_NM, DOS_THRU_YYYYMM"/>
  </r>
  <r>
    <x v="2"/>
    <s v="FINGLOBL_PE202509_REMAO004.TXT"/>
    <x v="78"/>
    <x v="8"/>
    <n v="32"/>
    <n v="168980"/>
    <n v="0.02"/>
    <s v="DQS_MAO04_FILE_000_B"/>
    <s v="RECORD COUNT by MBR_ID, DOS_THRU_DT, DX_CD Grain grouped by PAYER, SRC_FILE_NM, DOS_THRU_YYYYMM"/>
  </r>
  <r>
    <x v="2"/>
    <s v="FINGLOBL_PE202509_REMAO004.TXT"/>
    <x v="79"/>
    <x v="8"/>
    <n v="45"/>
    <n v="168980"/>
    <n v="0.03"/>
    <s v="DQS_MAO04_FILE_000_B"/>
    <s v="RECORD COUNT by MBR_ID, DOS_THRU_DT, DX_CD Grain grouped by PAYER, SRC_FILE_NM, DOS_THRU_YYYYMM"/>
  </r>
  <r>
    <x v="2"/>
    <s v="FINGLOBL_PE202509_REMAO004.TXT"/>
    <x v="80"/>
    <x v="8"/>
    <n v="20"/>
    <n v="168980"/>
    <n v="0.01"/>
    <s v="DQS_MAO04_FILE_000_B"/>
    <s v="RECORD COUNT by MBR_ID, DOS_THRU_DT, DX_CD Grain grouped by PAYER, SRC_FILE_NM, DOS_THRU_YYYYMM"/>
  </r>
  <r>
    <x v="2"/>
    <s v="FINGLOBL_PE202509_REMAO004.TXT"/>
    <x v="81"/>
    <x v="8"/>
    <n v="32"/>
    <n v="168980"/>
    <n v="0.02"/>
    <s v="DQS_MAO04_FILE_000_B"/>
    <s v="RECORD COUNT by MBR_ID, DOS_THRU_DT, DX_CD Grain grouped by PAYER, SRC_FILE_NM, DOS_THRU_YYYYMM"/>
  </r>
  <r>
    <x v="2"/>
    <s v="FINGLOBL_PE202509_REMAO004.TXT"/>
    <x v="82"/>
    <x v="8"/>
    <n v="90"/>
    <n v="168980"/>
    <n v="0.05"/>
    <s v="DQS_MAO04_FILE_000_B"/>
    <s v="RECORD COUNT by MBR_ID, DOS_THRU_DT, DX_CD Grain grouped by PAYER, SRC_FILE_NM, DOS_THRU_YYYYMM"/>
  </r>
  <r>
    <x v="2"/>
    <s v="FINGLOBL_PE202509_REMAO004.TXT"/>
    <x v="83"/>
    <x v="8"/>
    <n v="144"/>
    <n v="168980"/>
    <n v="0.09"/>
    <s v="DQS_MAO04_FILE_000_B"/>
    <s v="RECORD COUNT by MBR_ID, DOS_THRU_DT, DX_CD Grain grouped by PAYER, SRC_FILE_NM, DOS_THRU_YYYYMM"/>
  </r>
  <r>
    <x v="2"/>
    <s v="FINGLOBL_PE202509_REMAO004.TXT"/>
    <x v="84"/>
    <x v="8"/>
    <n v="158"/>
    <n v="168980"/>
    <n v="0.09"/>
    <s v="DQS_MAO04_FILE_000_B"/>
    <s v="RECORD COUNT by MBR_ID, DOS_THRU_DT, DX_CD Grain grouped by PAYER, SRC_FILE_NM, DOS_THRU_YYYYMM"/>
  </r>
  <r>
    <x v="2"/>
    <s v="FINGLOBL_PE202509_REMAO004.TXT"/>
    <x v="85"/>
    <x v="8"/>
    <n v="139"/>
    <n v="168980"/>
    <n v="0.08"/>
    <s v="DQS_MAO04_FILE_000_B"/>
    <s v="RECORD COUNT by MBR_ID, DOS_THRU_DT, DX_CD Grain grouped by PAYER, SRC_FILE_NM, DOS_THRU_YYYYMM"/>
  </r>
  <r>
    <x v="2"/>
    <s v="FINGLOBL_PE202509_REMAO004.TXT"/>
    <x v="86"/>
    <x v="8"/>
    <n v="45"/>
    <n v="168980"/>
    <n v="0.03"/>
    <s v="DQS_MAO04_FILE_000_B"/>
    <s v="RECORD COUNT by MBR_ID, DOS_THRU_DT, DX_CD Grain grouped by PAYER, SRC_FILE_NM, DOS_THRU_YYYYMM"/>
  </r>
  <r>
    <x v="2"/>
    <s v="FINGLOBL_PE202509_REMAO004.TXT"/>
    <x v="87"/>
    <x v="8"/>
    <n v="73"/>
    <n v="168980"/>
    <n v="0.04"/>
    <s v="DQS_MAO04_FILE_000_B"/>
    <s v="RECORD COUNT by MBR_ID, DOS_THRU_DT, DX_CD Grain grouped by PAYER, SRC_FILE_NM, DOS_THRU_YYYYMM"/>
  </r>
  <r>
    <x v="2"/>
    <s v="FINGLOBL_PE202509_REMAO004.TXT"/>
    <x v="88"/>
    <x v="8"/>
    <n v="46"/>
    <n v="168980"/>
    <n v="0.03"/>
    <s v="DQS_MAO04_FILE_000_B"/>
    <s v="RECORD COUNT by MBR_ID, DOS_THRU_DT, DX_CD Grain grouped by PAYER, SRC_FILE_NM, DOS_THRU_YYYYMM"/>
  </r>
  <r>
    <x v="2"/>
    <s v="FINGLOBL_PE202509_REMAO004.TXT"/>
    <x v="89"/>
    <x v="9"/>
    <n v="404"/>
    <n v="168980"/>
    <n v="0.24"/>
    <s v="DQS_MAO04_FILE_000_B"/>
    <s v="RECORD COUNT by MBR_ID, DOS_THRU_DT, DX_CD Grain grouped by PAYER, SRC_FILE_NM, DOS_THRU_YYYYMM"/>
  </r>
  <r>
    <x v="2"/>
    <s v="FINGLOBL_PE202509_REMAO004.TXT"/>
    <x v="97"/>
    <x v="9"/>
    <n v="582"/>
    <n v="168980"/>
    <n v="0.34"/>
    <s v="DQS_MAO04_FILE_000_B"/>
    <s v="RECORD COUNT by MBR_ID, DOS_THRU_DT, DX_CD Grain grouped by PAYER, SRC_FILE_NM, DOS_THRU_YYYYMM"/>
  </r>
  <r>
    <x v="2"/>
    <s v="FINGLOBL_PE202509_REMAO004.TXT"/>
    <x v="98"/>
    <x v="9"/>
    <n v="591"/>
    <n v="168980"/>
    <n v="0.35"/>
    <s v="DQS_MAO04_FILE_000_B"/>
    <s v="RECORD COUNT by MBR_ID, DOS_THRU_DT, DX_CD Grain grouped by PAYER, SRC_FILE_NM, DOS_THRU_YYYYMM"/>
  </r>
  <r>
    <x v="2"/>
    <s v="FINGLOBL_PE202509_REMAO004.TXT"/>
    <x v="99"/>
    <x v="9"/>
    <n v="466"/>
    <n v="168980"/>
    <n v="0.28000000000000003"/>
    <s v="DQS_MAO04_FILE_000_B"/>
    <s v="RECORD COUNT by MBR_ID, DOS_THRU_DT, DX_CD Grain grouped by PAYER, SRC_FILE_NM, DOS_THRU_YYYYMM"/>
  </r>
  <r>
    <x v="2"/>
    <s v="FINGLOBL_PE202509_REMAO004.TXT"/>
    <x v="100"/>
    <x v="9"/>
    <n v="293"/>
    <n v="168980"/>
    <n v="0.17"/>
    <s v="DQS_MAO04_FILE_000_B"/>
    <s v="RECORD COUNT by MBR_ID, DOS_THRU_DT, DX_CD Grain grouped by PAYER, SRC_FILE_NM, DOS_THRU_YYYYMM"/>
  </r>
  <r>
    <x v="2"/>
    <s v="FINGLOBL_PE202509_REMAO004.TXT"/>
    <x v="102"/>
    <x v="9"/>
    <n v="598"/>
    <n v="168980"/>
    <n v="0.35"/>
    <s v="DQS_MAO04_FILE_000_B"/>
    <s v="RECORD COUNT by MBR_ID, DOS_THRU_DT, DX_CD Grain grouped by PAYER, SRC_FILE_NM, DOS_THRU_YYYYMM"/>
  </r>
  <r>
    <x v="2"/>
    <s v="FINGLOBL_PE202509_REMAO004.TXT"/>
    <x v="103"/>
    <x v="9"/>
    <n v="747"/>
    <n v="168980"/>
    <n v="0.44"/>
    <s v="DQS_MAO04_FILE_000_B"/>
    <s v="RECORD COUNT by MBR_ID, DOS_THRU_DT, DX_CD Grain grouped by PAYER, SRC_FILE_NM, DOS_THRU_YYYYMM"/>
  </r>
  <r>
    <x v="2"/>
    <s v="FINGLOBL_PE202509_REMAO004.TXT"/>
    <x v="105"/>
    <x v="9"/>
    <n v="616"/>
    <n v="168980"/>
    <n v="0.36"/>
    <s v="DQS_MAO04_FILE_000_B"/>
    <s v="RECORD COUNT by MBR_ID, DOS_THRU_DT, DX_CD Grain grouped by PAYER, SRC_FILE_NM, DOS_THRU_YYYYMM"/>
  </r>
  <r>
    <x v="2"/>
    <s v="FINGLOBL_PE202509_REMAO004.TXT"/>
    <x v="106"/>
    <x v="9"/>
    <n v="691"/>
    <n v="168980"/>
    <n v="0.41"/>
    <s v="DQS_MAO04_FILE_000_B"/>
    <s v="RECORD COUNT by MBR_ID, DOS_THRU_DT, DX_CD Grain grouped by PAYER, SRC_FILE_NM, DOS_THRU_YYYYMM"/>
  </r>
  <r>
    <x v="2"/>
    <s v="FINGLOBL_PE202509_REMAO004.TXT"/>
    <x v="107"/>
    <x v="9"/>
    <n v="1445"/>
    <n v="168980"/>
    <n v="0.86"/>
    <s v="DQS_MAO04_FILE_000_B"/>
    <s v="RECORD COUNT by MBR_ID, DOS_THRU_DT, DX_CD Grain grouped by PAYER, SRC_FILE_NM, DOS_THRU_YYYYMM"/>
  </r>
  <r>
    <x v="2"/>
    <s v="FINGLOBL_PE202509_REMAO004.TXT"/>
    <x v="108"/>
    <x v="9"/>
    <n v="1094"/>
    <n v="168980"/>
    <n v="0.65"/>
    <s v="DQS_MAO04_FILE_000_B"/>
    <s v="RECORD COUNT by MBR_ID, DOS_THRU_DT, DX_CD Grain grouped by PAYER, SRC_FILE_NM, DOS_THRU_YYYYMM"/>
  </r>
  <r>
    <x v="2"/>
    <s v="FINGLOBL_PE202509_REMAO004.TXT"/>
    <x v="109"/>
    <x v="9"/>
    <n v="1331"/>
    <n v="168980"/>
    <n v="0.79"/>
    <s v="DQS_MAO04_FILE_000_B"/>
    <s v="RECORD COUNT by MBR_ID, DOS_THRU_DT, DX_CD Grain grouped by PAYER, SRC_FILE_NM, DOS_THRU_YYYYMM"/>
  </r>
  <r>
    <x v="2"/>
    <s v="FINGLOBL_PE202509_REMAO004.TXT"/>
    <x v="110"/>
    <x v="11"/>
    <n v="3704"/>
    <n v="168980"/>
    <n v="2.19"/>
    <s v="DQS_MAO04_FILE_000_B"/>
    <s v="RECORD COUNT by MBR_ID, DOS_THRU_DT, DX_CD Grain grouped by PAYER, SRC_FILE_NM, DOS_THRU_YYYYMM"/>
  </r>
  <r>
    <x v="2"/>
    <s v="FINGLOBL_PE202509_REMAO004.TXT"/>
    <x v="111"/>
    <x v="11"/>
    <n v="5908"/>
    <n v="168980"/>
    <n v="3.5"/>
    <s v="DQS_MAO04_FILE_000_B"/>
    <s v="RECORD COUNT by MBR_ID, DOS_THRU_DT, DX_CD Grain grouped by PAYER, SRC_FILE_NM, DOS_THRU_YYYYMM"/>
  </r>
  <r>
    <x v="2"/>
    <s v="FINGLOBL_PE202509_REMAO004.TXT"/>
    <x v="112"/>
    <x v="11"/>
    <n v="4626"/>
    <n v="168980"/>
    <n v="2.74"/>
    <s v="DQS_MAO04_FILE_000_B"/>
    <s v="RECORD COUNT by MBR_ID, DOS_THRU_DT, DX_CD Grain grouped by PAYER, SRC_FILE_NM, DOS_THRU_YYYYMM"/>
  </r>
  <r>
    <x v="2"/>
    <s v="FINGLOBL_PE202509_REMAO004.TXT"/>
    <x v="113"/>
    <x v="11"/>
    <n v="6172"/>
    <n v="168980"/>
    <n v="3.65"/>
    <s v="DQS_MAO04_FILE_000_B"/>
    <s v="RECORD COUNT by MBR_ID, DOS_THRU_DT, DX_CD Grain grouped by PAYER, SRC_FILE_NM, DOS_THRU_YYYYMM"/>
  </r>
  <r>
    <x v="2"/>
    <s v="FINGLOBL_PE202509_REMAO004.TXT"/>
    <x v="114"/>
    <x v="11"/>
    <n v="10834"/>
    <n v="168980"/>
    <n v="6.41"/>
    <s v="DQS_MAO04_FILE_000_B"/>
    <s v="RECORD COUNT by MBR_ID, DOS_THRU_DT, DX_CD Grain grouped by PAYER, SRC_FILE_NM, DOS_THRU_YYYYMM"/>
  </r>
  <r>
    <x v="2"/>
    <s v="FINGLOBL_PE202509_REMAO004.TXT"/>
    <x v="115"/>
    <x v="11"/>
    <n v="70719"/>
    <n v="168980"/>
    <n v="41.85"/>
    <s v="DQS_MAO04_FILE_000_B"/>
    <s v="RECORD COUNT by MBR_ID, DOS_THRU_DT, DX_CD Grain grouped by PAYER, SRC_FILE_NM, DOS_THRU_YYYYMM"/>
  </r>
  <r>
    <x v="2"/>
    <s v="FINGLOBL_PE202509_REMAO004.TXT"/>
    <x v="116"/>
    <x v="11"/>
    <n v="57242"/>
    <n v="168980"/>
    <n v="33.880000000000003"/>
    <s v="DQS_MAO04_FILE_000_B"/>
    <s v="RECORD COUNT by MBR_ID, DOS_THRU_DT, DX_CD Grain grouped by PAYER, SRC_FILE_NM, DOS_THRU_YYYYMM"/>
  </r>
  <r>
    <x v="2"/>
    <s v="FINGLOBL_PE202510_REMAO004.TXT"/>
    <x v="65"/>
    <x v="7"/>
    <n v="3"/>
    <n v="177354"/>
    <n v="0"/>
    <s v="DQS_MAO04_FILE_000_B"/>
    <s v="RECORD COUNT by MBR_ID, DOS_THRU_DT, DX_CD Grain grouped by PAYER, SRC_FILE_NM, DOS_THRU_YYYYMM"/>
  </r>
  <r>
    <x v="2"/>
    <s v="FINGLOBL_PE202510_REMAO004.TXT"/>
    <x v="66"/>
    <x v="7"/>
    <n v="2"/>
    <n v="177354"/>
    <n v="0"/>
    <s v="DQS_MAO04_FILE_000_B"/>
    <s v="RECORD COUNT by MBR_ID, DOS_THRU_DT, DX_CD Grain grouped by PAYER, SRC_FILE_NM, DOS_THRU_YYYYMM"/>
  </r>
  <r>
    <x v="2"/>
    <s v="FINGLOBL_PE202510_REMAO004.TXT"/>
    <x v="67"/>
    <x v="7"/>
    <n v="8"/>
    <n v="177354"/>
    <n v="0"/>
    <s v="DQS_MAO04_FILE_000_B"/>
    <s v="RECORD COUNT by MBR_ID, DOS_THRU_DT, DX_CD Grain grouped by PAYER, SRC_FILE_NM, DOS_THRU_YYYYMM"/>
  </r>
  <r>
    <x v="2"/>
    <s v="FINGLOBL_PE202510_REMAO004.TXT"/>
    <x v="68"/>
    <x v="7"/>
    <n v="11"/>
    <n v="177354"/>
    <n v="0.01"/>
    <s v="DQS_MAO04_FILE_000_B"/>
    <s v="RECORD COUNT by MBR_ID, DOS_THRU_DT, DX_CD Grain grouped by PAYER, SRC_FILE_NM, DOS_THRU_YYYYMM"/>
  </r>
  <r>
    <x v="2"/>
    <s v="FINGLOBL_PE202510_REMAO004.TXT"/>
    <x v="69"/>
    <x v="7"/>
    <n v="8"/>
    <n v="177354"/>
    <n v="0"/>
    <s v="DQS_MAO04_FILE_000_B"/>
    <s v="RECORD COUNT by MBR_ID, DOS_THRU_DT, DX_CD Grain grouped by PAYER, SRC_FILE_NM, DOS_THRU_YYYYMM"/>
  </r>
  <r>
    <x v="2"/>
    <s v="FINGLOBL_PE202510_REMAO004.TXT"/>
    <x v="71"/>
    <x v="7"/>
    <n v="4"/>
    <n v="177354"/>
    <n v="0"/>
    <s v="DQS_MAO04_FILE_000_B"/>
    <s v="RECORD COUNT by MBR_ID, DOS_THRU_DT, DX_CD Grain grouped by PAYER, SRC_FILE_NM, DOS_THRU_YYYYMM"/>
  </r>
  <r>
    <x v="2"/>
    <s v="FINGLOBL_PE202510_REMAO004.TXT"/>
    <x v="72"/>
    <x v="7"/>
    <n v="5"/>
    <n v="177354"/>
    <n v="0"/>
    <s v="DQS_MAO04_FILE_000_B"/>
    <s v="RECORD COUNT by MBR_ID, DOS_THRU_DT, DX_CD Grain grouped by PAYER, SRC_FILE_NM, DOS_THRU_YYYYMM"/>
  </r>
  <r>
    <x v="2"/>
    <s v="FINGLOBL_PE202510_REMAO004.TXT"/>
    <x v="73"/>
    <x v="7"/>
    <n v="4"/>
    <n v="177354"/>
    <n v="0"/>
    <s v="DQS_MAO04_FILE_000_B"/>
    <s v="RECORD COUNT by MBR_ID, DOS_THRU_DT, DX_CD Grain grouped by PAYER, SRC_FILE_NM, DOS_THRU_YYYYMM"/>
  </r>
  <r>
    <x v="2"/>
    <s v="FINGLOBL_PE202510_REMAO004.TXT"/>
    <x v="75"/>
    <x v="7"/>
    <n v="16"/>
    <n v="177354"/>
    <n v="0.01"/>
    <s v="DQS_MAO04_FILE_000_B"/>
    <s v="RECORD COUNT by MBR_ID, DOS_THRU_DT, DX_CD Grain grouped by PAYER, SRC_FILE_NM, DOS_THRU_YYYYMM"/>
  </r>
  <r>
    <x v="2"/>
    <s v="FINGLOBL_PE202510_REMAO004.TXT"/>
    <x v="76"/>
    <x v="7"/>
    <n v="20"/>
    <n v="177354"/>
    <n v="0.01"/>
    <s v="DQS_MAO04_FILE_000_B"/>
    <s v="RECORD COUNT by MBR_ID, DOS_THRU_DT, DX_CD Grain grouped by PAYER, SRC_FILE_NM, DOS_THRU_YYYYMM"/>
  </r>
  <r>
    <x v="2"/>
    <s v="FINGLOBL_PE202510_REMAO004.TXT"/>
    <x v="77"/>
    <x v="8"/>
    <n v="25"/>
    <n v="177354"/>
    <n v="0.01"/>
    <s v="DQS_MAO04_FILE_000_B"/>
    <s v="RECORD COUNT by MBR_ID, DOS_THRU_DT, DX_CD Grain grouped by PAYER, SRC_FILE_NM, DOS_THRU_YYYYMM"/>
  </r>
  <r>
    <x v="2"/>
    <s v="FINGLOBL_PE202510_REMAO004.TXT"/>
    <x v="78"/>
    <x v="8"/>
    <n v="3"/>
    <n v="177354"/>
    <n v="0"/>
    <s v="DQS_MAO04_FILE_000_B"/>
    <s v="RECORD COUNT by MBR_ID, DOS_THRU_DT, DX_CD Grain grouped by PAYER, SRC_FILE_NM, DOS_THRU_YYYYMM"/>
  </r>
  <r>
    <x v="2"/>
    <s v="FINGLOBL_PE202510_REMAO004.TXT"/>
    <x v="79"/>
    <x v="8"/>
    <n v="17"/>
    <n v="177354"/>
    <n v="0.01"/>
    <s v="DQS_MAO04_FILE_000_B"/>
    <s v="RECORD COUNT by MBR_ID, DOS_THRU_DT, DX_CD Grain grouped by PAYER, SRC_FILE_NM, DOS_THRU_YYYYMM"/>
  </r>
  <r>
    <x v="2"/>
    <s v="FINGLOBL_PE202510_REMAO004.TXT"/>
    <x v="80"/>
    <x v="8"/>
    <n v="32"/>
    <n v="177354"/>
    <n v="0.02"/>
    <s v="DQS_MAO04_FILE_000_B"/>
    <s v="RECORD COUNT by MBR_ID, DOS_THRU_DT, DX_CD Grain grouped by PAYER, SRC_FILE_NM, DOS_THRU_YYYYMM"/>
  </r>
  <r>
    <x v="2"/>
    <s v="FINGLOBL_PE202510_REMAO004.TXT"/>
    <x v="81"/>
    <x v="8"/>
    <n v="17"/>
    <n v="177354"/>
    <n v="0.01"/>
    <s v="DQS_MAO04_FILE_000_B"/>
    <s v="RECORD COUNT by MBR_ID, DOS_THRU_DT, DX_CD Grain grouped by PAYER, SRC_FILE_NM, DOS_THRU_YYYYMM"/>
  </r>
  <r>
    <x v="2"/>
    <s v="FINGLOBL_PE202510_REMAO004.TXT"/>
    <x v="82"/>
    <x v="8"/>
    <n v="17"/>
    <n v="177354"/>
    <n v="0.01"/>
    <s v="DQS_MAO04_FILE_000_B"/>
    <s v="RECORD COUNT by MBR_ID, DOS_THRU_DT, DX_CD Grain grouped by PAYER, SRC_FILE_NM, DOS_THRU_YYYYMM"/>
  </r>
  <r>
    <x v="2"/>
    <s v="FINGLOBL_PE202510_REMAO004.TXT"/>
    <x v="83"/>
    <x v="8"/>
    <n v="38"/>
    <n v="177354"/>
    <n v="0.02"/>
    <s v="DQS_MAO04_FILE_000_B"/>
    <s v="RECORD COUNT by MBR_ID, DOS_THRU_DT, DX_CD Grain grouped by PAYER, SRC_FILE_NM, DOS_THRU_YYYYMM"/>
  </r>
  <r>
    <x v="2"/>
    <s v="FINGLOBL_PE202510_REMAO004.TXT"/>
    <x v="84"/>
    <x v="8"/>
    <n v="81"/>
    <n v="177354"/>
    <n v="0.05"/>
    <s v="DQS_MAO04_FILE_000_B"/>
    <s v="RECORD COUNT by MBR_ID, DOS_THRU_DT, DX_CD Grain grouped by PAYER, SRC_FILE_NM, DOS_THRU_YYYYMM"/>
  </r>
  <r>
    <x v="2"/>
    <s v="FINGLOBL_PE202510_REMAO004.TXT"/>
    <x v="85"/>
    <x v="8"/>
    <n v="42"/>
    <n v="177354"/>
    <n v="0.02"/>
    <s v="DQS_MAO04_FILE_000_B"/>
    <s v="RECORD COUNT by MBR_ID, DOS_THRU_DT, DX_CD Grain grouped by PAYER, SRC_FILE_NM, DOS_THRU_YYYYMM"/>
  </r>
  <r>
    <x v="2"/>
    <s v="FINGLOBL_PE202510_REMAO004.TXT"/>
    <x v="86"/>
    <x v="8"/>
    <n v="33"/>
    <n v="177354"/>
    <n v="0.02"/>
    <s v="DQS_MAO04_FILE_000_B"/>
    <s v="RECORD COUNT by MBR_ID, DOS_THRU_DT, DX_CD Grain grouped by PAYER, SRC_FILE_NM, DOS_THRU_YYYYMM"/>
  </r>
  <r>
    <x v="2"/>
    <s v="FINGLOBL_PE202510_REMAO004.TXT"/>
    <x v="87"/>
    <x v="8"/>
    <n v="56"/>
    <n v="177354"/>
    <n v="0.03"/>
    <s v="DQS_MAO04_FILE_000_B"/>
    <s v="RECORD COUNT by MBR_ID, DOS_THRU_DT, DX_CD Grain grouped by PAYER, SRC_FILE_NM, DOS_THRU_YYYYMM"/>
  </r>
  <r>
    <x v="2"/>
    <s v="FINGLOBL_PE202510_REMAO004.TXT"/>
    <x v="88"/>
    <x v="8"/>
    <n v="6"/>
    <n v="177354"/>
    <n v="0"/>
    <s v="DQS_MAO04_FILE_000_B"/>
    <s v="RECORD COUNT by MBR_ID, DOS_THRU_DT, DX_CD Grain grouped by PAYER, SRC_FILE_NM, DOS_THRU_YYYYMM"/>
  </r>
  <r>
    <x v="2"/>
    <s v="FINGLOBL_PE202510_REMAO004.TXT"/>
    <x v="89"/>
    <x v="9"/>
    <n v="342"/>
    <n v="177354"/>
    <n v="0.19"/>
    <s v="DQS_MAO04_FILE_000_B"/>
    <s v="RECORD COUNT by MBR_ID, DOS_THRU_DT, DX_CD Grain grouped by PAYER, SRC_FILE_NM, DOS_THRU_YYYYMM"/>
  </r>
  <r>
    <x v="2"/>
    <s v="FINGLOBL_PE202510_REMAO004.TXT"/>
    <x v="97"/>
    <x v="9"/>
    <n v="343"/>
    <n v="177354"/>
    <n v="0.19"/>
    <s v="DQS_MAO04_FILE_000_B"/>
    <s v="RECORD COUNT by MBR_ID, DOS_THRU_DT, DX_CD Grain grouped by PAYER, SRC_FILE_NM, DOS_THRU_YYYYMM"/>
  </r>
  <r>
    <x v="2"/>
    <s v="FINGLOBL_PE202510_REMAO004.TXT"/>
    <x v="98"/>
    <x v="9"/>
    <n v="491"/>
    <n v="177354"/>
    <n v="0.28000000000000003"/>
    <s v="DQS_MAO04_FILE_000_B"/>
    <s v="RECORD COUNT by MBR_ID, DOS_THRU_DT, DX_CD Grain grouped by PAYER, SRC_FILE_NM, DOS_THRU_YYYYMM"/>
  </r>
  <r>
    <x v="2"/>
    <s v="FINGLOBL_PE202510_REMAO004.TXT"/>
    <x v="99"/>
    <x v="9"/>
    <n v="376"/>
    <n v="177354"/>
    <n v="0.21"/>
    <s v="DQS_MAO04_FILE_000_B"/>
    <s v="RECORD COUNT by MBR_ID, DOS_THRU_DT, DX_CD Grain grouped by PAYER, SRC_FILE_NM, DOS_THRU_YYYYMM"/>
  </r>
  <r>
    <x v="2"/>
    <s v="FINGLOBL_PE202510_REMAO004.TXT"/>
    <x v="100"/>
    <x v="9"/>
    <n v="449"/>
    <n v="177354"/>
    <n v="0.25"/>
    <s v="DQS_MAO04_FILE_000_B"/>
    <s v="RECORD COUNT by MBR_ID, DOS_THRU_DT, DX_CD Grain grouped by PAYER, SRC_FILE_NM, DOS_THRU_YYYYMM"/>
  </r>
  <r>
    <x v="2"/>
    <s v="FINGLOBL_PE202510_REMAO004.TXT"/>
    <x v="102"/>
    <x v="9"/>
    <n v="651"/>
    <n v="177354"/>
    <n v="0.37"/>
    <s v="DQS_MAO04_FILE_000_B"/>
    <s v="RECORD COUNT by MBR_ID, DOS_THRU_DT, DX_CD Grain grouped by PAYER, SRC_FILE_NM, DOS_THRU_YYYYMM"/>
  </r>
  <r>
    <x v="2"/>
    <s v="FINGLOBL_PE202510_REMAO004.TXT"/>
    <x v="103"/>
    <x v="9"/>
    <n v="1025"/>
    <n v="177354"/>
    <n v="0.57999999999999996"/>
    <s v="DQS_MAO04_FILE_000_B"/>
    <s v="RECORD COUNT by MBR_ID, DOS_THRU_DT, DX_CD Grain grouped by PAYER, SRC_FILE_NM, DOS_THRU_YYYYMM"/>
  </r>
  <r>
    <x v="2"/>
    <s v="FINGLOBL_PE202510_REMAO004.TXT"/>
    <x v="105"/>
    <x v="9"/>
    <n v="673"/>
    <n v="177354"/>
    <n v="0.38"/>
    <s v="DQS_MAO04_FILE_000_B"/>
    <s v="RECORD COUNT by MBR_ID, DOS_THRU_DT, DX_CD Grain grouped by PAYER, SRC_FILE_NM, DOS_THRU_YYYYMM"/>
  </r>
  <r>
    <x v="2"/>
    <s v="FINGLOBL_PE202510_REMAO004.TXT"/>
    <x v="106"/>
    <x v="9"/>
    <n v="668"/>
    <n v="177354"/>
    <n v="0.38"/>
    <s v="DQS_MAO04_FILE_000_B"/>
    <s v="RECORD COUNT by MBR_ID, DOS_THRU_DT, DX_CD Grain grouped by PAYER, SRC_FILE_NM, DOS_THRU_YYYYMM"/>
  </r>
  <r>
    <x v="2"/>
    <s v="FINGLOBL_PE202510_REMAO004.TXT"/>
    <x v="107"/>
    <x v="9"/>
    <n v="936"/>
    <n v="177354"/>
    <n v="0.53"/>
    <s v="DQS_MAO04_FILE_000_B"/>
    <s v="RECORD COUNT by MBR_ID, DOS_THRU_DT, DX_CD Grain grouped by PAYER, SRC_FILE_NM, DOS_THRU_YYYYMM"/>
  </r>
  <r>
    <x v="2"/>
    <s v="FINGLOBL_PE202510_REMAO004.TXT"/>
    <x v="108"/>
    <x v="9"/>
    <n v="1522"/>
    <n v="177354"/>
    <n v="0.86"/>
    <s v="DQS_MAO04_FILE_000_B"/>
    <s v="RECORD COUNT by MBR_ID, DOS_THRU_DT, DX_CD Grain grouped by PAYER, SRC_FILE_NM, DOS_THRU_YYYYMM"/>
  </r>
  <r>
    <x v="2"/>
    <s v="FINGLOBL_PE202510_REMAO004.TXT"/>
    <x v="109"/>
    <x v="9"/>
    <n v="3724"/>
    <n v="177354"/>
    <n v="2.1"/>
    <s v="DQS_MAO04_FILE_000_B"/>
    <s v="RECORD COUNT by MBR_ID, DOS_THRU_DT, DX_CD Grain grouped by PAYER, SRC_FILE_NM, DOS_THRU_YYYYMM"/>
  </r>
  <r>
    <x v="2"/>
    <s v="FINGLOBL_PE202510_REMAO004.TXT"/>
    <x v="110"/>
    <x v="11"/>
    <n v="11489"/>
    <n v="177354"/>
    <n v="6.48"/>
    <s v="DQS_MAO04_FILE_000_B"/>
    <s v="RECORD COUNT by MBR_ID, DOS_THRU_DT, DX_CD Grain grouped by PAYER, SRC_FILE_NM, DOS_THRU_YYYYMM"/>
  </r>
  <r>
    <x v="2"/>
    <s v="FINGLOBL_PE202510_REMAO004.TXT"/>
    <x v="111"/>
    <x v="11"/>
    <n v="9253"/>
    <n v="177354"/>
    <n v="5.22"/>
    <s v="DQS_MAO04_FILE_000_B"/>
    <s v="RECORD COUNT by MBR_ID, DOS_THRU_DT, DX_CD Grain grouped by PAYER, SRC_FILE_NM, DOS_THRU_YYYYMM"/>
  </r>
  <r>
    <x v="2"/>
    <s v="FINGLOBL_PE202510_REMAO004.TXT"/>
    <x v="112"/>
    <x v="11"/>
    <n v="4448"/>
    <n v="177354"/>
    <n v="2.5099999999999998"/>
    <s v="DQS_MAO04_FILE_000_B"/>
    <s v="RECORD COUNT by MBR_ID, DOS_THRU_DT, DX_CD Grain grouped by PAYER, SRC_FILE_NM, DOS_THRU_YYYYMM"/>
  </r>
  <r>
    <x v="2"/>
    <s v="FINGLOBL_PE202510_REMAO004.TXT"/>
    <x v="113"/>
    <x v="11"/>
    <n v="2444"/>
    <n v="177354"/>
    <n v="1.38"/>
    <s v="DQS_MAO04_FILE_000_B"/>
    <s v="RECORD COUNT by MBR_ID, DOS_THRU_DT, DX_CD Grain grouped by PAYER, SRC_FILE_NM, DOS_THRU_YYYYMM"/>
  </r>
  <r>
    <x v="2"/>
    <s v="FINGLOBL_PE202510_REMAO004.TXT"/>
    <x v="114"/>
    <x v="11"/>
    <n v="3268"/>
    <n v="177354"/>
    <n v="1.84"/>
    <s v="DQS_MAO04_FILE_000_B"/>
    <s v="RECORD COUNT by MBR_ID, DOS_THRU_DT, DX_CD Grain grouped by PAYER, SRC_FILE_NM, DOS_THRU_YYYYMM"/>
  </r>
  <r>
    <x v="2"/>
    <s v="FINGLOBL_PE202510_REMAO004.TXT"/>
    <x v="115"/>
    <x v="11"/>
    <n v="7556"/>
    <n v="177354"/>
    <n v="4.26"/>
    <s v="DQS_MAO04_FILE_000_B"/>
    <s v="RECORD COUNT by MBR_ID, DOS_THRU_DT, DX_CD Grain grouped by PAYER, SRC_FILE_NM, DOS_THRU_YYYYMM"/>
  </r>
  <r>
    <x v="2"/>
    <s v="FINGLOBL_PE202510_REMAO004.TXT"/>
    <x v="116"/>
    <x v="11"/>
    <n v="75173"/>
    <n v="177354"/>
    <n v="42.39"/>
    <s v="DQS_MAO04_FILE_000_B"/>
    <s v="RECORD COUNT by MBR_ID, DOS_THRU_DT, DX_CD Grain grouped by PAYER, SRC_FILE_NM, DOS_THRU_YYYYMM"/>
  </r>
  <r>
    <x v="2"/>
    <s v="FINGLOBL_PE202510_REMAO004.TXT"/>
    <x v="117"/>
    <x v="11"/>
    <n v="52075"/>
    <n v="177354"/>
    <n v="29.36"/>
    <s v="DQS_MAO04_FILE_000_B"/>
    <s v="RECORD COUNT by MBR_ID, DOS_THRU_DT, DX_CD Grain grouped by PAYER, SRC_FILE_NM, DOS_THRU_YYYYMM"/>
  </r>
  <r>
    <x v="2"/>
    <s v="FINGLOBL_PE202511_REMAO004.TXT"/>
    <x v="73"/>
    <x v="7"/>
    <n v="9"/>
    <n v="159779"/>
    <n v="0.01"/>
    <s v="DQS_MAO04_FILE_000_B"/>
    <s v="RECORD COUNT by MBR_ID, DOS_THRU_DT, DX_CD Grain grouped by PAYER, SRC_FILE_NM, DOS_THRU_YYYYMM"/>
  </r>
  <r>
    <x v="2"/>
    <s v="FINGLOBL_PE202511_REMAO004.TXT"/>
    <x v="76"/>
    <x v="7"/>
    <n v="13"/>
    <n v="159779"/>
    <n v="0.01"/>
    <s v="DQS_MAO04_FILE_000_B"/>
    <s v="RECORD COUNT by MBR_ID, DOS_THRU_DT, DX_CD Grain grouped by PAYER, SRC_FILE_NM, DOS_THRU_YYYYMM"/>
  </r>
  <r>
    <x v="2"/>
    <s v="FINGLOBL_PE202511_REMAO004.TXT"/>
    <x v="77"/>
    <x v="8"/>
    <n v="1"/>
    <n v="159779"/>
    <n v="0"/>
    <s v="DQS_MAO04_FILE_000_B"/>
    <s v="RECORD COUNT by MBR_ID, DOS_THRU_DT, DX_CD Grain grouped by PAYER, SRC_FILE_NM, DOS_THRU_YYYYMM"/>
  </r>
  <r>
    <x v="2"/>
    <s v="FINGLOBL_PE202511_REMAO004.TXT"/>
    <x v="78"/>
    <x v="8"/>
    <n v="7"/>
    <n v="159779"/>
    <n v="0"/>
    <s v="DQS_MAO04_FILE_000_B"/>
    <s v="RECORD COUNT by MBR_ID, DOS_THRU_DT, DX_CD Grain grouped by PAYER, SRC_FILE_NM, DOS_THRU_YYYYMM"/>
  </r>
  <r>
    <x v="2"/>
    <s v="FINGLOBL_PE202511_REMAO004.TXT"/>
    <x v="79"/>
    <x v="8"/>
    <n v="6"/>
    <n v="159779"/>
    <n v="0"/>
    <s v="DQS_MAO04_FILE_000_B"/>
    <s v="RECORD COUNT by MBR_ID, DOS_THRU_DT, DX_CD Grain grouped by PAYER, SRC_FILE_NM, DOS_THRU_YYYYMM"/>
  </r>
  <r>
    <x v="2"/>
    <s v="FINGLOBL_PE202511_REMAO004.TXT"/>
    <x v="80"/>
    <x v="8"/>
    <n v="10"/>
    <n v="159779"/>
    <n v="0.01"/>
    <s v="DQS_MAO04_FILE_000_B"/>
    <s v="RECORD COUNT by MBR_ID, DOS_THRU_DT, DX_CD Grain grouped by PAYER, SRC_FILE_NM, DOS_THRU_YYYYMM"/>
  </r>
  <r>
    <x v="2"/>
    <s v="FINGLOBL_PE202511_REMAO004.TXT"/>
    <x v="81"/>
    <x v="8"/>
    <n v="37"/>
    <n v="159779"/>
    <n v="0.02"/>
    <s v="DQS_MAO04_FILE_000_B"/>
    <s v="RECORD COUNT by MBR_ID, DOS_THRU_DT, DX_CD Grain grouped by PAYER, SRC_FILE_NM, DOS_THRU_YYYYMM"/>
  </r>
  <r>
    <x v="2"/>
    <s v="FINGLOBL_PE202511_REMAO004.TXT"/>
    <x v="82"/>
    <x v="8"/>
    <n v="32"/>
    <n v="159779"/>
    <n v="0.02"/>
    <s v="DQS_MAO04_FILE_000_B"/>
    <s v="RECORD COUNT by MBR_ID, DOS_THRU_DT, DX_CD Grain grouped by PAYER, SRC_FILE_NM, DOS_THRU_YYYYMM"/>
  </r>
  <r>
    <x v="2"/>
    <s v="FINGLOBL_PE202511_REMAO004.TXT"/>
    <x v="83"/>
    <x v="8"/>
    <n v="19"/>
    <n v="159779"/>
    <n v="0.01"/>
    <s v="DQS_MAO04_FILE_000_B"/>
    <s v="RECORD COUNT by MBR_ID, DOS_THRU_DT, DX_CD Grain grouped by PAYER, SRC_FILE_NM, DOS_THRU_YYYYMM"/>
  </r>
  <r>
    <x v="2"/>
    <s v="FINGLOBL_PE202511_REMAO004.TXT"/>
    <x v="84"/>
    <x v="8"/>
    <n v="42"/>
    <n v="159779"/>
    <n v="0.03"/>
    <s v="DQS_MAO04_FILE_000_B"/>
    <s v="RECORD COUNT by MBR_ID, DOS_THRU_DT, DX_CD Grain grouped by PAYER, SRC_FILE_NM, DOS_THRU_YYYYMM"/>
  </r>
  <r>
    <x v="2"/>
    <s v="FINGLOBL_PE202511_REMAO004.TXT"/>
    <x v="85"/>
    <x v="8"/>
    <n v="4"/>
    <n v="159779"/>
    <n v="0"/>
    <s v="DQS_MAO04_FILE_000_B"/>
    <s v="RECORD COUNT by MBR_ID, DOS_THRU_DT, DX_CD Grain grouped by PAYER, SRC_FILE_NM, DOS_THRU_YYYYMM"/>
  </r>
  <r>
    <x v="2"/>
    <s v="FINGLOBL_PE202511_REMAO004.TXT"/>
    <x v="86"/>
    <x v="8"/>
    <n v="32"/>
    <n v="159779"/>
    <n v="0.02"/>
    <s v="DQS_MAO04_FILE_000_B"/>
    <s v="RECORD COUNT by MBR_ID, DOS_THRU_DT, DX_CD Grain grouped by PAYER, SRC_FILE_NM, DOS_THRU_YYYYMM"/>
  </r>
  <r>
    <x v="2"/>
    <s v="FINGLOBL_PE202511_REMAO004.TXT"/>
    <x v="87"/>
    <x v="8"/>
    <n v="25"/>
    <n v="159779"/>
    <n v="0.02"/>
    <s v="DQS_MAO04_FILE_000_B"/>
    <s v="RECORD COUNT by MBR_ID, DOS_THRU_DT, DX_CD Grain grouped by PAYER, SRC_FILE_NM, DOS_THRU_YYYYMM"/>
  </r>
  <r>
    <x v="2"/>
    <s v="FINGLOBL_PE202511_REMAO004.TXT"/>
    <x v="88"/>
    <x v="8"/>
    <n v="93"/>
    <n v="159779"/>
    <n v="0.06"/>
    <s v="DQS_MAO04_FILE_000_B"/>
    <s v="RECORD COUNT by MBR_ID, DOS_THRU_DT, DX_CD Grain grouped by PAYER, SRC_FILE_NM, DOS_THRU_YYYYMM"/>
  </r>
  <r>
    <x v="2"/>
    <s v="FINGLOBL_PE202511_REMAO004.TXT"/>
    <x v="89"/>
    <x v="9"/>
    <n v="391"/>
    <n v="159779"/>
    <n v="0.24"/>
    <s v="DQS_MAO04_FILE_000_B"/>
    <s v="RECORD COUNT by MBR_ID, DOS_THRU_DT, DX_CD Grain grouped by PAYER, SRC_FILE_NM, DOS_THRU_YYYYMM"/>
  </r>
  <r>
    <x v="2"/>
    <s v="FINGLOBL_PE202511_REMAO004.TXT"/>
    <x v="97"/>
    <x v="9"/>
    <n v="414"/>
    <n v="159779"/>
    <n v="0.26"/>
    <s v="DQS_MAO04_FILE_000_B"/>
    <s v="RECORD COUNT by MBR_ID, DOS_THRU_DT, DX_CD Grain grouped by PAYER, SRC_FILE_NM, DOS_THRU_YYYYMM"/>
  </r>
  <r>
    <x v="2"/>
    <s v="FINGLOBL_PE202511_REMAO004.TXT"/>
    <x v="98"/>
    <x v="9"/>
    <n v="303"/>
    <n v="159779"/>
    <n v="0.19"/>
    <s v="DQS_MAO04_FILE_000_B"/>
    <s v="RECORD COUNT by MBR_ID, DOS_THRU_DT, DX_CD Grain grouped by PAYER, SRC_FILE_NM, DOS_THRU_YYYYMM"/>
  </r>
  <r>
    <x v="2"/>
    <s v="FINGLOBL_PE202511_REMAO004.TXT"/>
    <x v="99"/>
    <x v="9"/>
    <n v="259"/>
    <n v="159779"/>
    <n v="0.16"/>
    <s v="DQS_MAO04_FILE_000_B"/>
    <s v="RECORD COUNT by MBR_ID, DOS_THRU_DT, DX_CD Grain grouped by PAYER, SRC_FILE_NM, DOS_THRU_YYYYMM"/>
  </r>
  <r>
    <x v="2"/>
    <s v="FINGLOBL_PE202511_REMAO004.TXT"/>
    <x v="100"/>
    <x v="9"/>
    <n v="304"/>
    <n v="159779"/>
    <n v="0.19"/>
    <s v="DQS_MAO04_FILE_000_B"/>
    <s v="RECORD COUNT by MBR_ID, DOS_THRU_DT, DX_CD Grain grouped by PAYER, SRC_FILE_NM, DOS_THRU_YYYYMM"/>
  </r>
  <r>
    <x v="2"/>
    <s v="FINGLOBL_PE202511_REMAO004.TXT"/>
    <x v="102"/>
    <x v="9"/>
    <n v="424"/>
    <n v="159779"/>
    <n v="0.27"/>
    <s v="DQS_MAO04_FILE_000_B"/>
    <s v="RECORD COUNT by MBR_ID, DOS_THRU_DT, DX_CD Grain grouped by PAYER, SRC_FILE_NM, DOS_THRU_YYYYMM"/>
  </r>
  <r>
    <x v="2"/>
    <s v="FINGLOBL_PE202511_REMAO004.TXT"/>
    <x v="103"/>
    <x v="9"/>
    <n v="710"/>
    <n v="159779"/>
    <n v="0.44"/>
    <s v="DQS_MAO04_FILE_000_B"/>
    <s v="RECORD COUNT by MBR_ID, DOS_THRU_DT, DX_CD Grain grouped by PAYER, SRC_FILE_NM, DOS_THRU_YYYYMM"/>
  </r>
  <r>
    <x v="2"/>
    <s v="FINGLOBL_PE202511_REMAO004.TXT"/>
    <x v="105"/>
    <x v="9"/>
    <n v="461"/>
    <n v="159779"/>
    <n v="0.28999999999999998"/>
    <s v="DQS_MAO04_FILE_000_B"/>
    <s v="RECORD COUNT by MBR_ID, DOS_THRU_DT, DX_CD Grain grouped by PAYER, SRC_FILE_NM, DOS_THRU_YYYYMM"/>
  </r>
  <r>
    <x v="2"/>
    <s v="FINGLOBL_PE202511_REMAO004.TXT"/>
    <x v="106"/>
    <x v="9"/>
    <n v="488"/>
    <n v="159779"/>
    <n v="0.31"/>
    <s v="DQS_MAO04_FILE_000_B"/>
    <s v="RECORD COUNT by MBR_ID, DOS_THRU_DT, DX_CD Grain grouped by PAYER, SRC_FILE_NM, DOS_THRU_YYYYMM"/>
  </r>
  <r>
    <x v="2"/>
    <s v="FINGLOBL_PE202511_REMAO004.TXT"/>
    <x v="107"/>
    <x v="9"/>
    <n v="1237"/>
    <n v="159779"/>
    <n v="0.77"/>
    <s v="DQS_MAO04_FILE_000_B"/>
    <s v="RECORD COUNT by MBR_ID, DOS_THRU_DT, DX_CD Grain grouped by PAYER, SRC_FILE_NM, DOS_THRU_YYYYMM"/>
  </r>
  <r>
    <x v="2"/>
    <s v="FINGLOBL_PE202511_REMAO004.TXT"/>
    <x v="108"/>
    <x v="9"/>
    <n v="2045"/>
    <n v="159779"/>
    <n v="1.28"/>
    <s v="DQS_MAO04_FILE_000_B"/>
    <s v="RECORD COUNT by MBR_ID, DOS_THRU_DT, DX_CD Grain grouped by PAYER, SRC_FILE_NM, DOS_THRU_YYYYMM"/>
  </r>
  <r>
    <x v="2"/>
    <s v="FINGLOBL_PE202511_REMAO004.TXT"/>
    <x v="109"/>
    <x v="9"/>
    <n v="4620"/>
    <n v="159779"/>
    <n v="2.89"/>
    <s v="DQS_MAO04_FILE_000_B"/>
    <s v="RECORD COUNT by MBR_ID, DOS_THRU_DT, DX_CD Grain grouped by PAYER, SRC_FILE_NM, DOS_THRU_YYYYMM"/>
  </r>
  <r>
    <x v="2"/>
    <s v="FINGLOBL_PE202511_REMAO004.TXT"/>
    <x v="110"/>
    <x v="11"/>
    <n v="3499"/>
    <n v="159779"/>
    <n v="2.19"/>
    <s v="DQS_MAO04_FILE_000_B"/>
    <s v="RECORD COUNT by MBR_ID, DOS_THRU_DT, DX_CD Grain grouped by PAYER, SRC_FILE_NM, DOS_THRU_YYYYMM"/>
  </r>
  <r>
    <x v="2"/>
    <s v="FINGLOBL_PE202511_REMAO004.TXT"/>
    <x v="111"/>
    <x v="11"/>
    <n v="3624"/>
    <n v="159779"/>
    <n v="2.27"/>
    <s v="DQS_MAO04_FILE_000_B"/>
    <s v="RECORD COUNT by MBR_ID, DOS_THRU_DT, DX_CD Grain grouped by PAYER, SRC_FILE_NM, DOS_THRU_YYYYMM"/>
  </r>
  <r>
    <x v="2"/>
    <s v="FINGLOBL_PE202511_REMAO004.TXT"/>
    <x v="112"/>
    <x v="11"/>
    <n v="3029"/>
    <n v="159779"/>
    <n v="1.9"/>
    <s v="DQS_MAO04_FILE_000_B"/>
    <s v="RECORD COUNT by MBR_ID, DOS_THRU_DT, DX_CD Grain grouped by PAYER, SRC_FILE_NM, DOS_THRU_YYYYMM"/>
  </r>
  <r>
    <x v="2"/>
    <s v="FINGLOBL_PE202511_REMAO004.TXT"/>
    <x v="113"/>
    <x v="11"/>
    <n v="3122"/>
    <n v="159779"/>
    <n v="1.95"/>
    <s v="DQS_MAO04_FILE_000_B"/>
    <s v="RECORD COUNT by MBR_ID, DOS_THRU_DT, DX_CD Grain grouped by PAYER, SRC_FILE_NM, DOS_THRU_YYYYMM"/>
  </r>
  <r>
    <x v="2"/>
    <s v="FINGLOBL_PE202511_REMAO004.TXT"/>
    <x v="114"/>
    <x v="11"/>
    <n v="2963"/>
    <n v="159779"/>
    <n v="1.85"/>
    <s v="DQS_MAO04_FILE_000_B"/>
    <s v="RECORD COUNT by MBR_ID, DOS_THRU_DT, DX_CD Grain grouped by PAYER, SRC_FILE_NM, DOS_THRU_YYYYMM"/>
  </r>
  <r>
    <x v="2"/>
    <s v="FINGLOBL_PE202511_REMAO004.TXT"/>
    <x v="115"/>
    <x v="11"/>
    <n v="4414"/>
    <n v="159779"/>
    <n v="2.76"/>
    <s v="DQS_MAO04_FILE_000_B"/>
    <s v="RECORD COUNT by MBR_ID, DOS_THRU_DT, DX_CD Grain grouped by PAYER, SRC_FILE_NM, DOS_THRU_YYYYMM"/>
  </r>
  <r>
    <x v="2"/>
    <s v="FINGLOBL_PE202511_REMAO004.TXT"/>
    <x v="116"/>
    <x v="11"/>
    <n v="12354"/>
    <n v="159779"/>
    <n v="7.73"/>
    <s v="DQS_MAO04_FILE_000_B"/>
    <s v="RECORD COUNT by MBR_ID, DOS_THRU_DT, DX_CD Grain grouped by PAYER, SRC_FILE_NM, DOS_THRU_YYYYMM"/>
  </r>
  <r>
    <x v="2"/>
    <s v="FINGLOBL_PE202511_REMAO004.TXT"/>
    <x v="117"/>
    <x v="11"/>
    <n v="65467"/>
    <n v="159779"/>
    <n v="40.97"/>
    <s v="DQS_MAO04_FILE_000_B"/>
    <s v="RECORD COUNT by MBR_ID, DOS_THRU_DT, DX_CD Grain grouped by PAYER, SRC_FILE_NM, DOS_THRU_YYYYMM"/>
  </r>
  <r>
    <x v="2"/>
    <s v="FINGLOBL_PE202511_REMAO004.TXT"/>
    <x v="118"/>
    <x v="11"/>
    <n v="49321"/>
    <n v="159779"/>
    <n v="30.87"/>
    <s v="DQS_MAO04_FILE_000_B"/>
    <s v="RECORD COUNT by MBR_ID, DOS_THRU_DT, DX_CD Grain grouped by PAYER, SRC_FILE_NM, DOS_THRU_YYYYMM"/>
  </r>
  <r>
    <x v="2"/>
    <s v="FINGLOBL_PE202512_REMAO004.TXT"/>
    <x v="71"/>
    <x v="7"/>
    <n v="2"/>
    <n v="210554"/>
    <n v="0"/>
    <s v="DQS_MAO04_FILE_000_B"/>
    <s v="RECORD COUNT by MBR_ID, DOS_THRU_DT, DX_CD Grain grouped by PAYER, SRC_FILE_NM, DOS_THRU_YYYYMM"/>
  </r>
  <r>
    <x v="2"/>
    <s v="FINGLOBL_PE202512_REMAO004.TXT"/>
    <x v="73"/>
    <x v="7"/>
    <n v="1"/>
    <n v="210554"/>
    <n v="0"/>
    <s v="DQS_MAO04_FILE_000_B"/>
    <s v="RECORD COUNT by MBR_ID, DOS_THRU_DT, DX_CD Grain grouped by PAYER, SRC_FILE_NM, DOS_THRU_YYYYMM"/>
  </r>
  <r>
    <x v="2"/>
    <s v="FINGLOBL_PE202512_REMAO004.TXT"/>
    <x v="76"/>
    <x v="7"/>
    <n v="20"/>
    <n v="210554"/>
    <n v="0.01"/>
    <s v="DQS_MAO04_FILE_000_B"/>
    <s v="RECORD COUNT by MBR_ID, DOS_THRU_DT, DX_CD Grain grouped by PAYER, SRC_FILE_NM, DOS_THRU_YYYYMM"/>
  </r>
  <r>
    <x v="2"/>
    <s v="FINGLOBL_PE202512_REMAO004.TXT"/>
    <x v="77"/>
    <x v="8"/>
    <n v="3"/>
    <n v="210554"/>
    <n v="0"/>
    <s v="DQS_MAO04_FILE_000_B"/>
    <s v="RECORD COUNT by MBR_ID, DOS_THRU_DT, DX_CD Grain grouped by PAYER, SRC_FILE_NM, DOS_THRU_YYYYMM"/>
  </r>
  <r>
    <x v="2"/>
    <s v="FINGLOBL_PE202512_REMAO004.TXT"/>
    <x v="78"/>
    <x v="8"/>
    <n v="32"/>
    <n v="210554"/>
    <n v="0.02"/>
    <s v="DQS_MAO04_FILE_000_B"/>
    <s v="RECORD COUNT by MBR_ID, DOS_THRU_DT, DX_CD Grain grouped by PAYER, SRC_FILE_NM, DOS_THRU_YYYYMM"/>
  </r>
  <r>
    <x v="2"/>
    <s v="FINGLOBL_PE202512_REMAO004.TXT"/>
    <x v="79"/>
    <x v="8"/>
    <n v="3"/>
    <n v="210554"/>
    <n v="0"/>
    <s v="DQS_MAO04_FILE_000_B"/>
    <s v="RECORD COUNT by MBR_ID, DOS_THRU_DT, DX_CD Grain grouped by PAYER, SRC_FILE_NM, DOS_THRU_YYYYMM"/>
  </r>
  <r>
    <x v="2"/>
    <s v="FINGLOBL_PE202512_REMAO004.TXT"/>
    <x v="80"/>
    <x v="8"/>
    <n v="4"/>
    <n v="210554"/>
    <n v="0"/>
    <s v="DQS_MAO04_FILE_000_B"/>
    <s v="RECORD COUNT by MBR_ID, DOS_THRU_DT, DX_CD Grain grouped by PAYER, SRC_FILE_NM, DOS_THRU_YYYYMM"/>
  </r>
  <r>
    <x v="2"/>
    <s v="FINGLOBL_PE202512_REMAO004.TXT"/>
    <x v="81"/>
    <x v="8"/>
    <n v="10"/>
    <n v="210554"/>
    <n v="0"/>
    <s v="DQS_MAO04_FILE_000_B"/>
    <s v="RECORD COUNT by MBR_ID, DOS_THRU_DT, DX_CD Grain grouped by PAYER, SRC_FILE_NM, DOS_THRU_YYYYMM"/>
  </r>
  <r>
    <x v="2"/>
    <s v="FINGLOBL_PE202512_REMAO004.TXT"/>
    <x v="82"/>
    <x v="8"/>
    <n v="23"/>
    <n v="210554"/>
    <n v="0.01"/>
    <s v="DQS_MAO04_FILE_000_B"/>
    <s v="RECORD COUNT by MBR_ID, DOS_THRU_DT, DX_CD Grain grouped by PAYER, SRC_FILE_NM, DOS_THRU_YYYYMM"/>
  </r>
  <r>
    <x v="2"/>
    <s v="FINGLOBL_PE202512_REMAO004.TXT"/>
    <x v="83"/>
    <x v="8"/>
    <n v="2"/>
    <n v="210554"/>
    <n v="0"/>
    <s v="DQS_MAO04_FILE_000_B"/>
    <s v="RECORD COUNT by MBR_ID, DOS_THRU_DT, DX_CD Grain grouped by PAYER, SRC_FILE_NM, DOS_THRU_YYYYMM"/>
  </r>
  <r>
    <x v="2"/>
    <s v="FINGLOBL_PE202512_REMAO004.TXT"/>
    <x v="84"/>
    <x v="8"/>
    <n v="107"/>
    <n v="210554"/>
    <n v="0.05"/>
    <s v="DQS_MAO04_FILE_000_B"/>
    <s v="RECORD COUNT by MBR_ID, DOS_THRU_DT, DX_CD Grain grouped by PAYER, SRC_FILE_NM, DOS_THRU_YYYYMM"/>
  </r>
  <r>
    <x v="2"/>
    <s v="FINGLOBL_PE202512_REMAO004.TXT"/>
    <x v="85"/>
    <x v="8"/>
    <n v="81"/>
    <n v="210554"/>
    <n v="0.04"/>
    <s v="DQS_MAO04_FILE_000_B"/>
    <s v="RECORD COUNT by MBR_ID, DOS_THRU_DT, DX_CD Grain grouped by PAYER, SRC_FILE_NM, DOS_THRU_YYYYMM"/>
  </r>
  <r>
    <x v="2"/>
    <s v="FINGLOBL_PE202512_REMAO004.TXT"/>
    <x v="86"/>
    <x v="8"/>
    <n v="54"/>
    <n v="210554"/>
    <n v="0.03"/>
    <s v="DQS_MAO04_FILE_000_B"/>
    <s v="RECORD COUNT by MBR_ID, DOS_THRU_DT, DX_CD Grain grouped by PAYER, SRC_FILE_NM, DOS_THRU_YYYYMM"/>
  </r>
  <r>
    <x v="2"/>
    <s v="FINGLOBL_PE202512_REMAO004.TXT"/>
    <x v="87"/>
    <x v="8"/>
    <n v="27"/>
    <n v="210554"/>
    <n v="0.01"/>
    <s v="DQS_MAO04_FILE_000_B"/>
    <s v="RECORD COUNT by MBR_ID, DOS_THRU_DT, DX_CD Grain grouped by PAYER, SRC_FILE_NM, DOS_THRU_YYYYMM"/>
  </r>
  <r>
    <x v="2"/>
    <s v="FINGLOBL_PE202512_REMAO004.TXT"/>
    <x v="88"/>
    <x v="8"/>
    <n v="111"/>
    <n v="210554"/>
    <n v="0.05"/>
    <s v="DQS_MAO04_FILE_000_B"/>
    <s v="RECORD COUNT by MBR_ID, DOS_THRU_DT, DX_CD Grain grouped by PAYER, SRC_FILE_NM, DOS_THRU_YYYYMM"/>
  </r>
  <r>
    <x v="2"/>
    <s v="FINGLOBL_PE202512_REMAO004.TXT"/>
    <x v="89"/>
    <x v="9"/>
    <n v="138"/>
    <n v="210554"/>
    <n v="7.0000000000000007E-2"/>
    <s v="DQS_MAO04_FILE_000_B"/>
    <s v="RECORD COUNT by MBR_ID, DOS_THRU_DT, DX_CD Grain grouped by PAYER, SRC_FILE_NM, DOS_THRU_YYYYMM"/>
  </r>
  <r>
    <x v="2"/>
    <s v="FINGLOBL_PE202512_REMAO004.TXT"/>
    <x v="97"/>
    <x v="9"/>
    <n v="173"/>
    <n v="210554"/>
    <n v="0.08"/>
    <s v="DQS_MAO04_FILE_000_B"/>
    <s v="RECORD COUNT by MBR_ID, DOS_THRU_DT, DX_CD Grain grouped by PAYER, SRC_FILE_NM, DOS_THRU_YYYYMM"/>
  </r>
  <r>
    <x v="2"/>
    <s v="FINGLOBL_PE202512_REMAO004.TXT"/>
    <x v="98"/>
    <x v="9"/>
    <n v="415"/>
    <n v="210554"/>
    <n v="0.2"/>
    <s v="DQS_MAO04_FILE_000_B"/>
    <s v="RECORD COUNT by MBR_ID, DOS_THRU_DT, DX_CD Grain grouped by PAYER, SRC_FILE_NM, DOS_THRU_YYYYMM"/>
  </r>
  <r>
    <x v="2"/>
    <s v="FINGLOBL_PE202512_REMAO004.TXT"/>
    <x v="99"/>
    <x v="9"/>
    <n v="380"/>
    <n v="210554"/>
    <n v="0.18"/>
    <s v="DQS_MAO04_FILE_000_B"/>
    <s v="RECORD COUNT by MBR_ID, DOS_THRU_DT, DX_CD Grain grouped by PAYER, SRC_FILE_NM, DOS_THRU_YYYYMM"/>
  </r>
  <r>
    <x v="2"/>
    <s v="FINGLOBL_PE202512_REMAO004.TXT"/>
    <x v="100"/>
    <x v="9"/>
    <n v="259"/>
    <n v="210554"/>
    <n v="0.12"/>
    <s v="DQS_MAO04_FILE_000_B"/>
    <s v="RECORD COUNT by MBR_ID, DOS_THRU_DT, DX_CD Grain grouped by PAYER, SRC_FILE_NM, DOS_THRU_YYYYMM"/>
  </r>
  <r>
    <x v="2"/>
    <s v="FINGLOBL_PE202512_REMAO004.TXT"/>
    <x v="102"/>
    <x v="9"/>
    <n v="430"/>
    <n v="210554"/>
    <n v="0.2"/>
    <s v="DQS_MAO04_FILE_000_B"/>
    <s v="RECORD COUNT by MBR_ID, DOS_THRU_DT, DX_CD Grain grouped by PAYER, SRC_FILE_NM, DOS_THRU_YYYYMM"/>
  </r>
  <r>
    <x v="2"/>
    <s v="FINGLOBL_PE202512_REMAO004.TXT"/>
    <x v="103"/>
    <x v="9"/>
    <n v="308"/>
    <n v="210554"/>
    <n v="0.15"/>
    <s v="DQS_MAO04_FILE_000_B"/>
    <s v="RECORD COUNT by MBR_ID, DOS_THRU_DT, DX_CD Grain grouped by PAYER, SRC_FILE_NM, DOS_THRU_YYYYMM"/>
  </r>
  <r>
    <x v="2"/>
    <s v="FINGLOBL_PE202512_REMAO004.TXT"/>
    <x v="105"/>
    <x v="9"/>
    <n v="439"/>
    <n v="210554"/>
    <n v="0.21"/>
    <s v="DQS_MAO04_FILE_000_B"/>
    <s v="RECORD COUNT by MBR_ID, DOS_THRU_DT, DX_CD Grain grouped by PAYER, SRC_FILE_NM, DOS_THRU_YYYYMM"/>
  </r>
  <r>
    <x v="2"/>
    <s v="FINGLOBL_PE202512_REMAO004.TXT"/>
    <x v="106"/>
    <x v="9"/>
    <n v="544"/>
    <n v="210554"/>
    <n v="0.26"/>
    <s v="DQS_MAO04_FILE_000_B"/>
    <s v="RECORD COUNT by MBR_ID, DOS_THRU_DT, DX_CD Grain grouped by PAYER, SRC_FILE_NM, DOS_THRU_YYYYMM"/>
  </r>
  <r>
    <x v="2"/>
    <s v="FINGLOBL_PE202512_REMAO004.TXT"/>
    <x v="107"/>
    <x v="9"/>
    <n v="621"/>
    <n v="210554"/>
    <n v="0.28999999999999998"/>
    <s v="DQS_MAO04_FILE_000_B"/>
    <s v="RECORD COUNT by MBR_ID, DOS_THRU_DT, DX_CD Grain grouped by PAYER, SRC_FILE_NM, DOS_THRU_YYYYMM"/>
  </r>
  <r>
    <x v="2"/>
    <s v="FINGLOBL_PE202512_REMAO004.TXT"/>
    <x v="108"/>
    <x v="9"/>
    <n v="526"/>
    <n v="210554"/>
    <n v="0.25"/>
    <s v="DQS_MAO04_FILE_000_B"/>
    <s v="RECORD COUNT by MBR_ID, DOS_THRU_DT, DX_CD Grain grouped by PAYER, SRC_FILE_NM, DOS_THRU_YYYYMM"/>
  </r>
  <r>
    <x v="2"/>
    <s v="FINGLOBL_PE202512_REMAO004.TXT"/>
    <x v="109"/>
    <x v="9"/>
    <n v="1221"/>
    <n v="210554"/>
    <n v="0.57999999999999996"/>
    <s v="DQS_MAO04_FILE_000_B"/>
    <s v="RECORD COUNT by MBR_ID, DOS_THRU_DT, DX_CD Grain grouped by PAYER, SRC_FILE_NM, DOS_THRU_YYYYMM"/>
  </r>
  <r>
    <x v="2"/>
    <s v="FINGLOBL_PE202512_REMAO004.TXT"/>
    <x v="110"/>
    <x v="11"/>
    <n v="5100"/>
    <n v="210554"/>
    <n v="2.42"/>
    <s v="DQS_MAO04_FILE_000_B"/>
    <s v="RECORD COUNT by MBR_ID, DOS_THRU_DT, DX_CD Grain grouped by PAYER, SRC_FILE_NM, DOS_THRU_YYYYMM"/>
  </r>
  <r>
    <x v="2"/>
    <s v="FINGLOBL_PE202512_REMAO004.TXT"/>
    <x v="111"/>
    <x v="11"/>
    <n v="4695"/>
    <n v="210554"/>
    <n v="2.23"/>
    <s v="DQS_MAO04_FILE_000_B"/>
    <s v="RECORD COUNT by MBR_ID, DOS_THRU_DT, DX_CD Grain grouped by PAYER, SRC_FILE_NM, DOS_THRU_YYYYMM"/>
  </r>
  <r>
    <x v="2"/>
    <s v="FINGLOBL_PE202512_REMAO004.TXT"/>
    <x v="112"/>
    <x v="11"/>
    <n v="5799"/>
    <n v="210554"/>
    <n v="2.75"/>
    <s v="DQS_MAO04_FILE_000_B"/>
    <s v="RECORD COUNT by MBR_ID, DOS_THRU_DT, DX_CD Grain grouped by PAYER, SRC_FILE_NM, DOS_THRU_YYYYMM"/>
  </r>
  <r>
    <x v="2"/>
    <s v="FINGLOBL_PE202512_REMAO004.TXT"/>
    <x v="113"/>
    <x v="11"/>
    <n v="5517"/>
    <n v="210554"/>
    <n v="2.62"/>
    <s v="DQS_MAO04_FILE_000_B"/>
    <s v="RECORD COUNT by MBR_ID, DOS_THRU_DT, DX_CD Grain grouped by PAYER, SRC_FILE_NM, DOS_THRU_YYYYMM"/>
  </r>
  <r>
    <x v="2"/>
    <s v="FINGLOBL_PE202512_REMAO004.TXT"/>
    <x v="114"/>
    <x v="11"/>
    <n v="5746"/>
    <n v="210554"/>
    <n v="2.73"/>
    <s v="DQS_MAO04_FILE_000_B"/>
    <s v="RECORD COUNT by MBR_ID, DOS_THRU_DT, DX_CD Grain grouped by PAYER, SRC_FILE_NM, DOS_THRU_YYYYMM"/>
  </r>
  <r>
    <x v="2"/>
    <s v="FINGLOBL_PE202512_REMAO004.TXT"/>
    <x v="115"/>
    <x v="11"/>
    <n v="6208"/>
    <n v="210554"/>
    <n v="2.95"/>
    <s v="DQS_MAO04_FILE_000_B"/>
    <s v="RECORD COUNT by MBR_ID, DOS_THRU_DT, DX_CD Grain grouped by PAYER, SRC_FILE_NM, DOS_THRU_YYYYMM"/>
  </r>
  <r>
    <x v="2"/>
    <s v="FINGLOBL_PE202512_REMAO004.TXT"/>
    <x v="116"/>
    <x v="11"/>
    <n v="12366"/>
    <n v="210554"/>
    <n v="5.87"/>
    <s v="DQS_MAO04_FILE_000_B"/>
    <s v="RECORD COUNT by MBR_ID, DOS_THRU_DT, DX_CD Grain grouped by PAYER, SRC_FILE_NM, DOS_THRU_YYYYMM"/>
  </r>
  <r>
    <x v="2"/>
    <s v="FINGLOBL_PE202512_REMAO004.TXT"/>
    <x v="117"/>
    <x v="11"/>
    <n v="23426"/>
    <n v="210554"/>
    <n v="11.13"/>
    <s v="DQS_MAO04_FILE_000_B"/>
    <s v="RECORD COUNT by MBR_ID, DOS_THRU_DT, DX_CD Grain grouped by PAYER, SRC_FILE_NM, DOS_THRU_YYYYMM"/>
  </r>
  <r>
    <x v="2"/>
    <s v="FINGLOBL_PE202512_REMAO004.TXT"/>
    <x v="118"/>
    <x v="11"/>
    <n v="79750"/>
    <n v="210554"/>
    <n v="37.880000000000003"/>
    <s v="DQS_MAO04_FILE_000_B"/>
    <s v="RECORD COUNT by MBR_ID, DOS_THRU_DT, DX_CD Grain grouped by PAYER, SRC_FILE_NM, DOS_THRU_YYYYMM"/>
  </r>
  <r>
    <x v="2"/>
    <s v="FINGLOBL_PE202512_REMAO004.TXT"/>
    <x v="119"/>
    <x v="11"/>
    <n v="56013"/>
    <n v="210554"/>
    <n v="26.6"/>
    <s v="DQS_MAO04_FILE_000_B"/>
    <s v="RECORD COUNT by MBR_ID, DOS_THRU_DT, DX_CD Grain grouped by PAYER, SRC_FILE_NM, DOS_THRU_YYYYMM"/>
  </r>
  <r>
    <x v="2"/>
    <s v="FINGLOBL_PE202601_REMAO004.TXT"/>
    <x v="71"/>
    <x v="7"/>
    <n v="4"/>
    <n v="170365"/>
    <n v="0"/>
    <s v="DQS_MAO04_FILE_000_B"/>
    <s v="RECORD COUNT by MBR_ID, DOS_THRU_DT, DX_CD Grain grouped by PAYER, SRC_FILE_NM, DOS_THRU_YYYYMM"/>
  </r>
  <r>
    <x v="2"/>
    <s v="FINGLOBL_PE202601_REMAO004.TXT"/>
    <x v="74"/>
    <x v="7"/>
    <n v="7"/>
    <n v="170365"/>
    <n v="0"/>
    <s v="DQS_MAO04_FILE_000_B"/>
    <s v="RECORD COUNT by MBR_ID, DOS_THRU_DT, DX_CD Grain grouped by PAYER, SRC_FILE_NM, DOS_THRU_YYYYMM"/>
  </r>
  <r>
    <x v="2"/>
    <s v="FINGLOBL_PE202601_REMAO004.TXT"/>
    <x v="76"/>
    <x v="7"/>
    <n v="9"/>
    <n v="170365"/>
    <n v="0.01"/>
    <s v="DQS_MAO04_FILE_000_B"/>
    <s v="RECORD COUNT by MBR_ID, DOS_THRU_DT, DX_CD Grain grouped by PAYER, SRC_FILE_NM, DOS_THRU_YYYYMM"/>
  </r>
  <r>
    <x v="2"/>
    <s v="FINGLOBL_PE202601_REMAO004.TXT"/>
    <x v="78"/>
    <x v="8"/>
    <n v="18"/>
    <n v="170365"/>
    <n v="0.01"/>
    <s v="DQS_MAO04_FILE_000_B"/>
    <s v="RECORD COUNT by MBR_ID, DOS_THRU_DT, DX_CD Grain grouped by PAYER, SRC_FILE_NM, DOS_THRU_YYYYMM"/>
  </r>
  <r>
    <x v="2"/>
    <s v="FINGLOBL_PE202601_REMAO004.TXT"/>
    <x v="79"/>
    <x v="8"/>
    <n v="17"/>
    <n v="170365"/>
    <n v="0.01"/>
    <s v="DQS_MAO04_FILE_000_B"/>
    <s v="RECORD COUNT by MBR_ID, DOS_THRU_DT, DX_CD Grain grouped by PAYER, SRC_FILE_NM, DOS_THRU_YYYYMM"/>
  </r>
  <r>
    <x v="2"/>
    <s v="FINGLOBL_PE202601_REMAO004.TXT"/>
    <x v="80"/>
    <x v="8"/>
    <n v="6"/>
    <n v="170365"/>
    <n v="0"/>
    <s v="DQS_MAO04_FILE_000_B"/>
    <s v="RECORD COUNT by MBR_ID, DOS_THRU_DT, DX_CD Grain grouped by PAYER, SRC_FILE_NM, DOS_THRU_YYYYMM"/>
  </r>
  <r>
    <x v="2"/>
    <s v="FINGLOBL_PE202601_REMAO004.TXT"/>
    <x v="82"/>
    <x v="8"/>
    <n v="1"/>
    <n v="170365"/>
    <n v="0"/>
    <s v="DQS_MAO04_FILE_000_B"/>
    <s v="RECORD COUNT by MBR_ID, DOS_THRU_DT, DX_CD Grain grouped by PAYER, SRC_FILE_NM, DOS_THRU_YYYYMM"/>
  </r>
  <r>
    <x v="2"/>
    <s v="FINGLOBL_PE202601_REMAO004.TXT"/>
    <x v="84"/>
    <x v="8"/>
    <n v="9"/>
    <n v="170365"/>
    <n v="0.01"/>
    <s v="DQS_MAO04_FILE_000_B"/>
    <s v="RECORD COUNT by MBR_ID, DOS_THRU_DT, DX_CD Grain grouped by PAYER, SRC_FILE_NM, DOS_THRU_YYYYMM"/>
  </r>
  <r>
    <x v="2"/>
    <s v="FINGLOBL_PE202601_REMAO004.TXT"/>
    <x v="86"/>
    <x v="8"/>
    <n v="32"/>
    <n v="170365"/>
    <n v="0.02"/>
    <s v="DQS_MAO04_FILE_000_B"/>
    <s v="RECORD COUNT by MBR_ID, DOS_THRU_DT, DX_CD Grain grouped by PAYER, SRC_FILE_NM, DOS_THRU_YYYYMM"/>
  </r>
  <r>
    <x v="2"/>
    <s v="FINGLOBL_PE202601_REMAO004.TXT"/>
    <x v="87"/>
    <x v="8"/>
    <n v="4"/>
    <n v="170365"/>
    <n v="0"/>
    <s v="DQS_MAO04_FILE_000_B"/>
    <s v="RECORD COUNT by MBR_ID, DOS_THRU_DT, DX_CD Grain grouped by PAYER, SRC_FILE_NM, DOS_THRU_YYYYMM"/>
  </r>
  <r>
    <x v="2"/>
    <s v="FINGLOBL_PE202601_REMAO004.TXT"/>
    <x v="88"/>
    <x v="8"/>
    <n v="18"/>
    <n v="170365"/>
    <n v="0.01"/>
    <s v="DQS_MAO04_FILE_000_B"/>
    <s v="RECORD COUNT by MBR_ID, DOS_THRU_DT, DX_CD Grain grouped by PAYER, SRC_FILE_NM, DOS_THRU_YYYYMM"/>
  </r>
  <r>
    <x v="2"/>
    <s v="FINGLOBL_PE202601_REMAO004.TXT"/>
    <x v="89"/>
    <x v="9"/>
    <n v="70"/>
    <n v="170365"/>
    <n v="0.04"/>
    <s v="DQS_MAO04_FILE_000_B"/>
    <s v="RECORD COUNT by MBR_ID, DOS_THRU_DT, DX_CD Grain grouped by PAYER, SRC_FILE_NM, DOS_THRU_YYYYMM"/>
  </r>
  <r>
    <x v="2"/>
    <s v="FINGLOBL_PE202601_REMAO004.TXT"/>
    <x v="97"/>
    <x v="9"/>
    <n v="186"/>
    <n v="170365"/>
    <n v="0.11"/>
    <s v="DQS_MAO04_FILE_000_B"/>
    <s v="RECORD COUNT by MBR_ID, DOS_THRU_DT, DX_CD Grain grouped by PAYER, SRC_FILE_NM, DOS_THRU_YYYYMM"/>
  </r>
  <r>
    <x v="2"/>
    <s v="FINGLOBL_PE202601_REMAO004.TXT"/>
    <x v="98"/>
    <x v="9"/>
    <n v="160"/>
    <n v="170365"/>
    <n v="0.09"/>
    <s v="DQS_MAO04_FILE_000_B"/>
    <s v="RECORD COUNT by MBR_ID, DOS_THRU_DT, DX_CD Grain grouped by PAYER, SRC_FILE_NM, DOS_THRU_YYYYMM"/>
  </r>
  <r>
    <x v="2"/>
    <s v="FINGLOBL_PE202601_REMAO004.TXT"/>
    <x v="99"/>
    <x v="9"/>
    <n v="179"/>
    <n v="170365"/>
    <n v="0.11"/>
    <s v="DQS_MAO04_FILE_000_B"/>
    <s v="RECORD COUNT by MBR_ID, DOS_THRU_DT, DX_CD Grain grouped by PAYER, SRC_FILE_NM, DOS_THRU_YYYYMM"/>
  </r>
  <r>
    <x v="2"/>
    <s v="FINGLOBL_PE202601_REMAO004.TXT"/>
    <x v="100"/>
    <x v="9"/>
    <n v="149"/>
    <n v="170365"/>
    <n v="0.09"/>
    <s v="DQS_MAO04_FILE_000_B"/>
    <s v="RECORD COUNT by MBR_ID, DOS_THRU_DT, DX_CD Grain grouped by PAYER, SRC_FILE_NM, DOS_THRU_YYYYMM"/>
  </r>
  <r>
    <x v="2"/>
    <s v="FINGLOBL_PE202601_REMAO004.TXT"/>
    <x v="102"/>
    <x v="9"/>
    <n v="123"/>
    <n v="170365"/>
    <n v="7.0000000000000007E-2"/>
    <s v="DQS_MAO04_FILE_000_B"/>
    <s v="RECORD COUNT by MBR_ID, DOS_THRU_DT, DX_CD Grain grouped by PAYER, SRC_FILE_NM, DOS_THRU_YYYYMM"/>
  </r>
  <r>
    <x v="2"/>
    <s v="FINGLOBL_PE202601_REMAO004.TXT"/>
    <x v="103"/>
    <x v="9"/>
    <n v="227"/>
    <n v="170365"/>
    <n v="0.13"/>
    <s v="DQS_MAO04_FILE_000_B"/>
    <s v="RECORD COUNT by MBR_ID, DOS_THRU_DT, DX_CD Grain grouped by PAYER, SRC_FILE_NM, DOS_THRU_YYYYMM"/>
  </r>
  <r>
    <x v="2"/>
    <s v="FINGLOBL_PE202601_REMAO004.TXT"/>
    <x v="105"/>
    <x v="9"/>
    <n v="173"/>
    <n v="170365"/>
    <n v="0.1"/>
    <s v="DQS_MAO04_FILE_000_B"/>
    <s v="RECORD COUNT by MBR_ID, DOS_THRU_DT, DX_CD Grain grouped by PAYER, SRC_FILE_NM, DOS_THRU_YYYYMM"/>
  </r>
  <r>
    <x v="2"/>
    <s v="FINGLOBL_PE202601_REMAO004.TXT"/>
    <x v="106"/>
    <x v="9"/>
    <n v="376"/>
    <n v="170365"/>
    <n v="0.22"/>
    <s v="DQS_MAO04_FILE_000_B"/>
    <s v="RECORD COUNT by MBR_ID, DOS_THRU_DT, DX_CD Grain grouped by PAYER, SRC_FILE_NM, DOS_THRU_YYYYMM"/>
  </r>
  <r>
    <x v="2"/>
    <s v="FINGLOBL_PE202601_REMAO004.TXT"/>
    <x v="107"/>
    <x v="9"/>
    <n v="552"/>
    <n v="170365"/>
    <n v="0.32"/>
    <s v="DQS_MAO04_FILE_000_B"/>
    <s v="RECORD COUNT by MBR_ID, DOS_THRU_DT, DX_CD Grain grouped by PAYER, SRC_FILE_NM, DOS_THRU_YYYYMM"/>
  </r>
  <r>
    <x v="2"/>
    <s v="FINGLOBL_PE202601_REMAO004.TXT"/>
    <x v="108"/>
    <x v="9"/>
    <n v="476"/>
    <n v="170365"/>
    <n v="0.28000000000000003"/>
    <s v="DQS_MAO04_FILE_000_B"/>
    <s v="RECORD COUNT by MBR_ID, DOS_THRU_DT, DX_CD Grain grouped by PAYER, SRC_FILE_NM, DOS_THRU_YYYYMM"/>
  </r>
  <r>
    <x v="2"/>
    <s v="FINGLOBL_PE202601_REMAO004.TXT"/>
    <x v="109"/>
    <x v="9"/>
    <n v="426"/>
    <n v="170365"/>
    <n v="0.25"/>
    <s v="DQS_MAO04_FILE_000_B"/>
    <s v="RECORD COUNT by MBR_ID, DOS_THRU_DT, DX_CD Grain grouped by PAYER, SRC_FILE_NM, DOS_THRU_YYYYMM"/>
  </r>
  <r>
    <x v="2"/>
    <s v="FINGLOBL_PE202601_REMAO004.TXT"/>
    <x v="110"/>
    <x v="11"/>
    <n v="580"/>
    <n v="170365"/>
    <n v="0.34"/>
    <s v="DQS_MAO04_FILE_000_B"/>
    <s v="RECORD COUNT by MBR_ID, DOS_THRU_DT, DX_CD Grain grouped by PAYER, SRC_FILE_NM, DOS_THRU_YYYYMM"/>
  </r>
  <r>
    <x v="2"/>
    <s v="FINGLOBL_PE202601_REMAO004.TXT"/>
    <x v="111"/>
    <x v="11"/>
    <n v="663"/>
    <n v="170365"/>
    <n v="0.39"/>
    <s v="DQS_MAO04_FILE_000_B"/>
    <s v="RECORD COUNT by MBR_ID, DOS_THRU_DT, DX_CD Grain grouped by PAYER, SRC_FILE_NM, DOS_THRU_YYYYMM"/>
  </r>
  <r>
    <x v="2"/>
    <s v="FINGLOBL_PE202601_REMAO004.TXT"/>
    <x v="112"/>
    <x v="11"/>
    <n v="1002"/>
    <n v="170365"/>
    <n v="0.59"/>
    <s v="DQS_MAO04_FILE_000_B"/>
    <s v="RECORD COUNT by MBR_ID, DOS_THRU_DT, DX_CD Grain grouped by PAYER, SRC_FILE_NM, DOS_THRU_YYYYMM"/>
  </r>
  <r>
    <x v="2"/>
    <s v="FINGLOBL_PE202601_REMAO004.TXT"/>
    <x v="113"/>
    <x v="11"/>
    <n v="1215"/>
    <n v="170365"/>
    <n v="0.71"/>
    <s v="DQS_MAO04_FILE_000_B"/>
    <s v="RECORD COUNT by MBR_ID, DOS_THRU_DT, DX_CD Grain grouped by PAYER, SRC_FILE_NM, DOS_THRU_YYYYMM"/>
  </r>
  <r>
    <x v="2"/>
    <s v="FINGLOBL_PE202601_REMAO004.TXT"/>
    <x v="114"/>
    <x v="11"/>
    <n v="1808"/>
    <n v="170365"/>
    <n v="1.06"/>
    <s v="DQS_MAO04_FILE_000_B"/>
    <s v="RECORD COUNT by MBR_ID, DOS_THRU_DT, DX_CD Grain grouped by PAYER, SRC_FILE_NM, DOS_THRU_YYYYMM"/>
  </r>
  <r>
    <x v="2"/>
    <s v="FINGLOBL_PE202601_REMAO004.TXT"/>
    <x v="115"/>
    <x v="11"/>
    <n v="1768"/>
    <n v="170365"/>
    <n v="1.04"/>
    <s v="DQS_MAO04_FILE_000_B"/>
    <s v="RECORD COUNT by MBR_ID, DOS_THRU_DT, DX_CD Grain grouped by PAYER, SRC_FILE_NM, DOS_THRU_YYYYMM"/>
  </r>
  <r>
    <x v="2"/>
    <s v="FINGLOBL_PE202601_REMAO004.TXT"/>
    <x v="116"/>
    <x v="11"/>
    <n v="2109"/>
    <n v="170365"/>
    <n v="1.24"/>
    <s v="DQS_MAO04_FILE_000_B"/>
    <s v="RECORD COUNT by MBR_ID, DOS_THRU_DT, DX_CD Grain grouped by PAYER, SRC_FILE_NM, DOS_THRU_YYYYMM"/>
  </r>
  <r>
    <x v="2"/>
    <s v="FINGLOBL_PE202601_REMAO004.TXT"/>
    <x v="117"/>
    <x v="11"/>
    <n v="9710"/>
    <n v="170365"/>
    <n v="5.7"/>
    <s v="DQS_MAO04_FILE_000_B"/>
    <s v="RECORD COUNT by MBR_ID, DOS_THRU_DT, DX_CD Grain grouped by PAYER, SRC_FILE_NM, DOS_THRU_YYYYMM"/>
  </r>
  <r>
    <x v="2"/>
    <s v="FINGLOBL_PE202601_REMAO004.TXT"/>
    <x v="118"/>
    <x v="11"/>
    <n v="8632"/>
    <n v="170365"/>
    <n v="5.07"/>
    <s v="DQS_MAO04_FILE_000_B"/>
    <s v="RECORD COUNT by MBR_ID, DOS_THRU_DT, DX_CD Grain grouped by PAYER, SRC_FILE_NM, DOS_THRU_YYYYMM"/>
  </r>
  <r>
    <x v="2"/>
    <s v="FINGLOBL_PE202601_REMAO004.TXT"/>
    <x v="119"/>
    <x v="11"/>
    <n v="85562"/>
    <n v="170365"/>
    <n v="50.22"/>
    <s v="DQS_MAO04_FILE_000_B"/>
    <s v="RECORD COUNT by MBR_ID, DOS_THRU_DT, DX_CD Grain grouped by PAYER, SRC_FILE_NM, DOS_THRU_YYYYMM"/>
  </r>
  <r>
    <x v="2"/>
    <s v="FINGLOBL_PE202601_REMAO004.TXT"/>
    <x v="120"/>
    <x v="11"/>
    <n v="54094"/>
    <n v="170365"/>
    <n v="31.75"/>
    <s v="DQS_MAO04_FILE_000_B"/>
    <s v="RECORD COUNT by MBR_ID, DOS_THRU_DT, DX_CD Grain grouped by PAYER, SRC_FILE_NM, DOS_THRU_YYYYMM"/>
  </r>
  <r>
    <x v="2"/>
    <s v="FINGLOBL_PE202602_REMAO004.TXT"/>
    <x v="45"/>
    <x v="5"/>
    <n v="3"/>
    <n v="178880"/>
    <n v="0"/>
    <s v="DQS_MAO04_FILE_000_B"/>
    <s v="RECORD COUNT by MBR_ID, DOS_THRU_DT, DX_CD Grain grouped by PAYER, SRC_FILE_NM, DOS_THRU_YYYYMM"/>
  </r>
  <r>
    <x v="2"/>
    <s v="FINGLOBL_PE202602_REMAO004.TXT"/>
    <x v="55"/>
    <x v="6"/>
    <n v="3"/>
    <n v="178880"/>
    <n v="0"/>
    <s v="DQS_MAO04_FILE_000_B"/>
    <s v="RECORD COUNT by MBR_ID, DOS_THRU_DT, DX_CD Grain grouped by PAYER, SRC_FILE_NM, DOS_THRU_YYYYMM"/>
  </r>
  <r>
    <x v="2"/>
    <s v="FINGLOBL_PE202602_REMAO004.TXT"/>
    <x v="72"/>
    <x v="7"/>
    <n v="1"/>
    <n v="178880"/>
    <n v="0"/>
    <s v="DQS_MAO04_FILE_000_B"/>
    <s v="RECORD COUNT by MBR_ID, DOS_THRU_DT, DX_CD Grain grouped by PAYER, SRC_FILE_NM, DOS_THRU_YYYYMM"/>
  </r>
  <r>
    <x v="2"/>
    <s v="FINGLOBL_PE202602_REMAO004.TXT"/>
    <x v="75"/>
    <x v="7"/>
    <n v="11"/>
    <n v="178880"/>
    <n v="0.01"/>
    <s v="DQS_MAO04_FILE_000_B"/>
    <s v="RECORD COUNT by MBR_ID, DOS_THRU_DT, DX_CD Grain grouped by PAYER, SRC_FILE_NM, DOS_THRU_YYYYMM"/>
  </r>
  <r>
    <x v="2"/>
    <s v="FINGLOBL_PE202602_REMAO004.TXT"/>
    <x v="77"/>
    <x v="8"/>
    <n v="5"/>
    <n v="178880"/>
    <n v="0"/>
    <s v="DQS_MAO04_FILE_000_B"/>
    <s v="RECORD COUNT by MBR_ID, DOS_THRU_DT, DX_CD Grain grouped by PAYER, SRC_FILE_NM, DOS_THRU_YYYYMM"/>
  </r>
  <r>
    <x v="2"/>
    <s v="FINGLOBL_PE202602_REMAO004.TXT"/>
    <x v="78"/>
    <x v="8"/>
    <n v="31"/>
    <n v="178880"/>
    <n v="0.02"/>
    <s v="DQS_MAO04_FILE_000_B"/>
    <s v="RECORD COUNT by MBR_ID, DOS_THRU_DT, DX_CD Grain grouped by PAYER, SRC_FILE_NM, DOS_THRU_YYYYMM"/>
  </r>
  <r>
    <x v="2"/>
    <s v="FINGLOBL_PE202602_REMAO004.TXT"/>
    <x v="79"/>
    <x v="8"/>
    <n v="6"/>
    <n v="178880"/>
    <n v="0"/>
    <s v="DQS_MAO04_FILE_000_B"/>
    <s v="RECORD COUNT by MBR_ID, DOS_THRU_DT, DX_CD Grain grouped by PAYER, SRC_FILE_NM, DOS_THRU_YYYYMM"/>
  </r>
  <r>
    <x v="2"/>
    <s v="FINGLOBL_PE202602_REMAO004.TXT"/>
    <x v="81"/>
    <x v="8"/>
    <n v="12"/>
    <n v="178880"/>
    <n v="0.01"/>
    <s v="DQS_MAO04_FILE_000_B"/>
    <s v="RECORD COUNT by MBR_ID, DOS_THRU_DT, DX_CD Grain grouped by PAYER, SRC_FILE_NM, DOS_THRU_YYYYMM"/>
  </r>
  <r>
    <x v="2"/>
    <s v="FINGLOBL_PE202602_REMAO004.TXT"/>
    <x v="82"/>
    <x v="8"/>
    <n v="5"/>
    <n v="178880"/>
    <n v="0"/>
    <s v="DQS_MAO04_FILE_000_B"/>
    <s v="RECORD COUNT by MBR_ID, DOS_THRU_DT, DX_CD Grain grouped by PAYER, SRC_FILE_NM, DOS_THRU_YYYYMM"/>
  </r>
  <r>
    <x v="2"/>
    <s v="FINGLOBL_PE202602_REMAO004.TXT"/>
    <x v="83"/>
    <x v="8"/>
    <n v="1"/>
    <n v="178880"/>
    <n v="0"/>
    <s v="DQS_MAO04_FILE_000_B"/>
    <s v="RECORD COUNT by MBR_ID, DOS_THRU_DT, DX_CD Grain grouped by PAYER, SRC_FILE_NM, DOS_THRU_YYYYMM"/>
  </r>
  <r>
    <x v="2"/>
    <s v="FINGLOBL_PE202602_REMAO004.TXT"/>
    <x v="84"/>
    <x v="8"/>
    <n v="1"/>
    <n v="178880"/>
    <n v="0"/>
    <s v="DQS_MAO04_FILE_000_B"/>
    <s v="RECORD COUNT by MBR_ID, DOS_THRU_DT, DX_CD Grain grouped by PAYER, SRC_FILE_NM, DOS_THRU_YYYYMM"/>
  </r>
  <r>
    <x v="2"/>
    <s v="FINGLOBL_PE202602_REMAO004.TXT"/>
    <x v="85"/>
    <x v="8"/>
    <n v="37"/>
    <n v="178880"/>
    <n v="0.02"/>
    <s v="DQS_MAO04_FILE_000_B"/>
    <s v="RECORD COUNT by MBR_ID, DOS_THRU_DT, DX_CD Grain grouped by PAYER, SRC_FILE_NM, DOS_THRU_YYYYMM"/>
  </r>
  <r>
    <x v="2"/>
    <s v="FINGLOBL_PE202602_REMAO004.TXT"/>
    <x v="86"/>
    <x v="8"/>
    <n v="69"/>
    <n v="178880"/>
    <n v="0.04"/>
    <s v="DQS_MAO04_FILE_000_B"/>
    <s v="RECORD COUNT by MBR_ID, DOS_THRU_DT, DX_CD Grain grouped by PAYER, SRC_FILE_NM, DOS_THRU_YYYYMM"/>
  </r>
  <r>
    <x v="2"/>
    <s v="FINGLOBL_PE202602_REMAO004.TXT"/>
    <x v="87"/>
    <x v="8"/>
    <n v="61"/>
    <n v="178880"/>
    <n v="0.03"/>
    <s v="DQS_MAO04_FILE_000_B"/>
    <s v="RECORD COUNT by MBR_ID, DOS_THRU_DT, DX_CD Grain grouped by PAYER, SRC_FILE_NM, DOS_THRU_YYYYMM"/>
  </r>
  <r>
    <x v="2"/>
    <s v="FINGLOBL_PE202602_REMAO004.TXT"/>
    <x v="88"/>
    <x v="8"/>
    <n v="76"/>
    <n v="178880"/>
    <n v="0.04"/>
    <s v="DQS_MAO04_FILE_000_B"/>
    <s v="RECORD COUNT by MBR_ID, DOS_THRU_DT, DX_CD Grain grouped by PAYER, SRC_FILE_NM, DOS_THRU_YYYYMM"/>
  </r>
  <r>
    <x v="2"/>
    <s v="FINGLOBL_PE202602_REMAO004.TXT"/>
    <x v="89"/>
    <x v="9"/>
    <n v="273"/>
    <n v="178880"/>
    <n v="0.15"/>
    <s v="DQS_MAO04_FILE_000_B"/>
    <s v="RECORD COUNT by MBR_ID, DOS_THRU_DT, DX_CD Grain grouped by PAYER, SRC_FILE_NM, DOS_THRU_YYYYMM"/>
  </r>
  <r>
    <x v="2"/>
    <s v="FINGLOBL_PE202602_REMAO004.TXT"/>
    <x v="97"/>
    <x v="9"/>
    <n v="273"/>
    <n v="178880"/>
    <n v="0.15"/>
    <s v="DQS_MAO04_FILE_000_B"/>
    <s v="RECORD COUNT by MBR_ID, DOS_THRU_DT, DX_CD Grain grouped by PAYER, SRC_FILE_NM, DOS_THRU_YYYYMM"/>
  </r>
  <r>
    <x v="2"/>
    <s v="FINGLOBL_PE202602_REMAO004.TXT"/>
    <x v="98"/>
    <x v="9"/>
    <n v="185"/>
    <n v="178880"/>
    <n v="0.1"/>
    <s v="DQS_MAO04_FILE_000_B"/>
    <s v="RECORD COUNT by MBR_ID, DOS_THRU_DT, DX_CD Grain grouped by PAYER, SRC_FILE_NM, DOS_THRU_YYYYMM"/>
  </r>
  <r>
    <x v="2"/>
    <s v="FINGLOBL_PE202602_REMAO004.TXT"/>
    <x v="99"/>
    <x v="9"/>
    <n v="292"/>
    <n v="178880"/>
    <n v="0.16"/>
    <s v="DQS_MAO04_FILE_000_B"/>
    <s v="RECORD COUNT by MBR_ID, DOS_THRU_DT, DX_CD Grain grouped by PAYER, SRC_FILE_NM, DOS_THRU_YYYYMM"/>
  </r>
  <r>
    <x v="2"/>
    <s v="FINGLOBL_PE202602_REMAO004.TXT"/>
    <x v="100"/>
    <x v="9"/>
    <n v="361"/>
    <n v="178880"/>
    <n v="0.2"/>
    <s v="DQS_MAO04_FILE_000_B"/>
    <s v="RECORD COUNT by MBR_ID, DOS_THRU_DT, DX_CD Grain grouped by PAYER, SRC_FILE_NM, DOS_THRU_YYYYMM"/>
  </r>
  <r>
    <x v="2"/>
    <s v="FINGLOBL_PE202602_REMAO004.TXT"/>
    <x v="102"/>
    <x v="9"/>
    <n v="291"/>
    <n v="178880"/>
    <n v="0.16"/>
    <s v="DQS_MAO04_FILE_000_B"/>
    <s v="RECORD COUNT by MBR_ID, DOS_THRU_DT, DX_CD Grain grouped by PAYER, SRC_FILE_NM, DOS_THRU_YYYYMM"/>
  </r>
  <r>
    <x v="2"/>
    <s v="FINGLOBL_PE202602_REMAO004.TXT"/>
    <x v="103"/>
    <x v="9"/>
    <n v="297"/>
    <n v="178880"/>
    <n v="0.17"/>
    <s v="DQS_MAO04_FILE_000_B"/>
    <s v="RECORD COUNT by MBR_ID, DOS_THRU_DT, DX_CD Grain grouped by PAYER, SRC_FILE_NM, DOS_THRU_YYYYMM"/>
  </r>
  <r>
    <x v="2"/>
    <s v="FINGLOBL_PE202602_REMAO004.TXT"/>
    <x v="105"/>
    <x v="9"/>
    <n v="195"/>
    <n v="178880"/>
    <n v="0.11"/>
    <s v="DQS_MAO04_FILE_000_B"/>
    <s v="RECORD COUNT by MBR_ID, DOS_THRU_DT, DX_CD Grain grouped by PAYER, SRC_FILE_NM, DOS_THRU_YYYYMM"/>
  </r>
  <r>
    <x v="2"/>
    <s v="FINGLOBL_PE202602_REMAO004.TXT"/>
    <x v="106"/>
    <x v="9"/>
    <n v="271"/>
    <n v="178880"/>
    <n v="0.15"/>
    <s v="DQS_MAO04_FILE_000_B"/>
    <s v="RECORD COUNT by MBR_ID, DOS_THRU_DT, DX_CD Grain grouped by PAYER, SRC_FILE_NM, DOS_THRU_YYYYMM"/>
  </r>
  <r>
    <x v="2"/>
    <s v="FINGLOBL_PE202602_REMAO004.TXT"/>
    <x v="107"/>
    <x v="9"/>
    <n v="492"/>
    <n v="178880"/>
    <n v="0.28000000000000003"/>
    <s v="DQS_MAO04_FILE_000_B"/>
    <s v="RECORD COUNT by MBR_ID, DOS_THRU_DT, DX_CD Grain grouped by PAYER, SRC_FILE_NM, DOS_THRU_YYYYMM"/>
  </r>
  <r>
    <x v="2"/>
    <s v="FINGLOBL_PE202602_REMAO004.TXT"/>
    <x v="108"/>
    <x v="9"/>
    <n v="323"/>
    <n v="178880"/>
    <n v="0.18"/>
    <s v="DQS_MAO04_FILE_000_B"/>
    <s v="RECORD COUNT by MBR_ID, DOS_THRU_DT, DX_CD Grain grouped by PAYER, SRC_FILE_NM, DOS_THRU_YYYYMM"/>
  </r>
  <r>
    <x v="2"/>
    <s v="FINGLOBL_PE202602_REMAO004.TXT"/>
    <x v="109"/>
    <x v="9"/>
    <n v="486"/>
    <n v="178880"/>
    <n v="0.27"/>
    <s v="DQS_MAO04_FILE_000_B"/>
    <s v="RECORD COUNT by MBR_ID, DOS_THRU_DT, DX_CD Grain grouped by PAYER, SRC_FILE_NM, DOS_THRU_YYYYMM"/>
  </r>
  <r>
    <x v="2"/>
    <s v="FINGLOBL_PE202602_REMAO004.TXT"/>
    <x v="110"/>
    <x v="11"/>
    <n v="772"/>
    <n v="178880"/>
    <n v="0.43"/>
    <s v="DQS_MAO04_FILE_000_B"/>
    <s v="RECORD COUNT by MBR_ID, DOS_THRU_DT, DX_CD Grain grouped by PAYER, SRC_FILE_NM, DOS_THRU_YYYYMM"/>
  </r>
  <r>
    <x v="2"/>
    <s v="FINGLOBL_PE202602_REMAO004.TXT"/>
    <x v="111"/>
    <x v="11"/>
    <n v="916"/>
    <n v="178880"/>
    <n v="0.51"/>
    <s v="DQS_MAO04_FILE_000_B"/>
    <s v="RECORD COUNT by MBR_ID, DOS_THRU_DT, DX_CD Grain grouped by PAYER, SRC_FILE_NM, DOS_THRU_YYYYMM"/>
  </r>
  <r>
    <x v="2"/>
    <s v="FINGLOBL_PE202602_REMAO004.TXT"/>
    <x v="112"/>
    <x v="11"/>
    <n v="890"/>
    <n v="178880"/>
    <n v="0.5"/>
    <s v="DQS_MAO04_FILE_000_B"/>
    <s v="RECORD COUNT by MBR_ID, DOS_THRU_DT, DX_CD Grain grouped by PAYER, SRC_FILE_NM, DOS_THRU_YYYYMM"/>
  </r>
  <r>
    <x v="2"/>
    <s v="FINGLOBL_PE202602_REMAO004.TXT"/>
    <x v="113"/>
    <x v="11"/>
    <n v="2235"/>
    <n v="178880"/>
    <n v="1.25"/>
    <s v="DQS_MAO04_FILE_000_B"/>
    <s v="RECORD COUNT by MBR_ID, DOS_THRU_DT, DX_CD Grain grouped by PAYER, SRC_FILE_NM, DOS_THRU_YYYYMM"/>
  </r>
  <r>
    <x v="2"/>
    <s v="FINGLOBL_PE202602_REMAO004.TXT"/>
    <x v="114"/>
    <x v="11"/>
    <n v="1858"/>
    <n v="178880"/>
    <n v="1.04"/>
    <s v="DQS_MAO04_FILE_000_B"/>
    <s v="RECORD COUNT by MBR_ID, DOS_THRU_DT, DX_CD Grain grouped by PAYER, SRC_FILE_NM, DOS_THRU_YYYYMM"/>
  </r>
  <r>
    <x v="2"/>
    <s v="FINGLOBL_PE202602_REMAO004.TXT"/>
    <x v="115"/>
    <x v="11"/>
    <n v="1879"/>
    <n v="178880"/>
    <n v="1.05"/>
    <s v="DQS_MAO04_FILE_000_B"/>
    <s v="RECORD COUNT by MBR_ID, DOS_THRU_DT, DX_CD Grain grouped by PAYER, SRC_FILE_NM, DOS_THRU_YYYYMM"/>
  </r>
  <r>
    <x v="2"/>
    <s v="FINGLOBL_PE202602_REMAO004.TXT"/>
    <x v="116"/>
    <x v="11"/>
    <n v="2633"/>
    <n v="178880"/>
    <n v="1.47"/>
    <s v="DQS_MAO04_FILE_000_B"/>
    <s v="RECORD COUNT by MBR_ID, DOS_THRU_DT, DX_CD Grain grouped by PAYER, SRC_FILE_NM, DOS_THRU_YYYYMM"/>
  </r>
  <r>
    <x v="2"/>
    <s v="FINGLOBL_PE202602_REMAO004.TXT"/>
    <x v="117"/>
    <x v="11"/>
    <n v="3239"/>
    <n v="178880"/>
    <n v="1.81"/>
    <s v="DQS_MAO04_FILE_000_B"/>
    <s v="RECORD COUNT by MBR_ID, DOS_THRU_DT, DX_CD Grain grouped by PAYER, SRC_FILE_NM, DOS_THRU_YYYYMM"/>
  </r>
  <r>
    <x v="2"/>
    <s v="FINGLOBL_PE202602_REMAO004.TXT"/>
    <x v="118"/>
    <x v="11"/>
    <n v="9135"/>
    <n v="178880"/>
    <n v="5.1100000000000003"/>
    <s v="DQS_MAO04_FILE_000_B"/>
    <s v="RECORD COUNT by MBR_ID, DOS_THRU_DT, DX_CD Grain grouped by PAYER, SRC_FILE_NM, DOS_THRU_YYYYMM"/>
  </r>
  <r>
    <x v="2"/>
    <s v="FINGLOBL_PE202602_REMAO004.TXT"/>
    <x v="119"/>
    <x v="11"/>
    <n v="16191"/>
    <n v="178880"/>
    <n v="9.0500000000000007"/>
    <s v="DQS_MAO04_FILE_000_B"/>
    <s v="RECORD COUNT by MBR_ID, DOS_THRU_DT, DX_CD Grain grouped by PAYER, SRC_FILE_NM, DOS_THRU_YYYYMM"/>
  </r>
  <r>
    <x v="2"/>
    <s v="FINGLOBL_PE202602_REMAO004.TXT"/>
    <x v="120"/>
    <x v="11"/>
    <n v="69751"/>
    <n v="178880"/>
    <n v="38.99"/>
    <s v="DQS_MAO04_FILE_000_B"/>
    <s v="RECORD COUNT by MBR_ID, DOS_THRU_DT, DX_CD Grain grouped by PAYER, SRC_FILE_NM, DOS_THRU_YYYYMM"/>
  </r>
  <r>
    <x v="2"/>
    <s v="FINGLOBL_PE202602_REMAO004.TXT"/>
    <x v="121"/>
    <x v="11"/>
    <n v="65320"/>
    <n v="178880"/>
    <n v="36.520000000000003"/>
    <s v="DQS_MAO04_FILE_000_B"/>
    <s v="RECORD COUNT by MBR_ID, DOS_THRU_DT, DX_CD Grain grouped by PAYER, SRC_FILE_NM, DOS_THRU_YYYYMM"/>
  </r>
  <r>
    <x v="2"/>
    <s v="FINGLOBL_PE202603_REMAO004.TXT"/>
    <x v="29"/>
    <x v="4"/>
    <n v="3"/>
    <n v="154047"/>
    <n v="0"/>
    <s v="DQS_MAO04_FILE_000_B"/>
    <s v="RECORD COUNT by MBR_ID, DOS_THRU_DT, DX_CD Grain grouped by PAYER, SRC_FILE_NM, DOS_THRU_YYYYMM"/>
  </r>
  <r>
    <x v="2"/>
    <s v="FINGLOBL_PE202603_REMAO004.TXT"/>
    <x v="74"/>
    <x v="7"/>
    <n v="1"/>
    <n v="154047"/>
    <n v="0"/>
    <s v="DQS_MAO04_FILE_000_B"/>
    <s v="RECORD COUNT by MBR_ID, DOS_THRU_DT, DX_CD Grain grouped by PAYER, SRC_FILE_NM, DOS_THRU_YYYYMM"/>
  </r>
  <r>
    <x v="2"/>
    <s v="FINGLOBL_PE202603_REMAO004.TXT"/>
    <x v="76"/>
    <x v="7"/>
    <n v="3"/>
    <n v="154047"/>
    <n v="0"/>
    <s v="DQS_MAO04_FILE_000_B"/>
    <s v="RECORD COUNT by MBR_ID, DOS_THRU_DT, DX_CD Grain grouped by PAYER, SRC_FILE_NM, DOS_THRU_YYYYMM"/>
  </r>
  <r>
    <x v="2"/>
    <s v="FINGLOBL_PE202603_REMAO004.TXT"/>
    <x v="77"/>
    <x v="8"/>
    <n v="1"/>
    <n v="154047"/>
    <n v="0"/>
    <s v="DQS_MAO04_FILE_000_B"/>
    <s v="RECORD COUNT by MBR_ID, DOS_THRU_DT, DX_CD Grain grouped by PAYER, SRC_FILE_NM, DOS_THRU_YYYYMM"/>
  </r>
  <r>
    <x v="2"/>
    <s v="FINGLOBL_PE202603_REMAO004.TXT"/>
    <x v="79"/>
    <x v="8"/>
    <n v="4"/>
    <n v="154047"/>
    <n v="0"/>
    <s v="DQS_MAO04_FILE_000_B"/>
    <s v="RECORD COUNT by MBR_ID, DOS_THRU_DT, DX_CD Grain grouped by PAYER, SRC_FILE_NM, DOS_THRU_YYYYMM"/>
  </r>
  <r>
    <x v="2"/>
    <s v="FINGLOBL_PE202603_REMAO004.TXT"/>
    <x v="82"/>
    <x v="8"/>
    <n v="10"/>
    <n v="154047"/>
    <n v="0.01"/>
    <s v="DQS_MAO04_FILE_000_B"/>
    <s v="RECORD COUNT by MBR_ID, DOS_THRU_DT, DX_CD Grain grouped by PAYER, SRC_FILE_NM, DOS_THRU_YYYYMM"/>
  </r>
  <r>
    <x v="2"/>
    <s v="FINGLOBL_PE202603_REMAO004.TXT"/>
    <x v="83"/>
    <x v="8"/>
    <n v="4"/>
    <n v="154047"/>
    <n v="0"/>
    <s v="DQS_MAO04_FILE_000_B"/>
    <s v="RECORD COUNT by MBR_ID, DOS_THRU_DT, DX_CD Grain grouped by PAYER, SRC_FILE_NM, DOS_THRU_YYYYMM"/>
  </r>
  <r>
    <x v="2"/>
    <s v="FINGLOBL_PE202603_REMAO004.TXT"/>
    <x v="86"/>
    <x v="8"/>
    <n v="45"/>
    <n v="154047"/>
    <n v="0.03"/>
    <s v="DQS_MAO04_FILE_000_B"/>
    <s v="RECORD COUNT by MBR_ID, DOS_THRU_DT, DX_CD Grain grouped by PAYER, SRC_FILE_NM, DOS_THRU_YYYYMM"/>
  </r>
  <r>
    <x v="2"/>
    <s v="FINGLOBL_PE202603_REMAO004.TXT"/>
    <x v="87"/>
    <x v="8"/>
    <n v="30"/>
    <n v="154047"/>
    <n v="0.02"/>
    <s v="DQS_MAO04_FILE_000_B"/>
    <s v="RECORD COUNT by MBR_ID, DOS_THRU_DT, DX_CD Grain grouped by PAYER, SRC_FILE_NM, DOS_THRU_YYYYMM"/>
  </r>
  <r>
    <x v="2"/>
    <s v="FINGLOBL_PE202603_REMAO004.TXT"/>
    <x v="88"/>
    <x v="8"/>
    <n v="9"/>
    <n v="154047"/>
    <n v="0.01"/>
    <s v="DQS_MAO04_FILE_000_B"/>
    <s v="RECORD COUNT by MBR_ID, DOS_THRU_DT, DX_CD Grain grouped by PAYER, SRC_FILE_NM, DOS_THRU_YYYYMM"/>
  </r>
  <r>
    <x v="2"/>
    <s v="FINGLOBL_PE202603_REMAO004.TXT"/>
    <x v="89"/>
    <x v="9"/>
    <n v="99"/>
    <n v="154047"/>
    <n v="0.06"/>
    <s v="DQS_MAO04_FILE_000_B"/>
    <s v="RECORD COUNT by MBR_ID, DOS_THRU_DT, DX_CD Grain grouped by PAYER, SRC_FILE_NM, DOS_THRU_YYYYMM"/>
  </r>
  <r>
    <x v="2"/>
    <s v="FINGLOBL_PE202603_REMAO004.TXT"/>
    <x v="97"/>
    <x v="9"/>
    <n v="121"/>
    <n v="154047"/>
    <n v="0.08"/>
    <s v="DQS_MAO04_FILE_000_B"/>
    <s v="RECORD COUNT by MBR_ID, DOS_THRU_DT, DX_CD Grain grouped by PAYER, SRC_FILE_NM, DOS_THRU_YYYYMM"/>
  </r>
  <r>
    <x v="2"/>
    <s v="FINGLOBL_PE202603_REMAO004.TXT"/>
    <x v="98"/>
    <x v="9"/>
    <n v="60"/>
    <n v="154047"/>
    <n v="0.04"/>
    <s v="DQS_MAO04_FILE_000_B"/>
    <s v="RECORD COUNT by MBR_ID, DOS_THRU_DT, DX_CD Grain grouped by PAYER, SRC_FILE_NM, DOS_THRU_YYYYMM"/>
  </r>
  <r>
    <x v="2"/>
    <s v="FINGLOBL_PE202603_REMAO004.TXT"/>
    <x v="99"/>
    <x v="9"/>
    <n v="99"/>
    <n v="154047"/>
    <n v="0.06"/>
    <s v="DQS_MAO04_FILE_000_B"/>
    <s v="RECORD COUNT by MBR_ID, DOS_THRU_DT, DX_CD Grain grouped by PAYER, SRC_FILE_NM, DOS_THRU_YYYYMM"/>
  </r>
  <r>
    <x v="2"/>
    <s v="FINGLOBL_PE202603_REMAO004.TXT"/>
    <x v="100"/>
    <x v="9"/>
    <n v="120"/>
    <n v="154047"/>
    <n v="0.08"/>
    <s v="DQS_MAO04_FILE_000_B"/>
    <s v="RECORD COUNT by MBR_ID, DOS_THRU_DT, DX_CD Grain grouped by PAYER, SRC_FILE_NM, DOS_THRU_YYYYMM"/>
  </r>
  <r>
    <x v="2"/>
    <s v="FINGLOBL_PE202603_REMAO004.TXT"/>
    <x v="102"/>
    <x v="9"/>
    <n v="111"/>
    <n v="154047"/>
    <n v="7.0000000000000007E-2"/>
    <s v="DQS_MAO04_FILE_000_B"/>
    <s v="RECORD COUNT by MBR_ID, DOS_THRU_DT, DX_CD Grain grouped by PAYER, SRC_FILE_NM, DOS_THRU_YYYYMM"/>
  </r>
  <r>
    <x v="2"/>
    <s v="FINGLOBL_PE202603_REMAO004.TXT"/>
    <x v="103"/>
    <x v="9"/>
    <n v="292"/>
    <n v="154047"/>
    <n v="0.19"/>
    <s v="DQS_MAO04_FILE_000_B"/>
    <s v="RECORD COUNT by MBR_ID, DOS_THRU_DT, DX_CD Grain grouped by PAYER, SRC_FILE_NM, DOS_THRU_YYYYMM"/>
  </r>
  <r>
    <x v="2"/>
    <s v="FINGLOBL_PE202603_REMAO004.TXT"/>
    <x v="105"/>
    <x v="9"/>
    <n v="269"/>
    <n v="154047"/>
    <n v="0.17"/>
    <s v="DQS_MAO04_FILE_000_B"/>
    <s v="RECORD COUNT by MBR_ID, DOS_THRU_DT, DX_CD Grain grouped by PAYER, SRC_FILE_NM, DOS_THRU_YYYYMM"/>
  </r>
  <r>
    <x v="2"/>
    <s v="FINGLOBL_PE202603_REMAO004.TXT"/>
    <x v="106"/>
    <x v="9"/>
    <n v="310"/>
    <n v="154047"/>
    <n v="0.2"/>
    <s v="DQS_MAO04_FILE_000_B"/>
    <s v="RECORD COUNT by MBR_ID, DOS_THRU_DT, DX_CD Grain grouped by PAYER, SRC_FILE_NM, DOS_THRU_YYYYMM"/>
  </r>
  <r>
    <x v="2"/>
    <s v="FINGLOBL_PE202603_REMAO004.TXT"/>
    <x v="107"/>
    <x v="9"/>
    <n v="410"/>
    <n v="154047"/>
    <n v="0.27"/>
    <s v="DQS_MAO04_FILE_000_B"/>
    <s v="RECORD COUNT by MBR_ID, DOS_THRU_DT, DX_CD Grain grouped by PAYER, SRC_FILE_NM, DOS_THRU_YYYYMM"/>
  </r>
  <r>
    <x v="2"/>
    <s v="FINGLOBL_PE202603_REMAO004.TXT"/>
    <x v="108"/>
    <x v="9"/>
    <n v="286"/>
    <n v="154047"/>
    <n v="0.19"/>
    <s v="DQS_MAO04_FILE_000_B"/>
    <s v="RECORD COUNT by MBR_ID, DOS_THRU_DT, DX_CD Grain grouped by PAYER, SRC_FILE_NM, DOS_THRU_YYYYMM"/>
  </r>
  <r>
    <x v="2"/>
    <s v="FINGLOBL_PE202603_REMAO004.TXT"/>
    <x v="109"/>
    <x v="9"/>
    <n v="464"/>
    <n v="154047"/>
    <n v="0.3"/>
    <s v="DQS_MAO04_FILE_000_B"/>
    <s v="RECORD COUNT by MBR_ID, DOS_THRU_DT, DX_CD Grain grouped by PAYER, SRC_FILE_NM, DOS_THRU_YYYYMM"/>
  </r>
  <r>
    <x v="2"/>
    <s v="FINGLOBL_PE202603_REMAO004.TXT"/>
    <x v="110"/>
    <x v="11"/>
    <n v="529"/>
    <n v="154047"/>
    <n v="0.34"/>
    <s v="DQS_MAO04_FILE_000_B"/>
    <s v="RECORD COUNT by MBR_ID, DOS_THRU_DT, DX_CD Grain grouped by PAYER, SRC_FILE_NM, DOS_THRU_YYYYMM"/>
  </r>
  <r>
    <x v="2"/>
    <s v="FINGLOBL_PE202603_REMAO004.TXT"/>
    <x v="111"/>
    <x v="11"/>
    <n v="588"/>
    <n v="154047"/>
    <n v="0.38"/>
    <s v="DQS_MAO04_FILE_000_B"/>
    <s v="RECORD COUNT by MBR_ID, DOS_THRU_DT, DX_CD Grain grouped by PAYER, SRC_FILE_NM, DOS_THRU_YYYYMM"/>
  </r>
  <r>
    <x v="2"/>
    <s v="FINGLOBL_PE202603_REMAO004.TXT"/>
    <x v="112"/>
    <x v="11"/>
    <n v="796"/>
    <n v="154047"/>
    <n v="0.52"/>
    <s v="DQS_MAO04_FILE_000_B"/>
    <s v="RECORD COUNT by MBR_ID, DOS_THRU_DT, DX_CD Grain grouped by PAYER, SRC_FILE_NM, DOS_THRU_YYYYMM"/>
  </r>
  <r>
    <x v="2"/>
    <s v="FINGLOBL_PE202603_REMAO004.TXT"/>
    <x v="113"/>
    <x v="11"/>
    <n v="890"/>
    <n v="154047"/>
    <n v="0.57999999999999996"/>
    <s v="DQS_MAO04_FILE_000_B"/>
    <s v="RECORD COUNT by MBR_ID, DOS_THRU_DT, DX_CD Grain grouped by PAYER, SRC_FILE_NM, DOS_THRU_YYYYMM"/>
  </r>
  <r>
    <x v="2"/>
    <s v="FINGLOBL_PE202603_REMAO004.TXT"/>
    <x v="114"/>
    <x v="11"/>
    <n v="1464"/>
    <n v="154047"/>
    <n v="0.95"/>
    <s v="DQS_MAO04_FILE_000_B"/>
    <s v="RECORD COUNT by MBR_ID, DOS_THRU_DT, DX_CD Grain grouped by PAYER, SRC_FILE_NM, DOS_THRU_YYYYMM"/>
  </r>
  <r>
    <x v="2"/>
    <s v="FINGLOBL_PE202603_REMAO004.TXT"/>
    <x v="115"/>
    <x v="11"/>
    <n v="1809"/>
    <n v="154047"/>
    <n v="1.17"/>
    <s v="DQS_MAO04_FILE_000_B"/>
    <s v="RECORD COUNT by MBR_ID, DOS_THRU_DT, DX_CD Grain grouped by PAYER, SRC_FILE_NM, DOS_THRU_YYYYMM"/>
  </r>
  <r>
    <x v="2"/>
    <s v="FINGLOBL_PE202603_REMAO004.TXT"/>
    <x v="116"/>
    <x v="11"/>
    <n v="1797"/>
    <n v="154047"/>
    <n v="1.17"/>
    <s v="DQS_MAO04_FILE_000_B"/>
    <s v="RECORD COUNT by MBR_ID, DOS_THRU_DT, DX_CD Grain grouped by PAYER, SRC_FILE_NM, DOS_THRU_YYYYMM"/>
  </r>
  <r>
    <x v="2"/>
    <s v="FINGLOBL_PE202603_REMAO004.TXT"/>
    <x v="117"/>
    <x v="11"/>
    <n v="1692"/>
    <n v="154047"/>
    <n v="1.1000000000000001"/>
    <s v="DQS_MAO04_FILE_000_B"/>
    <s v="RECORD COUNT by MBR_ID, DOS_THRU_DT, DX_CD Grain grouped by PAYER, SRC_FILE_NM, DOS_THRU_YYYYMM"/>
  </r>
  <r>
    <x v="2"/>
    <s v="FINGLOBL_PE202603_REMAO004.TXT"/>
    <x v="118"/>
    <x v="11"/>
    <n v="3124"/>
    <n v="154047"/>
    <n v="2.0299999999999998"/>
    <s v="DQS_MAO04_FILE_000_B"/>
    <s v="RECORD COUNT by MBR_ID, DOS_THRU_DT, DX_CD Grain grouped by PAYER, SRC_FILE_NM, DOS_THRU_YYYYMM"/>
  </r>
  <r>
    <x v="2"/>
    <s v="FINGLOBL_PE202603_REMAO004.TXT"/>
    <x v="119"/>
    <x v="11"/>
    <n v="3692"/>
    <n v="154047"/>
    <n v="2.4"/>
    <s v="DQS_MAO04_FILE_000_B"/>
    <s v="RECORD COUNT by MBR_ID, DOS_THRU_DT, DX_CD Grain grouped by PAYER, SRC_FILE_NM, DOS_THRU_YYYYMM"/>
  </r>
  <r>
    <x v="2"/>
    <s v="FINGLOBL_PE202603_REMAO004.TXT"/>
    <x v="120"/>
    <x v="11"/>
    <n v="7722"/>
    <n v="154047"/>
    <n v="5.01"/>
    <s v="DQS_MAO04_FILE_000_B"/>
    <s v="RECORD COUNT by MBR_ID, DOS_THRU_DT, DX_CD Grain grouped by PAYER, SRC_FILE_NM, DOS_THRU_YYYYMM"/>
  </r>
  <r>
    <x v="2"/>
    <s v="FINGLOBL_PE202603_REMAO004.TXT"/>
    <x v="121"/>
    <x v="11"/>
    <n v="64577"/>
    <n v="154047"/>
    <n v="41.92"/>
    <s v="DQS_MAO04_FILE_000_B"/>
    <s v="RECORD COUNT by MBR_ID, DOS_THRU_DT, DX_CD Grain grouped by PAYER, SRC_FILE_NM, DOS_THRU_YYYYMM"/>
  </r>
  <r>
    <x v="2"/>
    <s v="FINGLOBL_PE202603_REMAO004.TXT"/>
    <x v="122"/>
    <x v="12"/>
    <n v="62616"/>
    <n v="154047"/>
    <n v="40.65"/>
    <s v="DQS_MAO04_FILE_000_B"/>
    <s v="RECORD COUNT by MBR_ID, DOS_THRU_DT, DX_CD Grain grouped by PAYER, SRC_FILE_NM, DOS_THRU_YYYYMM"/>
  </r>
  <r>
    <x v="2"/>
    <s v="FINGLOBL_PE202604_REMAO004.TXT"/>
    <x v="82"/>
    <x v="8"/>
    <n v="3"/>
    <n v="168854"/>
    <n v="0"/>
    <s v="DQS_MAO04_FILE_000_B"/>
    <s v="RECORD COUNT by MBR_ID, DOS_THRU_DT, DX_CD Grain grouped by PAYER, SRC_FILE_NM, DOS_THRU_YYYYMM"/>
  </r>
  <r>
    <x v="2"/>
    <s v="FINGLOBL_PE202604_REMAO004.TXT"/>
    <x v="84"/>
    <x v="8"/>
    <n v="8"/>
    <n v="168854"/>
    <n v="0"/>
    <s v="DQS_MAO04_FILE_000_B"/>
    <s v="RECORD COUNT by MBR_ID, DOS_THRU_DT, DX_CD Grain grouped by PAYER, SRC_FILE_NM, DOS_THRU_YYYYMM"/>
  </r>
  <r>
    <x v="2"/>
    <s v="FINGLOBL_PE202604_REMAO004.TXT"/>
    <x v="85"/>
    <x v="8"/>
    <n v="2"/>
    <n v="168854"/>
    <n v="0"/>
    <s v="DQS_MAO04_FILE_000_B"/>
    <s v="RECORD COUNT by MBR_ID, DOS_THRU_DT, DX_CD Grain grouped by PAYER, SRC_FILE_NM, DOS_THRU_YYYYMM"/>
  </r>
  <r>
    <x v="2"/>
    <s v="FINGLOBL_PE202604_REMAO004.TXT"/>
    <x v="86"/>
    <x v="8"/>
    <n v="19"/>
    <n v="168854"/>
    <n v="0.01"/>
    <s v="DQS_MAO04_FILE_000_B"/>
    <s v="RECORD COUNT by MBR_ID, DOS_THRU_DT, DX_CD Grain grouped by PAYER, SRC_FILE_NM, DOS_THRU_YYYYMM"/>
  </r>
  <r>
    <x v="2"/>
    <s v="FINGLOBL_PE202604_REMAO004.TXT"/>
    <x v="87"/>
    <x v="8"/>
    <n v="35"/>
    <n v="168854"/>
    <n v="0.02"/>
    <s v="DQS_MAO04_FILE_000_B"/>
    <s v="RECORD COUNT by MBR_ID, DOS_THRU_DT, DX_CD Grain grouped by PAYER, SRC_FILE_NM, DOS_THRU_YYYYMM"/>
  </r>
  <r>
    <x v="2"/>
    <s v="FINGLOBL_PE202604_REMAO004.TXT"/>
    <x v="88"/>
    <x v="8"/>
    <n v="11"/>
    <n v="168854"/>
    <n v="0.01"/>
    <s v="DQS_MAO04_FILE_000_B"/>
    <s v="RECORD COUNT by MBR_ID, DOS_THRU_DT, DX_CD Grain grouped by PAYER, SRC_FILE_NM, DOS_THRU_YYYYMM"/>
  </r>
  <r>
    <x v="2"/>
    <s v="FINGLOBL_PE202604_REMAO004.TXT"/>
    <x v="89"/>
    <x v="9"/>
    <n v="32"/>
    <n v="168854"/>
    <n v="0.02"/>
    <s v="DQS_MAO04_FILE_000_B"/>
    <s v="RECORD COUNT by MBR_ID, DOS_THRU_DT, DX_CD Grain grouped by PAYER, SRC_FILE_NM, DOS_THRU_YYYYMM"/>
  </r>
  <r>
    <x v="2"/>
    <s v="FINGLOBL_PE202604_REMAO004.TXT"/>
    <x v="97"/>
    <x v="9"/>
    <n v="7"/>
    <n v="168854"/>
    <n v="0"/>
    <s v="DQS_MAO04_FILE_000_B"/>
    <s v="RECORD COUNT by MBR_ID, DOS_THRU_DT, DX_CD Grain grouped by PAYER, SRC_FILE_NM, DOS_THRU_YYYYMM"/>
  </r>
  <r>
    <x v="2"/>
    <s v="FINGLOBL_PE202604_REMAO004.TXT"/>
    <x v="98"/>
    <x v="9"/>
    <n v="11"/>
    <n v="168854"/>
    <n v="0.01"/>
    <s v="DQS_MAO04_FILE_000_B"/>
    <s v="RECORD COUNT by MBR_ID, DOS_THRU_DT, DX_CD Grain grouped by PAYER, SRC_FILE_NM, DOS_THRU_YYYYMM"/>
  </r>
  <r>
    <x v="2"/>
    <s v="FINGLOBL_PE202604_REMAO004.TXT"/>
    <x v="99"/>
    <x v="9"/>
    <n v="62"/>
    <n v="168854"/>
    <n v="0.04"/>
    <s v="DQS_MAO04_FILE_000_B"/>
    <s v="RECORD COUNT by MBR_ID, DOS_THRU_DT, DX_CD Grain grouped by PAYER, SRC_FILE_NM, DOS_THRU_YYYYMM"/>
  </r>
  <r>
    <x v="2"/>
    <s v="FINGLOBL_PE202604_REMAO004.TXT"/>
    <x v="100"/>
    <x v="9"/>
    <n v="27"/>
    <n v="168854"/>
    <n v="0.02"/>
    <s v="DQS_MAO04_FILE_000_B"/>
    <s v="RECORD COUNT by MBR_ID, DOS_THRU_DT, DX_CD Grain grouped by PAYER, SRC_FILE_NM, DOS_THRU_YYYYMM"/>
  </r>
  <r>
    <x v="2"/>
    <s v="FINGLOBL_PE202604_REMAO004.TXT"/>
    <x v="102"/>
    <x v="9"/>
    <n v="62"/>
    <n v="168854"/>
    <n v="0.04"/>
    <s v="DQS_MAO04_FILE_000_B"/>
    <s v="RECORD COUNT by MBR_ID, DOS_THRU_DT, DX_CD Grain grouped by PAYER, SRC_FILE_NM, DOS_THRU_YYYYMM"/>
  </r>
  <r>
    <x v="2"/>
    <s v="FINGLOBL_PE202604_REMAO004.TXT"/>
    <x v="103"/>
    <x v="9"/>
    <n v="500"/>
    <n v="168854"/>
    <n v="0.3"/>
    <s v="DQS_MAO04_FILE_000_B"/>
    <s v="RECORD COUNT by MBR_ID, DOS_THRU_DT, DX_CD Grain grouped by PAYER, SRC_FILE_NM, DOS_THRU_YYYYMM"/>
  </r>
  <r>
    <x v="2"/>
    <s v="FINGLOBL_PE202604_REMAO004.TXT"/>
    <x v="105"/>
    <x v="9"/>
    <n v="466"/>
    <n v="168854"/>
    <n v="0.28000000000000003"/>
    <s v="DQS_MAO04_FILE_000_B"/>
    <s v="RECORD COUNT by MBR_ID, DOS_THRU_DT, DX_CD Grain grouped by PAYER, SRC_FILE_NM, DOS_THRU_YYYYMM"/>
  </r>
  <r>
    <x v="2"/>
    <s v="FINGLOBL_PE202604_REMAO004.TXT"/>
    <x v="106"/>
    <x v="9"/>
    <n v="574"/>
    <n v="168854"/>
    <n v="0.34"/>
    <s v="DQS_MAO04_FILE_000_B"/>
    <s v="RECORD COUNT by MBR_ID, DOS_THRU_DT, DX_CD Grain grouped by PAYER, SRC_FILE_NM, DOS_THRU_YYYYMM"/>
  </r>
  <r>
    <x v="2"/>
    <s v="FINGLOBL_PE202604_REMAO004.TXT"/>
    <x v="107"/>
    <x v="9"/>
    <n v="733"/>
    <n v="168854"/>
    <n v="0.43"/>
    <s v="DQS_MAO04_FILE_000_B"/>
    <s v="RECORD COUNT by MBR_ID, DOS_THRU_DT, DX_CD Grain grouped by PAYER, SRC_FILE_NM, DOS_THRU_YYYYMM"/>
  </r>
  <r>
    <x v="2"/>
    <s v="FINGLOBL_PE202604_REMAO004.TXT"/>
    <x v="108"/>
    <x v="9"/>
    <n v="489"/>
    <n v="168854"/>
    <n v="0.28999999999999998"/>
    <s v="DQS_MAO04_FILE_000_B"/>
    <s v="RECORD COUNT by MBR_ID, DOS_THRU_DT, DX_CD Grain grouped by PAYER, SRC_FILE_NM, DOS_THRU_YYYYMM"/>
  </r>
  <r>
    <x v="2"/>
    <s v="FINGLOBL_PE202604_REMAO004.TXT"/>
    <x v="109"/>
    <x v="9"/>
    <n v="553"/>
    <n v="168854"/>
    <n v="0.33"/>
    <s v="DQS_MAO04_FILE_000_B"/>
    <s v="RECORD COUNT by MBR_ID, DOS_THRU_DT, DX_CD Grain grouped by PAYER, SRC_FILE_NM, DOS_THRU_YYYYMM"/>
  </r>
  <r>
    <x v="2"/>
    <s v="FINGLOBL_PE202604_REMAO004.TXT"/>
    <x v="110"/>
    <x v="11"/>
    <n v="2043"/>
    <n v="168854"/>
    <n v="1.21"/>
    <s v="DQS_MAO04_FILE_000_B"/>
    <s v="RECORD COUNT by MBR_ID, DOS_THRU_DT, DX_CD Grain grouped by PAYER, SRC_FILE_NM, DOS_THRU_YYYYMM"/>
  </r>
  <r>
    <x v="2"/>
    <s v="FINGLOBL_PE202604_REMAO004.TXT"/>
    <x v="111"/>
    <x v="11"/>
    <n v="738"/>
    <n v="168854"/>
    <n v="0.44"/>
    <s v="DQS_MAO04_FILE_000_B"/>
    <s v="RECORD COUNT by MBR_ID, DOS_THRU_DT, DX_CD Grain grouped by PAYER, SRC_FILE_NM, DOS_THRU_YYYYMM"/>
  </r>
  <r>
    <x v="2"/>
    <s v="FINGLOBL_PE202604_REMAO004.TXT"/>
    <x v="112"/>
    <x v="11"/>
    <n v="994"/>
    <n v="168854"/>
    <n v="0.59"/>
    <s v="DQS_MAO04_FILE_000_B"/>
    <s v="RECORD COUNT by MBR_ID, DOS_THRU_DT, DX_CD Grain grouped by PAYER, SRC_FILE_NM, DOS_THRU_YYYYMM"/>
  </r>
  <r>
    <x v="2"/>
    <s v="FINGLOBL_PE202604_REMAO004.TXT"/>
    <x v="113"/>
    <x v="11"/>
    <n v="1009"/>
    <n v="168854"/>
    <n v="0.6"/>
    <s v="DQS_MAO04_FILE_000_B"/>
    <s v="RECORD COUNT by MBR_ID, DOS_THRU_DT, DX_CD Grain grouped by PAYER, SRC_FILE_NM, DOS_THRU_YYYYMM"/>
  </r>
  <r>
    <x v="2"/>
    <s v="FINGLOBL_PE202604_REMAO004.TXT"/>
    <x v="114"/>
    <x v="11"/>
    <n v="1395"/>
    <n v="168854"/>
    <n v="0.83"/>
    <s v="DQS_MAO04_FILE_000_B"/>
    <s v="RECORD COUNT by MBR_ID, DOS_THRU_DT, DX_CD Grain grouped by PAYER, SRC_FILE_NM, DOS_THRU_YYYYMM"/>
  </r>
  <r>
    <x v="2"/>
    <s v="FINGLOBL_PE202604_REMAO004.TXT"/>
    <x v="115"/>
    <x v="11"/>
    <n v="1722"/>
    <n v="168854"/>
    <n v="1.02"/>
    <s v="DQS_MAO04_FILE_000_B"/>
    <s v="RECORD COUNT by MBR_ID, DOS_THRU_DT, DX_CD Grain grouped by PAYER, SRC_FILE_NM, DOS_THRU_YYYYMM"/>
  </r>
  <r>
    <x v="2"/>
    <s v="FINGLOBL_PE202604_REMAO004.TXT"/>
    <x v="116"/>
    <x v="11"/>
    <n v="1645"/>
    <n v="168854"/>
    <n v="0.97"/>
    <s v="DQS_MAO04_FILE_000_B"/>
    <s v="RECORD COUNT by MBR_ID, DOS_THRU_DT, DX_CD Grain grouped by PAYER, SRC_FILE_NM, DOS_THRU_YYYYMM"/>
  </r>
  <r>
    <x v="2"/>
    <s v="FINGLOBL_PE202604_REMAO004.TXT"/>
    <x v="117"/>
    <x v="11"/>
    <n v="1653"/>
    <n v="168854"/>
    <n v="0.98"/>
    <s v="DQS_MAO04_FILE_000_B"/>
    <s v="RECORD COUNT by MBR_ID, DOS_THRU_DT, DX_CD Grain grouped by PAYER, SRC_FILE_NM, DOS_THRU_YYYYMM"/>
  </r>
  <r>
    <x v="2"/>
    <s v="FINGLOBL_PE202604_REMAO004.TXT"/>
    <x v="118"/>
    <x v="11"/>
    <n v="1541"/>
    <n v="168854"/>
    <n v="0.91"/>
    <s v="DQS_MAO04_FILE_000_B"/>
    <s v="RECORD COUNT by MBR_ID, DOS_THRU_DT, DX_CD Grain grouped by PAYER, SRC_FILE_NM, DOS_THRU_YYYYMM"/>
  </r>
  <r>
    <x v="2"/>
    <s v="FINGLOBL_PE202604_REMAO004.TXT"/>
    <x v="119"/>
    <x v="11"/>
    <n v="1741"/>
    <n v="168854"/>
    <n v="1.03"/>
    <s v="DQS_MAO04_FILE_000_B"/>
    <s v="RECORD COUNT by MBR_ID, DOS_THRU_DT, DX_CD Grain grouped by PAYER, SRC_FILE_NM, DOS_THRU_YYYYMM"/>
  </r>
  <r>
    <x v="2"/>
    <s v="FINGLOBL_PE202604_REMAO004.TXT"/>
    <x v="120"/>
    <x v="11"/>
    <n v="2143"/>
    <n v="168854"/>
    <n v="1.27"/>
    <s v="DQS_MAO04_FILE_000_B"/>
    <s v="RECORD COUNT by MBR_ID, DOS_THRU_DT, DX_CD Grain grouped by PAYER, SRC_FILE_NM, DOS_THRU_YYYYMM"/>
  </r>
  <r>
    <x v="2"/>
    <s v="FINGLOBL_PE202604_REMAO004.TXT"/>
    <x v="121"/>
    <x v="11"/>
    <n v="6680"/>
    <n v="168854"/>
    <n v="3.96"/>
    <s v="DQS_MAO04_FILE_000_B"/>
    <s v="RECORD COUNT by MBR_ID, DOS_THRU_DT, DX_CD Grain grouped by PAYER, SRC_FILE_NM, DOS_THRU_YYYYMM"/>
  </r>
  <r>
    <x v="2"/>
    <s v="FINGLOBL_PE202604_REMAO004.TXT"/>
    <x v="122"/>
    <x v="12"/>
    <n v="86470"/>
    <n v="168854"/>
    <n v="51.21"/>
    <s v="DQS_MAO04_FILE_000_B"/>
    <s v="RECORD COUNT by MBR_ID, DOS_THRU_DT, DX_CD Grain grouped by PAYER, SRC_FILE_NM, DOS_THRU_YYYYMM"/>
  </r>
  <r>
    <x v="2"/>
    <s v="FINGLOBL_PE202604_REMAO004.TXT"/>
    <x v="123"/>
    <x v="12"/>
    <n v="55486"/>
    <n v="168854"/>
    <n v="32.86"/>
    <s v="DQS_MAO04_FILE_000_B"/>
    <s v="RECORD COUNT by MBR_ID, DOS_THRU_DT, DX_CD Grain grouped by PAYER, SRC_FILE_NM, DOS_THRU_YYYYMM"/>
  </r>
  <r>
    <x v="2"/>
    <s v="FINGLOBL_PE202605_REMAO004.TXT"/>
    <x v="82"/>
    <x v="8"/>
    <n v="23"/>
    <n v="224675"/>
    <n v="0.01"/>
    <s v="DQS_MAO04_FILE_000_B"/>
    <s v="RECORD COUNT by MBR_ID, DOS_THRU_DT, DX_CD Grain grouped by PAYER, SRC_FILE_NM, DOS_THRU_YYYYMM"/>
  </r>
  <r>
    <x v="2"/>
    <s v="FINGLOBL_PE202605_REMAO004.TXT"/>
    <x v="83"/>
    <x v="8"/>
    <n v="9"/>
    <n v="224675"/>
    <n v="0"/>
    <s v="DQS_MAO04_FILE_000_B"/>
    <s v="RECORD COUNT by MBR_ID, DOS_THRU_DT, DX_CD Grain grouped by PAYER, SRC_FILE_NM, DOS_THRU_YYYYMM"/>
  </r>
  <r>
    <x v="2"/>
    <s v="FINGLOBL_PE202605_REMAO004.TXT"/>
    <x v="85"/>
    <x v="8"/>
    <n v="29"/>
    <n v="224675"/>
    <n v="0.01"/>
    <s v="DQS_MAO04_FILE_000_B"/>
    <s v="RECORD COUNT by MBR_ID, DOS_THRU_DT, DX_CD Grain grouped by PAYER, SRC_FILE_NM, DOS_THRU_YYYYMM"/>
  </r>
  <r>
    <x v="2"/>
    <s v="FINGLOBL_PE202605_REMAO004.TXT"/>
    <x v="86"/>
    <x v="8"/>
    <n v="19"/>
    <n v="224675"/>
    <n v="0.01"/>
    <s v="DQS_MAO04_FILE_000_B"/>
    <s v="RECORD COUNT by MBR_ID, DOS_THRU_DT, DX_CD Grain grouped by PAYER, SRC_FILE_NM, DOS_THRU_YYYYMM"/>
  </r>
  <r>
    <x v="2"/>
    <s v="FINGLOBL_PE202605_REMAO004.TXT"/>
    <x v="87"/>
    <x v="8"/>
    <n v="6"/>
    <n v="224675"/>
    <n v="0"/>
    <s v="DQS_MAO04_FILE_000_B"/>
    <s v="RECORD COUNT by MBR_ID, DOS_THRU_DT, DX_CD Grain grouped by PAYER, SRC_FILE_NM, DOS_THRU_YYYYMM"/>
  </r>
  <r>
    <x v="2"/>
    <s v="FINGLOBL_PE202605_REMAO004.TXT"/>
    <x v="88"/>
    <x v="8"/>
    <n v="10"/>
    <n v="224675"/>
    <n v="0"/>
    <s v="DQS_MAO04_FILE_000_B"/>
    <s v="RECORD COUNT by MBR_ID, DOS_THRU_DT, DX_CD Grain grouped by PAYER, SRC_FILE_NM, DOS_THRU_YYYYMM"/>
  </r>
  <r>
    <x v="2"/>
    <s v="FINGLOBL_PE202605_REMAO004.TXT"/>
    <x v="89"/>
    <x v="9"/>
    <n v="50"/>
    <n v="224675"/>
    <n v="0.02"/>
    <s v="DQS_MAO04_FILE_000_B"/>
    <s v="RECORD COUNT by MBR_ID, DOS_THRU_DT, DX_CD Grain grouped by PAYER, SRC_FILE_NM, DOS_THRU_YYYYMM"/>
  </r>
  <r>
    <x v="2"/>
    <s v="FINGLOBL_PE202605_REMAO004.TXT"/>
    <x v="97"/>
    <x v="9"/>
    <n v="13"/>
    <n v="224675"/>
    <n v="0.01"/>
    <s v="DQS_MAO04_FILE_000_B"/>
    <s v="RECORD COUNT by MBR_ID, DOS_THRU_DT, DX_CD Grain grouped by PAYER, SRC_FILE_NM, DOS_THRU_YYYYMM"/>
  </r>
  <r>
    <x v="2"/>
    <s v="FINGLOBL_PE202605_REMAO004.TXT"/>
    <x v="98"/>
    <x v="9"/>
    <n v="5"/>
    <n v="224675"/>
    <n v="0"/>
    <s v="DQS_MAO04_FILE_000_B"/>
    <s v="RECORD COUNT by MBR_ID, DOS_THRU_DT, DX_CD Grain grouped by PAYER, SRC_FILE_NM, DOS_THRU_YYYYMM"/>
  </r>
  <r>
    <x v="2"/>
    <s v="FINGLOBL_PE202605_REMAO004.TXT"/>
    <x v="99"/>
    <x v="9"/>
    <n v="41"/>
    <n v="224675"/>
    <n v="0.02"/>
    <s v="DQS_MAO04_FILE_000_B"/>
    <s v="RECORD COUNT by MBR_ID, DOS_THRU_DT, DX_CD Grain grouped by PAYER, SRC_FILE_NM, DOS_THRU_YYYYMM"/>
  </r>
  <r>
    <x v="2"/>
    <s v="FINGLOBL_PE202605_REMAO004.TXT"/>
    <x v="100"/>
    <x v="9"/>
    <n v="55"/>
    <n v="224675"/>
    <n v="0.02"/>
    <s v="DQS_MAO04_FILE_000_B"/>
    <s v="RECORD COUNT by MBR_ID, DOS_THRU_DT, DX_CD Grain grouped by PAYER, SRC_FILE_NM, DOS_THRU_YYYYMM"/>
  </r>
  <r>
    <x v="2"/>
    <s v="FINGLOBL_PE202605_REMAO004.TXT"/>
    <x v="102"/>
    <x v="9"/>
    <n v="21"/>
    <n v="224675"/>
    <n v="0.01"/>
    <s v="DQS_MAO04_FILE_000_B"/>
    <s v="RECORD COUNT by MBR_ID, DOS_THRU_DT, DX_CD Grain grouped by PAYER, SRC_FILE_NM, DOS_THRU_YYYYMM"/>
  </r>
  <r>
    <x v="2"/>
    <s v="FINGLOBL_PE202605_REMAO004.TXT"/>
    <x v="103"/>
    <x v="9"/>
    <n v="230"/>
    <n v="224675"/>
    <n v="0.1"/>
    <s v="DQS_MAO04_FILE_000_B"/>
    <s v="RECORD COUNT by MBR_ID, DOS_THRU_DT, DX_CD Grain grouped by PAYER, SRC_FILE_NM, DOS_THRU_YYYYMM"/>
  </r>
  <r>
    <x v="2"/>
    <s v="FINGLOBL_PE202605_REMAO004.TXT"/>
    <x v="105"/>
    <x v="9"/>
    <n v="196"/>
    <n v="224675"/>
    <n v="0.09"/>
    <s v="DQS_MAO04_FILE_000_B"/>
    <s v="RECORD COUNT by MBR_ID, DOS_THRU_DT, DX_CD Grain grouped by PAYER, SRC_FILE_NM, DOS_THRU_YYYYMM"/>
  </r>
  <r>
    <x v="2"/>
    <s v="FINGLOBL_PE202605_REMAO004.TXT"/>
    <x v="106"/>
    <x v="9"/>
    <n v="320"/>
    <n v="224675"/>
    <n v="0.14000000000000001"/>
    <s v="DQS_MAO04_FILE_000_B"/>
    <s v="RECORD COUNT by MBR_ID, DOS_THRU_DT, DX_CD Grain grouped by PAYER, SRC_FILE_NM, DOS_THRU_YYYYMM"/>
  </r>
  <r>
    <x v="2"/>
    <s v="FINGLOBL_PE202605_REMAO004.TXT"/>
    <x v="107"/>
    <x v="9"/>
    <n v="367"/>
    <n v="224675"/>
    <n v="0.16"/>
    <s v="DQS_MAO04_FILE_000_B"/>
    <s v="RECORD COUNT by MBR_ID, DOS_THRU_DT, DX_CD Grain grouped by PAYER, SRC_FILE_NM, DOS_THRU_YYYYMM"/>
  </r>
  <r>
    <x v="2"/>
    <s v="FINGLOBL_PE202605_REMAO004.TXT"/>
    <x v="108"/>
    <x v="9"/>
    <n v="282"/>
    <n v="224675"/>
    <n v="0.13"/>
    <s v="DQS_MAO04_FILE_000_B"/>
    <s v="RECORD COUNT by MBR_ID, DOS_THRU_DT, DX_CD Grain grouped by PAYER, SRC_FILE_NM, DOS_THRU_YYYYMM"/>
  </r>
  <r>
    <x v="2"/>
    <s v="FINGLOBL_PE202605_REMAO004.TXT"/>
    <x v="109"/>
    <x v="9"/>
    <n v="322"/>
    <n v="224675"/>
    <n v="0.14000000000000001"/>
    <s v="DQS_MAO04_FILE_000_B"/>
    <s v="RECORD COUNT by MBR_ID, DOS_THRU_DT, DX_CD Grain grouped by PAYER, SRC_FILE_NM, DOS_THRU_YYYYMM"/>
  </r>
  <r>
    <x v="2"/>
    <s v="FINGLOBL_PE202605_REMAO004.TXT"/>
    <x v="110"/>
    <x v="11"/>
    <n v="1235"/>
    <n v="224675"/>
    <n v="0.55000000000000004"/>
    <s v="DQS_MAO04_FILE_000_B"/>
    <s v="RECORD COUNT by MBR_ID, DOS_THRU_DT, DX_CD Grain grouped by PAYER, SRC_FILE_NM, DOS_THRU_YYYYMM"/>
  </r>
  <r>
    <x v="2"/>
    <s v="FINGLOBL_PE202605_REMAO004.TXT"/>
    <x v="111"/>
    <x v="11"/>
    <n v="1149"/>
    <n v="224675"/>
    <n v="0.51"/>
    <s v="DQS_MAO04_FILE_000_B"/>
    <s v="RECORD COUNT by MBR_ID, DOS_THRU_DT, DX_CD Grain grouped by PAYER, SRC_FILE_NM, DOS_THRU_YYYYMM"/>
  </r>
  <r>
    <x v="2"/>
    <s v="FINGLOBL_PE202605_REMAO004.TXT"/>
    <x v="112"/>
    <x v="11"/>
    <n v="1230"/>
    <n v="224675"/>
    <n v="0.55000000000000004"/>
    <s v="DQS_MAO04_FILE_000_B"/>
    <s v="RECORD COUNT by MBR_ID, DOS_THRU_DT, DX_CD Grain grouped by PAYER, SRC_FILE_NM, DOS_THRU_YYYYMM"/>
  </r>
  <r>
    <x v="2"/>
    <s v="FINGLOBL_PE202605_REMAO004.TXT"/>
    <x v="113"/>
    <x v="11"/>
    <n v="1738"/>
    <n v="224675"/>
    <n v="0.77"/>
    <s v="DQS_MAO04_FILE_000_B"/>
    <s v="RECORD COUNT by MBR_ID, DOS_THRU_DT, DX_CD Grain grouped by PAYER, SRC_FILE_NM, DOS_THRU_YYYYMM"/>
  </r>
  <r>
    <x v="2"/>
    <s v="FINGLOBL_PE202605_REMAO004.TXT"/>
    <x v="114"/>
    <x v="11"/>
    <n v="1706"/>
    <n v="224675"/>
    <n v="0.76"/>
    <s v="DQS_MAO04_FILE_000_B"/>
    <s v="RECORD COUNT by MBR_ID, DOS_THRU_DT, DX_CD Grain grouped by PAYER, SRC_FILE_NM, DOS_THRU_YYYYMM"/>
  </r>
  <r>
    <x v="2"/>
    <s v="FINGLOBL_PE202605_REMAO004.TXT"/>
    <x v="115"/>
    <x v="11"/>
    <n v="1617"/>
    <n v="224675"/>
    <n v="0.72"/>
    <s v="DQS_MAO04_FILE_000_B"/>
    <s v="RECORD COUNT by MBR_ID, DOS_THRU_DT, DX_CD Grain grouped by PAYER, SRC_FILE_NM, DOS_THRU_YYYYMM"/>
  </r>
  <r>
    <x v="2"/>
    <s v="FINGLOBL_PE202605_REMAO004.TXT"/>
    <x v="116"/>
    <x v="11"/>
    <n v="2103"/>
    <n v="224675"/>
    <n v="0.94"/>
    <s v="DQS_MAO04_FILE_000_B"/>
    <s v="RECORD COUNT by MBR_ID, DOS_THRU_DT, DX_CD Grain grouped by PAYER, SRC_FILE_NM, DOS_THRU_YYYYMM"/>
  </r>
  <r>
    <x v="2"/>
    <s v="FINGLOBL_PE202605_REMAO004.TXT"/>
    <x v="117"/>
    <x v="11"/>
    <n v="1808"/>
    <n v="224675"/>
    <n v="0.8"/>
    <s v="DQS_MAO04_FILE_000_B"/>
    <s v="RECORD COUNT by MBR_ID, DOS_THRU_DT, DX_CD Grain grouped by PAYER, SRC_FILE_NM, DOS_THRU_YYYYMM"/>
  </r>
  <r>
    <x v="2"/>
    <s v="FINGLOBL_PE202605_REMAO004.TXT"/>
    <x v="118"/>
    <x v="11"/>
    <n v="2260"/>
    <n v="224675"/>
    <n v="1.01"/>
    <s v="DQS_MAO04_FILE_000_B"/>
    <s v="RECORD COUNT by MBR_ID, DOS_THRU_DT, DX_CD Grain grouped by PAYER, SRC_FILE_NM, DOS_THRU_YYYYMM"/>
  </r>
  <r>
    <x v="2"/>
    <s v="FINGLOBL_PE202605_REMAO004.TXT"/>
    <x v="119"/>
    <x v="11"/>
    <n v="3093"/>
    <n v="224675"/>
    <n v="1.38"/>
    <s v="DQS_MAO04_FILE_000_B"/>
    <s v="RECORD COUNT by MBR_ID, DOS_THRU_DT, DX_CD Grain grouped by PAYER, SRC_FILE_NM, DOS_THRU_YYYYMM"/>
  </r>
  <r>
    <x v="2"/>
    <s v="FINGLOBL_PE202605_REMAO004.TXT"/>
    <x v="120"/>
    <x v="11"/>
    <n v="2955"/>
    <n v="224675"/>
    <n v="1.32"/>
    <s v="DQS_MAO04_FILE_000_B"/>
    <s v="RECORD COUNT by MBR_ID, DOS_THRU_DT, DX_CD Grain grouped by PAYER, SRC_FILE_NM, DOS_THRU_YYYYMM"/>
  </r>
  <r>
    <x v="2"/>
    <s v="FINGLOBL_PE202605_REMAO004.TXT"/>
    <x v="121"/>
    <x v="11"/>
    <n v="4610"/>
    <n v="224675"/>
    <n v="2.0499999999999998"/>
    <s v="DQS_MAO04_FILE_000_B"/>
    <s v="RECORD COUNT by MBR_ID, DOS_THRU_DT, DX_CD Grain grouped by PAYER, SRC_FILE_NM, DOS_THRU_YYYYMM"/>
  </r>
  <r>
    <x v="2"/>
    <s v="FINGLOBL_PE202605_REMAO004.TXT"/>
    <x v="122"/>
    <x v="12"/>
    <n v="19331"/>
    <n v="224675"/>
    <n v="8.6"/>
    <s v="DQS_MAO04_FILE_000_B"/>
    <s v="RECORD COUNT by MBR_ID, DOS_THRU_DT, DX_CD Grain grouped by PAYER, SRC_FILE_NM, DOS_THRU_YYYYMM"/>
  </r>
  <r>
    <x v="2"/>
    <s v="FINGLOBL_PE202605_REMAO004.TXT"/>
    <x v="123"/>
    <x v="12"/>
    <n v="100192"/>
    <n v="224675"/>
    <n v="44.59"/>
    <s v="DQS_MAO04_FILE_000_B"/>
    <s v="RECORD COUNT by MBR_ID, DOS_THRU_DT, DX_CD Grain grouped by PAYER, SRC_FILE_NM, DOS_THRU_YYYYMM"/>
  </r>
  <r>
    <x v="2"/>
    <s v="FINGLOBL_PE202605_REMAO004.TXT"/>
    <x v="124"/>
    <x v="12"/>
    <n v="77650"/>
    <n v="224675"/>
    <n v="34.56"/>
    <s v="DQS_MAO04_FILE_000_B"/>
    <s v="RECORD COUNT by MBR_ID, DOS_THRU_DT, DX_CD Grain grouped by PAYER, SRC_FILE_NM, DOS_THRU_YYYYMM"/>
  </r>
  <r>
    <x v="2"/>
    <s v="FINGLOBL_PE202606_REMAO004.TXT"/>
    <x v="79"/>
    <x v="8"/>
    <n v="12"/>
    <n v="184300"/>
    <n v="0.01"/>
    <s v="DQS_MAO04_FILE_000_B"/>
    <s v="RECORD COUNT by MBR_ID, DOS_THRU_DT, DX_CD Grain grouped by PAYER, SRC_FILE_NM, DOS_THRU_YYYYMM"/>
  </r>
  <r>
    <x v="2"/>
    <s v="FINGLOBL_PE202606_REMAO004.TXT"/>
    <x v="82"/>
    <x v="8"/>
    <n v="23"/>
    <n v="184300"/>
    <n v="0.01"/>
    <s v="DQS_MAO04_FILE_000_B"/>
    <s v="RECORD COUNT by MBR_ID, DOS_THRU_DT, DX_CD Grain grouped by PAYER, SRC_FILE_NM, DOS_THRU_YYYYMM"/>
  </r>
  <r>
    <x v="2"/>
    <s v="FINGLOBL_PE202606_REMAO004.TXT"/>
    <x v="83"/>
    <x v="8"/>
    <n v="5"/>
    <n v="184300"/>
    <n v="0"/>
    <s v="DQS_MAO04_FILE_000_B"/>
    <s v="RECORD COUNT by MBR_ID, DOS_THRU_DT, DX_CD Grain grouped by PAYER, SRC_FILE_NM, DOS_THRU_YYYYMM"/>
  </r>
  <r>
    <x v="2"/>
    <s v="FINGLOBL_PE202606_REMAO004.TXT"/>
    <x v="85"/>
    <x v="8"/>
    <n v="2"/>
    <n v="184300"/>
    <n v="0"/>
    <s v="DQS_MAO04_FILE_000_B"/>
    <s v="RECORD COUNT by MBR_ID, DOS_THRU_DT, DX_CD Grain grouped by PAYER, SRC_FILE_NM, DOS_THRU_YYYYMM"/>
  </r>
  <r>
    <x v="2"/>
    <s v="FINGLOBL_PE202606_REMAO004.TXT"/>
    <x v="87"/>
    <x v="8"/>
    <n v="1"/>
    <n v="184300"/>
    <n v="0"/>
    <s v="DQS_MAO04_FILE_000_B"/>
    <s v="RECORD COUNT by MBR_ID, DOS_THRU_DT, DX_CD Grain grouped by PAYER, SRC_FILE_NM, DOS_THRU_YYYYMM"/>
  </r>
  <r>
    <x v="2"/>
    <s v="FINGLOBL_PE202606_REMAO004.TXT"/>
    <x v="88"/>
    <x v="8"/>
    <n v="6"/>
    <n v="184300"/>
    <n v="0"/>
    <s v="DQS_MAO04_FILE_000_B"/>
    <s v="RECORD COUNT by MBR_ID, DOS_THRU_DT, DX_CD Grain grouped by PAYER, SRC_FILE_NM, DOS_THRU_YYYYMM"/>
  </r>
  <r>
    <x v="2"/>
    <s v="FINGLOBL_PE202606_REMAO004.TXT"/>
    <x v="89"/>
    <x v="9"/>
    <n v="1"/>
    <n v="184300"/>
    <n v="0"/>
    <s v="DQS_MAO04_FILE_000_B"/>
    <s v="RECORD COUNT by MBR_ID, DOS_THRU_DT, DX_CD Grain grouped by PAYER, SRC_FILE_NM, DOS_THRU_YYYYMM"/>
  </r>
  <r>
    <x v="2"/>
    <s v="FINGLOBL_PE202606_REMAO004.TXT"/>
    <x v="97"/>
    <x v="9"/>
    <n v="14"/>
    <n v="184300"/>
    <n v="0.01"/>
    <s v="DQS_MAO04_FILE_000_B"/>
    <s v="RECORD COUNT by MBR_ID, DOS_THRU_DT, DX_CD Grain grouped by PAYER, SRC_FILE_NM, DOS_THRU_YYYYMM"/>
  </r>
  <r>
    <x v="2"/>
    <s v="FINGLOBL_PE202606_REMAO004.TXT"/>
    <x v="98"/>
    <x v="9"/>
    <n v="3"/>
    <n v="184300"/>
    <n v="0"/>
    <s v="DQS_MAO04_FILE_000_B"/>
    <s v="RECORD COUNT by MBR_ID, DOS_THRU_DT, DX_CD Grain grouped by PAYER, SRC_FILE_NM, DOS_THRU_YYYYMM"/>
  </r>
  <r>
    <x v="2"/>
    <s v="FINGLOBL_PE202606_REMAO004.TXT"/>
    <x v="99"/>
    <x v="9"/>
    <n v="8"/>
    <n v="184300"/>
    <n v="0"/>
    <s v="DQS_MAO04_FILE_000_B"/>
    <s v="RECORD COUNT by MBR_ID, DOS_THRU_DT, DX_CD Grain grouped by PAYER, SRC_FILE_NM, DOS_THRU_YYYYMM"/>
  </r>
  <r>
    <x v="2"/>
    <s v="FINGLOBL_PE202606_REMAO004.TXT"/>
    <x v="100"/>
    <x v="9"/>
    <n v="13"/>
    <n v="184300"/>
    <n v="0.01"/>
    <s v="DQS_MAO04_FILE_000_B"/>
    <s v="RECORD COUNT by MBR_ID, DOS_THRU_DT, DX_CD Grain grouped by PAYER, SRC_FILE_NM, DOS_THRU_YYYYMM"/>
  </r>
  <r>
    <x v="2"/>
    <s v="FINGLOBL_PE202606_REMAO004.TXT"/>
    <x v="102"/>
    <x v="9"/>
    <n v="23"/>
    <n v="184300"/>
    <n v="0.01"/>
    <s v="DQS_MAO04_FILE_000_B"/>
    <s v="RECORD COUNT by MBR_ID, DOS_THRU_DT, DX_CD Grain grouped by PAYER, SRC_FILE_NM, DOS_THRU_YYYYMM"/>
  </r>
  <r>
    <x v="2"/>
    <s v="FINGLOBL_PE202606_REMAO004.TXT"/>
    <x v="103"/>
    <x v="9"/>
    <n v="31"/>
    <n v="184300"/>
    <n v="0.02"/>
    <s v="DQS_MAO04_FILE_000_B"/>
    <s v="RECORD COUNT by MBR_ID, DOS_THRU_DT, DX_CD Grain grouped by PAYER, SRC_FILE_NM, DOS_THRU_YYYYMM"/>
  </r>
  <r>
    <x v="2"/>
    <s v="FINGLOBL_PE202606_REMAO004.TXT"/>
    <x v="105"/>
    <x v="9"/>
    <n v="137"/>
    <n v="184300"/>
    <n v="7.0000000000000007E-2"/>
    <s v="DQS_MAO04_FILE_000_B"/>
    <s v="RECORD COUNT by MBR_ID, DOS_THRU_DT, DX_CD Grain grouped by PAYER, SRC_FILE_NM, DOS_THRU_YYYYMM"/>
  </r>
  <r>
    <x v="2"/>
    <s v="FINGLOBL_PE202606_REMAO004.TXT"/>
    <x v="106"/>
    <x v="9"/>
    <n v="272"/>
    <n v="184300"/>
    <n v="0.15"/>
    <s v="DQS_MAO04_FILE_000_B"/>
    <s v="RECORD COUNT by MBR_ID, DOS_THRU_DT, DX_CD Grain grouped by PAYER, SRC_FILE_NM, DOS_THRU_YYYYMM"/>
  </r>
  <r>
    <x v="2"/>
    <s v="FINGLOBL_PE202606_REMAO004.TXT"/>
    <x v="107"/>
    <x v="9"/>
    <n v="284"/>
    <n v="184300"/>
    <n v="0.15"/>
    <s v="DQS_MAO04_FILE_000_B"/>
    <s v="RECORD COUNT by MBR_ID, DOS_THRU_DT, DX_CD Grain grouped by PAYER, SRC_FILE_NM, DOS_THRU_YYYYMM"/>
  </r>
  <r>
    <x v="2"/>
    <s v="FINGLOBL_PE202606_REMAO004.TXT"/>
    <x v="108"/>
    <x v="9"/>
    <n v="233"/>
    <n v="184300"/>
    <n v="0.13"/>
    <s v="DQS_MAO04_FILE_000_B"/>
    <s v="RECORD COUNT by MBR_ID, DOS_THRU_DT, DX_CD Grain grouped by PAYER, SRC_FILE_NM, DOS_THRU_YYYYMM"/>
  </r>
  <r>
    <x v="2"/>
    <s v="FINGLOBL_PE202606_REMAO004.TXT"/>
    <x v="109"/>
    <x v="9"/>
    <n v="234"/>
    <n v="184300"/>
    <n v="0.13"/>
    <s v="DQS_MAO04_FILE_000_B"/>
    <s v="RECORD COUNT by MBR_ID, DOS_THRU_DT, DX_CD Grain grouped by PAYER, SRC_FILE_NM, DOS_THRU_YYYYMM"/>
  </r>
  <r>
    <x v="2"/>
    <s v="FINGLOBL_PE202606_REMAO004.TXT"/>
    <x v="110"/>
    <x v="11"/>
    <n v="807"/>
    <n v="184300"/>
    <n v="0.44"/>
    <s v="DQS_MAO04_FILE_000_B"/>
    <s v="RECORD COUNT by MBR_ID, DOS_THRU_DT, DX_CD Grain grouped by PAYER, SRC_FILE_NM, DOS_THRU_YYYYMM"/>
  </r>
  <r>
    <x v="2"/>
    <s v="FINGLOBL_PE202606_REMAO004.TXT"/>
    <x v="111"/>
    <x v="11"/>
    <n v="560"/>
    <n v="184300"/>
    <n v="0.3"/>
    <s v="DQS_MAO04_FILE_000_B"/>
    <s v="RECORD COUNT by MBR_ID, DOS_THRU_DT, DX_CD Grain grouped by PAYER, SRC_FILE_NM, DOS_THRU_YYYYMM"/>
  </r>
  <r>
    <x v="2"/>
    <s v="FINGLOBL_PE202606_REMAO004.TXT"/>
    <x v="112"/>
    <x v="11"/>
    <n v="854"/>
    <n v="184300"/>
    <n v="0.46"/>
    <s v="DQS_MAO04_FILE_000_B"/>
    <s v="RECORD COUNT by MBR_ID, DOS_THRU_DT, DX_CD Grain grouped by PAYER, SRC_FILE_NM, DOS_THRU_YYYYMM"/>
  </r>
  <r>
    <x v="2"/>
    <s v="FINGLOBL_PE202606_REMAO004.TXT"/>
    <x v="113"/>
    <x v="11"/>
    <n v="1073"/>
    <n v="184300"/>
    <n v="0.57999999999999996"/>
    <s v="DQS_MAO04_FILE_000_B"/>
    <s v="RECORD COUNT by MBR_ID, DOS_THRU_DT, DX_CD Grain grouped by PAYER, SRC_FILE_NM, DOS_THRU_YYYYMM"/>
  </r>
  <r>
    <x v="2"/>
    <s v="FINGLOBL_PE202606_REMAO004.TXT"/>
    <x v="114"/>
    <x v="11"/>
    <n v="925"/>
    <n v="184300"/>
    <n v="0.5"/>
    <s v="DQS_MAO04_FILE_000_B"/>
    <s v="RECORD COUNT by MBR_ID, DOS_THRU_DT, DX_CD Grain grouped by PAYER, SRC_FILE_NM, DOS_THRU_YYYYMM"/>
  </r>
  <r>
    <x v="2"/>
    <s v="FINGLOBL_PE202606_REMAO004.TXT"/>
    <x v="115"/>
    <x v="11"/>
    <n v="1171"/>
    <n v="184300"/>
    <n v="0.64"/>
    <s v="DQS_MAO04_FILE_000_B"/>
    <s v="RECORD COUNT by MBR_ID, DOS_THRU_DT, DX_CD Grain grouped by PAYER, SRC_FILE_NM, DOS_THRU_YYYYMM"/>
  </r>
  <r>
    <x v="2"/>
    <s v="FINGLOBL_PE202606_REMAO004.TXT"/>
    <x v="116"/>
    <x v="11"/>
    <n v="1215"/>
    <n v="184300"/>
    <n v="0.66"/>
    <s v="DQS_MAO04_FILE_000_B"/>
    <s v="RECORD COUNT by MBR_ID, DOS_THRU_DT, DX_CD Grain grouped by PAYER, SRC_FILE_NM, DOS_THRU_YYYYMM"/>
  </r>
  <r>
    <x v="2"/>
    <s v="FINGLOBL_PE202606_REMAO004.TXT"/>
    <x v="117"/>
    <x v="11"/>
    <n v="1058"/>
    <n v="184300"/>
    <n v="0.56999999999999995"/>
    <s v="DQS_MAO04_FILE_000_B"/>
    <s v="RECORD COUNT by MBR_ID, DOS_THRU_DT, DX_CD Grain grouped by PAYER, SRC_FILE_NM, DOS_THRU_YYYYMM"/>
  </r>
  <r>
    <x v="2"/>
    <s v="FINGLOBL_PE202606_REMAO004.TXT"/>
    <x v="118"/>
    <x v="11"/>
    <n v="1322"/>
    <n v="184300"/>
    <n v="0.72"/>
    <s v="DQS_MAO04_FILE_000_B"/>
    <s v="RECORD COUNT by MBR_ID, DOS_THRU_DT, DX_CD Grain grouped by PAYER, SRC_FILE_NM, DOS_THRU_YYYYMM"/>
  </r>
  <r>
    <x v="2"/>
    <s v="FINGLOBL_PE202606_REMAO004.TXT"/>
    <x v="119"/>
    <x v="11"/>
    <n v="1640"/>
    <n v="184300"/>
    <n v="0.89"/>
    <s v="DQS_MAO04_FILE_000_B"/>
    <s v="RECORD COUNT by MBR_ID, DOS_THRU_DT, DX_CD Grain grouped by PAYER, SRC_FILE_NM, DOS_THRU_YYYYMM"/>
  </r>
  <r>
    <x v="2"/>
    <s v="FINGLOBL_PE202606_REMAO004.TXT"/>
    <x v="120"/>
    <x v="11"/>
    <n v="2028"/>
    <n v="184300"/>
    <n v="1.1000000000000001"/>
    <s v="DQS_MAO04_FILE_000_B"/>
    <s v="RECORD COUNT by MBR_ID, DOS_THRU_DT, DX_CD Grain grouped by PAYER, SRC_FILE_NM, DOS_THRU_YYYYMM"/>
  </r>
  <r>
    <x v="2"/>
    <s v="FINGLOBL_PE202606_REMAO004.TXT"/>
    <x v="121"/>
    <x v="11"/>
    <n v="2840"/>
    <n v="184300"/>
    <n v="1.54"/>
    <s v="DQS_MAO04_FILE_000_B"/>
    <s v="RECORD COUNT by MBR_ID, DOS_THRU_DT, DX_CD Grain grouped by PAYER, SRC_FILE_NM, DOS_THRU_YYYYMM"/>
  </r>
  <r>
    <x v="2"/>
    <s v="FINGLOBL_PE202606_REMAO004.TXT"/>
    <x v="122"/>
    <x v="12"/>
    <n v="5539"/>
    <n v="184300"/>
    <n v="3.01"/>
    <s v="DQS_MAO04_FILE_000_B"/>
    <s v="RECORD COUNT by MBR_ID, DOS_THRU_DT, DX_CD Grain grouped by PAYER, SRC_FILE_NM, DOS_THRU_YYYYMM"/>
  </r>
  <r>
    <x v="2"/>
    <s v="FINGLOBL_PE202606_REMAO004.TXT"/>
    <x v="123"/>
    <x v="12"/>
    <n v="8222"/>
    <n v="184300"/>
    <n v="4.46"/>
    <s v="DQS_MAO04_FILE_000_B"/>
    <s v="RECORD COUNT by MBR_ID, DOS_THRU_DT, DX_CD Grain grouped by PAYER, SRC_FILE_NM, DOS_THRU_YYYYMM"/>
  </r>
  <r>
    <x v="2"/>
    <s v="FINGLOBL_PE202606_REMAO004.TXT"/>
    <x v="124"/>
    <x v="12"/>
    <n v="85458"/>
    <n v="184300"/>
    <n v="46.37"/>
    <s v="DQS_MAO04_FILE_000_B"/>
    <s v="RECORD COUNT by MBR_ID, DOS_THRU_DT, DX_CD Grain grouped by PAYER, SRC_FILE_NM, DOS_THRU_YYYYMM"/>
  </r>
  <r>
    <x v="2"/>
    <s v="FINGLOBL_PE202606_REMAO004.TXT"/>
    <x v="125"/>
    <x v="12"/>
    <n v="68286"/>
    <n v="184300"/>
    <n v="37.049999999999997"/>
    <s v="DQS_MAO04_FILE_000_B"/>
    <s v="RECORD COUNT by MBR_ID, DOS_THRU_DT, DX_CD Grain grouped by PAYER, SRC_FILE_NM, DOS_THRU_YYYYMM"/>
  </r>
  <r>
    <x v="2"/>
    <s v="SGARMERC_PE202401_REMAO004.TXT"/>
    <x v="54"/>
    <x v="6"/>
    <n v="5"/>
    <n v="109190"/>
    <n v="0"/>
    <s v="DQS_MAO04_FILE_000_B"/>
    <s v="RECORD COUNT by MBR_ID, DOS_THRU_DT, DX_CD Grain grouped by PAYER, SRC_FILE_NM, DOS_THRU_YYYYMM"/>
  </r>
  <r>
    <x v="2"/>
    <s v="SGARMERC_PE202401_REMAO004.TXT"/>
    <x v="56"/>
    <x v="6"/>
    <n v="2"/>
    <n v="109190"/>
    <n v="0"/>
    <s v="DQS_MAO04_FILE_000_B"/>
    <s v="RECORD COUNT by MBR_ID, DOS_THRU_DT, DX_CD Grain grouped by PAYER, SRC_FILE_NM, DOS_THRU_YYYYMM"/>
  </r>
  <r>
    <x v="2"/>
    <s v="SGARMERC_PE202401_REMAO004.TXT"/>
    <x v="58"/>
    <x v="6"/>
    <n v="1"/>
    <n v="109190"/>
    <n v="0"/>
    <s v="DQS_MAO04_FILE_000_B"/>
    <s v="RECORD COUNT by MBR_ID, DOS_THRU_DT, DX_CD Grain grouped by PAYER, SRC_FILE_NM, DOS_THRU_YYYYMM"/>
  </r>
  <r>
    <x v="2"/>
    <s v="SGARMERC_PE202401_REMAO004.TXT"/>
    <x v="61"/>
    <x v="6"/>
    <n v="13"/>
    <n v="109190"/>
    <n v="0.01"/>
    <s v="DQS_MAO04_FILE_000_B"/>
    <s v="RECORD COUNT by MBR_ID, DOS_THRU_DT, DX_CD Grain grouped by PAYER, SRC_FILE_NM, DOS_THRU_YYYYMM"/>
  </r>
  <r>
    <x v="2"/>
    <s v="SGARMERC_PE202401_REMAO004.TXT"/>
    <x v="62"/>
    <x v="6"/>
    <n v="4"/>
    <n v="109190"/>
    <n v="0"/>
    <s v="DQS_MAO04_FILE_000_B"/>
    <s v="RECORD COUNT by MBR_ID, DOS_THRU_DT, DX_CD Grain grouped by PAYER, SRC_FILE_NM, DOS_THRU_YYYYMM"/>
  </r>
  <r>
    <x v="2"/>
    <s v="SGARMERC_PE202401_REMAO004.TXT"/>
    <x v="63"/>
    <x v="6"/>
    <n v="15"/>
    <n v="109190"/>
    <n v="0.01"/>
    <s v="DQS_MAO04_FILE_000_B"/>
    <s v="RECORD COUNT by MBR_ID, DOS_THRU_DT, DX_CD Grain grouped by PAYER, SRC_FILE_NM, DOS_THRU_YYYYMM"/>
  </r>
  <r>
    <x v="2"/>
    <s v="SGARMERC_PE202401_REMAO004.TXT"/>
    <x v="65"/>
    <x v="7"/>
    <n v="421"/>
    <n v="109190"/>
    <n v="0.39"/>
    <s v="DQS_MAO04_FILE_000_B"/>
    <s v="RECORD COUNT by MBR_ID, DOS_THRU_DT, DX_CD Grain grouped by PAYER, SRC_FILE_NM, DOS_THRU_YYYYMM"/>
  </r>
  <r>
    <x v="2"/>
    <s v="SGARMERC_PE202401_REMAO004.TXT"/>
    <x v="66"/>
    <x v="7"/>
    <n v="683"/>
    <n v="109190"/>
    <n v="0.63"/>
    <s v="DQS_MAO04_FILE_000_B"/>
    <s v="RECORD COUNT by MBR_ID, DOS_THRU_DT, DX_CD Grain grouped by PAYER, SRC_FILE_NM, DOS_THRU_YYYYMM"/>
  </r>
  <r>
    <x v="2"/>
    <s v="SGARMERC_PE202401_REMAO004.TXT"/>
    <x v="67"/>
    <x v="7"/>
    <n v="469"/>
    <n v="109190"/>
    <n v="0.43"/>
    <s v="DQS_MAO04_FILE_000_B"/>
    <s v="RECORD COUNT by MBR_ID, DOS_THRU_DT, DX_CD Grain grouped by PAYER, SRC_FILE_NM, DOS_THRU_YYYYMM"/>
  </r>
  <r>
    <x v="2"/>
    <s v="SGARMERC_PE202401_REMAO004.TXT"/>
    <x v="68"/>
    <x v="7"/>
    <n v="697"/>
    <n v="109190"/>
    <n v="0.64"/>
    <s v="DQS_MAO04_FILE_000_B"/>
    <s v="RECORD COUNT by MBR_ID, DOS_THRU_DT, DX_CD Grain grouped by PAYER, SRC_FILE_NM, DOS_THRU_YYYYMM"/>
  </r>
  <r>
    <x v="2"/>
    <s v="SGARMERC_PE202401_REMAO004.TXT"/>
    <x v="69"/>
    <x v="7"/>
    <n v="954"/>
    <n v="109190"/>
    <n v="0.87"/>
    <s v="DQS_MAO04_FILE_000_B"/>
    <s v="RECORD COUNT by MBR_ID, DOS_THRU_DT, DX_CD Grain grouped by PAYER, SRC_FILE_NM, DOS_THRU_YYYYMM"/>
  </r>
  <r>
    <x v="2"/>
    <s v="SGARMERC_PE202401_REMAO004.TXT"/>
    <x v="70"/>
    <x v="7"/>
    <n v="1056"/>
    <n v="109190"/>
    <n v="0.97"/>
    <s v="DQS_MAO04_FILE_000_B"/>
    <s v="RECORD COUNT by MBR_ID, DOS_THRU_DT, DX_CD Grain grouped by PAYER, SRC_FILE_NM, DOS_THRU_YYYYMM"/>
  </r>
  <r>
    <x v="2"/>
    <s v="SGARMERC_PE202401_REMAO004.TXT"/>
    <x v="71"/>
    <x v="7"/>
    <n v="642"/>
    <n v="109190"/>
    <n v="0.59"/>
    <s v="DQS_MAO04_FILE_000_B"/>
    <s v="RECORD COUNT by MBR_ID, DOS_THRU_DT, DX_CD Grain grouped by PAYER, SRC_FILE_NM, DOS_THRU_YYYYMM"/>
  </r>
  <r>
    <x v="2"/>
    <s v="SGARMERC_PE202401_REMAO004.TXT"/>
    <x v="72"/>
    <x v="7"/>
    <n v="173"/>
    <n v="109190"/>
    <n v="0.16"/>
    <s v="DQS_MAO04_FILE_000_B"/>
    <s v="RECORD COUNT by MBR_ID, DOS_THRU_DT, DX_CD Grain grouped by PAYER, SRC_FILE_NM, DOS_THRU_YYYYMM"/>
  </r>
  <r>
    <x v="2"/>
    <s v="SGARMERC_PE202401_REMAO004.TXT"/>
    <x v="73"/>
    <x v="7"/>
    <n v="220"/>
    <n v="109190"/>
    <n v="0.2"/>
    <s v="DQS_MAO04_FILE_000_B"/>
    <s v="RECORD COUNT by MBR_ID, DOS_THRU_DT, DX_CD Grain grouped by PAYER, SRC_FILE_NM, DOS_THRU_YYYYMM"/>
  </r>
  <r>
    <x v="2"/>
    <s v="SGARMERC_PE202401_REMAO004.TXT"/>
    <x v="74"/>
    <x v="7"/>
    <n v="1124"/>
    <n v="109190"/>
    <n v="1.03"/>
    <s v="DQS_MAO04_FILE_000_B"/>
    <s v="RECORD COUNT by MBR_ID, DOS_THRU_DT, DX_CD Grain grouped by PAYER, SRC_FILE_NM, DOS_THRU_YYYYMM"/>
  </r>
  <r>
    <x v="2"/>
    <s v="SGARMERC_PE202401_REMAO004.TXT"/>
    <x v="75"/>
    <x v="7"/>
    <n v="956"/>
    <n v="109190"/>
    <n v="0.88"/>
    <s v="DQS_MAO04_FILE_000_B"/>
    <s v="RECORD COUNT by MBR_ID, DOS_THRU_DT, DX_CD Grain grouped by PAYER, SRC_FILE_NM, DOS_THRU_YYYYMM"/>
  </r>
  <r>
    <x v="2"/>
    <s v="SGARMERC_PE202401_REMAO004.TXT"/>
    <x v="76"/>
    <x v="7"/>
    <n v="299"/>
    <n v="109190"/>
    <n v="0.27"/>
    <s v="DQS_MAO04_FILE_000_B"/>
    <s v="RECORD COUNT by MBR_ID, DOS_THRU_DT, DX_CD Grain grouped by PAYER, SRC_FILE_NM, DOS_THRU_YYYYMM"/>
  </r>
  <r>
    <x v="2"/>
    <s v="SGARMERC_PE202401_REMAO004.TXT"/>
    <x v="77"/>
    <x v="8"/>
    <n v="545"/>
    <n v="109190"/>
    <n v="0.5"/>
    <s v="DQS_MAO04_FILE_000_B"/>
    <s v="RECORD COUNT by MBR_ID, DOS_THRU_DT, DX_CD Grain grouped by PAYER, SRC_FILE_NM, DOS_THRU_YYYYMM"/>
  </r>
  <r>
    <x v="2"/>
    <s v="SGARMERC_PE202401_REMAO004.TXT"/>
    <x v="78"/>
    <x v="8"/>
    <n v="1480"/>
    <n v="109190"/>
    <n v="1.36"/>
    <s v="DQS_MAO04_FILE_000_B"/>
    <s v="RECORD COUNT by MBR_ID, DOS_THRU_DT, DX_CD Grain grouped by PAYER, SRC_FILE_NM, DOS_THRU_YYYYMM"/>
  </r>
  <r>
    <x v="2"/>
    <s v="SGARMERC_PE202401_REMAO004.TXT"/>
    <x v="79"/>
    <x v="8"/>
    <n v="2452"/>
    <n v="109190"/>
    <n v="2.25"/>
    <s v="DQS_MAO04_FILE_000_B"/>
    <s v="RECORD COUNT by MBR_ID, DOS_THRU_DT, DX_CD Grain grouped by PAYER, SRC_FILE_NM, DOS_THRU_YYYYMM"/>
  </r>
  <r>
    <x v="2"/>
    <s v="SGARMERC_PE202401_REMAO004.TXT"/>
    <x v="80"/>
    <x v="8"/>
    <n v="1792"/>
    <n v="109190"/>
    <n v="1.64"/>
    <s v="DQS_MAO04_FILE_000_B"/>
    <s v="RECORD COUNT by MBR_ID, DOS_THRU_DT, DX_CD Grain grouped by PAYER, SRC_FILE_NM, DOS_THRU_YYYYMM"/>
  </r>
  <r>
    <x v="2"/>
    <s v="SGARMERC_PE202401_REMAO004.TXT"/>
    <x v="81"/>
    <x v="8"/>
    <n v="922"/>
    <n v="109190"/>
    <n v="0.84"/>
    <s v="DQS_MAO04_FILE_000_B"/>
    <s v="RECORD COUNT by MBR_ID, DOS_THRU_DT, DX_CD Grain grouped by PAYER, SRC_FILE_NM, DOS_THRU_YYYYMM"/>
  </r>
  <r>
    <x v="2"/>
    <s v="SGARMERC_PE202401_REMAO004.TXT"/>
    <x v="82"/>
    <x v="8"/>
    <n v="1298"/>
    <n v="109190"/>
    <n v="1.19"/>
    <s v="DQS_MAO04_FILE_000_B"/>
    <s v="RECORD COUNT by MBR_ID, DOS_THRU_DT, DX_CD Grain grouped by PAYER, SRC_FILE_NM, DOS_THRU_YYYYMM"/>
  </r>
  <r>
    <x v="2"/>
    <s v="SGARMERC_PE202401_REMAO004.TXT"/>
    <x v="83"/>
    <x v="8"/>
    <n v="2112"/>
    <n v="109190"/>
    <n v="1.93"/>
    <s v="DQS_MAO04_FILE_000_B"/>
    <s v="RECORD COUNT by MBR_ID, DOS_THRU_DT, DX_CD Grain grouped by PAYER, SRC_FILE_NM, DOS_THRU_YYYYMM"/>
  </r>
  <r>
    <x v="2"/>
    <s v="SGARMERC_PE202401_REMAO004.TXT"/>
    <x v="84"/>
    <x v="8"/>
    <n v="3805"/>
    <n v="109190"/>
    <n v="3.48"/>
    <s v="DQS_MAO04_FILE_000_B"/>
    <s v="RECORD COUNT by MBR_ID, DOS_THRU_DT, DX_CD Grain grouped by PAYER, SRC_FILE_NM, DOS_THRU_YYYYMM"/>
  </r>
  <r>
    <x v="2"/>
    <s v="SGARMERC_PE202401_REMAO004.TXT"/>
    <x v="85"/>
    <x v="8"/>
    <n v="6060"/>
    <n v="109190"/>
    <n v="5.55"/>
    <s v="DQS_MAO04_FILE_000_B"/>
    <s v="RECORD COUNT by MBR_ID, DOS_THRU_DT, DX_CD Grain grouped by PAYER, SRC_FILE_NM, DOS_THRU_YYYYMM"/>
  </r>
  <r>
    <x v="2"/>
    <s v="SGARMERC_PE202401_REMAO004.TXT"/>
    <x v="86"/>
    <x v="8"/>
    <n v="46428"/>
    <n v="109190"/>
    <n v="42.52"/>
    <s v="DQS_MAO04_FILE_000_B"/>
    <s v="RECORD COUNT by MBR_ID, DOS_THRU_DT, DX_CD Grain grouped by PAYER, SRC_FILE_NM, DOS_THRU_YYYYMM"/>
  </r>
  <r>
    <x v="2"/>
    <s v="SGARMERC_PE202401_REMAO004.TXT"/>
    <x v="87"/>
    <x v="8"/>
    <n v="34562"/>
    <n v="109190"/>
    <n v="31.65"/>
    <s v="DQS_MAO04_FILE_000_B"/>
    <s v="RECORD COUNT by MBR_ID, DOS_THRU_DT, DX_CD Grain grouped by PAYER, SRC_FILE_NM, DOS_THRU_YYYYMM"/>
  </r>
  <r>
    <x v="2"/>
    <s v="SGARMERC_PE202402_REMAO004.TXT"/>
    <x v="32"/>
    <x v="4"/>
    <n v="4"/>
    <n v="113056"/>
    <n v="0"/>
    <s v="DQS_MAO04_FILE_000_B"/>
    <s v="RECORD COUNT by MBR_ID, DOS_THRU_DT, DX_CD Grain grouped by PAYER, SRC_FILE_NM, DOS_THRU_YYYYMM"/>
  </r>
  <r>
    <x v="2"/>
    <s v="SGARMERC_PE202402_REMAO004.TXT"/>
    <x v="46"/>
    <x v="5"/>
    <n v="2"/>
    <n v="113056"/>
    <n v="0"/>
    <s v="DQS_MAO04_FILE_000_B"/>
    <s v="RECORD COUNT by MBR_ID, DOS_THRU_DT, DX_CD Grain grouped by PAYER, SRC_FILE_NM, DOS_THRU_YYYYMM"/>
  </r>
  <r>
    <x v="2"/>
    <s v="SGARMERC_PE202402_REMAO004.TXT"/>
    <x v="54"/>
    <x v="6"/>
    <n v="5"/>
    <n v="113056"/>
    <n v="0"/>
    <s v="DQS_MAO04_FILE_000_B"/>
    <s v="RECORD COUNT by MBR_ID, DOS_THRU_DT, DX_CD Grain grouped by PAYER, SRC_FILE_NM, DOS_THRU_YYYYMM"/>
  </r>
  <r>
    <x v="2"/>
    <s v="SGARMERC_PE202402_REMAO004.TXT"/>
    <x v="56"/>
    <x v="6"/>
    <n v="1"/>
    <n v="113056"/>
    <n v="0"/>
    <s v="DQS_MAO04_FILE_000_B"/>
    <s v="RECORD COUNT by MBR_ID, DOS_THRU_DT, DX_CD Grain grouped by PAYER, SRC_FILE_NM, DOS_THRU_YYYYMM"/>
  </r>
  <r>
    <x v="2"/>
    <s v="SGARMERC_PE202402_REMAO004.TXT"/>
    <x v="61"/>
    <x v="6"/>
    <n v="16"/>
    <n v="113056"/>
    <n v="0.01"/>
    <s v="DQS_MAO04_FILE_000_B"/>
    <s v="RECORD COUNT by MBR_ID, DOS_THRU_DT, DX_CD Grain grouped by PAYER, SRC_FILE_NM, DOS_THRU_YYYYMM"/>
  </r>
  <r>
    <x v="2"/>
    <s v="SGARMERC_PE202402_REMAO004.TXT"/>
    <x v="63"/>
    <x v="6"/>
    <n v="40"/>
    <n v="113056"/>
    <n v="0.04"/>
    <s v="DQS_MAO04_FILE_000_B"/>
    <s v="RECORD COUNT by MBR_ID, DOS_THRU_DT, DX_CD Grain grouped by PAYER, SRC_FILE_NM, DOS_THRU_YYYYMM"/>
  </r>
  <r>
    <x v="2"/>
    <s v="SGARMERC_PE202402_REMAO004.TXT"/>
    <x v="64"/>
    <x v="6"/>
    <n v="27"/>
    <n v="113056"/>
    <n v="0.02"/>
    <s v="DQS_MAO04_FILE_000_B"/>
    <s v="RECORD COUNT by MBR_ID, DOS_THRU_DT, DX_CD Grain grouped by PAYER, SRC_FILE_NM, DOS_THRU_YYYYMM"/>
  </r>
  <r>
    <x v="2"/>
    <s v="SGARMERC_PE202402_REMAO004.TXT"/>
    <x v="65"/>
    <x v="7"/>
    <n v="81"/>
    <n v="113056"/>
    <n v="7.0000000000000007E-2"/>
    <s v="DQS_MAO04_FILE_000_B"/>
    <s v="RECORD COUNT by MBR_ID, DOS_THRU_DT, DX_CD Grain grouped by PAYER, SRC_FILE_NM, DOS_THRU_YYYYMM"/>
  </r>
  <r>
    <x v="2"/>
    <s v="SGARMERC_PE202402_REMAO004.TXT"/>
    <x v="66"/>
    <x v="7"/>
    <n v="166"/>
    <n v="113056"/>
    <n v="0.15"/>
    <s v="DQS_MAO04_FILE_000_B"/>
    <s v="RECORD COUNT by MBR_ID, DOS_THRU_DT, DX_CD Grain grouped by PAYER, SRC_FILE_NM, DOS_THRU_YYYYMM"/>
  </r>
  <r>
    <x v="2"/>
    <s v="SGARMERC_PE202402_REMAO004.TXT"/>
    <x v="67"/>
    <x v="7"/>
    <n v="258"/>
    <n v="113056"/>
    <n v="0.23"/>
    <s v="DQS_MAO04_FILE_000_B"/>
    <s v="RECORD COUNT by MBR_ID, DOS_THRU_DT, DX_CD Grain grouped by PAYER, SRC_FILE_NM, DOS_THRU_YYYYMM"/>
  </r>
  <r>
    <x v="2"/>
    <s v="SGARMERC_PE202402_REMAO004.TXT"/>
    <x v="68"/>
    <x v="7"/>
    <n v="97"/>
    <n v="113056"/>
    <n v="0.09"/>
    <s v="DQS_MAO04_FILE_000_B"/>
    <s v="RECORD COUNT by MBR_ID, DOS_THRU_DT, DX_CD Grain grouped by PAYER, SRC_FILE_NM, DOS_THRU_YYYYMM"/>
  </r>
  <r>
    <x v="2"/>
    <s v="SGARMERC_PE202402_REMAO004.TXT"/>
    <x v="69"/>
    <x v="7"/>
    <n v="123"/>
    <n v="113056"/>
    <n v="0.11"/>
    <s v="DQS_MAO04_FILE_000_B"/>
    <s v="RECORD COUNT by MBR_ID, DOS_THRU_DT, DX_CD Grain grouped by PAYER, SRC_FILE_NM, DOS_THRU_YYYYMM"/>
  </r>
  <r>
    <x v="2"/>
    <s v="SGARMERC_PE202402_REMAO004.TXT"/>
    <x v="70"/>
    <x v="7"/>
    <n v="116"/>
    <n v="113056"/>
    <n v="0.1"/>
    <s v="DQS_MAO04_FILE_000_B"/>
    <s v="RECORD COUNT by MBR_ID, DOS_THRU_DT, DX_CD Grain grouped by PAYER, SRC_FILE_NM, DOS_THRU_YYYYMM"/>
  </r>
  <r>
    <x v="2"/>
    <s v="SGARMERC_PE202402_REMAO004.TXT"/>
    <x v="71"/>
    <x v="7"/>
    <n v="72"/>
    <n v="113056"/>
    <n v="0.06"/>
    <s v="DQS_MAO04_FILE_000_B"/>
    <s v="RECORD COUNT by MBR_ID, DOS_THRU_DT, DX_CD Grain grouped by PAYER, SRC_FILE_NM, DOS_THRU_YYYYMM"/>
  </r>
  <r>
    <x v="2"/>
    <s v="SGARMERC_PE202402_REMAO004.TXT"/>
    <x v="72"/>
    <x v="7"/>
    <n v="151"/>
    <n v="113056"/>
    <n v="0.13"/>
    <s v="DQS_MAO04_FILE_000_B"/>
    <s v="RECORD COUNT by MBR_ID, DOS_THRU_DT, DX_CD Grain grouped by PAYER, SRC_FILE_NM, DOS_THRU_YYYYMM"/>
  </r>
  <r>
    <x v="2"/>
    <s v="SGARMERC_PE202402_REMAO004.TXT"/>
    <x v="73"/>
    <x v="7"/>
    <n v="146"/>
    <n v="113056"/>
    <n v="0.13"/>
    <s v="DQS_MAO04_FILE_000_B"/>
    <s v="RECORD COUNT by MBR_ID, DOS_THRU_DT, DX_CD Grain grouped by PAYER, SRC_FILE_NM, DOS_THRU_YYYYMM"/>
  </r>
  <r>
    <x v="2"/>
    <s v="SGARMERC_PE202402_REMAO004.TXT"/>
    <x v="74"/>
    <x v="7"/>
    <n v="251"/>
    <n v="113056"/>
    <n v="0.22"/>
    <s v="DQS_MAO04_FILE_000_B"/>
    <s v="RECORD COUNT by MBR_ID, DOS_THRU_DT, DX_CD Grain grouped by PAYER, SRC_FILE_NM, DOS_THRU_YYYYMM"/>
  </r>
  <r>
    <x v="2"/>
    <s v="SGARMERC_PE202402_REMAO004.TXT"/>
    <x v="75"/>
    <x v="7"/>
    <n v="241"/>
    <n v="113056"/>
    <n v="0.21"/>
    <s v="DQS_MAO04_FILE_000_B"/>
    <s v="RECORD COUNT by MBR_ID, DOS_THRU_DT, DX_CD Grain grouped by PAYER, SRC_FILE_NM, DOS_THRU_YYYYMM"/>
  </r>
  <r>
    <x v="2"/>
    <s v="SGARMERC_PE202402_REMAO004.TXT"/>
    <x v="76"/>
    <x v="7"/>
    <n v="243"/>
    <n v="113056"/>
    <n v="0.21"/>
    <s v="DQS_MAO04_FILE_000_B"/>
    <s v="RECORD COUNT by MBR_ID, DOS_THRU_DT, DX_CD Grain grouped by PAYER, SRC_FILE_NM, DOS_THRU_YYYYMM"/>
  </r>
  <r>
    <x v="2"/>
    <s v="SGARMERC_PE202402_REMAO004.TXT"/>
    <x v="77"/>
    <x v="8"/>
    <n v="1582"/>
    <n v="113056"/>
    <n v="1.4"/>
    <s v="DQS_MAO04_FILE_000_B"/>
    <s v="RECORD COUNT by MBR_ID, DOS_THRU_DT, DX_CD Grain grouped by PAYER, SRC_FILE_NM, DOS_THRU_YYYYMM"/>
  </r>
  <r>
    <x v="2"/>
    <s v="SGARMERC_PE202402_REMAO004.TXT"/>
    <x v="78"/>
    <x v="8"/>
    <n v="1595"/>
    <n v="113056"/>
    <n v="1.41"/>
    <s v="DQS_MAO04_FILE_000_B"/>
    <s v="RECORD COUNT by MBR_ID, DOS_THRU_DT, DX_CD Grain grouped by PAYER, SRC_FILE_NM, DOS_THRU_YYYYMM"/>
  </r>
  <r>
    <x v="2"/>
    <s v="SGARMERC_PE202402_REMAO004.TXT"/>
    <x v="79"/>
    <x v="8"/>
    <n v="1939"/>
    <n v="113056"/>
    <n v="1.72"/>
    <s v="DQS_MAO04_FILE_000_B"/>
    <s v="RECORD COUNT by MBR_ID, DOS_THRU_DT, DX_CD Grain grouped by PAYER, SRC_FILE_NM, DOS_THRU_YYYYMM"/>
  </r>
  <r>
    <x v="2"/>
    <s v="SGARMERC_PE202402_REMAO004.TXT"/>
    <x v="80"/>
    <x v="8"/>
    <n v="1770"/>
    <n v="113056"/>
    <n v="1.57"/>
    <s v="DQS_MAO04_FILE_000_B"/>
    <s v="RECORD COUNT by MBR_ID, DOS_THRU_DT, DX_CD Grain grouped by PAYER, SRC_FILE_NM, DOS_THRU_YYYYMM"/>
  </r>
  <r>
    <x v="2"/>
    <s v="SGARMERC_PE202402_REMAO004.TXT"/>
    <x v="81"/>
    <x v="8"/>
    <n v="2144"/>
    <n v="113056"/>
    <n v="1.9"/>
    <s v="DQS_MAO04_FILE_000_B"/>
    <s v="RECORD COUNT by MBR_ID, DOS_THRU_DT, DX_CD Grain grouped by PAYER, SRC_FILE_NM, DOS_THRU_YYYYMM"/>
  </r>
  <r>
    <x v="2"/>
    <s v="SGARMERC_PE202402_REMAO004.TXT"/>
    <x v="82"/>
    <x v="8"/>
    <n v="2019"/>
    <n v="113056"/>
    <n v="1.79"/>
    <s v="DQS_MAO04_FILE_000_B"/>
    <s v="RECORD COUNT by MBR_ID, DOS_THRU_DT, DX_CD Grain grouped by PAYER, SRC_FILE_NM, DOS_THRU_YYYYMM"/>
  </r>
  <r>
    <x v="2"/>
    <s v="SGARMERC_PE202402_REMAO004.TXT"/>
    <x v="83"/>
    <x v="8"/>
    <n v="2415"/>
    <n v="113056"/>
    <n v="2.14"/>
    <s v="DQS_MAO04_FILE_000_B"/>
    <s v="RECORD COUNT by MBR_ID, DOS_THRU_DT, DX_CD Grain grouped by PAYER, SRC_FILE_NM, DOS_THRU_YYYYMM"/>
  </r>
  <r>
    <x v="2"/>
    <s v="SGARMERC_PE202402_REMAO004.TXT"/>
    <x v="84"/>
    <x v="8"/>
    <n v="2937"/>
    <n v="113056"/>
    <n v="2.6"/>
    <s v="DQS_MAO04_FILE_000_B"/>
    <s v="RECORD COUNT by MBR_ID, DOS_THRU_DT, DX_CD Grain grouped by PAYER, SRC_FILE_NM, DOS_THRU_YYYYMM"/>
  </r>
  <r>
    <x v="2"/>
    <s v="SGARMERC_PE202402_REMAO004.TXT"/>
    <x v="85"/>
    <x v="8"/>
    <n v="3298"/>
    <n v="113056"/>
    <n v="2.92"/>
    <s v="DQS_MAO04_FILE_000_B"/>
    <s v="RECORD COUNT by MBR_ID, DOS_THRU_DT, DX_CD Grain grouped by PAYER, SRC_FILE_NM, DOS_THRU_YYYYMM"/>
  </r>
  <r>
    <x v="2"/>
    <s v="SGARMERC_PE202402_REMAO004.TXT"/>
    <x v="86"/>
    <x v="8"/>
    <n v="7726"/>
    <n v="113056"/>
    <n v="6.83"/>
    <s v="DQS_MAO04_FILE_000_B"/>
    <s v="RECORD COUNT by MBR_ID, DOS_THRU_DT, DX_CD Grain grouped by PAYER, SRC_FILE_NM, DOS_THRU_YYYYMM"/>
  </r>
  <r>
    <x v="2"/>
    <s v="SGARMERC_PE202402_REMAO004.TXT"/>
    <x v="87"/>
    <x v="8"/>
    <n v="43093"/>
    <n v="113056"/>
    <n v="38.119999999999997"/>
    <s v="DQS_MAO04_FILE_000_B"/>
    <s v="RECORD COUNT by MBR_ID, DOS_THRU_DT, DX_CD Grain grouped by PAYER, SRC_FILE_NM, DOS_THRU_YYYYMM"/>
  </r>
  <r>
    <x v="2"/>
    <s v="SGARMERC_PE202402_REMAO004.TXT"/>
    <x v="88"/>
    <x v="8"/>
    <n v="40498"/>
    <n v="113056"/>
    <n v="35.82"/>
    <s v="DQS_MAO04_FILE_000_B"/>
    <s v="RECORD COUNT by MBR_ID, DOS_THRU_DT, DX_CD Grain grouped by PAYER, SRC_FILE_NM, DOS_THRU_YYYYMM"/>
  </r>
  <r>
    <x v="2"/>
    <s v="SGARMERC_PE202403_REMAO004.TXT"/>
    <x v="23"/>
    <x v="3"/>
    <n v="6"/>
    <n v="89030"/>
    <n v="0.01"/>
    <s v="DQS_MAO04_FILE_000_B"/>
    <s v="RECORD COUNT by MBR_ID, DOS_THRU_DT, DX_CD Grain grouped by PAYER, SRC_FILE_NM, DOS_THRU_YYYYMM"/>
  </r>
  <r>
    <x v="2"/>
    <s v="SGARMERC_PE202403_REMAO004.TXT"/>
    <x v="46"/>
    <x v="5"/>
    <n v="2"/>
    <n v="89030"/>
    <n v="0"/>
    <s v="DQS_MAO04_FILE_000_B"/>
    <s v="RECORD COUNT by MBR_ID, DOS_THRU_DT, DX_CD Grain grouped by PAYER, SRC_FILE_NM, DOS_THRU_YYYYMM"/>
  </r>
  <r>
    <x v="2"/>
    <s v="SGARMERC_PE202403_REMAO004.TXT"/>
    <x v="53"/>
    <x v="6"/>
    <n v="32"/>
    <n v="89030"/>
    <n v="0.04"/>
    <s v="DQS_MAO04_FILE_000_B"/>
    <s v="RECORD COUNT by MBR_ID, DOS_THRU_DT, DX_CD Grain grouped by PAYER, SRC_FILE_NM, DOS_THRU_YYYYMM"/>
  </r>
  <r>
    <x v="2"/>
    <s v="SGARMERC_PE202403_REMAO004.TXT"/>
    <x v="54"/>
    <x v="6"/>
    <n v="1"/>
    <n v="89030"/>
    <n v="0"/>
    <s v="DQS_MAO04_FILE_000_B"/>
    <s v="RECORD COUNT by MBR_ID, DOS_THRU_DT, DX_CD Grain grouped by PAYER, SRC_FILE_NM, DOS_THRU_YYYYMM"/>
  </r>
  <r>
    <x v="2"/>
    <s v="SGARMERC_PE202403_REMAO004.TXT"/>
    <x v="55"/>
    <x v="6"/>
    <n v="7"/>
    <n v="89030"/>
    <n v="0.01"/>
    <s v="DQS_MAO04_FILE_000_B"/>
    <s v="RECORD COUNT by MBR_ID, DOS_THRU_DT, DX_CD Grain grouped by PAYER, SRC_FILE_NM, DOS_THRU_YYYYMM"/>
  </r>
  <r>
    <x v="2"/>
    <s v="SGARMERC_PE202403_REMAO004.TXT"/>
    <x v="56"/>
    <x v="6"/>
    <n v="30"/>
    <n v="89030"/>
    <n v="0.03"/>
    <s v="DQS_MAO04_FILE_000_B"/>
    <s v="RECORD COUNT by MBR_ID, DOS_THRU_DT, DX_CD Grain grouped by PAYER, SRC_FILE_NM, DOS_THRU_YYYYMM"/>
  </r>
  <r>
    <x v="2"/>
    <s v="SGARMERC_PE202403_REMAO004.TXT"/>
    <x v="57"/>
    <x v="6"/>
    <n v="18"/>
    <n v="89030"/>
    <n v="0.02"/>
    <s v="DQS_MAO04_FILE_000_B"/>
    <s v="RECORD COUNT by MBR_ID, DOS_THRU_DT, DX_CD Grain grouped by PAYER, SRC_FILE_NM, DOS_THRU_YYYYMM"/>
  </r>
  <r>
    <x v="2"/>
    <s v="SGARMERC_PE202403_REMAO004.TXT"/>
    <x v="58"/>
    <x v="6"/>
    <n v="32"/>
    <n v="89030"/>
    <n v="0.04"/>
    <s v="DQS_MAO04_FILE_000_B"/>
    <s v="RECORD COUNT by MBR_ID, DOS_THRU_DT, DX_CD Grain grouped by PAYER, SRC_FILE_NM, DOS_THRU_YYYYMM"/>
  </r>
  <r>
    <x v="2"/>
    <s v="SGARMERC_PE202403_REMAO004.TXT"/>
    <x v="59"/>
    <x v="6"/>
    <n v="23"/>
    <n v="89030"/>
    <n v="0.03"/>
    <s v="DQS_MAO04_FILE_000_B"/>
    <s v="RECORD COUNT by MBR_ID, DOS_THRU_DT, DX_CD Grain grouped by PAYER, SRC_FILE_NM, DOS_THRU_YYYYMM"/>
  </r>
  <r>
    <x v="2"/>
    <s v="SGARMERC_PE202403_REMAO004.TXT"/>
    <x v="60"/>
    <x v="6"/>
    <n v="4"/>
    <n v="89030"/>
    <n v="0"/>
    <s v="DQS_MAO04_FILE_000_B"/>
    <s v="RECORD COUNT by MBR_ID, DOS_THRU_DT, DX_CD Grain grouped by PAYER, SRC_FILE_NM, DOS_THRU_YYYYMM"/>
  </r>
  <r>
    <x v="2"/>
    <s v="SGARMERC_PE202403_REMAO004.TXT"/>
    <x v="61"/>
    <x v="6"/>
    <n v="10"/>
    <n v="89030"/>
    <n v="0.01"/>
    <s v="DQS_MAO04_FILE_000_B"/>
    <s v="RECORD COUNT by MBR_ID, DOS_THRU_DT, DX_CD Grain grouped by PAYER, SRC_FILE_NM, DOS_THRU_YYYYMM"/>
  </r>
  <r>
    <x v="2"/>
    <s v="SGARMERC_PE202403_REMAO004.TXT"/>
    <x v="62"/>
    <x v="6"/>
    <n v="20"/>
    <n v="89030"/>
    <n v="0.02"/>
    <s v="DQS_MAO04_FILE_000_B"/>
    <s v="RECORD COUNT by MBR_ID, DOS_THRU_DT, DX_CD Grain grouped by PAYER, SRC_FILE_NM, DOS_THRU_YYYYMM"/>
  </r>
  <r>
    <x v="2"/>
    <s v="SGARMERC_PE202403_REMAO004.TXT"/>
    <x v="63"/>
    <x v="6"/>
    <n v="1"/>
    <n v="89030"/>
    <n v="0"/>
    <s v="DQS_MAO04_FILE_000_B"/>
    <s v="RECORD COUNT by MBR_ID, DOS_THRU_DT, DX_CD Grain grouped by PAYER, SRC_FILE_NM, DOS_THRU_YYYYMM"/>
  </r>
  <r>
    <x v="2"/>
    <s v="SGARMERC_PE202403_REMAO004.TXT"/>
    <x v="65"/>
    <x v="7"/>
    <n v="120"/>
    <n v="89030"/>
    <n v="0.13"/>
    <s v="DQS_MAO04_FILE_000_B"/>
    <s v="RECORD COUNT by MBR_ID, DOS_THRU_DT, DX_CD Grain grouped by PAYER, SRC_FILE_NM, DOS_THRU_YYYYMM"/>
  </r>
  <r>
    <x v="2"/>
    <s v="SGARMERC_PE202403_REMAO004.TXT"/>
    <x v="66"/>
    <x v="7"/>
    <n v="45"/>
    <n v="89030"/>
    <n v="0.05"/>
    <s v="DQS_MAO04_FILE_000_B"/>
    <s v="RECORD COUNT by MBR_ID, DOS_THRU_DT, DX_CD Grain grouped by PAYER, SRC_FILE_NM, DOS_THRU_YYYYMM"/>
  </r>
  <r>
    <x v="2"/>
    <s v="SGARMERC_PE202403_REMAO004.TXT"/>
    <x v="67"/>
    <x v="7"/>
    <n v="162"/>
    <n v="89030"/>
    <n v="0.18"/>
    <s v="DQS_MAO04_FILE_000_B"/>
    <s v="RECORD COUNT by MBR_ID, DOS_THRU_DT, DX_CD Grain grouped by PAYER, SRC_FILE_NM, DOS_THRU_YYYYMM"/>
  </r>
  <r>
    <x v="2"/>
    <s v="SGARMERC_PE202403_REMAO004.TXT"/>
    <x v="68"/>
    <x v="7"/>
    <n v="97"/>
    <n v="89030"/>
    <n v="0.11"/>
    <s v="DQS_MAO04_FILE_000_B"/>
    <s v="RECORD COUNT by MBR_ID, DOS_THRU_DT, DX_CD Grain grouped by PAYER, SRC_FILE_NM, DOS_THRU_YYYYMM"/>
  </r>
  <r>
    <x v="2"/>
    <s v="SGARMERC_PE202403_REMAO004.TXT"/>
    <x v="69"/>
    <x v="7"/>
    <n v="93"/>
    <n v="89030"/>
    <n v="0.1"/>
    <s v="DQS_MAO04_FILE_000_B"/>
    <s v="RECORD COUNT by MBR_ID, DOS_THRU_DT, DX_CD Grain grouped by PAYER, SRC_FILE_NM, DOS_THRU_YYYYMM"/>
  </r>
  <r>
    <x v="2"/>
    <s v="SGARMERC_PE202403_REMAO004.TXT"/>
    <x v="70"/>
    <x v="7"/>
    <n v="209"/>
    <n v="89030"/>
    <n v="0.23"/>
    <s v="DQS_MAO04_FILE_000_B"/>
    <s v="RECORD COUNT by MBR_ID, DOS_THRU_DT, DX_CD Grain grouped by PAYER, SRC_FILE_NM, DOS_THRU_YYYYMM"/>
  </r>
  <r>
    <x v="2"/>
    <s v="SGARMERC_PE202403_REMAO004.TXT"/>
    <x v="71"/>
    <x v="7"/>
    <n v="172"/>
    <n v="89030"/>
    <n v="0.19"/>
    <s v="DQS_MAO04_FILE_000_B"/>
    <s v="RECORD COUNT by MBR_ID, DOS_THRU_DT, DX_CD Grain grouped by PAYER, SRC_FILE_NM, DOS_THRU_YYYYMM"/>
  </r>
  <r>
    <x v="2"/>
    <s v="SGARMERC_PE202403_REMAO004.TXT"/>
    <x v="72"/>
    <x v="7"/>
    <n v="111"/>
    <n v="89030"/>
    <n v="0.12"/>
    <s v="DQS_MAO04_FILE_000_B"/>
    <s v="RECORD COUNT by MBR_ID, DOS_THRU_DT, DX_CD Grain grouped by PAYER, SRC_FILE_NM, DOS_THRU_YYYYMM"/>
  </r>
  <r>
    <x v="2"/>
    <s v="SGARMERC_PE202403_REMAO004.TXT"/>
    <x v="73"/>
    <x v="7"/>
    <n v="107"/>
    <n v="89030"/>
    <n v="0.12"/>
    <s v="DQS_MAO04_FILE_000_B"/>
    <s v="RECORD COUNT by MBR_ID, DOS_THRU_DT, DX_CD Grain grouped by PAYER, SRC_FILE_NM, DOS_THRU_YYYYMM"/>
  </r>
  <r>
    <x v="2"/>
    <s v="SGARMERC_PE202403_REMAO004.TXT"/>
    <x v="74"/>
    <x v="7"/>
    <n v="253"/>
    <n v="89030"/>
    <n v="0.28000000000000003"/>
    <s v="DQS_MAO04_FILE_000_B"/>
    <s v="RECORD COUNT by MBR_ID, DOS_THRU_DT, DX_CD Grain grouped by PAYER, SRC_FILE_NM, DOS_THRU_YYYYMM"/>
  </r>
  <r>
    <x v="2"/>
    <s v="SGARMERC_PE202403_REMAO004.TXT"/>
    <x v="75"/>
    <x v="7"/>
    <n v="233"/>
    <n v="89030"/>
    <n v="0.26"/>
    <s v="DQS_MAO04_FILE_000_B"/>
    <s v="RECORD COUNT by MBR_ID, DOS_THRU_DT, DX_CD Grain grouped by PAYER, SRC_FILE_NM, DOS_THRU_YYYYMM"/>
  </r>
  <r>
    <x v="2"/>
    <s v="SGARMERC_PE202403_REMAO004.TXT"/>
    <x v="76"/>
    <x v="7"/>
    <n v="374"/>
    <n v="89030"/>
    <n v="0.42"/>
    <s v="DQS_MAO04_FILE_000_B"/>
    <s v="RECORD COUNT by MBR_ID, DOS_THRU_DT, DX_CD Grain grouped by PAYER, SRC_FILE_NM, DOS_THRU_YYYYMM"/>
  </r>
  <r>
    <x v="2"/>
    <s v="SGARMERC_PE202403_REMAO004.TXT"/>
    <x v="77"/>
    <x v="8"/>
    <n v="600"/>
    <n v="89030"/>
    <n v="0.67"/>
    <s v="DQS_MAO04_FILE_000_B"/>
    <s v="RECORD COUNT by MBR_ID, DOS_THRU_DT, DX_CD Grain grouped by PAYER, SRC_FILE_NM, DOS_THRU_YYYYMM"/>
  </r>
  <r>
    <x v="2"/>
    <s v="SGARMERC_PE202403_REMAO004.TXT"/>
    <x v="78"/>
    <x v="8"/>
    <n v="639"/>
    <n v="89030"/>
    <n v="0.72"/>
    <s v="DQS_MAO04_FILE_000_B"/>
    <s v="RECORD COUNT by MBR_ID, DOS_THRU_DT, DX_CD Grain grouped by PAYER, SRC_FILE_NM, DOS_THRU_YYYYMM"/>
  </r>
  <r>
    <x v="2"/>
    <s v="SGARMERC_PE202403_REMAO004.TXT"/>
    <x v="79"/>
    <x v="8"/>
    <n v="789"/>
    <n v="89030"/>
    <n v="0.89"/>
    <s v="DQS_MAO04_FILE_000_B"/>
    <s v="RECORD COUNT by MBR_ID, DOS_THRU_DT, DX_CD Grain grouped by PAYER, SRC_FILE_NM, DOS_THRU_YYYYMM"/>
  </r>
  <r>
    <x v="2"/>
    <s v="SGARMERC_PE202403_REMAO004.TXT"/>
    <x v="80"/>
    <x v="8"/>
    <n v="714"/>
    <n v="89030"/>
    <n v="0.8"/>
    <s v="DQS_MAO04_FILE_000_B"/>
    <s v="RECORD COUNT by MBR_ID, DOS_THRU_DT, DX_CD Grain grouped by PAYER, SRC_FILE_NM, DOS_THRU_YYYYMM"/>
  </r>
  <r>
    <x v="2"/>
    <s v="SGARMERC_PE202403_REMAO004.TXT"/>
    <x v="81"/>
    <x v="8"/>
    <n v="866"/>
    <n v="89030"/>
    <n v="0.97"/>
    <s v="DQS_MAO04_FILE_000_B"/>
    <s v="RECORD COUNT by MBR_ID, DOS_THRU_DT, DX_CD Grain grouped by PAYER, SRC_FILE_NM, DOS_THRU_YYYYMM"/>
  </r>
  <r>
    <x v="2"/>
    <s v="SGARMERC_PE202403_REMAO004.TXT"/>
    <x v="82"/>
    <x v="8"/>
    <n v="1111"/>
    <n v="89030"/>
    <n v="1.25"/>
    <s v="DQS_MAO04_FILE_000_B"/>
    <s v="RECORD COUNT by MBR_ID, DOS_THRU_DT, DX_CD Grain grouped by PAYER, SRC_FILE_NM, DOS_THRU_YYYYMM"/>
  </r>
  <r>
    <x v="2"/>
    <s v="SGARMERC_PE202403_REMAO004.TXT"/>
    <x v="83"/>
    <x v="8"/>
    <n v="1363"/>
    <n v="89030"/>
    <n v="1.53"/>
    <s v="DQS_MAO04_FILE_000_B"/>
    <s v="RECORD COUNT by MBR_ID, DOS_THRU_DT, DX_CD Grain grouped by PAYER, SRC_FILE_NM, DOS_THRU_YYYYMM"/>
  </r>
  <r>
    <x v="2"/>
    <s v="SGARMERC_PE202403_REMAO004.TXT"/>
    <x v="84"/>
    <x v="8"/>
    <n v="1732"/>
    <n v="89030"/>
    <n v="1.95"/>
    <s v="DQS_MAO04_FILE_000_B"/>
    <s v="RECORD COUNT by MBR_ID, DOS_THRU_DT, DX_CD Grain grouped by PAYER, SRC_FILE_NM, DOS_THRU_YYYYMM"/>
  </r>
  <r>
    <x v="2"/>
    <s v="SGARMERC_PE202403_REMAO004.TXT"/>
    <x v="85"/>
    <x v="8"/>
    <n v="1639"/>
    <n v="89030"/>
    <n v="1.84"/>
    <s v="DQS_MAO04_FILE_000_B"/>
    <s v="RECORD COUNT by MBR_ID, DOS_THRU_DT, DX_CD Grain grouped by PAYER, SRC_FILE_NM, DOS_THRU_YYYYMM"/>
  </r>
  <r>
    <x v="2"/>
    <s v="SGARMERC_PE202403_REMAO004.TXT"/>
    <x v="86"/>
    <x v="8"/>
    <n v="3928"/>
    <n v="89030"/>
    <n v="4.41"/>
    <s v="DQS_MAO04_FILE_000_B"/>
    <s v="RECORD COUNT by MBR_ID, DOS_THRU_DT, DX_CD Grain grouped by PAYER, SRC_FILE_NM, DOS_THRU_YYYYMM"/>
  </r>
  <r>
    <x v="2"/>
    <s v="SGARMERC_PE202403_REMAO004.TXT"/>
    <x v="87"/>
    <x v="8"/>
    <n v="5140"/>
    <n v="89030"/>
    <n v="5.77"/>
    <s v="DQS_MAO04_FILE_000_B"/>
    <s v="RECORD COUNT by MBR_ID, DOS_THRU_DT, DX_CD Grain grouped by PAYER, SRC_FILE_NM, DOS_THRU_YYYYMM"/>
  </r>
  <r>
    <x v="2"/>
    <s v="SGARMERC_PE202403_REMAO004.TXT"/>
    <x v="88"/>
    <x v="8"/>
    <n v="37571"/>
    <n v="89030"/>
    <n v="42.2"/>
    <s v="DQS_MAO04_FILE_000_B"/>
    <s v="RECORD COUNT by MBR_ID, DOS_THRU_DT, DX_CD Grain grouped by PAYER, SRC_FILE_NM, DOS_THRU_YYYYMM"/>
  </r>
  <r>
    <x v="2"/>
    <s v="SGARMERC_PE202403_REMAO004.TXT"/>
    <x v="89"/>
    <x v="9"/>
    <n v="30776"/>
    <n v="89030"/>
    <n v="34.57"/>
    <s v="DQS_MAO04_FILE_000_B"/>
    <s v="RECORD COUNT by MBR_ID, DOS_THRU_DT, DX_CD Grain grouped by PAYER, SRC_FILE_NM, DOS_THRU_YYYYMM"/>
  </r>
  <r>
    <x v="2"/>
    <s v="SGARMERC_PE202404_REMAO004.TXT"/>
    <x v="30"/>
    <x v="4"/>
    <n v="10"/>
    <n v="120833"/>
    <n v="0.01"/>
    <s v="DQS_MAO04_FILE_000_B"/>
    <s v="RECORD COUNT by MBR_ID, DOS_THRU_DT, DX_CD Grain grouped by PAYER, SRC_FILE_NM, DOS_THRU_YYYYMM"/>
  </r>
  <r>
    <x v="2"/>
    <s v="SGARMERC_PE202404_REMAO004.TXT"/>
    <x v="32"/>
    <x v="4"/>
    <n v="4"/>
    <n v="120833"/>
    <n v="0"/>
    <s v="DQS_MAO04_FILE_000_B"/>
    <s v="RECORD COUNT by MBR_ID, DOS_THRU_DT, DX_CD Grain grouped by PAYER, SRC_FILE_NM, DOS_THRU_YYYYMM"/>
  </r>
  <r>
    <x v="2"/>
    <s v="SGARMERC_PE202404_REMAO004.TXT"/>
    <x v="44"/>
    <x v="5"/>
    <n v="3"/>
    <n v="120833"/>
    <n v="0"/>
    <s v="DQS_MAO04_FILE_000_B"/>
    <s v="RECORD COUNT by MBR_ID, DOS_THRU_DT, DX_CD Grain grouped by PAYER, SRC_FILE_NM, DOS_THRU_YYYYMM"/>
  </r>
  <r>
    <x v="2"/>
    <s v="SGARMERC_PE202404_REMAO004.TXT"/>
    <x v="45"/>
    <x v="5"/>
    <n v="31"/>
    <n v="120833"/>
    <n v="0.03"/>
    <s v="DQS_MAO04_FILE_000_B"/>
    <s v="RECORD COUNT by MBR_ID, DOS_THRU_DT, DX_CD Grain grouped by PAYER, SRC_FILE_NM, DOS_THRU_YYYYMM"/>
  </r>
  <r>
    <x v="2"/>
    <s v="SGARMERC_PE202404_REMAO004.TXT"/>
    <x v="53"/>
    <x v="6"/>
    <n v="21"/>
    <n v="120833"/>
    <n v="0.02"/>
    <s v="DQS_MAO04_FILE_000_B"/>
    <s v="RECORD COUNT by MBR_ID, DOS_THRU_DT, DX_CD Grain grouped by PAYER, SRC_FILE_NM, DOS_THRU_YYYYMM"/>
  </r>
  <r>
    <x v="2"/>
    <s v="SGARMERC_PE202404_REMAO004.TXT"/>
    <x v="54"/>
    <x v="6"/>
    <n v="10"/>
    <n v="120833"/>
    <n v="0.01"/>
    <s v="DQS_MAO04_FILE_000_B"/>
    <s v="RECORD COUNT by MBR_ID, DOS_THRU_DT, DX_CD Grain grouped by PAYER, SRC_FILE_NM, DOS_THRU_YYYYMM"/>
  </r>
  <r>
    <x v="2"/>
    <s v="SGARMERC_PE202404_REMAO004.TXT"/>
    <x v="55"/>
    <x v="6"/>
    <n v="16"/>
    <n v="120833"/>
    <n v="0.01"/>
    <s v="DQS_MAO04_FILE_000_B"/>
    <s v="RECORD COUNT by MBR_ID, DOS_THRU_DT, DX_CD Grain grouped by PAYER, SRC_FILE_NM, DOS_THRU_YYYYMM"/>
  </r>
  <r>
    <x v="2"/>
    <s v="SGARMERC_PE202404_REMAO004.TXT"/>
    <x v="57"/>
    <x v="6"/>
    <n v="26"/>
    <n v="120833"/>
    <n v="0.02"/>
    <s v="DQS_MAO04_FILE_000_B"/>
    <s v="RECORD COUNT by MBR_ID, DOS_THRU_DT, DX_CD Grain grouped by PAYER, SRC_FILE_NM, DOS_THRU_YYYYMM"/>
  </r>
  <r>
    <x v="2"/>
    <s v="SGARMERC_PE202404_REMAO004.TXT"/>
    <x v="58"/>
    <x v="6"/>
    <n v="9"/>
    <n v="120833"/>
    <n v="0.01"/>
    <s v="DQS_MAO04_FILE_000_B"/>
    <s v="RECORD COUNT by MBR_ID, DOS_THRU_DT, DX_CD Grain grouped by PAYER, SRC_FILE_NM, DOS_THRU_YYYYMM"/>
  </r>
  <r>
    <x v="2"/>
    <s v="SGARMERC_PE202404_REMAO004.TXT"/>
    <x v="59"/>
    <x v="6"/>
    <n v="42"/>
    <n v="120833"/>
    <n v="0.03"/>
    <s v="DQS_MAO04_FILE_000_B"/>
    <s v="RECORD COUNT by MBR_ID, DOS_THRU_DT, DX_CD Grain grouped by PAYER, SRC_FILE_NM, DOS_THRU_YYYYMM"/>
  </r>
  <r>
    <x v="2"/>
    <s v="SGARMERC_PE202404_REMAO004.TXT"/>
    <x v="60"/>
    <x v="6"/>
    <n v="9"/>
    <n v="120833"/>
    <n v="0.01"/>
    <s v="DQS_MAO04_FILE_000_B"/>
    <s v="RECORD COUNT by MBR_ID, DOS_THRU_DT, DX_CD Grain grouped by PAYER, SRC_FILE_NM, DOS_THRU_YYYYMM"/>
  </r>
  <r>
    <x v="2"/>
    <s v="SGARMERC_PE202404_REMAO004.TXT"/>
    <x v="61"/>
    <x v="6"/>
    <n v="23"/>
    <n v="120833"/>
    <n v="0.02"/>
    <s v="DQS_MAO04_FILE_000_B"/>
    <s v="RECORD COUNT by MBR_ID, DOS_THRU_DT, DX_CD Grain grouped by PAYER, SRC_FILE_NM, DOS_THRU_YYYYMM"/>
  </r>
  <r>
    <x v="2"/>
    <s v="SGARMERC_PE202404_REMAO004.TXT"/>
    <x v="62"/>
    <x v="6"/>
    <n v="8"/>
    <n v="120833"/>
    <n v="0.01"/>
    <s v="DQS_MAO04_FILE_000_B"/>
    <s v="RECORD COUNT by MBR_ID, DOS_THRU_DT, DX_CD Grain grouped by PAYER, SRC_FILE_NM, DOS_THRU_YYYYMM"/>
  </r>
  <r>
    <x v="2"/>
    <s v="SGARMERC_PE202404_REMAO004.TXT"/>
    <x v="63"/>
    <x v="6"/>
    <n v="15"/>
    <n v="120833"/>
    <n v="0.01"/>
    <s v="DQS_MAO04_FILE_000_B"/>
    <s v="RECORD COUNT by MBR_ID, DOS_THRU_DT, DX_CD Grain grouped by PAYER, SRC_FILE_NM, DOS_THRU_YYYYMM"/>
  </r>
  <r>
    <x v="2"/>
    <s v="SGARMERC_PE202404_REMAO004.TXT"/>
    <x v="64"/>
    <x v="6"/>
    <n v="32"/>
    <n v="120833"/>
    <n v="0.03"/>
    <s v="DQS_MAO04_FILE_000_B"/>
    <s v="RECORD COUNT by MBR_ID, DOS_THRU_DT, DX_CD Grain grouped by PAYER, SRC_FILE_NM, DOS_THRU_YYYYMM"/>
  </r>
  <r>
    <x v="2"/>
    <s v="SGARMERC_PE202404_REMAO004.TXT"/>
    <x v="65"/>
    <x v="7"/>
    <n v="35"/>
    <n v="120833"/>
    <n v="0.03"/>
    <s v="DQS_MAO04_FILE_000_B"/>
    <s v="RECORD COUNT by MBR_ID, DOS_THRU_DT, DX_CD Grain grouped by PAYER, SRC_FILE_NM, DOS_THRU_YYYYMM"/>
  </r>
  <r>
    <x v="2"/>
    <s v="SGARMERC_PE202404_REMAO004.TXT"/>
    <x v="66"/>
    <x v="7"/>
    <n v="73"/>
    <n v="120833"/>
    <n v="0.06"/>
    <s v="DQS_MAO04_FILE_000_B"/>
    <s v="RECORD COUNT by MBR_ID, DOS_THRU_DT, DX_CD Grain grouped by PAYER, SRC_FILE_NM, DOS_THRU_YYYYMM"/>
  </r>
  <r>
    <x v="2"/>
    <s v="SGARMERC_PE202404_REMAO004.TXT"/>
    <x v="67"/>
    <x v="7"/>
    <n v="41"/>
    <n v="120833"/>
    <n v="0.03"/>
    <s v="DQS_MAO04_FILE_000_B"/>
    <s v="RECORD COUNT by MBR_ID, DOS_THRU_DT, DX_CD Grain grouped by PAYER, SRC_FILE_NM, DOS_THRU_YYYYMM"/>
  </r>
  <r>
    <x v="2"/>
    <s v="SGARMERC_PE202404_REMAO004.TXT"/>
    <x v="68"/>
    <x v="7"/>
    <n v="129"/>
    <n v="120833"/>
    <n v="0.11"/>
    <s v="DQS_MAO04_FILE_000_B"/>
    <s v="RECORD COUNT by MBR_ID, DOS_THRU_DT, DX_CD Grain grouped by PAYER, SRC_FILE_NM, DOS_THRU_YYYYMM"/>
  </r>
  <r>
    <x v="2"/>
    <s v="SGARMERC_PE202404_REMAO004.TXT"/>
    <x v="69"/>
    <x v="7"/>
    <n v="56"/>
    <n v="120833"/>
    <n v="0.05"/>
    <s v="DQS_MAO04_FILE_000_B"/>
    <s v="RECORD COUNT by MBR_ID, DOS_THRU_DT, DX_CD Grain grouped by PAYER, SRC_FILE_NM, DOS_THRU_YYYYMM"/>
  </r>
  <r>
    <x v="2"/>
    <s v="SGARMERC_PE202404_REMAO004.TXT"/>
    <x v="70"/>
    <x v="7"/>
    <n v="98"/>
    <n v="120833"/>
    <n v="0.08"/>
    <s v="DQS_MAO04_FILE_000_B"/>
    <s v="RECORD COUNT by MBR_ID, DOS_THRU_DT, DX_CD Grain grouped by PAYER, SRC_FILE_NM, DOS_THRU_YYYYMM"/>
  </r>
  <r>
    <x v="2"/>
    <s v="SGARMERC_PE202404_REMAO004.TXT"/>
    <x v="71"/>
    <x v="7"/>
    <n v="71"/>
    <n v="120833"/>
    <n v="0.06"/>
    <s v="DQS_MAO04_FILE_000_B"/>
    <s v="RECORD COUNT by MBR_ID, DOS_THRU_DT, DX_CD Grain grouped by PAYER, SRC_FILE_NM, DOS_THRU_YYYYMM"/>
  </r>
  <r>
    <x v="2"/>
    <s v="SGARMERC_PE202404_REMAO004.TXT"/>
    <x v="72"/>
    <x v="7"/>
    <n v="92"/>
    <n v="120833"/>
    <n v="0.08"/>
    <s v="DQS_MAO04_FILE_000_B"/>
    <s v="RECORD COUNT by MBR_ID, DOS_THRU_DT, DX_CD Grain grouped by PAYER, SRC_FILE_NM, DOS_THRU_YYYYMM"/>
  </r>
  <r>
    <x v="2"/>
    <s v="SGARMERC_PE202404_REMAO004.TXT"/>
    <x v="73"/>
    <x v="7"/>
    <n v="92"/>
    <n v="120833"/>
    <n v="0.08"/>
    <s v="DQS_MAO04_FILE_000_B"/>
    <s v="RECORD COUNT by MBR_ID, DOS_THRU_DT, DX_CD Grain grouped by PAYER, SRC_FILE_NM, DOS_THRU_YYYYMM"/>
  </r>
  <r>
    <x v="2"/>
    <s v="SGARMERC_PE202404_REMAO004.TXT"/>
    <x v="74"/>
    <x v="7"/>
    <n v="172"/>
    <n v="120833"/>
    <n v="0.14000000000000001"/>
    <s v="DQS_MAO04_FILE_000_B"/>
    <s v="RECORD COUNT by MBR_ID, DOS_THRU_DT, DX_CD Grain grouped by PAYER, SRC_FILE_NM, DOS_THRU_YYYYMM"/>
  </r>
  <r>
    <x v="2"/>
    <s v="SGARMERC_PE202404_REMAO004.TXT"/>
    <x v="75"/>
    <x v="7"/>
    <n v="152"/>
    <n v="120833"/>
    <n v="0.13"/>
    <s v="DQS_MAO04_FILE_000_B"/>
    <s v="RECORD COUNT by MBR_ID, DOS_THRU_DT, DX_CD Grain grouped by PAYER, SRC_FILE_NM, DOS_THRU_YYYYMM"/>
  </r>
  <r>
    <x v="2"/>
    <s v="SGARMERC_PE202404_REMAO004.TXT"/>
    <x v="76"/>
    <x v="7"/>
    <n v="161"/>
    <n v="120833"/>
    <n v="0.13"/>
    <s v="DQS_MAO04_FILE_000_B"/>
    <s v="RECORD COUNT by MBR_ID, DOS_THRU_DT, DX_CD Grain grouped by PAYER, SRC_FILE_NM, DOS_THRU_YYYYMM"/>
  </r>
  <r>
    <x v="2"/>
    <s v="SGARMERC_PE202404_REMAO004.TXT"/>
    <x v="77"/>
    <x v="8"/>
    <n v="1461"/>
    <n v="120833"/>
    <n v="1.21"/>
    <s v="DQS_MAO04_FILE_000_B"/>
    <s v="RECORD COUNT by MBR_ID, DOS_THRU_DT, DX_CD Grain grouped by PAYER, SRC_FILE_NM, DOS_THRU_YYYYMM"/>
  </r>
  <r>
    <x v="2"/>
    <s v="SGARMERC_PE202404_REMAO004.TXT"/>
    <x v="78"/>
    <x v="8"/>
    <n v="2011"/>
    <n v="120833"/>
    <n v="1.66"/>
    <s v="DQS_MAO04_FILE_000_B"/>
    <s v="RECORD COUNT by MBR_ID, DOS_THRU_DT, DX_CD Grain grouped by PAYER, SRC_FILE_NM, DOS_THRU_YYYYMM"/>
  </r>
  <r>
    <x v="2"/>
    <s v="SGARMERC_PE202404_REMAO004.TXT"/>
    <x v="79"/>
    <x v="8"/>
    <n v="1817"/>
    <n v="120833"/>
    <n v="1.5"/>
    <s v="DQS_MAO04_FILE_000_B"/>
    <s v="RECORD COUNT by MBR_ID, DOS_THRU_DT, DX_CD Grain grouped by PAYER, SRC_FILE_NM, DOS_THRU_YYYYMM"/>
  </r>
  <r>
    <x v="2"/>
    <s v="SGARMERC_PE202404_REMAO004.TXT"/>
    <x v="80"/>
    <x v="8"/>
    <n v="1967"/>
    <n v="120833"/>
    <n v="1.63"/>
    <s v="DQS_MAO04_FILE_000_B"/>
    <s v="RECORD COUNT by MBR_ID, DOS_THRU_DT, DX_CD Grain grouped by PAYER, SRC_FILE_NM, DOS_THRU_YYYYMM"/>
  </r>
  <r>
    <x v="2"/>
    <s v="SGARMERC_PE202404_REMAO004.TXT"/>
    <x v="81"/>
    <x v="8"/>
    <n v="1901"/>
    <n v="120833"/>
    <n v="1.57"/>
    <s v="DQS_MAO04_FILE_000_B"/>
    <s v="RECORD COUNT by MBR_ID, DOS_THRU_DT, DX_CD Grain grouped by PAYER, SRC_FILE_NM, DOS_THRU_YYYYMM"/>
  </r>
  <r>
    <x v="2"/>
    <s v="SGARMERC_PE202404_REMAO004.TXT"/>
    <x v="82"/>
    <x v="8"/>
    <n v="2038"/>
    <n v="120833"/>
    <n v="1.69"/>
    <s v="DQS_MAO04_FILE_000_B"/>
    <s v="RECORD COUNT by MBR_ID, DOS_THRU_DT, DX_CD Grain grouped by PAYER, SRC_FILE_NM, DOS_THRU_YYYYMM"/>
  </r>
  <r>
    <x v="2"/>
    <s v="SGARMERC_PE202404_REMAO004.TXT"/>
    <x v="83"/>
    <x v="8"/>
    <n v="2758"/>
    <n v="120833"/>
    <n v="2.2799999999999998"/>
    <s v="DQS_MAO04_FILE_000_B"/>
    <s v="RECORD COUNT by MBR_ID, DOS_THRU_DT, DX_CD Grain grouped by PAYER, SRC_FILE_NM, DOS_THRU_YYYYMM"/>
  </r>
  <r>
    <x v="2"/>
    <s v="SGARMERC_PE202404_REMAO004.TXT"/>
    <x v="84"/>
    <x v="8"/>
    <n v="3180"/>
    <n v="120833"/>
    <n v="2.63"/>
    <s v="DQS_MAO04_FILE_000_B"/>
    <s v="RECORD COUNT by MBR_ID, DOS_THRU_DT, DX_CD Grain grouped by PAYER, SRC_FILE_NM, DOS_THRU_YYYYMM"/>
  </r>
  <r>
    <x v="2"/>
    <s v="SGARMERC_PE202404_REMAO004.TXT"/>
    <x v="85"/>
    <x v="8"/>
    <n v="2782"/>
    <n v="120833"/>
    <n v="2.2999999999999998"/>
    <s v="DQS_MAO04_FILE_000_B"/>
    <s v="RECORD COUNT by MBR_ID, DOS_THRU_DT, DX_CD Grain grouped by PAYER, SRC_FILE_NM, DOS_THRU_YYYYMM"/>
  </r>
  <r>
    <x v="2"/>
    <s v="SGARMERC_PE202404_REMAO004.TXT"/>
    <x v="86"/>
    <x v="8"/>
    <n v="2220"/>
    <n v="120833"/>
    <n v="1.84"/>
    <s v="DQS_MAO04_FILE_000_B"/>
    <s v="RECORD COUNT by MBR_ID, DOS_THRU_DT, DX_CD Grain grouped by PAYER, SRC_FILE_NM, DOS_THRU_YYYYMM"/>
  </r>
  <r>
    <x v="2"/>
    <s v="SGARMERC_PE202404_REMAO004.TXT"/>
    <x v="87"/>
    <x v="8"/>
    <n v="2797"/>
    <n v="120833"/>
    <n v="2.31"/>
    <s v="DQS_MAO04_FILE_000_B"/>
    <s v="RECORD COUNT by MBR_ID, DOS_THRU_DT, DX_CD Grain grouped by PAYER, SRC_FILE_NM, DOS_THRU_YYYYMM"/>
  </r>
  <r>
    <x v="2"/>
    <s v="SGARMERC_PE202404_REMAO004.TXT"/>
    <x v="88"/>
    <x v="8"/>
    <n v="5896"/>
    <n v="120833"/>
    <n v="4.88"/>
    <s v="DQS_MAO04_FILE_000_B"/>
    <s v="RECORD COUNT by MBR_ID, DOS_THRU_DT, DX_CD Grain grouped by PAYER, SRC_FILE_NM, DOS_THRU_YYYYMM"/>
  </r>
  <r>
    <x v="2"/>
    <s v="SGARMERC_PE202404_REMAO004.TXT"/>
    <x v="89"/>
    <x v="9"/>
    <n v="49313"/>
    <n v="120833"/>
    <n v="40.81"/>
    <s v="DQS_MAO04_FILE_000_B"/>
    <s v="RECORD COUNT by MBR_ID, DOS_THRU_DT, DX_CD Grain grouped by PAYER, SRC_FILE_NM, DOS_THRU_YYYYMM"/>
  </r>
  <r>
    <x v="2"/>
    <s v="SGARMERC_PE202404_REMAO004.TXT"/>
    <x v="97"/>
    <x v="9"/>
    <n v="39261"/>
    <n v="120833"/>
    <n v="32.49"/>
    <s v="DQS_MAO04_FILE_000_B"/>
    <s v="RECORD COUNT by MBR_ID, DOS_THRU_DT, DX_CD Grain grouped by PAYER, SRC_FILE_NM, DOS_THRU_YYYYMM"/>
  </r>
  <r>
    <x v="2"/>
    <s v="SGARMERC_PE202405_REMAO004.TXT"/>
    <x v="31"/>
    <x v="4"/>
    <n v="1"/>
    <n v="88803"/>
    <n v="0"/>
    <s v="DQS_MAO04_FILE_000_B"/>
    <s v="RECORD COUNT by MBR_ID, DOS_THRU_DT, DX_CD Grain grouped by PAYER, SRC_FILE_NM, DOS_THRU_YYYYMM"/>
  </r>
  <r>
    <x v="2"/>
    <s v="SGARMERC_PE202405_REMAO004.TXT"/>
    <x v="35"/>
    <x v="4"/>
    <n v="2"/>
    <n v="88803"/>
    <n v="0"/>
    <s v="DQS_MAO04_FILE_000_B"/>
    <s v="RECORD COUNT by MBR_ID, DOS_THRU_DT, DX_CD Grain grouped by PAYER, SRC_FILE_NM, DOS_THRU_YYYYMM"/>
  </r>
  <r>
    <x v="2"/>
    <s v="SGARMERC_PE202405_REMAO004.TXT"/>
    <x v="43"/>
    <x v="5"/>
    <n v="7"/>
    <n v="88803"/>
    <n v="0.01"/>
    <s v="DQS_MAO04_FILE_000_B"/>
    <s v="RECORD COUNT by MBR_ID, DOS_THRU_DT, DX_CD Grain grouped by PAYER, SRC_FILE_NM, DOS_THRU_YYYYMM"/>
  </r>
  <r>
    <x v="2"/>
    <s v="SGARMERC_PE202405_REMAO004.TXT"/>
    <x v="47"/>
    <x v="5"/>
    <n v="7"/>
    <n v="88803"/>
    <n v="0.01"/>
    <s v="DQS_MAO04_FILE_000_B"/>
    <s v="RECORD COUNT by MBR_ID, DOS_THRU_DT, DX_CD Grain grouped by PAYER, SRC_FILE_NM, DOS_THRU_YYYYMM"/>
  </r>
  <r>
    <x v="2"/>
    <s v="SGARMERC_PE202405_REMAO004.TXT"/>
    <x v="53"/>
    <x v="6"/>
    <n v="15"/>
    <n v="88803"/>
    <n v="0.02"/>
    <s v="DQS_MAO04_FILE_000_B"/>
    <s v="RECORD COUNT by MBR_ID, DOS_THRU_DT, DX_CD Grain grouped by PAYER, SRC_FILE_NM, DOS_THRU_YYYYMM"/>
  </r>
  <r>
    <x v="2"/>
    <s v="SGARMERC_PE202405_REMAO004.TXT"/>
    <x v="56"/>
    <x v="6"/>
    <n v="5"/>
    <n v="88803"/>
    <n v="0.01"/>
    <s v="DQS_MAO04_FILE_000_B"/>
    <s v="RECORD COUNT by MBR_ID, DOS_THRU_DT, DX_CD Grain grouped by PAYER, SRC_FILE_NM, DOS_THRU_YYYYMM"/>
  </r>
  <r>
    <x v="2"/>
    <s v="SGARMERC_PE202405_REMAO004.TXT"/>
    <x v="57"/>
    <x v="6"/>
    <n v="4"/>
    <n v="88803"/>
    <n v="0"/>
    <s v="DQS_MAO04_FILE_000_B"/>
    <s v="RECORD COUNT by MBR_ID, DOS_THRU_DT, DX_CD Grain grouped by PAYER, SRC_FILE_NM, DOS_THRU_YYYYMM"/>
  </r>
  <r>
    <x v="2"/>
    <s v="SGARMERC_PE202405_REMAO004.TXT"/>
    <x v="59"/>
    <x v="6"/>
    <n v="7"/>
    <n v="88803"/>
    <n v="0.01"/>
    <s v="DQS_MAO04_FILE_000_B"/>
    <s v="RECORD COUNT by MBR_ID, DOS_THRU_DT, DX_CD Grain grouped by PAYER, SRC_FILE_NM, DOS_THRU_YYYYMM"/>
  </r>
  <r>
    <x v="2"/>
    <s v="SGARMERC_PE202405_REMAO004.TXT"/>
    <x v="61"/>
    <x v="6"/>
    <n v="8"/>
    <n v="88803"/>
    <n v="0.01"/>
    <s v="DQS_MAO04_FILE_000_B"/>
    <s v="RECORD COUNT by MBR_ID, DOS_THRU_DT, DX_CD Grain grouped by PAYER, SRC_FILE_NM, DOS_THRU_YYYYMM"/>
  </r>
  <r>
    <x v="2"/>
    <s v="SGARMERC_PE202405_REMAO004.TXT"/>
    <x v="62"/>
    <x v="6"/>
    <n v="3"/>
    <n v="88803"/>
    <n v="0"/>
    <s v="DQS_MAO04_FILE_000_B"/>
    <s v="RECORD COUNT by MBR_ID, DOS_THRU_DT, DX_CD Grain grouped by PAYER, SRC_FILE_NM, DOS_THRU_YYYYMM"/>
  </r>
  <r>
    <x v="2"/>
    <s v="SGARMERC_PE202405_REMAO004.TXT"/>
    <x v="63"/>
    <x v="6"/>
    <n v="9"/>
    <n v="88803"/>
    <n v="0.01"/>
    <s v="DQS_MAO04_FILE_000_B"/>
    <s v="RECORD COUNT by MBR_ID, DOS_THRU_DT, DX_CD Grain grouped by PAYER, SRC_FILE_NM, DOS_THRU_YYYYMM"/>
  </r>
  <r>
    <x v="2"/>
    <s v="SGARMERC_PE202405_REMAO004.TXT"/>
    <x v="65"/>
    <x v="7"/>
    <n v="36"/>
    <n v="88803"/>
    <n v="0.04"/>
    <s v="DQS_MAO04_FILE_000_B"/>
    <s v="RECORD COUNT by MBR_ID, DOS_THRU_DT, DX_CD Grain grouped by PAYER, SRC_FILE_NM, DOS_THRU_YYYYMM"/>
  </r>
  <r>
    <x v="2"/>
    <s v="SGARMERC_PE202405_REMAO004.TXT"/>
    <x v="66"/>
    <x v="7"/>
    <n v="25"/>
    <n v="88803"/>
    <n v="0.03"/>
    <s v="DQS_MAO04_FILE_000_B"/>
    <s v="RECORD COUNT by MBR_ID, DOS_THRU_DT, DX_CD Grain grouped by PAYER, SRC_FILE_NM, DOS_THRU_YYYYMM"/>
  </r>
  <r>
    <x v="2"/>
    <s v="SGARMERC_PE202405_REMAO004.TXT"/>
    <x v="67"/>
    <x v="7"/>
    <n v="26"/>
    <n v="88803"/>
    <n v="0.03"/>
    <s v="DQS_MAO04_FILE_000_B"/>
    <s v="RECORD COUNT by MBR_ID, DOS_THRU_DT, DX_CD Grain grouped by PAYER, SRC_FILE_NM, DOS_THRU_YYYYMM"/>
  </r>
  <r>
    <x v="2"/>
    <s v="SGARMERC_PE202405_REMAO004.TXT"/>
    <x v="68"/>
    <x v="7"/>
    <n v="36"/>
    <n v="88803"/>
    <n v="0.04"/>
    <s v="DQS_MAO04_FILE_000_B"/>
    <s v="RECORD COUNT by MBR_ID, DOS_THRU_DT, DX_CD Grain grouped by PAYER, SRC_FILE_NM, DOS_THRU_YYYYMM"/>
  </r>
  <r>
    <x v="2"/>
    <s v="SGARMERC_PE202405_REMAO004.TXT"/>
    <x v="69"/>
    <x v="7"/>
    <n v="27"/>
    <n v="88803"/>
    <n v="0.03"/>
    <s v="DQS_MAO04_FILE_000_B"/>
    <s v="RECORD COUNT by MBR_ID, DOS_THRU_DT, DX_CD Grain grouped by PAYER, SRC_FILE_NM, DOS_THRU_YYYYMM"/>
  </r>
  <r>
    <x v="2"/>
    <s v="SGARMERC_PE202405_REMAO004.TXT"/>
    <x v="70"/>
    <x v="7"/>
    <n v="2"/>
    <n v="88803"/>
    <n v="0"/>
    <s v="DQS_MAO04_FILE_000_B"/>
    <s v="RECORD COUNT by MBR_ID, DOS_THRU_DT, DX_CD Grain grouped by PAYER, SRC_FILE_NM, DOS_THRU_YYYYMM"/>
  </r>
  <r>
    <x v="2"/>
    <s v="SGARMERC_PE202405_REMAO004.TXT"/>
    <x v="71"/>
    <x v="7"/>
    <n v="33"/>
    <n v="88803"/>
    <n v="0.04"/>
    <s v="DQS_MAO04_FILE_000_B"/>
    <s v="RECORD COUNT by MBR_ID, DOS_THRU_DT, DX_CD Grain grouped by PAYER, SRC_FILE_NM, DOS_THRU_YYYYMM"/>
  </r>
  <r>
    <x v="2"/>
    <s v="SGARMERC_PE202405_REMAO004.TXT"/>
    <x v="72"/>
    <x v="7"/>
    <n v="29"/>
    <n v="88803"/>
    <n v="0.03"/>
    <s v="DQS_MAO04_FILE_000_B"/>
    <s v="RECORD COUNT by MBR_ID, DOS_THRU_DT, DX_CD Grain grouped by PAYER, SRC_FILE_NM, DOS_THRU_YYYYMM"/>
  </r>
  <r>
    <x v="2"/>
    <s v="SGARMERC_PE202405_REMAO004.TXT"/>
    <x v="73"/>
    <x v="7"/>
    <n v="57"/>
    <n v="88803"/>
    <n v="0.06"/>
    <s v="DQS_MAO04_FILE_000_B"/>
    <s v="RECORD COUNT by MBR_ID, DOS_THRU_DT, DX_CD Grain grouped by PAYER, SRC_FILE_NM, DOS_THRU_YYYYMM"/>
  </r>
  <r>
    <x v="2"/>
    <s v="SGARMERC_PE202405_REMAO004.TXT"/>
    <x v="74"/>
    <x v="7"/>
    <n v="86"/>
    <n v="88803"/>
    <n v="0.1"/>
    <s v="DQS_MAO04_FILE_000_B"/>
    <s v="RECORD COUNT by MBR_ID, DOS_THRU_DT, DX_CD Grain grouped by PAYER, SRC_FILE_NM, DOS_THRU_YYYYMM"/>
  </r>
  <r>
    <x v="2"/>
    <s v="SGARMERC_PE202405_REMAO004.TXT"/>
    <x v="75"/>
    <x v="7"/>
    <n v="54"/>
    <n v="88803"/>
    <n v="0.06"/>
    <s v="DQS_MAO04_FILE_000_B"/>
    <s v="RECORD COUNT by MBR_ID, DOS_THRU_DT, DX_CD Grain grouped by PAYER, SRC_FILE_NM, DOS_THRU_YYYYMM"/>
  </r>
  <r>
    <x v="2"/>
    <s v="SGARMERC_PE202405_REMAO004.TXT"/>
    <x v="76"/>
    <x v="7"/>
    <n v="209"/>
    <n v="88803"/>
    <n v="0.24"/>
    <s v="DQS_MAO04_FILE_000_B"/>
    <s v="RECORD COUNT by MBR_ID, DOS_THRU_DT, DX_CD Grain grouped by PAYER, SRC_FILE_NM, DOS_THRU_YYYYMM"/>
  </r>
  <r>
    <x v="2"/>
    <s v="SGARMERC_PE202405_REMAO004.TXT"/>
    <x v="77"/>
    <x v="8"/>
    <n v="300"/>
    <n v="88803"/>
    <n v="0.34"/>
    <s v="DQS_MAO04_FILE_000_B"/>
    <s v="RECORD COUNT by MBR_ID, DOS_THRU_DT, DX_CD Grain grouped by PAYER, SRC_FILE_NM, DOS_THRU_YYYYMM"/>
  </r>
  <r>
    <x v="2"/>
    <s v="SGARMERC_PE202405_REMAO004.TXT"/>
    <x v="78"/>
    <x v="8"/>
    <n v="365"/>
    <n v="88803"/>
    <n v="0.41"/>
    <s v="DQS_MAO04_FILE_000_B"/>
    <s v="RECORD COUNT by MBR_ID, DOS_THRU_DT, DX_CD Grain grouped by PAYER, SRC_FILE_NM, DOS_THRU_YYYYMM"/>
  </r>
  <r>
    <x v="2"/>
    <s v="SGARMERC_PE202405_REMAO004.TXT"/>
    <x v="79"/>
    <x v="8"/>
    <n v="696"/>
    <n v="88803"/>
    <n v="0.78"/>
    <s v="DQS_MAO04_FILE_000_B"/>
    <s v="RECORD COUNT by MBR_ID, DOS_THRU_DT, DX_CD Grain grouped by PAYER, SRC_FILE_NM, DOS_THRU_YYYYMM"/>
  </r>
  <r>
    <x v="2"/>
    <s v="SGARMERC_PE202405_REMAO004.TXT"/>
    <x v="80"/>
    <x v="8"/>
    <n v="371"/>
    <n v="88803"/>
    <n v="0.42"/>
    <s v="DQS_MAO04_FILE_000_B"/>
    <s v="RECORD COUNT by MBR_ID, DOS_THRU_DT, DX_CD Grain grouped by PAYER, SRC_FILE_NM, DOS_THRU_YYYYMM"/>
  </r>
  <r>
    <x v="2"/>
    <s v="SGARMERC_PE202405_REMAO004.TXT"/>
    <x v="81"/>
    <x v="8"/>
    <n v="505"/>
    <n v="88803"/>
    <n v="0.56999999999999995"/>
    <s v="DQS_MAO04_FILE_000_B"/>
    <s v="RECORD COUNT by MBR_ID, DOS_THRU_DT, DX_CD Grain grouped by PAYER, SRC_FILE_NM, DOS_THRU_YYYYMM"/>
  </r>
  <r>
    <x v="2"/>
    <s v="SGARMERC_PE202405_REMAO004.TXT"/>
    <x v="82"/>
    <x v="8"/>
    <n v="567"/>
    <n v="88803"/>
    <n v="0.64"/>
    <s v="DQS_MAO04_FILE_000_B"/>
    <s v="RECORD COUNT by MBR_ID, DOS_THRU_DT, DX_CD Grain grouped by PAYER, SRC_FILE_NM, DOS_THRU_YYYYMM"/>
  </r>
  <r>
    <x v="2"/>
    <s v="SGARMERC_PE202405_REMAO004.TXT"/>
    <x v="83"/>
    <x v="8"/>
    <n v="594"/>
    <n v="88803"/>
    <n v="0.67"/>
    <s v="DQS_MAO04_FILE_000_B"/>
    <s v="RECORD COUNT by MBR_ID, DOS_THRU_DT, DX_CD Grain grouped by PAYER, SRC_FILE_NM, DOS_THRU_YYYYMM"/>
  </r>
  <r>
    <x v="2"/>
    <s v="SGARMERC_PE202405_REMAO004.TXT"/>
    <x v="84"/>
    <x v="8"/>
    <n v="1292"/>
    <n v="88803"/>
    <n v="1.45"/>
    <s v="DQS_MAO04_FILE_000_B"/>
    <s v="RECORD COUNT by MBR_ID, DOS_THRU_DT, DX_CD Grain grouped by PAYER, SRC_FILE_NM, DOS_THRU_YYYYMM"/>
  </r>
  <r>
    <x v="2"/>
    <s v="SGARMERC_PE202405_REMAO004.TXT"/>
    <x v="85"/>
    <x v="8"/>
    <n v="1834"/>
    <n v="88803"/>
    <n v="2.0699999999999998"/>
    <s v="DQS_MAO04_FILE_000_B"/>
    <s v="RECORD COUNT by MBR_ID, DOS_THRU_DT, DX_CD Grain grouped by PAYER, SRC_FILE_NM, DOS_THRU_YYYYMM"/>
  </r>
  <r>
    <x v="2"/>
    <s v="SGARMERC_PE202405_REMAO004.TXT"/>
    <x v="86"/>
    <x v="8"/>
    <n v="2332"/>
    <n v="88803"/>
    <n v="2.63"/>
    <s v="DQS_MAO04_FILE_000_B"/>
    <s v="RECORD COUNT by MBR_ID, DOS_THRU_DT, DX_CD Grain grouped by PAYER, SRC_FILE_NM, DOS_THRU_YYYYMM"/>
  </r>
  <r>
    <x v="2"/>
    <s v="SGARMERC_PE202405_REMAO004.TXT"/>
    <x v="87"/>
    <x v="8"/>
    <n v="3137"/>
    <n v="88803"/>
    <n v="3.53"/>
    <s v="DQS_MAO04_FILE_000_B"/>
    <s v="RECORD COUNT by MBR_ID, DOS_THRU_DT, DX_CD Grain grouped by PAYER, SRC_FILE_NM, DOS_THRU_YYYYMM"/>
  </r>
  <r>
    <x v="2"/>
    <s v="SGARMERC_PE202405_REMAO004.TXT"/>
    <x v="88"/>
    <x v="8"/>
    <n v="2709"/>
    <n v="88803"/>
    <n v="3.05"/>
    <s v="DQS_MAO04_FILE_000_B"/>
    <s v="RECORD COUNT by MBR_ID, DOS_THRU_DT, DX_CD Grain grouped by PAYER, SRC_FILE_NM, DOS_THRU_YYYYMM"/>
  </r>
  <r>
    <x v="2"/>
    <s v="SGARMERC_PE202405_REMAO004.TXT"/>
    <x v="89"/>
    <x v="9"/>
    <n v="5634"/>
    <n v="88803"/>
    <n v="6.34"/>
    <s v="DQS_MAO04_FILE_000_B"/>
    <s v="RECORD COUNT by MBR_ID, DOS_THRU_DT, DX_CD Grain grouped by PAYER, SRC_FILE_NM, DOS_THRU_YYYYMM"/>
  </r>
  <r>
    <x v="2"/>
    <s v="SGARMERC_PE202405_REMAO004.TXT"/>
    <x v="97"/>
    <x v="9"/>
    <n v="43166"/>
    <n v="88803"/>
    <n v="48.61"/>
    <s v="DQS_MAO04_FILE_000_B"/>
    <s v="RECORD COUNT by MBR_ID, DOS_THRU_DT, DX_CD Grain grouped by PAYER, SRC_FILE_NM, DOS_THRU_YYYYMM"/>
  </r>
  <r>
    <x v="2"/>
    <s v="SGARMERC_PE202405_REMAO004.TXT"/>
    <x v="98"/>
    <x v="9"/>
    <n v="24613"/>
    <n v="88803"/>
    <n v="27.72"/>
    <s v="DQS_MAO04_FILE_000_B"/>
    <s v="RECORD COUNT by MBR_ID, DOS_THRU_DT, DX_CD Grain grouped by PAYER, SRC_FILE_NM, DOS_THRU_YYYYMM"/>
  </r>
  <r>
    <x v="2"/>
    <s v="SGARMERC_PE202406_REMAO004.TXT"/>
    <x v="58"/>
    <x v="6"/>
    <n v="20"/>
    <n v="150361"/>
    <n v="0.01"/>
    <s v="DQS_MAO04_FILE_000_B"/>
    <s v="RECORD COUNT by MBR_ID, DOS_THRU_DT, DX_CD Grain grouped by PAYER, SRC_FILE_NM, DOS_THRU_YYYYMM"/>
  </r>
  <r>
    <x v="2"/>
    <s v="SGARMERC_PE202406_REMAO004.TXT"/>
    <x v="59"/>
    <x v="6"/>
    <n v="15"/>
    <n v="150361"/>
    <n v="0.01"/>
    <s v="DQS_MAO04_FILE_000_B"/>
    <s v="RECORD COUNT by MBR_ID, DOS_THRU_DT, DX_CD Grain grouped by PAYER, SRC_FILE_NM, DOS_THRU_YYYYMM"/>
  </r>
  <r>
    <x v="2"/>
    <s v="SGARMERC_PE202406_REMAO004.TXT"/>
    <x v="60"/>
    <x v="6"/>
    <n v="11"/>
    <n v="150361"/>
    <n v="0.01"/>
    <s v="DQS_MAO04_FILE_000_B"/>
    <s v="RECORD COUNT by MBR_ID, DOS_THRU_DT, DX_CD Grain grouped by PAYER, SRC_FILE_NM, DOS_THRU_YYYYMM"/>
  </r>
  <r>
    <x v="2"/>
    <s v="SGARMERC_PE202406_REMAO004.TXT"/>
    <x v="61"/>
    <x v="6"/>
    <n v="20"/>
    <n v="150361"/>
    <n v="0.01"/>
    <s v="DQS_MAO04_FILE_000_B"/>
    <s v="RECORD COUNT by MBR_ID, DOS_THRU_DT, DX_CD Grain grouped by PAYER, SRC_FILE_NM, DOS_THRU_YYYYMM"/>
  </r>
  <r>
    <x v="2"/>
    <s v="SGARMERC_PE202406_REMAO004.TXT"/>
    <x v="62"/>
    <x v="6"/>
    <n v="19"/>
    <n v="150361"/>
    <n v="0.01"/>
    <s v="DQS_MAO04_FILE_000_B"/>
    <s v="RECORD COUNT by MBR_ID, DOS_THRU_DT, DX_CD Grain grouped by PAYER, SRC_FILE_NM, DOS_THRU_YYYYMM"/>
  </r>
  <r>
    <x v="2"/>
    <s v="SGARMERC_PE202406_REMAO004.TXT"/>
    <x v="63"/>
    <x v="6"/>
    <n v="20"/>
    <n v="150361"/>
    <n v="0.01"/>
    <s v="DQS_MAO04_FILE_000_B"/>
    <s v="RECORD COUNT by MBR_ID, DOS_THRU_DT, DX_CD Grain grouped by PAYER, SRC_FILE_NM, DOS_THRU_YYYYMM"/>
  </r>
  <r>
    <x v="2"/>
    <s v="SGARMERC_PE202406_REMAO004.TXT"/>
    <x v="64"/>
    <x v="6"/>
    <n v="37"/>
    <n v="150361"/>
    <n v="0.02"/>
    <s v="DQS_MAO04_FILE_000_B"/>
    <s v="RECORD COUNT by MBR_ID, DOS_THRU_DT, DX_CD Grain grouped by PAYER, SRC_FILE_NM, DOS_THRU_YYYYMM"/>
  </r>
  <r>
    <x v="2"/>
    <s v="SGARMERC_PE202406_REMAO004.TXT"/>
    <x v="65"/>
    <x v="7"/>
    <n v="44"/>
    <n v="150361"/>
    <n v="0.03"/>
    <s v="DQS_MAO04_FILE_000_B"/>
    <s v="RECORD COUNT by MBR_ID, DOS_THRU_DT, DX_CD Grain grouped by PAYER, SRC_FILE_NM, DOS_THRU_YYYYMM"/>
  </r>
  <r>
    <x v="2"/>
    <s v="SGARMERC_PE202406_REMAO004.TXT"/>
    <x v="66"/>
    <x v="7"/>
    <n v="65"/>
    <n v="150361"/>
    <n v="0.04"/>
    <s v="DQS_MAO04_FILE_000_B"/>
    <s v="RECORD COUNT by MBR_ID, DOS_THRU_DT, DX_CD Grain grouped by PAYER, SRC_FILE_NM, DOS_THRU_YYYYMM"/>
  </r>
  <r>
    <x v="2"/>
    <s v="SGARMERC_PE202406_REMAO004.TXT"/>
    <x v="67"/>
    <x v="7"/>
    <n v="50"/>
    <n v="150361"/>
    <n v="0.03"/>
    <s v="DQS_MAO04_FILE_000_B"/>
    <s v="RECORD COUNT by MBR_ID, DOS_THRU_DT, DX_CD Grain grouped by PAYER, SRC_FILE_NM, DOS_THRU_YYYYMM"/>
  </r>
  <r>
    <x v="2"/>
    <s v="SGARMERC_PE202406_REMAO004.TXT"/>
    <x v="68"/>
    <x v="7"/>
    <n v="54"/>
    <n v="150361"/>
    <n v="0.04"/>
    <s v="DQS_MAO04_FILE_000_B"/>
    <s v="RECORD COUNT by MBR_ID, DOS_THRU_DT, DX_CD Grain grouped by PAYER, SRC_FILE_NM, DOS_THRU_YYYYMM"/>
  </r>
  <r>
    <x v="2"/>
    <s v="SGARMERC_PE202406_REMAO004.TXT"/>
    <x v="69"/>
    <x v="7"/>
    <n v="34"/>
    <n v="150361"/>
    <n v="0.02"/>
    <s v="DQS_MAO04_FILE_000_B"/>
    <s v="RECORD COUNT by MBR_ID, DOS_THRU_DT, DX_CD Grain grouped by PAYER, SRC_FILE_NM, DOS_THRU_YYYYMM"/>
  </r>
  <r>
    <x v="2"/>
    <s v="SGARMERC_PE202406_REMAO004.TXT"/>
    <x v="70"/>
    <x v="7"/>
    <n v="78"/>
    <n v="150361"/>
    <n v="0.05"/>
    <s v="DQS_MAO04_FILE_000_B"/>
    <s v="RECORD COUNT by MBR_ID, DOS_THRU_DT, DX_CD Grain grouped by PAYER, SRC_FILE_NM, DOS_THRU_YYYYMM"/>
  </r>
  <r>
    <x v="2"/>
    <s v="SGARMERC_PE202406_REMAO004.TXT"/>
    <x v="71"/>
    <x v="7"/>
    <n v="66"/>
    <n v="150361"/>
    <n v="0.04"/>
    <s v="DQS_MAO04_FILE_000_B"/>
    <s v="RECORD COUNT by MBR_ID, DOS_THRU_DT, DX_CD Grain grouped by PAYER, SRC_FILE_NM, DOS_THRU_YYYYMM"/>
  </r>
  <r>
    <x v="2"/>
    <s v="SGARMERC_PE202406_REMAO004.TXT"/>
    <x v="72"/>
    <x v="7"/>
    <n v="67"/>
    <n v="150361"/>
    <n v="0.04"/>
    <s v="DQS_MAO04_FILE_000_B"/>
    <s v="RECORD COUNT by MBR_ID, DOS_THRU_DT, DX_CD Grain grouped by PAYER, SRC_FILE_NM, DOS_THRU_YYYYMM"/>
  </r>
  <r>
    <x v="2"/>
    <s v="SGARMERC_PE202406_REMAO004.TXT"/>
    <x v="73"/>
    <x v="7"/>
    <n v="89"/>
    <n v="150361"/>
    <n v="0.06"/>
    <s v="DQS_MAO04_FILE_000_B"/>
    <s v="RECORD COUNT by MBR_ID, DOS_THRU_DT, DX_CD Grain grouped by PAYER, SRC_FILE_NM, DOS_THRU_YYYYMM"/>
  </r>
  <r>
    <x v="2"/>
    <s v="SGARMERC_PE202406_REMAO004.TXT"/>
    <x v="74"/>
    <x v="7"/>
    <n v="61"/>
    <n v="150361"/>
    <n v="0.04"/>
    <s v="DQS_MAO04_FILE_000_B"/>
    <s v="RECORD COUNT by MBR_ID, DOS_THRU_DT, DX_CD Grain grouped by PAYER, SRC_FILE_NM, DOS_THRU_YYYYMM"/>
  </r>
  <r>
    <x v="2"/>
    <s v="SGARMERC_PE202406_REMAO004.TXT"/>
    <x v="75"/>
    <x v="7"/>
    <n v="62"/>
    <n v="150361"/>
    <n v="0.04"/>
    <s v="DQS_MAO04_FILE_000_B"/>
    <s v="RECORD COUNT by MBR_ID, DOS_THRU_DT, DX_CD Grain grouped by PAYER, SRC_FILE_NM, DOS_THRU_YYYYMM"/>
  </r>
  <r>
    <x v="2"/>
    <s v="SGARMERC_PE202406_REMAO004.TXT"/>
    <x v="76"/>
    <x v="7"/>
    <n v="105"/>
    <n v="150361"/>
    <n v="7.0000000000000007E-2"/>
    <s v="DQS_MAO04_FILE_000_B"/>
    <s v="RECORD COUNT by MBR_ID, DOS_THRU_DT, DX_CD Grain grouped by PAYER, SRC_FILE_NM, DOS_THRU_YYYYMM"/>
  </r>
  <r>
    <x v="2"/>
    <s v="SGARMERC_PE202406_REMAO004.TXT"/>
    <x v="77"/>
    <x v="8"/>
    <n v="784"/>
    <n v="150361"/>
    <n v="0.52"/>
    <s v="DQS_MAO04_FILE_000_B"/>
    <s v="RECORD COUNT by MBR_ID, DOS_THRU_DT, DX_CD Grain grouped by PAYER, SRC_FILE_NM, DOS_THRU_YYYYMM"/>
  </r>
  <r>
    <x v="2"/>
    <s v="SGARMERC_PE202406_REMAO004.TXT"/>
    <x v="78"/>
    <x v="8"/>
    <n v="1520"/>
    <n v="150361"/>
    <n v="1.01"/>
    <s v="DQS_MAO04_FILE_000_B"/>
    <s v="RECORD COUNT by MBR_ID, DOS_THRU_DT, DX_CD Grain grouped by PAYER, SRC_FILE_NM, DOS_THRU_YYYYMM"/>
  </r>
  <r>
    <x v="2"/>
    <s v="SGARMERC_PE202406_REMAO004.TXT"/>
    <x v="79"/>
    <x v="8"/>
    <n v="2154"/>
    <n v="150361"/>
    <n v="1.43"/>
    <s v="DQS_MAO04_FILE_000_B"/>
    <s v="RECORD COUNT by MBR_ID, DOS_THRU_DT, DX_CD Grain grouped by PAYER, SRC_FILE_NM, DOS_THRU_YYYYMM"/>
  </r>
  <r>
    <x v="2"/>
    <s v="SGARMERC_PE202406_REMAO004.TXT"/>
    <x v="80"/>
    <x v="8"/>
    <n v="2032"/>
    <n v="150361"/>
    <n v="1.35"/>
    <s v="DQS_MAO04_FILE_000_B"/>
    <s v="RECORD COUNT by MBR_ID, DOS_THRU_DT, DX_CD Grain grouped by PAYER, SRC_FILE_NM, DOS_THRU_YYYYMM"/>
  </r>
  <r>
    <x v="2"/>
    <s v="SGARMERC_PE202406_REMAO004.TXT"/>
    <x v="81"/>
    <x v="8"/>
    <n v="1791"/>
    <n v="150361"/>
    <n v="1.19"/>
    <s v="DQS_MAO04_FILE_000_B"/>
    <s v="RECORD COUNT by MBR_ID, DOS_THRU_DT, DX_CD Grain grouped by PAYER, SRC_FILE_NM, DOS_THRU_YYYYMM"/>
  </r>
  <r>
    <x v="2"/>
    <s v="SGARMERC_PE202406_REMAO004.TXT"/>
    <x v="82"/>
    <x v="8"/>
    <n v="2361"/>
    <n v="150361"/>
    <n v="1.57"/>
    <s v="DQS_MAO04_FILE_000_B"/>
    <s v="RECORD COUNT by MBR_ID, DOS_THRU_DT, DX_CD Grain grouped by PAYER, SRC_FILE_NM, DOS_THRU_YYYYMM"/>
  </r>
  <r>
    <x v="2"/>
    <s v="SGARMERC_PE202406_REMAO004.TXT"/>
    <x v="83"/>
    <x v="8"/>
    <n v="4603"/>
    <n v="150361"/>
    <n v="3.06"/>
    <s v="DQS_MAO04_FILE_000_B"/>
    <s v="RECORD COUNT by MBR_ID, DOS_THRU_DT, DX_CD Grain grouped by PAYER, SRC_FILE_NM, DOS_THRU_YYYYMM"/>
  </r>
  <r>
    <x v="2"/>
    <s v="SGARMERC_PE202406_REMAO004.TXT"/>
    <x v="84"/>
    <x v="8"/>
    <n v="8215"/>
    <n v="150361"/>
    <n v="5.46"/>
    <s v="DQS_MAO04_FILE_000_B"/>
    <s v="RECORD COUNT by MBR_ID, DOS_THRU_DT, DX_CD Grain grouped by PAYER, SRC_FILE_NM, DOS_THRU_YYYYMM"/>
  </r>
  <r>
    <x v="2"/>
    <s v="SGARMERC_PE202406_REMAO004.TXT"/>
    <x v="85"/>
    <x v="8"/>
    <n v="8179"/>
    <n v="150361"/>
    <n v="5.44"/>
    <s v="DQS_MAO04_FILE_000_B"/>
    <s v="RECORD COUNT by MBR_ID, DOS_THRU_DT, DX_CD Grain grouped by PAYER, SRC_FILE_NM, DOS_THRU_YYYYMM"/>
  </r>
  <r>
    <x v="2"/>
    <s v="SGARMERC_PE202406_REMAO004.TXT"/>
    <x v="86"/>
    <x v="8"/>
    <n v="9754"/>
    <n v="150361"/>
    <n v="6.49"/>
    <s v="DQS_MAO04_FILE_000_B"/>
    <s v="RECORD COUNT by MBR_ID, DOS_THRU_DT, DX_CD Grain grouped by PAYER, SRC_FILE_NM, DOS_THRU_YYYYMM"/>
  </r>
  <r>
    <x v="2"/>
    <s v="SGARMERC_PE202406_REMAO004.TXT"/>
    <x v="87"/>
    <x v="8"/>
    <n v="8380"/>
    <n v="150361"/>
    <n v="5.57"/>
    <s v="DQS_MAO04_FILE_000_B"/>
    <s v="RECORD COUNT by MBR_ID, DOS_THRU_DT, DX_CD Grain grouped by PAYER, SRC_FILE_NM, DOS_THRU_YYYYMM"/>
  </r>
  <r>
    <x v="2"/>
    <s v="SGARMERC_PE202406_REMAO004.TXT"/>
    <x v="88"/>
    <x v="8"/>
    <n v="8334"/>
    <n v="150361"/>
    <n v="5.54"/>
    <s v="DQS_MAO04_FILE_000_B"/>
    <s v="RECORD COUNT by MBR_ID, DOS_THRU_DT, DX_CD Grain grouped by PAYER, SRC_FILE_NM, DOS_THRU_YYYYMM"/>
  </r>
  <r>
    <x v="2"/>
    <s v="SGARMERC_PE202406_REMAO004.TXT"/>
    <x v="89"/>
    <x v="9"/>
    <n v="5881"/>
    <n v="150361"/>
    <n v="3.91"/>
    <s v="DQS_MAO04_FILE_000_B"/>
    <s v="RECORD COUNT by MBR_ID, DOS_THRU_DT, DX_CD Grain grouped by PAYER, SRC_FILE_NM, DOS_THRU_YYYYMM"/>
  </r>
  <r>
    <x v="2"/>
    <s v="SGARMERC_PE202406_REMAO004.TXT"/>
    <x v="97"/>
    <x v="9"/>
    <n v="9125"/>
    <n v="150361"/>
    <n v="6.07"/>
    <s v="DQS_MAO04_FILE_000_B"/>
    <s v="RECORD COUNT by MBR_ID, DOS_THRU_DT, DX_CD Grain grouped by PAYER, SRC_FILE_NM, DOS_THRU_YYYYMM"/>
  </r>
  <r>
    <x v="2"/>
    <s v="SGARMERC_PE202406_REMAO004.TXT"/>
    <x v="98"/>
    <x v="9"/>
    <n v="44229"/>
    <n v="150361"/>
    <n v="29.42"/>
    <s v="DQS_MAO04_FILE_000_B"/>
    <s v="RECORD COUNT by MBR_ID, DOS_THRU_DT, DX_CD Grain grouped by PAYER, SRC_FILE_NM, DOS_THRU_YYYYMM"/>
  </r>
  <r>
    <x v="2"/>
    <s v="SGARMERC_PE202406_REMAO004.TXT"/>
    <x v="99"/>
    <x v="9"/>
    <n v="32102"/>
    <n v="150361"/>
    <n v="21.35"/>
    <s v="DQS_MAO04_FILE_000_B"/>
    <s v="RECORD COUNT by MBR_ID, DOS_THRU_DT, DX_CD Grain grouped by PAYER, SRC_FILE_NM, DOS_THRU_YYYYMM"/>
  </r>
  <r>
    <x v="2"/>
    <s v="SGARMERC_PE202407_REMAO004.TXT"/>
    <x v="129"/>
    <x v="1"/>
    <n v="1"/>
    <n v="96421"/>
    <n v="0"/>
    <s v="DQS_MAO04_FILE_000_B"/>
    <s v="RECORD COUNT by MBR_ID, DOS_THRU_DT, DX_CD Grain grouped by PAYER, SRC_FILE_NM, DOS_THRU_YYYYMM"/>
  </r>
  <r>
    <x v="2"/>
    <s v="SGARMERC_PE202407_REMAO004.TXT"/>
    <x v="3"/>
    <x v="1"/>
    <n v="2"/>
    <n v="96421"/>
    <n v="0"/>
    <s v="DQS_MAO04_FILE_000_B"/>
    <s v="RECORD COUNT by MBR_ID, DOS_THRU_DT, DX_CD Grain grouped by PAYER, SRC_FILE_NM, DOS_THRU_YYYYMM"/>
  </r>
  <r>
    <x v="2"/>
    <s v="SGARMERC_PE202407_REMAO004.TXT"/>
    <x v="4"/>
    <x v="1"/>
    <n v="1"/>
    <n v="96421"/>
    <n v="0"/>
    <s v="DQS_MAO04_FILE_000_B"/>
    <s v="RECORD COUNT by MBR_ID, DOS_THRU_DT, DX_CD Grain grouped by PAYER, SRC_FILE_NM, DOS_THRU_YYYYMM"/>
  </r>
  <r>
    <x v="2"/>
    <s v="SGARMERC_PE202407_REMAO004.TXT"/>
    <x v="127"/>
    <x v="1"/>
    <n v="5"/>
    <n v="96421"/>
    <n v="0.01"/>
    <s v="DQS_MAO04_FILE_000_B"/>
    <s v="RECORD COUNT by MBR_ID, DOS_THRU_DT, DX_CD Grain grouped by PAYER, SRC_FILE_NM, DOS_THRU_YYYYMM"/>
  </r>
  <r>
    <x v="2"/>
    <s v="SGARMERC_PE202407_REMAO004.TXT"/>
    <x v="130"/>
    <x v="2"/>
    <n v="1"/>
    <n v="96421"/>
    <n v="0"/>
    <s v="DQS_MAO04_FILE_000_B"/>
    <s v="RECORD COUNT by MBR_ID, DOS_THRU_DT, DX_CD Grain grouped by PAYER, SRC_FILE_NM, DOS_THRU_YYYYMM"/>
  </r>
  <r>
    <x v="2"/>
    <s v="SGARMERC_PE202407_REMAO004.TXT"/>
    <x v="7"/>
    <x v="2"/>
    <n v="1"/>
    <n v="96421"/>
    <n v="0"/>
    <s v="DQS_MAO04_FILE_000_B"/>
    <s v="RECORD COUNT by MBR_ID, DOS_THRU_DT, DX_CD Grain grouped by PAYER, SRC_FILE_NM, DOS_THRU_YYYYMM"/>
  </r>
  <r>
    <x v="2"/>
    <s v="SGARMERC_PE202407_REMAO004.TXT"/>
    <x v="14"/>
    <x v="2"/>
    <n v="24"/>
    <n v="96421"/>
    <n v="0.02"/>
    <s v="DQS_MAO04_FILE_000_B"/>
    <s v="RECORD COUNT by MBR_ID, DOS_THRU_DT, DX_CD Grain grouped by PAYER, SRC_FILE_NM, DOS_THRU_YYYYMM"/>
  </r>
  <r>
    <x v="2"/>
    <s v="SGARMERC_PE202407_REMAO004.TXT"/>
    <x v="23"/>
    <x v="3"/>
    <n v="1"/>
    <n v="96421"/>
    <n v="0"/>
    <s v="DQS_MAO04_FILE_000_B"/>
    <s v="RECORD COUNT by MBR_ID, DOS_THRU_DT, DX_CD Grain grouped by PAYER, SRC_FILE_NM, DOS_THRU_YYYYMM"/>
  </r>
  <r>
    <x v="2"/>
    <s v="SGARMERC_PE202407_REMAO004.TXT"/>
    <x v="24"/>
    <x v="3"/>
    <n v="13"/>
    <n v="96421"/>
    <n v="0.01"/>
    <s v="DQS_MAO04_FILE_000_B"/>
    <s v="RECORD COUNT by MBR_ID, DOS_THRU_DT, DX_CD Grain grouped by PAYER, SRC_FILE_NM, DOS_THRU_YYYYMM"/>
  </r>
  <r>
    <x v="2"/>
    <s v="SGARMERC_PE202407_REMAO004.TXT"/>
    <x v="25"/>
    <x v="3"/>
    <n v="10"/>
    <n v="96421"/>
    <n v="0.01"/>
    <s v="DQS_MAO04_FILE_000_B"/>
    <s v="RECORD COUNT by MBR_ID, DOS_THRU_DT, DX_CD Grain grouped by PAYER, SRC_FILE_NM, DOS_THRU_YYYYMM"/>
  </r>
  <r>
    <x v="2"/>
    <s v="SGARMERC_PE202407_REMAO004.TXT"/>
    <x v="26"/>
    <x v="3"/>
    <n v="3"/>
    <n v="96421"/>
    <n v="0"/>
    <s v="DQS_MAO04_FILE_000_B"/>
    <s v="RECORD COUNT by MBR_ID, DOS_THRU_DT, DX_CD Grain grouped by PAYER, SRC_FILE_NM, DOS_THRU_YYYYMM"/>
  </r>
  <r>
    <x v="2"/>
    <s v="SGARMERC_PE202407_REMAO004.TXT"/>
    <x v="27"/>
    <x v="3"/>
    <n v="26"/>
    <n v="96421"/>
    <n v="0.03"/>
    <s v="DQS_MAO04_FILE_000_B"/>
    <s v="RECORD COUNT by MBR_ID, DOS_THRU_DT, DX_CD Grain grouped by PAYER, SRC_FILE_NM, DOS_THRU_YYYYMM"/>
  </r>
  <r>
    <x v="2"/>
    <s v="SGARMERC_PE202407_REMAO004.TXT"/>
    <x v="28"/>
    <x v="3"/>
    <n v="17"/>
    <n v="96421"/>
    <n v="0.02"/>
    <s v="DQS_MAO04_FILE_000_B"/>
    <s v="RECORD COUNT by MBR_ID, DOS_THRU_DT, DX_CD Grain grouped by PAYER, SRC_FILE_NM, DOS_THRU_YYYYMM"/>
  </r>
  <r>
    <x v="2"/>
    <s v="SGARMERC_PE202407_REMAO004.TXT"/>
    <x v="35"/>
    <x v="4"/>
    <n v="18"/>
    <n v="96421"/>
    <n v="0.02"/>
    <s v="DQS_MAO04_FILE_000_B"/>
    <s v="RECORD COUNT by MBR_ID, DOS_THRU_DT, DX_CD Grain grouped by PAYER, SRC_FILE_NM, DOS_THRU_YYYYMM"/>
  </r>
  <r>
    <x v="2"/>
    <s v="SGARMERC_PE202407_REMAO004.TXT"/>
    <x v="40"/>
    <x v="4"/>
    <n v="12"/>
    <n v="96421"/>
    <n v="0.01"/>
    <s v="DQS_MAO04_FILE_000_B"/>
    <s v="RECORD COUNT by MBR_ID, DOS_THRU_DT, DX_CD Grain grouped by PAYER, SRC_FILE_NM, DOS_THRU_YYYYMM"/>
  </r>
  <r>
    <x v="2"/>
    <s v="SGARMERC_PE202407_REMAO004.TXT"/>
    <x v="43"/>
    <x v="5"/>
    <n v="24"/>
    <n v="96421"/>
    <n v="0.02"/>
    <s v="DQS_MAO04_FILE_000_B"/>
    <s v="RECORD COUNT by MBR_ID, DOS_THRU_DT, DX_CD Grain grouped by PAYER, SRC_FILE_NM, DOS_THRU_YYYYMM"/>
  </r>
  <r>
    <x v="2"/>
    <s v="SGARMERC_PE202407_REMAO004.TXT"/>
    <x v="48"/>
    <x v="5"/>
    <n v="21"/>
    <n v="96421"/>
    <n v="0.02"/>
    <s v="DQS_MAO04_FILE_000_B"/>
    <s v="RECORD COUNT by MBR_ID, DOS_THRU_DT, DX_CD Grain grouped by PAYER, SRC_FILE_NM, DOS_THRU_YYYYMM"/>
  </r>
  <r>
    <x v="2"/>
    <s v="SGARMERC_PE202407_REMAO004.TXT"/>
    <x v="61"/>
    <x v="6"/>
    <n v="5"/>
    <n v="96421"/>
    <n v="0.01"/>
    <s v="DQS_MAO04_FILE_000_B"/>
    <s v="RECORD COUNT by MBR_ID, DOS_THRU_DT, DX_CD Grain grouped by PAYER, SRC_FILE_NM, DOS_THRU_YYYYMM"/>
  </r>
  <r>
    <x v="2"/>
    <s v="SGARMERC_PE202407_REMAO004.TXT"/>
    <x v="62"/>
    <x v="6"/>
    <n v="4"/>
    <n v="96421"/>
    <n v="0"/>
    <s v="DQS_MAO04_FILE_000_B"/>
    <s v="RECORD COUNT by MBR_ID, DOS_THRU_DT, DX_CD Grain grouped by PAYER, SRC_FILE_NM, DOS_THRU_YYYYMM"/>
  </r>
  <r>
    <x v="2"/>
    <s v="SGARMERC_PE202407_REMAO004.TXT"/>
    <x v="65"/>
    <x v="7"/>
    <n v="124"/>
    <n v="96421"/>
    <n v="0.13"/>
    <s v="DQS_MAO04_FILE_000_B"/>
    <s v="RECORD COUNT by MBR_ID, DOS_THRU_DT, DX_CD Grain grouped by PAYER, SRC_FILE_NM, DOS_THRU_YYYYMM"/>
  </r>
  <r>
    <x v="2"/>
    <s v="SGARMERC_PE202407_REMAO004.TXT"/>
    <x v="66"/>
    <x v="7"/>
    <n v="123"/>
    <n v="96421"/>
    <n v="0.13"/>
    <s v="DQS_MAO04_FILE_000_B"/>
    <s v="RECORD COUNT by MBR_ID, DOS_THRU_DT, DX_CD Grain grouped by PAYER, SRC_FILE_NM, DOS_THRU_YYYYMM"/>
  </r>
  <r>
    <x v="2"/>
    <s v="SGARMERC_PE202407_REMAO004.TXT"/>
    <x v="67"/>
    <x v="7"/>
    <n v="94"/>
    <n v="96421"/>
    <n v="0.1"/>
    <s v="DQS_MAO04_FILE_000_B"/>
    <s v="RECORD COUNT by MBR_ID, DOS_THRU_DT, DX_CD Grain grouped by PAYER, SRC_FILE_NM, DOS_THRU_YYYYMM"/>
  </r>
  <r>
    <x v="2"/>
    <s v="SGARMERC_PE202407_REMAO004.TXT"/>
    <x v="68"/>
    <x v="7"/>
    <n v="103"/>
    <n v="96421"/>
    <n v="0.11"/>
    <s v="DQS_MAO04_FILE_000_B"/>
    <s v="RECORD COUNT by MBR_ID, DOS_THRU_DT, DX_CD Grain grouped by PAYER, SRC_FILE_NM, DOS_THRU_YYYYMM"/>
  </r>
  <r>
    <x v="2"/>
    <s v="SGARMERC_PE202407_REMAO004.TXT"/>
    <x v="69"/>
    <x v="7"/>
    <n v="60"/>
    <n v="96421"/>
    <n v="0.06"/>
    <s v="DQS_MAO04_FILE_000_B"/>
    <s v="RECORD COUNT by MBR_ID, DOS_THRU_DT, DX_CD Grain grouped by PAYER, SRC_FILE_NM, DOS_THRU_YYYYMM"/>
  </r>
  <r>
    <x v="2"/>
    <s v="SGARMERC_PE202407_REMAO004.TXT"/>
    <x v="70"/>
    <x v="7"/>
    <n v="50"/>
    <n v="96421"/>
    <n v="0.05"/>
    <s v="DQS_MAO04_FILE_000_B"/>
    <s v="RECORD COUNT by MBR_ID, DOS_THRU_DT, DX_CD Grain grouped by PAYER, SRC_FILE_NM, DOS_THRU_YYYYMM"/>
  </r>
  <r>
    <x v="2"/>
    <s v="SGARMERC_PE202407_REMAO004.TXT"/>
    <x v="71"/>
    <x v="7"/>
    <n v="1"/>
    <n v="96421"/>
    <n v="0"/>
    <s v="DQS_MAO04_FILE_000_B"/>
    <s v="RECORD COUNT by MBR_ID, DOS_THRU_DT, DX_CD Grain grouped by PAYER, SRC_FILE_NM, DOS_THRU_YYYYMM"/>
  </r>
  <r>
    <x v="2"/>
    <s v="SGARMERC_PE202407_REMAO004.TXT"/>
    <x v="72"/>
    <x v="7"/>
    <n v="156"/>
    <n v="96421"/>
    <n v="0.16"/>
    <s v="DQS_MAO04_FILE_000_B"/>
    <s v="RECORD COUNT by MBR_ID, DOS_THRU_DT, DX_CD Grain grouped by PAYER, SRC_FILE_NM, DOS_THRU_YYYYMM"/>
  </r>
  <r>
    <x v="2"/>
    <s v="SGARMERC_PE202407_REMAO004.TXT"/>
    <x v="73"/>
    <x v="7"/>
    <n v="119"/>
    <n v="96421"/>
    <n v="0.12"/>
    <s v="DQS_MAO04_FILE_000_B"/>
    <s v="RECORD COUNT by MBR_ID, DOS_THRU_DT, DX_CD Grain grouped by PAYER, SRC_FILE_NM, DOS_THRU_YYYYMM"/>
  </r>
  <r>
    <x v="2"/>
    <s v="SGARMERC_PE202407_REMAO004.TXT"/>
    <x v="74"/>
    <x v="7"/>
    <n v="117"/>
    <n v="96421"/>
    <n v="0.12"/>
    <s v="DQS_MAO04_FILE_000_B"/>
    <s v="RECORD COUNT by MBR_ID, DOS_THRU_DT, DX_CD Grain grouped by PAYER, SRC_FILE_NM, DOS_THRU_YYYYMM"/>
  </r>
  <r>
    <x v="2"/>
    <s v="SGARMERC_PE202407_REMAO004.TXT"/>
    <x v="75"/>
    <x v="7"/>
    <n v="153"/>
    <n v="96421"/>
    <n v="0.16"/>
    <s v="DQS_MAO04_FILE_000_B"/>
    <s v="RECORD COUNT by MBR_ID, DOS_THRU_DT, DX_CD Grain grouped by PAYER, SRC_FILE_NM, DOS_THRU_YYYYMM"/>
  </r>
  <r>
    <x v="2"/>
    <s v="SGARMERC_PE202407_REMAO004.TXT"/>
    <x v="76"/>
    <x v="7"/>
    <n v="120"/>
    <n v="96421"/>
    <n v="0.12"/>
    <s v="DQS_MAO04_FILE_000_B"/>
    <s v="RECORD COUNT by MBR_ID, DOS_THRU_DT, DX_CD Grain grouped by PAYER, SRC_FILE_NM, DOS_THRU_YYYYMM"/>
  </r>
  <r>
    <x v="2"/>
    <s v="SGARMERC_PE202407_REMAO004.TXT"/>
    <x v="77"/>
    <x v="8"/>
    <n v="295"/>
    <n v="96421"/>
    <n v="0.31"/>
    <s v="DQS_MAO04_FILE_000_B"/>
    <s v="RECORD COUNT by MBR_ID, DOS_THRU_DT, DX_CD Grain grouped by PAYER, SRC_FILE_NM, DOS_THRU_YYYYMM"/>
  </r>
  <r>
    <x v="2"/>
    <s v="SGARMERC_PE202407_REMAO004.TXT"/>
    <x v="78"/>
    <x v="8"/>
    <n v="206"/>
    <n v="96421"/>
    <n v="0.21"/>
    <s v="DQS_MAO04_FILE_000_B"/>
    <s v="RECORD COUNT by MBR_ID, DOS_THRU_DT, DX_CD Grain grouped by PAYER, SRC_FILE_NM, DOS_THRU_YYYYMM"/>
  </r>
  <r>
    <x v="2"/>
    <s v="SGARMERC_PE202407_REMAO004.TXT"/>
    <x v="79"/>
    <x v="8"/>
    <n v="396"/>
    <n v="96421"/>
    <n v="0.41"/>
    <s v="DQS_MAO04_FILE_000_B"/>
    <s v="RECORD COUNT by MBR_ID, DOS_THRU_DT, DX_CD Grain grouped by PAYER, SRC_FILE_NM, DOS_THRU_YYYYMM"/>
  </r>
  <r>
    <x v="2"/>
    <s v="SGARMERC_PE202407_REMAO004.TXT"/>
    <x v="80"/>
    <x v="8"/>
    <n v="447"/>
    <n v="96421"/>
    <n v="0.46"/>
    <s v="DQS_MAO04_FILE_000_B"/>
    <s v="RECORD COUNT by MBR_ID, DOS_THRU_DT, DX_CD Grain grouped by PAYER, SRC_FILE_NM, DOS_THRU_YYYYMM"/>
  </r>
  <r>
    <x v="2"/>
    <s v="SGARMERC_PE202407_REMAO004.TXT"/>
    <x v="81"/>
    <x v="8"/>
    <n v="401"/>
    <n v="96421"/>
    <n v="0.42"/>
    <s v="DQS_MAO04_FILE_000_B"/>
    <s v="RECORD COUNT by MBR_ID, DOS_THRU_DT, DX_CD Grain grouped by PAYER, SRC_FILE_NM, DOS_THRU_YYYYMM"/>
  </r>
  <r>
    <x v="2"/>
    <s v="SGARMERC_PE202407_REMAO004.TXT"/>
    <x v="82"/>
    <x v="8"/>
    <n v="615"/>
    <n v="96421"/>
    <n v="0.64"/>
    <s v="DQS_MAO04_FILE_000_B"/>
    <s v="RECORD COUNT by MBR_ID, DOS_THRU_DT, DX_CD Grain grouped by PAYER, SRC_FILE_NM, DOS_THRU_YYYYMM"/>
  </r>
  <r>
    <x v="2"/>
    <s v="SGARMERC_PE202407_REMAO004.TXT"/>
    <x v="83"/>
    <x v="8"/>
    <n v="420"/>
    <n v="96421"/>
    <n v="0.44"/>
    <s v="DQS_MAO04_FILE_000_B"/>
    <s v="RECORD COUNT by MBR_ID, DOS_THRU_DT, DX_CD Grain grouped by PAYER, SRC_FILE_NM, DOS_THRU_YYYYMM"/>
  </r>
  <r>
    <x v="2"/>
    <s v="SGARMERC_PE202407_REMAO004.TXT"/>
    <x v="84"/>
    <x v="8"/>
    <n v="864"/>
    <n v="96421"/>
    <n v="0.9"/>
    <s v="DQS_MAO04_FILE_000_B"/>
    <s v="RECORD COUNT by MBR_ID, DOS_THRU_DT, DX_CD Grain grouped by PAYER, SRC_FILE_NM, DOS_THRU_YYYYMM"/>
  </r>
  <r>
    <x v="2"/>
    <s v="SGARMERC_PE202407_REMAO004.TXT"/>
    <x v="85"/>
    <x v="8"/>
    <n v="839"/>
    <n v="96421"/>
    <n v="0.87"/>
    <s v="DQS_MAO04_FILE_000_B"/>
    <s v="RECORD COUNT by MBR_ID, DOS_THRU_DT, DX_CD Grain grouped by PAYER, SRC_FILE_NM, DOS_THRU_YYYYMM"/>
  </r>
  <r>
    <x v="2"/>
    <s v="SGARMERC_PE202407_REMAO004.TXT"/>
    <x v="86"/>
    <x v="8"/>
    <n v="1253"/>
    <n v="96421"/>
    <n v="1.3"/>
    <s v="DQS_MAO04_FILE_000_B"/>
    <s v="RECORD COUNT by MBR_ID, DOS_THRU_DT, DX_CD Grain grouped by PAYER, SRC_FILE_NM, DOS_THRU_YYYYMM"/>
  </r>
  <r>
    <x v="2"/>
    <s v="SGARMERC_PE202407_REMAO004.TXT"/>
    <x v="87"/>
    <x v="8"/>
    <n v="1186"/>
    <n v="96421"/>
    <n v="1.23"/>
    <s v="DQS_MAO04_FILE_000_B"/>
    <s v="RECORD COUNT by MBR_ID, DOS_THRU_DT, DX_CD Grain grouped by PAYER, SRC_FILE_NM, DOS_THRU_YYYYMM"/>
  </r>
  <r>
    <x v="2"/>
    <s v="SGARMERC_PE202407_REMAO004.TXT"/>
    <x v="88"/>
    <x v="8"/>
    <n v="1458"/>
    <n v="96421"/>
    <n v="1.51"/>
    <s v="DQS_MAO04_FILE_000_B"/>
    <s v="RECORD COUNT by MBR_ID, DOS_THRU_DT, DX_CD Grain grouped by PAYER, SRC_FILE_NM, DOS_THRU_YYYYMM"/>
  </r>
  <r>
    <x v="2"/>
    <s v="SGARMERC_PE202407_REMAO004.TXT"/>
    <x v="89"/>
    <x v="9"/>
    <n v="2638"/>
    <n v="96421"/>
    <n v="2.74"/>
    <s v="DQS_MAO04_FILE_000_B"/>
    <s v="RECORD COUNT by MBR_ID, DOS_THRU_DT, DX_CD Grain grouped by PAYER, SRC_FILE_NM, DOS_THRU_YYYYMM"/>
  </r>
  <r>
    <x v="2"/>
    <s v="SGARMERC_PE202407_REMAO004.TXT"/>
    <x v="97"/>
    <x v="9"/>
    <n v="2784"/>
    <n v="96421"/>
    <n v="2.89"/>
    <s v="DQS_MAO04_FILE_000_B"/>
    <s v="RECORD COUNT by MBR_ID, DOS_THRU_DT, DX_CD Grain grouped by PAYER, SRC_FILE_NM, DOS_THRU_YYYYMM"/>
  </r>
  <r>
    <x v="2"/>
    <s v="SGARMERC_PE202407_REMAO004.TXT"/>
    <x v="98"/>
    <x v="9"/>
    <n v="4304"/>
    <n v="96421"/>
    <n v="4.46"/>
    <s v="DQS_MAO04_FILE_000_B"/>
    <s v="RECORD COUNT by MBR_ID, DOS_THRU_DT, DX_CD Grain grouped by PAYER, SRC_FILE_NM, DOS_THRU_YYYYMM"/>
  </r>
  <r>
    <x v="2"/>
    <s v="SGARMERC_PE202407_REMAO004.TXT"/>
    <x v="99"/>
    <x v="9"/>
    <n v="41932"/>
    <n v="96421"/>
    <n v="43.49"/>
    <s v="DQS_MAO04_FILE_000_B"/>
    <s v="RECORD COUNT by MBR_ID, DOS_THRU_DT, DX_CD Grain grouped by PAYER, SRC_FILE_NM, DOS_THRU_YYYYMM"/>
  </r>
  <r>
    <x v="2"/>
    <s v="SGARMERC_PE202407_REMAO004.TXT"/>
    <x v="100"/>
    <x v="9"/>
    <n v="34974"/>
    <n v="96421"/>
    <n v="36.270000000000003"/>
    <s v="DQS_MAO04_FILE_000_B"/>
    <s v="RECORD COUNT by MBR_ID, DOS_THRU_DT, DX_CD Grain grouped by PAYER, SRC_FILE_NM, DOS_THRU_YYYYMM"/>
  </r>
  <r>
    <x v="2"/>
    <s v="SGARMERC_PE202408_REMAO004.TXT"/>
    <x v="62"/>
    <x v="6"/>
    <n v="1"/>
    <n v="102465"/>
    <n v="0"/>
    <s v="DQS_MAO04_FILE_000_B"/>
    <s v="RECORD COUNT by MBR_ID, DOS_THRU_DT, DX_CD Grain grouped by PAYER, SRC_FILE_NM, DOS_THRU_YYYYMM"/>
  </r>
  <r>
    <x v="2"/>
    <s v="SGARMERC_PE202408_REMAO004.TXT"/>
    <x v="65"/>
    <x v="7"/>
    <n v="50"/>
    <n v="102465"/>
    <n v="0.05"/>
    <s v="DQS_MAO04_FILE_000_B"/>
    <s v="RECORD COUNT by MBR_ID, DOS_THRU_DT, DX_CD Grain grouped by PAYER, SRC_FILE_NM, DOS_THRU_YYYYMM"/>
  </r>
  <r>
    <x v="2"/>
    <s v="SGARMERC_PE202408_REMAO004.TXT"/>
    <x v="66"/>
    <x v="7"/>
    <n v="27"/>
    <n v="102465"/>
    <n v="0.03"/>
    <s v="DQS_MAO04_FILE_000_B"/>
    <s v="RECORD COUNT by MBR_ID, DOS_THRU_DT, DX_CD Grain grouped by PAYER, SRC_FILE_NM, DOS_THRU_YYYYMM"/>
  </r>
  <r>
    <x v="2"/>
    <s v="SGARMERC_PE202408_REMAO004.TXT"/>
    <x v="67"/>
    <x v="7"/>
    <n v="10"/>
    <n v="102465"/>
    <n v="0.01"/>
    <s v="DQS_MAO04_FILE_000_B"/>
    <s v="RECORD COUNT by MBR_ID, DOS_THRU_DT, DX_CD Grain grouped by PAYER, SRC_FILE_NM, DOS_THRU_YYYYMM"/>
  </r>
  <r>
    <x v="2"/>
    <s v="SGARMERC_PE202408_REMAO004.TXT"/>
    <x v="68"/>
    <x v="7"/>
    <n v="59"/>
    <n v="102465"/>
    <n v="0.06"/>
    <s v="DQS_MAO04_FILE_000_B"/>
    <s v="RECORD COUNT by MBR_ID, DOS_THRU_DT, DX_CD Grain grouped by PAYER, SRC_FILE_NM, DOS_THRU_YYYYMM"/>
  </r>
  <r>
    <x v="2"/>
    <s v="SGARMERC_PE202408_REMAO004.TXT"/>
    <x v="69"/>
    <x v="7"/>
    <n v="14"/>
    <n v="102465"/>
    <n v="0.01"/>
    <s v="DQS_MAO04_FILE_000_B"/>
    <s v="RECORD COUNT by MBR_ID, DOS_THRU_DT, DX_CD Grain grouped by PAYER, SRC_FILE_NM, DOS_THRU_YYYYMM"/>
  </r>
  <r>
    <x v="2"/>
    <s v="SGARMERC_PE202408_REMAO004.TXT"/>
    <x v="70"/>
    <x v="7"/>
    <n v="49"/>
    <n v="102465"/>
    <n v="0.05"/>
    <s v="DQS_MAO04_FILE_000_B"/>
    <s v="RECORD COUNT by MBR_ID, DOS_THRU_DT, DX_CD Grain grouped by PAYER, SRC_FILE_NM, DOS_THRU_YYYYMM"/>
  </r>
  <r>
    <x v="2"/>
    <s v="SGARMERC_PE202408_REMAO004.TXT"/>
    <x v="71"/>
    <x v="7"/>
    <n v="58"/>
    <n v="102465"/>
    <n v="0.06"/>
    <s v="DQS_MAO04_FILE_000_B"/>
    <s v="RECORD COUNT by MBR_ID, DOS_THRU_DT, DX_CD Grain grouped by PAYER, SRC_FILE_NM, DOS_THRU_YYYYMM"/>
  </r>
  <r>
    <x v="2"/>
    <s v="SGARMERC_PE202408_REMAO004.TXT"/>
    <x v="72"/>
    <x v="7"/>
    <n v="78"/>
    <n v="102465"/>
    <n v="0.08"/>
    <s v="DQS_MAO04_FILE_000_B"/>
    <s v="RECORD COUNT by MBR_ID, DOS_THRU_DT, DX_CD Grain grouped by PAYER, SRC_FILE_NM, DOS_THRU_YYYYMM"/>
  </r>
  <r>
    <x v="2"/>
    <s v="SGARMERC_PE202408_REMAO004.TXT"/>
    <x v="73"/>
    <x v="7"/>
    <n v="64"/>
    <n v="102465"/>
    <n v="0.06"/>
    <s v="DQS_MAO04_FILE_000_B"/>
    <s v="RECORD COUNT by MBR_ID, DOS_THRU_DT, DX_CD Grain grouped by PAYER, SRC_FILE_NM, DOS_THRU_YYYYMM"/>
  </r>
  <r>
    <x v="2"/>
    <s v="SGARMERC_PE202408_REMAO004.TXT"/>
    <x v="74"/>
    <x v="7"/>
    <n v="47"/>
    <n v="102465"/>
    <n v="0.05"/>
    <s v="DQS_MAO04_FILE_000_B"/>
    <s v="RECORD COUNT by MBR_ID, DOS_THRU_DT, DX_CD Grain grouped by PAYER, SRC_FILE_NM, DOS_THRU_YYYYMM"/>
  </r>
  <r>
    <x v="2"/>
    <s v="SGARMERC_PE202408_REMAO004.TXT"/>
    <x v="75"/>
    <x v="7"/>
    <n v="67"/>
    <n v="102465"/>
    <n v="7.0000000000000007E-2"/>
    <s v="DQS_MAO04_FILE_000_B"/>
    <s v="RECORD COUNT by MBR_ID, DOS_THRU_DT, DX_CD Grain grouped by PAYER, SRC_FILE_NM, DOS_THRU_YYYYMM"/>
  </r>
  <r>
    <x v="2"/>
    <s v="SGARMERC_PE202408_REMAO004.TXT"/>
    <x v="76"/>
    <x v="7"/>
    <n v="108"/>
    <n v="102465"/>
    <n v="0.11"/>
    <s v="DQS_MAO04_FILE_000_B"/>
    <s v="RECORD COUNT by MBR_ID, DOS_THRU_DT, DX_CD Grain grouped by PAYER, SRC_FILE_NM, DOS_THRU_YYYYMM"/>
  </r>
  <r>
    <x v="2"/>
    <s v="SGARMERC_PE202408_REMAO004.TXT"/>
    <x v="77"/>
    <x v="8"/>
    <n v="144"/>
    <n v="102465"/>
    <n v="0.14000000000000001"/>
    <s v="DQS_MAO04_FILE_000_B"/>
    <s v="RECORD COUNT by MBR_ID, DOS_THRU_DT, DX_CD Grain grouped by PAYER, SRC_FILE_NM, DOS_THRU_YYYYMM"/>
  </r>
  <r>
    <x v="2"/>
    <s v="SGARMERC_PE202408_REMAO004.TXT"/>
    <x v="78"/>
    <x v="8"/>
    <n v="216"/>
    <n v="102465"/>
    <n v="0.21"/>
    <s v="DQS_MAO04_FILE_000_B"/>
    <s v="RECORD COUNT by MBR_ID, DOS_THRU_DT, DX_CD Grain grouped by PAYER, SRC_FILE_NM, DOS_THRU_YYYYMM"/>
  </r>
  <r>
    <x v="2"/>
    <s v="SGARMERC_PE202408_REMAO004.TXT"/>
    <x v="79"/>
    <x v="8"/>
    <n v="283"/>
    <n v="102465"/>
    <n v="0.28000000000000003"/>
    <s v="DQS_MAO04_FILE_000_B"/>
    <s v="RECORD COUNT by MBR_ID, DOS_THRU_DT, DX_CD Grain grouped by PAYER, SRC_FILE_NM, DOS_THRU_YYYYMM"/>
  </r>
  <r>
    <x v="2"/>
    <s v="SGARMERC_PE202408_REMAO004.TXT"/>
    <x v="80"/>
    <x v="8"/>
    <n v="407"/>
    <n v="102465"/>
    <n v="0.4"/>
    <s v="DQS_MAO04_FILE_000_B"/>
    <s v="RECORD COUNT by MBR_ID, DOS_THRU_DT, DX_CD Grain grouped by PAYER, SRC_FILE_NM, DOS_THRU_YYYYMM"/>
  </r>
  <r>
    <x v="2"/>
    <s v="SGARMERC_PE202408_REMAO004.TXT"/>
    <x v="81"/>
    <x v="8"/>
    <n v="381"/>
    <n v="102465"/>
    <n v="0.37"/>
    <s v="DQS_MAO04_FILE_000_B"/>
    <s v="RECORD COUNT by MBR_ID, DOS_THRU_DT, DX_CD Grain grouped by PAYER, SRC_FILE_NM, DOS_THRU_YYYYMM"/>
  </r>
  <r>
    <x v="2"/>
    <s v="SGARMERC_PE202408_REMAO004.TXT"/>
    <x v="82"/>
    <x v="8"/>
    <n v="344"/>
    <n v="102465"/>
    <n v="0.34"/>
    <s v="DQS_MAO04_FILE_000_B"/>
    <s v="RECORD COUNT by MBR_ID, DOS_THRU_DT, DX_CD Grain grouped by PAYER, SRC_FILE_NM, DOS_THRU_YYYYMM"/>
  </r>
  <r>
    <x v="2"/>
    <s v="SGARMERC_PE202408_REMAO004.TXT"/>
    <x v="83"/>
    <x v="8"/>
    <n v="598"/>
    <n v="102465"/>
    <n v="0.57999999999999996"/>
    <s v="DQS_MAO04_FILE_000_B"/>
    <s v="RECORD COUNT by MBR_ID, DOS_THRU_DT, DX_CD Grain grouped by PAYER, SRC_FILE_NM, DOS_THRU_YYYYMM"/>
  </r>
  <r>
    <x v="2"/>
    <s v="SGARMERC_PE202408_REMAO004.TXT"/>
    <x v="84"/>
    <x v="8"/>
    <n v="965"/>
    <n v="102465"/>
    <n v="0.94"/>
    <s v="DQS_MAO04_FILE_000_B"/>
    <s v="RECORD COUNT by MBR_ID, DOS_THRU_DT, DX_CD Grain grouped by PAYER, SRC_FILE_NM, DOS_THRU_YYYYMM"/>
  </r>
  <r>
    <x v="2"/>
    <s v="SGARMERC_PE202408_REMAO004.TXT"/>
    <x v="85"/>
    <x v="8"/>
    <n v="1071"/>
    <n v="102465"/>
    <n v="1.05"/>
    <s v="DQS_MAO04_FILE_000_B"/>
    <s v="RECORD COUNT by MBR_ID, DOS_THRU_DT, DX_CD Grain grouped by PAYER, SRC_FILE_NM, DOS_THRU_YYYYMM"/>
  </r>
  <r>
    <x v="2"/>
    <s v="SGARMERC_PE202408_REMAO004.TXT"/>
    <x v="86"/>
    <x v="8"/>
    <n v="1477"/>
    <n v="102465"/>
    <n v="1.44"/>
    <s v="DQS_MAO04_FILE_000_B"/>
    <s v="RECORD COUNT by MBR_ID, DOS_THRU_DT, DX_CD Grain grouped by PAYER, SRC_FILE_NM, DOS_THRU_YYYYMM"/>
  </r>
  <r>
    <x v="2"/>
    <s v="SGARMERC_PE202408_REMAO004.TXT"/>
    <x v="87"/>
    <x v="8"/>
    <n v="897"/>
    <n v="102465"/>
    <n v="0.88"/>
    <s v="DQS_MAO04_FILE_000_B"/>
    <s v="RECORD COUNT by MBR_ID, DOS_THRU_DT, DX_CD Grain grouped by PAYER, SRC_FILE_NM, DOS_THRU_YYYYMM"/>
  </r>
  <r>
    <x v="2"/>
    <s v="SGARMERC_PE202408_REMAO004.TXT"/>
    <x v="88"/>
    <x v="8"/>
    <n v="710"/>
    <n v="102465"/>
    <n v="0.69"/>
    <s v="DQS_MAO04_FILE_000_B"/>
    <s v="RECORD COUNT by MBR_ID, DOS_THRU_DT, DX_CD Grain grouped by PAYER, SRC_FILE_NM, DOS_THRU_YYYYMM"/>
  </r>
  <r>
    <x v="2"/>
    <s v="SGARMERC_PE202408_REMAO004.TXT"/>
    <x v="89"/>
    <x v="9"/>
    <n v="2507"/>
    <n v="102465"/>
    <n v="2.4500000000000002"/>
    <s v="DQS_MAO04_FILE_000_B"/>
    <s v="RECORD COUNT by MBR_ID, DOS_THRU_DT, DX_CD Grain grouped by PAYER, SRC_FILE_NM, DOS_THRU_YYYYMM"/>
  </r>
  <r>
    <x v="2"/>
    <s v="SGARMERC_PE202408_REMAO004.TXT"/>
    <x v="97"/>
    <x v="9"/>
    <n v="2240"/>
    <n v="102465"/>
    <n v="2.19"/>
    <s v="DQS_MAO04_FILE_000_B"/>
    <s v="RECORD COUNT by MBR_ID, DOS_THRU_DT, DX_CD Grain grouped by PAYER, SRC_FILE_NM, DOS_THRU_YYYYMM"/>
  </r>
  <r>
    <x v="2"/>
    <s v="SGARMERC_PE202408_REMAO004.TXT"/>
    <x v="98"/>
    <x v="9"/>
    <n v="1991"/>
    <n v="102465"/>
    <n v="1.94"/>
    <s v="DQS_MAO04_FILE_000_B"/>
    <s v="RECORD COUNT by MBR_ID, DOS_THRU_DT, DX_CD Grain grouped by PAYER, SRC_FILE_NM, DOS_THRU_YYYYMM"/>
  </r>
  <r>
    <x v="2"/>
    <s v="SGARMERC_PE202408_REMAO004.TXT"/>
    <x v="99"/>
    <x v="9"/>
    <n v="4126"/>
    <n v="102465"/>
    <n v="4.03"/>
    <s v="DQS_MAO04_FILE_000_B"/>
    <s v="RECORD COUNT by MBR_ID, DOS_THRU_DT, DX_CD Grain grouped by PAYER, SRC_FILE_NM, DOS_THRU_YYYYMM"/>
  </r>
  <r>
    <x v="2"/>
    <s v="SGARMERC_PE202408_REMAO004.TXT"/>
    <x v="100"/>
    <x v="9"/>
    <n v="50183"/>
    <n v="102465"/>
    <n v="48.98"/>
    <s v="DQS_MAO04_FILE_000_B"/>
    <s v="RECORD COUNT by MBR_ID, DOS_THRU_DT, DX_CD Grain grouped by PAYER, SRC_FILE_NM, DOS_THRU_YYYYMM"/>
  </r>
  <r>
    <x v="2"/>
    <s v="SGARMERC_PE202408_REMAO004.TXT"/>
    <x v="102"/>
    <x v="9"/>
    <n v="33293"/>
    <n v="102465"/>
    <n v="32.49"/>
    <s v="DQS_MAO04_FILE_000_B"/>
    <s v="RECORD COUNT by MBR_ID, DOS_THRU_DT, DX_CD Grain grouped by PAYER, SRC_FILE_NM, DOS_THRU_YYYYMM"/>
  </r>
  <r>
    <x v="2"/>
    <s v="SGARMERC_PE202409_REMAO004.TXT"/>
    <x v="49"/>
    <x v="5"/>
    <n v="12"/>
    <n v="113103"/>
    <n v="0.01"/>
    <s v="DQS_MAO04_FILE_000_B"/>
    <s v="RECORD COUNT by MBR_ID, DOS_THRU_DT, DX_CD Grain grouped by PAYER, SRC_FILE_NM, DOS_THRU_YYYYMM"/>
  </r>
  <r>
    <x v="2"/>
    <s v="SGARMERC_PE202409_REMAO004.TXT"/>
    <x v="50"/>
    <x v="5"/>
    <n v="16"/>
    <n v="113103"/>
    <n v="0.01"/>
    <s v="DQS_MAO04_FILE_000_B"/>
    <s v="RECORD COUNT by MBR_ID, DOS_THRU_DT, DX_CD Grain grouped by PAYER, SRC_FILE_NM, DOS_THRU_YYYYMM"/>
  </r>
  <r>
    <x v="2"/>
    <s v="SGARMERC_PE202409_REMAO004.TXT"/>
    <x v="57"/>
    <x v="6"/>
    <n v="3"/>
    <n v="113103"/>
    <n v="0"/>
    <s v="DQS_MAO04_FILE_000_B"/>
    <s v="RECORD COUNT by MBR_ID, DOS_THRU_DT, DX_CD Grain grouped by PAYER, SRC_FILE_NM, DOS_THRU_YYYYMM"/>
  </r>
  <r>
    <x v="2"/>
    <s v="SGARMERC_PE202409_REMAO004.TXT"/>
    <x v="61"/>
    <x v="6"/>
    <n v="1"/>
    <n v="113103"/>
    <n v="0"/>
    <s v="DQS_MAO04_FILE_000_B"/>
    <s v="RECORD COUNT by MBR_ID, DOS_THRU_DT, DX_CD Grain grouped by PAYER, SRC_FILE_NM, DOS_THRU_YYYYMM"/>
  </r>
  <r>
    <x v="2"/>
    <s v="SGARMERC_PE202409_REMAO004.TXT"/>
    <x v="65"/>
    <x v="7"/>
    <n v="28"/>
    <n v="113103"/>
    <n v="0.02"/>
    <s v="DQS_MAO04_FILE_000_B"/>
    <s v="RECORD COUNT by MBR_ID, DOS_THRU_DT, DX_CD Grain grouped by PAYER, SRC_FILE_NM, DOS_THRU_YYYYMM"/>
  </r>
  <r>
    <x v="2"/>
    <s v="SGARMERC_PE202409_REMAO004.TXT"/>
    <x v="68"/>
    <x v="7"/>
    <n v="39"/>
    <n v="113103"/>
    <n v="0.03"/>
    <s v="DQS_MAO04_FILE_000_B"/>
    <s v="RECORD COUNT by MBR_ID, DOS_THRU_DT, DX_CD Grain grouped by PAYER, SRC_FILE_NM, DOS_THRU_YYYYMM"/>
  </r>
  <r>
    <x v="2"/>
    <s v="SGARMERC_PE202409_REMAO004.TXT"/>
    <x v="69"/>
    <x v="7"/>
    <n v="3"/>
    <n v="113103"/>
    <n v="0"/>
    <s v="DQS_MAO04_FILE_000_B"/>
    <s v="RECORD COUNT by MBR_ID, DOS_THRU_DT, DX_CD Grain grouped by PAYER, SRC_FILE_NM, DOS_THRU_YYYYMM"/>
  </r>
  <r>
    <x v="2"/>
    <s v="SGARMERC_PE202409_REMAO004.TXT"/>
    <x v="70"/>
    <x v="7"/>
    <n v="27"/>
    <n v="113103"/>
    <n v="0.02"/>
    <s v="DQS_MAO04_FILE_000_B"/>
    <s v="RECORD COUNT by MBR_ID, DOS_THRU_DT, DX_CD Grain grouped by PAYER, SRC_FILE_NM, DOS_THRU_YYYYMM"/>
  </r>
  <r>
    <x v="2"/>
    <s v="SGARMERC_PE202409_REMAO004.TXT"/>
    <x v="71"/>
    <x v="7"/>
    <n v="28"/>
    <n v="113103"/>
    <n v="0.02"/>
    <s v="DQS_MAO04_FILE_000_B"/>
    <s v="RECORD COUNT by MBR_ID, DOS_THRU_DT, DX_CD Grain grouped by PAYER, SRC_FILE_NM, DOS_THRU_YYYYMM"/>
  </r>
  <r>
    <x v="2"/>
    <s v="SGARMERC_PE202409_REMAO004.TXT"/>
    <x v="72"/>
    <x v="7"/>
    <n v="63"/>
    <n v="113103"/>
    <n v="0.06"/>
    <s v="DQS_MAO04_FILE_000_B"/>
    <s v="RECORD COUNT by MBR_ID, DOS_THRU_DT, DX_CD Grain grouped by PAYER, SRC_FILE_NM, DOS_THRU_YYYYMM"/>
  </r>
  <r>
    <x v="2"/>
    <s v="SGARMERC_PE202409_REMAO004.TXT"/>
    <x v="73"/>
    <x v="7"/>
    <n v="50"/>
    <n v="113103"/>
    <n v="0.04"/>
    <s v="DQS_MAO04_FILE_000_B"/>
    <s v="RECORD COUNT by MBR_ID, DOS_THRU_DT, DX_CD Grain grouped by PAYER, SRC_FILE_NM, DOS_THRU_YYYYMM"/>
  </r>
  <r>
    <x v="2"/>
    <s v="SGARMERC_PE202409_REMAO004.TXT"/>
    <x v="74"/>
    <x v="7"/>
    <n v="57"/>
    <n v="113103"/>
    <n v="0.05"/>
    <s v="DQS_MAO04_FILE_000_B"/>
    <s v="RECORD COUNT by MBR_ID, DOS_THRU_DT, DX_CD Grain grouped by PAYER, SRC_FILE_NM, DOS_THRU_YYYYMM"/>
  </r>
  <r>
    <x v="2"/>
    <s v="SGARMERC_PE202409_REMAO004.TXT"/>
    <x v="75"/>
    <x v="7"/>
    <n v="50"/>
    <n v="113103"/>
    <n v="0.04"/>
    <s v="DQS_MAO04_FILE_000_B"/>
    <s v="RECORD COUNT by MBR_ID, DOS_THRU_DT, DX_CD Grain grouped by PAYER, SRC_FILE_NM, DOS_THRU_YYYYMM"/>
  </r>
  <r>
    <x v="2"/>
    <s v="SGARMERC_PE202409_REMAO004.TXT"/>
    <x v="76"/>
    <x v="7"/>
    <n v="88"/>
    <n v="113103"/>
    <n v="0.08"/>
    <s v="DQS_MAO04_FILE_000_B"/>
    <s v="RECORD COUNT by MBR_ID, DOS_THRU_DT, DX_CD Grain grouped by PAYER, SRC_FILE_NM, DOS_THRU_YYYYMM"/>
  </r>
  <r>
    <x v="2"/>
    <s v="SGARMERC_PE202409_REMAO004.TXT"/>
    <x v="77"/>
    <x v="8"/>
    <n v="312"/>
    <n v="113103"/>
    <n v="0.28000000000000003"/>
    <s v="DQS_MAO04_FILE_000_B"/>
    <s v="RECORD COUNT by MBR_ID, DOS_THRU_DT, DX_CD Grain grouped by PAYER, SRC_FILE_NM, DOS_THRU_YYYYMM"/>
  </r>
  <r>
    <x v="2"/>
    <s v="SGARMERC_PE202409_REMAO004.TXT"/>
    <x v="78"/>
    <x v="8"/>
    <n v="394"/>
    <n v="113103"/>
    <n v="0.35"/>
    <s v="DQS_MAO04_FILE_000_B"/>
    <s v="RECORD COUNT by MBR_ID, DOS_THRU_DT, DX_CD Grain grouped by PAYER, SRC_FILE_NM, DOS_THRU_YYYYMM"/>
  </r>
  <r>
    <x v="2"/>
    <s v="SGARMERC_PE202409_REMAO004.TXT"/>
    <x v="79"/>
    <x v="8"/>
    <n v="560"/>
    <n v="113103"/>
    <n v="0.5"/>
    <s v="DQS_MAO04_FILE_000_B"/>
    <s v="RECORD COUNT by MBR_ID, DOS_THRU_DT, DX_CD Grain grouped by PAYER, SRC_FILE_NM, DOS_THRU_YYYYMM"/>
  </r>
  <r>
    <x v="2"/>
    <s v="SGARMERC_PE202409_REMAO004.TXT"/>
    <x v="80"/>
    <x v="8"/>
    <n v="576"/>
    <n v="113103"/>
    <n v="0.51"/>
    <s v="DQS_MAO04_FILE_000_B"/>
    <s v="RECORD COUNT by MBR_ID, DOS_THRU_DT, DX_CD Grain grouped by PAYER, SRC_FILE_NM, DOS_THRU_YYYYMM"/>
  </r>
  <r>
    <x v="2"/>
    <s v="SGARMERC_PE202409_REMAO004.TXT"/>
    <x v="81"/>
    <x v="8"/>
    <n v="358"/>
    <n v="113103"/>
    <n v="0.32"/>
    <s v="DQS_MAO04_FILE_000_B"/>
    <s v="RECORD COUNT by MBR_ID, DOS_THRU_DT, DX_CD Grain grouped by PAYER, SRC_FILE_NM, DOS_THRU_YYYYMM"/>
  </r>
  <r>
    <x v="2"/>
    <s v="SGARMERC_PE202409_REMAO004.TXT"/>
    <x v="82"/>
    <x v="8"/>
    <n v="586"/>
    <n v="113103"/>
    <n v="0.52"/>
    <s v="DQS_MAO04_FILE_000_B"/>
    <s v="RECORD COUNT by MBR_ID, DOS_THRU_DT, DX_CD Grain grouped by PAYER, SRC_FILE_NM, DOS_THRU_YYYYMM"/>
  </r>
  <r>
    <x v="2"/>
    <s v="SGARMERC_PE202409_REMAO004.TXT"/>
    <x v="83"/>
    <x v="8"/>
    <n v="949"/>
    <n v="113103"/>
    <n v="0.84"/>
    <s v="DQS_MAO04_FILE_000_B"/>
    <s v="RECORD COUNT by MBR_ID, DOS_THRU_DT, DX_CD Grain grouped by PAYER, SRC_FILE_NM, DOS_THRU_YYYYMM"/>
  </r>
  <r>
    <x v="2"/>
    <s v="SGARMERC_PE202409_REMAO004.TXT"/>
    <x v="84"/>
    <x v="8"/>
    <n v="1027"/>
    <n v="113103"/>
    <n v="0.91"/>
    <s v="DQS_MAO04_FILE_000_B"/>
    <s v="RECORD COUNT by MBR_ID, DOS_THRU_DT, DX_CD Grain grouped by PAYER, SRC_FILE_NM, DOS_THRU_YYYYMM"/>
  </r>
  <r>
    <x v="2"/>
    <s v="SGARMERC_PE202409_REMAO004.TXT"/>
    <x v="85"/>
    <x v="8"/>
    <n v="1111"/>
    <n v="113103"/>
    <n v="0.98"/>
    <s v="DQS_MAO04_FILE_000_B"/>
    <s v="RECORD COUNT by MBR_ID, DOS_THRU_DT, DX_CD Grain grouped by PAYER, SRC_FILE_NM, DOS_THRU_YYYYMM"/>
  </r>
  <r>
    <x v="2"/>
    <s v="SGARMERC_PE202409_REMAO004.TXT"/>
    <x v="86"/>
    <x v="8"/>
    <n v="2564"/>
    <n v="113103"/>
    <n v="2.27"/>
    <s v="DQS_MAO04_FILE_000_B"/>
    <s v="RECORD COUNT by MBR_ID, DOS_THRU_DT, DX_CD Grain grouped by PAYER, SRC_FILE_NM, DOS_THRU_YYYYMM"/>
  </r>
  <r>
    <x v="2"/>
    <s v="SGARMERC_PE202409_REMAO004.TXT"/>
    <x v="87"/>
    <x v="8"/>
    <n v="2773"/>
    <n v="113103"/>
    <n v="2.4500000000000002"/>
    <s v="DQS_MAO04_FILE_000_B"/>
    <s v="RECORD COUNT by MBR_ID, DOS_THRU_DT, DX_CD Grain grouped by PAYER, SRC_FILE_NM, DOS_THRU_YYYYMM"/>
  </r>
  <r>
    <x v="2"/>
    <s v="SGARMERC_PE202409_REMAO004.TXT"/>
    <x v="88"/>
    <x v="8"/>
    <n v="1558"/>
    <n v="113103"/>
    <n v="1.38"/>
    <s v="DQS_MAO04_FILE_000_B"/>
    <s v="RECORD COUNT by MBR_ID, DOS_THRU_DT, DX_CD Grain grouped by PAYER, SRC_FILE_NM, DOS_THRU_YYYYMM"/>
  </r>
  <r>
    <x v="2"/>
    <s v="SGARMERC_PE202409_REMAO004.TXT"/>
    <x v="89"/>
    <x v="9"/>
    <n v="1946"/>
    <n v="113103"/>
    <n v="1.72"/>
    <s v="DQS_MAO04_FILE_000_B"/>
    <s v="RECORD COUNT by MBR_ID, DOS_THRU_DT, DX_CD Grain grouped by PAYER, SRC_FILE_NM, DOS_THRU_YYYYMM"/>
  </r>
  <r>
    <x v="2"/>
    <s v="SGARMERC_PE202409_REMAO004.TXT"/>
    <x v="97"/>
    <x v="9"/>
    <n v="2569"/>
    <n v="113103"/>
    <n v="2.27"/>
    <s v="DQS_MAO04_FILE_000_B"/>
    <s v="RECORD COUNT by MBR_ID, DOS_THRU_DT, DX_CD Grain grouped by PAYER, SRC_FILE_NM, DOS_THRU_YYYYMM"/>
  </r>
  <r>
    <x v="2"/>
    <s v="SGARMERC_PE202409_REMAO004.TXT"/>
    <x v="98"/>
    <x v="9"/>
    <n v="2693"/>
    <n v="113103"/>
    <n v="2.38"/>
    <s v="DQS_MAO04_FILE_000_B"/>
    <s v="RECORD COUNT by MBR_ID, DOS_THRU_DT, DX_CD Grain grouped by PAYER, SRC_FILE_NM, DOS_THRU_YYYYMM"/>
  </r>
  <r>
    <x v="2"/>
    <s v="SGARMERC_PE202409_REMAO004.TXT"/>
    <x v="99"/>
    <x v="9"/>
    <n v="2839"/>
    <n v="113103"/>
    <n v="2.5099999999999998"/>
    <s v="DQS_MAO04_FILE_000_B"/>
    <s v="RECORD COUNT by MBR_ID, DOS_THRU_DT, DX_CD Grain grouped by PAYER, SRC_FILE_NM, DOS_THRU_YYYYMM"/>
  </r>
  <r>
    <x v="2"/>
    <s v="SGARMERC_PE202409_REMAO004.TXT"/>
    <x v="100"/>
    <x v="9"/>
    <n v="8063"/>
    <n v="113103"/>
    <n v="7.13"/>
    <s v="DQS_MAO04_FILE_000_B"/>
    <s v="RECORD COUNT by MBR_ID, DOS_THRU_DT, DX_CD Grain grouped by PAYER, SRC_FILE_NM, DOS_THRU_YYYYMM"/>
  </r>
  <r>
    <x v="2"/>
    <s v="SGARMERC_PE202409_REMAO004.TXT"/>
    <x v="102"/>
    <x v="9"/>
    <n v="46073"/>
    <n v="113103"/>
    <n v="40.74"/>
    <s v="DQS_MAO04_FILE_000_B"/>
    <s v="RECORD COUNT by MBR_ID, DOS_THRU_DT, DX_CD Grain grouped by PAYER, SRC_FILE_NM, DOS_THRU_YYYYMM"/>
  </r>
  <r>
    <x v="2"/>
    <s v="SGARMERC_PE202409_REMAO004.TXT"/>
    <x v="103"/>
    <x v="9"/>
    <n v="35687"/>
    <n v="113103"/>
    <n v="31.55"/>
    <s v="DQS_MAO04_FILE_000_B"/>
    <s v="RECORD COUNT by MBR_ID, DOS_THRU_DT, DX_CD Grain grouped by PAYER, SRC_FILE_NM, DOS_THRU_YYYYMM"/>
  </r>
  <r>
    <x v="2"/>
    <s v="SGARMERC_PE202410_REMAO004.TXT"/>
    <x v="45"/>
    <x v="5"/>
    <n v="5"/>
    <n v="103767"/>
    <n v="0"/>
    <s v="DQS_MAO04_FILE_000_B"/>
    <s v="RECORD COUNT by MBR_ID, DOS_THRU_DT, DX_CD Grain grouped by PAYER, SRC_FILE_NM, DOS_THRU_YYYYMM"/>
  </r>
  <r>
    <x v="2"/>
    <s v="SGARMERC_PE202410_REMAO004.TXT"/>
    <x v="53"/>
    <x v="6"/>
    <n v="17"/>
    <n v="103767"/>
    <n v="0.02"/>
    <s v="DQS_MAO04_FILE_000_B"/>
    <s v="RECORD COUNT by MBR_ID, DOS_THRU_DT, DX_CD Grain grouped by PAYER, SRC_FILE_NM, DOS_THRU_YYYYMM"/>
  </r>
  <r>
    <x v="2"/>
    <s v="SGARMERC_PE202410_REMAO004.TXT"/>
    <x v="61"/>
    <x v="6"/>
    <n v="1"/>
    <n v="103767"/>
    <n v="0"/>
    <s v="DQS_MAO04_FILE_000_B"/>
    <s v="RECORD COUNT by MBR_ID, DOS_THRU_DT, DX_CD Grain grouped by PAYER, SRC_FILE_NM, DOS_THRU_YYYYMM"/>
  </r>
  <r>
    <x v="2"/>
    <s v="SGARMERC_PE202410_REMAO004.TXT"/>
    <x v="65"/>
    <x v="7"/>
    <n v="28"/>
    <n v="103767"/>
    <n v="0.03"/>
    <s v="DQS_MAO04_FILE_000_B"/>
    <s v="RECORD COUNT by MBR_ID, DOS_THRU_DT, DX_CD Grain grouped by PAYER, SRC_FILE_NM, DOS_THRU_YYYYMM"/>
  </r>
  <r>
    <x v="2"/>
    <s v="SGARMERC_PE202410_REMAO004.TXT"/>
    <x v="66"/>
    <x v="7"/>
    <n v="3"/>
    <n v="103767"/>
    <n v="0"/>
    <s v="DQS_MAO04_FILE_000_B"/>
    <s v="RECORD COUNT by MBR_ID, DOS_THRU_DT, DX_CD Grain grouped by PAYER, SRC_FILE_NM, DOS_THRU_YYYYMM"/>
  </r>
  <r>
    <x v="2"/>
    <s v="SGARMERC_PE202410_REMAO004.TXT"/>
    <x v="67"/>
    <x v="7"/>
    <n v="3"/>
    <n v="103767"/>
    <n v="0"/>
    <s v="DQS_MAO04_FILE_000_B"/>
    <s v="RECORD COUNT by MBR_ID, DOS_THRU_DT, DX_CD Grain grouped by PAYER, SRC_FILE_NM, DOS_THRU_YYYYMM"/>
  </r>
  <r>
    <x v="2"/>
    <s v="SGARMERC_PE202410_REMAO004.TXT"/>
    <x v="68"/>
    <x v="7"/>
    <n v="40"/>
    <n v="103767"/>
    <n v="0.04"/>
    <s v="DQS_MAO04_FILE_000_B"/>
    <s v="RECORD COUNT by MBR_ID, DOS_THRU_DT, DX_CD Grain grouped by PAYER, SRC_FILE_NM, DOS_THRU_YYYYMM"/>
  </r>
  <r>
    <x v="2"/>
    <s v="SGARMERC_PE202410_REMAO004.TXT"/>
    <x v="69"/>
    <x v="7"/>
    <n v="3"/>
    <n v="103767"/>
    <n v="0"/>
    <s v="DQS_MAO04_FILE_000_B"/>
    <s v="RECORD COUNT by MBR_ID, DOS_THRU_DT, DX_CD Grain grouped by PAYER, SRC_FILE_NM, DOS_THRU_YYYYMM"/>
  </r>
  <r>
    <x v="2"/>
    <s v="SGARMERC_PE202410_REMAO004.TXT"/>
    <x v="70"/>
    <x v="7"/>
    <n v="12"/>
    <n v="103767"/>
    <n v="0.01"/>
    <s v="DQS_MAO04_FILE_000_B"/>
    <s v="RECORD COUNT by MBR_ID, DOS_THRU_DT, DX_CD Grain grouped by PAYER, SRC_FILE_NM, DOS_THRU_YYYYMM"/>
  </r>
  <r>
    <x v="2"/>
    <s v="SGARMERC_PE202410_REMAO004.TXT"/>
    <x v="71"/>
    <x v="7"/>
    <n v="20"/>
    <n v="103767"/>
    <n v="0.02"/>
    <s v="DQS_MAO04_FILE_000_B"/>
    <s v="RECORD COUNT by MBR_ID, DOS_THRU_DT, DX_CD Grain grouped by PAYER, SRC_FILE_NM, DOS_THRU_YYYYMM"/>
  </r>
  <r>
    <x v="2"/>
    <s v="SGARMERC_PE202410_REMAO004.TXT"/>
    <x v="72"/>
    <x v="7"/>
    <n v="16"/>
    <n v="103767"/>
    <n v="0.02"/>
    <s v="DQS_MAO04_FILE_000_B"/>
    <s v="RECORD COUNT by MBR_ID, DOS_THRU_DT, DX_CD Grain grouped by PAYER, SRC_FILE_NM, DOS_THRU_YYYYMM"/>
  </r>
  <r>
    <x v="2"/>
    <s v="SGARMERC_PE202410_REMAO004.TXT"/>
    <x v="73"/>
    <x v="7"/>
    <n v="30"/>
    <n v="103767"/>
    <n v="0.03"/>
    <s v="DQS_MAO04_FILE_000_B"/>
    <s v="RECORD COUNT by MBR_ID, DOS_THRU_DT, DX_CD Grain grouped by PAYER, SRC_FILE_NM, DOS_THRU_YYYYMM"/>
  </r>
  <r>
    <x v="2"/>
    <s v="SGARMERC_PE202410_REMAO004.TXT"/>
    <x v="74"/>
    <x v="7"/>
    <n v="31"/>
    <n v="103767"/>
    <n v="0.03"/>
    <s v="DQS_MAO04_FILE_000_B"/>
    <s v="RECORD COUNT by MBR_ID, DOS_THRU_DT, DX_CD Grain grouped by PAYER, SRC_FILE_NM, DOS_THRU_YYYYMM"/>
  </r>
  <r>
    <x v="2"/>
    <s v="SGARMERC_PE202410_REMAO004.TXT"/>
    <x v="75"/>
    <x v="7"/>
    <n v="37"/>
    <n v="103767"/>
    <n v="0.04"/>
    <s v="DQS_MAO04_FILE_000_B"/>
    <s v="RECORD COUNT by MBR_ID, DOS_THRU_DT, DX_CD Grain grouped by PAYER, SRC_FILE_NM, DOS_THRU_YYYYMM"/>
  </r>
  <r>
    <x v="2"/>
    <s v="SGARMERC_PE202410_REMAO004.TXT"/>
    <x v="76"/>
    <x v="7"/>
    <n v="47"/>
    <n v="103767"/>
    <n v="0.05"/>
    <s v="DQS_MAO04_FILE_000_B"/>
    <s v="RECORD COUNT by MBR_ID, DOS_THRU_DT, DX_CD Grain grouped by PAYER, SRC_FILE_NM, DOS_THRU_YYYYMM"/>
  </r>
  <r>
    <x v="2"/>
    <s v="SGARMERC_PE202410_REMAO004.TXT"/>
    <x v="77"/>
    <x v="8"/>
    <n v="199"/>
    <n v="103767"/>
    <n v="0.19"/>
    <s v="DQS_MAO04_FILE_000_B"/>
    <s v="RECORD COUNT by MBR_ID, DOS_THRU_DT, DX_CD Grain grouped by PAYER, SRC_FILE_NM, DOS_THRU_YYYYMM"/>
  </r>
  <r>
    <x v="2"/>
    <s v="SGARMERC_PE202410_REMAO004.TXT"/>
    <x v="78"/>
    <x v="8"/>
    <n v="250"/>
    <n v="103767"/>
    <n v="0.24"/>
    <s v="DQS_MAO04_FILE_000_B"/>
    <s v="RECORD COUNT by MBR_ID, DOS_THRU_DT, DX_CD Grain grouped by PAYER, SRC_FILE_NM, DOS_THRU_YYYYMM"/>
  </r>
  <r>
    <x v="2"/>
    <s v="SGARMERC_PE202410_REMAO004.TXT"/>
    <x v="79"/>
    <x v="8"/>
    <n v="355"/>
    <n v="103767"/>
    <n v="0.34"/>
    <s v="DQS_MAO04_FILE_000_B"/>
    <s v="RECORD COUNT by MBR_ID, DOS_THRU_DT, DX_CD Grain grouped by PAYER, SRC_FILE_NM, DOS_THRU_YYYYMM"/>
  </r>
  <r>
    <x v="2"/>
    <s v="SGARMERC_PE202410_REMAO004.TXT"/>
    <x v="80"/>
    <x v="8"/>
    <n v="254"/>
    <n v="103767"/>
    <n v="0.24"/>
    <s v="DQS_MAO04_FILE_000_B"/>
    <s v="RECORD COUNT by MBR_ID, DOS_THRU_DT, DX_CD Grain grouped by PAYER, SRC_FILE_NM, DOS_THRU_YYYYMM"/>
  </r>
  <r>
    <x v="2"/>
    <s v="SGARMERC_PE202410_REMAO004.TXT"/>
    <x v="81"/>
    <x v="8"/>
    <n v="304"/>
    <n v="103767"/>
    <n v="0.28999999999999998"/>
    <s v="DQS_MAO04_FILE_000_B"/>
    <s v="RECORD COUNT by MBR_ID, DOS_THRU_DT, DX_CD Grain grouped by PAYER, SRC_FILE_NM, DOS_THRU_YYYYMM"/>
  </r>
  <r>
    <x v="2"/>
    <s v="SGARMERC_PE202410_REMAO004.TXT"/>
    <x v="82"/>
    <x v="8"/>
    <n v="267"/>
    <n v="103767"/>
    <n v="0.26"/>
    <s v="DQS_MAO04_FILE_000_B"/>
    <s v="RECORD COUNT by MBR_ID, DOS_THRU_DT, DX_CD Grain grouped by PAYER, SRC_FILE_NM, DOS_THRU_YYYYMM"/>
  </r>
  <r>
    <x v="2"/>
    <s v="SGARMERC_PE202410_REMAO004.TXT"/>
    <x v="83"/>
    <x v="8"/>
    <n v="456"/>
    <n v="103767"/>
    <n v="0.44"/>
    <s v="DQS_MAO04_FILE_000_B"/>
    <s v="RECORD COUNT by MBR_ID, DOS_THRU_DT, DX_CD Grain grouped by PAYER, SRC_FILE_NM, DOS_THRU_YYYYMM"/>
  </r>
  <r>
    <x v="2"/>
    <s v="SGARMERC_PE202410_REMAO004.TXT"/>
    <x v="84"/>
    <x v="8"/>
    <n v="540"/>
    <n v="103767"/>
    <n v="0.52"/>
    <s v="DQS_MAO04_FILE_000_B"/>
    <s v="RECORD COUNT by MBR_ID, DOS_THRU_DT, DX_CD Grain grouped by PAYER, SRC_FILE_NM, DOS_THRU_YYYYMM"/>
  </r>
  <r>
    <x v="2"/>
    <s v="SGARMERC_PE202410_REMAO004.TXT"/>
    <x v="85"/>
    <x v="8"/>
    <n v="475"/>
    <n v="103767"/>
    <n v="0.46"/>
    <s v="DQS_MAO04_FILE_000_B"/>
    <s v="RECORD COUNT by MBR_ID, DOS_THRU_DT, DX_CD Grain grouped by PAYER, SRC_FILE_NM, DOS_THRU_YYYYMM"/>
  </r>
  <r>
    <x v="2"/>
    <s v="SGARMERC_PE202410_REMAO004.TXT"/>
    <x v="86"/>
    <x v="8"/>
    <n v="1189"/>
    <n v="103767"/>
    <n v="1.1499999999999999"/>
    <s v="DQS_MAO04_FILE_000_B"/>
    <s v="RECORD COUNT by MBR_ID, DOS_THRU_DT, DX_CD Grain grouped by PAYER, SRC_FILE_NM, DOS_THRU_YYYYMM"/>
  </r>
  <r>
    <x v="2"/>
    <s v="SGARMERC_PE202410_REMAO004.TXT"/>
    <x v="87"/>
    <x v="8"/>
    <n v="1050"/>
    <n v="103767"/>
    <n v="1.01"/>
    <s v="DQS_MAO04_FILE_000_B"/>
    <s v="RECORD COUNT by MBR_ID, DOS_THRU_DT, DX_CD Grain grouped by PAYER, SRC_FILE_NM, DOS_THRU_YYYYMM"/>
  </r>
  <r>
    <x v="2"/>
    <s v="SGARMERC_PE202410_REMAO004.TXT"/>
    <x v="88"/>
    <x v="8"/>
    <n v="647"/>
    <n v="103767"/>
    <n v="0.62"/>
    <s v="DQS_MAO04_FILE_000_B"/>
    <s v="RECORD COUNT by MBR_ID, DOS_THRU_DT, DX_CD Grain grouped by PAYER, SRC_FILE_NM, DOS_THRU_YYYYMM"/>
  </r>
  <r>
    <x v="2"/>
    <s v="SGARMERC_PE202410_REMAO004.TXT"/>
    <x v="89"/>
    <x v="9"/>
    <n v="999"/>
    <n v="103767"/>
    <n v="0.96"/>
    <s v="DQS_MAO04_FILE_000_B"/>
    <s v="RECORD COUNT by MBR_ID, DOS_THRU_DT, DX_CD Grain grouped by PAYER, SRC_FILE_NM, DOS_THRU_YYYYMM"/>
  </r>
  <r>
    <x v="2"/>
    <s v="SGARMERC_PE202410_REMAO004.TXT"/>
    <x v="97"/>
    <x v="9"/>
    <n v="1220"/>
    <n v="103767"/>
    <n v="1.18"/>
    <s v="DQS_MAO04_FILE_000_B"/>
    <s v="RECORD COUNT by MBR_ID, DOS_THRU_DT, DX_CD Grain grouped by PAYER, SRC_FILE_NM, DOS_THRU_YYYYMM"/>
  </r>
  <r>
    <x v="2"/>
    <s v="SGARMERC_PE202410_REMAO004.TXT"/>
    <x v="98"/>
    <x v="9"/>
    <n v="1262"/>
    <n v="103767"/>
    <n v="1.22"/>
    <s v="DQS_MAO04_FILE_000_B"/>
    <s v="RECORD COUNT by MBR_ID, DOS_THRU_DT, DX_CD Grain grouped by PAYER, SRC_FILE_NM, DOS_THRU_YYYYMM"/>
  </r>
  <r>
    <x v="2"/>
    <s v="SGARMERC_PE202410_REMAO004.TXT"/>
    <x v="99"/>
    <x v="9"/>
    <n v="1448"/>
    <n v="103767"/>
    <n v="1.4"/>
    <s v="DQS_MAO04_FILE_000_B"/>
    <s v="RECORD COUNT by MBR_ID, DOS_THRU_DT, DX_CD Grain grouped by PAYER, SRC_FILE_NM, DOS_THRU_YYYYMM"/>
  </r>
  <r>
    <x v="2"/>
    <s v="SGARMERC_PE202410_REMAO004.TXT"/>
    <x v="100"/>
    <x v="9"/>
    <n v="2669"/>
    <n v="103767"/>
    <n v="2.57"/>
    <s v="DQS_MAO04_FILE_000_B"/>
    <s v="RECORD COUNT by MBR_ID, DOS_THRU_DT, DX_CD Grain grouped by PAYER, SRC_FILE_NM, DOS_THRU_YYYYMM"/>
  </r>
  <r>
    <x v="2"/>
    <s v="SGARMERC_PE202410_REMAO004.TXT"/>
    <x v="102"/>
    <x v="9"/>
    <n v="5852"/>
    <n v="103767"/>
    <n v="5.64"/>
    <s v="DQS_MAO04_FILE_000_B"/>
    <s v="RECORD COUNT by MBR_ID, DOS_THRU_DT, DX_CD Grain grouped by PAYER, SRC_FILE_NM, DOS_THRU_YYYYMM"/>
  </r>
  <r>
    <x v="2"/>
    <s v="SGARMERC_PE202410_REMAO004.TXT"/>
    <x v="103"/>
    <x v="9"/>
    <n v="47525"/>
    <n v="103767"/>
    <n v="45.8"/>
    <s v="DQS_MAO04_FILE_000_B"/>
    <s v="RECORD COUNT by MBR_ID, DOS_THRU_DT, DX_CD Grain grouped by PAYER, SRC_FILE_NM, DOS_THRU_YYYYMM"/>
  </r>
  <r>
    <x v="2"/>
    <s v="SGARMERC_PE202410_REMAO004.TXT"/>
    <x v="105"/>
    <x v="9"/>
    <n v="36513"/>
    <n v="103767"/>
    <n v="35.19"/>
    <s v="DQS_MAO04_FILE_000_B"/>
    <s v="RECORD COUNT by MBR_ID, DOS_THRU_DT, DX_CD Grain grouped by PAYER, SRC_FILE_NM, DOS_THRU_YYYYMM"/>
  </r>
  <r>
    <x v="2"/>
    <s v="SGARMERC_PE202411_REMAO004.TXT"/>
    <x v="29"/>
    <x v="4"/>
    <n v="13"/>
    <n v="82533"/>
    <n v="0.02"/>
    <s v="DQS_MAO04_FILE_000_B"/>
    <s v="RECORD COUNT by MBR_ID, DOS_THRU_DT, DX_CD Grain grouped by PAYER, SRC_FILE_NM, DOS_THRU_YYYYMM"/>
  </r>
  <r>
    <x v="2"/>
    <s v="SGARMERC_PE202411_REMAO004.TXT"/>
    <x v="30"/>
    <x v="4"/>
    <n v="4"/>
    <n v="82533"/>
    <n v="0"/>
    <s v="DQS_MAO04_FILE_000_B"/>
    <s v="RECORD COUNT by MBR_ID, DOS_THRU_DT, DX_CD Grain grouped by PAYER, SRC_FILE_NM, DOS_THRU_YYYYMM"/>
  </r>
  <r>
    <x v="2"/>
    <s v="SGARMERC_PE202411_REMAO004.TXT"/>
    <x v="31"/>
    <x v="4"/>
    <n v="1"/>
    <n v="82533"/>
    <n v="0"/>
    <s v="DQS_MAO04_FILE_000_B"/>
    <s v="RECORD COUNT by MBR_ID, DOS_THRU_DT, DX_CD Grain grouped by PAYER, SRC_FILE_NM, DOS_THRU_YYYYMM"/>
  </r>
  <r>
    <x v="2"/>
    <s v="SGARMERC_PE202411_REMAO004.TXT"/>
    <x v="57"/>
    <x v="6"/>
    <n v="1"/>
    <n v="82533"/>
    <n v="0"/>
    <s v="DQS_MAO04_FILE_000_B"/>
    <s v="RECORD COUNT by MBR_ID, DOS_THRU_DT, DX_CD Grain grouped by PAYER, SRC_FILE_NM, DOS_THRU_YYYYMM"/>
  </r>
  <r>
    <x v="2"/>
    <s v="SGARMERC_PE202411_REMAO004.TXT"/>
    <x v="60"/>
    <x v="6"/>
    <n v="3"/>
    <n v="82533"/>
    <n v="0"/>
    <s v="DQS_MAO04_FILE_000_B"/>
    <s v="RECORD COUNT by MBR_ID, DOS_THRU_DT, DX_CD Grain grouped by PAYER, SRC_FILE_NM, DOS_THRU_YYYYMM"/>
  </r>
  <r>
    <x v="2"/>
    <s v="SGARMERC_PE202411_REMAO004.TXT"/>
    <x v="61"/>
    <x v="6"/>
    <n v="1"/>
    <n v="82533"/>
    <n v="0"/>
    <s v="DQS_MAO04_FILE_000_B"/>
    <s v="RECORD COUNT by MBR_ID, DOS_THRU_DT, DX_CD Grain grouped by PAYER, SRC_FILE_NM, DOS_THRU_YYYYMM"/>
  </r>
  <r>
    <x v="2"/>
    <s v="SGARMERC_PE202411_REMAO004.TXT"/>
    <x v="62"/>
    <x v="6"/>
    <n v="4"/>
    <n v="82533"/>
    <n v="0"/>
    <s v="DQS_MAO04_FILE_000_B"/>
    <s v="RECORD COUNT by MBR_ID, DOS_THRU_DT, DX_CD Grain grouped by PAYER, SRC_FILE_NM, DOS_THRU_YYYYMM"/>
  </r>
  <r>
    <x v="2"/>
    <s v="SGARMERC_PE202411_REMAO004.TXT"/>
    <x v="63"/>
    <x v="6"/>
    <n v="1"/>
    <n v="82533"/>
    <n v="0"/>
    <s v="DQS_MAO04_FILE_000_B"/>
    <s v="RECORD COUNT by MBR_ID, DOS_THRU_DT, DX_CD Grain grouped by PAYER, SRC_FILE_NM, DOS_THRU_YYYYMM"/>
  </r>
  <r>
    <x v="2"/>
    <s v="SGARMERC_PE202411_REMAO004.TXT"/>
    <x v="65"/>
    <x v="7"/>
    <n v="33"/>
    <n v="82533"/>
    <n v="0.04"/>
    <s v="DQS_MAO04_FILE_000_B"/>
    <s v="RECORD COUNT by MBR_ID, DOS_THRU_DT, DX_CD Grain grouped by PAYER, SRC_FILE_NM, DOS_THRU_YYYYMM"/>
  </r>
  <r>
    <x v="2"/>
    <s v="SGARMERC_PE202411_REMAO004.TXT"/>
    <x v="66"/>
    <x v="7"/>
    <n v="27"/>
    <n v="82533"/>
    <n v="0.03"/>
    <s v="DQS_MAO04_FILE_000_B"/>
    <s v="RECORD COUNT by MBR_ID, DOS_THRU_DT, DX_CD Grain grouped by PAYER, SRC_FILE_NM, DOS_THRU_YYYYMM"/>
  </r>
  <r>
    <x v="2"/>
    <s v="SGARMERC_PE202411_REMAO004.TXT"/>
    <x v="67"/>
    <x v="7"/>
    <n v="2"/>
    <n v="82533"/>
    <n v="0"/>
    <s v="DQS_MAO04_FILE_000_B"/>
    <s v="RECORD COUNT by MBR_ID, DOS_THRU_DT, DX_CD Grain grouped by PAYER, SRC_FILE_NM, DOS_THRU_YYYYMM"/>
  </r>
  <r>
    <x v="2"/>
    <s v="SGARMERC_PE202411_REMAO004.TXT"/>
    <x v="69"/>
    <x v="7"/>
    <n v="5"/>
    <n v="82533"/>
    <n v="0.01"/>
    <s v="DQS_MAO04_FILE_000_B"/>
    <s v="RECORD COUNT by MBR_ID, DOS_THRU_DT, DX_CD Grain grouped by PAYER, SRC_FILE_NM, DOS_THRU_YYYYMM"/>
  </r>
  <r>
    <x v="2"/>
    <s v="SGARMERC_PE202411_REMAO004.TXT"/>
    <x v="70"/>
    <x v="7"/>
    <n v="6"/>
    <n v="82533"/>
    <n v="0.01"/>
    <s v="DQS_MAO04_FILE_000_B"/>
    <s v="RECORD COUNT by MBR_ID, DOS_THRU_DT, DX_CD Grain grouped by PAYER, SRC_FILE_NM, DOS_THRU_YYYYMM"/>
  </r>
  <r>
    <x v="2"/>
    <s v="SGARMERC_PE202411_REMAO004.TXT"/>
    <x v="71"/>
    <x v="7"/>
    <n v="26"/>
    <n v="82533"/>
    <n v="0.03"/>
    <s v="DQS_MAO04_FILE_000_B"/>
    <s v="RECORD COUNT by MBR_ID, DOS_THRU_DT, DX_CD Grain grouped by PAYER, SRC_FILE_NM, DOS_THRU_YYYYMM"/>
  </r>
  <r>
    <x v="2"/>
    <s v="SGARMERC_PE202411_REMAO004.TXT"/>
    <x v="72"/>
    <x v="7"/>
    <n v="19"/>
    <n v="82533"/>
    <n v="0.02"/>
    <s v="DQS_MAO04_FILE_000_B"/>
    <s v="RECORD COUNT by MBR_ID, DOS_THRU_DT, DX_CD Grain grouped by PAYER, SRC_FILE_NM, DOS_THRU_YYYYMM"/>
  </r>
  <r>
    <x v="2"/>
    <s v="SGARMERC_PE202411_REMAO004.TXT"/>
    <x v="73"/>
    <x v="7"/>
    <n v="14"/>
    <n v="82533"/>
    <n v="0.02"/>
    <s v="DQS_MAO04_FILE_000_B"/>
    <s v="RECORD COUNT by MBR_ID, DOS_THRU_DT, DX_CD Grain grouped by PAYER, SRC_FILE_NM, DOS_THRU_YYYYMM"/>
  </r>
  <r>
    <x v="2"/>
    <s v="SGARMERC_PE202411_REMAO004.TXT"/>
    <x v="74"/>
    <x v="7"/>
    <n v="54"/>
    <n v="82533"/>
    <n v="7.0000000000000007E-2"/>
    <s v="DQS_MAO04_FILE_000_B"/>
    <s v="RECORD COUNT by MBR_ID, DOS_THRU_DT, DX_CD Grain grouped by PAYER, SRC_FILE_NM, DOS_THRU_YYYYMM"/>
  </r>
  <r>
    <x v="2"/>
    <s v="SGARMERC_PE202411_REMAO004.TXT"/>
    <x v="75"/>
    <x v="7"/>
    <n v="60"/>
    <n v="82533"/>
    <n v="7.0000000000000007E-2"/>
    <s v="DQS_MAO04_FILE_000_B"/>
    <s v="RECORD COUNT by MBR_ID, DOS_THRU_DT, DX_CD Grain grouped by PAYER, SRC_FILE_NM, DOS_THRU_YYYYMM"/>
  </r>
  <r>
    <x v="2"/>
    <s v="SGARMERC_PE202411_REMAO004.TXT"/>
    <x v="76"/>
    <x v="7"/>
    <n v="31"/>
    <n v="82533"/>
    <n v="0.04"/>
    <s v="DQS_MAO04_FILE_000_B"/>
    <s v="RECORD COUNT by MBR_ID, DOS_THRU_DT, DX_CD Grain grouped by PAYER, SRC_FILE_NM, DOS_THRU_YYYYMM"/>
  </r>
  <r>
    <x v="2"/>
    <s v="SGARMERC_PE202411_REMAO004.TXT"/>
    <x v="77"/>
    <x v="8"/>
    <n v="113"/>
    <n v="82533"/>
    <n v="0.14000000000000001"/>
    <s v="DQS_MAO04_FILE_000_B"/>
    <s v="RECORD COUNT by MBR_ID, DOS_THRU_DT, DX_CD Grain grouped by PAYER, SRC_FILE_NM, DOS_THRU_YYYYMM"/>
  </r>
  <r>
    <x v="2"/>
    <s v="SGARMERC_PE202411_REMAO004.TXT"/>
    <x v="78"/>
    <x v="8"/>
    <n v="152"/>
    <n v="82533"/>
    <n v="0.18"/>
    <s v="DQS_MAO04_FILE_000_B"/>
    <s v="RECORD COUNT by MBR_ID, DOS_THRU_DT, DX_CD Grain grouped by PAYER, SRC_FILE_NM, DOS_THRU_YYYYMM"/>
  </r>
  <r>
    <x v="2"/>
    <s v="SGARMERC_PE202411_REMAO004.TXT"/>
    <x v="79"/>
    <x v="8"/>
    <n v="129"/>
    <n v="82533"/>
    <n v="0.16"/>
    <s v="DQS_MAO04_FILE_000_B"/>
    <s v="RECORD COUNT by MBR_ID, DOS_THRU_DT, DX_CD Grain grouped by PAYER, SRC_FILE_NM, DOS_THRU_YYYYMM"/>
  </r>
  <r>
    <x v="2"/>
    <s v="SGARMERC_PE202411_REMAO004.TXT"/>
    <x v="80"/>
    <x v="8"/>
    <n v="171"/>
    <n v="82533"/>
    <n v="0.21"/>
    <s v="DQS_MAO04_FILE_000_B"/>
    <s v="RECORD COUNT by MBR_ID, DOS_THRU_DT, DX_CD Grain grouped by PAYER, SRC_FILE_NM, DOS_THRU_YYYYMM"/>
  </r>
  <r>
    <x v="2"/>
    <s v="SGARMERC_PE202411_REMAO004.TXT"/>
    <x v="81"/>
    <x v="8"/>
    <n v="123"/>
    <n v="82533"/>
    <n v="0.15"/>
    <s v="DQS_MAO04_FILE_000_B"/>
    <s v="RECORD COUNT by MBR_ID, DOS_THRU_DT, DX_CD Grain grouped by PAYER, SRC_FILE_NM, DOS_THRU_YYYYMM"/>
  </r>
  <r>
    <x v="2"/>
    <s v="SGARMERC_PE202411_REMAO004.TXT"/>
    <x v="82"/>
    <x v="8"/>
    <n v="106"/>
    <n v="82533"/>
    <n v="0.13"/>
    <s v="DQS_MAO04_FILE_000_B"/>
    <s v="RECORD COUNT by MBR_ID, DOS_THRU_DT, DX_CD Grain grouped by PAYER, SRC_FILE_NM, DOS_THRU_YYYYMM"/>
  </r>
  <r>
    <x v="2"/>
    <s v="SGARMERC_PE202411_REMAO004.TXT"/>
    <x v="83"/>
    <x v="8"/>
    <n v="281"/>
    <n v="82533"/>
    <n v="0.34"/>
    <s v="DQS_MAO04_FILE_000_B"/>
    <s v="RECORD COUNT by MBR_ID, DOS_THRU_DT, DX_CD Grain grouped by PAYER, SRC_FILE_NM, DOS_THRU_YYYYMM"/>
  </r>
  <r>
    <x v="2"/>
    <s v="SGARMERC_PE202411_REMAO004.TXT"/>
    <x v="84"/>
    <x v="8"/>
    <n v="444"/>
    <n v="82533"/>
    <n v="0.54"/>
    <s v="DQS_MAO04_FILE_000_B"/>
    <s v="RECORD COUNT by MBR_ID, DOS_THRU_DT, DX_CD Grain grouped by PAYER, SRC_FILE_NM, DOS_THRU_YYYYMM"/>
  </r>
  <r>
    <x v="2"/>
    <s v="SGARMERC_PE202411_REMAO004.TXT"/>
    <x v="85"/>
    <x v="8"/>
    <n v="667"/>
    <n v="82533"/>
    <n v="0.81"/>
    <s v="DQS_MAO04_FILE_000_B"/>
    <s v="RECORD COUNT by MBR_ID, DOS_THRU_DT, DX_CD Grain grouped by PAYER, SRC_FILE_NM, DOS_THRU_YYYYMM"/>
  </r>
  <r>
    <x v="2"/>
    <s v="SGARMERC_PE202411_REMAO004.TXT"/>
    <x v="86"/>
    <x v="8"/>
    <n v="873"/>
    <n v="82533"/>
    <n v="1.06"/>
    <s v="DQS_MAO04_FILE_000_B"/>
    <s v="RECORD COUNT by MBR_ID, DOS_THRU_DT, DX_CD Grain grouped by PAYER, SRC_FILE_NM, DOS_THRU_YYYYMM"/>
  </r>
  <r>
    <x v="2"/>
    <s v="SGARMERC_PE202411_REMAO004.TXT"/>
    <x v="87"/>
    <x v="8"/>
    <n v="1558"/>
    <n v="82533"/>
    <n v="1.89"/>
    <s v="DQS_MAO04_FILE_000_B"/>
    <s v="RECORD COUNT by MBR_ID, DOS_THRU_DT, DX_CD Grain grouped by PAYER, SRC_FILE_NM, DOS_THRU_YYYYMM"/>
  </r>
  <r>
    <x v="2"/>
    <s v="SGARMERC_PE202411_REMAO004.TXT"/>
    <x v="88"/>
    <x v="8"/>
    <n v="2510"/>
    <n v="82533"/>
    <n v="3.04"/>
    <s v="DQS_MAO04_FILE_000_B"/>
    <s v="RECORD COUNT by MBR_ID, DOS_THRU_DT, DX_CD Grain grouped by PAYER, SRC_FILE_NM, DOS_THRU_YYYYMM"/>
  </r>
  <r>
    <x v="2"/>
    <s v="SGARMERC_PE202411_REMAO004.TXT"/>
    <x v="89"/>
    <x v="9"/>
    <n v="491"/>
    <n v="82533"/>
    <n v="0.59"/>
    <s v="DQS_MAO04_FILE_000_B"/>
    <s v="RECORD COUNT by MBR_ID, DOS_THRU_DT, DX_CD Grain grouped by PAYER, SRC_FILE_NM, DOS_THRU_YYYYMM"/>
  </r>
  <r>
    <x v="2"/>
    <s v="SGARMERC_PE202411_REMAO004.TXT"/>
    <x v="97"/>
    <x v="9"/>
    <n v="797"/>
    <n v="82533"/>
    <n v="0.97"/>
    <s v="DQS_MAO04_FILE_000_B"/>
    <s v="RECORD COUNT by MBR_ID, DOS_THRU_DT, DX_CD Grain grouped by PAYER, SRC_FILE_NM, DOS_THRU_YYYYMM"/>
  </r>
  <r>
    <x v="2"/>
    <s v="SGARMERC_PE202411_REMAO004.TXT"/>
    <x v="98"/>
    <x v="9"/>
    <n v="729"/>
    <n v="82533"/>
    <n v="0.88"/>
    <s v="DQS_MAO04_FILE_000_B"/>
    <s v="RECORD COUNT by MBR_ID, DOS_THRU_DT, DX_CD Grain grouped by PAYER, SRC_FILE_NM, DOS_THRU_YYYYMM"/>
  </r>
  <r>
    <x v="2"/>
    <s v="SGARMERC_PE202411_REMAO004.TXT"/>
    <x v="99"/>
    <x v="9"/>
    <n v="755"/>
    <n v="82533"/>
    <n v="0.91"/>
    <s v="DQS_MAO04_FILE_000_B"/>
    <s v="RECORD COUNT by MBR_ID, DOS_THRU_DT, DX_CD Grain grouped by PAYER, SRC_FILE_NM, DOS_THRU_YYYYMM"/>
  </r>
  <r>
    <x v="2"/>
    <s v="SGARMERC_PE202411_REMAO004.TXT"/>
    <x v="100"/>
    <x v="9"/>
    <n v="1257"/>
    <n v="82533"/>
    <n v="1.52"/>
    <s v="DQS_MAO04_FILE_000_B"/>
    <s v="RECORD COUNT by MBR_ID, DOS_THRU_DT, DX_CD Grain grouped by PAYER, SRC_FILE_NM, DOS_THRU_YYYYMM"/>
  </r>
  <r>
    <x v="2"/>
    <s v="SGARMERC_PE202411_REMAO004.TXT"/>
    <x v="102"/>
    <x v="9"/>
    <n v="2659"/>
    <n v="82533"/>
    <n v="3.22"/>
    <s v="DQS_MAO04_FILE_000_B"/>
    <s v="RECORD COUNT by MBR_ID, DOS_THRU_DT, DX_CD Grain grouped by PAYER, SRC_FILE_NM, DOS_THRU_YYYYMM"/>
  </r>
  <r>
    <x v="2"/>
    <s v="SGARMERC_PE202411_REMAO004.TXT"/>
    <x v="103"/>
    <x v="9"/>
    <n v="5275"/>
    <n v="82533"/>
    <n v="6.39"/>
    <s v="DQS_MAO04_FILE_000_B"/>
    <s v="RECORD COUNT by MBR_ID, DOS_THRU_DT, DX_CD Grain grouped by PAYER, SRC_FILE_NM, DOS_THRU_YYYYMM"/>
  </r>
  <r>
    <x v="2"/>
    <s v="SGARMERC_PE202411_REMAO004.TXT"/>
    <x v="105"/>
    <x v="9"/>
    <n v="39591"/>
    <n v="82533"/>
    <n v="47.97"/>
    <s v="DQS_MAO04_FILE_000_B"/>
    <s v="RECORD COUNT by MBR_ID, DOS_THRU_DT, DX_CD Grain grouped by PAYER, SRC_FILE_NM, DOS_THRU_YYYYMM"/>
  </r>
  <r>
    <x v="2"/>
    <s v="SGARMERC_PE202411_REMAO004.TXT"/>
    <x v="106"/>
    <x v="9"/>
    <n v="23547"/>
    <n v="82533"/>
    <n v="28.53"/>
    <s v="DQS_MAO04_FILE_000_B"/>
    <s v="RECORD COUNT by MBR_ID, DOS_THRU_DT, DX_CD Grain grouped by PAYER, SRC_FILE_NM, DOS_THRU_YYYYMM"/>
  </r>
  <r>
    <x v="2"/>
    <s v="SGARMERC_PE202412_REMAO004.TXT"/>
    <x v="23"/>
    <x v="3"/>
    <n v="1"/>
    <n v="104438"/>
    <n v="0"/>
    <s v="DQS_MAO04_FILE_000_B"/>
    <s v="RECORD COUNT by MBR_ID, DOS_THRU_DT, DX_CD Grain grouped by PAYER, SRC_FILE_NM, DOS_THRU_YYYYMM"/>
  </r>
  <r>
    <x v="2"/>
    <s v="SGARMERC_PE202412_REMAO004.TXT"/>
    <x v="29"/>
    <x v="4"/>
    <n v="36"/>
    <n v="104438"/>
    <n v="0.03"/>
    <s v="DQS_MAO04_FILE_000_B"/>
    <s v="RECORD COUNT by MBR_ID, DOS_THRU_DT, DX_CD Grain grouped by PAYER, SRC_FILE_NM, DOS_THRU_YYYYMM"/>
  </r>
  <r>
    <x v="2"/>
    <s v="SGARMERC_PE202412_REMAO004.TXT"/>
    <x v="30"/>
    <x v="4"/>
    <n v="7"/>
    <n v="104438"/>
    <n v="0.01"/>
    <s v="DQS_MAO04_FILE_000_B"/>
    <s v="RECORD COUNT by MBR_ID, DOS_THRU_DT, DX_CD Grain grouped by PAYER, SRC_FILE_NM, DOS_THRU_YYYYMM"/>
  </r>
  <r>
    <x v="2"/>
    <s v="SGARMERC_PE202412_REMAO004.TXT"/>
    <x v="31"/>
    <x v="4"/>
    <n v="3"/>
    <n v="104438"/>
    <n v="0"/>
    <s v="DQS_MAO04_FILE_000_B"/>
    <s v="RECORD COUNT by MBR_ID, DOS_THRU_DT, DX_CD Grain grouped by PAYER, SRC_FILE_NM, DOS_THRU_YYYYMM"/>
  </r>
  <r>
    <x v="2"/>
    <s v="SGARMERC_PE202412_REMAO004.TXT"/>
    <x v="44"/>
    <x v="5"/>
    <n v="1"/>
    <n v="104438"/>
    <n v="0"/>
    <s v="DQS_MAO04_FILE_000_B"/>
    <s v="RECORD COUNT by MBR_ID, DOS_THRU_DT, DX_CD Grain grouped by PAYER, SRC_FILE_NM, DOS_THRU_YYYYMM"/>
  </r>
  <r>
    <x v="2"/>
    <s v="SGARMERC_PE202412_REMAO004.TXT"/>
    <x v="45"/>
    <x v="5"/>
    <n v="7"/>
    <n v="104438"/>
    <n v="0.01"/>
    <s v="DQS_MAO04_FILE_000_B"/>
    <s v="RECORD COUNT by MBR_ID, DOS_THRU_DT, DX_CD Grain grouped by PAYER, SRC_FILE_NM, DOS_THRU_YYYYMM"/>
  </r>
  <r>
    <x v="2"/>
    <s v="SGARMERC_PE202412_REMAO004.TXT"/>
    <x v="62"/>
    <x v="6"/>
    <n v="7"/>
    <n v="104438"/>
    <n v="0.01"/>
    <s v="DQS_MAO04_FILE_000_B"/>
    <s v="RECORD COUNT by MBR_ID, DOS_THRU_DT, DX_CD Grain grouped by PAYER, SRC_FILE_NM, DOS_THRU_YYYYMM"/>
  </r>
  <r>
    <x v="2"/>
    <s v="SGARMERC_PE202412_REMAO004.TXT"/>
    <x v="65"/>
    <x v="7"/>
    <n v="24"/>
    <n v="104438"/>
    <n v="0.02"/>
    <s v="DQS_MAO04_FILE_000_B"/>
    <s v="RECORD COUNT by MBR_ID, DOS_THRU_DT, DX_CD Grain grouped by PAYER, SRC_FILE_NM, DOS_THRU_YYYYMM"/>
  </r>
  <r>
    <x v="2"/>
    <s v="SGARMERC_PE202412_REMAO004.TXT"/>
    <x v="67"/>
    <x v="7"/>
    <n v="10"/>
    <n v="104438"/>
    <n v="0.01"/>
    <s v="DQS_MAO04_FILE_000_B"/>
    <s v="RECORD COUNT by MBR_ID, DOS_THRU_DT, DX_CD Grain grouped by PAYER, SRC_FILE_NM, DOS_THRU_YYYYMM"/>
  </r>
  <r>
    <x v="2"/>
    <s v="SGARMERC_PE202412_REMAO004.TXT"/>
    <x v="68"/>
    <x v="7"/>
    <n v="5"/>
    <n v="104438"/>
    <n v="0"/>
    <s v="DQS_MAO04_FILE_000_B"/>
    <s v="RECORD COUNT by MBR_ID, DOS_THRU_DT, DX_CD Grain grouped by PAYER, SRC_FILE_NM, DOS_THRU_YYYYMM"/>
  </r>
  <r>
    <x v="2"/>
    <s v="SGARMERC_PE202412_REMAO004.TXT"/>
    <x v="69"/>
    <x v="7"/>
    <n v="10"/>
    <n v="104438"/>
    <n v="0.01"/>
    <s v="DQS_MAO04_FILE_000_B"/>
    <s v="RECORD COUNT by MBR_ID, DOS_THRU_DT, DX_CD Grain grouped by PAYER, SRC_FILE_NM, DOS_THRU_YYYYMM"/>
  </r>
  <r>
    <x v="2"/>
    <s v="SGARMERC_PE202412_REMAO004.TXT"/>
    <x v="70"/>
    <x v="7"/>
    <n v="12"/>
    <n v="104438"/>
    <n v="0.01"/>
    <s v="DQS_MAO04_FILE_000_B"/>
    <s v="RECORD COUNT by MBR_ID, DOS_THRU_DT, DX_CD Grain grouped by PAYER, SRC_FILE_NM, DOS_THRU_YYYYMM"/>
  </r>
  <r>
    <x v="2"/>
    <s v="SGARMERC_PE202412_REMAO004.TXT"/>
    <x v="71"/>
    <x v="7"/>
    <n v="12"/>
    <n v="104438"/>
    <n v="0.01"/>
    <s v="DQS_MAO04_FILE_000_B"/>
    <s v="RECORD COUNT by MBR_ID, DOS_THRU_DT, DX_CD Grain grouped by PAYER, SRC_FILE_NM, DOS_THRU_YYYYMM"/>
  </r>
  <r>
    <x v="2"/>
    <s v="SGARMERC_PE202412_REMAO004.TXT"/>
    <x v="72"/>
    <x v="7"/>
    <n v="30"/>
    <n v="104438"/>
    <n v="0.03"/>
    <s v="DQS_MAO04_FILE_000_B"/>
    <s v="RECORD COUNT by MBR_ID, DOS_THRU_DT, DX_CD Grain grouped by PAYER, SRC_FILE_NM, DOS_THRU_YYYYMM"/>
  </r>
  <r>
    <x v="2"/>
    <s v="SGARMERC_PE202412_REMAO004.TXT"/>
    <x v="73"/>
    <x v="7"/>
    <n v="56"/>
    <n v="104438"/>
    <n v="0.05"/>
    <s v="DQS_MAO04_FILE_000_B"/>
    <s v="RECORD COUNT by MBR_ID, DOS_THRU_DT, DX_CD Grain grouped by PAYER, SRC_FILE_NM, DOS_THRU_YYYYMM"/>
  </r>
  <r>
    <x v="2"/>
    <s v="SGARMERC_PE202412_REMAO004.TXT"/>
    <x v="74"/>
    <x v="7"/>
    <n v="16"/>
    <n v="104438"/>
    <n v="0.02"/>
    <s v="DQS_MAO04_FILE_000_B"/>
    <s v="RECORD COUNT by MBR_ID, DOS_THRU_DT, DX_CD Grain grouped by PAYER, SRC_FILE_NM, DOS_THRU_YYYYMM"/>
  </r>
  <r>
    <x v="2"/>
    <s v="SGARMERC_PE202412_REMAO004.TXT"/>
    <x v="75"/>
    <x v="7"/>
    <n v="156"/>
    <n v="104438"/>
    <n v="0.15"/>
    <s v="DQS_MAO04_FILE_000_B"/>
    <s v="RECORD COUNT by MBR_ID, DOS_THRU_DT, DX_CD Grain grouped by PAYER, SRC_FILE_NM, DOS_THRU_YYYYMM"/>
  </r>
  <r>
    <x v="2"/>
    <s v="SGARMERC_PE202412_REMAO004.TXT"/>
    <x v="76"/>
    <x v="7"/>
    <n v="5"/>
    <n v="104438"/>
    <n v="0"/>
    <s v="DQS_MAO04_FILE_000_B"/>
    <s v="RECORD COUNT by MBR_ID, DOS_THRU_DT, DX_CD Grain grouped by PAYER, SRC_FILE_NM, DOS_THRU_YYYYMM"/>
  </r>
  <r>
    <x v="2"/>
    <s v="SGARMERC_PE202412_REMAO004.TXT"/>
    <x v="77"/>
    <x v="8"/>
    <n v="142"/>
    <n v="104438"/>
    <n v="0.14000000000000001"/>
    <s v="DQS_MAO04_FILE_000_B"/>
    <s v="RECORD COUNT by MBR_ID, DOS_THRU_DT, DX_CD Grain grouped by PAYER, SRC_FILE_NM, DOS_THRU_YYYYMM"/>
  </r>
  <r>
    <x v="2"/>
    <s v="SGARMERC_PE202412_REMAO004.TXT"/>
    <x v="78"/>
    <x v="8"/>
    <n v="73"/>
    <n v="104438"/>
    <n v="7.0000000000000007E-2"/>
    <s v="DQS_MAO04_FILE_000_B"/>
    <s v="RECORD COUNT by MBR_ID, DOS_THRU_DT, DX_CD Grain grouped by PAYER, SRC_FILE_NM, DOS_THRU_YYYYMM"/>
  </r>
  <r>
    <x v="2"/>
    <s v="SGARMERC_PE202412_REMAO004.TXT"/>
    <x v="79"/>
    <x v="8"/>
    <n v="204"/>
    <n v="104438"/>
    <n v="0.2"/>
    <s v="DQS_MAO04_FILE_000_B"/>
    <s v="RECORD COUNT by MBR_ID, DOS_THRU_DT, DX_CD Grain grouped by PAYER, SRC_FILE_NM, DOS_THRU_YYYYMM"/>
  </r>
  <r>
    <x v="2"/>
    <s v="SGARMERC_PE202412_REMAO004.TXT"/>
    <x v="80"/>
    <x v="8"/>
    <n v="249"/>
    <n v="104438"/>
    <n v="0.24"/>
    <s v="DQS_MAO04_FILE_000_B"/>
    <s v="RECORD COUNT by MBR_ID, DOS_THRU_DT, DX_CD Grain grouped by PAYER, SRC_FILE_NM, DOS_THRU_YYYYMM"/>
  </r>
  <r>
    <x v="2"/>
    <s v="SGARMERC_PE202412_REMAO004.TXT"/>
    <x v="81"/>
    <x v="8"/>
    <n v="140"/>
    <n v="104438"/>
    <n v="0.13"/>
    <s v="DQS_MAO04_FILE_000_B"/>
    <s v="RECORD COUNT by MBR_ID, DOS_THRU_DT, DX_CD Grain grouped by PAYER, SRC_FILE_NM, DOS_THRU_YYYYMM"/>
  </r>
  <r>
    <x v="2"/>
    <s v="SGARMERC_PE202412_REMAO004.TXT"/>
    <x v="82"/>
    <x v="8"/>
    <n v="243"/>
    <n v="104438"/>
    <n v="0.23"/>
    <s v="DQS_MAO04_FILE_000_B"/>
    <s v="RECORD COUNT by MBR_ID, DOS_THRU_DT, DX_CD Grain grouped by PAYER, SRC_FILE_NM, DOS_THRU_YYYYMM"/>
  </r>
  <r>
    <x v="2"/>
    <s v="SGARMERC_PE202412_REMAO004.TXT"/>
    <x v="83"/>
    <x v="8"/>
    <n v="347"/>
    <n v="104438"/>
    <n v="0.33"/>
    <s v="DQS_MAO04_FILE_000_B"/>
    <s v="RECORD COUNT by MBR_ID, DOS_THRU_DT, DX_CD Grain grouped by PAYER, SRC_FILE_NM, DOS_THRU_YYYYMM"/>
  </r>
  <r>
    <x v="2"/>
    <s v="SGARMERC_PE202412_REMAO004.TXT"/>
    <x v="84"/>
    <x v="8"/>
    <n v="553"/>
    <n v="104438"/>
    <n v="0.53"/>
    <s v="DQS_MAO04_FILE_000_B"/>
    <s v="RECORD COUNT by MBR_ID, DOS_THRU_DT, DX_CD Grain grouped by PAYER, SRC_FILE_NM, DOS_THRU_YYYYMM"/>
  </r>
  <r>
    <x v="2"/>
    <s v="SGARMERC_PE202412_REMAO004.TXT"/>
    <x v="85"/>
    <x v="8"/>
    <n v="1390"/>
    <n v="104438"/>
    <n v="1.33"/>
    <s v="DQS_MAO04_FILE_000_B"/>
    <s v="RECORD COUNT by MBR_ID, DOS_THRU_DT, DX_CD Grain grouped by PAYER, SRC_FILE_NM, DOS_THRU_YYYYMM"/>
  </r>
  <r>
    <x v="2"/>
    <s v="SGARMERC_PE202412_REMAO004.TXT"/>
    <x v="86"/>
    <x v="8"/>
    <n v="873"/>
    <n v="104438"/>
    <n v="0.84"/>
    <s v="DQS_MAO04_FILE_000_B"/>
    <s v="RECORD COUNT by MBR_ID, DOS_THRU_DT, DX_CD Grain grouped by PAYER, SRC_FILE_NM, DOS_THRU_YYYYMM"/>
  </r>
  <r>
    <x v="2"/>
    <s v="SGARMERC_PE202412_REMAO004.TXT"/>
    <x v="87"/>
    <x v="8"/>
    <n v="991"/>
    <n v="104438"/>
    <n v="0.95"/>
    <s v="DQS_MAO04_FILE_000_B"/>
    <s v="RECORD COUNT by MBR_ID, DOS_THRU_DT, DX_CD Grain grouped by PAYER, SRC_FILE_NM, DOS_THRU_YYYYMM"/>
  </r>
  <r>
    <x v="2"/>
    <s v="SGARMERC_PE202412_REMAO004.TXT"/>
    <x v="88"/>
    <x v="8"/>
    <n v="1744"/>
    <n v="104438"/>
    <n v="1.67"/>
    <s v="DQS_MAO04_FILE_000_B"/>
    <s v="RECORD COUNT by MBR_ID, DOS_THRU_DT, DX_CD Grain grouped by PAYER, SRC_FILE_NM, DOS_THRU_YYYYMM"/>
  </r>
  <r>
    <x v="2"/>
    <s v="SGARMERC_PE202412_REMAO004.TXT"/>
    <x v="89"/>
    <x v="9"/>
    <n v="1094"/>
    <n v="104438"/>
    <n v="1.05"/>
    <s v="DQS_MAO04_FILE_000_B"/>
    <s v="RECORD COUNT by MBR_ID, DOS_THRU_DT, DX_CD Grain grouped by PAYER, SRC_FILE_NM, DOS_THRU_YYYYMM"/>
  </r>
  <r>
    <x v="2"/>
    <s v="SGARMERC_PE202412_REMAO004.TXT"/>
    <x v="97"/>
    <x v="9"/>
    <n v="855"/>
    <n v="104438"/>
    <n v="0.82"/>
    <s v="DQS_MAO04_FILE_000_B"/>
    <s v="RECORD COUNT by MBR_ID, DOS_THRU_DT, DX_CD Grain grouped by PAYER, SRC_FILE_NM, DOS_THRU_YYYYMM"/>
  </r>
  <r>
    <x v="2"/>
    <s v="SGARMERC_PE202412_REMAO004.TXT"/>
    <x v="98"/>
    <x v="9"/>
    <n v="700"/>
    <n v="104438"/>
    <n v="0.67"/>
    <s v="DQS_MAO04_FILE_000_B"/>
    <s v="RECORD COUNT by MBR_ID, DOS_THRU_DT, DX_CD Grain grouped by PAYER, SRC_FILE_NM, DOS_THRU_YYYYMM"/>
  </r>
  <r>
    <x v="2"/>
    <s v="SGARMERC_PE202412_REMAO004.TXT"/>
    <x v="99"/>
    <x v="9"/>
    <n v="1087"/>
    <n v="104438"/>
    <n v="1.04"/>
    <s v="DQS_MAO04_FILE_000_B"/>
    <s v="RECORD COUNT by MBR_ID, DOS_THRU_DT, DX_CD Grain grouped by PAYER, SRC_FILE_NM, DOS_THRU_YYYYMM"/>
  </r>
  <r>
    <x v="2"/>
    <s v="SGARMERC_PE202412_REMAO004.TXT"/>
    <x v="100"/>
    <x v="9"/>
    <n v="1385"/>
    <n v="104438"/>
    <n v="1.33"/>
    <s v="DQS_MAO04_FILE_000_B"/>
    <s v="RECORD COUNT by MBR_ID, DOS_THRU_DT, DX_CD Grain grouped by PAYER, SRC_FILE_NM, DOS_THRU_YYYYMM"/>
  </r>
  <r>
    <x v="2"/>
    <s v="SGARMERC_PE202412_REMAO004.TXT"/>
    <x v="102"/>
    <x v="9"/>
    <n v="1875"/>
    <n v="104438"/>
    <n v="1.8"/>
    <s v="DQS_MAO04_FILE_000_B"/>
    <s v="RECORD COUNT by MBR_ID, DOS_THRU_DT, DX_CD Grain grouped by PAYER, SRC_FILE_NM, DOS_THRU_YYYYMM"/>
  </r>
  <r>
    <x v="2"/>
    <s v="SGARMERC_PE202412_REMAO004.TXT"/>
    <x v="103"/>
    <x v="9"/>
    <n v="2346"/>
    <n v="104438"/>
    <n v="2.25"/>
    <s v="DQS_MAO04_FILE_000_B"/>
    <s v="RECORD COUNT by MBR_ID, DOS_THRU_DT, DX_CD Grain grouped by PAYER, SRC_FILE_NM, DOS_THRU_YYYYMM"/>
  </r>
  <r>
    <x v="2"/>
    <s v="SGARMERC_PE202412_REMAO004.TXT"/>
    <x v="105"/>
    <x v="9"/>
    <n v="6448"/>
    <n v="104438"/>
    <n v="6.17"/>
    <s v="DQS_MAO04_FILE_000_B"/>
    <s v="RECORD COUNT by MBR_ID, DOS_THRU_DT, DX_CD Grain grouped by PAYER, SRC_FILE_NM, DOS_THRU_YYYYMM"/>
  </r>
  <r>
    <x v="2"/>
    <s v="SGARMERC_PE202412_REMAO004.TXT"/>
    <x v="106"/>
    <x v="9"/>
    <n v="43744"/>
    <n v="104438"/>
    <n v="41.89"/>
    <s v="DQS_MAO04_FILE_000_B"/>
    <s v="RECORD COUNT by MBR_ID, DOS_THRU_DT, DX_CD Grain grouped by PAYER, SRC_FILE_NM, DOS_THRU_YYYYMM"/>
  </r>
  <r>
    <x v="2"/>
    <s v="SGARMERC_PE202412_REMAO004.TXT"/>
    <x v="107"/>
    <x v="9"/>
    <n v="37557"/>
    <n v="104438"/>
    <n v="35.96"/>
    <s v="DQS_MAO04_FILE_000_B"/>
    <s v="RECORD COUNT by MBR_ID, DOS_THRU_DT, DX_CD Grain grouped by PAYER, SRC_FILE_NM, DOS_THRU_YYYYMM"/>
  </r>
  <r>
    <x v="2"/>
    <s v="SGARMERC_PE202501_REMAO004.TXT"/>
    <x v="44"/>
    <x v="5"/>
    <n v="33"/>
    <n v="96369"/>
    <n v="0.03"/>
    <s v="DQS_MAO04_FILE_000_B"/>
    <s v="RECORD COUNT by MBR_ID, DOS_THRU_DT, DX_CD Grain grouped by PAYER, SRC_FILE_NM, DOS_THRU_YYYYMM"/>
  </r>
  <r>
    <x v="2"/>
    <s v="SGARMERC_PE202501_REMAO004.TXT"/>
    <x v="45"/>
    <x v="5"/>
    <n v="353"/>
    <n v="96369"/>
    <n v="0.37"/>
    <s v="DQS_MAO04_FILE_000_B"/>
    <s v="RECORD COUNT by MBR_ID, DOS_THRU_DT, DX_CD Grain grouped by PAYER, SRC_FILE_NM, DOS_THRU_YYYYMM"/>
  </r>
  <r>
    <x v="2"/>
    <s v="SGARMERC_PE202501_REMAO004.TXT"/>
    <x v="46"/>
    <x v="5"/>
    <n v="4"/>
    <n v="96369"/>
    <n v="0"/>
    <s v="DQS_MAO04_FILE_000_B"/>
    <s v="RECORD COUNT by MBR_ID, DOS_THRU_DT, DX_CD Grain grouped by PAYER, SRC_FILE_NM, DOS_THRU_YYYYMM"/>
  </r>
  <r>
    <x v="2"/>
    <s v="SGARMERC_PE202501_REMAO004.TXT"/>
    <x v="59"/>
    <x v="6"/>
    <n v="2"/>
    <n v="96369"/>
    <n v="0"/>
    <s v="DQS_MAO04_FILE_000_B"/>
    <s v="RECORD COUNT by MBR_ID, DOS_THRU_DT, DX_CD Grain grouped by PAYER, SRC_FILE_NM, DOS_THRU_YYYYMM"/>
  </r>
  <r>
    <x v="2"/>
    <s v="SGARMERC_PE202501_REMAO004.TXT"/>
    <x v="60"/>
    <x v="6"/>
    <n v="1"/>
    <n v="96369"/>
    <n v="0"/>
    <s v="DQS_MAO04_FILE_000_B"/>
    <s v="RECORD COUNT by MBR_ID, DOS_THRU_DT, DX_CD Grain grouped by PAYER, SRC_FILE_NM, DOS_THRU_YYYYMM"/>
  </r>
  <r>
    <x v="2"/>
    <s v="SGARMERC_PE202501_REMAO004.TXT"/>
    <x v="61"/>
    <x v="6"/>
    <n v="4"/>
    <n v="96369"/>
    <n v="0"/>
    <s v="DQS_MAO04_FILE_000_B"/>
    <s v="RECORD COUNT by MBR_ID, DOS_THRU_DT, DX_CD Grain grouped by PAYER, SRC_FILE_NM, DOS_THRU_YYYYMM"/>
  </r>
  <r>
    <x v="2"/>
    <s v="SGARMERC_PE202501_REMAO004.TXT"/>
    <x v="63"/>
    <x v="6"/>
    <n v="6"/>
    <n v="96369"/>
    <n v="0.01"/>
    <s v="DQS_MAO04_FILE_000_B"/>
    <s v="RECORD COUNT by MBR_ID, DOS_THRU_DT, DX_CD Grain grouped by PAYER, SRC_FILE_NM, DOS_THRU_YYYYMM"/>
  </r>
  <r>
    <x v="2"/>
    <s v="SGARMERC_PE202501_REMAO004.TXT"/>
    <x v="65"/>
    <x v="7"/>
    <n v="4"/>
    <n v="96369"/>
    <n v="0"/>
    <s v="DQS_MAO04_FILE_000_B"/>
    <s v="RECORD COUNT by MBR_ID, DOS_THRU_DT, DX_CD Grain grouped by PAYER, SRC_FILE_NM, DOS_THRU_YYYYMM"/>
  </r>
  <r>
    <x v="2"/>
    <s v="SGARMERC_PE202501_REMAO004.TXT"/>
    <x v="66"/>
    <x v="7"/>
    <n v="3"/>
    <n v="96369"/>
    <n v="0"/>
    <s v="DQS_MAO04_FILE_000_B"/>
    <s v="RECORD COUNT by MBR_ID, DOS_THRU_DT, DX_CD Grain grouped by PAYER, SRC_FILE_NM, DOS_THRU_YYYYMM"/>
  </r>
  <r>
    <x v="2"/>
    <s v="SGARMERC_PE202501_REMAO004.TXT"/>
    <x v="67"/>
    <x v="7"/>
    <n v="4"/>
    <n v="96369"/>
    <n v="0"/>
    <s v="DQS_MAO04_FILE_000_B"/>
    <s v="RECORD COUNT by MBR_ID, DOS_THRU_DT, DX_CD Grain grouped by PAYER, SRC_FILE_NM, DOS_THRU_YYYYMM"/>
  </r>
  <r>
    <x v="2"/>
    <s v="SGARMERC_PE202501_REMAO004.TXT"/>
    <x v="69"/>
    <x v="7"/>
    <n v="2"/>
    <n v="96369"/>
    <n v="0"/>
    <s v="DQS_MAO04_FILE_000_B"/>
    <s v="RECORD COUNT by MBR_ID, DOS_THRU_DT, DX_CD Grain grouped by PAYER, SRC_FILE_NM, DOS_THRU_YYYYMM"/>
  </r>
  <r>
    <x v="2"/>
    <s v="SGARMERC_PE202501_REMAO004.TXT"/>
    <x v="70"/>
    <x v="7"/>
    <n v="5"/>
    <n v="96369"/>
    <n v="0.01"/>
    <s v="DQS_MAO04_FILE_000_B"/>
    <s v="RECORD COUNT by MBR_ID, DOS_THRU_DT, DX_CD Grain grouped by PAYER, SRC_FILE_NM, DOS_THRU_YYYYMM"/>
  </r>
  <r>
    <x v="2"/>
    <s v="SGARMERC_PE202501_REMAO004.TXT"/>
    <x v="71"/>
    <x v="7"/>
    <n v="8"/>
    <n v="96369"/>
    <n v="0.01"/>
    <s v="DQS_MAO04_FILE_000_B"/>
    <s v="RECORD COUNT by MBR_ID, DOS_THRU_DT, DX_CD Grain grouped by PAYER, SRC_FILE_NM, DOS_THRU_YYYYMM"/>
  </r>
  <r>
    <x v="2"/>
    <s v="SGARMERC_PE202501_REMAO004.TXT"/>
    <x v="72"/>
    <x v="7"/>
    <n v="19"/>
    <n v="96369"/>
    <n v="0.02"/>
    <s v="DQS_MAO04_FILE_000_B"/>
    <s v="RECORD COUNT by MBR_ID, DOS_THRU_DT, DX_CD Grain grouped by PAYER, SRC_FILE_NM, DOS_THRU_YYYYMM"/>
  </r>
  <r>
    <x v="2"/>
    <s v="SGARMERC_PE202501_REMAO004.TXT"/>
    <x v="73"/>
    <x v="7"/>
    <n v="6"/>
    <n v="96369"/>
    <n v="0.01"/>
    <s v="DQS_MAO04_FILE_000_B"/>
    <s v="RECORD COUNT by MBR_ID, DOS_THRU_DT, DX_CD Grain grouped by PAYER, SRC_FILE_NM, DOS_THRU_YYYYMM"/>
  </r>
  <r>
    <x v="2"/>
    <s v="SGARMERC_PE202501_REMAO004.TXT"/>
    <x v="74"/>
    <x v="7"/>
    <n v="5"/>
    <n v="96369"/>
    <n v="0.01"/>
    <s v="DQS_MAO04_FILE_000_B"/>
    <s v="RECORD COUNT by MBR_ID, DOS_THRU_DT, DX_CD Grain grouped by PAYER, SRC_FILE_NM, DOS_THRU_YYYYMM"/>
  </r>
  <r>
    <x v="2"/>
    <s v="SGARMERC_PE202501_REMAO004.TXT"/>
    <x v="75"/>
    <x v="7"/>
    <n v="22"/>
    <n v="96369"/>
    <n v="0.02"/>
    <s v="DQS_MAO04_FILE_000_B"/>
    <s v="RECORD COUNT by MBR_ID, DOS_THRU_DT, DX_CD Grain grouped by PAYER, SRC_FILE_NM, DOS_THRU_YYYYMM"/>
  </r>
  <r>
    <x v="2"/>
    <s v="SGARMERC_PE202501_REMAO004.TXT"/>
    <x v="76"/>
    <x v="7"/>
    <n v="32"/>
    <n v="96369"/>
    <n v="0.03"/>
    <s v="DQS_MAO04_FILE_000_B"/>
    <s v="RECORD COUNT by MBR_ID, DOS_THRU_DT, DX_CD Grain grouped by PAYER, SRC_FILE_NM, DOS_THRU_YYYYMM"/>
  </r>
  <r>
    <x v="2"/>
    <s v="SGARMERC_PE202501_REMAO004.TXT"/>
    <x v="77"/>
    <x v="8"/>
    <n v="172"/>
    <n v="96369"/>
    <n v="0.18"/>
    <s v="DQS_MAO04_FILE_000_B"/>
    <s v="RECORD COUNT by MBR_ID, DOS_THRU_DT, DX_CD Grain grouped by PAYER, SRC_FILE_NM, DOS_THRU_YYYYMM"/>
  </r>
  <r>
    <x v="2"/>
    <s v="SGARMERC_PE202501_REMAO004.TXT"/>
    <x v="78"/>
    <x v="8"/>
    <n v="192"/>
    <n v="96369"/>
    <n v="0.2"/>
    <s v="DQS_MAO04_FILE_000_B"/>
    <s v="RECORD COUNT by MBR_ID, DOS_THRU_DT, DX_CD Grain grouped by PAYER, SRC_FILE_NM, DOS_THRU_YYYYMM"/>
  </r>
  <r>
    <x v="2"/>
    <s v="SGARMERC_PE202501_REMAO004.TXT"/>
    <x v="79"/>
    <x v="8"/>
    <n v="372"/>
    <n v="96369"/>
    <n v="0.39"/>
    <s v="DQS_MAO04_FILE_000_B"/>
    <s v="RECORD COUNT by MBR_ID, DOS_THRU_DT, DX_CD Grain grouped by PAYER, SRC_FILE_NM, DOS_THRU_YYYYMM"/>
  </r>
  <r>
    <x v="2"/>
    <s v="SGARMERC_PE202501_REMAO004.TXT"/>
    <x v="80"/>
    <x v="8"/>
    <n v="115"/>
    <n v="96369"/>
    <n v="0.12"/>
    <s v="DQS_MAO04_FILE_000_B"/>
    <s v="RECORD COUNT by MBR_ID, DOS_THRU_DT, DX_CD Grain grouped by PAYER, SRC_FILE_NM, DOS_THRU_YYYYMM"/>
  </r>
  <r>
    <x v="2"/>
    <s v="SGARMERC_PE202501_REMAO004.TXT"/>
    <x v="81"/>
    <x v="8"/>
    <n v="111"/>
    <n v="96369"/>
    <n v="0.12"/>
    <s v="DQS_MAO04_FILE_000_B"/>
    <s v="RECORD COUNT by MBR_ID, DOS_THRU_DT, DX_CD Grain grouped by PAYER, SRC_FILE_NM, DOS_THRU_YYYYMM"/>
  </r>
  <r>
    <x v="2"/>
    <s v="SGARMERC_PE202501_REMAO004.TXT"/>
    <x v="82"/>
    <x v="8"/>
    <n v="172"/>
    <n v="96369"/>
    <n v="0.18"/>
    <s v="DQS_MAO04_FILE_000_B"/>
    <s v="RECORD COUNT by MBR_ID, DOS_THRU_DT, DX_CD Grain grouped by PAYER, SRC_FILE_NM, DOS_THRU_YYYYMM"/>
  </r>
  <r>
    <x v="2"/>
    <s v="SGARMERC_PE202501_REMAO004.TXT"/>
    <x v="83"/>
    <x v="8"/>
    <n v="227"/>
    <n v="96369"/>
    <n v="0.24"/>
    <s v="DQS_MAO04_FILE_000_B"/>
    <s v="RECORD COUNT by MBR_ID, DOS_THRU_DT, DX_CD Grain grouped by PAYER, SRC_FILE_NM, DOS_THRU_YYYYMM"/>
  </r>
  <r>
    <x v="2"/>
    <s v="SGARMERC_PE202501_REMAO004.TXT"/>
    <x v="84"/>
    <x v="8"/>
    <n v="264"/>
    <n v="96369"/>
    <n v="0.27"/>
    <s v="DQS_MAO04_FILE_000_B"/>
    <s v="RECORD COUNT by MBR_ID, DOS_THRU_DT, DX_CD Grain grouped by PAYER, SRC_FILE_NM, DOS_THRU_YYYYMM"/>
  </r>
  <r>
    <x v="2"/>
    <s v="SGARMERC_PE202501_REMAO004.TXT"/>
    <x v="85"/>
    <x v="8"/>
    <n v="388"/>
    <n v="96369"/>
    <n v="0.4"/>
    <s v="DQS_MAO04_FILE_000_B"/>
    <s v="RECORD COUNT by MBR_ID, DOS_THRU_DT, DX_CD Grain grouped by PAYER, SRC_FILE_NM, DOS_THRU_YYYYMM"/>
  </r>
  <r>
    <x v="2"/>
    <s v="SGARMERC_PE202501_REMAO004.TXT"/>
    <x v="86"/>
    <x v="8"/>
    <n v="534"/>
    <n v="96369"/>
    <n v="0.55000000000000004"/>
    <s v="DQS_MAO04_FILE_000_B"/>
    <s v="RECORD COUNT by MBR_ID, DOS_THRU_DT, DX_CD Grain grouped by PAYER, SRC_FILE_NM, DOS_THRU_YYYYMM"/>
  </r>
  <r>
    <x v="2"/>
    <s v="SGARMERC_PE202501_REMAO004.TXT"/>
    <x v="87"/>
    <x v="8"/>
    <n v="641"/>
    <n v="96369"/>
    <n v="0.67"/>
    <s v="DQS_MAO04_FILE_000_B"/>
    <s v="RECORD COUNT by MBR_ID, DOS_THRU_DT, DX_CD Grain grouped by PAYER, SRC_FILE_NM, DOS_THRU_YYYYMM"/>
  </r>
  <r>
    <x v="2"/>
    <s v="SGARMERC_PE202501_REMAO004.TXT"/>
    <x v="88"/>
    <x v="8"/>
    <n v="604"/>
    <n v="96369"/>
    <n v="0.63"/>
    <s v="DQS_MAO04_FILE_000_B"/>
    <s v="RECORD COUNT by MBR_ID, DOS_THRU_DT, DX_CD Grain grouped by PAYER, SRC_FILE_NM, DOS_THRU_YYYYMM"/>
  </r>
  <r>
    <x v="2"/>
    <s v="SGARMERC_PE202501_REMAO004.TXT"/>
    <x v="89"/>
    <x v="9"/>
    <n v="695"/>
    <n v="96369"/>
    <n v="0.72"/>
    <s v="DQS_MAO04_FILE_000_B"/>
    <s v="RECORD COUNT by MBR_ID, DOS_THRU_DT, DX_CD Grain grouped by PAYER, SRC_FILE_NM, DOS_THRU_YYYYMM"/>
  </r>
  <r>
    <x v="2"/>
    <s v="SGARMERC_PE202501_REMAO004.TXT"/>
    <x v="97"/>
    <x v="9"/>
    <n v="847"/>
    <n v="96369"/>
    <n v="0.88"/>
    <s v="DQS_MAO04_FILE_000_B"/>
    <s v="RECORD COUNT by MBR_ID, DOS_THRU_DT, DX_CD Grain grouped by PAYER, SRC_FILE_NM, DOS_THRU_YYYYMM"/>
  </r>
  <r>
    <x v="2"/>
    <s v="SGARMERC_PE202501_REMAO004.TXT"/>
    <x v="98"/>
    <x v="9"/>
    <n v="922"/>
    <n v="96369"/>
    <n v="0.96"/>
    <s v="DQS_MAO04_FILE_000_B"/>
    <s v="RECORD COUNT by MBR_ID, DOS_THRU_DT, DX_CD Grain grouped by PAYER, SRC_FILE_NM, DOS_THRU_YYYYMM"/>
  </r>
  <r>
    <x v="2"/>
    <s v="SGARMERC_PE202501_REMAO004.TXT"/>
    <x v="99"/>
    <x v="9"/>
    <n v="954"/>
    <n v="96369"/>
    <n v="0.99"/>
    <s v="DQS_MAO04_FILE_000_B"/>
    <s v="RECORD COUNT by MBR_ID, DOS_THRU_DT, DX_CD Grain grouped by PAYER, SRC_FILE_NM, DOS_THRU_YYYYMM"/>
  </r>
  <r>
    <x v="2"/>
    <s v="SGARMERC_PE202501_REMAO004.TXT"/>
    <x v="100"/>
    <x v="9"/>
    <n v="1052"/>
    <n v="96369"/>
    <n v="1.0900000000000001"/>
    <s v="DQS_MAO04_FILE_000_B"/>
    <s v="RECORD COUNT by MBR_ID, DOS_THRU_DT, DX_CD Grain grouped by PAYER, SRC_FILE_NM, DOS_THRU_YYYYMM"/>
  </r>
  <r>
    <x v="2"/>
    <s v="SGARMERC_PE202501_REMAO004.TXT"/>
    <x v="102"/>
    <x v="9"/>
    <n v="1111"/>
    <n v="96369"/>
    <n v="1.1499999999999999"/>
    <s v="DQS_MAO04_FILE_000_B"/>
    <s v="RECORD COUNT by MBR_ID, DOS_THRU_DT, DX_CD Grain grouped by PAYER, SRC_FILE_NM, DOS_THRU_YYYYMM"/>
  </r>
  <r>
    <x v="2"/>
    <s v="SGARMERC_PE202501_REMAO004.TXT"/>
    <x v="103"/>
    <x v="9"/>
    <n v="1009"/>
    <n v="96369"/>
    <n v="1.05"/>
    <s v="DQS_MAO04_FILE_000_B"/>
    <s v="RECORD COUNT by MBR_ID, DOS_THRU_DT, DX_CD Grain grouped by PAYER, SRC_FILE_NM, DOS_THRU_YYYYMM"/>
  </r>
  <r>
    <x v="2"/>
    <s v="SGARMERC_PE202501_REMAO004.TXT"/>
    <x v="105"/>
    <x v="9"/>
    <n v="2820"/>
    <n v="96369"/>
    <n v="2.93"/>
    <s v="DQS_MAO04_FILE_000_B"/>
    <s v="RECORD COUNT by MBR_ID, DOS_THRU_DT, DX_CD Grain grouped by PAYER, SRC_FILE_NM, DOS_THRU_YYYYMM"/>
  </r>
  <r>
    <x v="2"/>
    <s v="SGARMERC_PE202501_REMAO004.TXT"/>
    <x v="106"/>
    <x v="9"/>
    <n v="3730"/>
    <n v="96369"/>
    <n v="3.87"/>
    <s v="DQS_MAO04_FILE_000_B"/>
    <s v="RECORD COUNT by MBR_ID, DOS_THRU_DT, DX_CD Grain grouped by PAYER, SRC_FILE_NM, DOS_THRU_YYYYMM"/>
  </r>
  <r>
    <x v="2"/>
    <s v="SGARMERC_PE202501_REMAO004.TXT"/>
    <x v="107"/>
    <x v="9"/>
    <n v="44935"/>
    <n v="96369"/>
    <n v="46.63"/>
    <s v="DQS_MAO04_FILE_000_B"/>
    <s v="RECORD COUNT by MBR_ID, DOS_THRU_DT, DX_CD Grain grouped by PAYER, SRC_FILE_NM, DOS_THRU_YYYYMM"/>
  </r>
  <r>
    <x v="2"/>
    <s v="SGARMERC_PE202501_REMAO004.TXT"/>
    <x v="108"/>
    <x v="9"/>
    <n v="33989"/>
    <n v="96369"/>
    <n v="35.270000000000003"/>
    <s v="DQS_MAO04_FILE_000_B"/>
    <s v="RECORD COUNT by MBR_ID, DOS_THRU_DT, DX_CD Grain grouped by PAYER, SRC_FILE_NM, DOS_THRU_YYYYMM"/>
  </r>
  <r>
    <x v="2"/>
    <s v="SGARMERC_PE202502_REMAO004.TXT"/>
    <x v="131"/>
    <x v="10"/>
    <n v="3"/>
    <n v="94572"/>
    <n v="0"/>
    <s v="DQS_MAO04_FILE_000_B"/>
    <s v="RECORD COUNT by MBR_ID, DOS_THRU_DT, DX_CD Grain grouped by PAYER, SRC_FILE_NM, DOS_THRU_YYYYMM"/>
  </r>
  <r>
    <x v="2"/>
    <s v="SGARMERC_PE202502_REMAO004.TXT"/>
    <x v="15"/>
    <x v="2"/>
    <n v="6"/>
    <n v="94572"/>
    <n v="0.01"/>
    <s v="DQS_MAO04_FILE_000_B"/>
    <s v="RECORD COUNT by MBR_ID, DOS_THRU_DT, DX_CD Grain grouped by PAYER, SRC_FILE_NM, DOS_THRU_YYYYMM"/>
  </r>
  <r>
    <x v="2"/>
    <s v="SGARMERC_PE202502_REMAO004.TXT"/>
    <x v="16"/>
    <x v="2"/>
    <n v="5"/>
    <n v="94572"/>
    <n v="0.01"/>
    <s v="DQS_MAO04_FILE_000_B"/>
    <s v="RECORD COUNT by MBR_ID, DOS_THRU_DT, DX_CD Grain grouped by PAYER, SRC_FILE_NM, DOS_THRU_YYYYMM"/>
  </r>
  <r>
    <x v="2"/>
    <s v="SGARMERC_PE202502_REMAO004.TXT"/>
    <x v="17"/>
    <x v="3"/>
    <n v="34"/>
    <n v="94572"/>
    <n v="0.04"/>
    <s v="DQS_MAO04_FILE_000_B"/>
    <s v="RECORD COUNT by MBR_ID, DOS_THRU_DT, DX_CD Grain grouped by PAYER, SRC_FILE_NM, DOS_THRU_YYYYMM"/>
  </r>
  <r>
    <x v="2"/>
    <s v="SGARMERC_PE202502_REMAO004.TXT"/>
    <x v="18"/>
    <x v="3"/>
    <n v="55"/>
    <n v="94572"/>
    <n v="0.06"/>
    <s v="DQS_MAO04_FILE_000_B"/>
    <s v="RECORD COUNT by MBR_ID, DOS_THRU_DT, DX_CD Grain grouped by PAYER, SRC_FILE_NM, DOS_THRU_YYYYMM"/>
  </r>
  <r>
    <x v="2"/>
    <s v="SGARMERC_PE202502_REMAO004.TXT"/>
    <x v="19"/>
    <x v="3"/>
    <n v="201"/>
    <n v="94572"/>
    <n v="0.21"/>
    <s v="DQS_MAO04_FILE_000_B"/>
    <s v="RECORD COUNT by MBR_ID, DOS_THRU_DT, DX_CD Grain grouped by PAYER, SRC_FILE_NM, DOS_THRU_YYYYMM"/>
  </r>
  <r>
    <x v="2"/>
    <s v="SGARMERC_PE202502_REMAO004.TXT"/>
    <x v="20"/>
    <x v="3"/>
    <n v="91"/>
    <n v="94572"/>
    <n v="0.1"/>
    <s v="DQS_MAO04_FILE_000_B"/>
    <s v="RECORD COUNT by MBR_ID, DOS_THRU_DT, DX_CD Grain grouped by PAYER, SRC_FILE_NM, DOS_THRU_YYYYMM"/>
  </r>
  <r>
    <x v="2"/>
    <s v="SGARMERC_PE202502_REMAO004.TXT"/>
    <x v="21"/>
    <x v="3"/>
    <n v="49"/>
    <n v="94572"/>
    <n v="0.05"/>
    <s v="DQS_MAO04_FILE_000_B"/>
    <s v="RECORD COUNT by MBR_ID, DOS_THRU_DT, DX_CD Grain grouped by PAYER, SRC_FILE_NM, DOS_THRU_YYYYMM"/>
  </r>
  <r>
    <x v="2"/>
    <s v="SGARMERC_PE202502_REMAO004.TXT"/>
    <x v="22"/>
    <x v="3"/>
    <n v="54"/>
    <n v="94572"/>
    <n v="0.06"/>
    <s v="DQS_MAO04_FILE_000_B"/>
    <s v="RECORD COUNT by MBR_ID, DOS_THRU_DT, DX_CD Grain grouped by PAYER, SRC_FILE_NM, DOS_THRU_YYYYMM"/>
  </r>
  <r>
    <x v="2"/>
    <s v="SGARMERC_PE202502_REMAO004.TXT"/>
    <x v="23"/>
    <x v="3"/>
    <n v="290"/>
    <n v="94572"/>
    <n v="0.31"/>
    <s v="DQS_MAO04_FILE_000_B"/>
    <s v="RECORD COUNT by MBR_ID, DOS_THRU_DT, DX_CD Grain grouped by PAYER, SRC_FILE_NM, DOS_THRU_YYYYMM"/>
  </r>
  <r>
    <x v="2"/>
    <s v="SGARMERC_PE202502_REMAO004.TXT"/>
    <x v="24"/>
    <x v="3"/>
    <n v="1005"/>
    <n v="94572"/>
    <n v="1.06"/>
    <s v="DQS_MAO04_FILE_000_B"/>
    <s v="RECORD COUNT by MBR_ID, DOS_THRU_DT, DX_CD Grain grouped by PAYER, SRC_FILE_NM, DOS_THRU_YYYYMM"/>
  </r>
  <r>
    <x v="2"/>
    <s v="SGARMERC_PE202502_REMAO004.TXT"/>
    <x v="25"/>
    <x v="3"/>
    <n v="610"/>
    <n v="94572"/>
    <n v="0.65"/>
    <s v="DQS_MAO04_FILE_000_B"/>
    <s v="RECORD COUNT by MBR_ID, DOS_THRU_DT, DX_CD Grain grouped by PAYER, SRC_FILE_NM, DOS_THRU_YYYYMM"/>
  </r>
  <r>
    <x v="2"/>
    <s v="SGARMERC_PE202502_REMAO004.TXT"/>
    <x v="26"/>
    <x v="3"/>
    <n v="432"/>
    <n v="94572"/>
    <n v="0.46"/>
    <s v="DQS_MAO04_FILE_000_B"/>
    <s v="RECORD COUNT by MBR_ID, DOS_THRU_DT, DX_CD Grain grouped by PAYER, SRC_FILE_NM, DOS_THRU_YYYYMM"/>
  </r>
  <r>
    <x v="2"/>
    <s v="SGARMERC_PE202502_REMAO004.TXT"/>
    <x v="27"/>
    <x v="3"/>
    <n v="56"/>
    <n v="94572"/>
    <n v="0.06"/>
    <s v="DQS_MAO04_FILE_000_B"/>
    <s v="RECORD COUNT by MBR_ID, DOS_THRU_DT, DX_CD Grain grouped by PAYER, SRC_FILE_NM, DOS_THRU_YYYYMM"/>
  </r>
  <r>
    <x v="2"/>
    <s v="SGARMERC_PE202502_REMAO004.TXT"/>
    <x v="28"/>
    <x v="3"/>
    <n v="72"/>
    <n v="94572"/>
    <n v="0.08"/>
    <s v="DQS_MAO04_FILE_000_B"/>
    <s v="RECORD COUNT by MBR_ID, DOS_THRU_DT, DX_CD Grain grouped by PAYER, SRC_FILE_NM, DOS_THRU_YYYYMM"/>
  </r>
  <r>
    <x v="2"/>
    <s v="SGARMERC_PE202502_REMAO004.TXT"/>
    <x v="29"/>
    <x v="4"/>
    <n v="103"/>
    <n v="94572"/>
    <n v="0.11"/>
    <s v="DQS_MAO04_FILE_000_B"/>
    <s v="RECORD COUNT by MBR_ID, DOS_THRU_DT, DX_CD Grain grouped by PAYER, SRC_FILE_NM, DOS_THRU_YYYYMM"/>
  </r>
  <r>
    <x v="2"/>
    <s v="SGARMERC_PE202502_REMAO004.TXT"/>
    <x v="30"/>
    <x v="4"/>
    <n v="11"/>
    <n v="94572"/>
    <n v="0.01"/>
    <s v="DQS_MAO04_FILE_000_B"/>
    <s v="RECORD COUNT by MBR_ID, DOS_THRU_DT, DX_CD Grain grouped by PAYER, SRC_FILE_NM, DOS_THRU_YYYYMM"/>
  </r>
  <r>
    <x v="2"/>
    <s v="SGARMERC_PE202502_REMAO004.TXT"/>
    <x v="31"/>
    <x v="4"/>
    <n v="3"/>
    <n v="94572"/>
    <n v="0"/>
    <s v="DQS_MAO04_FILE_000_B"/>
    <s v="RECORD COUNT by MBR_ID, DOS_THRU_DT, DX_CD Grain grouped by PAYER, SRC_FILE_NM, DOS_THRU_YYYYMM"/>
  </r>
  <r>
    <x v="2"/>
    <s v="SGARMERC_PE202502_REMAO004.TXT"/>
    <x v="32"/>
    <x v="4"/>
    <n v="24"/>
    <n v="94572"/>
    <n v="0.03"/>
    <s v="DQS_MAO04_FILE_000_B"/>
    <s v="RECORD COUNT by MBR_ID, DOS_THRU_DT, DX_CD Grain grouped by PAYER, SRC_FILE_NM, DOS_THRU_YYYYMM"/>
  </r>
  <r>
    <x v="2"/>
    <s v="SGARMERC_PE202502_REMAO004.TXT"/>
    <x v="34"/>
    <x v="4"/>
    <n v="24"/>
    <n v="94572"/>
    <n v="0.03"/>
    <s v="DQS_MAO04_FILE_000_B"/>
    <s v="RECORD COUNT by MBR_ID, DOS_THRU_DT, DX_CD Grain grouped by PAYER, SRC_FILE_NM, DOS_THRU_YYYYMM"/>
  </r>
  <r>
    <x v="2"/>
    <s v="SGARMERC_PE202502_REMAO004.TXT"/>
    <x v="38"/>
    <x v="4"/>
    <n v="25"/>
    <n v="94572"/>
    <n v="0.03"/>
    <s v="DQS_MAO04_FILE_000_B"/>
    <s v="RECORD COUNT by MBR_ID, DOS_THRU_DT, DX_CD Grain grouped by PAYER, SRC_FILE_NM, DOS_THRU_YYYYMM"/>
  </r>
  <r>
    <x v="2"/>
    <s v="SGARMERC_PE202502_REMAO004.TXT"/>
    <x v="39"/>
    <x v="4"/>
    <n v="25"/>
    <n v="94572"/>
    <n v="0.03"/>
    <s v="DQS_MAO04_FILE_000_B"/>
    <s v="RECORD COUNT by MBR_ID, DOS_THRU_DT, DX_CD Grain grouped by PAYER, SRC_FILE_NM, DOS_THRU_YYYYMM"/>
  </r>
  <r>
    <x v="2"/>
    <s v="SGARMERC_PE202502_REMAO004.TXT"/>
    <x v="42"/>
    <x v="5"/>
    <n v="2"/>
    <n v="94572"/>
    <n v="0"/>
    <s v="DQS_MAO04_FILE_000_B"/>
    <s v="RECORD COUNT by MBR_ID, DOS_THRU_DT, DX_CD Grain grouped by PAYER, SRC_FILE_NM, DOS_THRU_YYYYMM"/>
  </r>
  <r>
    <x v="2"/>
    <s v="SGARMERC_PE202502_REMAO004.TXT"/>
    <x v="44"/>
    <x v="5"/>
    <n v="22"/>
    <n v="94572"/>
    <n v="0.02"/>
    <s v="DQS_MAO04_FILE_000_B"/>
    <s v="RECORD COUNT by MBR_ID, DOS_THRU_DT, DX_CD Grain grouped by PAYER, SRC_FILE_NM, DOS_THRU_YYYYMM"/>
  </r>
  <r>
    <x v="2"/>
    <s v="SGARMERC_PE202502_REMAO004.TXT"/>
    <x v="45"/>
    <x v="5"/>
    <n v="68"/>
    <n v="94572"/>
    <n v="7.0000000000000007E-2"/>
    <s v="DQS_MAO04_FILE_000_B"/>
    <s v="RECORD COUNT by MBR_ID, DOS_THRU_DT, DX_CD Grain grouped by PAYER, SRC_FILE_NM, DOS_THRU_YYYYMM"/>
  </r>
  <r>
    <x v="2"/>
    <s v="SGARMERC_PE202502_REMAO004.TXT"/>
    <x v="60"/>
    <x v="6"/>
    <n v="12"/>
    <n v="94572"/>
    <n v="0.01"/>
    <s v="DQS_MAO04_FILE_000_B"/>
    <s v="RECORD COUNT by MBR_ID, DOS_THRU_DT, DX_CD Grain grouped by PAYER, SRC_FILE_NM, DOS_THRU_YYYYMM"/>
  </r>
  <r>
    <x v="2"/>
    <s v="SGARMERC_PE202502_REMAO004.TXT"/>
    <x v="61"/>
    <x v="6"/>
    <n v="10"/>
    <n v="94572"/>
    <n v="0.01"/>
    <s v="DQS_MAO04_FILE_000_B"/>
    <s v="RECORD COUNT by MBR_ID, DOS_THRU_DT, DX_CD Grain grouped by PAYER, SRC_FILE_NM, DOS_THRU_YYYYMM"/>
  </r>
  <r>
    <x v="2"/>
    <s v="SGARMERC_PE202502_REMAO004.TXT"/>
    <x v="62"/>
    <x v="6"/>
    <n v="12"/>
    <n v="94572"/>
    <n v="0.01"/>
    <s v="DQS_MAO04_FILE_000_B"/>
    <s v="RECORD COUNT by MBR_ID, DOS_THRU_DT, DX_CD Grain grouped by PAYER, SRC_FILE_NM, DOS_THRU_YYYYMM"/>
  </r>
  <r>
    <x v="2"/>
    <s v="SGARMERC_PE202502_REMAO004.TXT"/>
    <x v="64"/>
    <x v="6"/>
    <n v="2"/>
    <n v="94572"/>
    <n v="0"/>
    <s v="DQS_MAO04_FILE_000_B"/>
    <s v="RECORD COUNT by MBR_ID, DOS_THRU_DT, DX_CD Grain grouped by PAYER, SRC_FILE_NM, DOS_THRU_YYYYMM"/>
  </r>
  <r>
    <x v="2"/>
    <s v="SGARMERC_PE202502_REMAO004.TXT"/>
    <x v="65"/>
    <x v="7"/>
    <n v="6"/>
    <n v="94572"/>
    <n v="0.01"/>
    <s v="DQS_MAO04_FILE_000_B"/>
    <s v="RECORD COUNT by MBR_ID, DOS_THRU_DT, DX_CD Grain grouped by PAYER, SRC_FILE_NM, DOS_THRU_YYYYMM"/>
  </r>
  <r>
    <x v="2"/>
    <s v="SGARMERC_PE202502_REMAO004.TXT"/>
    <x v="66"/>
    <x v="7"/>
    <n v="3"/>
    <n v="94572"/>
    <n v="0"/>
    <s v="DQS_MAO04_FILE_000_B"/>
    <s v="RECORD COUNT by MBR_ID, DOS_THRU_DT, DX_CD Grain grouped by PAYER, SRC_FILE_NM, DOS_THRU_YYYYMM"/>
  </r>
  <r>
    <x v="2"/>
    <s v="SGARMERC_PE202502_REMAO004.TXT"/>
    <x v="67"/>
    <x v="7"/>
    <n v="6"/>
    <n v="94572"/>
    <n v="0.01"/>
    <s v="DQS_MAO04_FILE_000_B"/>
    <s v="RECORD COUNT by MBR_ID, DOS_THRU_DT, DX_CD Grain grouped by PAYER, SRC_FILE_NM, DOS_THRU_YYYYMM"/>
  </r>
  <r>
    <x v="2"/>
    <s v="SGARMERC_PE202502_REMAO004.TXT"/>
    <x v="68"/>
    <x v="7"/>
    <n v="16"/>
    <n v="94572"/>
    <n v="0.02"/>
    <s v="DQS_MAO04_FILE_000_B"/>
    <s v="RECORD COUNT by MBR_ID, DOS_THRU_DT, DX_CD Grain grouped by PAYER, SRC_FILE_NM, DOS_THRU_YYYYMM"/>
  </r>
  <r>
    <x v="2"/>
    <s v="SGARMERC_PE202502_REMAO004.TXT"/>
    <x v="69"/>
    <x v="7"/>
    <n v="6"/>
    <n v="94572"/>
    <n v="0.01"/>
    <s v="DQS_MAO04_FILE_000_B"/>
    <s v="RECORD COUNT by MBR_ID, DOS_THRU_DT, DX_CD Grain grouped by PAYER, SRC_FILE_NM, DOS_THRU_YYYYMM"/>
  </r>
  <r>
    <x v="2"/>
    <s v="SGARMERC_PE202502_REMAO004.TXT"/>
    <x v="70"/>
    <x v="7"/>
    <n v="6"/>
    <n v="94572"/>
    <n v="0.01"/>
    <s v="DQS_MAO04_FILE_000_B"/>
    <s v="RECORD COUNT by MBR_ID, DOS_THRU_DT, DX_CD Grain grouped by PAYER, SRC_FILE_NM, DOS_THRU_YYYYMM"/>
  </r>
  <r>
    <x v="2"/>
    <s v="SGARMERC_PE202502_REMAO004.TXT"/>
    <x v="71"/>
    <x v="7"/>
    <n v="3"/>
    <n v="94572"/>
    <n v="0"/>
    <s v="DQS_MAO04_FILE_000_B"/>
    <s v="RECORD COUNT by MBR_ID, DOS_THRU_DT, DX_CD Grain grouped by PAYER, SRC_FILE_NM, DOS_THRU_YYYYMM"/>
  </r>
  <r>
    <x v="2"/>
    <s v="SGARMERC_PE202502_REMAO004.TXT"/>
    <x v="72"/>
    <x v="7"/>
    <n v="9"/>
    <n v="94572"/>
    <n v="0.01"/>
    <s v="DQS_MAO04_FILE_000_B"/>
    <s v="RECORD COUNT by MBR_ID, DOS_THRU_DT, DX_CD Grain grouped by PAYER, SRC_FILE_NM, DOS_THRU_YYYYMM"/>
  </r>
  <r>
    <x v="2"/>
    <s v="SGARMERC_PE202502_REMAO004.TXT"/>
    <x v="73"/>
    <x v="7"/>
    <n v="36"/>
    <n v="94572"/>
    <n v="0.04"/>
    <s v="DQS_MAO04_FILE_000_B"/>
    <s v="RECORD COUNT by MBR_ID, DOS_THRU_DT, DX_CD Grain grouped by PAYER, SRC_FILE_NM, DOS_THRU_YYYYMM"/>
  </r>
  <r>
    <x v="2"/>
    <s v="SGARMERC_PE202502_REMAO004.TXT"/>
    <x v="74"/>
    <x v="7"/>
    <n v="6"/>
    <n v="94572"/>
    <n v="0.01"/>
    <s v="DQS_MAO04_FILE_000_B"/>
    <s v="RECORD COUNT by MBR_ID, DOS_THRU_DT, DX_CD Grain grouped by PAYER, SRC_FILE_NM, DOS_THRU_YYYYMM"/>
  </r>
  <r>
    <x v="2"/>
    <s v="SGARMERC_PE202502_REMAO004.TXT"/>
    <x v="75"/>
    <x v="7"/>
    <n v="6"/>
    <n v="94572"/>
    <n v="0.01"/>
    <s v="DQS_MAO04_FILE_000_B"/>
    <s v="RECORD COUNT by MBR_ID, DOS_THRU_DT, DX_CD Grain grouped by PAYER, SRC_FILE_NM, DOS_THRU_YYYYMM"/>
  </r>
  <r>
    <x v="2"/>
    <s v="SGARMERC_PE202502_REMAO004.TXT"/>
    <x v="76"/>
    <x v="7"/>
    <n v="18"/>
    <n v="94572"/>
    <n v="0.02"/>
    <s v="DQS_MAO04_FILE_000_B"/>
    <s v="RECORD COUNT by MBR_ID, DOS_THRU_DT, DX_CD Grain grouped by PAYER, SRC_FILE_NM, DOS_THRU_YYYYMM"/>
  </r>
  <r>
    <x v="2"/>
    <s v="SGARMERC_PE202502_REMAO004.TXT"/>
    <x v="77"/>
    <x v="8"/>
    <n v="114"/>
    <n v="94572"/>
    <n v="0.12"/>
    <s v="DQS_MAO04_FILE_000_B"/>
    <s v="RECORD COUNT by MBR_ID, DOS_THRU_DT, DX_CD Grain grouped by PAYER, SRC_FILE_NM, DOS_THRU_YYYYMM"/>
  </r>
  <r>
    <x v="2"/>
    <s v="SGARMERC_PE202502_REMAO004.TXT"/>
    <x v="78"/>
    <x v="8"/>
    <n v="181"/>
    <n v="94572"/>
    <n v="0.19"/>
    <s v="DQS_MAO04_FILE_000_B"/>
    <s v="RECORD COUNT by MBR_ID, DOS_THRU_DT, DX_CD Grain grouped by PAYER, SRC_FILE_NM, DOS_THRU_YYYYMM"/>
  </r>
  <r>
    <x v="2"/>
    <s v="SGARMERC_PE202502_REMAO004.TXT"/>
    <x v="79"/>
    <x v="8"/>
    <n v="324"/>
    <n v="94572"/>
    <n v="0.34"/>
    <s v="DQS_MAO04_FILE_000_B"/>
    <s v="RECORD COUNT by MBR_ID, DOS_THRU_DT, DX_CD Grain grouped by PAYER, SRC_FILE_NM, DOS_THRU_YYYYMM"/>
  </r>
  <r>
    <x v="2"/>
    <s v="SGARMERC_PE202502_REMAO004.TXT"/>
    <x v="80"/>
    <x v="8"/>
    <n v="209"/>
    <n v="94572"/>
    <n v="0.22"/>
    <s v="DQS_MAO04_FILE_000_B"/>
    <s v="RECORD COUNT by MBR_ID, DOS_THRU_DT, DX_CD Grain grouped by PAYER, SRC_FILE_NM, DOS_THRU_YYYYMM"/>
  </r>
  <r>
    <x v="2"/>
    <s v="SGARMERC_PE202502_REMAO004.TXT"/>
    <x v="81"/>
    <x v="8"/>
    <n v="420"/>
    <n v="94572"/>
    <n v="0.44"/>
    <s v="DQS_MAO04_FILE_000_B"/>
    <s v="RECORD COUNT by MBR_ID, DOS_THRU_DT, DX_CD Grain grouped by PAYER, SRC_FILE_NM, DOS_THRU_YYYYMM"/>
  </r>
  <r>
    <x v="2"/>
    <s v="SGARMERC_PE202502_REMAO004.TXT"/>
    <x v="82"/>
    <x v="8"/>
    <n v="250"/>
    <n v="94572"/>
    <n v="0.26"/>
    <s v="DQS_MAO04_FILE_000_B"/>
    <s v="RECORD COUNT by MBR_ID, DOS_THRU_DT, DX_CD Grain grouped by PAYER, SRC_FILE_NM, DOS_THRU_YYYYMM"/>
  </r>
  <r>
    <x v="2"/>
    <s v="SGARMERC_PE202502_REMAO004.TXT"/>
    <x v="83"/>
    <x v="8"/>
    <n v="387"/>
    <n v="94572"/>
    <n v="0.41"/>
    <s v="DQS_MAO04_FILE_000_B"/>
    <s v="RECORD COUNT by MBR_ID, DOS_THRU_DT, DX_CD Grain grouped by PAYER, SRC_FILE_NM, DOS_THRU_YYYYMM"/>
  </r>
  <r>
    <x v="2"/>
    <s v="SGARMERC_PE202502_REMAO004.TXT"/>
    <x v="84"/>
    <x v="8"/>
    <n v="378"/>
    <n v="94572"/>
    <n v="0.4"/>
    <s v="DQS_MAO04_FILE_000_B"/>
    <s v="RECORD COUNT by MBR_ID, DOS_THRU_DT, DX_CD Grain grouped by PAYER, SRC_FILE_NM, DOS_THRU_YYYYMM"/>
  </r>
  <r>
    <x v="2"/>
    <s v="SGARMERC_PE202502_REMAO004.TXT"/>
    <x v="85"/>
    <x v="8"/>
    <n v="446"/>
    <n v="94572"/>
    <n v="0.47"/>
    <s v="DQS_MAO04_FILE_000_B"/>
    <s v="RECORD COUNT by MBR_ID, DOS_THRU_DT, DX_CD Grain grouped by PAYER, SRC_FILE_NM, DOS_THRU_YYYYMM"/>
  </r>
  <r>
    <x v="2"/>
    <s v="SGARMERC_PE202502_REMAO004.TXT"/>
    <x v="86"/>
    <x v="8"/>
    <n v="199"/>
    <n v="94572"/>
    <n v="0.21"/>
    <s v="DQS_MAO04_FILE_000_B"/>
    <s v="RECORD COUNT by MBR_ID, DOS_THRU_DT, DX_CD Grain grouped by PAYER, SRC_FILE_NM, DOS_THRU_YYYYMM"/>
  </r>
  <r>
    <x v="2"/>
    <s v="SGARMERC_PE202502_REMAO004.TXT"/>
    <x v="87"/>
    <x v="8"/>
    <n v="212"/>
    <n v="94572"/>
    <n v="0.22"/>
    <s v="DQS_MAO04_FILE_000_B"/>
    <s v="RECORD COUNT by MBR_ID, DOS_THRU_DT, DX_CD Grain grouped by PAYER, SRC_FILE_NM, DOS_THRU_YYYYMM"/>
  </r>
  <r>
    <x v="2"/>
    <s v="SGARMERC_PE202502_REMAO004.TXT"/>
    <x v="88"/>
    <x v="8"/>
    <n v="300"/>
    <n v="94572"/>
    <n v="0.32"/>
    <s v="DQS_MAO04_FILE_000_B"/>
    <s v="RECORD COUNT by MBR_ID, DOS_THRU_DT, DX_CD Grain grouped by PAYER, SRC_FILE_NM, DOS_THRU_YYYYMM"/>
  </r>
  <r>
    <x v="2"/>
    <s v="SGARMERC_PE202502_REMAO004.TXT"/>
    <x v="89"/>
    <x v="9"/>
    <n v="573"/>
    <n v="94572"/>
    <n v="0.61"/>
    <s v="DQS_MAO04_FILE_000_B"/>
    <s v="RECORD COUNT by MBR_ID, DOS_THRU_DT, DX_CD Grain grouped by PAYER, SRC_FILE_NM, DOS_THRU_YYYYMM"/>
  </r>
  <r>
    <x v="2"/>
    <s v="SGARMERC_PE202502_REMAO004.TXT"/>
    <x v="97"/>
    <x v="9"/>
    <n v="417"/>
    <n v="94572"/>
    <n v="0.44"/>
    <s v="DQS_MAO04_FILE_000_B"/>
    <s v="RECORD COUNT by MBR_ID, DOS_THRU_DT, DX_CD Grain grouped by PAYER, SRC_FILE_NM, DOS_THRU_YYYYMM"/>
  </r>
  <r>
    <x v="2"/>
    <s v="SGARMERC_PE202502_REMAO004.TXT"/>
    <x v="98"/>
    <x v="9"/>
    <n v="510"/>
    <n v="94572"/>
    <n v="0.54"/>
    <s v="DQS_MAO04_FILE_000_B"/>
    <s v="RECORD COUNT by MBR_ID, DOS_THRU_DT, DX_CD Grain grouped by PAYER, SRC_FILE_NM, DOS_THRU_YYYYMM"/>
  </r>
  <r>
    <x v="2"/>
    <s v="SGARMERC_PE202502_REMAO004.TXT"/>
    <x v="99"/>
    <x v="9"/>
    <n v="528"/>
    <n v="94572"/>
    <n v="0.56000000000000005"/>
    <s v="DQS_MAO04_FILE_000_B"/>
    <s v="RECORD COUNT by MBR_ID, DOS_THRU_DT, DX_CD Grain grouped by PAYER, SRC_FILE_NM, DOS_THRU_YYYYMM"/>
  </r>
  <r>
    <x v="2"/>
    <s v="SGARMERC_PE202502_REMAO004.TXT"/>
    <x v="100"/>
    <x v="9"/>
    <n v="786"/>
    <n v="94572"/>
    <n v="0.83"/>
    <s v="DQS_MAO04_FILE_000_B"/>
    <s v="RECORD COUNT by MBR_ID, DOS_THRU_DT, DX_CD Grain grouped by PAYER, SRC_FILE_NM, DOS_THRU_YYYYMM"/>
  </r>
  <r>
    <x v="2"/>
    <s v="SGARMERC_PE202502_REMAO004.TXT"/>
    <x v="102"/>
    <x v="9"/>
    <n v="693"/>
    <n v="94572"/>
    <n v="0.73"/>
    <s v="DQS_MAO04_FILE_000_B"/>
    <s v="RECORD COUNT by MBR_ID, DOS_THRU_DT, DX_CD Grain grouped by PAYER, SRC_FILE_NM, DOS_THRU_YYYYMM"/>
  </r>
  <r>
    <x v="2"/>
    <s v="SGARMERC_PE202502_REMAO004.TXT"/>
    <x v="103"/>
    <x v="9"/>
    <n v="1247"/>
    <n v="94572"/>
    <n v="1.32"/>
    <s v="DQS_MAO04_FILE_000_B"/>
    <s v="RECORD COUNT by MBR_ID, DOS_THRU_DT, DX_CD Grain grouped by PAYER, SRC_FILE_NM, DOS_THRU_YYYYMM"/>
  </r>
  <r>
    <x v="2"/>
    <s v="SGARMERC_PE202502_REMAO004.TXT"/>
    <x v="105"/>
    <x v="9"/>
    <n v="1496"/>
    <n v="94572"/>
    <n v="1.58"/>
    <s v="DQS_MAO04_FILE_000_B"/>
    <s v="RECORD COUNT by MBR_ID, DOS_THRU_DT, DX_CD Grain grouped by PAYER, SRC_FILE_NM, DOS_THRU_YYYYMM"/>
  </r>
  <r>
    <x v="2"/>
    <s v="SGARMERC_PE202502_REMAO004.TXT"/>
    <x v="106"/>
    <x v="9"/>
    <n v="2017"/>
    <n v="94572"/>
    <n v="2.13"/>
    <s v="DQS_MAO04_FILE_000_B"/>
    <s v="RECORD COUNT by MBR_ID, DOS_THRU_DT, DX_CD Grain grouped by PAYER, SRC_FILE_NM, DOS_THRU_YYYYMM"/>
  </r>
  <r>
    <x v="2"/>
    <s v="SGARMERC_PE202502_REMAO004.TXT"/>
    <x v="107"/>
    <x v="9"/>
    <n v="4929"/>
    <n v="94572"/>
    <n v="5.21"/>
    <s v="DQS_MAO04_FILE_000_B"/>
    <s v="RECORD COUNT by MBR_ID, DOS_THRU_DT, DX_CD Grain grouped by PAYER, SRC_FILE_NM, DOS_THRU_YYYYMM"/>
  </r>
  <r>
    <x v="2"/>
    <s v="SGARMERC_PE202502_REMAO004.TXT"/>
    <x v="108"/>
    <x v="9"/>
    <n v="38797"/>
    <n v="94572"/>
    <n v="41.02"/>
    <s v="DQS_MAO04_FILE_000_B"/>
    <s v="RECORD COUNT by MBR_ID, DOS_THRU_DT, DX_CD Grain grouped by PAYER, SRC_FILE_NM, DOS_THRU_YYYYMM"/>
  </r>
  <r>
    <x v="2"/>
    <s v="SGARMERC_PE202502_REMAO004.TXT"/>
    <x v="109"/>
    <x v="9"/>
    <n v="35732"/>
    <n v="94572"/>
    <n v="37.78"/>
    <s v="DQS_MAO04_FILE_000_B"/>
    <s v="RECORD COUNT by MBR_ID, DOS_THRU_DT, DX_CD Grain grouped by PAYER, SRC_FILE_NM, DOS_THRU_YYYYMM"/>
  </r>
  <r>
    <x v="2"/>
    <s v="SGARMERC_PE202503_REMAO004.TXT"/>
    <x v="20"/>
    <x v="3"/>
    <n v="4"/>
    <n v="86928"/>
    <n v="0"/>
    <s v="DQS_MAO04_FILE_000_B"/>
    <s v="RECORD COUNT by MBR_ID, DOS_THRU_DT, DX_CD Grain grouped by PAYER, SRC_FILE_NM, DOS_THRU_YYYYMM"/>
  </r>
  <r>
    <x v="2"/>
    <s v="SGARMERC_PE202503_REMAO004.TXT"/>
    <x v="45"/>
    <x v="5"/>
    <n v="3"/>
    <n v="86928"/>
    <n v="0"/>
    <s v="DQS_MAO04_FILE_000_B"/>
    <s v="RECORD COUNT by MBR_ID, DOS_THRU_DT, DX_CD Grain grouped by PAYER, SRC_FILE_NM, DOS_THRU_YYYYMM"/>
  </r>
  <r>
    <x v="2"/>
    <s v="SGARMERC_PE202503_REMAO004.TXT"/>
    <x v="62"/>
    <x v="6"/>
    <n v="4"/>
    <n v="86928"/>
    <n v="0"/>
    <s v="DQS_MAO04_FILE_000_B"/>
    <s v="RECORD COUNT by MBR_ID, DOS_THRU_DT, DX_CD Grain grouped by PAYER, SRC_FILE_NM, DOS_THRU_YYYYMM"/>
  </r>
  <r>
    <x v="2"/>
    <s v="SGARMERC_PE202503_REMAO004.TXT"/>
    <x v="65"/>
    <x v="7"/>
    <n v="10"/>
    <n v="86928"/>
    <n v="0.01"/>
    <s v="DQS_MAO04_FILE_000_B"/>
    <s v="RECORD COUNT by MBR_ID, DOS_THRU_DT, DX_CD Grain grouped by PAYER, SRC_FILE_NM, DOS_THRU_YYYYMM"/>
  </r>
  <r>
    <x v="2"/>
    <s v="SGARMERC_PE202503_REMAO004.TXT"/>
    <x v="66"/>
    <x v="7"/>
    <n v="17"/>
    <n v="86928"/>
    <n v="0.02"/>
    <s v="DQS_MAO04_FILE_000_B"/>
    <s v="RECORD COUNT by MBR_ID, DOS_THRU_DT, DX_CD Grain grouped by PAYER, SRC_FILE_NM, DOS_THRU_YYYYMM"/>
  </r>
  <r>
    <x v="2"/>
    <s v="SGARMERC_PE202503_REMAO004.TXT"/>
    <x v="67"/>
    <x v="7"/>
    <n v="36"/>
    <n v="86928"/>
    <n v="0.04"/>
    <s v="DQS_MAO04_FILE_000_B"/>
    <s v="RECORD COUNT by MBR_ID, DOS_THRU_DT, DX_CD Grain grouped by PAYER, SRC_FILE_NM, DOS_THRU_YYYYMM"/>
  </r>
  <r>
    <x v="2"/>
    <s v="SGARMERC_PE202503_REMAO004.TXT"/>
    <x v="68"/>
    <x v="7"/>
    <n v="9"/>
    <n v="86928"/>
    <n v="0.01"/>
    <s v="DQS_MAO04_FILE_000_B"/>
    <s v="RECORD COUNT by MBR_ID, DOS_THRU_DT, DX_CD Grain grouped by PAYER, SRC_FILE_NM, DOS_THRU_YYYYMM"/>
  </r>
  <r>
    <x v="2"/>
    <s v="SGARMERC_PE202503_REMAO004.TXT"/>
    <x v="70"/>
    <x v="7"/>
    <n v="7"/>
    <n v="86928"/>
    <n v="0.01"/>
    <s v="DQS_MAO04_FILE_000_B"/>
    <s v="RECORD COUNT by MBR_ID, DOS_THRU_DT, DX_CD Grain grouped by PAYER, SRC_FILE_NM, DOS_THRU_YYYYMM"/>
  </r>
  <r>
    <x v="2"/>
    <s v="SGARMERC_PE202503_REMAO004.TXT"/>
    <x v="72"/>
    <x v="7"/>
    <n v="5"/>
    <n v="86928"/>
    <n v="0.01"/>
    <s v="DQS_MAO04_FILE_000_B"/>
    <s v="RECORD COUNT by MBR_ID, DOS_THRU_DT, DX_CD Grain grouped by PAYER, SRC_FILE_NM, DOS_THRU_YYYYMM"/>
  </r>
  <r>
    <x v="2"/>
    <s v="SGARMERC_PE202503_REMAO004.TXT"/>
    <x v="73"/>
    <x v="7"/>
    <n v="3"/>
    <n v="86928"/>
    <n v="0"/>
    <s v="DQS_MAO04_FILE_000_B"/>
    <s v="RECORD COUNT by MBR_ID, DOS_THRU_DT, DX_CD Grain grouped by PAYER, SRC_FILE_NM, DOS_THRU_YYYYMM"/>
  </r>
  <r>
    <x v="2"/>
    <s v="SGARMERC_PE202503_REMAO004.TXT"/>
    <x v="74"/>
    <x v="7"/>
    <n v="10"/>
    <n v="86928"/>
    <n v="0.01"/>
    <s v="DQS_MAO04_FILE_000_B"/>
    <s v="RECORD COUNT by MBR_ID, DOS_THRU_DT, DX_CD Grain grouped by PAYER, SRC_FILE_NM, DOS_THRU_YYYYMM"/>
  </r>
  <r>
    <x v="2"/>
    <s v="SGARMERC_PE202503_REMAO004.TXT"/>
    <x v="75"/>
    <x v="7"/>
    <n v="2"/>
    <n v="86928"/>
    <n v="0"/>
    <s v="DQS_MAO04_FILE_000_B"/>
    <s v="RECORD COUNT by MBR_ID, DOS_THRU_DT, DX_CD Grain grouped by PAYER, SRC_FILE_NM, DOS_THRU_YYYYMM"/>
  </r>
  <r>
    <x v="2"/>
    <s v="SGARMERC_PE202503_REMAO004.TXT"/>
    <x v="76"/>
    <x v="7"/>
    <n v="10"/>
    <n v="86928"/>
    <n v="0.01"/>
    <s v="DQS_MAO04_FILE_000_B"/>
    <s v="RECORD COUNT by MBR_ID, DOS_THRU_DT, DX_CD Grain grouped by PAYER, SRC_FILE_NM, DOS_THRU_YYYYMM"/>
  </r>
  <r>
    <x v="2"/>
    <s v="SGARMERC_PE202503_REMAO004.TXT"/>
    <x v="77"/>
    <x v="8"/>
    <n v="74"/>
    <n v="86928"/>
    <n v="0.09"/>
    <s v="DQS_MAO04_FILE_000_B"/>
    <s v="RECORD COUNT by MBR_ID, DOS_THRU_DT, DX_CD Grain grouped by PAYER, SRC_FILE_NM, DOS_THRU_YYYYMM"/>
  </r>
  <r>
    <x v="2"/>
    <s v="SGARMERC_PE202503_REMAO004.TXT"/>
    <x v="78"/>
    <x v="8"/>
    <n v="70"/>
    <n v="86928"/>
    <n v="0.08"/>
    <s v="DQS_MAO04_FILE_000_B"/>
    <s v="RECORD COUNT by MBR_ID, DOS_THRU_DT, DX_CD Grain grouped by PAYER, SRC_FILE_NM, DOS_THRU_YYYYMM"/>
  </r>
  <r>
    <x v="2"/>
    <s v="SGARMERC_PE202503_REMAO004.TXT"/>
    <x v="79"/>
    <x v="8"/>
    <n v="110"/>
    <n v="86928"/>
    <n v="0.13"/>
    <s v="DQS_MAO04_FILE_000_B"/>
    <s v="RECORD COUNT by MBR_ID, DOS_THRU_DT, DX_CD Grain grouped by PAYER, SRC_FILE_NM, DOS_THRU_YYYYMM"/>
  </r>
  <r>
    <x v="2"/>
    <s v="SGARMERC_PE202503_REMAO004.TXT"/>
    <x v="80"/>
    <x v="8"/>
    <n v="82"/>
    <n v="86928"/>
    <n v="0.09"/>
    <s v="DQS_MAO04_FILE_000_B"/>
    <s v="RECORD COUNT by MBR_ID, DOS_THRU_DT, DX_CD Grain grouped by PAYER, SRC_FILE_NM, DOS_THRU_YYYYMM"/>
  </r>
  <r>
    <x v="2"/>
    <s v="SGARMERC_PE202503_REMAO004.TXT"/>
    <x v="81"/>
    <x v="8"/>
    <n v="55"/>
    <n v="86928"/>
    <n v="0.06"/>
    <s v="DQS_MAO04_FILE_000_B"/>
    <s v="RECORD COUNT by MBR_ID, DOS_THRU_DT, DX_CD Grain grouped by PAYER, SRC_FILE_NM, DOS_THRU_YYYYMM"/>
  </r>
  <r>
    <x v="2"/>
    <s v="SGARMERC_PE202503_REMAO004.TXT"/>
    <x v="82"/>
    <x v="8"/>
    <n v="86"/>
    <n v="86928"/>
    <n v="0.1"/>
    <s v="DQS_MAO04_FILE_000_B"/>
    <s v="RECORD COUNT by MBR_ID, DOS_THRU_DT, DX_CD Grain grouped by PAYER, SRC_FILE_NM, DOS_THRU_YYYYMM"/>
  </r>
  <r>
    <x v="2"/>
    <s v="SGARMERC_PE202503_REMAO004.TXT"/>
    <x v="83"/>
    <x v="8"/>
    <n v="119"/>
    <n v="86928"/>
    <n v="0.14000000000000001"/>
    <s v="DQS_MAO04_FILE_000_B"/>
    <s v="RECORD COUNT by MBR_ID, DOS_THRU_DT, DX_CD Grain grouped by PAYER, SRC_FILE_NM, DOS_THRU_YYYYMM"/>
  </r>
  <r>
    <x v="2"/>
    <s v="SGARMERC_PE202503_REMAO004.TXT"/>
    <x v="84"/>
    <x v="8"/>
    <n v="158"/>
    <n v="86928"/>
    <n v="0.18"/>
    <s v="DQS_MAO04_FILE_000_B"/>
    <s v="RECORD COUNT by MBR_ID, DOS_THRU_DT, DX_CD Grain grouped by PAYER, SRC_FILE_NM, DOS_THRU_YYYYMM"/>
  </r>
  <r>
    <x v="2"/>
    <s v="SGARMERC_PE202503_REMAO004.TXT"/>
    <x v="85"/>
    <x v="8"/>
    <n v="349"/>
    <n v="86928"/>
    <n v="0.4"/>
    <s v="DQS_MAO04_FILE_000_B"/>
    <s v="RECORD COUNT by MBR_ID, DOS_THRU_DT, DX_CD Grain grouped by PAYER, SRC_FILE_NM, DOS_THRU_YYYYMM"/>
  </r>
  <r>
    <x v="2"/>
    <s v="SGARMERC_PE202503_REMAO004.TXT"/>
    <x v="86"/>
    <x v="8"/>
    <n v="257"/>
    <n v="86928"/>
    <n v="0.3"/>
    <s v="DQS_MAO04_FILE_000_B"/>
    <s v="RECORD COUNT by MBR_ID, DOS_THRU_DT, DX_CD Grain grouped by PAYER, SRC_FILE_NM, DOS_THRU_YYYYMM"/>
  </r>
  <r>
    <x v="2"/>
    <s v="SGARMERC_PE202503_REMAO004.TXT"/>
    <x v="87"/>
    <x v="8"/>
    <n v="289"/>
    <n v="86928"/>
    <n v="0.33"/>
    <s v="DQS_MAO04_FILE_000_B"/>
    <s v="RECORD COUNT by MBR_ID, DOS_THRU_DT, DX_CD Grain grouped by PAYER, SRC_FILE_NM, DOS_THRU_YYYYMM"/>
  </r>
  <r>
    <x v="2"/>
    <s v="SGARMERC_PE202503_REMAO004.TXT"/>
    <x v="88"/>
    <x v="8"/>
    <n v="274"/>
    <n v="86928"/>
    <n v="0.32"/>
    <s v="DQS_MAO04_FILE_000_B"/>
    <s v="RECORD COUNT by MBR_ID, DOS_THRU_DT, DX_CD Grain grouped by PAYER, SRC_FILE_NM, DOS_THRU_YYYYMM"/>
  </r>
  <r>
    <x v="2"/>
    <s v="SGARMERC_PE202503_REMAO004.TXT"/>
    <x v="89"/>
    <x v="9"/>
    <n v="347"/>
    <n v="86928"/>
    <n v="0.4"/>
    <s v="DQS_MAO04_FILE_000_B"/>
    <s v="RECORD COUNT by MBR_ID, DOS_THRU_DT, DX_CD Grain grouped by PAYER, SRC_FILE_NM, DOS_THRU_YYYYMM"/>
  </r>
  <r>
    <x v="2"/>
    <s v="SGARMERC_PE202503_REMAO004.TXT"/>
    <x v="97"/>
    <x v="9"/>
    <n v="443"/>
    <n v="86928"/>
    <n v="0.51"/>
    <s v="DQS_MAO04_FILE_000_B"/>
    <s v="RECORD COUNT by MBR_ID, DOS_THRU_DT, DX_CD Grain grouped by PAYER, SRC_FILE_NM, DOS_THRU_YYYYMM"/>
  </r>
  <r>
    <x v="2"/>
    <s v="SGARMERC_PE202503_REMAO004.TXT"/>
    <x v="98"/>
    <x v="9"/>
    <n v="498"/>
    <n v="86928"/>
    <n v="0.56999999999999995"/>
    <s v="DQS_MAO04_FILE_000_B"/>
    <s v="RECORD COUNT by MBR_ID, DOS_THRU_DT, DX_CD Grain grouped by PAYER, SRC_FILE_NM, DOS_THRU_YYYYMM"/>
  </r>
  <r>
    <x v="2"/>
    <s v="SGARMERC_PE202503_REMAO004.TXT"/>
    <x v="99"/>
    <x v="9"/>
    <n v="565"/>
    <n v="86928"/>
    <n v="0.65"/>
    <s v="DQS_MAO04_FILE_000_B"/>
    <s v="RECORD COUNT by MBR_ID, DOS_THRU_DT, DX_CD Grain grouped by PAYER, SRC_FILE_NM, DOS_THRU_YYYYMM"/>
  </r>
  <r>
    <x v="2"/>
    <s v="SGARMERC_PE202503_REMAO004.TXT"/>
    <x v="100"/>
    <x v="9"/>
    <n v="607"/>
    <n v="86928"/>
    <n v="0.7"/>
    <s v="DQS_MAO04_FILE_000_B"/>
    <s v="RECORD COUNT by MBR_ID, DOS_THRU_DT, DX_CD Grain grouped by PAYER, SRC_FILE_NM, DOS_THRU_YYYYMM"/>
  </r>
  <r>
    <x v="2"/>
    <s v="SGARMERC_PE202503_REMAO004.TXT"/>
    <x v="102"/>
    <x v="9"/>
    <n v="605"/>
    <n v="86928"/>
    <n v="0.7"/>
    <s v="DQS_MAO04_FILE_000_B"/>
    <s v="RECORD COUNT by MBR_ID, DOS_THRU_DT, DX_CD Grain grouped by PAYER, SRC_FILE_NM, DOS_THRU_YYYYMM"/>
  </r>
  <r>
    <x v="2"/>
    <s v="SGARMERC_PE202503_REMAO004.TXT"/>
    <x v="103"/>
    <x v="9"/>
    <n v="717"/>
    <n v="86928"/>
    <n v="0.82"/>
    <s v="DQS_MAO04_FILE_000_B"/>
    <s v="RECORD COUNT by MBR_ID, DOS_THRU_DT, DX_CD Grain grouped by PAYER, SRC_FILE_NM, DOS_THRU_YYYYMM"/>
  </r>
  <r>
    <x v="2"/>
    <s v="SGARMERC_PE202503_REMAO004.TXT"/>
    <x v="105"/>
    <x v="9"/>
    <n v="1692"/>
    <n v="86928"/>
    <n v="1.95"/>
    <s v="DQS_MAO04_FILE_000_B"/>
    <s v="RECORD COUNT by MBR_ID, DOS_THRU_DT, DX_CD Grain grouped by PAYER, SRC_FILE_NM, DOS_THRU_YYYYMM"/>
  </r>
  <r>
    <x v="2"/>
    <s v="SGARMERC_PE202503_REMAO004.TXT"/>
    <x v="106"/>
    <x v="9"/>
    <n v="1747"/>
    <n v="86928"/>
    <n v="2.0099999999999998"/>
    <s v="DQS_MAO04_FILE_000_B"/>
    <s v="RECORD COUNT by MBR_ID, DOS_THRU_DT, DX_CD Grain grouped by PAYER, SRC_FILE_NM, DOS_THRU_YYYYMM"/>
  </r>
  <r>
    <x v="2"/>
    <s v="SGARMERC_PE202503_REMAO004.TXT"/>
    <x v="107"/>
    <x v="9"/>
    <n v="2282"/>
    <n v="86928"/>
    <n v="2.63"/>
    <s v="DQS_MAO04_FILE_000_B"/>
    <s v="RECORD COUNT by MBR_ID, DOS_THRU_DT, DX_CD Grain grouped by PAYER, SRC_FILE_NM, DOS_THRU_YYYYMM"/>
  </r>
  <r>
    <x v="2"/>
    <s v="SGARMERC_PE202503_REMAO004.TXT"/>
    <x v="108"/>
    <x v="9"/>
    <n v="5179"/>
    <n v="86928"/>
    <n v="5.96"/>
    <s v="DQS_MAO04_FILE_000_B"/>
    <s v="RECORD COUNT by MBR_ID, DOS_THRU_DT, DX_CD Grain grouped by PAYER, SRC_FILE_NM, DOS_THRU_YYYYMM"/>
  </r>
  <r>
    <x v="2"/>
    <s v="SGARMERC_PE202503_REMAO004.TXT"/>
    <x v="109"/>
    <x v="9"/>
    <n v="43275"/>
    <n v="86928"/>
    <n v="49.78"/>
    <s v="DQS_MAO04_FILE_000_B"/>
    <s v="RECORD COUNT by MBR_ID, DOS_THRU_DT, DX_CD Grain grouped by PAYER, SRC_FILE_NM, DOS_THRU_YYYYMM"/>
  </r>
  <r>
    <x v="2"/>
    <s v="SGARMERC_PE202503_REMAO004.TXT"/>
    <x v="110"/>
    <x v="11"/>
    <n v="26928"/>
    <n v="86928"/>
    <n v="30.98"/>
    <s v="DQS_MAO04_FILE_000_B"/>
    <s v="RECORD COUNT by MBR_ID, DOS_THRU_DT, DX_CD Grain grouped by PAYER, SRC_FILE_NM, DOS_THRU_YYYYMM"/>
  </r>
  <r>
    <x v="2"/>
    <s v="SGARMERC_PE202504_REMAO004.TXT"/>
    <x v="17"/>
    <x v="3"/>
    <n v="22"/>
    <n v="103554"/>
    <n v="0.02"/>
    <s v="DQS_MAO04_FILE_000_B"/>
    <s v="RECORD COUNT by MBR_ID, DOS_THRU_DT, DX_CD Grain grouped by PAYER, SRC_FILE_NM, DOS_THRU_YYYYMM"/>
  </r>
  <r>
    <x v="2"/>
    <s v="SGARMERC_PE202504_REMAO004.TXT"/>
    <x v="18"/>
    <x v="3"/>
    <n v="42"/>
    <n v="103554"/>
    <n v="0.04"/>
    <s v="DQS_MAO04_FILE_000_B"/>
    <s v="RECORD COUNT by MBR_ID, DOS_THRU_DT, DX_CD Grain grouped by PAYER, SRC_FILE_NM, DOS_THRU_YYYYMM"/>
  </r>
  <r>
    <x v="2"/>
    <s v="SGARMERC_PE202504_REMAO004.TXT"/>
    <x v="19"/>
    <x v="3"/>
    <n v="182"/>
    <n v="103554"/>
    <n v="0.18"/>
    <s v="DQS_MAO04_FILE_000_B"/>
    <s v="RECORD COUNT by MBR_ID, DOS_THRU_DT, DX_CD Grain grouped by PAYER, SRC_FILE_NM, DOS_THRU_YYYYMM"/>
  </r>
  <r>
    <x v="2"/>
    <s v="SGARMERC_PE202504_REMAO004.TXT"/>
    <x v="20"/>
    <x v="3"/>
    <n v="78"/>
    <n v="103554"/>
    <n v="0.08"/>
    <s v="DQS_MAO04_FILE_000_B"/>
    <s v="RECORD COUNT by MBR_ID, DOS_THRU_DT, DX_CD Grain grouped by PAYER, SRC_FILE_NM, DOS_THRU_YYYYMM"/>
  </r>
  <r>
    <x v="2"/>
    <s v="SGARMERC_PE202504_REMAO004.TXT"/>
    <x v="24"/>
    <x v="3"/>
    <n v="4"/>
    <n v="103554"/>
    <n v="0"/>
    <s v="DQS_MAO04_FILE_000_B"/>
    <s v="RECORD COUNT by MBR_ID, DOS_THRU_DT, DX_CD Grain grouped by PAYER, SRC_FILE_NM, DOS_THRU_YYYYMM"/>
  </r>
  <r>
    <x v="2"/>
    <s v="SGARMERC_PE202504_REMAO004.TXT"/>
    <x v="25"/>
    <x v="3"/>
    <n v="11"/>
    <n v="103554"/>
    <n v="0.01"/>
    <s v="DQS_MAO04_FILE_000_B"/>
    <s v="RECORD COUNT by MBR_ID, DOS_THRU_DT, DX_CD Grain grouped by PAYER, SRC_FILE_NM, DOS_THRU_YYYYMM"/>
  </r>
  <r>
    <x v="2"/>
    <s v="SGARMERC_PE202504_REMAO004.TXT"/>
    <x v="26"/>
    <x v="3"/>
    <n v="5"/>
    <n v="103554"/>
    <n v="0"/>
    <s v="DQS_MAO04_FILE_000_B"/>
    <s v="RECORD COUNT by MBR_ID, DOS_THRU_DT, DX_CD Grain grouped by PAYER, SRC_FILE_NM, DOS_THRU_YYYYMM"/>
  </r>
  <r>
    <x v="2"/>
    <s v="SGARMERC_PE202504_REMAO004.TXT"/>
    <x v="28"/>
    <x v="3"/>
    <n v="12"/>
    <n v="103554"/>
    <n v="0.01"/>
    <s v="DQS_MAO04_FILE_000_B"/>
    <s v="RECORD COUNT by MBR_ID, DOS_THRU_DT, DX_CD Grain grouped by PAYER, SRC_FILE_NM, DOS_THRU_YYYYMM"/>
  </r>
  <r>
    <x v="2"/>
    <s v="SGARMERC_PE202504_REMAO004.TXT"/>
    <x v="38"/>
    <x v="4"/>
    <n v="9"/>
    <n v="103554"/>
    <n v="0.01"/>
    <s v="DQS_MAO04_FILE_000_B"/>
    <s v="RECORD COUNT by MBR_ID, DOS_THRU_DT, DX_CD Grain grouped by PAYER, SRC_FILE_NM, DOS_THRU_YYYYMM"/>
  </r>
  <r>
    <x v="2"/>
    <s v="SGARMERC_PE202504_REMAO004.TXT"/>
    <x v="63"/>
    <x v="6"/>
    <n v="3"/>
    <n v="103554"/>
    <n v="0"/>
    <s v="DQS_MAO04_FILE_000_B"/>
    <s v="RECORD COUNT by MBR_ID, DOS_THRU_DT, DX_CD Grain grouped by PAYER, SRC_FILE_NM, DOS_THRU_YYYYMM"/>
  </r>
  <r>
    <x v="2"/>
    <s v="SGARMERC_PE202504_REMAO004.TXT"/>
    <x v="64"/>
    <x v="6"/>
    <n v="12"/>
    <n v="103554"/>
    <n v="0.01"/>
    <s v="DQS_MAO04_FILE_000_B"/>
    <s v="RECORD COUNT by MBR_ID, DOS_THRU_DT, DX_CD Grain grouped by PAYER, SRC_FILE_NM, DOS_THRU_YYYYMM"/>
  </r>
  <r>
    <x v="2"/>
    <s v="SGARMERC_PE202504_REMAO004.TXT"/>
    <x v="66"/>
    <x v="7"/>
    <n v="5"/>
    <n v="103554"/>
    <n v="0"/>
    <s v="DQS_MAO04_FILE_000_B"/>
    <s v="RECORD COUNT by MBR_ID, DOS_THRU_DT, DX_CD Grain grouped by PAYER, SRC_FILE_NM, DOS_THRU_YYYYMM"/>
  </r>
  <r>
    <x v="2"/>
    <s v="SGARMERC_PE202504_REMAO004.TXT"/>
    <x v="68"/>
    <x v="7"/>
    <n v="2"/>
    <n v="103554"/>
    <n v="0"/>
    <s v="DQS_MAO04_FILE_000_B"/>
    <s v="RECORD COUNT by MBR_ID, DOS_THRU_DT, DX_CD Grain grouped by PAYER, SRC_FILE_NM, DOS_THRU_YYYYMM"/>
  </r>
  <r>
    <x v="2"/>
    <s v="SGARMERC_PE202504_REMAO004.TXT"/>
    <x v="72"/>
    <x v="7"/>
    <n v="24"/>
    <n v="103554"/>
    <n v="0.02"/>
    <s v="DQS_MAO04_FILE_000_B"/>
    <s v="RECORD COUNT by MBR_ID, DOS_THRU_DT, DX_CD Grain grouped by PAYER, SRC_FILE_NM, DOS_THRU_YYYYMM"/>
  </r>
  <r>
    <x v="2"/>
    <s v="SGARMERC_PE202504_REMAO004.TXT"/>
    <x v="73"/>
    <x v="7"/>
    <n v="1"/>
    <n v="103554"/>
    <n v="0"/>
    <s v="DQS_MAO04_FILE_000_B"/>
    <s v="RECORD COUNT by MBR_ID, DOS_THRU_DT, DX_CD Grain grouped by PAYER, SRC_FILE_NM, DOS_THRU_YYYYMM"/>
  </r>
  <r>
    <x v="2"/>
    <s v="SGARMERC_PE202504_REMAO004.TXT"/>
    <x v="75"/>
    <x v="7"/>
    <n v="1"/>
    <n v="103554"/>
    <n v="0"/>
    <s v="DQS_MAO04_FILE_000_B"/>
    <s v="RECORD COUNT by MBR_ID, DOS_THRU_DT, DX_CD Grain grouped by PAYER, SRC_FILE_NM, DOS_THRU_YYYYMM"/>
  </r>
  <r>
    <x v="2"/>
    <s v="SGARMERC_PE202504_REMAO004.TXT"/>
    <x v="76"/>
    <x v="7"/>
    <n v="48"/>
    <n v="103554"/>
    <n v="0.05"/>
    <s v="DQS_MAO04_FILE_000_B"/>
    <s v="RECORD COUNT by MBR_ID, DOS_THRU_DT, DX_CD Grain grouped by PAYER, SRC_FILE_NM, DOS_THRU_YYYYMM"/>
  </r>
  <r>
    <x v="2"/>
    <s v="SGARMERC_PE202504_REMAO004.TXT"/>
    <x v="77"/>
    <x v="8"/>
    <n v="13"/>
    <n v="103554"/>
    <n v="0.01"/>
    <s v="DQS_MAO04_FILE_000_B"/>
    <s v="RECORD COUNT by MBR_ID, DOS_THRU_DT, DX_CD Grain grouped by PAYER, SRC_FILE_NM, DOS_THRU_YYYYMM"/>
  </r>
  <r>
    <x v="2"/>
    <s v="SGARMERC_PE202504_REMAO004.TXT"/>
    <x v="78"/>
    <x v="8"/>
    <n v="33"/>
    <n v="103554"/>
    <n v="0.03"/>
    <s v="DQS_MAO04_FILE_000_B"/>
    <s v="RECORD COUNT by MBR_ID, DOS_THRU_DT, DX_CD Grain grouped by PAYER, SRC_FILE_NM, DOS_THRU_YYYYMM"/>
  </r>
  <r>
    <x v="2"/>
    <s v="SGARMERC_PE202504_REMAO004.TXT"/>
    <x v="79"/>
    <x v="8"/>
    <n v="38"/>
    <n v="103554"/>
    <n v="0.04"/>
    <s v="DQS_MAO04_FILE_000_B"/>
    <s v="RECORD COUNT by MBR_ID, DOS_THRU_DT, DX_CD Grain grouped by PAYER, SRC_FILE_NM, DOS_THRU_YYYYMM"/>
  </r>
  <r>
    <x v="2"/>
    <s v="SGARMERC_PE202504_REMAO004.TXT"/>
    <x v="80"/>
    <x v="8"/>
    <n v="22"/>
    <n v="103554"/>
    <n v="0.02"/>
    <s v="DQS_MAO04_FILE_000_B"/>
    <s v="RECORD COUNT by MBR_ID, DOS_THRU_DT, DX_CD Grain grouped by PAYER, SRC_FILE_NM, DOS_THRU_YYYYMM"/>
  </r>
  <r>
    <x v="2"/>
    <s v="SGARMERC_PE202504_REMAO004.TXT"/>
    <x v="81"/>
    <x v="8"/>
    <n v="47"/>
    <n v="103554"/>
    <n v="0.05"/>
    <s v="DQS_MAO04_FILE_000_B"/>
    <s v="RECORD COUNT by MBR_ID, DOS_THRU_DT, DX_CD Grain grouped by PAYER, SRC_FILE_NM, DOS_THRU_YYYYMM"/>
  </r>
  <r>
    <x v="2"/>
    <s v="SGARMERC_PE202504_REMAO004.TXT"/>
    <x v="82"/>
    <x v="8"/>
    <n v="169"/>
    <n v="103554"/>
    <n v="0.16"/>
    <s v="DQS_MAO04_FILE_000_B"/>
    <s v="RECORD COUNT by MBR_ID, DOS_THRU_DT, DX_CD Grain grouped by PAYER, SRC_FILE_NM, DOS_THRU_YYYYMM"/>
  </r>
  <r>
    <x v="2"/>
    <s v="SGARMERC_PE202504_REMAO004.TXT"/>
    <x v="83"/>
    <x v="8"/>
    <n v="152"/>
    <n v="103554"/>
    <n v="0.15"/>
    <s v="DQS_MAO04_FILE_000_B"/>
    <s v="RECORD COUNT by MBR_ID, DOS_THRU_DT, DX_CD Grain grouped by PAYER, SRC_FILE_NM, DOS_THRU_YYYYMM"/>
  </r>
  <r>
    <x v="2"/>
    <s v="SGARMERC_PE202504_REMAO004.TXT"/>
    <x v="84"/>
    <x v="8"/>
    <n v="155"/>
    <n v="103554"/>
    <n v="0.15"/>
    <s v="DQS_MAO04_FILE_000_B"/>
    <s v="RECORD COUNT by MBR_ID, DOS_THRU_DT, DX_CD Grain grouped by PAYER, SRC_FILE_NM, DOS_THRU_YYYYMM"/>
  </r>
  <r>
    <x v="2"/>
    <s v="SGARMERC_PE202504_REMAO004.TXT"/>
    <x v="85"/>
    <x v="8"/>
    <n v="201"/>
    <n v="103554"/>
    <n v="0.19"/>
    <s v="DQS_MAO04_FILE_000_B"/>
    <s v="RECORD COUNT by MBR_ID, DOS_THRU_DT, DX_CD Grain grouped by PAYER, SRC_FILE_NM, DOS_THRU_YYYYMM"/>
  </r>
  <r>
    <x v="2"/>
    <s v="SGARMERC_PE202504_REMAO004.TXT"/>
    <x v="86"/>
    <x v="8"/>
    <n v="250"/>
    <n v="103554"/>
    <n v="0.24"/>
    <s v="DQS_MAO04_FILE_000_B"/>
    <s v="RECORD COUNT by MBR_ID, DOS_THRU_DT, DX_CD Grain grouped by PAYER, SRC_FILE_NM, DOS_THRU_YYYYMM"/>
  </r>
  <r>
    <x v="2"/>
    <s v="SGARMERC_PE202504_REMAO004.TXT"/>
    <x v="87"/>
    <x v="8"/>
    <n v="250"/>
    <n v="103554"/>
    <n v="0.24"/>
    <s v="DQS_MAO04_FILE_000_B"/>
    <s v="RECORD COUNT by MBR_ID, DOS_THRU_DT, DX_CD Grain grouped by PAYER, SRC_FILE_NM, DOS_THRU_YYYYMM"/>
  </r>
  <r>
    <x v="2"/>
    <s v="SGARMERC_PE202504_REMAO004.TXT"/>
    <x v="88"/>
    <x v="8"/>
    <n v="190"/>
    <n v="103554"/>
    <n v="0.18"/>
    <s v="DQS_MAO04_FILE_000_B"/>
    <s v="RECORD COUNT by MBR_ID, DOS_THRU_DT, DX_CD Grain grouped by PAYER, SRC_FILE_NM, DOS_THRU_YYYYMM"/>
  </r>
  <r>
    <x v="2"/>
    <s v="SGARMERC_PE202504_REMAO004.TXT"/>
    <x v="89"/>
    <x v="9"/>
    <n v="383"/>
    <n v="103554"/>
    <n v="0.37"/>
    <s v="DQS_MAO04_FILE_000_B"/>
    <s v="RECORD COUNT by MBR_ID, DOS_THRU_DT, DX_CD Grain grouped by PAYER, SRC_FILE_NM, DOS_THRU_YYYYMM"/>
  </r>
  <r>
    <x v="2"/>
    <s v="SGARMERC_PE202504_REMAO004.TXT"/>
    <x v="97"/>
    <x v="9"/>
    <n v="551"/>
    <n v="103554"/>
    <n v="0.53"/>
    <s v="DQS_MAO04_FILE_000_B"/>
    <s v="RECORD COUNT by MBR_ID, DOS_THRU_DT, DX_CD Grain grouped by PAYER, SRC_FILE_NM, DOS_THRU_YYYYMM"/>
  </r>
  <r>
    <x v="2"/>
    <s v="SGARMERC_PE202504_REMAO004.TXT"/>
    <x v="98"/>
    <x v="9"/>
    <n v="616"/>
    <n v="103554"/>
    <n v="0.59"/>
    <s v="DQS_MAO04_FILE_000_B"/>
    <s v="RECORD COUNT by MBR_ID, DOS_THRU_DT, DX_CD Grain grouped by PAYER, SRC_FILE_NM, DOS_THRU_YYYYMM"/>
  </r>
  <r>
    <x v="2"/>
    <s v="SGARMERC_PE202504_REMAO004.TXT"/>
    <x v="99"/>
    <x v="9"/>
    <n v="880"/>
    <n v="103554"/>
    <n v="0.85"/>
    <s v="DQS_MAO04_FILE_000_B"/>
    <s v="RECORD COUNT by MBR_ID, DOS_THRU_DT, DX_CD Grain grouped by PAYER, SRC_FILE_NM, DOS_THRU_YYYYMM"/>
  </r>
  <r>
    <x v="2"/>
    <s v="SGARMERC_PE202504_REMAO004.TXT"/>
    <x v="100"/>
    <x v="9"/>
    <n v="877"/>
    <n v="103554"/>
    <n v="0.85"/>
    <s v="DQS_MAO04_FILE_000_B"/>
    <s v="RECORD COUNT by MBR_ID, DOS_THRU_DT, DX_CD Grain grouped by PAYER, SRC_FILE_NM, DOS_THRU_YYYYMM"/>
  </r>
  <r>
    <x v="2"/>
    <s v="SGARMERC_PE202504_REMAO004.TXT"/>
    <x v="102"/>
    <x v="9"/>
    <n v="515"/>
    <n v="103554"/>
    <n v="0.5"/>
    <s v="DQS_MAO04_FILE_000_B"/>
    <s v="RECORD COUNT by MBR_ID, DOS_THRU_DT, DX_CD Grain grouped by PAYER, SRC_FILE_NM, DOS_THRU_YYYYMM"/>
  </r>
  <r>
    <x v="2"/>
    <s v="SGARMERC_PE202504_REMAO004.TXT"/>
    <x v="103"/>
    <x v="9"/>
    <n v="870"/>
    <n v="103554"/>
    <n v="0.84"/>
    <s v="DQS_MAO04_FILE_000_B"/>
    <s v="RECORD COUNT by MBR_ID, DOS_THRU_DT, DX_CD Grain grouped by PAYER, SRC_FILE_NM, DOS_THRU_YYYYMM"/>
  </r>
  <r>
    <x v="2"/>
    <s v="SGARMERC_PE202504_REMAO004.TXT"/>
    <x v="105"/>
    <x v="9"/>
    <n v="805"/>
    <n v="103554"/>
    <n v="0.78"/>
    <s v="DQS_MAO04_FILE_000_B"/>
    <s v="RECORD COUNT by MBR_ID, DOS_THRU_DT, DX_CD Grain grouped by PAYER, SRC_FILE_NM, DOS_THRU_YYYYMM"/>
  </r>
  <r>
    <x v="2"/>
    <s v="SGARMERC_PE202504_REMAO004.TXT"/>
    <x v="106"/>
    <x v="9"/>
    <n v="1204"/>
    <n v="103554"/>
    <n v="1.1599999999999999"/>
    <s v="DQS_MAO04_FILE_000_B"/>
    <s v="RECORD COUNT by MBR_ID, DOS_THRU_DT, DX_CD Grain grouped by PAYER, SRC_FILE_NM, DOS_THRU_YYYYMM"/>
  </r>
  <r>
    <x v="2"/>
    <s v="SGARMERC_PE202504_REMAO004.TXT"/>
    <x v="107"/>
    <x v="9"/>
    <n v="1488"/>
    <n v="103554"/>
    <n v="1.44"/>
    <s v="DQS_MAO04_FILE_000_B"/>
    <s v="RECORD COUNT by MBR_ID, DOS_THRU_DT, DX_CD Grain grouped by PAYER, SRC_FILE_NM, DOS_THRU_YYYYMM"/>
  </r>
  <r>
    <x v="2"/>
    <s v="SGARMERC_PE202504_REMAO004.TXT"/>
    <x v="108"/>
    <x v="9"/>
    <n v="2234"/>
    <n v="103554"/>
    <n v="2.16"/>
    <s v="DQS_MAO04_FILE_000_B"/>
    <s v="RECORD COUNT by MBR_ID, DOS_THRU_DT, DX_CD Grain grouped by PAYER, SRC_FILE_NM, DOS_THRU_YYYYMM"/>
  </r>
  <r>
    <x v="2"/>
    <s v="SGARMERC_PE202504_REMAO004.TXT"/>
    <x v="109"/>
    <x v="9"/>
    <n v="6218"/>
    <n v="103554"/>
    <n v="6"/>
    <s v="DQS_MAO04_FILE_000_B"/>
    <s v="RECORD COUNT by MBR_ID, DOS_THRU_DT, DX_CD Grain grouped by PAYER, SRC_FILE_NM, DOS_THRU_YYYYMM"/>
  </r>
  <r>
    <x v="2"/>
    <s v="SGARMERC_PE202504_REMAO004.TXT"/>
    <x v="110"/>
    <x v="11"/>
    <n v="58038"/>
    <n v="103554"/>
    <n v="56.05"/>
    <s v="DQS_MAO04_FILE_000_B"/>
    <s v="RECORD COUNT by MBR_ID, DOS_THRU_DT, DX_CD Grain grouped by PAYER, SRC_FILE_NM, DOS_THRU_YYYYMM"/>
  </r>
  <r>
    <x v="2"/>
    <s v="SGARMERC_PE202504_REMAO004.TXT"/>
    <x v="111"/>
    <x v="11"/>
    <n v="26894"/>
    <n v="103554"/>
    <n v="25.97"/>
    <s v="DQS_MAO04_FILE_000_B"/>
    <s v="RECORD COUNT by MBR_ID, DOS_THRU_DT, DX_CD Grain grouped by PAYER, SRC_FILE_NM, DOS_THRU_YYYYMM"/>
  </r>
  <r>
    <x v="2"/>
    <s v="SGARMERC_PE202505_REMAO004.TXT"/>
    <x v="16"/>
    <x v="2"/>
    <n v="5"/>
    <n v="113581"/>
    <n v="0"/>
    <s v="DQS_MAO04_FILE_000_B"/>
    <s v="RECORD COUNT by MBR_ID, DOS_THRU_DT, DX_CD Grain grouped by PAYER, SRC_FILE_NM, DOS_THRU_YYYYMM"/>
  </r>
  <r>
    <x v="2"/>
    <s v="SGARMERC_PE202505_REMAO004.TXT"/>
    <x v="45"/>
    <x v="5"/>
    <n v="4"/>
    <n v="113581"/>
    <n v="0"/>
    <s v="DQS_MAO04_FILE_000_B"/>
    <s v="RECORD COUNT by MBR_ID, DOS_THRU_DT, DX_CD Grain grouped by PAYER, SRC_FILE_NM, DOS_THRU_YYYYMM"/>
  </r>
  <r>
    <x v="2"/>
    <s v="SGARMERC_PE202505_REMAO004.TXT"/>
    <x v="46"/>
    <x v="5"/>
    <n v="2"/>
    <n v="113581"/>
    <n v="0"/>
    <s v="DQS_MAO04_FILE_000_B"/>
    <s v="RECORD COUNT by MBR_ID, DOS_THRU_DT, DX_CD Grain grouped by PAYER, SRC_FILE_NM, DOS_THRU_YYYYMM"/>
  </r>
  <r>
    <x v="2"/>
    <s v="SGARMERC_PE202505_REMAO004.TXT"/>
    <x v="49"/>
    <x v="5"/>
    <n v="20"/>
    <n v="113581"/>
    <n v="0.02"/>
    <s v="DQS_MAO04_FILE_000_B"/>
    <s v="RECORD COUNT by MBR_ID, DOS_THRU_DT, DX_CD Grain grouped by PAYER, SRC_FILE_NM, DOS_THRU_YYYYMM"/>
  </r>
  <r>
    <x v="2"/>
    <s v="SGARMERC_PE202505_REMAO004.TXT"/>
    <x v="58"/>
    <x v="6"/>
    <n v="7"/>
    <n v="113581"/>
    <n v="0.01"/>
    <s v="DQS_MAO04_FILE_000_B"/>
    <s v="RECORD COUNT by MBR_ID, DOS_THRU_DT, DX_CD Grain grouped by PAYER, SRC_FILE_NM, DOS_THRU_YYYYMM"/>
  </r>
  <r>
    <x v="2"/>
    <s v="SGARMERC_PE202505_REMAO004.TXT"/>
    <x v="71"/>
    <x v="7"/>
    <n v="8"/>
    <n v="113581"/>
    <n v="0.01"/>
    <s v="DQS_MAO04_FILE_000_B"/>
    <s v="RECORD COUNT by MBR_ID, DOS_THRU_DT, DX_CD Grain grouped by PAYER, SRC_FILE_NM, DOS_THRU_YYYYMM"/>
  </r>
  <r>
    <x v="2"/>
    <s v="SGARMERC_PE202505_REMAO004.TXT"/>
    <x v="76"/>
    <x v="7"/>
    <n v="12"/>
    <n v="113581"/>
    <n v="0.01"/>
    <s v="DQS_MAO04_FILE_000_B"/>
    <s v="RECORD COUNT by MBR_ID, DOS_THRU_DT, DX_CD Grain grouped by PAYER, SRC_FILE_NM, DOS_THRU_YYYYMM"/>
  </r>
  <r>
    <x v="2"/>
    <s v="SGARMERC_PE202505_REMAO004.TXT"/>
    <x v="77"/>
    <x v="8"/>
    <n v="7"/>
    <n v="113581"/>
    <n v="0.01"/>
    <s v="DQS_MAO04_FILE_000_B"/>
    <s v="RECORD COUNT by MBR_ID, DOS_THRU_DT, DX_CD Grain grouped by PAYER, SRC_FILE_NM, DOS_THRU_YYYYMM"/>
  </r>
  <r>
    <x v="2"/>
    <s v="SGARMERC_PE202505_REMAO004.TXT"/>
    <x v="78"/>
    <x v="8"/>
    <n v="15"/>
    <n v="113581"/>
    <n v="0.01"/>
    <s v="DQS_MAO04_FILE_000_B"/>
    <s v="RECORD COUNT by MBR_ID, DOS_THRU_DT, DX_CD Grain grouped by PAYER, SRC_FILE_NM, DOS_THRU_YYYYMM"/>
  </r>
  <r>
    <x v="2"/>
    <s v="SGARMERC_PE202505_REMAO004.TXT"/>
    <x v="79"/>
    <x v="8"/>
    <n v="23"/>
    <n v="113581"/>
    <n v="0.02"/>
    <s v="DQS_MAO04_FILE_000_B"/>
    <s v="RECORD COUNT by MBR_ID, DOS_THRU_DT, DX_CD Grain grouped by PAYER, SRC_FILE_NM, DOS_THRU_YYYYMM"/>
  </r>
  <r>
    <x v="2"/>
    <s v="SGARMERC_PE202505_REMAO004.TXT"/>
    <x v="80"/>
    <x v="8"/>
    <n v="15"/>
    <n v="113581"/>
    <n v="0.01"/>
    <s v="DQS_MAO04_FILE_000_B"/>
    <s v="RECORD COUNT by MBR_ID, DOS_THRU_DT, DX_CD Grain grouped by PAYER, SRC_FILE_NM, DOS_THRU_YYYYMM"/>
  </r>
  <r>
    <x v="2"/>
    <s v="SGARMERC_PE202505_REMAO004.TXT"/>
    <x v="81"/>
    <x v="8"/>
    <n v="14"/>
    <n v="113581"/>
    <n v="0.01"/>
    <s v="DQS_MAO04_FILE_000_B"/>
    <s v="RECORD COUNT by MBR_ID, DOS_THRU_DT, DX_CD Grain grouped by PAYER, SRC_FILE_NM, DOS_THRU_YYYYMM"/>
  </r>
  <r>
    <x v="2"/>
    <s v="SGARMERC_PE202505_REMAO004.TXT"/>
    <x v="82"/>
    <x v="8"/>
    <n v="77"/>
    <n v="113581"/>
    <n v="7.0000000000000007E-2"/>
    <s v="DQS_MAO04_FILE_000_B"/>
    <s v="RECORD COUNT by MBR_ID, DOS_THRU_DT, DX_CD Grain grouped by PAYER, SRC_FILE_NM, DOS_THRU_YYYYMM"/>
  </r>
  <r>
    <x v="2"/>
    <s v="SGARMERC_PE202505_REMAO004.TXT"/>
    <x v="83"/>
    <x v="8"/>
    <n v="51"/>
    <n v="113581"/>
    <n v="0.04"/>
    <s v="DQS_MAO04_FILE_000_B"/>
    <s v="RECORD COUNT by MBR_ID, DOS_THRU_DT, DX_CD Grain grouped by PAYER, SRC_FILE_NM, DOS_THRU_YYYYMM"/>
  </r>
  <r>
    <x v="2"/>
    <s v="SGARMERC_PE202505_REMAO004.TXT"/>
    <x v="84"/>
    <x v="8"/>
    <n v="145"/>
    <n v="113581"/>
    <n v="0.13"/>
    <s v="DQS_MAO04_FILE_000_B"/>
    <s v="RECORD COUNT by MBR_ID, DOS_THRU_DT, DX_CD Grain grouped by PAYER, SRC_FILE_NM, DOS_THRU_YYYYMM"/>
  </r>
  <r>
    <x v="2"/>
    <s v="SGARMERC_PE202505_REMAO004.TXT"/>
    <x v="85"/>
    <x v="8"/>
    <n v="211"/>
    <n v="113581"/>
    <n v="0.19"/>
    <s v="DQS_MAO04_FILE_000_B"/>
    <s v="RECORD COUNT by MBR_ID, DOS_THRU_DT, DX_CD Grain grouped by PAYER, SRC_FILE_NM, DOS_THRU_YYYYMM"/>
  </r>
  <r>
    <x v="2"/>
    <s v="SGARMERC_PE202505_REMAO004.TXT"/>
    <x v="86"/>
    <x v="8"/>
    <n v="106"/>
    <n v="113581"/>
    <n v="0.09"/>
    <s v="DQS_MAO04_FILE_000_B"/>
    <s v="RECORD COUNT by MBR_ID, DOS_THRU_DT, DX_CD Grain grouped by PAYER, SRC_FILE_NM, DOS_THRU_YYYYMM"/>
  </r>
  <r>
    <x v="2"/>
    <s v="SGARMERC_PE202505_REMAO004.TXT"/>
    <x v="87"/>
    <x v="8"/>
    <n v="100"/>
    <n v="113581"/>
    <n v="0.09"/>
    <s v="DQS_MAO04_FILE_000_B"/>
    <s v="RECORD COUNT by MBR_ID, DOS_THRU_DT, DX_CD Grain grouped by PAYER, SRC_FILE_NM, DOS_THRU_YYYYMM"/>
  </r>
  <r>
    <x v="2"/>
    <s v="SGARMERC_PE202505_REMAO004.TXT"/>
    <x v="88"/>
    <x v="8"/>
    <n v="175"/>
    <n v="113581"/>
    <n v="0.15"/>
    <s v="DQS_MAO04_FILE_000_B"/>
    <s v="RECORD COUNT by MBR_ID, DOS_THRU_DT, DX_CD Grain grouped by PAYER, SRC_FILE_NM, DOS_THRU_YYYYMM"/>
  </r>
  <r>
    <x v="2"/>
    <s v="SGARMERC_PE202505_REMAO004.TXT"/>
    <x v="89"/>
    <x v="9"/>
    <n v="332"/>
    <n v="113581"/>
    <n v="0.28999999999999998"/>
    <s v="DQS_MAO04_FILE_000_B"/>
    <s v="RECORD COUNT by MBR_ID, DOS_THRU_DT, DX_CD Grain grouped by PAYER, SRC_FILE_NM, DOS_THRU_YYYYMM"/>
  </r>
  <r>
    <x v="2"/>
    <s v="SGARMERC_PE202505_REMAO004.TXT"/>
    <x v="97"/>
    <x v="9"/>
    <n v="430"/>
    <n v="113581"/>
    <n v="0.38"/>
    <s v="DQS_MAO04_FILE_000_B"/>
    <s v="RECORD COUNT by MBR_ID, DOS_THRU_DT, DX_CD Grain grouped by PAYER, SRC_FILE_NM, DOS_THRU_YYYYMM"/>
  </r>
  <r>
    <x v="2"/>
    <s v="SGARMERC_PE202505_REMAO004.TXT"/>
    <x v="98"/>
    <x v="9"/>
    <n v="626"/>
    <n v="113581"/>
    <n v="0.55000000000000004"/>
    <s v="DQS_MAO04_FILE_000_B"/>
    <s v="RECORD COUNT by MBR_ID, DOS_THRU_DT, DX_CD Grain grouped by PAYER, SRC_FILE_NM, DOS_THRU_YYYYMM"/>
  </r>
  <r>
    <x v="2"/>
    <s v="SGARMERC_PE202505_REMAO004.TXT"/>
    <x v="99"/>
    <x v="9"/>
    <n v="558"/>
    <n v="113581"/>
    <n v="0.49"/>
    <s v="DQS_MAO04_FILE_000_B"/>
    <s v="RECORD COUNT by MBR_ID, DOS_THRU_DT, DX_CD Grain grouped by PAYER, SRC_FILE_NM, DOS_THRU_YYYYMM"/>
  </r>
  <r>
    <x v="2"/>
    <s v="SGARMERC_PE202505_REMAO004.TXT"/>
    <x v="100"/>
    <x v="9"/>
    <n v="768"/>
    <n v="113581"/>
    <n v="0.68"/>
    <s v="DQS_MAO04_FILE_000_B"/>
    <s v="RECORD COUNT by MBR_ID, DOS_THRU_DT, DX_CD Grain grouped by PAYER, SRC_FILE_NM, DOS_THRU_YYYYMM"/>
  </r>
  <r>
    <x v="2"/>
    <s v="SGARMERC_PE202505_REMAO004.TXT"/>
    <x v="102"/>
    <x v="9"/>
    <n v="780"/>
    <n v="113581"/>
    <n v="0.69"/>
    <s v="DQS_MAO04_FILE_000_B"/>
    <s v="RECORD COUNT by MBR_ID, DOS_THRU_DT, DX_CD Grain grouped by PAYER, SRC_FILE_NM, DOS_THRU_YYYYMM"/>
  </r>
  <r>
    <x v="2"/>
    <s v="SGARMERC_PE202505_REMAO004.TXT"/>
    <x v="103"/>
    <x v="9"/>
    <n v="867"/>
    <n v="113581"/>
    <n v="0.76"/>
    <s v="DQS_MAO04_FILE_000_B"/>
    <s v="RECORD COUNT by MBR_ID, DOS_THRU_DT, DX_CD Grain grouped by PAYER, SRC_FILE_NM, DOS_THRU_YYYYMM"/>
  </r>
  <r>
    <x v="2"/>
    <s v="SGARMERC_PE202505_REMAO004.TXT"/>
    <x v="105"/>
    <x v="9"/>
    <n v="1228"/>
    <n v="113581"/>
    <n v="1.08"/>
    <s v="DQS_MAO04_FILE_000_B"/>
    <s v="RECORD COUNT by MBR_ID, DOS_THRU_DT, DX_CD Grain grouped by PAYER, SRC_FILE_NM, DOS_THRU_YYYYMM"/>
  </r>
  <r>
    <x v="2"/>
    <s v="SGARMERC_PE202505_REMAO004.TXT"/>
    <x v="106"/>
    <x v="9"/>
    <n v="1363"/>
    <n v="113581"/>
    <n v="1.2"/>
    <s v="DQS_MAO04_FILE_000_B"/>
    <s v="RECORD COUNT by MBR_ID, DOS_THRU_DT, DX_CD Grain grouped by PAYER, SRC_FILE_NM, DOS_THRU_YYYYMM"/>
  </r>
  <r>
    <x v="2"/>
    <s v="SGARMERC_PE202505_REMAO004.TXT"/>
    <x v="107"/>
    <x v="9"/>
    <n v="1623"/>
    <n v="113581"/>
    <n v="1.43"/>
    <s v="DQS_MAO04_FILE_000_B"/>
    <s v="RECORD COUNT by MBR_ID, DOS_THRU_DT, DX_CD Grain grouped by PAYER, SRC_FILE_NM, DOS_THRU_YYYYMM"/>
  </r>
  <r>
    <x v="2"/>
    <s v="SGARMERC_PE202505_REMAO004.TXT"/>
    <x v="108"/>
    <x v="9"/>
    <n v="2062"/>
    <n v="113581"/>
    <n v="1.82"/>
    <s v="DQS_MAO04_FILE_000_B"/>
    <s v="RECORD COUNT by MBR_ID, DOS_THRU_DT, DX_CD Grain grouped by PAYER, SRC_FILE_NM, DOS_THRU_YYYYMM"/>
  </r>
  <r>
    <x v="2"/>
    <s v="SGARMERC_PE202505_REMAO004.TXT"/>
    <x v="109"/>
    <x v="9"/>
    <n v="2821"/>
    <n v="113581"/>
    <n v="2.48"/>
    <s v="DQS_MAO04_FILE_000_B"/>
    <s v="RECORD COUNT by MBR_ID, DOS_THRU_DT, DX_CD Grain grouped by PAYER, SRC_FILE_NM, DOS_THRU_YYYYMM"/>
  </r>
  <r>
    <x v="2"/>
    <s v="SGARMERC_PE202505_REMAO004.TXT"/>
    <x v="110"/>
    <x v="11"/>
    <n v="6920"/>
    <n v="113581"/>
    <n v="6.09"/>
    <s v="DQS_MAO04_FILE_000_B"/>
    <s v="RECORD COUNT by MBR_ID, DOS_THRU_DT, DX_CD Grain grouped by PAYER, SRC_FILE_NM, DOS_THRU_YYYYMM"/>
  </r>
  <r>
    <x v="2"/>
    <s v="SGARMERC_PE202505_REMAO004.TXT"/>
    <x v="111"/>
    <x v="11"/>
    <n v="51933"/>
    <n v="113581"/>
    <n v="45.72"/>
    <s v="DQS_MAO04_FILE_000_B"/>
    <s v="RECORD COUNT by MBR_ID, DOS_THRU_DT, DX_CD Grain grouped by PAYER, SRC_FILE_NM, DOS_THRU_YYYYMM"/>
  </r>
  <r>
    <x v="2"/>
    <s v="SGARMERC_PE202505_REMAO004.TXT"/>
    <x v="112"/>
    <x v="11"/>
    <n v="40273"/>
    <n v="113581"/>
    <n v="35.46"/>
    <s v="DQS_MAO04_FILE_000_B"/>
    <s v="RECORD COUNT by MBR_ID, DOS_THRU_DT, DX_CD Grain grouped by PAYER, SRC_FILE_NM, DOS_THRU_YYYYMM"/>
  </r>
  <r>
    <x v="2"/>
    <s v="SGARMERC_PE202506_REMAO004.TXT"/>
    <x v="0"/>
    <x v="0"/>
    <n v="3"/>
    <n v="96729"/>
    <n v="0"/>
    <s v="DQS_MAO04_FILE_000_B"/>
    <s v="RECORD COUNT by MBR_ID, DOS_THRU_DT, DX_CD Grain grouped by PAYER, SRC_FILE_NM, DOS_THRU_YYYYMM"/>
  </r>
  <r>
    <x v="2"/>
    <s v="SGARMERC_PE202506_REMAO004.TXT"/>
    <x v="29"/>
    <x v="4"/>
    <n v="9"/>
    <n v="96729"/>
    <n v="0.01"/>
    <s v="DQS_MAO04_FILE_000_B"/>
    <s v="RECORD COUNT by MBR_ID, DOS_THRU_DT, DX_CD Grain grouped by PAYER, SRC_FILE_NM, DOS_THRU_YYYYMM"/>
  </r>
  <r>
    <x v="2"/>
    <s v="SGARMERC_PE202506_REMAO004.TXT"/>
    <x v="32"/>
    <x v="4"/>
    <n v="1"/>
    <n v="96729"/>
    <n v="0"/>
    <s v="DQS_MAO04_FILE_000_B"/>
    <s v="RECORD COUNT by MBR_ID, DOS_THRU_DT, DX_CD Grain grouped by PAYER, SRC_FILE_NM, DOS_THRU_YYYYMM"/>
  </r>
  <r>
    <x v="2"/>
    <s v="SGARMERC_PE202506_REMAO004.TXT"/>
    <x v="33"/>
    <x v="4"/>
    <n v="9"/>
    <n v="96729"/>
    <n v="0.01"/>
    <s v="DQS_MAO04_FILE_000_B"/>
    <s v="RECORD COUNT by MBR_ID, DOS_THRU_DT, DX_CD Grain grouped by PAYER, SRC_FILE_NM, DOS_THRU_YYYYMM"/>
  </r>
  <r>
    <x v="2"/>
    <s v="SGARMERC_PE202506_REMAO004.TXT"/>
    <x v="34"/>
    <x v="4"/>
    <n v="1"/>
    <n v="96729"/>
    <n v="0"/>
    <s v="DQS_MAO04_FILE_000_B"/>
    <s v="RECORD COUNT by MBR_ID, DOS_THRU_DT, DX_CD Grain grouped by PAYER, SRC_FILE_NM, DOS_THRU_YYYYMM"/>
  </r>
  <r>
    <x v="2"/>
    <s v="SGARMERC_PE202506_REMAO004.TXT"/>
    <x v="51"/>
    <x v="5"/>
    <n v="9"/>
    <n v="96729"/>
    <n v="0.01"/>
    <s v="DQS_MAO04_FILE_000_B"/>
    <s v="RECORD COUNT by MBR_ID, DOS_THRU_DT, DX_CD Grain grouped by PAYER, SRC_FILE_NM, DOS_THRU_YYYYMM"/>
  </r>
  <r>
    <x v="2"/>
    <s v="SGARMERC_PE202506_REMAO004.TXT"/>
    <x v="70"/>
    <x v="7"/>
    <n v="3"/>
    <n v="96729"/>
    <n v="0"/>
    <s v="DQS_MAO04_FILE_000_B"/>
    <s v="RECORD COUNT by MBR_ID, DOS_THRU_DT, DX_CD Grain grouped by PAYER, SRC_FILE_NM, DOS_THRU_YYYYMM"/>
  </r>
  <r>
    <x v="2"/>
    <s v="SGARMERC_PE202506_REMAO004.TXT"/>
    <x v="73"/>
    <x v="7"/>
    <n v="7"/>
    <n v="96729"/>
    <n v="0.01"/>
    <s v="DQS_MAO04_FILE_000_B"/>
    <s v="RECORD COUNT by MBR_ID, DOS_THRU_DT, DX_CD Grain grouped by PAYER, SRC_FILE_NM, DOS_THRU_YYYYMM"/>
  </r>
  <r>
    <x v="2"/>
    <s v="SGARMERC_PE202506_REMAO004.TXT"/>
    <x v="76"/>
    <x v="7"/>
    <n v="1"/>
    <n v="96729"/>
    <n v="0"/>
    <s v="DQS_MAO04_FILE_000_B"/>
    <s v="RECORD COUNT by MBR_ID, DOS_THRU_DT, DX_CD Grain grouped by PAYER, SRC_FILE_NM, DOS_THRU_YYYYMM"/>
  </r>
  <r>
    <x v="2"/>
    <s v="SGARMERC_PE202506_REMAO004.TXT"/>
    <x v="77"/>
    <x v="8"/>
    <n v="2"/>
    <n v="96729"/>
    <n v="0"/>
    <s v="DQS_MAO04_FILE_000_B"/>
    <s v="RECORD COUNT by MBR_ID, DOS_THRU_DT, DX_CD Grain grouped by PAYER, SRC_FILE_NM, DOS_THRU_YYYYMM"/>
  </r>
  <r>
    <x v="2"/>
    <s v="SGARMERC_PE202506_REMAO004.TXT"/>
    <x v="78"/>
    <x v="8"/>
    <n v="20"/>
    <n v="96729"/>
    <n v="0.02"/>
    <s v="DQS_MAO04_FILE_000_B"/>
    <s v="RECORD COUNT by MBR_ID, DOS_THRU_DT, DX_CD Grain grouped by PAYER, SRC_FILE_NM, DOS_THRU_YYYYMM"/>
  </r>
  <r>
    <x v="2"/>
    <s v="SGARMERC_PE202506_REMAO004.TXT"/>
    <x v="79"/>
    <x v="8"/>
    <n v="21"/>
    <n v="96729"/>
    <n v="0.02"/>
    <s v="DQS_MAO04_FILE_000_B"/>
    <s v="RECORD COUNT by MBR_ID, DOS_THRU_DT, DX_CD Grain grouped by PAYER, SRC_FILE_NM, DOS_THRU_YYYYMM"/>
  </r>
  <r>
    <x v="2"/>
    <s v="SGARMERC_PE202506_REMAO004.TXT"/>
    <x v="80"/>
    <x v="8"/>
    <n v="20"/>
    <n v="96729"/>
    <n v="0.02"/>
    <s v="DQS_MAO04_FILE_000_B"/>
    <s v="RECORD COUNT by MBR_ID, DOS_THRU_DT, DX_CD Grain grouped by PAYER, SRC_FILE_NM, DOS_THRU_YYYYMM"/>
  </r>
  <r>
    <x v="2"/>
    <s v="SGARMERC_PE202506_REMAO004.TXT"/>
    <x v="81"/>
    <x v="8"/>
    <n v="27"/>
    <n v="96729"/>
    <n v="0.03"/>
    <s v="DQS_MAO04_FILE_000_B"/>
    <s v="RECORD COUNT by MBR_ID, DOS_THRU_DT, DX_CD Grain grouped by PAYER, SRC_FILE_NM, DOS_THRU_YYYYMM"/>
  </r>
  <r>
    <x v="2"/>
    <s v="SGARMERC_PE202506_REMAO004.TXT"/>
    <x v="82"/>
    <x v="8"/>
    <n v="44"/>
    <n v="96729"/>
    <n v="0.05"/>
    <s v="DQS_MAO04_FILE_000_B"/>
    <s v="RECORD COUNT by MBR_ID, DOS_THRU_DT, DX_CD Grain grouped by PAYER, SRC_FILE_NM, DOS_THRU_YYYYMM"/>
  </r>
  <r>
    <x v="2"/>
    <s v="SGARMERC_PE202506_REMAO004.TXT"/>
    <x v="83"/>
    <x v="8"/>
    <n v="60"/>
    <n v="96729"/>
    <n v="0.06"/>
    <s v="DQS_MAO04_FILE_000_B"/>
    <s v="RECORD COUNT by MBR_ID, DOS_THRU_DT, DX_CD Grain grouped by PAYER, SRC_FILE_NM, DOS_THRU_YYYYMM"/>
  </r>
  <r>
    <x v="2"/>
    <s v="SGARMERC_PE202506_REMAO004.TXT"/>
    <x v="84"/>
    <x v="8"/>
    <n v="93"/>
    <n v="96729"/>
    <n v="0.1"/>
    <s v="DQS_MAO04_FILE_000_B"/>
    <s v="RECORD COUNT by MBR_ID, DOS_THRU_DT, DX_CD Grain grouped by PAYER, SRC_FILE_NM, DOS_THRU_YYYYMM"/>
  </r>
  <r>
    <x v="2"/>
    <s v="SGARMERC_PE202506_REMAO004.TXT"/>
    <x v="85"/>
    <x v="8"/>
    <n v="177"/>
    <n v="96729"/>
    <n v="0.18"/>
    <s v="DQS_MAO04_FILE_000_B"/>
    <s v="RECORD COUNT by MBR_ID, DOS_THRU_DT, DX_CD Grain grouped by PAYER, SRC_FILE_NM, DOS_THRU_YYYYMM"/>
  </r>
  <r>
    <x v="2"/>
    <s v="SGARMERC_PE202506_REMAO004.TXT"/>
    <x v="86"/>
    <x v="8"/>
    <n v="178"/>
    <n v="96729"/>
    <n v="0.18"/>
    <s v="DQS_MAO04_FILE_000_B"/>
    <s v="RECORD COUNT by MBR_ID, DOS_THRU_DT, DX_CD Grain grouped by PAYER, SRC_FILE_NM, DOS_THRU_YYYYMM"/>
  </r>
  <r>
    <x v="2"/>
    <s v="SGARMERC_PE202506_REMAO004.TXT"/>
    <x v="87"/>
    <x v="8"/>
    <n v="118"/>
    <n v="96729"/>
    <n v="0.12"/>
    <s v="DQS_MAO04_FILE_000_B"/>
    <s v="RECORD COUNT by MBR_ID, DOS_THRU_DT, DX_CD Grain grouped by PAYER, SRC_FILE_NM, DOS_THRU_YYYYMM"/>
  </r>
  <r>
    <x v="2"/>
    <s v="SGARMERC_PE202506_REMAO004.TXT"/>
    <x v="88"/>
    <x v="8"/>
    <n v="92"/>
    <n v="96729"/>
    <n v="0.1"/>
    <s v="DQS_MAO04_FILE_000_B"/>
    <s v="RECORD COUNT by MBR_ID, DOS_THRU_DT, DX_CD Grain grouped by PAYER, SRC_FILE_NM, DOS_THRU_YYYYMM"/>
  </r>
  <r>
    <x v="2"/>
    <s v="SGARMERC_PE202506_REMAO004.TXT"/>
    <x v="89"/>
    <x v="9"/>
    <n v="142"/>
    <n v="96729"/>
    <n v="0.15"/>
    <s v="DQS_MAO04_FILE_000_B"/>
    <s v="RECORD COUNT by MBR_ID, DOS_THRU_DT, DX_CD Grain grouped by PAYER, SRC_FILE_NM, DOS_THRU_YYYYMM"/>
  </r>
  <r>
    <x v="2"/>
    <s v="SGARMERC_PE202506_REMAO004.TXT"/>
    <x v="97"/>
    <x v="9"/>
    <n v="267"/>
    <n v="96729"/>
    <n v="0.28000000000000003"/>
    <s v="DQS_MAO04_FILE_000_B"/>
    <s v="RECORD COUNT by MBR_ID, DOS_THRU_DT, DX_CD Grain grouped by PAYER, SRC_FILE_NM, DOS_THRU_YYYYMM"/>
  </r>
  <r>
    <x v="2"/>
    <s v="SGARMERC_PE202506_REMAO004.TXT"/>
    <x v="98"/>
    <x v="9"/>
    <n v="324"/>
    <n v="96729"/>
    <n v="0.33"/>
    <s v="DQS_MAO04_FILE_000_B"/>
    <s v="RECORD COUNT by MBR_ID, DOS_THRU_DT, DX_CD Grain grouped by PAYER, SRC_FILE_NM, DOS_THRU_YYYYMM"/>
  </r>
  <r>
    <x v="2"/>
    <s v="SGARMERC_PE202506_REMAO004.TXT"/>
    <x v="99"/>
    <x v="9"/>
    <n v="218"/>
    <n v="96729"/>
    <n v="0.23"/>
    <s v="DQS_MAO04_FILE_000_B"/>
    <s v="RECORD COUNT by MBR_ID, DOS_THRU_DT, DX_CD Grain grouped by PAYER, SRC_FILE_NM, DOS_THRU_YYYYMM"/>
  </r>
  <r>
    <x v="2"/>
    <s v="SGARMERC_PE202506_REMAO004.TXT"/>
    <x v="100"/>
    <x v="9"/>
    <n v="486"/>
    <n v="96729"/>
    <n v="0.5"/>
    <s v="DQS_MAO04_FILE_000_B"/>
    <s v="RECORD COUNT by MBR_ID, DOS_THRU_DT, DX_CD Grain grouped by PAYER, SRC_FILE_NM, DOS_THRU_YYYYMM"/>
  </r>
  <r>
    <x v="2"/>
    <s v="SGARMERC_PE202506_REMAO004.TXT"/>
    <x v="102"/>
    <x v="9"/>
    <n v="1037"/>
    <n v="96729"/>
    <n v="1.07"/>
    <s v="DQS_MAO04_FILE_000_B"/>
    <s v="RECORD COUNT by MBR_ID, DOS_THRU_DT, DX_CD Grain grouped by PAYER, SRC_FILE_NM, DOS_THRU_YYYYMM"/>
  </r>
  <r>
    <x v="2"/>
    <s v="SGARMERC_PE202506_REMAO004.TXT"/>
    <x v="103"/>
    <x v="9"/>
    <n v="973"/>
    <n v="96729"/>
    <n v="1.01"/>
    <s v="DQS_MAO04_FILE_000_B"/>
    <s v="RECORD COUNT by MBR_ID, DOS_THRU_DT, DX_CD Grain grouped by PAYER, SRC_FILE_NM, DOS_THRU_YYYYMM"/>
  </r>
  <r>
    <x v="2"/>
    <s v="SGARMERC_PE202506_REMAO004.TXT"/>
    <x v="105"/>
    <x v="9"/>
    <n v="682"/>
    <n v="96729"/>
    <n v="0.71"/>
    <s v="DQS_MAO04_FILE_000_B"/>
    <s v="RECORD COUNT by MBR_ID, DOS_THRU_DT, DX_CD Grain grouped by PAYER, SRC_FILE_NM, DOS_THRU_YYYYMM"/>
  </r>
  <r>
    <x v="2"/>
    <s v="SGARMERC_PE202506_REMAO004.TXT"/>
    <x v="106"/>
    <x v="9"/>
    <n v="650"/>
    <n v="96729"/>
    <n v="0.67"/>
    <s v="DQS_MAO04_FILE_000_B"/>
    <s v="RECORD COUNT by MBR_ID, DOS_THRU_DT, DX_CD Grain grouped by PAYER, SRC_FILE_NM, DOS_THRU_YYYYMM"/>
  </r>
  <r>
    <x v="2"/>
    <s v="SGARMERC_PE202506_REMAO004.TXT"/>
    <x v="107"/>
    <x v="9"/>
    <n v="503"/>
    <n v="96729"/>
    <n v="0.52"/>
    <s v="DQS_MAO04_FILE_000_B"/>
    <s v="RECORD COUNT by MBR_ID, DOS_THRU_DT, DX_CD Grain grouped by PAYER, SRC_FILE_NM, DOS_THRU_YYYYMM"/>
  </r>
  <r>
    <x v="2"/>
    <s v="SGARMERC_PE202506_REMAO004.TXT"/>
    <x v="108"/>
    <x v="9"/>
    <n v="1106"/>
    <n v="96729"/>
    <n v="1.1399999999999999"/>
    <s v="DQS_MAO04_FILE_000_B"/>
    <s v="RECORD COUNT by MBR_ID, DOS_THRU_DT, DX_CD Grain grouped by PAYER, SRC_FILE_NM, DOS_THRU_YYYYMM"/>
  </r>
  <r>
    <x v="2"/>
    <s v="SGARMERC_PE202506_REMAO004.TXT"/>
    <x v="109"/>
    <x v="9"/>
    <n v="1101"/>
    <n v="96729"/>
    <n v="1.1399999999999999"/>
    <s v="DQS_MAO04_FILE_000_B"/>
    <s v="RECORD COUNT by MBR_ID, DOS_THRU_DT, DX_CD Grain grouped by PAYER, SRC_FILE_NM, DOS_THRU_YYYYMM"/>
  </r>
  <r>
    <x v="2"/>
    <s v="SGARMERC_PE202506_REMAO004.TXT"/>
    <x v="110"/>
    <x v="11"/>
    <n v="4054"/>
    <n v="96729"/>
    <n v="4.1900000000000004"/>
    <s v="DQS_MAO04_FILE_000_B"/>
    <s v="RECORD COUNT by MBR_ID, DOS_THRU_DT, DX_CD Grain grouped by PAYER, SRC_FILE_NM, DOS_THRU_YYYYMM"/>
  </r>
  <r>
    <x v="2"/>
    <s v="SGARMERC_PE202506_REMAO004.TXT"/>
    <x v="111"/>
    <x v="11"/>
    <n v="6379"/>
    <n v="96729"/>
    <n v="6.59"/>
    <s v="DQS_MAO04_FILE_000_B"/>
    <s v="RECORD COUNT by MBR_ID, DOS_THRU_DT, DX_CD Grain grouped by PAYER, SRC_FILE_NM, DOS_THRU_YYYYMM"/>
  </r>
  <r>
    <x v="2"/>
    <s v="SGARMERC_PE202506_REMAO004.TXT"/>
    <x v="112"/>
    <x v="11"/>
    <n v="45148"/>
    <n v="96729"/>
    <n v="46.67"/>
    <s v="DQS_MAO04_FILE_000_B"/>
    <s v="RECORD COUNT by MBR_ID, DOS_THRU_DT, DX_CD Grain grouped by PAYER, SRC_FILE_NM, DOS_THRU_YYYYMM"/>
  </r>
  <r>
    <x v="2"/>
    <s v="SGARMERC_PE202506_REMAO004.TXT"/>
    <x v="113"/>
    <x v="11"/>
    <n v="32764"/>
    <n v="96729"/>
    <n v="33.869999999999997"/>
    <s v="DQS_MAO04_FILE_000_B"/>
    <s v="RECORD COUNT by MBR_ID, DOS_THRU_DT, DX_CD Grain grouped by PAYER, SRC_FILE_NM, DOS_THRU_YYYYMM"/>
  </r>
  <r>
    <x v="2"/>
    <s v="SGARMERC_PE202507_REMAO004.TXT"/>
    <x v="48"/>
    <x v="5"/>
    <n v="2"/>
    <n v="118571"/>
    <n v="0"/>
    <s v="DQS_MAO04_FILE_000_B"/>
    <s v="RECORD COUNT by MBR_ID, DOS_THRU_DT, DX_CD Grain grouped by PAYER, SRC_FILE_NM, DOS_THRU_YYYYMM"/>
  </r>
  <r>
    <x v="2"/>
    <s v="SGARMERC_PE202507_REMAO004.TXT"/>
    <x v="78"/>
    <x v="8"/>
    <n v="14"/>
    <n v="118571"/>
    <n v="0.01"/>
    <s v="DQS_MAO04_FILE_000_B"/>
    <s v="RECORD COUNT by MBR_ID, DOS_THRU_DT, DX_CD Grain grouped by PAYER, SRC_FILE_NM, DOS_THRU_YYYYMM"/>
  </r>
  <r>
    <x v="2"/>
    <s v="SGARMERC_PE202507_REMAO004.TXT"/>
    <x v="79"/>
    <x v="8"/>
    <n v="45"/>
    <n v="118571"/>
    <n v="0.04"/>
    <s v="DQS_MAO04_FILE_000_B"/>
    <s v="RECORD COUNT by MBR_ID, DOS_THRU_DT, DX_CD Grain grouped by PAYER, SRC_FILE_NM, DOS_THRU_YYYYMM"/>
  </r>
  <r>
    <x v="2"/>
    <s v="SGARMERC_PE202507_REMAO004.TXT"/>
    <x v="80"/>
    <x v="8"/>
    <n v="14"/>
    <n v="118571"/>
    <n v="0.01"/>
    <s v="DQS_MAO04_FILE_000_B"/>
    <s v="RECORD COUNT by MBR_ID, DOS_THRU_DT, DX_CD Grain grouped by PAYER, SRC_FILE_NM, DOS_THRU_YYYYMM"/>
  </r>
  <r>
    <x v="2"/>
    <s v="SGARMERC_PE202507_REMAO004.TXT"/>
    <x v="81"/>
    <x v="8"/>
    <n v="3"/>
    <n v="118571"/>
    <n v="0"/>
    <s v="DQS_MAO04_FILE_000_B"/>
    <s v="RECORD COUNT by MBR_ID, DOS_THRU_DT, DX_CD Grain grouped by PAYER, SRC_FILE_NM, DOS_THRU_YYYYMM"/>
  </r>
  <r>
    <x v="2"/>
    <s v="SGARMERC_PE202507_REMAO004.TXT"/>
    <x v="82"/>
    <x v="8"/>
    <n v="88"/>
    <n v="118571"/>
    <n v="7.0000000000000007E-2"/>
    <s v="DQS_MAO04_FILE_000_B"/>
    <s v="RECORD COUNT by MBR_ID, DOS_THRU_DT, DX_CD Grain grouped by PAYER, SRC_FILE_NM, DOS_THRU_YYYYMM"/>
  </r>
  <r>
    <x v="2"/>
    <s v="SGARMERC_PE202507_REMAO004.TXT"/>
    <x v="83"/>
    <x v="8"/>
    <n v="23"/>
    <n v="118571"/>
    <n v="0.02"/>
    <s v="DQS_MAO04_FILE_000_B"/>
    <s v="RECORD COUNT by MBR_ID, DOS_THRU_DT, DX_CD Grain grouped by PAYER, SRC_FILE_NM, DOS_THRU_YYYYMM"/>
  </r>
  <r>
    <x v="2"/>
    <s v="SGARMERC_PE202507_REMAO004.TXT"/>
    <x v="84"/>
    <x v="8"/>
    <n v="182"/>
    <n v="118571"/>
    <n v="0.15"/>
    <s v="DQS_MAO04_FILE_000_B"/>
    <s v="RECORD COUNT by MBR_ID, DOS_THRU_DT, DX_CD Grain grouped by PAYER, SRC_FILE_NM, DOS_THRU_YYYYMM"/>
  </r>
  <r>
    <x v="2"/>
    <s v="SGARMERC_PE202507_REMAO004.TXT"/>
    <x v="85"/>
    <x v="8"/>
    <n v="43"/>
    <n v="118571"/>
    <n v="0.04"/>
    <s v="DQS_MAO04_FILE_000_B"/>
    <s v="RECORD COUNT by MBR_ID, DOS_THRU_DT, DX_CD Grain grouped by PAYER, SRC_FILE_NM, DOS_THRU_YYYYMM"/>
  </r>
  <r>
    <x v="2"/>
    <s v="SGARMERC_PE202507_REMAO004.TXT"/>
    <x v="86"/>
    <x v="8"/>
    <n v="52"/>
    <n v="118571"/>
    <n v="0.04"/>
    <s v="DQS_MAO04_FILE_000_B"/>
    <s v="RECORD COUNT by MBR_ID, DOS_THRU_DT, DX_CD Grain grouped by PAYER, SRC_FILE_NM, DOS_THRU_YYYYMM"/>
  </r>
  <r>
    <x v="2"/>
    <s v="SGARMERC_PE202507_REMAO004.TXT"/>
    <x v="87"/>
    <x v="8"/>
    <n v="110"/>
    <n v="118571"/>
    <n v="0.09"/>
    <s v="DQS_MAO04_FILE_000_B"/>
    <s v="RECORD COUNT by MBR_ID, DOS_THRU_DT, DX_CD Grain grouped by PAYER, SRC_FILE_NM, DOS_THRU_YYYYMM"/>
  </r>
  <r>
    <x v="2"/>
    <s v="SGARMERC_PE202507_REMAO004.TXT"/>
    <x v="88"/>
    <x v="8"/>
    <n v="39"/>
    <n v="118571"/>
    <n v="0.03"/>
    <s v="DQS_MAO04_FILE_000_B"/>
    <s v="RECORD COUNT by MBR_ID, DOS_THRU_DT, DX_CD Grain grouped by PAYER, SRC_FILE_NM, DOS_THRU_YYYYMM"/>
  </r>
  <r>
    <x v="2"/>
    <s v="SGARMERC_PE202507_REMAO004.TXT"/>
    <x v="89"/>
    <x v="9"/>
    <n v="190"/>
    <n v="118571"/>
    <n v="0.16"/>
    <s v="DQS_MAO04_FILE_000_B"/>
    <s v="RECORD COUNT by MBR_ID, DOS_THRU_DT, DX_CD Grain grouped by PAYER, SRC_FILE_NM, DOS_THRU_YYYYMM"/>
  </r>
  <r>
    <x v="2"/>
    <s v="SGARMERC_PE202507_REMAO004.TXT"/>
    <x v="97"/>
    <x v="9"/>
    <n v="255"/>
    <n v="118571"/>
    <n v="0.22"/>
    <s v="DQS_MAO04_FILE_000_B"/>
    <s v="RECORD COUNT by MBR_ID, DOS_THRU_DT, DX_CD Grain grouped by PAYER, SRC_FILE_NM, DOS_THRU_YYYYMM"/>
  </r>
  <r>
    <x v="2"/>
    <s v="SGARMERC_PE202507_REMAO004.TXT"/>
    <x v="98"/>
    <x v="9"/>
    <n v="227"/>
    <n v="118571"/>
    <n v="0.19"/>
    <s v="DQS_MAO04_FILE_000_B"/>
    <s v="RECORD COUNT by MBR_ID, DOS_THRU_DT, DX_CD Grain grouped by PAYER, SRC_FILE_NM, DOS_THRU_YYYYMM"/>
  </r>
  <r>
    <x v="2"/>
    <s v="SGARMERC_PE202507_REMAO004.TXT"/>
    <x v="99"/>
    <x v="9"/>
    <n v="365"/>
    <n v="118571"/>
    <n v="0.31"/>
    <s v="DQS_MAO04_FILE_000_B"/>
    <s v="RECORD COUNT by MBR_ID, DOS_THRU_DT, DX_CD Grain grouped by PAYER, SRC_FILE_NM, DOS_THRU_YYYYMM"/>
  </r>
  <r>
    <x v="2"/>
    <s v="SGARMERC_PE202507_REMAO004.TXT"/>
    <x v="100"/>
    <x v="9"/>
    <n v="534"/>
    <n v="118571"/>
    <n v="0.45"/>
    <s v="DQS_MAO04_FILE_000_B"/>
    <s v="RECORD COUNT by MBR_ID, DOS_THRU_DT, DX_CD Grain grouped by PAYER, SRC_FILE_NM, DOS_THRU_YYYYMM"/>
  </r>
  <r>
    <x v="2"/>
    <s v="SGARMERC_PE202507_REMAO004.TXT"/>
    <x v="102"/>
    <x v="9"/>
    <n v="674"/>
    <n v="118571"/>
    <n v="0.56999999999999995"/>
    <s v="DQS_MAO04_FILE_000_B"/>
    <s v="RECORD COUNT by MBR_ID, DOS_THRU_DT, DX_CD Grain grouped by PAYER, SRC_FILE_NM, DOS_THRU_YYYYMM"/>
  </r>
  <r>
    <x v="2"/>
    <s v="SGARMERC_PE202507_REMAO004.TXT"/>
    <x v="103"/>
    <x v="9"/>
    <n v="779"/>
    <n v="118571"/>
    <n v="0.66"/>
    <s v="DQS_MAO04_FILE_000_B"/>
    <s v="RECORD COUNT by MBR_ID, DOS_THRU_DT, DX_CD Grain grouped by PAYER, SRC_FILE_NM, DOS_THRU_YYYYMM"/>
  </r>
  <r>
    <x v="2"/>
    <s v="SGARMERC_PE202507_REMAO004.TXT"/>
    <x v="105"/>
    <x v="9"/>
    <n v="754"/>
    <n v="118571"/>
    <n v="0.64"/>
    <s v="DQS_MAO04_FILE_000_B"/>
    <s v="RECORD COUNT by MBR_ID, DOS_THRU_DT, DX_CD Grain grouped by PAYER, SRC_FILE_NM, DOS_THRU_YYYYMM"/>
  </r>
  <r>
    <x v="2"/>
    <s v="SGARMERC_PE202507_REMAO004.TXT"/>
    <x v="106"/>
    <x v="9"/>
    <n v="884"/>
    <n v="118571"/>
    <n v="0.75"/>
    <s v="DQS_MAO04_FILE_000_B"/>
    <s v="RECORD COUNT by MBR_ID, DOS_THRU_DT, DX_CD Grain grouped by PAYER, SRC_FILE_NM, DOS_THRU_YYYYMM"/>
  </r>
  <r>
    <x v="2"/>
    <s v="SGARMERC_PE202507_REMAO004.TXT"/>
    <x v="107"/>
    <x v="9"/>
    <n v="1459"/>
    <n v="118571"/>
    <n v="1.23"/>
    <s v="DQS_MAO04_FILE_000_B"/>
    <s v="RECORD COUNT by MBR_ID, DOS_THRU_DT, DX_CD Grain grouped by PAYER, SRC_FILE_NM, DOS_THRU_YYYYMM"/>
  </r>
  <r>
    <x v="2"/>
    <s v="SGARMERC_PE202507_REMAO004.TXT"/>
    <x v="108"/>
    <x v="9"/>
    <n v="1195"/>
    <n v="118571"/>
    <n v="1.01"/>
    <s v="DQS_MAO04_FILE_000_B"/>
    <s v="RECORD COUNT by MBR_ID, DOS_THRU_DT, DX_CD Grain grouped by PAYER, SRC_FILE_NM, DOS_THRU_YYYYMM"/>
  </r>
  <r>
    <x v="2"/>
    <s v="SGARMERC_PE202507_REMAO004.TXT"/>
    <x v="109"/>
    <x v="9"/>
    <n v="1075"/>
    <n v="118571"/>
    <n v="0.91"/>
    <s v="DQS_MAO04_FILE_000_B"/>
    <s v="RECORD COUNT by MBR_ID, DOS_THRU_DT, DX_CD Grain grouped by PAYER, SRC_FILE_NM, DOS_THRU_YYYYMM"/>
  </r>
  <r>
    <x v="2"/>
    <s v="SGARMERC_PE202507_REMAO004.TXT"/>
    <x v="110"/>
    <x v="11"/>
    <n v="1625"/>
    <n v="118571"/>
    <n v="1.37"/>
    <s v="DQS_MAO04_FILE_000_B"/>
    <s v="RECORD COUNT by MBR_ID, DOS_THRU_DT, DX_CD Grain grouped by PAYER, SRC_FILE_NM, DOS_THRU_YYYYMM"/>
  </r>
  <r>
    <x v="2"/>
    <s v="SGARMERC_PE202507_REMAO004.TXT"/>
    <x v="111"/>
    <x v="11"/>
    <n v="2748"/>
    <n v="118571"/>
    <n v="2.3199999999999998"/>
    <s v="DQS_MAO04_FILE_000_B"/>
    <s v="RECORD COUNT by MBR_ID, DOS_THRU_DT, DX_CD Grain grouped by PAYER, SRC_FILE_NM, DOS_THRU_YYYYMM"/>
  </r>
  <r>
    <x v="2"/>
    <s v="SGARMERC_PE202507_REMAO004.TXT"/>
    <x v="112"/>
    <x v="11"/>
    <n v="6499"/>
    <n v="118571"/>
    <n v="5.48"/>
    <s v="DQS_MAO04_FILE_000_B"/>
    <s v="RECORD COUNT by MBR_ID, DOS_THRU_DT, DX_CD Grain grouped by PAYER, SRC_FILE_NM, DOS_THRU_YYYYMM"/>
  </r>
  <r>
    <x v="2"/>
    <s v="SGARMERC_PE202507_REMAO004.TXT"/>
    <x v="113"/>
    <x v="11"/>
    <n v="58836"/>
    <n v="118571"/>
    <n v="49.62"/>
    <s v="DQS_MAO04_FILE_000_B"/>
    <s v="RECORD COUNT by MBR_ID, DOS_THRU_DT, DX_CD Grain grouped by PAYER, SRC_FILE_NM, DOS_THRU_YYYYMM"/>
  </r>
  <r>
    <x v="2"/>
    <s v="SGARMERC_PE202507_REMAO004.TXT"/>
    <x v="114"/>
    <x v="11"/>
    <n v="39857"/>
    <n v="118571"/>
    <n v="33.61"/>
    <s v="DQS_MAO04_FILE_000_B"/>
    <s v="RECORD COUNT by MBR_ID, DOS_THRU_DT, DX_CD Grain grouped by PAYER, SRC_FILE_NM, DOS_THRU_YYYYMM"/>
  </r>
  <r>
    <x v="2"/>
    <s v="SGARMERC_PE202508_REMAO004.TXT"/>
    <x v="43"/>
    <x v="5"/>
    <n v="4"/>
    <n v="106116"/>
    <n v="0"/>
    <s v="DQS_MAO04_FILE_000_B"/>
    <s v="RECORD COUNT by MBR_ID, DOS_THRU_DT, DX_CD Grain grouped by PAYER, SRC_FILE_NM, DOS_THRU_YYYYMM"/>
  </r>
  <r>
    <x v="2"/>
    <s v="SGARMERC_PE202508_REMAO004.TXT"/>
    <x v="45"/>
    <x v="5"/>
    <n v="12"/>
    <n v="106116"/>
    <n v="0.01"/>
    <s v="DQS_MAO04_FILE_000_B"/>
    <s v="RECORD COUNT by MBR_ID, DOS_THRU_DT, DX_CD Grain grouped by PAYER, SRC_FILE_NM, DOS_THRU_YYYYMM"/>
  </r>
  <r>
    <x v="2"/>
    <s v="SGARMERC_PE202508_REMAO004.TXT"/>
    <x v="47"/>
    <x v="5"/>
    <n v="4"/>
    <n v="106116"/>
    <n v="0"/>
    <s v="DQS_MAO04_FILE_000_B"/>
    <s v="RECORD COUNT by MBR_ID, DOS_THRU_DT, DX_CD Grain grouped by PAYER, SRC_FILE_NM, DOS_THRU_YYYYMM"/>
  </r>
  <r>
    <x v="2"/>
    <s v="SGARMERC_PE202508_REMAO004.TXT"/>
    <x v="50"/>
    <x v="5"/>
    <n v="4"/>
    <n v="106116"/>
    <n v="0"/>
    <s v="DQS_MAO04_FILE_000_B"/>
    <s v="RECORD COUNT by MBR_ID, DOS_THRU_DT, DX_CD Grain grouped by PAYER, SRC_FILE_NM, DOS_THRU_YYYYMM"/>
  </r>
  <r>
    <x v="2"/>
    <s v="SGARMERC_PE202508_REMAO004.TXT"/>
    <x v="65"/>
    <x v="7"/>
    <n v="11"/>
    <n v="106116"/>
    <n v="0.01"/>
    <s v="DQS_MAO04_FILE_000_B"/>
    <s v="RECORD COUNT by MBR_ID, DOS_THRU_DT, DX_CD Grain grouped by PAYER, SRC_FILE_NM, DOS_THRU_YYYYMM"/>
  </r>
  <r>
    <x v="2"/>
    <s v="SGARMERC_PE202508_REMAO004.TXT"/>
    <x v="66"/>
    <x v="7"/>
    <n v="14"/>
    <n v="106116"/>
    <n v="0.01"/>
    <s v="DQS_MAO04_FILE_000_B"/>
    <s v="RECORD COUNT by MBR_ID, DOS_THRU_DT, DX_CD Grain grouped by PAYER, SRC_FILE_NM, DOS_THRU_YYYYMM"/>
  </r>
  <r>
    <x v="2"/>
    <s v="SGARMERC_PE202508_REMAO004.TXT"/>
    <x v="67"/>
    <x v="7"/>
    <n v="24"/>
    <n v="106116"/>
    <n v="0.02"/>
    <s v="DQS_MAO04_FILE_000_B"/>
    <s v="RECORD COUNT by MBR_ID, DOS_THRU_DT, DX_CD Grain grouped by PAYER, SRC_FILE_NM, DOS_THRU_YYYYMM"/>
  </r>
  <r>
    <x v="2"/>
    <s v="SGARMERC_PE202508_REMAO004.TXT"/>
    <x v="68"/>
    <x v="7"/>
    <n v="11"/>
    <n v="106116"/>
    <n v="0.01"/>
    <s v="DQS_MAO04_FILE_000_B"/>
    <s v="RECORD COUNT by MBR_ID, DOS_THRU_DT, DX_CD Grain grouped by PAYER, SRC_FILE_NM, DOS_THRU_YYYYMM"/>
  </r>
  <r>
    <x v="2"/>
    <s v="SGARMERC_PE202508_REMAO004.TXT"/>
    <x v="69"/>
    <x v="7"/>
    <n v="28"/>
    <n v="106116"/>
    <n v="0.03"/>
    <s v="DQS_MAO04_FILE_000_B"/>
    <s v="RECORD COUNT by MBR_ID, DOS_THRU_DT, DX_CD Grain grouped by PAYER, SRC_FILE_NM, DOS_THRU_YYYYMM"/>
  </r>
  <r>
    <x v="2"/>
    <s v="SGARMERC_PE202508_REMAO004.TXT"/>
    <x v="70"/>
    <x v="7"/>
    <n v="3"/>
    <n v="106116"/>
    <n v="0"/>
    <s v="DQS_MAO04_FILE_000_B"/>
    <s v="RECORD COUNT by MBR_ID, DOS_THRU_DT, DX_CD Grain grouped by PAYER, SRC_FILE_NM, DOS_THRU_YYYYMM"/>
  </r>
  <r>
    <x v="2"/>
    <s v="SGARMERC_PE202508_REMAO004.TXT"/>
    <x v="71"/>
    <x v="7"/>
    <n v="17"/>
    <n v="106116"/>
    <n v="0.02"/>
    <s v="DQS_MAO04_FILE_000_B"/>
    <s v="RECORD COUNT by MBR_ID, DOS_THRU_DT, DX_CD Grain grouped by PAYER, SRC_FILE_NM, DOS_THRU_YYYYMM"/>
  </r>
  <r>
    <x v="2"/>
    <s v="SGARMERC_PE202508_REMAO004.TXT"/>
    <x v="72"/>
    <x v="7"/>
    <n v="5"/>
    <n v="106116"/>
    <n v="0"/>
    <s v="DQS_MAO04_FILE_000_B"/>
    <s v="RECORD COUNT by MBR_ID, DOS_THRU_DT, DX_CD Grain grouped by PAYER, SRC_FILE_NM, DOS_THRU_YYYYMM"/>
  </r>
  <r>
    <x v="2"/>
    <s v="SGARMERC_PE202508_REMAO004.TXT"/>
    <x v="73"/>
    <x v="7"/>
    <n v="7"/>
    <n v="106116"/>
    <n v="0.01"/>
    <s v="DQS_MAO04_FILE_000_B"/>
    <s v="RECORD COUNT by MBR_ID, DOS_THRU_DT, DX_CD Grain grouped by PAYER, SRC_FILE_NM, DOS_THRU_YYYYMM"/>
  </r>
  <r>
    <x v="2"/>
    <s v="SGARMERC_PE202508_REMAO004.TXT"/>
    <x v="74"/>
    <x v="7"/>
    <n v="58"/>
    <n v="106116"/>
    <n v="0.05"/>
    <s v="DQS_MAO04_FILE_000_B"/>
    <s v="RECORD COUNT by MBR_ID, DOS_THRU_DT, DX_CD Grain grouped by PAYER, SRC_FILE_NM, DOS_THRU_YYYYMM"/>
  </r>
  <r>
    <x v="2"/>
    <s v="SGARMERC_PE202508_REMAO004.TXT"/>
    <x v="75"/>
    <x v="7"/>
    <n v="54"/>
    <n v="106116"/>
    <n v="0.05"/>
    <s v="DQS_MAO04_FILE_000_B"/>
    <s v="RECORD COUNT by MBR_ID, DOS_THRU_DT, DX_CD Grain grouped by PAYER, SRC_FILE_NM, DOS_THRU_YYYYMM"/>
  </r>
  <r>
    <x v="2"/>
    <s v="SGARMERC_PE202508_REMAO004.TXT"/>
    <x v="76"/>
    <x v="7"/>
    <n v="40"/>
    <n v="106116"/>
    <n v="0.04"/>
    <s v="DQS_MAO04_FILE_000_B"/>
    <s v="RECORD COUNT by MBR_ID, DOS_THRU_DT, DX_CD Grain grouped by PAYER, SRC_FILE_NM, DOS_THRU_YYYYMM"/>
  </r>
  <r>
    <x v="2"/>
    <s v="SGARMERC_PE202508_REMAO004.TXT"/>
    <x v="77"/>
    <x v="8"/>
    <n v="20"/>
    <n v="106116"/>
    <n v="0.02"/>
    <s v="DQS_MAO04_FILE_000_B"/>
    <s v="RECORD COUNT by MBR_ID, DOS_THRU_DT, DX_CD Grain grouped by PAYER, SRC_FILE_NM, DOS_THRU_YYYYMM"/>
  </r>
  <r>
    <x v="2"/>
    <s v="SGARMERC_PE202508_REMAO004.TXT"/>
    <x v="78"/>
    <x v="8"/>
    <n v="5"/>
    <n v="106116"/>
    <n v="0"/>
    <s v="DQS_MAO04_FILE_000_B"/>
    <s v="RECORD COUNT by MBR_ID, DOS_THRU_DT, DX_CD Grain grouped by PAYER, SRC_FILE_NM, DOS_THRU_YYYYMM"/>
  </r>
  <r>
    <x v="2"/>
    <s v="SGARMERC_PE202508_REMAO004.TXT"/>
    <x v="79"/>
    <x v="8"/>
    <n v="16"/>
    <n v="106116"/>
    <n v="0.02"/>
    <s v="DQS_MAO04_FILE_000_B"/>
    <s v="RECORD COUNT by MBR_ID, DOS_THRU_DT, DX_CD Grain grouped by PAYER, SRC_FILE_NM, DOS_THRU_YYYYMM"/>
  </r>
  <r>
    <x v="2"/>
    <s v="SGARMERC_PE202508_REMAO004.TXT"/>
    <x v="80"/>
    <x v="8"/>
    <n v="10"/>
    <n v="106116"/>
    <n v="0.01"/>
    <s v="DQS_MAO04_FILE_000_B"/>
    <s v="RECORD COUNT by MBR_ID, DOS_THRU_DT, DX_CD Grain grouped by PAYER, SRC_FILE_NM, DOS_THRU_YYYYMM"/>
  </r>
  <r>
    <x v="2"/>
    <s v="SGARMERC_PE202508_REMAO004.TXT"/>
    <x v="81"/>
    <x v="8"/>
    <n v="10"/>
    <n v="106116"/>
    <n v="0.01"/>
    <s v="DQS_MAO04_FILE_000_B"/>
    <s v="RECORD COUNT by MBR_ID, DOS_THRU_DT, DX_CD Grain grouped by PAYER, SRC_FILE_NM, DOS_THRU_YYYYMM"/>
  </r>
  <r>
    <x v="2"/>
    <s v="SGARMERC_PE202508_REMAO004.TXT"/>
    <x v="82"/>
    <x v="8"/>
    <n v="35"/>
    <n v="106116"/>
    <n v="0.03"/>
    <s v="DQS_MAO04_FILE_000_B"/>
    <s v="RECORD COUNT by MBR_ID, DOS_THRU_DT, DX_CD Grain grouped by PAYER, SRC_FILE_NM, DOS_THRU_YYYYMM"/>
  </r>
  <r>
    <x v="2"/>
    <s v="SGARMERC_PE202508_REMAO004.TXT"/>
    <x v="83"/>
    <x v="8"/>
    <n v="30"/>
    <n v="106116"/>
    <n v="0.03"/>
    <s v="DQS_MAO04_FILE_000_B"/>
    <s v="RECORD COUNT by MBR_ID, DOS_THRU_DT, DX_CD Grain grouped by PAYER, SRC_FILE_NM, DOS_THRU_YYYYMM"/>
  </r>
  <r>
    <x v="2"/>
    <s v="SGARMERC_PE202508_REMAO004.TXT"/>
    <x v="84"/>
    <x v="8"/>
    <n v="39"/>
    <n v="106116"/>
    <n v="0.04"/>
    <s v="DQS_MAO04_FILE_000_B"/>
    <s v="RECORD COUNT by MBR_ID, DOS_THRU_DT, DX_CD Grain grouped by PAYER, SRC_FILE_NM, DOS_THRU_YYYYMM"/>
  </r>
  <r>
    <x v="2"/>
    <s v="SGARMERC_PE202508_REMAO004.TXT"/>
    <x v="85"/>
    <x v="8"/>
    <n v="26"/>
    <n v="106116"/>
    <n v="0.02"/>
    <s v="DQS_MAO04_FILE_000_B"/>
    <s v="RECORD COUNT by MBR_ID, DOS_THRU_DT, DX_CD Grain grouped by PAYER, SRC_FILE_NM, DOS_THRU_YYYYMM"/>
  </r>
  <r>
    <x v="2"/>
    <s v="SGARMERC_PE202508_REMAO004.TXT"/>
    <x v="86"/>
    <x v="8"/>
    <n v="50"/>
    <n v="106116"/>
    <n v="0.05"/>
    <s v="DQS_MAO04_FILE_000_B"/>
    <s v="RECORD COUNT by MBR_ID, DOS_THRU_DT, DX_CD Grain grouped by PAYER, SRC_FILE_NM, DOS_THRU_YYYYMM"/>
  </r>
  <r>
    <x v="2"/>
    <s v="SGARMERC_PE202508_REMAO004.TXT"/>
    <x v="87"/>
    <x v="8"/>
    <n v="95"/>
    <n v="106116"/>
    <n v="0.09"/>
    <s v="DQS_MAO04_FILE_000_B"/>
    <s v="RECORD COUNT by MBR_ID, DOS_THRU_DT, DX_CD Grain grouped by PAYER, SRC_FILE_NM, DOS_THRU_YYYYMM"/>
  </r>
  <r>
    <x v="2"/>
    <s v="SGARMERC_PE202508_REMAO004.TXT"/>
    <x v="88"/>
    <x v="8"/>
    <n v="70"/>
    <n v="106116"/>
    <n v="7.0000000000000007E-2"/>
    <s v="DQS_MAO04_FILE_000_B"/>
    <s v="RECORD COUNT by MBR_ID, DOS_THRU_DT, DX_CD Grain grouped by PAYER, SRC_FILE_NM, DOS_THRU_YYYYMM"/>
  </r>
  <r>
    <x v="2"/>
    <s v="SGARMERC_PE202508_REMAO004.TXT"/>
    <x v="89"/>
    <x v="9"/>
    <n v="88"/>
    <n v="106116"/>
    <n v="0.08"/>
    <s v="DQS_MAO04_FILE_000_B"/>
    <s v="RECORD COUNT by MBR_ID, DOS_THRU_DT, DX_CD Grain grouped by PAYER, SRC_FILE_NM, DOS_THRU_YYYYMM"/>
  </r>
  <r>
    <x v="2"/>
    <s v="SGARMERC_PE202508_REMAO004.TXT"/>
    <x v="97"/>
    <x v="9"/>
    <n v="116"/>
    <n v="106116"/>
    <n v="0.11"/>
    <s v="DQS_MAO04_FILE_000_B"/>
    <s v="RECORD COUNT by MBR_ID, DOS_THRU_DT, DX_CD Grain grouped by PAYER, SRC_FILE_NM, DOS_THRU_YYYYMM"/>
  </r>
  <r>
    <x v="2"/>
    <s v="SGARMERC_PE202508_REMAO004.TXT"/>
    <x v="98"/>
    <x v="9"/>
    <n v="105"/>
    <n v="106116"/>
    <n v="0.1"/>
    <s v="DQS_MAO04_FILE_000_B"/>
    <s v="RECORD COUNT by MBR_ID, DOS_THRU_DT, DX_CD Grain grouped by PAYER, SRC_FILE_NM, DOS_THRU_YYYYMM"/>
  </r>
  <r>
    <x v="2"/>
    <s v="SGARMERC_PE202508_REMAO004.TXT"/>
    <x v="99"/>
    <x v="9"/>
    <n v="257"/>
    <n v="106116"/>
    <n v="0.24"/>
    <s v="DQS_MAO04_FILE_000_B"/>
    <s v="RECORD COUNT by MBR_ID, DOS_THRU_DT, DX_CD Grain grouped by PAYER, SRC_FILE_NM, DOS_THRU_YYYYMM"/>
  </r>
  <r>
    <x v="2"/>
    <s v="SGARMERC_PE202508_REMAO004.TXT"/>
    <x v="100"/>
    <x v="9"/>
    <n v="156"/>
    <n v="106116"/>
    <n v="0.15"/>
    <s v="DQS_MAO04_FILE_000_B"/>
    <s v="RECORD COUNT by MBR_ID, DOS_THRU_DT, DX_CD Grain grouped by PAYER, SRC_FILE_NM, DOS_THRU_YYYYMM"/>
  </r>
  <r>
    <x v="2"/>
    <s v="SGARMERC_PE202508_REMAO004.TXT"/>
    <x v="102"/>
    <x v="9"/>
    <n v="185"/>
    <n v="106116"/>
    <n v="0.17"/>
    <s v="DQS_MAO04_FILE_000_B"/>
    <s v="RECORD COUNT by MBR_ID, DOS_THRU_DT, DX_CD Grain grouped by PAYER, SRC_FILE_NM, DOS_THRU_YYYYMM"/>
  </r>
  <r>
    <x v="2"/>
    <s v="SGARMERC_PE202508_REMAO004.TXT"/>
    <x v="103"/>
    <x v="9"/>
    <n v="302"/>
    <n v="106116"/>
    <n v="0.28000000000000003"/>
    <s v="DQS_MAO04_FILE_000_B"/>
    <s v="RECORD COUNT by MBR_ID, DOS_THRU_DT, DX_CD Grain grouped by PAYER, SRC_FILE_NM, DOS_THRU_YYYYMM"/>
  </r>
  <r>
    <x v="2"/>
    <s v="SGARMERC_PE202508_REMAO004.TXT"/>
    <x v="105"/>
    <x v="9"/>
    <n v="664"/>
    <n v="106116"/>
    <n v="0.63"/>
    <s v="DQS_MAO04_FILE_000_B"/>
    <s v="RECORD COUNT by MBR_ID, DOS_THRU_DT, DX_CD Grain grouped by PAYER, SRC_FILE_NM, DOS_THRU_YYYYMM"/>
  </r>
  <r>
    <x v="2"/>
    <s v="SGARMERC_PE202508_REMAO004.TXT"/>
    <x v="106"/>
    <x v="9"/>
    <n v="476"/>
    <n v="106116"/>
    <n v="0.45"/>
    <s v="DQS_MAO04_FILE_000_B"/>
    <s v="RECORD COUNT by MBR_ID, DOS_THRU_DT, DX_CD Grain grouped by PAYER, SRC_FILE_NM, DOS_THRU_YYYYMM"/>
  </r>
  <r>
    <x v="2"/>
    <s v="SGARMERC_PE202508_REMAO004.TXT"/>
    <x v="107"/>
    <x v="9"/>
    <n v="1083"/>
    <n v="106116"/>
    <n v="1.02"/>
    <s v="DQS_MAO04_FILE_000_B"/>
    <s v="RECORD COUNT by MBR_ID, DOS_THRU_DT, DX_CD Grain grouped by PAYER, SRC_FILE_NM, DOS_THRU_YYYYMM"/>
  </r>
  <r>
    <x v="2"/>
    <s v="SGARMERC_PE202508_REMAO004.TXT"/>
    <x v="108"/>
    <x v="9"/>
    <n v="915"/>
    <n v="106116"/>
    <n v="0.86"/>
    <s v="DQS_MAO04_FILE_000_B"/>
    <s v="RECORD COUNT by MBR_ID, DOS_THRU_DT, DX_CD Grain grouped by PAYER, SRC_FILE_NM, DOS_THRU_YYYYMM"/>
  </r>
  <r>
    <x v="2"/>
    <s v="SGARMERC_PE202508_REMAO004.TXT"/>
    <x v="109"/>
    <x v="9"/>
    <n v="777"/>
    <n v="106116"/>
    <n v="0.73"/>
    <s v="DQS_MAO04_FILE_000_B"/>
    <s v="RECORD COUNT by MBR_ID, DOS_THRU_DT, DX_CD Grain grouped by PAYER, SRC_FILE_NM, DOS_THRU_YYYYMM"/>
  </r>
  <r>
    <x v="2"/>
    <s v="SGARMERC_PE202508_REMAO004.TXT"/>
    <x v="110"/>
    <x v="11"/>
    <n v="3452"/>
    <n v="106116"/>
    <n v="3.25"/>
    <s v="DQS_MAO04_FILE_000_B"/>
    <s v="RECORD COUNT by MBR_ID, DOS_THRU_DT, DX_CD Grain grouped by PAYER, SRC_FILE_NM, DOS_THRU_YYYYMM"/>
  </r>
  <r>
    <x v="2"/>
    <s v="SGARMERC_PE202508_REMAO004.TXT"/>
    <x v="111"/>
    <x v="11"/>
    <n v="3226"/>
    <n v="106116"/>
    <n v="3.04"/>
    <s v="DQS_MAO04_FILE_000_B"/>
    <s v="RECORD COUNT by MBR_ID, DOS_THRU_DT, DX_CD Grain grouped by PAYER, SRC_FILE_NM, DOS_THRU_YYYYMM"/>
  </r>
  <r>
    <x v="2"/>
    <s v="SGARMERC_PE202508_REMAO004.TXT"/>
    <x v="112"/>
    <x v="11"/>
    <n v="3334"/>
    <n v="106116"/>
    <n v="3.14"/>
    <s v="DQS_MAO04_FILE_000_B"/>
    <s v="RECORD COUNT by MBR_ID, DOS_THRU_DT, DX_CD Grain grouped by PAYER, SRC_FILE_NM, DOS_THRU_YYYYMM"/>
  </r>
  <r>
    <x v="2"/>
    <s v="SGARMERC_PE202508_REMAO004.TXT"/>
    <x v="113"/>
    <x v="11"/>
    <n v="6172"/>
    <n v="106116"/>
    <n v="5.82"/>
    <s v="DQS_MAO04_FILE_000_B"/>
    <s v="RECORD COUNT by MBR_ID, DOS_THRU_DT, DX_CD Grain grouped by PAYER, SRC_FILE_NM, DOS_THRU_YYYYMM"/>
  </r>
  <r>
    <x v="2"/>
    <s v="SGARMERC_PE202508_REMAO004.TXT"/>
    <x v="114"/>
    <x v="11"/>
    <n v="45902"/>
    <n v="106116"/>
    <n v="43.26"/>
    <s v="DQS_MAO04_FILE_000_B"/>
    <s v="RECORD COUNT by MBR_ID, DOS_THRU_DT, DX_CD Grain grouped by PAYER, SRC_FILE_NM, DOS_THRU_YYYYMM"/>
  </r>
  <r>
    <x v="2"/>
    <s v="SGARMERC_PE202508_REMAO004.TXT"/>
    <x v="115"/>
    <x v="11"/>
    <n v="38204"/>
    <n v="106116"/>
    <n v="36"/>
    <s v="DQS_MAO04_FILE_000_B"/>
    <s v="RECORD COUNT by MBR_ID, DOS_THRU_DT, DX_CD Grain grouped by PAYER, SRC_FILE_NM, DOS_THRU_YYYYMM"/>
  </r>
  <r>
    <x v="2"/>
    <s v="SGARMERC_PE202509_REMAO004.TXT"/>
    <x v="70"/>
    <x v="7"/>
    <n v="2"/>
    <n v="102566"/>
    <n v="0"/>
    <s v="DQS_MAO04_FILE_000_B"/>
    <s v="RECORD COUNT by MBR_ID, DOS_THRU_DT, DX_CD Grain grouped by PAYER, SRC_FILE_NM, DOS_THRU_YYYYMM"/>
  </r>
  <r>
    <x v="2"/>
    <s v="SGARMERC_PE202509_REMAO004.TXT"/>
    <x v="73"/>
    <x v="7"/>
    <n v="1"/>
    <n v="102566"/>
    <n v="0"/>
    <s v="DQS_MAO04_FILE_000_B"/>
    <s v="RECORD COUNT by MBR_ID, DOS_THRU_DT, DX_CD Grain grouped by PAYER, SRC_FILE_NM, DOS_THRU_YYYYMM"/>
  </r>
  <r>
    <x v="2"/>
    <s v="SGARMERC_PE202509_REMAO004.TXT"/>
    <x v="76"/>
    <x v="7"/>
    <n v="4"/>
    <n v="102566"/>
    <n v="0"/>
    <s v="DQS_MAO04_FILE_000_B"/>
    <s v="RECORD COUNT by MBR_ID, DOS_THRU_DT, DX_CD Grain grouped by PAYER, SRC_FILE_NM, DOS_THRU_YYYYMM"/>
  </r>
  <r>
    <x v="2"/>
    <s v="SGARMERC_PE202509_REMAO004.TXT"/>
    <x v="77"/>
    <x v="8"/>
    <n v="3"/>
    <n v="102566"/>
    <n v="0"/>
    <s v="DQS_MAO04_FILE_000_B"/>
    <s v="RECORD COUNT by MBR_ID, DOS_THRU_DT, DX_CD Grain grouped by PAYER, SRC_FILE_NM, DOS_THRU_YYYYMM"/>
  </r>
  <r>
    <x v="2"/>
    <s v="SGARMERC_PE202509_REMAO004.TXT"/>
    <x v="79"/>
    <x v="8"/>
    <n v="2"/>
    <n v="102566"/>
    <n v="0"/>
    <s v="DQS_MAO04_FILE_000_B"/>
    <s v="RECORD COUNT by MBR_ID, DOS_THRU_DT, DX_CD Grain grouped by PAYER, SRC_FILE_NM, DOS_THRU_YYYYMM"/>
  </r>
  <r>
    <x v="2"/>
    <s v="SGARMERC_PE202509_REMAO004.TXT"/>
    <x v="80"/>
    <x v="8"/>
    <n v="1"/>
    <n v="102566"/>
    <n v="0"/>
    <s v="DQS_MAO04_FILE_000_B"/>
    <s v="RECORD COUNT by MBR_ID, DOS_THRU_DT, DX_CD Grain grouped by PAYER, SRC_FILE_NM, DOS_THRU_YYYYMM"/>
  </r>
  <r>
    <x v="2"/>
    <s v="SGARMERC_PE202509_REMAO004.TXT"/>
    <x v="81"/>
    <x v="8"/>
    <n v="21"/>
    <n v="102566"/>
    <n v="0.02"/>
    <s v="DQS_MAO04_FILE_000_B"/>
    <s v="RECORD COUNT by MBR_ID, DOS_THRU_DT, DX_CD Grain grouped by PAYER, SRC_FILE_NM, DOS_THRU_YYYYMM"/>
  </r>
  <r>
    <x v="2"/>
    <s v="SGARMERC_PE202509_REMAO004.TXT"/>
    <x v="82"/>
    <x v="8"/>
    <n v="12"/>
    <n v="102566"/>
    <n v="0.01"/>
    <s v="DQS_MAO04_FILE_000_B"/>
    <s v="RECORD COUNT by MBR_ID, DOS_THRU_DT, DX_CD Grain grouped by PAYER, SRC_FILE_NM, DOS_THRU_YYYYMM"/>
  </r>
  <r>
    <x v="2"/>
    <s v="SGARMERC_PE202509_REMAO004.TXT"/>
    <x v="83"/>
    <x v="8"/>
    <n v="34"/>
    <n v="102566"/>
    <n v="0.03"/>
    <s v="DQS_MAO04_FILE_000_B"/>
    <s v="RECORD COUNT by MBR_ID, DOS_THRU_DT, DX_CD Grain grouped by PAYER, SRC_FILE_NM, DOS_THRU_YYYYMM"/>
  </r>
  <r>
    <x v="2"/>
    <s v="SGARMERC_PE202509_REMAO004.TXT"/>
    <x v="84"/>
    <x v="8"/>
    <n v="9"/>
    <n v="102566"/>
    <n v="0.01"/>
    <s v="DQS_MAO04_FILE_000_B"/>
    <s v="RECORD COUNT by MBR_ID, DOS_THRU_DT, DX_CD Grain grouped by PAYER, SRC_FILE_NM, DOS_THRU_YYYYMM"/>
  </r>
  <r>
    <x v="2"/>
    <s v="SGARMERC_PE202509_REMAO004.TXT"/>
    <x v="85"/>
    <x v="8"/>
    <n v="46"/>
    <n v="102566"/>
    <n v="0.04"/>
    <s v="DQS_MAO04_FILE_000_B"/>
    <s v="RECORD COUNT by MBR_ID, DOS_THRU_DT, DX_CD Grain grouped by PAYER, SRC_FILE_NM, DOS_THRU_YYYYMM"/>
  </r>
  <r>
    <x v="2"/>
    <s v="SGARMERC_PE202509_REMAO004.TXT"/>
    <x v="86"/>
    <x v="8"/>
    <n v="66"/>
    <n v="102566"/>
    <n v="0.06"/>
    <s v="DQS_MAO04_FILE_000_B"/>
    <s v="RECORD COUNT by MBR_ID, DOS_THRU_DT, DX_CD Grain grouped by PAYER, SRC_FILE_NM, DOS_THRU_YYYYMM"/>
  </r>
  <r>
    <x v="2"/>
    <s v="SGARMERC_PE202509_REMAO004.TXT"/>
    <x v="87"/>
    <x v="8"/>
    <n v="54"/>
    <n v="102566"/>
    <n v="0.05"/>
    <s v="DQS_MAO04_FILE_000_B"/>
    <s v="RECORD COUNT by MBR_ID, DOS_THRU_DT, DX_CD Grain grouped by PAYER, SRC_FILE_NM, DOS_THRU_YYYYMM"/>
  </r>
  <r>
    <x v="2"/>
    <s v="SGARMERC_PE202509_REMAO004.TXT"/>
    <x v="88"/>
    <x v="8"/>
    <n v="32"/>
    <n v="102566"/>
    <n v="0.03"/>
    <s v="DQS_MAO04_FILE_000_B"/>
    <s v="RECORD COUNT by MBR_ID, DOS_THRU_DT, DX_CD Grain grouped by PAYER, SRC_FILE_NM, DOS_THRU_YYYYMM"/>
  </r>
  <r>
    <x v="2"/>
    <s v="SGARMERC_PE202509_REMAO004.TXT"/>
    <x v="89"/>
    <x v="9"/>
    <n v="49"/>
    <n v="102566"/>
    <n v="0.05"/>
    <s v="DQS_MAO04_FILE_000_B"/>
    <s v="RECORD COUNT by MBR_ID, DOS_THRU_DT, DX_CD Grain grouped by PAYER, SRC_FILE_NM, DOS_THRU_YYYYMM"/>
  </r>
  <r>
    <x v="2"/>
    <s v="SGARMERC_PE202509_REMAO004.TXT"/>
    <x v="97"/>
    <x v="9"/>
    <n v="111"/>
    <n v="102566"/>
    <n v="0.11"/>
    <s v="DQS_MAO04_FILE_000_B"/>
    <s v="RECORD COUNT by MBR_ID, DOS_THRU_DT, DX_CD Grain grouped by PAYER, SRC_FILE_NM, DOS_THRU_YYYYMM"/>
  </r>
  <r>
    <x v="2"/>
    <s v="SGARMERC_PE202509_REMAO004.TXT"/>
    <x v="98"/>
    <x v="9"/>
    <n v="126"/>
    <n v="102566"/>
    <n v="0.12"/>
    <s v="DQS_MAO04_FILE_000_B"/>
    <s v="RECORD COUNT by MBR_ID, DOS_THRU_DT, DX_CD Grain grouped by PAYER, SRC_FILE_NM, DOS_THRU_YYYYMM"/>
  </r>
  <r>
    <x v="2"/>
    <s v="SGARMERC_PE202509_REMAO004.TXT"/>
    <x v="99"/>
    <x v="9"/>
    <n v="156"/>
    <n v="102566"/>
    <n v="0.15"/>
    <s v="DQS_MAO04_FILE_000_B"/>
    <s v="RECORD COUNT by MBR_ID, DOS_THRU_DT, DX_CD Grain grouped by PAYER, SRC_FILE_NM, DOS_THRU_YYYYMM"/>
  </r>
  <r>
    <x v="2"/>
    <s v="SGARMERC_PE202509_REMAO004.TXT"/>
    <x v="100"/>
    <x v="9"/>
    <n v="184"/>
    <n v="102566"/>
    <n v="0.18"/>
    <s v="DQS_MAO04_FILE_000_B"/>
    <s v="RECORD COUNT by MBR_ID, DOS_THRU_DT, DX_CD Grain grouped by PAYER, SRC_FILE_NM, DOS_THRU_YYYYMM"/>
  </r>
  <r>
    <x v="2"/>
    <s v="SGARMERC_PE202509_REMAO004.TXT"/>
    <x v="102"/>
    <x v="9"/>
    <n v="224"/>
    <n v="102566"/>
    <n v="0.22"/>
    <s v="DQS_MAO04_FILE_000_B"/>
    <s v="RECORD COUNT by MBR_ID, DOS_THRU_DT, DX_CD Grain grouped by PAYER, SRC_FILE_NM, DOS_THRU_YYYYMM"/>
  </r>
  <r>
    <x v="2"/>
    <s v="SGARMERC_PE202509_REMAO004.TXT"/>
    <x v="103"/>
    <x v="9"/>
    <n v="242"/>
    <n v="102566"/>
    <n v="0.24"/>
    <s v="DQS_MAO04_FILE_000_B"/>
    <s v="RECORD COUNT by MBR_ID, DOS_THRU_DT, DX_CD Grain grouped by PAYER, SRC_FILE_NM, DOS_THRU_YYYYMM"/>
  </r>
  <r>
    <x v="2"/>
    <s v="SGARMERC_PE202509_REMAO004.TXT"/>
    <x v="105"/>
    <x v="9"/>
    <n v="287"/>
    <n v="102566"/>
    <n v="0.28000000000000003"/>
    <s v="DQS_MAO04_FILE_000_B"/>
    <s v="RECORD COUNT by MBR_ID, DOS_THRU_DT, DX_CD Grain grouped by PAYER, SRC_FILE_NM, DOS_THRU_YYYYMM"/>
  </r>
  <r>
    <x v="2"/>
    <s v="SGARMERC_PE202509_REMAO004.TXT"/>
    <x v="106"/>
    <x v="9"/>
    <n v="290"/>
    <n v="102566"/>
    <n v="0.28000000000000003"/>
    <s v="DQS_MAO04_FILE_000_B"/>
    <s v="RECORD COUNT by MBR_ID, DOS_THRU_DT, DX_CD Grain grouped by PAYER, SRC_FILE_NM, DOS_THRU_YYYYMM"/>
  </r>
  <r>
    <x v="2"/>
    <s v="SGARMERC_PE202509_REMAO004.TXT"/>
    <x v="107"/>
    <x v="9"/>
    <n v="557"/>
    <n v="102566"/>
    <n v="0.54"/>
    <s v="DQS_MAO04_FILE_000_B"/>
    <s v="RECORD COUNT by MBR_ID, DOS_THRU_DT, DX_CD Grain grouped by PAYER, SRC_FILE_NM, DOS_THRU_YYYYMM"/>
  </r>
  <r>
    <x v="2"/>
    <s v="SGARMERC_PE202509_REMAO004.TXT"/>
    <x v="108"/>
    <x v="9"/>
    <n v="509"/>
    <n v="102566"/>
    <n v="0.5"/>
    <s v="DQS_MAO04_FILE_000_B"/>
    <s v="RECORD COUNT by MBR_ID, DOS_THRU_DT, DX_CD Grain grouped by PAYER, SRC_FILE_NM, DOS_THRU_YYYYMM"/>
  </r>
  <r>
    <x v="2"/>
    <s v="SGARMERC_PE202509_REMAO004.TXT"/>
    <x v="109"/>
    <x v="9"/>
    <n v="1145"/>
    <n v="102566"/>
    <n v="1.1200000000000001"/>
    <s v="DQS_MAO04_FILE_000_B"/>
    <s v="RECORD COUNT by MBR_ID, DOS_THRU_DT, DX_CD Grain grouped by PAYER, SRC_FILE_NM, DOS_THRU_YYYYMM"/>
  </r>
  <r>
    <x v="2"/>
    <s v="SGARMERC_PE202509_REMAO004.TXT"/>
    <x v="110"/>
    <x v="11"/>
    <n v="1119"/>
    <n v="102566"/>
    <n v="1.0900000000000001"/>
    <s v="DQS_MAO04_FILE_000_B"/>
    <s v="RECORD COUNT by MBR_ID, DOS_THRU_DT, DX_CD Grain grouped by PAYER, SRC_FILE_NM, DOS_THRU_YYYYMM"/>
  </r>
  <r>
    <x v="2"/>
    <s v="SGARMERC_PE202509_REMAO004.TXT"/>
    <x v="111"/>
    <x v="11"/>
    <n v="2356"/>
    <n v="102566"/>
    <n v="2.2999999999999998"/>
    <s v="DQS_MAO04_FILE_000_B"/>
    <s v="RECORD COUNT by MBR_ID, DOS_THRU_DT, DX_CD Grain grouped by PAYER, SRC_FILE_NM, DOS_THRU_YYYYMM"/>
  </r>
  <r>
    <x v="2"/>
    <s v="SGARMERC_PE202509_REMAO004.TXT"/>
    <x v="112"/>
    <x v="11"/>
    <n v="2750"/>
    <n v="102566"/>
    <n v="2.68"/>
    <s v="DQS_MAO04_FILE_000_B"/>
    <s v="RECORD COUNT by MBR_ID, DOS_THRU_DT, DX_CD Grain grouped by PAYER, SRC_FILE_NM, DOS_THRU_YYYYMM"/>
  </r>
  <r>
    <x v="2"/>
    <s v="SGARMERC_PE202509_REMAO004.TXT"/>
    <x v="113"/>
    <x v="11"/>
    <n v="3698"/>
    <n v="102566"/>
    <n v="3.61"/>
    <s v="DQS_MAO04_FILE_000_B"/>
    <s v="RECORD COUNT by MBR_ID, DOS_THRU_DT, DX_CD Grain grouped by PAYER, SRC_FILE_NM, DOS_THRU_YYYYMM"/>
  </r>
  <r>
    <x v="2"/>
    <s v="SGARMERC_PE202509_REMAO004.TXT"/>
    <x v="114"/>
    <x v="11"/>
    <n v="4923"/>
    <n v="102566"/>
    <n v="4.8"/>
    <s v="DQS_MAO04_FILE_000_B"/>
    <s v="RECORD COUNT by MBR_ID, DOS_THRU_DT, DX_CD Grain grouped by PAYER, SRC_FILE_NM, DOS_THRU_YYYYMM"/>
  </r>
  <r>
    <x v="2"/>
    <s v="SGARMERC_PE202509_REMAO004.TXT"/>
    <x v="115"/>
    <x v="11"/>
    <n v="45864"/>
    <n v="102566"/>
    <n v="44.72"/>
    <s v="DQS_MAO04_FILE_000_B"/>
    <s v="RECORD COUNT by MBR_ID, DOS_THRU_DT, DX_CD Grain grouped by PAYER, SRC_FILE_NM, DOS_THRU_YYYYMM"/>
  </r>
  <r>
    <x v="2"/>
    <s v="SGARMERC_PE202509_REMAO004.TXT"/>
    <x v="116"/>
    <x v="11"/>
    <n v="37689"/>
    <n v="102566"/>
    <n v="36.75"/>
    <s v="DQS_MAO04_FILE_000_B"/>
    <s v="RECORD COUNT by MBR_ID, DOS_THRU_DT, DX_CD Grain grouped by PAYER, SRC_FILE_NM, DOS_THRU_YYYYMM"/>
  </r>
  <r>
    <x v="2"/>
    <s v="SGARMERC_PE202510_REMAO004.TXT"/>
    <x v="68"/>
    <x v="7"/>
    <n v="3"/>
    <n v="110218"/>
    <n v="0"/>
    <s v="DQS_MAO04_FILE_000_B"/>
    <s v="RECORD COUNT by MBR_ID, DOS_THRU_DT, DX_CD Grain grouped by PAYER, SRC_FILE_NM, DOS_THRU_YYYYMM"/>
  </r>
  <r>
    <x v="2"/>
    <s v="SGARMERC_PE202510_REMAO004.TXT"/>
    <x v="70"/>
    <x v="7"/>
    <n v="4"/>
    <n v="110218"/>
    <n v="0"/>
    <s v="DQS_MAO04_FILE_000_B"/>
    <s v="RECORD COUNT by MBR_ID, DOS_THRU_DT, DX_CD Grain grouped by PAYER, SRC_FILE_NM, DOS_THRU_YYYYMM"/>
  </r>
  <r>
    <x v="2"/>
    <s v="SGARMERC_PE202510_REMAO004.TXT"/>
    <x v="76"/>
    <x v="7"/>
    <n v="1"/>
    <n v="110218"/>
    <n v="0"/>
    <s v="DQS_MAO04_FILE_000_B"/>
    <s v="RECORD COUNT by MBR_ID, DOS_THRU_DT, DX_CD Grain grouped by PAYER, SRC_FILE_NM, DOS_THRU_YYYYMM"/>
  </r>
  <r>
    <x v="2"/>
    <s v="SGARMERC_PE202510_REMAO004.TXT"/>
    <x v="83"/>
    <x v="8"/>
    <n v="6"/>
    <n v="110218"/>
    <n v="0.01"/>
    <s v="DQS_MAO04_FILE_000_B"/>
    <s v="RECORD COUNT by MBR_ID, DOS_THRU_DT, DX_CD Grain grouped by PAYER, SRC_FILE_NM, DOS_THRU_YYYYMM"/>
  </r>
  <r>
    <x v="2"/>
    <s v="SGARMERC_PE202510_REMAO004.TXT"/>
    <x v="84"/>
    <x v="8"/>
    <n v="14"/>
    <n v="110218"/>
    <n v="0.01"/>
    <s v="DQS_MAO04_FILE_000_B"/>
    <s v="RECORD COUNT by MBR_ID, DOS_THRU_DT, DX_CD Grain grouped by PAYER, SRC_FILE_NM, DOS_THRU_YYYYMM"/>
  </r>
  <r>
    <x v="2"/>
    <s v="SGARMERC_PE202510_REMAO004.TXT"/>
    <x v="85"/>
    <x v="8"/>
    <n v="4"/>
    <n v="110218"/>
    <n v="0"/>
    <s v="DQS_MAO04_FILE_000_B"/>
    <s v="RECORD COUNT by MBR_ID, DOS_THRU_DT, DX_CD Grain grouped by PAYER, SRC_FILE_NM, DOS_THRU_YYYYMM"/>
  </r>
  <r>
    <x v="2"/>
    <s v="SGARMERC_PE202510_REMAO004.TXT"/>
    <x v="86"/>
    <x v="8"/>
    <n v="25"/>
    <n v="110218"/>
    <n v="0.02"/>
    <s v="DQS_MAO04_FILE_000_B"/>
    <s v="RECORD COUNT by MBR_ID, DOS_THRU_DT, DX_CD Grain grouped by PAYER, SRC_FILE_NM, DOS_THRU_YYYYMM"/>
  </r>
  <r>
    <x v="2"/>
    <s v="SGARMERC_PE202510_REMAO004.TXT"/>
    <x v="88"/>
    <x v="8"/>
    <n v="1"/>
    <n v="110218"/>
    <n v="0"/>
    <s v="DQS_MAO04_FILE_000_B"/>
    <s v="RECORD COUNT by MBR_ID, DOS_THRU_DT, DX_CD Grain grouped by PAYER, SRC_FILE_NM, DOS_THRU_YYYYMM"/>
  </r>
  <r>
    <x v="2"/>
    <s v="SGARMERC_PE202510_REMAO004.TXT"/>
    <x v="89"/>
    <x v="9"/>
    <n v="337"/>
    <n v="110218"/>
    <n v="0.31"/>
    <s v="DQS_MAO04_FILE_000_B"/>
    <s v="RECORD COUNT by MBR_ID, DOS_THRU_DT, DX_CD Grain grouped by PAYER, SRC_FILE_NM, DOS_THRU_YYYYMM"/>
  </r>
  <r>
    <x v="2"/>
    <s v="SGARMERC_PE202510_REMAO004.TXT"/>
    <x v="97"/>
    <x v="9"/>
    <n v="369"/>
    <n v="110218"/>
    <n v="0.33"/>
    <s v="DQS_MAO04_FILE_000_B"/>
    <s v="RECORD COUNT by MBR_ID, DOS_THRU_DT, DX_CD Grain grouped by PAYER, SRC_FILE_NM, DOS_THRU_YYYYMM"/>
  </r>
  <r>
    <x v="2"/>
    <s v="SGARMERC_PE202510_REMAO004.TXT"/>
    <x v="98"/>
    <x v="9"/>
    <n v="518"/>
    <n v="110218"/>
    <n v="0.47"/>
    <s v="DQS_MAO04_FILE_000_B"/>
    <s v="RECORD COUNT by MBR_ID, DOS_THRU_DT, DX_CD Grain grouped by PAYER, SRC_FILE_NM, DOS_THRU_YYYYMM"/>
  </r>
  <r>
    <x v="2"/>
    <s v="SGARMERC_PE202510_REMAO004.TXT"/>
    <x v="99"/>
    <x v="9"/>
    <n v="455"/>
    <n v="110218"/>
    <n v="0.41"/>
    <s v="DQS_MAO04_FILE_000_B"/>
    <s v="RECORD COUNT by MBR_ID, DOS_THRU_DT, DX_CD Grain grouped by PAYER, SRC_FILE_NM, DOS_THRU_YYYYMM"/>
  </r>
  <r>
    <x v="2"/>
    <s v="SGARMERC_PE202510_REMAO004.TXT"/>
    <x v="100"/>
    <x v="9"/>
    <n v="537"/>
    <n v="110218"/>
    <n v="0.49"/>
    <s v="DQS_MAO04_FILE_000_B"/>
    <s v="RECORD COUNT by MBR_ID, DOS_THRU_DT, DX_CD Grain grouped by PAYER, SRC_FILE_NM, DOS_THRU_YYYYMM"/>
  </r>
  <r>
    <x v="2"/>
    <s v="SGARMERC_PE202510_REMAO004.TXT"/>
    <x v="102"/>
    <x v="9"/>
    <n v="520"/>
    <n v="110218"/>
    <n v="0.47"/>
    <s v="DQS_MAO04_FILE_000_B"/>
    <s v="RECORD COUNT by MBR_ID, DOS_THRU_DT, DX_CD Grain grouped by PAYER, SRC_FILE_NM, DOS_THRU_YYYYMM"/>
  </r>
  <r>
    <x v="2"/>
    <s v="SGARMERC_PE202510_REMAO004.TXT"/>
    <x v="103"/>
    <x v="9"/>
    <n v="755"/>
    <n v="110218"/>
    <n v="0.69"/>
    <s v="DQS_MAO04_FILE_000_B"/>
    <s v="RECORD COUNT by MBR_ID, DOS_THRU_DT, DX_CD Grain grouped by PAYER, SRC_FILE_NM, DOS_THRU_YYYYMM"/>
  </r>
  <r>
    <x v="2"/>
    <s v="SGARMERC_PE202510_REMAO004.TXT"/>
    <x v="105"/>
    <x v="9"/>
    <n v="516"/>
    <n v="110218"/>
    <n v="0.47"/>
    <s v="DQS_MAO04_FILE_000_B"/>
    <s v="RECORD COUNT by MBR_ID, DOS_THRU_DT, DX_CD Grain grouped by PAYER, SRC_FILE_NM, DOS_THRU_YYYYMM"/>
  </r>
  <r>
    <x v="2"/>
    <s v="SGARMERC_PE202510_REMAO004.TXT"/>
    <x v="106"/>
    <x v="9"/>
    <n v="635"/>
    <n v="110218"/>
    <n v="0.57999999999999996"/>
    <s v="DQS_MAO04_FILE_000_B"/>
    <s v="RECORD COUNT by MBR_ID, DOS_THRU_DT, DX_CD Grain grouped by PAYER, SRC_FILE_NM, DOS_THRU_YYYYMM"/>
  </r>
  <r>
    <x v="2"/>
    <s v="SGARMERC_PE202510_REMAO004.TXT"/>
    <x v="107"/>
    <x v="9"/>
    <n v="1205"/>
    <n v="110218"/>
    <n v="1.0900000000000001"/>
    <s v="DQS_MAO04_FILE_000_B"/>
    <s v="RECORD COUNT by MBR_ID, DOS_THRU_DT, DX_CD Grain grouped by PAYER, SRC_FILE_NM, DOS_THRU_YYYYMM"/>
  </r>
  <r>
    <x v="2"/>
    <s v="SGARMERC_PE202510_REMAO004.TXT"/>
    <x v="108"/>
    <x v="9"/>
    <n v="1574"/>
    <n v="110218"/>
    <n v="1.43"/>
    <s v="DQS_MAO04_FILE_000_B"/>
    <s v="RECORD COUNT by MBR_ID, DOS_THRU_DT, DX_CD Grain grouped by PAYER, SRC_FILE_NM, DOS_THRU_YYYYMM"/>
  </r>
  <r>
    <x v="2"/>
    <s v="SGARMERC_PE202510_REMAO004.TXT"/>
    <x v="109"/>
    <x v="9"/>
    <n v="3478"/>
    <n v="110218"/>
    <n v="3.16"/>
    <s v="DQS_MAO04_FILE_000_B"/>
    <s v="RECORD COUNT by MBR_ID, DOS_THRU_DT, DX_CD Grain grouped by PAYER, SRC_FILE_NM, DOS_THRU_YYYYMM"/>
  </r>
  <r>
    <x v="2"/>
    <s v="SGARMERC_PE202510_REMAO004.TXT"/>
    <x v="110"/>
    <x v="11"/>
    <n v="6560"/>
    <n v="110218"/>
    <n v="5.95"/>
    <s v="DQS_MAO04_FILE_000_B"/>
    <s v="RECORD COUNT by MBR_ID, DOS_THRU_DT, DX_CD Grain grouped by PAYER, SRC_FILE_NM, DOS_THRU_YYYYMM"/>
  </r>
  <r>
    <x v="2"/>
    <s v="SGARMERC_PE202510_REMAO004.TXT"/>
    <x v="111"/>
    <x v="11"/>
    <n v="5480"/>
    <n v="110218"/>
    <n v="4.97"/>
    <s v="DQS_MAO04_FILE_000_B"/>
    <s v="RECORD COUNT by MBR_ID, DOS_THRU_DT, DX_CD Grain grouped by PAYER, SRC_FILE_NM, DOS_THRU_YYYYMM"/>
  </r>
  <r>
    <x v="2"/>
    <s v="SGARMERC_PE202510_REMAO004.TXT"/>
    <x v="112"/>
    <x v="11"/>
    <n v="2229"/>
    <n v="110218"/>
    <n v="2.02"/>
    <s v="DQS_MAO04_FILE_000_B"/>
    <s v="RECORD COUNT by MBR_ID, DOS_THRU_DT, DX_CD Grain grouped by PAYER, SRC_FILE_NM, DOS_THRU_YYYYMM"/>
  </r>
  <r>
    <x v="2"/>
    <s v="SGARMERC_PE202510_REMAO004.TXT"/>
    <x v="113"/>
    <x v="11"/>
    <n v="1462"/>
    <n v="110218"/>
    <n v="1.33"/>
    <s v="DQS_MAO04_FILE_000_B"/>
    <s v="RECORD COUNT by MBR_ID, DOS_THRU_DT, DX_CD Grain grouped by PAYER, SRC_FILE_NM, DOS_THRU_YYYYMM"/>
  </r>
  <r>
    <x v="2"/>
    <s v="SGARMERC_PE202510_REMAO004.TXT"/>
    <x v="114"/>
    <x v="11"/>
    <n v="1571"/>
    <n v="110218"/>
    <n v="1.43"/>
    <s v="DQS_MAO04_FILE_000_B"/>
    <s v="RECORD COUNT by MBR_ID, DOS_THRU_DT, DX_CD Grain grouped by PAYER, SRC_FILE_NM, DOS_THRU_YYYYMM"/>
  </r>
  <r>
    <x v="2"/>
    <s v="SGARMERC_PE202510_REMAO004.TXT"/>
    <x v="115"/>
    <x v="11"/>
    <n v="3817"/>
    <n v="110218"/>
    <n v="3.46"/>
    <s v="DQS_MAO04_FILE_000_B"/>
    <s v="RECORD COUNT by MBR_ID, DOS_THRU_DT, DX_CD Grain grouped by PAYER, SRC_FILE_NM, DOS_THRU_YYYYMM"/>
  </r>
  <r>
    <x v="2"/>
    <s v="SGARMERC_PE202510_REMAO004.TXT"/>
    <x v="116"/>
    <x v="11"/>
    <n v="45337"/>
    <n v="110218"/>
    <n v="41.13"/>
    <s v="DQS_MAO04_FILE_000_B"/>
    <s v="RECORD COUNT by MBR_ID, DOS_THRU_DT, DX_CD Grain grouped by PAYER, SRC_FILE_NM, DOS_THRU_YYYYMM"/>
  </r>
  <r>
    <x v="2"/>
    <s v="SGARMERC_PE202510_REMAO004.TXT"/>
    <x v="117"/>
    <x v="11"/>
    <n v="32805"/>
    <n v="110218"/>
    <n v="29.76"/>
    <s v="DQS_MAO04_FILE_000_B"/>
    <s v="RECORD COUNT by MBR_ID, DOS_THRU_DT, DX_CD Grain grouped by PAYER, SRC_FILE_NM, DOS_THRU_YYYYMM"/>
  </r>
  <r>
    <x v="2"/>
    <s v="SGARMERC_PE202511_REMAO004.TXT"/>
    <x v="83"/>
    <x v="8"/>
    <n v="1"/>
    <n v="112163"/>
    <n v="0"/>
    <s v="DQS_MAO04_FILE_000_B"/>
    <s v="RECORD COUNT by MBR_ID, DOS_THRU_DT, DX_CD Grain grouped by PAYER, SRC_FILE_NM, DOS_THRU_YYYYMM"/>
  </r>
  <r>
    <x v="2"/>
    <s v="SGARMERC_PE202511_REMAO004.TXT"/>
    <x v="84"/>
    <x v="8"/>
    <n v="9"/>
    <n v="112163"/>
    <n v="0.01"/>
    <s v="DQS_MAO04_FILE_000_B"/>
    <s v="RECORD COUNT by MBR_ID, DOS_THRU_DT, DX_CD Grain grouped by PAYER, SRC_FILE_NM, DOS_THRU_YYYYMM"/>
  </r>
  <r>
    <x v="2"/>
    <s v="SGARMERC_PE202511_REMAO004.TXT"/>
    <x v="85"/>
    <x v="8"/>
    <n v="19"/>
    <n v="112163"/>
    <n v="0.02"/>
    <s v="DQS_MAO04_FILE_000_B"/>
    <s v="RECORD COUNT by MBR_ID, DOS_THRU_DT, DX_CD Grain grouped by PAYER, SRC_FILE_NM, DOS_THRU_YYYYMM"/>
  </r>
  <r>
    <x v="2"/>
    <s v="SGARMERC_PE202511_REMAO004.TXT"/>
    <x v="86"/>
    <x v="8"/>
    <n v="14"/>
    <n v="112163"/>
    <n v="0.01"/>
    <s v="DQS_MAO04_FILE_000_B"/>
    <s v="RECORD COUNT by MBR_ID, DOS_THRU_DT, DX_CD Grain grouped by PAYER, SRC_FILE_NM, DOS_THRU_YYYYMM"/>
  </r>
  <r>
    <x v="2"/>
    <s v="SGARMERC_PE202511_REMAO004.TXT"/>
    <x v="87"/>
    <x v="8"/>
    <n v="16"/>
    <n v="112163"/>
    <n v="0.01"/>
    <s v="DQS_MAO04_FILE_000_B"/>
    <s v="RECORD COUNT by MBR_ID, DOS_THRU_DT, DX_CD Grain grouped by PAYER, SRC_FILE_NM, DOS_THRU_YYYYMM"/>
  </r>
  <r>
    <x v="2"/>
    <s v="SGARMERC_PE202511_REMAO004.TXT"/>
    <x v="88"/>
    <x v="8"/>
    <n v="6"/>
    <n v="112163"/>
    <n v="0.01"/>
    <s v="DQS_MAO04_FILE_000_B"/>
    <s v="RECORD COUNT by MBR_ID, DOS_THRU_DT, DX_CD Grain grouped by PAYER, SRC_FILE_NM, DOS_THRU_YYYYMM"/>
  </r>
  <r>
    <x v="2"/>
    <s v="SGARMERC_PE202511_REMAO004.TXT"/>
    <x v="89"/>
    <x v="9"/>
    <n v="271"/>
    <n v="112163"/>
    <n v="0.24"/>
    <s v="DQS_MAO04_FILE_000_B"/>
    <s v="RECORD COUNT by MBR_ID, DOS_THRU_DT, DX_CD Grain grouped by PAYER, SRC_FILE_NM, DOS_THRU_YYYYMM"/>
  </r>
  <r>
    <x v="2"/>
    <s v="SGARMERC_PE202511_REMAO004.TXT"/>
    <x v="97"/>
    <x v="9"/>
    <n v="257"/>
    <n v="112163"/>
    <n v="0.23"/>
    <s v="DQS_MAO04_FILE_000_B"/>
    <s v="RECORD COUNT by MBR_ID, DOS_THRU_DT, DX_CD Grain grouped by PAYER, SRC_FILE_NM, DOS_THRU_YYYYMM"/>
  </r>
  <r>
    <x v="2"/>
    <s v="SGARMERC_PE202511_REMAO004.TXT"/>
    <x v="98"/>
    <x v="9"/>
    <n v="272"/>
    <n v="112163"/>
    <n v="0.24"/>
    <s v="DQS_MAO04_FILE_000_B"/>
    <s v="RECORD COUNT by MBR_ID, DOS_THRU_DT, DX_CD Grain grouped by PAYER, SRC_FILE_NM, DOS_THRU_YYYYMM"/>
  </r>
  <r>
    <x v="2"/>
    <s v="SGARMERC_PE202511_REMAO004.TXT"/>
    <x v="99"/>
    <x v="9"/>
    <n v="198"/>
    <n v="112163"/>
    <n v="0.18"/>
    <s v="DQS_MAO04_FILE_000_B"/>
    <s v="RECORD COUNT by MBR_ID, DOS_THRU_DT, DX_CD Grain grouped by PAYER, SRC_FILE_NM, DOS_THRU_YYYYMM"/>
  </r>
  <r>
    <x v="2"/>
    <s v="SGARMERC_PE202511_REMAO004.TXT"/>
    <x v="100"/>
    <x v="9"/>
    <n v="159"/>
    <n v="112163"/>
    <n v="0.14000000000000001"/>
    <s v="DQS_MAO04_FILE_000_B"/>
    <s v="RECORD COUNT by MBR_ID, DOS_THRU_DT, DX_CD Grain grouped by PAYER, SRC_FILE_NM, DOS_THRU_YYYYMM"/>
  </r>
  <r>
    <x v="2"/>
    <s v="SGARMERC_PE202511_REMAO004.TXT"/>
    <x v="102"/>
    <x v="9"/>
    <n v="205"/>
    <n v="112163"/>
    <n v="0.18"/>
    <s v="DQS_MAO04_FILE_000_B"/>
    <s v="RECORD COUNT by MBR_ID, DOS_THRU_DT, DX_CD Grain grouped by PAYER, SRC_FILE_NM, DOS_THRU_YYYYMM"/>
  </r>
  <r>
    <x v="2"/>
    <s v="SGARMERC_PE202511_REMAO004.TXT"/>
    <x v="103"/>
    <x v="9"/>
    <n v="300"/>
    <n v="112163"/>
    <n v="0.27"/>
    <s v="DQS_MAO04_FILE_000_B"/>
    <s v="RECORD COUNT by MBR_ID, DOS_THRU_DT, DX_CD Grain grouped by PAYER, SRC_FILE_NM, DOS_THRU_YYYYMM"/>
  </r>
  <r>
    <x v="2"/>
    <s v="SGARMERC_PE202511_REMAO004.TXT"/>
    <x v="105"/>
    <x v="9"/>
    <n v="261"/>
    <n v="112163"/>
    <n v="0.23"/>
    <s v="DQS_MAO04_FILE_000_B"/>
    <s v="RECORD COUNT by MBR_ID, DOS_THRU_DT, DX_CD Grain grouped by PAYER, SRC_FILE_NM, DOS_THRU_YYYYMM"/>
  </r>
  <r>
    <x v="2"/>
    <s v="SGARMERC_PE202511_REMAO004.TXT"/>
    <x v="106"/>
    <x v="9"/>
    <n v="237"/>
    <n v="112163"/>
    <n v="0.21"/>
    <s v="DQS_MAO04_FILE_000_B"/>
    <s v="RECORD COUNT by MBR_ID, DOS_THRU_DT, DX_CD Grain grouped by PAYER, SRC_FILE_NM, DOS_THRU_YYYYMM"/>
  </r>
  <r>
    <x v="2"/>
    <s v="SGARMERC_PE202511_REMAO004.TXT"/>
    <x v="107"/>
    <x v="9"/>
    <n v="1288"/>
    <n v="112163"/>
    <n v="1.1499999999999999"/>
    <s v="DQS_MAO04_FILE_000_B"/>
    <s v="RECORD COUNT by MBR_ID, DOS_THRU_DT, DX_CD Grain grouped by PAYER, SRC_FILE_NM, DOS_THRU_YYYYMM"/>
  </r>
  <r>
    <x v="2"/>
    <s v="SGARMERC_PE202511_REMAO004.TXT"/>
    <x v="108"/>
    <x v="9"/>
    <n v="1176"/>
    <n v="112163"/>
    <n v="1.05"/>
    <s v="DQS_MAO04_FILE_000_B"/>
    <s v="RECORD COUNT by MBR_ID, DOS_THRU_DT, DX_CD Grain grouped by PAYER, SRC_FILE_NM, DOS_THRU_YYYYMM"/>
  </r>
  <r>
    <x v="2"/>
    <s v="SGARMERC_PE202511_REMAO004.TXT"/>
    <x v="109"/>
    <x v="9"/>
    <n v="2986"/>
    <n v="112163"/>
    <n v="2.66"/>
    <s v="DQS_MAO04_FILE_000_B"/>
    <s v="RECORD COUNT by MBR_ID, DOS_THRU_DT, DX_CD Grain grouped by PAYER, SRC_FILE_NM, DOS_THRU_YYYYMM"/>
  </r>
  <r>
    <x v="2"/>
    <s v="SGARMERC_PE202511_REMAO004.TXT"/>
    <x v="110"/>
    <x v="11"/>
    <n v="3938"/>
    <n v="112163"/>
    <n v="3.51"/>
    <s v="DQS_MAO04_FILE_000_B"/>
    <s v="RECORD COUNT by MBR_ID, DOS_THRU_DT, DX_CD Grain grouped by PAYER, SRC_FILE_NM, DOS_THRU_YYYYMM"/>
  </r>
  <r>
    <x v="2"/>
    <s v="SGARMERC_PE202511_REMAO004.TXT"/>
    <x v="111"/>
    <x v="11"/>
    <n v="5033"/>
    <n v="112163"/>
    <n v="4.49"/>
    <s v="DQS_MAO04_FILE_000_B"/>
    <s v="RECORD COUNT by MBR_ID, DOS_THRU_DT, DX_CD Grain grouped by PAYER, SRC_FILE_NM, DOS_THRU_YYYYMM"/>
  </r>
  <r>
    <x v="2"/>
    <s v="SGARMERC_PE202511_REMAO004.TXT"/>
    <x v="112"/>
    <x v="11"/>
    <n v="2556"/>
    <n v="112163"/>
    <n v="2.2799999999999998"/>
    <s v="DQS_MAO04_FILE_000_B"/>
    <s v="RECORD COUNT by MBR_ID, DOS_THRU_DT, DX_CD Grain grouped by PAYER, SRC_FILE_NM, DOS_THRU_YYYYMM"/>
  </r>
  <r>
    <x v="2"/>
    <s v="SGARMERC_PE202511_REMAO004.TXT"/>
    <x v="113"/>
    <x v="11"/>
    <n v="2595"/>
    <n v="112163"/>
    <n v="2.31"/>
    <s v="DQS_MAO04_FILE_000_B"/>
    <s v="RECORD COUNT by MBR_ID, DOS_THRU_DT, DX_CD Grain grouped by PAYER, SRC_FILE_NM, DOS_THRU_YYYYMM"/>
  </r>
  <r>
    <x v="2"/>
    <s v="SGARMERC_PE202511_REMAO004.TXT"/>
    <x v="114"/>
    <x v="11"/>
    <n v="2526"/>
    <n v="112163"/>
    <n v="2.25"/>
    <s v="DQS_MAO04_FILE_000_B"/>
    <s v="RECORD COUNT by MBR_ID, DOS_THRU_DT, DX_CD Grain grouped by PAYER, SRC_FILE_NM, DOS_THRU_YYYYMM"/>
  </r>
  <r>
    <x v="2"/>
    <s v="SGARMERC_PE202511_REMAO004.TXT"/>
    <x v="115"/>
    <x v="11"/>
    <n v="3166"/>
    <n v="112163"/>
    <n v="2.82"/>
    <s v="DQS_MAO04_FILE_000_B"/>
    <s v="RECORD COUNT by MBR_ID, DOS_THRU_DT, DX_CD Grain grouped by PAYER, SRC_FILE_NM, DOS_THRU_YYYYMM"/>
  </r>
  <r>
    <x v="2"/>
    <s v="SGARMERC_PE202511_REMAO004.TXT"/>
    <x v="116"/>
    <x v="11"/>
    <n v="8166"/>
    <n v="112163"/>
    <n v="7.28"/>
    <s v="DQS_MAO04_FILE_000_B"/>
    <s v="RECORD COUNT by MBR_ID, DOS_THRU_DT, DX_CD Grain grouped by PAYER, SRC_FILE_NM, DOS_THRU_YYYYMM"/>
  </r>
  <r>
    <x v="2"/>
    <s v="SGARMERC_PE202511_REMAO004.TXT"/>
    <x v="117"/>
    <x v="11"/>
    <n v="43500"/>
    <n v="112163"/>
    <n v="38.78"/>
    <s v="DQS_MAO04_FILE_000_B"/>
    <s v="RECORD COUNT by MBR_ID, DOS_THRU_DT, DX_CD Grain grouped by PAYER, SRC_FILE_NM, DOS_THRU_YYYYMM"/>
  </r>
  <r>
    <x v="2"/>
    <s v="SGARMERC_PE202511_REMAO004.TXT"/>
    <x v="118"/>
    <x v="11"/>
    <n v="33008"/>
    <n v="112163"/>
    <n v="29.43"/>
    <s v="DQS_MAO04_FILE_000_B"/>
    <s v="RECORD COUNT by MBR_ID, DOS_THRU_DT, DX_CD Grain grouped by PAYER, SRC_FILE_NM, DOS_THRU_YYYYMM"/>
  </r>
  <r>
    <x v="2"/>
    <s v="SGARMERC_PE202512_REMAO004.TXT"/>
    <x v="70"/>
    <x v="7"/>
    <n v="21"/>
    <n v="132656"/>
    <n v="0.02"/>
    <s v="DQS_MAO04_FILE_000_B"/>
    <s v="RECORD COUNT by MBR_ID, DOS_THRU_DT, DX_CD Grain grouped by PAYER, SRC_FILE_NM, DOS_THRU_YYYYMM"/>
  </r>
  <r>
    <x v="2"/>
    <s v="SGARMERC_PE202512_REMAO004.TXT"/>
    <x v="74"/>
    <x v="7"/>
    <n v="7"/>
    <n v="132656"/>
    <n v="0.01"/>
    <s v="DQS_MAO04_FILE_000_B"/>
    <s v="RECORD COUNT by MBR_ID, DOS_THRU_DT, DX_CD Grain grouped by PAYER, SRC_FILE_NM, DOS_THRU_YYYYMM"/>
  </r>
  <r>
    <x v="2"/>
    <s v="SGARMERC_PE202512_REMAO004.TXT"/>
    <x v="76"/>
    <x v="7"/>
    <n v="2"/>
    <n v="132656"/>
    <n v="0"/>
    <s v="DQS_MAO04_FILE_000_B"/>
    <s v="RECORD COUNT by MBR_ID, DOS_THRU_DT, DX_CD Grain grouped by PAYER, SRC_FILE_NM, DOS_THRU_YYYYMM"/>
  </r>
  <r>
    <x v="2"/>
    <s v="SGARMERC_PE202512_REMAO004.TXT"/>
    <x v="79"/>
    <x v="8"/>
    <n v="13"/>
    <n v="132656"/>
    <n v="0.01"/>
    <s v="DQS_MAO04_FILE_000_B"/>
    <s v="RECORD COUNT by MBR_ID, DOS_THRU_DT, DX_CD Grain grouped by PAYER, SRC_FILE_NM, DOS_THRU_YYYYMM"/>
  </r>
  <r>
    <x v="2"/>
    <s v="SGARMERC_PE202512_REMAO004.TXT"/>
    <x v="82"/>
    <x v="8"/>
    <n v="1"/>
    <n v="132656"/>
    <n v="0"/>
    <s v="DQS_MAO04_FILE_000_B"/>
    <s v="RECORD COUNT by MBR_ID, DOS_THRU_DT, DX_CD Grain grouped by PAYER, SRC_FILE_NM, DOS_THRU_YYYYMM"/>
  </r>
  <r>
    <x v="2"/>
    <s v="SGARMERC_PE202512_REMAO004.TXT"/>
    <x v="83"/>
    <x v="8"/>
    <n v="6"/>
    <n v="132656"/>
    <n v="0"/>
    <s v="DQS_MAO04_FILE_000_B"/>
    <s v="RECORD COUNT by MBR_ID, DOS_THRU_DT, DX_CD Grain grouped by PAYER, SRC_FILE_NM, DOS_THRU_YYYYMM"/>
  </r>
  <r>
    <x v="2"/>
    <s v="SGARMERC_PE202512_REMAO004.TXT"/>
    <x v="84"/>
    <x v="8"/>
    <n v="3"/>
    <n v="132656"/>
    <n v="0"/>
    <s v="DQS_MAO04_FILE_000_B"/>
    <s v="RECORD COUNT by MBR_ID, DOS_THRU_DT, DX_CD Grain grouped by PAYER, SRC_FILE_NM, DOS_THRU_YYYYMM"/>
  </r>
  <r>
    <x v="2"/>
    <s v="SGARMERC_PE202512_REMAO004.TXT"/>
    <x v="85"/>
    <x v="8"/>
    <n v="8"/>
    <n v="132656"/>
    <n v="0.01"/>
    <s v="DQS_MAO04_FILE_000_B"/>
    <s v="RECORD COUNT by MBR_ID, DOS_THRU_DT, DX_CD Grain grouped by PAYER, SRC_FILE_NM, DOS_THRU_YYYYMM"/>
  </r>
  <r>
    <x v="2"/>
    <s v="SGARMERC_PE202512_REMAO004.TXT"/>
    <x v="86"/>
    <x v="8"/>
    <n v="28"/>
    <n v="132656"/>
    <n v="0.02"/>
    <s v="DQS_MAO04_FILE_000_B"/>
    <s v="RECORD COUNT by MBR_ID, DOS_THRU_DT, DX_CD Grain grouped by PAYER, SRC_FILE_NM, DOS_THRU_YYYYMM"/>
  </r>
  <r>
    <x v="2"/>
    <s v="SGARMERC_PE202512_REMAO004.TXT"/>
    <x v="87"/>
    <x v="8"/>
    <n v="11"/>
    <n v="132656"/>
    <n v="0.01"/>
    <s v="DQS_MAO04_FILE_000_B"/>
    <s v="RECORD COUNT by MBR_ID, DOS_THRU_DT, DX_CD Grain grouped by PAYER, SRC_FILE_NM, DOS_THRU_YYYYMM"/>
  </r>
  <r>
    <x v="2"/>
    <s v="SGARMERC_PE202512_REMAO004.TXT"/>
    <x v="88"/>
    <x v="8"/>
    <n v="8"/>
    <n v="132656"/>
    <n v="0.01"/>
    <s v="DQS_MAO04_FILE_000_B"/>
    <s v="RECORD COUNT by MBR_ID, DOS_THRU_DT, DX_CD Grain grouped by PAYER, SRC_FILE_NM, DOS_THRU_YYYYMM"/>
  </r>
  <r>
    <x v="2"/>
    <s v="SGARMERC_PE202512_REMAO004.TXT"/>
    <x v="89"/>
    <x v="9"/>
    <n v="45"/>
    <n v="132656"/>
    <n v="0.03"/>
    <s v="DQS_MAO04_FILE_000_B"/>
    <s v="RECORD COUNT by MBR_ID, DOS_THRU_DT, DX_CD Grain grouped by PAYER, SRC_FILE_NM, DOS_THRU_YYYYMM"/>
  </r>
  <r>
    <x v="2"/>
    <s v="SGARMERC_PE202512_REMAO004.TXT"/>
    <x v="97"/>
    <x v="9"/>
    <n v="136"/>
    <n v="132656"/>
    <n v="0.1"/>
    <s v="DQS_MAO04_FILE_000_B"/>
    <s v="RECORD COUNT by MBR_ID, DOS_THRU_DT, DX_CD Grain grouped by PAYER, SRC_FILE_NM, DOS_THRU_YYYYMM"/>
  </r>
  <r>
    <x v="2"/>
    <s v="SGARMERC_PE202512_REMAO004.TXT"/>
    <x v="98"/>
    <x v="9"/>
    <n v="149"/>
    <n v="132656"/>
    <n v="0.11"/>
    <s v="DQS_MAO04_FILE_000_B"/>
    <s v="RECORD COUNT by MBR_ID, DOS_THRU_DT, DX_CD Grain grouped by PAYER, SRC_FILE_NM, DOS_THRU_YYYYMM"/>
  </r>
  <r>
    <x v="2"/>
    <s v="SGARMERC_PE202512_REMAO004.TXT"/>
    <x v="99"/>
    <x v="9"/>
    <n v="133"/>
    <n v="132656"/>
    <n v="0.1"/>
    <s v="DQS_MAO04_FILE_000_B"/>
    <s v="RECORD COUNT by MBR_ID, DOS_THRU_DT, DX_CD Grain grouped by PAYER, SRC_FILE_NM, DOS_THRU_YYYYMM"/>
  </r>
  <r>
    <x v="2"/>
    <s v="SGARMERC_PE202512_REMAO004.TXT"/>
    <x v="100"/>
    <x v="9"/>
    <n v="178"/>
    <n v="132656"/>
    <n v="0.13"/>
    <s v="DQS_MAO04_FILE_000_B"/>
    <s v="RECORD COUNT by MBR_ID, DOS_THRU_DT, DX_CD Grain grouped by PAYER, SRC_FILE_NM, DOS_THRU_YYYYMM"/>
  </r>
  <r>
    <x v="2"/>
    <s v="SGARMERC_PE202512_REMAO004.TXT"/>
    <x v="102"/>
    <x v="9"/>
    <n v="72"/>
    <n v="132656"/>
    <n v="0.05"/>
    <s v="DQS_MAO04_FILE_000_B"/>
    <s v="RECORD COUNT by MBR_ID, DOS_THRU_DT, DX_CD Grain grouped by PAYER, SRC_FILE_NM, DOS_THRU_YYYYMM"/>
  </r>
  <r>
    <x v="2"/>
    <s v="SGARMERC_PE202512_REMAO004.TXT"/>
    <x v="103"/>
    <x v="9"/>
    <n v="85"/>
    <n v="132656"/>
    <n v="0.06"/>
    <s v="DQS_MAO04_FILE_000_B"/>
    <s v="RECORD COUNT by MBR_ID, DOS_THRU_DT, DX_CD Grain grouped by PAYER, SRC_FILE_NM, DOS_THRU_YYYYMM"/>
  </r>
  <r>
    <x v="2"/>
    <s v="SGARMERC_PE202512_REMAO004.TXT"/>
    <x v="105"/>
    <x v="9"/>
    <n v="75"/>
    <n v="132656"/>
    <n v="0.06"/>
    <s v="DQS_MAO04_FILE_000_B"/>
    <s v="RECORD COUNT by MBR_ID, DOS_THRU_DT, DX_CD Grain grouped by PAYER, SRC_FILE_NM, DOS_THRU_YYYYMM"/>
  </r>
  <r>
    <x v="2"/>
    <s v="SGARMERC_PE202512_REMAO004.TXT"/>
    <x v="106"/>
    <x v="9"/>
    <n v="180"/>
    <n v="132656"/>
    <n v="0.14000000000000001"/>
    <s v="DQS_MAO04_FILE_000_B"/>
    <s v="RECORD COUNT by MBR_ID, DOS_THRU_DT, DX_CD Grain grouped by PAYER, SRC_FILE_NM, DOS_THRU_YYYYMM"/>
  </r>
  <r>
    <x v="2"/>
    <s v="SGARMERC_PE202512_REMAO004.TXT"/>
    <x v="107"/>
    <x v="9"/>
    <n v="256"/>
    <n v="132656"/>
    <n v="0.19"/>
    <s v="DQS_MAO04_FILE_000_B"/>
    <s v="RECORD COUNT by MBR_ID, DOS_THRU_DT, DX_CD Grain grouped by PAYER, SRC_FILE_NM, DOS_THRU_YYYYMM"/>
  </r>
  <r>
    <x v="2"/>
    <s v="SGARMERC_PE202512_REMAO004.TXT"/>
    <x v="108"/>
    <x v="9"/>
    <n v="294"/>
    <n v="132656"/>
    <n v="0.22"/>
    <s v="DQS_MAO04_FILE_000_B"/>
    <s v="RECORD COUNT by MBR_ID, DOS_THRU_DT, DX_CD Grain grouped by PAYER, SRC_FILE_NM, DOS_THRU_YYYYMM"/>
  </r>
  <r>
    <x v="2"/>
    <s v="SGARMERC_PE202512_REMAO004.TXT"/>
    <x v="109"/>
    <x v="9"/>
    <n v="657"/>
    <n v="132656"/>
    <n v="0.5"/>
    <s v="DQS_MAO04_FILE_000_B"/>
    <s v="RECORD COUNT by MBR_ID, DOS_THRU_DT, DX_CD Grain grouped by PAYER, SRC_FILE_NM, DOS_THRU_YYYYMM"/>
  </r>
  <r>
    <x v="2"/>
    <s v="SGARMERC_PE202512_REMAO004.TXT"/>
    <x v="110"/>
    <x v="11"/>
    <n v="3693"/>
    <n v="132656"/>
    <n v="2.78"/>
    <s v="DQS_MAO04_FILE_000_B"/>
    <s v="RECORD COUNT by MBR_ID, DOS_THRU_DT, DX_CD Grain grouped by PAYER, SRC_FILE_NM, DOS_THRU_YYYYMM"/>
  </r>
  <r>
    <x v="2"/>
    <s v="SGARMERC_PE202512_REMAO004.TXT"/>
    <x v="111"/>
    <x v="11"/>
    <n v="3620"/>
    <n v="132656"/>
    <n v="2.73"/>
    <s v="DQS_MAO04_FILE_000_B"/>
    <s v="RECORD COUNT by MBR_ID, DOS_THRU_DT, DX_CD Grain grouped by PAYER, SRC_FILE_NM, DOS_THRU_YYYYMM"/>
  </r>
  <r>
    <x v="2"/>
    <s v="SGARMERC_PE202512_REMAO004.TXT"/>
    <x v="112"/>
    <x v="11"/>
    <n v="4182"/>
    <n v="132656"/>
    <n v="3.15"/>
    <s v="DQS_MAO04_FILE_000_B"/>
    <s v="RECORD COUNT by MBR_ID, DOS_THRU_DT, DX_CD Grain grouped by PAYER, SRC_FILE_NM, DOS_THRU_YYYYMM"/>
  </r>
  <r>
    <x v="2"/>
    <s v="SGARMERC_PE202512_REMAO004.TXT"/>
    <x v="113"/>
    <x v="11"/>
    <n v="4307"/>
    <n v="132656"/>
    <n v="3.25"/>
    <s v="DQS_MAO04_FILE_000_B"/>
    <s v="RECORD COUNT by MBR_ID, DOS_THRU_DT, DX_CD Grain grouped by PAYER, SRC_FILE_NM, DOS_THRU_YYYYMM"/>
  </r>
  <r>
    <x v="2"/>
    <s v="SGARMERC_PE202512_REMAO004.TXT"/>
    <x v="114"/>
    <x v="11"/>
    <n v="4437"/>
    <n v="132656"/>
    <n v="3.34"/>
    <s v="DQS_MAO04_FILE_000_B"/>
    <s v="RECORD COUNT by MBR_ID, DOS_THRU_DT, DX_CD Grain grouped by PAYER, SRC_FILE_NM, DOS_THRU_YYYYMM"/>
  </r>
  <r>
    <x v="2"/>
    <s v="SGARMERC_PE202512_REMAO004.TXT"/>
    <x v="115"/>
    <x v="11"/>
    <n v="4804"/>
    <n v="132656"/>
    <n v="3.62"/>
    <s v="DQS_MAO04_FILE_000_B"/>
    <s v="RECORD COUNT by MBR_ID, DOS_THRU_DT, DX_CD Grain grouped by PAYER, SRC_FILE_NM, DOS_THRU_YYYYMM"/>
  </r>
  <r>
    <x v="2"/>
    <s v="SGARMERC_PE202512_REMAO004.TXT"/>
    <x v="116"/>
    <x v="11"/>
    <n v="7841"/>
    <n v="132656"/>
    <n v="5.91"/>
    <s v="DQS_MAO04_FILE_000_B"/>
    <s v="RECORD COUNT by MBR_ID, DOS_THRU_DT, DX_CD Grain grouped by PAYER, SRC_FILE_NM, DOS_THRU_YYYYMM"/>
  </r>
  <r>
    <x v="2"/>
    <s v="SGARMERC_PE202512_REMAO004.TXT"/>
    <x v="117"/>
    <x v="11"/>
    <n v="11926"/>
    <n v="132656"/>
    <n v="8.99"/>
    <s v="DQS_MAO04_FILE_000_B"/>
    <s v="RECORD COUNT by MBR_ID, DOS_THRU_DT, DX_CD Grain grouped by PAYER, SRC_FILE_NM, DOS_THRU_YYYYMM"/>
  </r>
  <r>
    <x v="2"/>
    <s v="SGARMERC_PE202512_REMAO004.TXT"/>
    <x v="118"/>
    <x v="11"/>
    <n v="49948"/>
    <n v="132656"/>
    <n v="37.65"/>
    <s v="DQS_MAO04_FILE_000_B"/>
    <s v="RECORD COUNT by MBR_ID, DOS_THRU_DT, DX_CD Grain grouped by PAYER, SRC_FILE_NM, DOS_THRU_YYYYMM"/>
  </r>
  <r>
    <x v="2"/>
    <s v="SGARMERC_PE202512_REMAO004.TXT"/>
    <x v="119"/>
    <x v="11"/>
    <n v="35530"/>
    <n v="132656"/>
    <n v="26.78"/>
    <s v="DQS_MAO04_FILE_000_B"/>
    <s v="RECORD COUNT by MBR_ID, DOS_THRU_DT, DX_CD Grain grouped by PAYER, SRC_FILE_NM, DOS_THRU_YYYYMM"/>
  </r>
  <r>
    <x v="2"/>
    <s v="SGARMERC_PE202601_REMAO004.TXT"/>
    <x v="58"/>
    <x v="6"/>
    <n v="3"/>
    <n v="114597"/>
    <n v="0"/>
    <s v="DQS_MAO04_FILE_000_B"/>
    <s v="RECORD COUNT by MBR_ID, DOS_THRU_DT, DX_CD Grain grouped by PAYER, SRC_FILE_NM, DOS_THRU_YYYYMM"/>
  </r>
  <r>
    <x v="2"/>
    <s v="SGARMERC_PE202601_REMAO004.TXT"/>
    <x v="65"/>
    <x v="7"/>
    <n v="1"/>
    <n v="114597"/>
    <n v="0"/>
    <s v="DQS_MAO04_FILE_000_B"/>
    <s v="RECORD COUNT by MBR_ID, DOS_THRU_DT, DX_CD Grain grouped by PAYER, SRC_FILE_NM, DOS_THRU_YYYYMM"/>
  </r>
  <r>
    <x v="2"/>
    <s v="SGARMERC_PE202601_REMAO004.TXT"/>
    <x v="78"/>
    <x v="8"/>
    <n v="1"/>
    <n v="114597"/>
    <n v="0"/>
    <s v="DQS_MAO04_FILE_000_B"/>
    <s v="RECORD COUNT by MBR_ID, DOS_THRU_DT, DX_CD Grain grouped by PAYER, SRC_FILE_NM, DOS_THRU_YYYYMM"/>
  </r>
  <r>
    <x v="2"/>
    <s v="SGARMERC_PE202601_REMAO004.TXT"/>
    <x v="79"/>
    <x v="8"/>
    <n v="2"/>
    <n v="114597"/>
    <n v="0"/>
    <s v="DQS_MAO04_FILE_000_B"/>
    <s v="RECORD COUNT by MBR_ID, DOS_THRU_DT, DX_CD Grain grouped by PAYER, SRC_FILE_NM, DOS_THRU_YYYYMM"/>
  </r>
  <r>
    <x v="2"/>
    <s v="SGARMERC_PE202601_REMAO004.TXT"/>
    <x v="80"/>
    <x v="8"/>
    <n v="2"/>
    <n v="114597"/>
    <n v="0"/>
    <s v="DQS_MAO04_FILE_000_B"/>
    <s v="RECORD COUNT by MBR_ID, DOS_THRU_DT, DX_CD Grain grouped by PAYER, SRC_FILE_NM, DOS_THRU_YYYYMM"/>
  </r>
  <r>
    <x v="2"/>
    <s v="SGARMERC_PE202601_REMAO004.TXT"/>
    <x v="82"/>
    <x v="8"/>
    <n v="2"/>
    <n v="114597"/>
    <n v="0"/>
    <s v="DQS_MAO04_FILE_000_B"/>
    <s v="RECORD COUNT by MBR_ID, DOS_THRU_DT, DX_CD Grain grouped by PAYER, SRC_FILE_NM, DOS_THRU_YYYYMM"/>
  </r>
  <r>
    <x v="2"/>
    <s v="SGARMERC_PE202601_REMAO004.TXT"/>
    <x v="83"/>
    <x v="8"/>
    <n v="2"/>
    <n v="114597"/>
    <n v="0"/>
    <s v="DQS_MAO04_FILE_000_B"/>
    <s v="RECORD COUNT by MBR_ID, DOS_THRU_DT, DX_CD Grain grouped by PAYER, SRC_FILE_NM, DOS_THRU_YYYYMM"/>
  </r>
  <r>
    <x v="2"/>
    <s v="SGARMERC_PE202601_REMAO004.TXT"/>
    <x v="85"/>
    <x v="8"/>
    <n v="14"/>
    <n v="114597"/>
    <n v="0.01"/>
    <s v="DQS_MAO04_FILE_000_B"/>
    <s v="RECORD COUNT by MBR_ID, DOS_THRU_DT, DX_CD Grain grouped by PAYER, SRC_FILE_NM, DOS_THRU_YYYYMM"/>
  </r>
  <r>
    <x v="2"/>
    <s v="SGARMERC_PE202601_REMAO004.TXT"/>
    <x v="86"/>
    <x v="8"/>
    <n v="25"/>
    <n v="114597"/>
    <n v="0.02"/>
    <s v="DQS_MAO04_FILE_000_B"/>
    <s v="RECORD COUNT by MBR_ID, DOS_THRU_DT, DX_CD Grain grouped by PAYER, SRC_FILE_NM, DOS_THRU_YYYYMM"/>
  </r>
  <r>
    <x v="2"/>
    <s v="SGARMERC_PE202601_REMAO004.TXT"/>
    <x v="88"/>
    <x v="8"/>
    <n v="36"/>
    <n v="114597"/>
    <n v="0.03"/>
    <s v="DQS_MAO04_FILE_000_B"/>
    <s v="RECORD COUNT by MBR_ID, DOS_THRU_DT, DX_CD Grain grouped by PAYER, SRC_FILE_NM, DOS_THRU_YYYYMM"/>
  </r>
  <r>
    <x v="2"/>
    <s v="SGARMERC_PE202601_REMAO004.TXT"/>
    <x v="89"/>
    <x v="9"/>
    <n v="103"/>
    <n v="114597"/>
    <n v="0.09"/>
    <s v="DQS_MAO04_FILE_000_B"/>
    <s v="RECORD COUNT by MBR_ID, DOS_THRU_DT, DX_CD Grain grouped by PAYER, SRC_FILE_NM, DOS_THRU_YYYYMM"/>
  </r>
  <r>
    <x v="2"/>
    <s v="SGARMERC_PE202601_REMAO004.TXT"/>
    <x v="97"/>
    <x v="9"/>
    <n v="83"/>
    <n v="114597"/>
    <n v="7.0000000000000007E-2"/>
    <s v="DQS_MAO04_FILE_000_B"/>
    <s v="RECORD COUNT by MBR_ID, DOS_THRU_DT, DX_CD Grain grouped by PAYER, SRC_FILE_NM, DOS_THRU_YYYYMM"/>
  </r>
  <r>
    <x v="2"/>
    <s v="SGARMERC_PE202601_REMAO004.TXT"/>
    <x v="98"/>
    <x v="9"/>
    <n v="172"/>
    <n v="114597"/>
    <n v="0.15"/>
    <s v="DQS_MAO04_FILE_000_B"/>
    <s v="RECORD COUNT by MBR_ID, DOS_THRU_DT, DX_CD Grain grouped by PAYER, SRC_FILE_NM, DOS_THRU_YYYYMM"/>
  </r>
  <r>
    <x v="2"/>
    <s v="SGARMERC_PE202601_REMAO004.TXT"/>
    <x v="99"/>
    <x v="9"/>
    <n v="116"/>
    <n v="114597"/>
    <n v="0.1"/>
    <s v="DQS_MAO04_FILE_000_B"/>
    <s v="RECORD COUNT by MBR_ID, DOS_THRU_DT, DX_CD Grain grouped by PAYER, SRC_FILE_NM, DOS_THRU_YYYYMM"/>
  </r>
  <r>
    <x v="2"/>
    <s v="SGARMERC_PE202601_REMAO004.TXT"/>
    <x v="100"/>
    <x v="9"/>
    <n v="99"/>
    <n v="114597"/>
    <n v="0.09"/>
    <s v="DQS_MAO04_FILE_000_B"/>
    <s v="RECORD COUNT by MBR_ID, DOS_THRU_DT, DX_CD Grain grouped by PAYER, SRC_FILE_NM, DOS_THRU_YYYYMM"/>
  </r>
  <r>
    <x v="2"/>
    <s v="SGARMERC_PE202601_REMAO004.TXT"/>
    <x v="102"/>
    <x v="9"/>
    <n v="98"/>
    <n v="114597"/>
    <n v="0.09"/>
    <s v="DQS_MAO04_FILE_000_B"/>
    <s v="RECORD COUNT by MBR_ID, DOS_THRU_DT, DX_CD Grain grouped by PAYER, SRC_FILE_NM, DOS_THRU_YYYYMM"/>
  </r>
  <r>
    <x v="2"/>
    <s v="SGARMERC_PE202601_REMAO004.TXT"/>
    <x v="103"/>
    <x v="9"/>
    <n v="138"/>
    <n v="114597"/>
    <n v="0.12"/>
    <s v="DQS_MAO04_FILE_000_B"/>
    <s v="RECORD COUNT by MBR_ID, DOS_THRU_DT, DX_CD Grain grouped by PAYER, SRC_FILE_NM, DOS_THRU_YYYYMM"/>
  </r>
  <r>
    <x v="2"/>
    <s v="SGARMERC_PE202601_REMAO004.TXT"/>
    <x v="105"/>
    <x v="9"/>
    <n v="143"/>
    <n v="114597"/>
    <n v="0.12"/>
    <s v="DQS_MAO04_FILE_000_B"/>
    <s v="RECORD COUNT by MBR_ID, DOS_THRU_DT, DX_CD Grain grouped by PAYER, SRC_FILE_NM, DOS_THRU_YYYYMM"/>
  </r>
  <r>
    <x v="2"/>
    <s v="SGARMERC_PE202601_REMAO004.TXT"/>
    <x v="106"/>
    <x v="9"/>
    <n v="195"/>
    <n v="114597"/>
    <n v="0.17"/>
    <s v="DQS_MAO04_FILE_000_B"/>
    <s v="RECORD COUNT by MBR_ID, DOS_THRU_DT, DX_CD Grain grouped by PAYER, SRC_FILE_NM, DOS_THRU_YYYYMM"/>
  </r>
  <r>
    <x v="2"/>
    <s v="SGARMERC_PE202601_REMAO004.TXT"/>
    <x v="107"/>
    <x v="9"/>
    <n v="229"/>
    <n v="114597"/>
    <n v="0.2"/>
    <s v="DQS_MAO04_FILE_000_B"/>
    <s v="RECORD COUNT by MBR_ID, DOS_THRU_DT, DX_CD Grain grouped by PAYER, SRC_FILE_NM, DOS_THRU_YYYYMM"/>
  </r>
  <r>
    <x v="2"/>
    <s v="SGARMERC_PE202601_REMAO004.TXT"/>
    <x v="108"/>
    <x v="9"/>
    <n v="207"/>
    <n v="114597"/>
    <n v="0.18"/>
    <s v="DQS_MAO04_FILE_000_B"/>
    <s v="RECORD COUNT by MBR_ID, DOS_THRU_DT, DX_CD Grain grouped by PAYER, SRC_FILE_NM, DOS_THRU_YYYYMM"/>
  </r>
  <r>
    <x v="2"/>
    <s v="SGARMERC_PE202601_REMAO004.TXT"/>
    <x v="109"/>
    <x v="9"/>
    <n v="419"/>
    <n v="114597"/>
    <n v="0.37"/>
    <s v="DQS_MAO04_FILE_000_B"/>
    <s v="RECORD COUNT by MBR_ID, DOS_THRU_DT, DX_CD Grain grouped by PAYER, SRC_FILE_NM, DOS_THRU_YYYYMM"/>
  </r>
  <r>
    <x v="2"/>
    <s v="SGARMERC_PE202601_REMAO004.TXT"/>
    <x v="110"/>
    <x v="11"/>
    <n v="231"/>
    <n v="114597"/>
    <n v="0.2"/>
    <s v="DQS_MAO04_FILE_000_B"/>
    <s v="RECORD COUNT by MBR_ID, DOS_THRU_DT, DX_CD Grain grouped by PAYER, SRC_FILE_NM, DOS_THRU_YYYYMM"/>
  </r>
  <r>
    <x v="2"/>
    <s v="SGARMERC_PE202601_REMAO004.TXT"/>
    <x v="111"/>
    <x v="11"/>
    <n v="500"/>
    <n v="114597"/>
    <n v="0.44"/>
    <s v="DQS_MAO04_FILE_000_B"/>
    <s v="RECORD COUNT by MBR_ID, DOS_THRU_DT, DX_CD Grain grouped by PAYER, SRC_FILE_NM, DOS_THRU_YYYYMM"/>
  </r>
  <r>
    <x v="2"/>
    <s v="SGARMERC_PE202601_REMAO004.TXT"/>
    <x v="112"/>
    <x v="11"/>
    <n v="748"/>
    <n v="114597"/>
    <n v="0.65"/>
    <s v="DQS_MAO04_FILE_000_B"/>
    <s v="RECORD COUNT by MBR_ID, DOS_THRU_DT, DX_CD Grain grouped by PAYER, SRC_FILE_NM, DOS_THRU_YYYYMM"/>
  </r>
  <r>
    <x v="2"/>
    <s v="SGARMERC_PE202601_REMAO004.TXT"/>
    <x v="113"/>
    <x v="11"/>
    <n v="901"/>
    <n v="114597"/>
    <n v="0.79"/>
    <s v="DQS_MAO04_FILE_000_B"/>
    <s v="RECORD COUNT by MBR_ID, DOS_THRU_DT, DX_CD Grain grouped by PAYER, SRC_FILE_NM, DOS_THRU_YYYYMM"/>
  </r>
  <r>
    <x v="2"/>
    <s v="SGARMERC_PE202601_REMAO004.TXT"/>
    <x v="114"/>
    <x v="11"/>
    <n v="1142"/>
    <n v="114597"/>
    <n v="1"/>
    <s v="DQS_MAO04_FILE_000_B"/>
    <s v="RECORD COUNT by MBR_ID, DOS_THRU_DT, DX_CD Grain grouped by PAYER, SRC_FILE_NM, DOS_THRU_YYYYMM"/>
  </r>
  <r>
    <x v="2"/>
    <s v="SGARMERC_PE202601_REMAO004.TXT"/>
    <x v="115"/>
    <x v="11"/>
    <n v="1596"/>
    <n v="114597"/>
    <n v="1.39"/>
    <s v="DQS_MAO04_FILE_000_B"/>
    <s v="RECORD COUNT by MBR_ID, DOS_THRU_DT, DX_CD Grain grouped by PAYER, SRC_FILE_NM, DOS_THRU_YYYYMM"/>
  </r>
  <r>
    <x v="2"/>
    <s v="SGARMERC_PE202601_REMAO004.TXT"/>
    <x v="116"/>
    <x v="11"/>
    <n v="2681"/>
    <n v="114597"/>
    <n v="2.34"/>
    <s v="DQS_MAO04_FILE_000_B"/>
    <s v="RECORD COUNT by MBR_ID, DOS_THRU_DT, DX_CD Grain grouped by PAYER, SRC_FILE_NM, DOS_THRU_YYYYMM"/>
  </r>
  <r>
    <x v="2"/>
    <s v="SGARMERC_PE202601_REMAO004.TXT"/>
    <x v="117"/>
    <x v="11"/>
    <n v="10646"/>
    <n v="114597"/>
    <n v="9.2899999999999991"/>
    <s v="DQS_MAO04_FILE_000_B"/>
    <s v="RECORD COUNT by MBR_ID, DOS_THRU_DT, DX_CD Grain grouped by PAYER, SRC_FILE_NM, DOS_THRU_YYYYMM"/>
  </r>
  <r>
    <x v="2"/>
    <s v="SGARMERC_PE202601_REMAO004.TXT"/>
    <x v="118"/>
    <x v="11"/>
    <n v="4891"/>
    <n v="114597"/>
    <n v="4.2699999999999996"/>
    <s v="DQS_MAO04_FILE_000_B"/>
    <s v="RECORD COUNT by MBR_ID, DOS_THRU_DT, DX_CD Grain grouped by PAYER, SRC_FILE_NM, DOS_THRU_YYYYMM"/>
  </r>
  <r>
    <x v="2"/>
    <s v="SGARMERC_PE202601_REMAO004.TXT"/>
    <x v="119"/>
    <x v="11"/>
    <n v="57888"/>
    <n v="114597"/>
    <n v="50.51"/>
    <s v="DQS_MAO04_FILE_000_B"/>
    <s v="RECORD COUNT by MBR_ID, DOS_THRU_DT, DX_CD Grain grouped by PAYER, SRC_FILE_NM, DOS_THRU_YYYYMM"/>
  </r>
  <r>
    <x v="2"/>
    <s v="SGARMERC_PE202601_REMAO004.TXT"/>
    <x v="120"/>
    <x v="11"/>
    <n v="31283"/>
    <n v="114597"/>
    <n v="27.3"/>
    <s v="DQS_MAO04_FILE_000_B"/>
    <s v="RECORD COUNT by MBR_ID, DOS_THRU_DT, DX_CD Grain grouped by PAYER, SRC_FILE_NM, DOS_THRU_YYYYMM"/>
  </r>
  <r>
    <x v="2"/>
    <s v="SGARMERC_PE202602_REMAO004.TXT"/>
    <x v="80"/>
    <x v="8"/>
    <n v="1"/>
    <n v="123750"/>
    <n v="0"/>
    <s v="DQS_MAO04_FILE_000_B"/>
    <s v="RECORD COUNT by MBR_ID, DOS_THRU_DT, DX_CD Grain grouped by PAYER, SRC_FILE_NM, DOS_THRU_YYYYMM"/>
  </r>
  <r>
    <x v="2"/>
    <s v="SGARMERC_PE202602_REMAO004.TXT"/>
    <x v="81"/>
    <x v="8"/>
    <n v="1"/>
    <n v="123750"/>
    <n v="0"/>
    <s v="DQS_MAO04_FILE_000_B"/>
    <s v="RECORD COUNT by MBR_ID, DOS_THRU_DT, DX_CD Grain grouped by PAYER, SRC_FILE_NM, DOS_THRU_YYYYMM"/>
  </r>
  <r>
    <x v="2"/>
    <s v="SGARMERC_PE202602_REMAO004.TXT"/>
    <x v="82"/>
    <x v="8"/>
    <n v="12"/>
    <n v="123750"/>
    <n v="0.01"/>
    <s v="DQS_MAO04_FILE_000_B"/>
    <s v="RECORD COUNT by MBR_ID, DOS_THRU_DT, DX_CD Grain grouped by PAYER, SRC_FILE_NM, DOS_THRU_YYYYMM"/>
  </r>
  <r>
    <x v="2"/>
    <s v="SGARMERC_PE202602_REMAO004.TXT"/>
    <x v="83"/>
    <x v="8"/>
    <n v="4"/>
    <n v="123750"/>
    <n v="0"/>
    <s v="DQS_MAO04_FILE_000_B"/>
    <s v="RECORD COUNT by MBR_ID, DOS_THRU_DT, DX_CD Grain grouped by PAYER, SRC_FILE_NM, DOS_THRU_YYYYMM"/>
  </r>
  <r>
    <x v="2"/>
    <s v="SGARMERC_PE202602_REMAO004.TXT"/>
    <x v="85"/>
    <x v="8"/>
    <n v="20"/>
    <n v="123750"/>
    <n v="0.02"/>
    <s v="DQS_MAO04_FILE_000_B"/>
    <s v="RECORD COUNT by MBR_ID, DOS_THRU_DT, DX_CD Grain grouped by PAYER, SRC_FILE_NM, DOS_THRU_YYYYMM"/>
  </r>
  <r>
    <x v="2"/>
    <s v="SGARMERC_PE202602_REMAO004.TXT"/>
    <x v="86"/>
    <x v="8"/>
    <n v="73"/>
    <n v="123750"/>
    <n v="0.06"/>
    <s v="DQS_MAO04_FILE_000_B"/>
    <s v="RECORD COUNT by MBR_ID, DOS_THRU_DT, DX_CD Grain grouped by PAYER, SRC_FILE_NM, DOS_THRU_YYYYMM"/>
  </r>
  <r>
    <x v="2"/>
    <s v="SGARMERC_PE202602_REMAO004.TXT"/>
    <x v="87"/>
    <x v="8"/>
    <n v="17"/>
    <n v="123750"/>
    <n v="0.01"/>
    <s v="DQS_MAO04_FILE_000_B"/>
    <s v="RECORD COUNT by MBR_ID, DOS_THRU_DT, DX_CD Grain grouped by PAYER, SRC_FILE_NM, DOS_THRU_YYYYMM"/>
  </r>
  <r>
    <x v="2"/>
    <s v="SGARMERC_PE202602_REMAO004.TXT"/>
    <x v="88"/>
    <x v="8"/>
    <n v="30"/>
    <n v="123750"/>
    <n v="0.02"/>
    <s v="DQS_MAO04_FILE_000_B"/>
    <s v="RECORD COUNT by MBR_ID, DOS_THRU_DT, DX_CD Grain grouped by PAYER, SRC_FILE_NM, DOS_THRU_YYYYMM"/>
  </r>
  <r>
    <x v="2"/>
    <s v="SGARMERC_PE202602_REMAO004.TXT"/>
    <x v="89"/>
    <x v="9"/>
    <n v="158"/>
    <n v="123750"/>
    <n v="0.13"/>
    <s v="DQS_MAO04_FILE_000_B"/>
    <s v="RECORD COUNT by MBR_ID, DOS_THRU_DT, DX_CD Grain grouped by PAYER, SRC_FILE_NM, DOS_THRU_YYYYMM"/>
  </r>
  <r>
    <x v="2"/>
    <s v="SGARMERC_PE202602_REMAO004.TXT"/>
    <x v="97"/>
    <x v="9"/>
    <n v="163"/>
    <n v="123750"/>
    <n v="0.13"/>
    <s v="DQS_MAO04_FILE_000_B"/>
    <s v="RECORD COUNT by MBR_ID, DOS_THRU_DT, DX_CD Grain grouped by PAYER, SRC_FILE_NM, DOS_THRU_YYYYMM"/>
  </r>
  <r>
    <x v="2"/>
    <s v="SGARMERC_PE202602_REMAO004.TXT"/>
    <x v="98"/>
    <x v="9"/>
    <n v="231"/>
    <n v="123750"/>
    <n v="0.19"/>
    <s v="DQS_MAO04_FILE_000_B"/>
    <s v="RECORD COUNT by MBR_ID, DOS_THRU_DT, DX_CD Grain grouped by PAYER, SRC_FILE_NM, DOS_THRU_YYYYMM"/>
  </r>
  <r>
    <x v="2"/>
    <s v="SGARMERC_PE202602_REMAO004.TXT"/>
    <x v="99"/>
    <x v="9"/>
    <n v="106"/>
    <n v="123750"/>
    <n v="0.09"/>
    <s v="DQS_MAO04_FILE_000_B"/>
    <s v="RECORD COUNT by MBR_ID, DOS_THRU_DT, DX_CD Grain grouped by PAYER, SRC_FILE_NM, DOS_THRU_YYYYMM"/>
  </r>
  <r>
    <x v="2"/>
    <s v="SGARMERC_PE202602_REMAO004.TXT"/>
    <x v="100"/>
    <x v="9"/>
    <n v="313"/>
    <n v="123750"/>
    <n v="0.25"/>
    <s v="DQS_MAO04_FILE_000_B"/>
    <s v="RECORD COUNT by MBR_ID, DOS_THRU_DT, DX_CD Grain grouped by PAYER, SRC_FILE_NM, DOS_THRU_YYYYMM"/>
  </r>
  <r>
    <x v="2"/>
    <s v="SGARMERC_PE202602_REMAO004.TXT"/>
    <x v="102"/>
    <x v="9"/>
    <n v="150"/>
    <n v="123750"/>
    <n v="0.12"/>
    <s v="DQS_MAO04_FILE_000_B"/>
    <s v="RECORD COUNT by MBR_ID, DOS_THRU_DT, DX_CD Grain grouped by PAYER, SRC_FILE_NM, DOS_THRU_YYYYMM"/>
  </r>
  <r>
    <x v="2"/>
    <s v="SGARMERC_PE202602_REMAO004.TXT"/>
    <x v="103"/>
    <x v="9"/>
    <n v="178"/>
    <n v="123750"/>
    <n v="0.14000000000000001"/>
    <s v="DQS_MAO04_FILE_000_B"/>
    <s v="RECORD COUNT by MBR_ID, DOS_THRU_DT, DX_CD Grain grouped by PAYER, SRC_FILE_NM, DOS_THRU_YYYYMM"/>
  </r>
  <r>
    <x v="2"/>
    <s v="SGARMERC_PE202602_REMAO004.TXT"/>
    <x v="105"/>
    <x v="9"/>
    <n v="209"/>
    <n v="123750"/>
    <n v="0.17"/>
    <s v="DQS_MAO04_FILE_000_B"/>
    <s v="RECORD COUNT by MBR_ID, DOS_THRU_DT, DX_CD Grain grouped by PAYER, SRC_FILE_NM, DOS_THRU_YYYYMM"/>
  </r>
  <r>
    <x v="2"/>
    <s v="SGARMERC_PE202602_REMAO004.TXT"/>
    <x v="106"/>
    <x v="9"/>
    <n v="189"/>
    <n v="123750"/>
    <n v="0.15"/>
    <s v="DQS_MAO04_FILE_000_B"/>
    <s v="RECORD COUNT by MBR_ID, DOS_THRU_DT, DX_CD Grain grouped by PAYER, SRC_FILE_NM, DOS_THRU_YYYYMM"/>
  </r>
  <r>
    <x v="2"/>
    <s v="SGARMERC_PE202602_REMAO004.TXT"/>
    <x v="107"/>
    <x v="9"/>
    <n v="262"/>
    <n v="123750"/>
    <n v="0.21"/>
    <s v="DQS_MAO04_FILE_000_B"/>
    <s v="RECORD COUNT by MBR_ID, DOS_THRU_DT, DX_CD Grain grouped by PAYER, SRC_FILE_NM, DOS_THRU_YYYYMM"/>
  </r>
  <r>
    <x v="2"/>
    <s v="SGARMERC_PE202602_REMAO004.TXT"/>
    <x v="108"/>
    <x v="9"/>
    <n v="214"/>
    <n v="123750"/>
    <n v="0.17"/>
    <s v="DQS_MAO04_FILE_000_B"/>
    <s v="RECORD COUNT by MBR_ID, DOS_THRU_DT, DX_CD Grain grouped by PAYER, SRC_FILE_NM, DOS_THRU_YYYYMM"/>
  </r>
  <r>
    <x v="2"/>
    <s v="SGARMERC_PE202602_REMAO004.TXT"/>
    <x v="109"/>
    <x v="9"/>
    <n v="217"/>
    <n v="123750"/>
    <n v="0.18"/>
    <s v="DQS_MAO04_FILE_000_B"/>
    <s v="RECORD COUNT by MBR_ID, DOS_THRU_DT, DX_CD Grain grouped by PAYER, SRC_FILE_NM, DOS_THRU_YYYYMM"/>
  </r>
  <r>
    <x v="2"/>
    <s v="SGARMERC_PE202602_REMAO004.TXT"/>
    <x v="110"/>
    <x v="11"/>
    <n v="498"/>
    <n v="123750"/>
    <n v="0.4"/>
    <s v="DQS_MAO04_FILE_000_B"/>
    <s v="RECORD COUNT by MBR_ID, DOS_THRU_DT, DX_CD Grain grouped by PAYER, SRC_FILE_NM, DOS_THRU_YYYYMM"/>
  </r>
  <r>
    <x v="2"/>
    <s v="SGARMERC_PE202602_REMAO004.TXT"/>
    <x v="111"/>
    <x v="11"/>
    <n v="515"/>
    <n v="123750"/>
    <n v="0.42"/>
    <s v="DQS_MAO04_FILE_000_B"/>
    <s v="RECORD COUNT by MBR_ID, DOS_THRU_DT, DX_CD Grain grouped by PAYER, SRC_FILE_NM, DOS_THRU_YYYYMM"/>
  </r>
  <r>
    <x v="2"/>
    <s v="SGARMERC_PE202602_REMAO004.TXT"/>
    <x v="112"/>
    <x v="11"/>
    <n v="883"/>
    <n v="123750"/>
    <n v="0.71"/>
    <s v="DQS_MAO04_FILE_000_B"/>
    <s v="RECORD COUNT by MBR_ID, DOS_THRU_DT, DX_CD Grain grouped by PAYER, SRC_FILE_NM, DOS_THRU_YYYYMM"/>
  </r>
  <r>
    <x v="2"/>
    <s v="SGARMERC_PE202602_REMAO004.TXT"/>
    <x v="113"/>
    <x v="11"/>
    <n v="1351"/>
    <n v="123750"/>
    <n v="1.0900000000000001"/>
    <s v="DQS_MAO04_FILE_000_B"/>
    <s v="RECORD COUNT by MBR_ID, DOS_THRU_DT, DX_CD Grain grouped by PAYER, SRC_FILE_NM, DOS_THRU_YYYYMM"/>
  </r>
  <r>
    <x v="2"/>
    <s v="SGARMERC_PE202602_REMAO004.TXT"/>
    <x v="114"/>
    <x v="11"/>
    <n v="1490"/>
    <n v="123750"/>
    <n v="1.2"/>
    <s v="DQS_MAO04_FILE_000_B"/>
    <s v="RECORD COUNT by MBR_ID, DOS_THRU_DT, DX_CD Grain grouped by PAYER, SRC_FILE_NM, DOS_THRU_YYYYMM"/>
  </r>
  <r>
    <x v="2"/>
    <s v="SGARMERC_PE202602_REMAO004.TXT"/>
    <x v="115"/>
    <x v="11"/>
    <n v="1687"/>
    <n v="123750"/>
    <n v="1.36"/>
    <s v="DQS_MAO04_FILE_000_B"/>
    <s v="RECORD COUNT by MBR_ID, DOS_THRU_DT, DX_CD Grain grouped by PAYER, SRC_FILE_NM, DOS_THRU_YYYYMM"/>
  </r>
  <r>
    <x v="2"/>
    <s v="SGARMERC_PE202602_REMAO004.TXT"/>
    <x v="116"/>
    <x v="11"/>
    <n v="1617"/>
    <n v="123750"/>
    <n v="1.31"/>
    <s v="DQS_MAO04_FILE_000_B"/>
    <s v="RECORD COUNT by MBR_ID, DOS_THRU_DT, DX_CD Grain grouped by PAYER, SRC_FILE_NM, DOS_THRU_YYYYMM"/>
  </r>
  <r>
    <x v="2"/>
    <s v="SGARMERC_PE202602_REMAO004.TXT"/>
    <x v="117"/>
    <x v="11"/>
    <n v="2204"/>
    <n v="123750"/>
    <n v="1.78"/>
    <s v="DQS_MAO04_FILE_000_B"/>
    <s v="RECORD COUNT by MBR_ID, DOS_THRU_DT, DX_CD Grain grouped by PAYER, SRC_FILE_NM, DOS_THRU_YYYYMM"/>
  </r>
  <r>
    <x v="2"/>
    <s v="SGARMERC_PE202602_REMAO004.TXT"/>
    <x v="118"/>
    <x v="11"/>
    <n v="6497"/>
    <n v="123750"/>
    <n v="5.25"/>
    <s v="DQS_MAO04_FILE_000_B"/>
    <s v="RECORD COUNT by MBR_ID, DOS_THRU_DT, DX_CD Grain grouped by PAYER, SRC_FILE_NM, DOS_THRU_YYYYMM"/>
  </r>
  <r>
    <x v="2"/>
    <s v="SGARMERC_PE202602_REMAO004.TXT"/>
    <x v="119"/>
    <x v="11"/>
    <n v="12261"/>
    <n v="123750"/>
    <n v="9.91"/>
    <s v="DQS_MAO04_FILE_000_B"/>
    <s v="RECORD COUNT by MBR_ID, DOS_THRU_DT, DX_CD Grain grouped by PAYER, SRC_FILE_NM, DOS_THRU_YYYYMM"/>
  </r>
  <r>
    <x v="2"/>
    <s v="SGARMERC_PE202602_REMAO004.TXT"/>
    <x v="120"/>
    <x v="11"/>
    <n v="48965"/>
    <n v="123750"/>
    <n v="39.57"/>
    <s v="DQS_MAO04_FILE_000_B"/>
    <s v="RECORD COUNT by MBR_ID, DOS_THRU_DT, DX_CD Grain grouped by PAYER, SRC_FILE_NM, DOS_THRU_YYYYMM"/>
  </r>
  <r>
    <x v="2"/>
    <s v="SGARMERC_PE202602_REMAO004.TXT"/>
    <x v="121"/>
    <x v="11"/>
    <n v="43234"/>
    <n v="123750"/>
    <n v="34.94"/>
    <s v="DQS_MAO04_FILE_000_B"/>
    <s v="RECORD COUNT by MBR_ID, DOS_THRU_DT, DX_CD Grain grouped by PAYER, SRC_FILE_NM, DOS_THRU_YYYYMM"/>
  </r>
  <r>
    <x v="2"/>
    <s v="SGARMERC_PE202603_REMAO004.TXT"/>
    <x v="78"/>
    <x v="8"/>
    <n v="29"/>
    <n v="108027"/>
    <n v="0.03"/>
    <s v="DQS_MAO04_FILE_000_B"/>
    <s v="RECORD COUNT by MBR_ID, DOS_THRU_DT, DX_CD Grain grouped by PAYER, SRC_FILE_NM, DOS_THRU_YYYYMM"/>
  </r>
  <r>
    <x v="2"/>
    <s v="SGARMERC_PE202603_REMAO004.TXT"/>
    <x v="82"/>
    <x v="8"/>
    <n v="18"/>
    <n v="108027"/>
    <n v="0.02"/>
    <s v="DQS_MAO04_FILE_000_B"/>
    <s v="RECORD COUNT by MBR_ID, DOS_THRU_DT, DX_CD Grain grouped by PAYER, SRC_FILE_NM, DOS_THRU_YYYYMM"/>
  </r>
  <r>
    <x v="2"/>
    <s v="SGARMERC_PE202603_REMAO004.TXT"/>
    <x v="83"/>
    <x v="8"/>
    <n v="6"/>
    <n v="108027"/>
    <n v="0.01"/>
    <s v="DQS_MAO04_FILE_000_B"/>
    <s v="RECORD COUNT by MBR_ID, DOS_THRU_DT, DX_CD Grain grouped by PAYER, SRC_FILE_NM, DOS_THRU_YYYYMM"/>
  </r>
  <r>
    <x v="2"/>
    <s v="SGARMERC_PE202603_REMAO004.TXT"/>
    <x v="84"/>
    <x v="8"/>
    <n v="17"/>
    <n v="108027"/>
    <n v="0.02"/>
    <s v="DQS_MAO04_FILE_000_B"/>
    <s v="RECORD COUNT by MBR_ID, DOS_THRU_DT, DX_CD Grain grouped by PAYER, SRC_FILE_NM, DOS_THRU_YYYYMM"/>
  </r>
  <r>
    <x v="2"/>
    <s v="SGARMERC_PE202603_REMAO004.TXT"/>
    <x v="86"/>
    <x v="8"/>
    <n v="12"/>
    <n v="108027"/>
    <n v="0.01"/>
    <s v="DQS_MAO04_FILE_000_B"/>
    <s v="RECORD COUNT by MBR_ID, DOS_THRU_DT, DX_CD Grain grouped by PAYER, SRC_FILE_NM, DOS_THRU_YYYYMM"/>
  </r>
  <r>
    <x v="2"/>
    <s v="SGARMERC_PE202603_REMAO004.TXT"/>
    <x v="87"/>
    <x v="8"/>
    <n v="19"/>
    <n v="108027"/>
    <n v="0.02"/>
    <s v="DQS_MAO04_FILE_000_B"/>
    <s v="RECORD COUNT by MBR_ID, DOS_THRU_DT, DX_CD Grain grouped by PAYER, SRC_FILE_NM, DOS_THRU_YYYYMM"/>
  </r>
  <r>
    <x v="2"/>
    <s v="SGARMERC_PE202603_REMAO004.TXT"/>
    <x v="89"/>
    <x v="9"/>
    <n v="95"/>
    <n v="108027"/>
    <n v="0.09"/>
    <s v="DQS_MAO04_FILE_000_B"/>
    <s v="RECORD COUNT by MBR_ID, DOS_THRU_DT, DX_CD Grain grouped by PAYER, SRC_FILE_NM, DOS_THRU_YYYYMM"/>
  </r>
  <r>
    <x v="2"/>
    <s v="SGARMERC_PE202603_REMAO004.TXT"/>
    <x v="97"/>
    <x v="9"/>
    <n v="49"/>
    <n v="108027"/>
    <n v="0.05"/>
    <s v="DQS_MAO04_FILE_000_B"/>
    <s v="RECORD COUNT by MBR_ID, DOS_THRU_DT, DX_CD Grain grouped by PAYER, SRC_FILE_NM, DOS_THRU_YYYYMM"/>
  </r>
  <r>
    <x v="2"/>
    <s v="SGARMERC_PE202603_REMAO004.TXT"/>
    <x v="98"/>
    <x v="9"/>
    <n v="56"/>
    <n v="108027"/>
    <n v="0.05"/>
    <s v="DQS_MAO04_FILE_000_B"/>
    <s v="RECORD COUNT by MBR_ID, DOS_THRU_DT, DX_CD Grain grouped by PAYER, SRC_FILE_NM, DOS_THRU_YYYYMM"/>
  </r>
  <r>
    <x v="2"/>
    <s v="SGARMERC_PE202603_REMAO004.TXT"/>
    <x v="99"/>
    <x v="9"/>
    <n v="51"/>
    <n v="108027"/>
    <n v="0.05"/>
    <s v="DQS_MAO04_FILE_000_B"/>
    <s v="RECORD COUNT by MBR_ID, DOS_THRU_DT, DX_CD Grain grouped by PAYER, SRC_FILE_NM, DOS_THRU_YYYYMM"/>
  </r>
  <r>
    <x v="2"/>
    <s v="SGARMERC_PE202603_REMAO004.TXT"/>
    <x v="100"/>
    <x v="9"/>
    <n v="85"/>
    <n v="108027"/>
    <n v="0.08"/>
    <s v="DQS_MAO04_FILE_000_B"/>
    <s v="RECORD COUNT by MBR_ID, DOS_THRU_DT, DX_CD Grain grouped by PAYER, SRC_FILE_NM, DOS_THRU_YYYYMM"/>
  </r>
  <r>
    <x v="2"/>
    <s v="SGARMERC_PE202603_REMAO004.TXT"/>
    <x v="102"/>
    <x v="9"/>
    <n v="121"/>
    <n v="108027"/>
    <n v="0.11"/>
    <s v="DQS_MAO04_FILE_000_B"/>
    <s v="RECORD COUNT by MBR_ID, DOS_THRU_DT, DX_CD Grain grouped by PAYER, SRC_FILE_NM, DOS_THRU_YYYYMM"/>
  </r>
  <r>
    <x v="2"/>
    <s v="SGARMERC_PE202603_REMAO004.TXT"/>
    <x v="103"/>
    <x v="9"/>
    <n v="40"/>
    <n v="108027"/>
    <n v="0.04"/>
    <s v="DQS_MAO04_FILE_000_B"/>
    <s v="RECORD COUNT by MBR_ID, DOS_THRU_DT, DX_CD Grain grouped by PAYER, SRC_FILE_NM, DOS_THRU_YYYYMM"/>
  </r>
  <r>
    <x v="2"/>
    <s v="SGARMERC_PE202603_REMAO004.TXT"/>
    <x v="105"/>
    <x v="9"/>
    <n v="55"/>
    <n v="108027"/>
    <n v="0.05"/>
    <s v="DQS_MAO04_FILE_000_B"/>
    <s v="RECORD COUNT by MBR_ID, DOS_THRU_DT, DX_CD Grain grouped by PAYER, SRC_FILE_NM, DOS_THRU_YYYYMM"/>
  </r>
  <r>
    <x v="2"/>
    <s v="SGARMERC_PE202603_REMAO004.TXT"/>
    <x v="106"/>
    <x v="9"/>
    <n v="72"/>
    <n v="108027"/>
    <n v="7.0000000000000007E-2"/>
    <s v="DQS_MAO04_FILE_000_B"/>
    <s v="RECORD COUNT by MBR_ID, DOS_THRU_DT, DX_CD Grain grouped by PAYER, SRC_FILE_NM, DOS_THRU_YYYYMM"/>
  </r>
  <r>
    <x v="2"/>
    <s v="SGARMERC_PE202603_REMAO004.TXT"/>
    <x v="107"/>
    <x v="9"/>
    <n v="137"/>
    <n v="108027"/>
    <n v="0.13"/>
    <s v="DQS_MAO04_FILE_000_B"/>
    <s v="RECORD COUNT by MBR_ID, DOS_THRU_DT, DX_CD Grain grouped by PAYER, SRC_FILE_NM, DOS_THRU_YYYYMM"/>
  </r>
  <r>
    <x v="2"/>
    <s v="SGARMERC_PE202603_REMAO004.TXT"/>
    <x v="108"/>
    <x v="9"/>
    <n v="93"/>
    <n v="108027"/>
    <n v="0.09"/>
    <s v="DQS_MAO04_FILE_000_B"/>
    <s v="RECORD COUNT by MBR_ID, DOS_THRU_DT, DX_CD Grain grouped by PAYER, SRC_FILE_NM, DOS_THRU_YYYYMM"/>
  </r>
  <r>
    <x v="2"/>
    <s v="SGARMERC_PE202603_REMAO004.TXT"/>
    <x v="109"/>
    <x v="9"/>
    <n v="153"/>
    <n v="108027"/>
    <n v="0.14000000000000001"/>
    <s v="DQS_MAO04_FILE_000_B"/>
    <s v="RECORD COUNT by MBR_ID, DOS_THRU_DT, DX_CD Grain grouped by PAYER, SRC_FILE_NM, DOS_THRU_YYYYMM"/>
  </r>
  <r>
    <x v="2"/>
    <s v="SGARMERC_PE202603_REMAO004.TXT"/>
    <x v="110"/>
    <x v="11"/>
    <n v="320"/>
    <n v="108027"/>
    <n v="0.3"/>
    <s v="DQS_MAO04_FILE_000_B"/>
    <s v="RECORD COUNT by MBR_ID, DOS_THRU_DT, DX_CD Grain grouped by PAYER, SRC_FILE_NM, DOS_THRU_YYYYMM"/>
  </r>
  <r>
    <x v="2"/>
    <s v="SGARMERC_PE202603_REMAO004.TXT"/>
    <x v="111"/>
    <x v="11"/>
    <n v="492"/>
    <n v="108027"/>
    <n v="0.46"/>
    <s v="DQS_MAO04_FILE_000_B"/>
    <s v="RECORD COUNT by MBR_ID, DOS_THRU_DT, DX_CD Grain grouped by PAYER, SRC_FILE_NM, DOS_THRU_YYYYMM"/>
  </r>
  <r>
    <x v="2"/>
    <s v="SGARMERC_PE202603_REMAO004.TXT"/>
    <x v="112"/>
    <x v="11"/>
    <n v="667"/>
    <n v="108027"/>
    <n v="0.62"/>
    <s v="DQS_MAO04_FILE_000_B"/>
    <s v="RECORD COUNT by MBR_ID, DOS_THRU_DT, DX_CD Grain grouped by PAYER, SRC_FILE_NM, DOS_THRU_YYYYMM"/>
  </r>
  <r>
    <x v="2"/>
    <s v="SGARMERC_PE202603_REMAO004.TXT"/>
    <x v="113"/>
    <x v="11"/>
    <n v="741"/>
    <n v="108027"/>
    <n v="0.69"/>
    <s v="DQS_MAO04_FILE_000_B"/>
    <s v="RECORD COUNT by MBR_ID, DOS_THRU_DT, DX_CD Grain grouped by PAYER, SRC_FILE_NM, DOS_THRU_YYYYMM"/>
  </r>
  <r>
    <x v="2"/>
    <s v="SGARMERC_PE202603_REMAO004.TXT"/>
    <x v="114"/>
    <x v="11"/>
    <n v="1281"/>
    <n v="108027"/>
    <n v="1.19"/>
    <s v="DQS_MAO04_FILE_000_B"/>
    <s v="RECORD COUNT by MBR_ID, DOS_THRU_DT, DX_CD Grain grouped by PAYER, SRC_FILE_NM, DOS_THRU_YYYYMM"/>
  </r>
  <r>
    <x v="2"/>
    <s v="SGARMERC_PE202603_REMAO004.TXT"/>
    <x v="115"/>
    <x v="11"/>
    <n v="1781"/>
    <n v="108027"/>
    <n v="1.65"/>
    <s v="DQS_MAO04_FILE_000_B"/>
    <s v="RECORD COUNT by MBR_ID, DOS_THRU_DT, DX_CD Grain grouped by PAYER, SRC_FILE_NM, DOS_THRU_YYYYMM"/>
  </r>
  <r>
    <x v="2"/>
    <s v="SGARMERC_PE202603_REMAO004.TXT"/>
    <x v="116"/>
    <x v="11"/>
    <n v="1628"/>
    <n v="108027"/>
    <n v="1.51"/>
    <s v="DQS_MAO04_FILE_000_B"/>
    <s v="RECORD COUNT by MBR_ID, DOS_THRU_DT, DX_CD Grain grouped by PAYER, SRC_FILE_NM, DOS_THRU_YYYYMM"/>
  </r>
  <r>
    <x v="2"/>
    <s v="SGARMERC_PE202603_REMAO004.TXT"/>
    <x v="117"/>
    <x v="11"/>
    <n v="1191"/>
    <n v="108027"/>
    <n v="1.1000000000000001"/>
    <s v="DQS_MAO04_FILE_000_B"/>
    <s v="RECORD COUNT by MBR_ID, DOS_THRU_DT, DX_CD Grain grouped by PAYER, SRC_FILE_NM, DOS_THRU_YYYYMM"/>
  </r>
  <r>
    <x v="2"/>
    <s v="SGARMERC_PE202603_REMAO004.TXT"/>
    <x v="118"/>
    <x v="11"/>
    <n v="2666"/>
    <n v="108027"/>
    <n v="2.4700000000000002"/>
    <s v="DQS_MAO04_FILE_000_B"/>
    <s v="RECORD COUNT by MBR_ID, DOS_THRU_DT, DX_CD Grain grouped by PAYER, SRC_FILE_NM, DOS_THRU_YYYYMM"/>
  </r>
  <r>
    <x v="2"/>
    <s v="SGARMERC_PE202603_REMAO004.TXT"/>
    <x v="119"/>
    <x v="11"/>
    <n v="3065"/>
    <n v="108027"/>
    <n v="2.84"/>
    <s v="DQS_MAO04_FILE_000_B"/>
    <s v="RECORD COUNT by MBR_ID, DOS_THRU_DT, DX_CD Grain grouped by PAYER, SRC_FILE_NM, DOS_THRU_YYYYMM"/>
  </r>
  <r>
    <x v="2"/>
    <s v="SGARMERC_PE202603_REMAO004.TXT"/>
    <x v="120"/>
    <x v="11"/>
    <n v="4410"/>
    <n v="108027"/>
    <n v="4.08"/>
    <s v="DQS_MAO04_FILE_000_B"/>
    <s v="RECORD COUNT by MBR_ID, DOS_THRU_DT, DX_CD Grain grouped by PAYER, SRC_FILE_NM, DOS_THRU_YYYYMM"/>
  </r>
  <r>
    <x v="2"/>
    <s v="SGARMERC_PE202603_REMAO004.TXT"/>
    <x v="121"/>
    <x v="11"/>
    <n v="42408"/>
    <n v="108027"/>
    <n v="39.26"/>
    <s v="DQS_MAO04_FILE_000_B"/>
    <s v="RECORD COUNT by MBR_ID, DOS_THRU_DT, DX_CD Grain grouped by PAYER, SRC_FILE_NM, DOS_THRU_YYYYMM"/>
  </r>
  <r>
    <x v="2"/>
    <s v="SGARMERC_PE202603_REMAO004.TXT"/>
    <x v="122"/>
    <x v="12"/>
    <n v="46269"/>
    <n v="108027"/>
    <n v="42.83"/>
    <s v="DQS_MAO04_FILE_000_B"/>
    <s v="RECORD COUNT by MBR_ID, DOS_THRU_DT, DX_CD Grain grouped by PAYER, SRC_FILE_NM, DOS_THRU_YYYYMM"/>
  </r>
  <r>
    <x v="2"/>
    <s v="SGARMERC_PE202604_REMAO004.TXT"/>
    <x v="45"/>
    <x v="5"/>
    <n v="12"/>
    <n v="101264"/>
    <n v="0.01"/>
    <s v="DQS_MAO04_FILE_000_B"/>
    <s v="RECORD COUNT by MBR_ID, DOS_THRU_DT, DX_CD Grain grouped by PAYER, SRC_FILE_NM, DOS_THRU_YYYYMM"/>
  </r>
  <r>
    <x v="2"/>
    <s v="SGARMERC_PE202604_REMAO004.TXT"/>
    <x v="74"/>
    <x v="7"/>
    <n v="5"/>
    <n v="101264"/>
    <n v="0"/>
    <s v="DQS_MAO04_FILE_000_B"/>
    <s v="RECORD COUNT by MBR_ID, DOS_THRU_DT, DX_CD Grain grouped by PAYER, SRC_FILE_NM, DOS_THRU_YYYYMM"/>
  </r>
  <r>
    <x v="2"/>
    <s v="SGARMERC_PE202604_REMAO004.TXT"/>
    <x v="76"/>
    <x v="7"/>
    <n v="27"/>
    <n v="101264"/>
    <n v="0.03"/>
    <s v="DQS_MAO04_FILE_000_B"/>
    <s v="RECORD COUNT by MBR_ID, DOS_THRU_DT, DX_CD Grain grouped by PAYER, SRC_FILE_NM, DOS_THRU_YYYYMM"/>
  </r>
  <r>
    <x v="2"/>
    <s v="SGARMERC_PE202604_REMAO004.TXT"/>
    <x v="81"/>
    <x v="8"/>
    <n v="1"/>
    <n v="101264"/>
    <n v="0"/>
    <s v="DQS_MAO04_FILE_000_B"/>
    <s v="RECORD COUNT by MBR_ID, DOS_THRU_DT, DX_CD Grain grouped by PAYER, SRC_FILE_NM, DOS_THRU_YYYYMM"/>
  </r>
  <r>
    <x v="2"/>
    <s v="SGARMERC_PE202604_REMAO004.TXT"/>
    <x v="83"/>
    <x v="8"/>
    <n v="6"/>
    <n v="101264"/>
    <n v="0.01"/>
    <s v="DQS_MAO04_FILE_000_B"/>
    <s v="RECORD COUNT by MBR_ID, DOS_THRU_DT, DX_CD Grain grouped by PAYER, SRC_FILE_NM, DOS_THRU_YYYYMM"/>
  </r>
  <r>
    <x v="2"/>
    <s v="SGARMERC_PE202604_REMAO004.TXT"/>
    <x v="84"/>
    <x v="8"/>
    <n v="1"/>
    <n v="101264"/>
    <n v="0"/>
    <s v="DQS_MAO04_FILE_000_B"/>
    <s v="RECORD COUNT by MBR_ID, DOS_THRU_DT, DX_CD Grain grouped by PAYER, SRC_FILE_NM, DOS_THRU_YYYYMM"/>
  </r>
  <r>
    <x v="2"/>
    <s v="SGARMERC_PE202604_REMAO004.TXT"/>
    <x v="88"/>
    <x v="8"/>
    <n v="7"/>
    <n v="101264"/>
    <n v="0.01"/>
    <s v="DQS_MAO04_FILE_000_B"/>
    <s v="RECORD COUNT by MBR_ID, DOS_THRU_DT, DX_CD Grain grouped by PAYER, SRC_FILE_NM, DOS_THRU_YYYYMM"/>
  </r>
  <r>
    <x v="2"/>
    <s v="SGARMERC_PE202604_REMAO004.TXT"/>
    <x v="89"/>
    <x v="9"/>
    <n v="3"/>
    <n v="101264"/>
    <n v="0"/>
    <s v="DQS_MAO04_FILE_000_B"/>
    <s v="RECORD COUNT by MBR_ID, DOS_THRU_DT, DX_CD Grain grouped by PAYER, SRC_FILE_NM, DOS_THRU_YYYYMM"/>
  </r>
  <r>
    <x v="2"/>
    <s v="SGARMERC_PE202604_REMAO004.TXT"/>
    <x v="97"/>
    <x v="9"/>
    <n v="27"/>
    <n v="101264"/>
    <n v="0.03"/>
    <s v="DQS_MAO04_FILE_000_B"/>
    <s v="RECORD COUNT by MBR_ID, DOS_THRU_DT, DX_CD Grain grouped by PAYER, SRC_FILE_NM, DOS_THRU_YYYYMM"/>
  </r>
  <r>
    <x v="2"/>
    <s v="SGARMERC_PE202604_REMAO004.TXT"/>
    <x v="98"/>
    <x v="9"/>
    <n v="21"/>
    <n v="101264"/>
    <n v="0.02"/>
    <s v="DQS_MAO04_FILE_000_B"/>
    <s v="RECORD COUNT by MBR_ID, DOS_THRU_DT, DX_CD Grain grouped by PAYER, SRC_FILE_NM, DOS_THRU_YYYYMM"/>
  </r>
  <r>
    <x v="2"/>
    <s v="SGARMERC_PE202604_REMAO004.TXT"/>
    <x v="99"/>
    <x v="9"/>
    <n v="32"/>
    <n v="101264"/>
    <n v="0.03"/>
    <s v="DQS_MAO04_FILE_000_B"/>
    <s v="RECORD COUNT by MBR_ID, DOS_THRU_DT, DX_CD Grain grouped by PAYER, SRC_FILE_NM, DOS_THRU_YYYYMM"/>
  </r>
  <r>
    <x v="2"/>
    <s v="SGARMERC_PE202604_REMAO004.TXT"/>
    <x v="100"/>
    <x v="9"/>
    <n v="2"/>
    <n v="101264"/>
    <n v="0"/>
    <s v="DQS_MAO04_FILE_000_B"/>
    <s v="RECORD COUNT by MBR_ID, DOS_THRU_DT, DX_CD Grain grouped by PAYER, SRC_FILE_NM, DOS_THRU_YYYYMM"/>
  </r>
  <r>
    <x v="2"/>
    <s v="SGARMERC_PE202604_REMAO004.TXT"/>
    <x v="102"/>
    <x v="9"/>
    <n v="23"/>
    <n v="101264"/>
    <n v="0.02"/>
    <s v="DQS_MAO04_FILE_000_B"/>
    <s v="RECORD COUNT by MBR_ID, DOS_THRU_DT, DX_CD Grain grouped by PAYER, SRC_FILE_NM, DOS_THRU_YYYYMM"/>
  </r>
  <r>
    <x v="2"/>
    <s v="SGARMERC_PE202604_REMAO004.TXT"/>
    <x v="103"/>
    <x v="9"/>
    <n v="70"/>
    <n v="101264"/>
    <n v="7.0000000000000007E-2"/>
    <s v="DQS_MAO04_FILE_000_B"/>
    <s v="RECORD COUNT by MBR_ID, DOS_THRU_DT, DX_CD Grain grouped by PAYER, SRC_FILE_NM, DOS_THRU_YYYYMM"/>
  </r>
  <r>
    <x v="2"/>
    <s v="SGARMERC_PE202604_REMAO004.TXT"/>
    <x v="105"/>
    <x v="9"/>
    <n v="39"/>
    <n v="101264"/>
    <n v="0.04"/>
    <s v="DQS_MAO04_FILE_000_B"/>
    <s v="RECORD COUNT by MBR_ID, DOS_THRU_DT, DX_CD Grain grouped by PAYER, SRC_FILE_NM, DOS_THRU_YYYYMM"/>
  </r>
  <r>
    <x v="2"/>
    <s v="SGARMERC_PE202604_REMAO004.TXT"/>
    <x v="106"/>
    <x v="9"/>
    <n v="31"/>
    <n v="101264"/>
    <n v="0.03"/>
    <s v="DQS_MAO04_FILE_000_B"/>
    <s v="RECORD COUNT by MBR_ID, DOS_THRU_DT, DX_CD Grain grouped by PAYER, SRC_FILE_NM, DOS_THRU_YYYYMM"/>
  </r>
  <r>
    <x v="2"/>
    <s v="SGARMERC_PE202604_REMAO004.TXT"/>
    <x v="107"/>
    <x v="9"/>
    <n v="28"/>
    <n v="101264"/>
    <n v="0.03"/>
    <s v="DQS_MAO04_FILE_000_B"/>
    <s v="RECORD COUNT by MBR_ID, DOS_THRU_DT, DX_CD Grain grouped by PAYER, SRC_FILE_NM, DOS_THRU_YYYYMM"/>
  </r>
  <r>
    <x v="2"/>
    <s v="SGARMERC_PE202604_REMAO004.TXT"/>
    <x v="108"/>
    <x v="9"/>
    <n v="101"/>
    <n v="101264"/>
    <n v="0.1"/>
    <s v="DQS_MAO04_FILE_000_B"/>
    <s v="RECORD COUNT by MBR_ID, DOS_THRU_DT, DX_CD Grain grouped by PAYER, SRC_FILE_NM, DOS_THRU_YYYYMM"/>
  </r>
  <r>
    <x v="2"/>
    <s v="SGARMERC_PE202604_REMAO004.TXT"/>
    <x v="109"/>
    <x v="9"/>
    <n v="88"/>
    <n v="101264"/>
    <n v="0.09"/>
    <s v="DQS_MAO04_FILE_000_B"/>
    <s v="RECORD COUNT by MBR_ID, DOS_THRU_DT, DX_CD Grain grouped by PAYER, SRC_FILE_NM, DOS_THRU_YYYYMM"/>
  </r>
  <r>
    <x v="2"/>
    <s v="SGARMERC_PE202604_REMAO004.TXT"/>
    <x v="110"/>
    <x v="11"/>
    <n v="258"/>
    <n v="101264"/>
    <n v="0.25"/>
    <s v="DQS_MAO04_FILE_000_B"/>
    <s v="RECORD COUNT by MBR_ID, DOS_THRU_DT, DX_CD Grain grouped by PAYER, SRC_FILE_NM, DOS_THRU_YYYYMM"/>
  </r>
  <r>
    <x v="2"/>
    <s v="SGARMERC_PE202604_REMAO004.TXT"/>
    <x v="111"/>
    <x v="11"/>
    <n v="344"/>
    <n v="101264"/>
    <n v="0.34"/>
    <s v="DQS_MAO04_FILE_000_B"/>
    <s v="RECORD COUNT by MBR_ID, DOS_THRU_DT, DX_CD Grain grouped by PAYER, SRC_FILE_NM, DOS_THRU_YYYYMM"/>
  </r>
  <r>
    <x v="2"/>
    <s v="SGARMERC_PE202604_REMAO004.TXT"/>
    <x v="112"/>
    <x v="11"/>
    <n v="473"/>
    <n v="101264"/>
    <n v="0.47"/>
    <s v="DQS_MAO04_FILE_000_B"/>
    <s v="RECORD COUNT by MBR_ID, DOS_THRU_DT, DX_CD Grain grouped by PAYER, SRC_FILE_NM, DOS_THRU_YYYYMM"/>
  </r>
  <r>
    <x v="2"/>
    <s v="SGARMERC_PE202604_REMAO004.TXT"/>
    <x v="113"/>
    <x v="11"/>
    <n v="453"/>
    <n v="101264"/>
    <n v="0.45"/>
    <s v="DQS_MAO04_FILE_000_B"/>
    <s v="RECORD COUNT by MBR_ID, DOS_THRU_DT, DX_CD Grain grouped by PAYER, SRC_FILE_NM, DOS_THRU_YYYYMM"/>
  </r>
  <r>
    <x v="2"/>
    <s v="SGARMERC_PE202604_REMAO004.TXT"/>
    <x v="114"/>
    <x v="11"/>
    <n v="762"/>
    <n v="101264"/>
    <n v="0.75"/>
    <s v="DQS_MAO04_FILE_000_B"/>
    <s v="RECORD COUNT by MBR_ID, DOS_THRU_DT, DX_CD Grain grouped by PAYER, SRC_FILE_NM, DOS_THRU_YYYYMM"/>
  </r>
  <r>
    <x v="2"/>
    <s v="SGARMERC_PE202604_REMAO004.TXT"/>
    <x v="115"/>
    <x v="11"/>
    <n v="652"/>
    <n v="101264"/>
    <n v="0.64"/>
    <s v="DQS_MAO04_FILE_000_B"/>
    <s v="RECORD COUNT by MBR_ID, DOS_THRU_DT, DX_CD Grain grouped by PAYER, SRC_FILE_NM, DOS_THRU_YYYYMM"/>
  </r>
  <r>
    <x v="2"/>
    <s v="SGARMERC_PE202604_REMAO004.TXT"/>
    <x v="116"/>
    <x v="11"/>
    <n v="611"/>
    <n v="101264"/>
    <n v="0.6"/>
    <s v="DQS_MAO04_FILE_000_B"/>
    <s v="RECORD COUNT by MBR_ID, DOS_THRU_DT, DX_CD Grain grouped by PAYER, SRC_FILE_NM, DOS_THRU_YYYYMM"/>
  </r>
  <r>
    <x v="2"/>
    <s v="SGARMERC_PE202604_REMAO004.TXT"/>
    <x v="117"/>
    <x v="11"/>
    <n v="429"/>
    <n v="101264"/>
    <n v="0.42"/>
    <s v="DQS_MAO04_FILE_000_B"/>
    <s v="RECORD COUNT by MBR_ID, DOS_THRU_DT, DX_CD Grain grouped by PAYER, SRC_FILE_NM, DOS_THRU_YYYYMM"/>
  </r>
  <r>
    <x v="2"/>
    <s v="SGARMERC_PE202604_REMAO004.TXT"/>
    <x v="118"/>
    <x v="11"/>
    <n v="789"/>
    <n v="101264"/>
    <n v="0.78"/>
    <s v="DQS_MAO04_FILE_000_B"/>
    <s v="RECORD COUNT by MBR_ID, DOS_THRU_DT, DX_CD Grain grouped by PAYER, SRC_FILE_NM, DOS_THRU_YYYYMM"/>
  </r>
  <r>
    <x v="2"/>
    <s v="SGARMERC_PE202604_REMAO004.TXT"/>
    <x v="119"/>
    <x v="11"/>
    <n v="1423"/>
    <n v="101264"/>
    <n v="1.41"/>
    <s v="DQS_MAO04_FILE_000_B"/>
    <s v="RECORD COUNT by MBR_ID, DOS_THRU_DT, DX_CD Grain grouped by PAYER, SRC_FILE_NM, DOS_THRU_YYYYMM"/>
  </r>
  <r>
    <x v="2"/>
    <s v="SGARMERC_PE202604_REMAO004.TXT"/>
    <x v="120"/>
    <x v="11"/>
    <n v="1851"/>
    <n v="101264"/>
    <n v="1.83"/>
    <s v="DQS_MAO04_FILE_000_B"/>
    <s v="RECORD COUNT by MBR_ID, DOS_THRU_DT, DX_CD Grain grouped by PAYER, SRC_FILE_NM, DOS_THRU_YYYYMM"/>
  </r>
  <r>
    <x v="2"/>
    <s v="SGARMERC_PE202604_REMAO004.TXT"/>
    <x v="121"/>
    <x v="11"/>
    <n v="3750"/>
    <n v="101264"/>
    <n v="3.7"/>
    <s v="DQS_MAO04_FILE_000_B"/>
    <s v="RECORD COUNT by MBR_ID, DOS_THRU_DT, DX_CD Grain grouped by PAYER, SRC_FILE_NM, DOS_THRU_YYYYMM"/>
  </r>
  <r>
    <x v="2"/>
    <s v="SGARMERC_PE202604_REMAO004.TXT"/>
    <x v="122"/>
    <x v="12"/>
    <n v="55152"/>
    <n v="101264"/>
    <n v="54.46"/>
    <s v="DQS_MAO04_FILE_000_B"/>
    <s v="RECORD COUNT by MBR_ID, DOS_THRU_DT, DX_CD Grain grouped by PAYER, SRC_FILE_NM, DOS_THRU_YYYYMM"/>
  </r>
  <r>
    <x v="2"/>
    <s v="SGARMERC_PE202604_REMAO004.TXT"/>
    <x v="123"/>
    <x v="12"/>
    <n v="33793"/>
    <n v="101264"/>
    <n v="33.369999999999997"/>
    <s v="DQS_MAO04_FILE_000_B"/>
    <s v="RECORD COUNT by MBR_ID, DOS_THRU_DT, DX_CD Grain grouped by PAYER, SRC_FILE_NM, DOS_THRU_YYYYMM"/>
  </r>
  <r>
    <x v="2"/>
    <s v="SGARMERC_PE202605_REMAO004.TXT"/>
    <x v="69"/>
    <x v="7"/>
    <n v="4"/>
    <n v="185681"/>
    <n v="0"/>
    <s v="DQS_MAO04_FILE_000_B"/>
    <s v="RECORD COUNT by MBR_ID, DOS_THRU_DT, DX_CD Grain grouped by PAYER, SRC_FILE_NM, DOS_THRU_YYYYMM"/>
  </r>
  <r>
    <x v="2"/>
    <s v="SGARMERC_PE202605_REMAO004.TXT"/>
    <x v="70"/>
    <x v="7"/>
    <n v="14"/>
    <n v="185681"/>
    <n v="0.01"/>
    <s v="DQS_MAO04_FILE_000_B"/>
    <s v="RECORD COUNT by MBR_ID, DOS_THRU_DT, DX_CD Grain grouped by PAYER, SRC_FILE_NM, DOS_THRU_YYYYMM"/>
  </r>
  <r>
    <x v="2"/>
    <s v="SGARMERC_PE202605_REMAO004.TXT"/>
    <x v="85"/>
    <x v="8"/>
    <n v="7"/>
    <n v="185681"/>
    <n v="0"/>
    <s v="DQS_MAO04_FILE_000_B"/>
    <s v="RECORD COUNT by MBR_ID, DOS_THRU_DT, DX_CD Grain grouped by PAYER, SRC_FILE_NM, DOS_THRU_YYYYMM"/>
  </r>
  <r>
    <x v="2"/>
    <s v="SGARMERC_PE202605_REMAO004.TXT"/>
    <x v="86"/>
    <x v="8"/>
    <n v="4"/>
    <n v="185681"/>
    <n v="0"/>
    <s v="DQS_MAO04_FILE_000_B"/>
    <s v="RECORD COUNT by MBR_ID, DOS_THRU_DT, DX_CD Grain grouped by PAYER, SRC_FILE_NM, DOS_THRU_YYYYMM"/>
  </r>
  <r>
    <x v="2"/>
    <s v="SGARMERC_PE202605_REMAO004.TXT"/>
    <x v="87"/>
    <x v="8"/>
    <n v="1"/>
    <n v="185681"/>
    <n v="0"/>
    <s v="DQS_MAO04_FILE_000_B"/>
    <s v="RECORD COUNT by MBR_ID, DOS_THRU_DT, DX_CD Grain grouped by PAYER, SRC_FILE_NM, DOS_THRU_YYYYMM"/>
  </r>
  <r>
    <x v="2"/>
    <s v="SGARMERC_PE202605_REMAO004.TXT"/>
    <x v="88"/>
    <x v="8"/>
    <n v="14"/>
    <n v="185681"/>
    <n v="0.01"/>
    <s v="DQS_MAO04_FILE_000_B"/>
    <s v="RECORD COUNT by MBR_ID, DOS_THRU_DT, DX_CD Grain grouped by PAYER, SRC_FILE_NM, DOS_THRU_YYYYMM"/>
  </r>
  <r>
    <x v="2"/>
    <s v="SGARMERC_PE202605_REMAO004.TXT"/>
    <x v="97"/>
    <x v="9"/>
    <n v="26"/>
    <n v="185681"/>
    <n v="0.01"/>
    <s v="DQS_MAO04_FILE_000_B"/>
    <s v="RECORD COUNT by MBR_ID, DOS_THRU_DT, DX_CD Grain grouped by PAYER, SRC_FILE_NM, DOS_THRU_YYYYMM"/>
  </r>
  <r>
    <x v="2"/>
    <s v="SGARMERC_PE202605_REMAO004.TXT"/>
    <x v="98"/>
    <x v="9"/>
    <n v="12"/>
    <n v="185681"/>
    <n v="0.01"/>
    <s v="DQS_MAO04_FILE_000_B"/>
    <s v="RECORD COUNT by MBR_ID, DOS_THRU_DT, DX_CD Grain grouped by PAYER, SRC_FILE_NM, DOS_THRU_YYYYMM"/>
  </r>
  <r>
    <x v="2"/>
    <s v="SGARMERC_PE202605_REMAO004.TXT"/>
    <x v="99"/>
    <x v="9"/>
    <n v="12"/>
    <n v="185681"/>
    <n v="0.01"/>
    <s v="DQS_MAO04_FILE_000_B"/>
    <s v="RECORD COUNT by MBR_ID, DOS_THRU_DT, DX_CD Grain grouped by PAYER, SRC_FILE_NM, DOS_THRU_YYYYMM"/>
  </r>
  <r>
    <x v="2"/>
    <s v="SGARMERC_PE202605_REMAO004.TXT"/>
    <x v="100"/>
    <x v="9"/>
    <n v="19"/>
    <n v="185681"/>
    <n v="0.01"/>
    <s v="DQS_MAO04_FILE_000_B"/>
    <s v="RECORD COUNT by MBR_ID, DOS_THRU_DT, DX_CD Grain grouped by PAYER, SRC_FILE_NM, DOS_THRU_YYYYMM"/>
  </r>
  <r>
    <x v="2"/>
    <s v="SGARMERC_PE202605_REMAO004.TXT"/>
    <x v="102"/>
    <x v="9"/>
    <n v="20"/>
    <n v="185681"/>
    <n v="0.01"/>
    <s v="DQS_MAO04_FILE_000_B"/>
    <s v="RECORD COUNT by MBR_ID, DOS_THRU_DT, DX_CD Grain grouped by PAYER, SRC_FILE_NM, DOS_THRU_YYYYMM"/>
  </r>
  <r>
    <x v="2"/>
    <s v="SGARMERC_PE202605_REMAO004.TXT"/>
    <x v="103"/>
    <x v="9"/>
    <n v="30"/>
    <n v="185681"/>
    <n v="0.02"/>
    <s v="DQS_MAO04_FILE_000_B"/>
    <s v="RECORD COUNT by MBR_ID, DOS_THRU_DT, DX_CD Grain grouped by PAYER, SRC_FILE_NM, DOS_THRU_YYYYMM"/>
  </r>
  <r>
    <x v="2"/>
    <s v="SGARMERC_PE202605_REMAO004.TXT"/>
    <x v="105"/>
    <x v="9"/>
    <n v="119"/>
    <n v="185681"/>
    <n v="0.06"/>
    <s v="DQS_MAO04_FILE_000_B"/>
    <s v="RECORD COUNT by MBR_ID, DOS_THRU_DT, DX_CD Grain grouped by PAYER, SRC_FILE_NM, DOS_THRU_YYYYMM"/>
  </r>
  <r>
    <x v="2"/>
    <s v="SGARMERC_PE202605_REMAO004.TXT"/>
    <x v="106"/>
    <x v="9"/>
    <n v="299"/>
    <n v="185681"/>
    <n v="0.16"/>
    <s v="DQS_MAO04_FILE_000_B"/>
    <s v="RECORD COUNT by MBR_ID, DOS_THRU_DT, DX_CD Grain grouped by PAYER, SRC_FILE_NM, DOS_THRU_YYYYMM"/>
  </r>
  <r>
    <x v="2"/>
    <s v="SGARMERC_PE202605_REMAO004.TXT"/>
    <x v="107"/>
    <x v="9"/>
    <n v="383"/>
    <n v="185681"/>
    <n v="0.21"/>
    <s v="DQS_MAO04_FILE_000_B"/>
    <s v="RECORD COUNT by MBR_ID, DOS_THRU_DT, DX_CD Grain grouped by PAYER, SRC_FILE_NM, DOS_THRU_YYYYMM"/>
  </r>
  <r>
    <x v="2"/>
    <s v="SGARMERC_PE202605_REMAO004.TXT"/>
    <x v="108"/>
    <x v="9"/>
    <n v="244"/>
    <n v="185681"/>
    <n v="0.13"/>
    <s v="DQS_MAO04_FILE_000_B"/>
    <s v="RECORD COUNT by MBR_ID, DOS_THRU_DT, DX_CD Grain grouped by PAYER, SRC_FILE_NM, DOS_THRU_YYYYMM"/>
  </r>
  <r>
    <x v="2"/>
    <s v="SGARMERC_PE202605_REMAO004.TXT"/>
    <x v="109"/>
    <x v="9"/>
    <n v="435"/>
    <n v="185681"/>
    <n v="0.23"/>
    <s v="DQS_MAO04_FILE_000_B"/>
    <s v="RECORD COUNT by MBR_ID, DOS_THRU_DT, DX_CD Grain grouped by PAYER, SRC_FILE_NM, DOS_THRU_YYYYMM"/>
  </r>
  <r>
    <x v="2"/>
    <s v="SGARMERC_PE202605_REMAO004.TXT"/>
    <x v="110"/>
    <x v="11"/>
    <n v="1254"/>
    <n v="185681"/>
    <n v="0.68"/>
    <s v="DQS_MAO04_FILE_000_B"/>
    <s v="RECORD COUNT by MBR_ID, DOS_THRU_DT, DX_CD Grain grouped by PAYER, SRC_FILE_NM, DOS_THRU_YYYYMM"/>
  </r>
  <r>
    <x v="2"/>
    <s v="SGARMERC_PE202605_REMAO004.TXT"/>
    <x v="111"/>
    <x v="11"/>
    <n v="967"/>
    <n v="185681"/>
    <n v="0.52"/>
    <s v="DQS_MAO04_FILE_000_B"/>
    <s v="RECORD COUNT by MBR_ID, DOS_THRU_DT, DX_CD Grain grouped by PAYER, SRC_FILE_NM, DOS_THRU_YYYYMM"/>
  </r>
  <r>
    <x v="2"/>
    <s v="SGARMERC_PE202605_REMAO004.TXT"/>
    <x v="112"/>
    <x v="11"/>
    <n v="1056"/>
    <n v="185681"/>
    <n v="0.56999999999999995"/>
    <s v="DQS_MAO04_FILE_000_B"/>
    <s v="RECORD COUNT by MBR_ID, DOS_THRU_DT, DX_CD Grain grouped by PAYER, SRC_FILE_NM, DOS_THRU_YYYYMM"/>
  </r>
  <r>
    <x v="2"/>
    <s v="SGARMERC_PE202605_REMAO004.TXT"/>
    <x v="113"/>
    <x v="11"/>
    <n v="1273"/>
    <n v="185681"/>
    <n v="0.69"/>
    <s v="DQS_MAO04_FILE_000_B"/>
    <s v="RECORD COUNT by MBR_ID, DOS_THRU_DT, DX_CD Grain grouped by PAYER, SRC_FILE_NM, DOS_THRU_YYYYMM"/>
  </r>
  <r>
    <x v="2"/>
    <s v="SGARMERC_PE202605_REMAO004.TXT"/>
    <x v="114"/>
    <x v="11"/>
    <n v="1387"/>
    <n v="185681"/>
    <n v="0.75"/>
    <s v="DQS_MAO04_FILE_000_B"/>
    <s v="RECORD COUNT by MBR_ID, DOS_THRU_DT, DX_CD Grain grouped by PAYER, SRC_FILE_NM, DOS_THRU_YYYYMM"/>
  </r>
  <r>
    <x v="2"/>
    <s v="SGARMERC_PE202605_REMAO004.TXT"/>
    <x v="115"/>
    <x v="11"/>
    <n v="1304"/>
    <n v="185681"/>
    <n v="0.7"/>
    <s v="DQS_MAO04_FILE_000_B"/>
    <s v="RECORD COUNT by MBR_ID, DOS_THRU_DT, DX_CD Grain grouped by PAYER, SRC_FILE_NM, DOS_THRU_YYYYMM"/>
  </r>
  <r>
    <x v="2"/>
    <s v="SGARMERC_PE202605_REMAO004.TXT"/>
    <x v="116"/>
    <x v="11"/>
    <n v="1512"/>
    <n v="185681"/>
    <n v="0.81"/>
    <s v="DQS_MAO04_FILE_000_B"/>
    <s v="RECORD COUNT by MBR_ID, DOS_THRU_DT, DX_CD Grain grouped by PAYER, SRC_FILE_NM, DOS_THRU_YYYYMM"/>
  </r>
  <r>
    <x v="2"/>
    <s v="SGARMERC_PE202605_REMAO004.TXT"/>
    <x v="117"/>
    <x v="11"/>
    <n v="947"/>
    <n v="185681"/>
    <n v="0.51"/>
    <s v="DQS_MAO04_FILE_000_B"/>
    <s v="RECORD COUNT by MBR_ID, DOS_THRU_DT, DX_CD Grain grouped by PAYER, SRC_FILE_NM, DOS_THRU_YYYYMM"/>
  </r>
  <r>
    <x v="2"/>
    <s v="SGARMERC_PE202605_REMAO004.TXT"/>
    <x v="118"/>
    <x v="11"/>
    <n v="1382"/>
    <n v="185681"/>
    <n v="0.74"/>
    <s v="DQS_MAO04_FILE_000_B"/>
    <s v="RECORD COUNT by MBR_ID, DOS_THRU_DT, DX_CD Grain grouped by PAYER, SRC_FILE_NM, DOS_THRU_YYYYMM"/>
  </r>
  <r>
    <x v="2"/>
    <s v="SGARMERC_PE202605_REMAO004.TXT"/>
    <x v="119"/>
    <x v="11"/>
    <n v="2147"/>
    <n v="185681"/>
    <n v="1.1599999999999999"/>
    <s v="DQS_MAO04_FILE_000_B"/>
    <s v="RECORD COUNT by MBR_ID, DOS_THRU_DT, DX_CD Grain grouped by PAYER, SRC_FILE_NM, DOS_THRU_YYYYMM"/>
  </r>
  <r>
    <x v="2"/>
    <s v="SGARMERC_PE202605_REMAO004.TXT"/>
    <x v="120"/>
    <x v="11"/>
    <n v="2310"/>
    <n v="185681"/>
    <n v="1.24"/>
    <s v="DQS_MAO04_FILE_000_B"/>
    <s v="RECORD COUNT by MBR_ID, DOS_THRU_DT, DX_CD Grain grouped by PAYER, SRC_FILE_NM, DOS_THRU_YYYYMM"/>
  </r>
  <r>
    <x v="2"/>
    <s v="SGARMERC_PE202605_REMAO004.TXT"/>
    <x v="121"/>
    <x v="11"/>
    <n v="3800"/>
    <n v="185681"/>
    <n v="2.0499999999999998"/>
    <s v="DQS_MAO04_FILE_000_B"/>
    <s v="RECORD COUNT by MBR_ID, DOS_THRU_DT, DX_CD Grain grouped by PAYER, SRC_FILE_NM, DOS_THRU_YYYYMM"/>
  </r>
  <r>
    <x v="2"/>
    <s v="SGARMERC_PE202605_REMAO004.TXT"/>
    <x v="122"/>
    <x v="12"/>
    <n v="19075"/>
    <n v="185681"/>
    <n v="10.27"/>
    <s v="DQS_MAO04_FILE_000_B"/>
    <s v="RECORD COUNT by MBR_ID, DOS_THRU_DT, DX_CD Grain grouped by PAYER, SRC_FILE_NM, DOS_THRU_YYYYMM"/>
  </r>
  <r>
    <x v="2"/>
    <s v="SGARMERC_PE202605_REMAO004.TXT"/>
    <x v="123"/>
    <x v="12"/>
    <n v="85920"/>
    <n v="185681"/>
    <n v="46.27"/>
    <s v="DQS_MAO04_FILE_000_B"/>
    <s v="RECORD COUNT by MBR_ID, DOS_THRU_DT, DX_CD Grain grouped by PAYER, SRC_FILE_NM, DOS_THRU_YYYYMM"/>
  </r>
  <r>
    <x v="2"/>
    <s v="SGARMERC_PE202605_REMAO004.TXT"/>
    <x v="124"/>
    <x v="12"/>
    <n v="59704"/>
    <n v="185681"/>
    <n v="32.15"/>
    <s v="DQS_MAO04_FILE_000_B"/>
    <s v="RECORD COUNT by MBR_ID, DOS_THRU_DT, DX_CD Grain grouped by PAYER, SRC_FILE_NM, DOS_THRU_YYYYMM"/>
  </r>
  <r>
    <x v="2"/>
    <s v="SGARMERC_PE202606_REMAO004.TXT"/>
    <x v="70"/>
    <x v="7"/>
    <n v="2"/>
    <n v="150240"/>
    <n v="0"/>
    <s v="DQS_MAO04_FILE_000_B"/>
    <s v="RECORD COUNT by MBR_ID, DOS_THRU_DT, DX_CD Grain grouped by PAYER, SRC_FILE_NM, DOS_THRU_YYYYMM"/>
  </r>
  <r>
    <x v="2"/>
    <s v="SGARMERC_PE202606_REMAO004.TXT"/>
    <x v="77"/>
    <x v="8"/>
    <n v="9"/>
    <n v="150240"/>
    <n v="0.01"/>
    <s v="DQS_MAO04_FILE_000_B"/>
    <s v="RECORD COUNT by MBR_ID, DOS_THRU_DT, DX_CD Grain grouped by PAYER, SRC_FILE_NM, DOS_THRU_YYYYMM"/>
  </r>
  <r>
    <x v="2"/>
    <s v="SGARMERC_PE202606_REMAO004.TXT"/>
    <x v="80"/>
    <x v="8"/>
    <n v="4"/>
    <n v="150240"/>
    <n v="0"/>
    <s v="DQS_MAO04_FILE_000_B"/>
    <s v="RECORD COUNT by MBR_ID, DOS_THRU_DT, DX_CD Grain grouped by PAYER, SRC_FILE_NM, DOS_THRU_YYYYMM"/>
  </r>
  <r>
    <x v="2"/>
    <s v="SGARMERC_PE202606_REMAO004.TXT"/>
    <x v="88"/>
    <x v="8"/>
    <n v="13"/>
    <n v="150240"/>
    <n v="0.01"/>
    <s v="DQS_MAO04_FILE_000_B"/>
    <s v="RECORD COUNT by MBR_ID, DOS_THRU_DT, DX_CD Grain grouped by PAYER, SRC_FILE_NM, DOS_THRU_YYYYMM"/>
  </r>
  <r>
    <x v="2"/>
    <s v="SGARMERC_PE202606_REMAO004.TXT"/>
    <x v="97"/>
    <x v="9"/>
    <n v="1"/>
    <n v="150240"/>
    <n v="0"/>
    <s v="DQS_MAO04_FILE_000_B"/>
    <s v="RECORD COUNT by MBR_ID, DOS_THRU_DT, DX_CD Grain grouped by PAYER, SRC_FILE_NM, DOS_THRU_YYYYMM"/>
  </r>
  <r>
    <x v="2"/>
    <s v="SGARMERC_PE202606_REMAO004.TXT"/>
    <x v="98"/>
    <x v="9"/>
    <n v="9"/>
    <n v="150240"/>
    <n v="0.01"/>
    <s v="DQS_MAO04_FILE_000_B"/>
    <s v="RECORD COUNT by MBR_ID, DOS_THRU_DT, DX_CD Grain grouped by PAYER, SRC_FILE_NM, DOS_THRU_YYYYMM"/>
  </r>
  <r>
    <x v="2"/>
    <s v="SGARMERC_PE202606_REMAO004.TXT"/>
    <x v="102"/>
    <x v="9"/>
    <n v="2"/>
    <n v="150240"/>
    <n v="0"/>
    <s v="DQS_MAO04_FILE_000_B"/>
    <s v="RECORD COUNT by MBR_ID, DOS_THRU_DT, DX_CD Grain grouped by PAYER, SRC_FILE_NM, DOS_THRU_YYYYMM"/>
  </r>
  <r>
    <x v="2"/>
    <s v="SGARMERC_PE202606_REMAO004.TXT"/>
    <x v="103"/>
    <x v="9"/>
    <n v="37"/>
    <n v="150240"/>
    <n v="0.02"/>
    <s v="DQS_MAO04_FILE_000_B"/>
    <s v="RECORD COUNT by MBR_ID, DOS_THRU_DT, DX_CD Grain grouped by PAYER, SRC_FILE_NM, DOS_THRU_YYYYMM"/>
  </r>
  <r>
    <x v="2"/>
    <s v="SGARMERC_PE202606_REMAO004.TXT"/>
    <x v="105"/>
    <x v="9"/>
    <n v="171"/>
    <n v="150240"/>
    <n v="0.11"/>
    <s v="DQS_MAO04_FILE_000_B"/>
    <s v="RECORD COUNT by MBR_ID, DOS_THRU_DT, DX_CD Grain grouped by PAYER, SRC_FILE_NM, DOS_THRU_YYYYMM"/>
  </r>
  <r>
    <x v="2"/>
    <s v="SGARMERC_PE202606_REMAO004.TXT"/>
    <x v="106"/>
    <x v="9"/>
    <n v="251"/>
    <n v="150240"/>
    <n v="0.17"/>
    <s v="DQS_MAO04_FILE_000_B"/>
    <s v="RECORD COUNT by MBR_ID, DOS_THRU_DT, DX_CD Grain grouped by PAYER, SRC_FILE_NM, DOS_THRU_YYYYMM"/>
  </r>
  <r>
    <x v="2"/>
    <s v="SGARMERC_PE202606_REMAO004.TXT"/>
    <x v="107"/>
    <x v="9"/>
    <n v="430"/>
    <n v="150240"/>
    <n v="0.28999999999999998"/>
    <s v="DQS_MAO04_FILE_000_B"/>
    <s v="RECORD COUNT by MBR_ID, DOS_THRU_DT, DX_CD Grain grouped by PAYER, SRC_FILE_NM, DOS_THRU_YYYYMM"/>
  </r>
  <r>
    <x v="2"/>
    <s v="SGARMERC_PE202606_REMAO004.TXT"/>
    <x v="108"/>
    <x v="9"/>
    <n v="277"/>
    <n v="150240"/>
    <n v="0.18"/>
    <s v="DQS_MAO04_FILE_000_B"/>
    <s v="RECORD COUNT by MBR_ID, DOS_THRU_DT, DX_CD Grain grouped by PAYER, SRC_FILE_NM, DOS_THRU_YYYYMM"/>
  </r>
  <r>
    <x v="2"/>
    <s v="SGARMERC_PE202606_REMAO004.TXT"/>
    <x v="109"/>
    <x v="9"/>
    <n v="339"/>
    <n v="150240"/>
    <n v="0.23"/>
    <s v="DQS_MAO04_FILE_000_B"/>
    <s v="RECORD COUNT by MBR_ID, DOS_THRU_DT, DX_CD Grain grouped by PAYER, SRC_FILE_NM, DOS_THRU_YYYYMM"/>
  </r>
  <r>
    <x v="2"/>
    <s v="SGARMERC_PE202606_REMAO004.TXT"/>
    <x v="110"/>
    <x v="11"/>
    <n v="871"/>
    <n v="150240"/>
    <n v="0.57999999999999996"/>
    <s v="DQS_MAO04_FILE_000_B"/>
    <s v="RECORD COUNT by MBR_ID, DOS_THRU_DT, DX_CD Grain grouped by PAYER, SRC_FILE_NM, DOS_THRU_YYYYMM"/>
  </r>
  <r>
    <x v="2"/>
    <s v="SGARMERC_PE202606_REMAO004.TXT"/>
    <x v="111"/>
    <x v="11"/>
    <n v="877"/>
    <n v="150240"/>
    <n v="0.57999999999999996"/>
    <s v="DQS_MAO04_FILE_000_B"/>
    <s v="RECORD COUNT by MBR_ID, DOS_THRU_DT, DX_CD Grain grouped by PAYER, SRC_FILE_NM, DOS_THRU_YYYYMM"/>
  </r>
  <r>
    <x v="2"/>
    <s v="SGARMERC_PE202606_REMAO004.TXT"/>
    <x v="112"/>
    <x v="11"/>
    <n v="767"/>
    <n v="150240"/>
    <n v="0.51"/>
    <s v="DQS_MAO04_FILE_000_B"/>
    <s v="RECORD COUNT by MBR_ID, DOS_THRU_DT, DX_CD Grain grouped by PAYER, SRC_FILE_NM, DOS_THRU_YYYYMM"/>
  </r>
  <r>
    <x v="2"/>
    <s v="SGARMERC_PE202606_REMAO004.TXT"/>
    <x v="113"/>
    <x v="11"/>
    <n v="887"/>
    <n v="150240"/>
    <n v="0.59"/>
    <s v="DQS_MAO04_FILE_000_B"/>
    <s v="RECORD COUNT by MBR_ID, DOS_THRU_DT, DX_CD Grain grouped by PAYER, SRC_FILE_NM, DOS_THRU_YYYYMM"/>
  </r>
  <r>
    <x v="2"/>
    <s v="SGARMERC_PE202606_REMAO004.TXT"/>
    <x v="114"/>
    <x v="11"/>
    <n v="941"/>
    <n v="150240"/>
    <n v="0.63"/>
    <s v="DQS_MAO04_FILE_000_B"/>
    <s v="RECORD COUNT by MBR_ID, DOS_THRU_DT, DX_CD Grain grouped by PAYER, SRC_FILE_NM, DOS_THRU_YYYYMM"/>
  </r>
  <r>
    <x v="2"/>
    <s v="SGARMERC_PE202606_REMAO004.TXT"/>
    <x v="115"/>
    <x v="11"/>
    <n v="895"/>
    <n v="150240"/>
    <n v="0.6"/>
    <s v="DQS_MAO04_FILE_000_B"/>
    <s v="RECORD COUNT by MBR_ID, DOS_THRU_DT, DX_CD Grain grouped by PAYER, SRC_FILE_NM, DOS_THRU_YYYYMM"/>
  </r>
  <r>
    <x v="2"/>
    <s v="SGARMERC_PE202606_REMAO004.TXT"/>
    <x v="116"/>
    <x v="11"/>
    <n v="1148"/>
    <n v="150240"/>
    <n v="0.76"/>
    <s v="DQS_MAO04_FILE_000_B"/>
    <s v="RECORD COUNT by MBR_ID, DOS_THRU_DT, DX_CD Grain grouped by PAYER, SRC_FILE_NM, DOS_THRU_YYYYMM"/>
  </r>
  <r>
    <x v="2"/>
    <s v="SGARMERC_PE202606_REMAO004.TXT"/>
    <x v="117"/>
    <x v="11"/>
    <n v="642"/>
    <n v="150240"/>
    <n v="0.43"/>
    <s v="DQS_MAO04_FILE_000_B"/>
    <s v="RECORD COUNT by MBR_ID, DOS_THRU_DT, DX_CD Grain grouped by PAYER, SRC_FILE_NM, DOS_THRU_YYYYMM"/>
  </r>
  <r>
    <x v="2"/>
    <s v="SGARMERC_PE202606_REMAO004.TXT"/>
    <x v="118"/>
    <x v="11"/>
    <n v="816"/>
    <n v="150240"/>
    <n v="0.54"/>
    <s v="DQS_MAO04_FILE_000_B"/>
    <s v="RECORD COUNT by MBR_ID, DOS_THRU_DT, DX_CD Grain grouped by PAYER, SRC_FILE_NM, DOS_THRU_YYYYMM"/>
  </r>
  <r>
    <x v="2"/>
    <s v="SGARMERC_PE202606_REMAO004.TXT"/>
    <x v="119"/>
    <x v="11"/>
    <n v="1358"/>
    <n v="150240"/>
    <n v="0.9"/>
    <s v="DQS_MAO04_FILE_000_B"/>
    <s v="RECORD COUNT by MBR_ID, DOS_THRU_DT, DX_CD Grain grouped by PAYER, SRC_FILE_NM, DOS_THRU_YYYYMM"/>
  </r>
  <r>
    <x v="2"/>
    <s v="SGARMERC_PE202606_REMAO004.TXT"/>
    <x v="120"/>
    <x v="11"/>
    <n v="1399"/>
    <n v="150240"/>
    <n v="0.93"/>
    <s v="DQS_MAO04_FILE_000_B"/>
    <s v="RECORD COUNT by MBR_ID, DOS_THRU_DT, DX_CD Grain grouped by PAYER, SRC_FILE_NM, DOS_THRU_YYYYMM"/>
  </r>
  <r>
    <x v="2"/>
    <s v="SGARMERC_PE202606_REMAO004.TXT"/>
    <x v="121"/>
    <x v="11"/>
    <n v="2280"/>
    <n v="150240"/>
    <n v="1.52"/>
    <s v="DQS_MAO04_FILE_000_B"/>
    <s v="RECORD COUNT by MBR_ID, DOS_THRU_DT, DX_CD Grain grouped by PAYER, SRC_FILE_NM, DOS_THRU_YYYYMM"/>
  </r>
  <r>
    <x v="2"/>
    <s v="SGARMERC_PE202606_REMAO004.TXT"/>
    <x v="122"/>
    <x v="12"/>
    <n v="5457"/>
    <n v="150240"/>
    <n v="3.63"/>
    <s v="DQS_MAO04_FILE_000_B"/>
    <s v="RECORD COUNT by MBR_ID, DOS_THRU_DT, DX_CD Grain grouped by PAYER, SRC_FILE_NM, DOS_THRU_YYYYMM"/>
  </r>
  <r>
    <x v="2"/>
    <s v="SGARMERC_PE202606_REMAO004.TXT"/>
    <x v="123"/>
    <x v="12"/>
    <n v="8095"/>
    <n v="150240"/>
    <n v="5.39"/>
    <s v="DQS_MAO04_FILE_000_B"/>
    <s v="RECORD COUNT by MBR_ID, DOS_THRU_DT, DX_CD Grain grouped by PAYER, SRC_FILE_NM, DOS_THRU_YYYYMM"/>
  </r>
  <r>
    <x v="2"/>
    <s v="SGARMERC_PE202606_REMAO004.TXT"/>
    <x v="124"/>
    <x v="12"/>
    <n v="73228"/>
    <n v="150240"/>
    <n v="48.74"/>
    <s v="DQS_MAO04_FILE_000_B"/>
    <s v="RECORD COUNT by MBR_ID, DOS_THRU_DT, DX_CD Grain grouped by PAYER, SRC_FILE_NM, DOS_THRU_YYYYMM"/>
  </r>
  <r>
    <x v="2"/>
    <s v="SGARMERC_PE202606_REMAO004.TXT"/>
    <x v="125"/>
    <x v="12"/>
    <n v="49034"/>
    <n v="150240"/>
    <n v="32.64"/>
    <s v="DQS_MAO04_FILE_000_B"/>
    <s v="RECORD COUNT by MBR_ID, DOS_THRU_DT, DX_CD Grain grouped by PAYER, SRC_FILE_NM, DOS_THRU_YYYYMM"/>
  </r>
  <r>
    <x v="2"/>
    <s v="SGMRYCLN_PE202401_REMAO004.TXT"/>
    <x v="41"/>
    <x v="5"/>
    <n v="1"/>
    <n v="52045"/>
    <n v="0"/>
    <s v="DQS_MAO04_FILE_000_B"/>
    <s v="RECORD COUNT by MBR_ID, DOS_THRU_DT, DX_CD Grain grouped by PAYER, SRC_FILE_NM, DOS_THRU_YYYYMM"/>
  </r>
  <r>
    <x v="2"/>
    <s v="SGMRYCLN_PE202401_REMAO004.TXT"/>
    <x v="43"/>
    <x v="5"/>
    <n v="1"/>
    <n v="52045"/>
    <n v="0"/>
    <s v="DQS_MAO04_FILE_000_B"/>
    <s v="RECORD COUNT by MBR_ID, DOS_THRU_DT, DX_CD Grain grouped by PAYER, SRC_FILE_NM, DOS_THRU_YYYYMM"/>
  </r>
  <r>
    <x v="2"/>
    <s v="SGMRYCLN_PE202401_REMAO004.TXT"/>
    <x v="59"/>
    <x v="6"/>
    <n v="13"/>
    <n v="52045"/>
    <n v="0.02"/>
    <s v="DQS_MAO04_FILE_000_B"/>
    <s v="RECORD COUNT by MBR_ID, DOS_THRU_DT, DX_CD Grain grouped by PAYER, SRC_FILE_NM, DOS_THRU_YYYYMM"/>
  </r>
  <r>
    <x v="2"/>
    <s v="SGMRYCLN_PE202401_REMAO004.TXT"/>
    <x v="60"/>
    <x v="6"/>
    <n v="2"/>
    <n v="52045"/>
    <n v="0"/>
    <s v="DQS_MAO04_FILE_000_B"/>
    <s v="RECORD COUNT by MBR_ID, DOS_THRU_DT, DX_CD Grain grouped by PAYER, SRC_FILE_NM, DOS_THRU_YYYYMM"/>
  </r>
  <r>
    <x v="2"/>
    <s v="SGMRYCLN_PE202401_REMAO004.TXT"/>
    <x v="62"/>
    <x v="6"/>
    <n v="1"/>
    <n v="52045"/>
    <n v="0"/>
    <s v="DQS_MAO04_FILE_000_B"/>
    <s v="RECORD COUNT by MBR_ID, DOS_THRU_DT, DX_CD Grain grouped by PAYER, SRC_FILE_NM, DOS_THRU_YYYYMM"/>
  </r>
  <r>
    <x v="2"/>
    <s v="SGMRYCLN_PE202401_REMAO004.TXT"/>
    <x v="63"/>
    <x v="6"/>
    <n v="4"/>
    <n v="52045"/>
    <n v="0.01"/>
    <s v="DQS_MAO04_FILE_000_B"/>
    <s v="RECORD COUNT by MBR_ID, DOS_THRU_DT, DX_CD Grain grouped by PAYER, SRC_FILE_NM, DOS_THRU_YYYYMM"/>
  </r>
  <r>
    <x v="2"/>
    <s v="SGMRYCLN_PE202401_REMAO004.TXT"/>
    <x v="64"/>
    <x v="6"/>
    <n v="20"/>
    <n v="52045"/>
    <n v="0.04"/>
    <s v="DQS_MAO04_FILE_000_B"/>
    <s v="RECORD COUNT by MBR_ID, DOS_THRU_DT, DX_CD Grain grouped by PAYER, SRC_FILE_NM, DOS_THRU_YYYYMM"/>
  </r>
  <r>
    <x v="2"/>
    <s v="SGMRYCLN_PE202401_REMAO004.TXT"/>
    <x v="65"/>
    <x v="7"/>
    <n v="4"/>
    <n v="52045"/>
    <n v="0.01"/>
    <s v="DQS_MAO04_FILE_000_B"/>
    <s v="RECORD COUNT by MBR_ID, DOS_THRU_DT, DX_CD Grain grouped by PAYER, SRC_FILE_NM, DOS_THRU_YYYYMM"/>
  </r>
  <r>
    <x v="2"/>
    <s v="SGMRYCLN_PE202401_REMAO004.TXT"/>
    <x v="66"/>
    <x v="7"/>
    <n v="16"/>
    <n v="52045"/>
    <n v="0.03"/>
    <s v="DQS_MAO04_FILE_000_B"/>
    <s v="RECORD COUNT by MBR_ID, DOS_THRU_DT, DX_CD Grain grouped by PAYER, SRC_FILE_NM, DOS_THRU_YYYYMM"/>
  </r>
  <r>
    <x v="2"/>
    <s v="SGMRYCLN_PE202401_REMAO004.TXT"/>
    <x v="67"/>
    <x v="7"/>
    <n v="9"/>
    <n v="52045"/>
    <n v="0.02"/>
    <s v="DQS_MAO04_FILE_000_B"/>
    <s v="RECORD COUNT by MBR_ID, DOS_THRU_DT, DX_CD Grain grouped by PAYER, SRC_FILE_NM, DOS_THRU_YYYYMM"/>
  </r>
  <r>
    <x v="2"/>
    <s v="SGMRYCLN_PE202401_REMAO004.TXT"/>
    <x v="68"/>
    <x v="7"/>
    <n v="2"/>
    <n v="52045"/>
    <n v="0"/>
    <s v="DQS_MAO04_FILE_000_B"/>
    <s v="RECORD COUNT by MBR_ID, DOS_THRU_DT, DX_CD Grain grouped by PAYER, SRC_FILE_NM, DOS_THRU_YYYYMM"/>
  </r>
  <r>
    <x v="2"/>
    <s v="SGMRYCLN_PE202401_REMAO004.TXT"/>
    <x v="69"/>
    <x v="7"/>
    <n v="31"/>
    <n v="52045"/>
    <n v="0.06"/>
    <s v="DQS_MAO04_FILE_000_B"/>
    <s v="RECORD COUNT by MBR_ID, DOS_THRU_DT, DX_CD Grain grouped by PAYER, SRC_FILE_NM, DOS_THRU_YYYYMM"/>
  </r>
  <r>
    <x v="2"/>
    <s v="SGMRYCLN_PE202401_REMAO004.TXT"/>
    <x v="70"/>
    <x v="7"/>
    <n v="30"/>
    <n v="52045"/>
    <n v="0.06"/>
    <s v="DQS_MAO04_FILE_000_B"/>
    <s v="RECORD COUNT by MBR_ID, DOS_THRU_DT, DX_CD Grain grouped by PAYER, SRC_FILE_NM, DOS_THRU_YYYYMM"/>
  </r>
  <r>
    <x v="2"/>
    <s v="SGMRYCLN_PE202401_REMAO004.TXT"/>
    <x v="71"/>
    <x v="7"/>
    <n v="21"/>
    <n v="52045"/>
    <n v="0.04"/>
    <s v="DQS_MAO04_FILE_000_B"/>
    <s v="RECORD COUNT by MBR_ID, DOS_THRU_DT, DX_CD Grain grouped by PAYER, SRC_FILE_NM, DOS_THRU_YYYYMM"/>
  </r>
  <r>
    <x v="2"/>
    <s v="SGMRYCLN_PE202401_REMAO004.TXT"/>
    <x v="72"/>
    <x v="7"/>
    <n v="43"/>
    <n v="52045"/>
    <n v="0.08"/>
    <s v="DQS_MAO04_FILE_000_B"/>
    <s v="RECORD COUNT by MBR_ID, DOS_THRU_DT, DX_CD Grain grouped by PAYER, SRC_FILE_NM, DOS_THRU_YYYYMM"/>
  </r>
  <r>
    <x v="2"/>
    <s v="SGMRYCLN_PE202401_REMAO004.TXT"/>
    <x v="73"/>
    <x v="7"/>
    <n v="64"/>
    <n v="52045"/>
    <n v="0.12"/>
    <s v="DQS_MAO04_FILE_000_B"/>
    <s v="RECORD COUNT by MBR_ID, DOS_THRU_DT, DX_CD Grain grouped by PAYER, SRC_FILE_NM, DOS_THRU_YYYYMM"/>
  </r>
  <r>
    <x v="2"/>
    <s v="SGMRYCLN_PE202401_REMAO004.TXT"/>
    <x v="74"/>
    <x v="7"/>
    <n v="86"/>
    <n v="52045"/>
    <n v="0.17"/>
    <s v="DQS_MAO04_FILE_000_B"/>
    <s v="RECORD COUNT by MBR_ID, DOS_THRU_DT, DX_CD Grain grouped by PAYER, SRC_FILE_NM, DOS_THRU_YYYYMM"/>
  </r>
  <r>
    <x v="2"/>
    <s v="SGMRYCLN_PE202401_REMAO004.TXT"/>
    <x v="75"/>
    <x v="7"/>
    <n v="54"/>
    <n v="52045"/>
    <n v="0.1"/>
    <s v="DQS_MAO04_FILE_000_B"/>
    <s v="RECORD COUNT by MBR_ID, DOS_THRU_DT, DX_CD Grain grouped by PAYER, SRC_FILE_NM, DOS_THRU_YYYYMM"/>
  </r>
  <r>
    <x v="2"/>
    <s v="SGMRYCLN_PE202401_REMAO004.TXT"/>
    <x v="76"/>
    <x v="7"/>
    <n v="99"/>
    <n v="52045"/>
    <n v="0.19"/>
    <s v="DQS_MAO04_FILE_000_B"/>
    <s v="RECORD COUNT by MBR_ID, DOS_THRU_DT, DX_CD Grain grouped by PAYER, SRC_FILE_NM, DOS_THRU_YYYYMM"/>
  </r>
  <r>
    <x v="2"/>
    <s v="SGMRYCLN_PE202401_REMAO004.TXT"/>
    <x v="77"/>
    <x v="8"/>
    <n v="105"/>
    <n v="52045"/>
    <n v="0.2"/>
    <s v="DQS_MAO04_FILE_000_B"/>
    <s v="RECORD COUNT by MBR_ID, DOS_THRU_DT, DX_CD Grain grouped by PAYER, SRC_FILE_NM, DOS_THRU_YYYYMM"/>
  </r>
  <r>
    <x v="2"/>
    <s v="SGMRYCLN_PE202401_REMAO004.TXT"/>
    <x v="78"/>
    <x v="8"/>
    <n v="95"/>
    <n v="52045"/>
    <n v="0.18"/>
    <s v="DQS_MAO04_FILE_000_B"/>
    <s v="RECORD COUNT by MBR_ID, DOS_THRU_DT, DX_CD Grain grouped by PAYER, SRC_FILE_NM, DOS_THRU_YYYYMM"/>
  </r>
  <r>
    <x v="2"/>
    <s v="SGMRYCLN_PE202401_REMAO004.TXT"/>
    <x v="79"/>
    <x v="8"/>
    <n v="394"/>
    <n v="52045"/>
    <n v="0.76"/>
    <s v="DQS_MAO04_FILE_000_B"/>
    <s v="RECORD COUNT by MBR_ID, DOS_THRU_DT, DX_CD Grain grouped by PAYER, SRC_FILE_NM, DOS_THRU_YYYYMM"/>
  </r>
  <r>
    <x v="2"/>
    <s v="SGMRYCLN_PE202401_REMAO004.TXT"/>
    <x v="80"/>
    <x v="8"/>
    <n v="224"/>
    <n v="52045"/>
    <n v="0.43"/>
    <s v="DQS_MAO04_FILE_000_B"/>
    <s v="RECORD COUNT by MBR_ID, DOS_THRU_DT, DX_CD Grain grouped by PAYER, SRC_FILE_NM, DOS_THRU_YYYYMM"/>
  </r>
  <r>
    <x v="2"/>
    <s v="SGMRYCLN_PE202401_REMAO004.TXT"/>
    <x v="81"/>
    <x v="8"/>
    <n v="374"/>
    <n v="52045"/>
    <n v="0.72"/>
    <s v="DQS_MAO04_FILE_000_B"/>
    <s v="RECORD COUNT by MBR_ID, DOS_THRU_DT, DX_CD Grain grouped by PAYER, SRC_FILE_NM, DOS_THRU_YYYYMM"/>
  </r>
  <r>
    <x v="2"/>
    <s v="SGMRYCLN_PE202401_REMAO004.TXT"/>
    <x v="82"/>
    <x v="8"/>
    <n v="368"/>
    <n v="52045"/>
    <n v="0.71"/>
    <s v="DQS_MAO04_FILE_000_B"/>
    <s v="RECORD COUNT by MBR_ID, DOS_THRU_DT, DX_CD Grain grouped by PAYER, SRC_FILE_NM, DOS_THRU_YYYYMM"/>
  </r>
  <r>
    <x v="2"/>
    <s v="SGMRYCLN_PE202401_REMAO004.TXT"/>
    <x v="83"/>
    <x v="8"/>
    <n v="681"/>
    <n v="52045"/>
    <n v="1.31"/>
    <s v="DQS_MAO04_FILE_000_B"/>
    <s v="RECORD COUNT by MBR_ID, DOS_THRU_DT, DX_CD Grain grouped by PAYER, SRC_FILE_NM, DOS_THRU_YYYYMM"/>
  </r>
  <r>
    <x v="2"/>
    <s v="SGMRYCLN_PE202401_REMAO004.TXT"/>
    <x v="84"/>
    <x v="8"/>
    <n v="1397"/>
    <n v="52045"/>
    <n v="2.68"/>
    <s v="DQS_MAO04_FILE_000_B"/>
    <s v="RECORD COUNT by MBR_ID, DOS_THRU_DT, DX_CD Grain grouped by PAYER, SRC_FILE_NM, DOS_THRU_YYYYMM"/>
  </r>
  <r>
    <x v="2"/>
    <s v="SGMRYCLN_PE202401_REMAO004.TXT"/>
    <x v="85"/>
    <x v="8"/>
    <n v="3513"/>
    <n v="52045"/>
    <n v="6.75"/>
    <s v="DQS_MAO04_FILE_000_B"/>
    <s v="RECORD COUNT by MBR_ID, DOS_THRU_DT, DX_CD Grain grouped by PAYER, SRC_FILE_NM, DOS_THRU_YYYYMM"/>
  </r>
  <r>
    <x v="2"/>
    <s v="SGMRYCLN_PE202401_REMAO004.TXT"/>
    <x v="86"/>
    <x v="8"/>
    <n v="25419"/>
    <n v="52045"/>
    <n v="48.84"/>
    <s v="DQS_MAO04_FILE_000_B"/>
    <s v="RECORD COUNT by MBR_ID, DOS_THRU_DT, DX_CD Grain grouped by PAYER, SRC_FILE_NM, DOS_THRU_YYYYMM"/>
  </r>
  <r>
    <x v="2"/>
    <s v="SGMRYCLN_PE202401_REMAO004.TXT"/>
    <x v="87"/>
    <x v="8"/>
    <n v="18974"/>
    <n v="52045"/>
    <n v="36.46"/>
    <s v="DQS_MAO04_FILE_000_B"/>
    <s v="RECORD COUNT by MBR_ID, DOS_THRU_DT, DX_CD Grain grouped by PAYER, SRC_FILE_NM, DOS_THRU_YYYYMM"/>
  </r>
  <r>
    <x v="2"/>
    <s v="SGMRYCLN_PE202402_REMAO004.TXT"/>
    <x v="45"/>
    <x v="5"/>
    <n v="18"/>
    <n v="68057"/>
    <n v="0.03"/>
    <s v="DQS_MAO04_FILE_000_B"/>
    <s v="RECORD COUNT by MBR_ID, DOS_THRU_DT, DX_CD Grain grouped by PAYER, SRC_FILE_NM, DOS_THRU_YYYYMM"/>
  </r>
  <r>
    <x v="2"/>
    <s v="SGMRYCLN_PE202402_REMAO004.TXT"/>
    <x v="51"/>
    <x v="5"/>
    <n v="10"/>
    <n v="68057"/>
    <n v="0.01"/>
    <s v="DQS_MAO04_FILE_000_B"/>
    <s v="RECORD COUNT by MBR_ID, DOS_THRU_DT, DX_CD Grain grouped by PAYER, SRC_FILE_NM, DOS_THRU_YYYYMM"/>
  </r>
  <r>
    <x v="2"/>
    <s v="SGMRYCLN_PE202402_REMAO004.TXT"/>
    <x v="52"/>
    <x v="5"/>
    <n v="10"/>
    <n v="68057"/>
    <n v="0.01"/>
    <s v="DQS_MAO04_FILE_000_B"/>
    <s v="RECORD COUNT by MBR_ID, DOS_THRU_DT, DX_CD Grain grouped by PAYER, SRC_FILE_NM, DOS_THRU_YYYYMM"/>
  </r>
  <r>
    <x v="2"/>
    <s v="SGMRYCLN_PE202402_REMAO004.TXT"/>
    <x v="54"/>
    <x v="6"/>
    <n v="1"/>
    <n v="68057"/>
    <n v="0"/>
    <s v="DQS_MAO04_FILE_000_B"/>
    <s v="RECORD COUNT by MBR_ID, DOS_THRU_DT, DX_CD Grain grouped by PAYER, SRC_FILE_NM, DOS_THRU_YYYYMM"/>
  </r>
  <r>
    <x v="2"/>
    <s v="SGMRYCLN_PE202402_REMAO004.TXT"/>
    <x v="58"/>
    <x v="6"/>
    <n v="1"/>
    <n v="68057"/>
    <n v="0"/>
    <s v="DQS_MAO04_FILE_000_B"/>
    <s v="RECORD COUNT by MBR_ID, DOS_THRU_DT, DX_CD Grain grouped by PAYER, SRC_FILE_NM, DOS_THRU_YYYYMM"/>
  </r>
  <r>
    <x v="2"/>
    <s v="SGMRYCLN_PE202402_REMAO004.TXT"/>
    <x v="60"/>
    <x v="6"/>
    <n v="1"/>
    <n v="68057"/>
    <n v="0"/>
    <s v="DQS_MAO04_FILE_000_B"/>
    <s v="RECORD COUNT by MBR_ID, DOS_THRU_DT, DX_CD Grain grouped by PAYER, SRC_FILE_NM, DOS_THRU_YYYYMM"/>
  </r>
  <r>
    <x v="2"/>
    <s v="SGMRYCLN_PE202402_REMAO004.TXT"/>
    <x v="61"/>
    <x v="6"/>
    <n v="28"/>
    <n v="68057"/>
    <n v="0.04"/>
    <s v="DQS_MAO04_FILE_000_B"/>
    <s v="RECORD COUNT by MBR_ID, DOS_THRU_DT, DX_CD Grain grouped by PAYER, SRC_FILE_NM, DOS_THRU_YYYYMM"/>
  </r>
  <r>
    <x v="2"/>
    <s v="SGMRYCLN_PE202402_REMAO004.TXT"/>
    <x v="63"/>
    <x v="6"/>
    <n v="8"/>
    <n v="68057"/>
    <n v="0.01"/>
    <s v="DQS_MAO04_FILE_000_B"/>
    <s v="RECORD COUNT by MBR_ID, DOS_THRU_DT, DX_CD Grain grouped by PAYER, SRC_FILE_NM, DOS_THRU_YYYYMM"/>
  </r>
  <r>
    <x v="2"/>
    <s v="SGMRYCLN_PE202402_REMAO004.TXT"/>
    <x v="64"/>
    <x v="6"/>
    <n v="46"/>
    <n v="68057"/>
    <n v="7.0000000000000007E-2"/>
    <s v="DQS_MAO04_FILE_000_B"/>
    <s v="RECORD COUNT by MBR_ID, DOS_THRU_DT, DX_CD Grain grouped by PAYER, SRC_FILE_NM, DOS_THRU_YYYYMM"/>
  </r>
  <r>
    <x v="2"/>
    <s v="SGMRYCLN_PE202402_REMAO004.TXT"/>
    <x v="65"/>
    <x v="7"/>
    <n v="100"/>
    <n v="68057"/>
    <n v="0.15"/>
    <s v="DQS_MAO04_FILE_000_B"/>
    <s v="RECORD COUNT by MBR_ID, DOS_THRU_DT, DX_CD Grain grouped by PAYER, SRC_FILE_NM, DOS_THRU_YYYYMM"/>
  </r>
  <r>
    <x v="2"/>
    <s v="SGMRYCLN_PE202402_REMAO004.TXT"/>
    <x v="66"/>
    <x v="7"/>
    <n v="36"/>
    <n v="68057"/>
    <n v="0.05"/>
    <s v="DQS_MAO04_FILE_000_B"/>
    <s v="RECORD COUNT by MBR_ID, DOS_THRU_DT, DX_CD Grain grouped by PAYER, SRC_FILE_NM, DOS_THRU_YYYYMM"/>
  </r>
  <r>
    <x v="2"/>
    <s v="SGMRYCLN_PE202402_REMAO004.TXT"/>
    <x v="67"/>
    <x v="7"/>
    <n v="119"/>
    <n v="68057"/>
    <n v="0.17"/>
    <s v="DQS_MAO04_FILE_000_B"/>
    <s v="RECORD COUNT by MBR_ID, DOS_THRU_DT, DX_CD Grain grouped by PAYER, SRC_FILE_NM, DOS_THRU_YYYYMM"/>
  </r>
  <r>
    <x v="2"/>
    <s v="SGMRYCLN_PE202402_REMAO004.TXT"/>
    <x v="68"/>
    <x v="7"/>
    <n v="178"/>
    <n v="68057"/>
    <n v="0.26"/>
    <s v="DQS_MAO04_FILE_000_B"/>
    <s v="RECORD COUNT by MBR_ID, DOS_THRU_DT, DX_CD Grain grouped by PAYER, SRC_FILE_NM, DOS_THRU_YYYYMM"/>
  </r>
  <r>
    <x v="2"/>
    <s v="SGMRYCLN_PE202402_REMAO004.TXT"/>
    <x v="69"/>
    <x v="7"/>
    <n v="91"/>
    <n v="68057"/>
    <n v="0.13"/>
    <s v="DQS_MAO04_FILE_000_B"/>
    <s v="RECORD COUNT by MBR_ID, DOS_THRU_DT, DX_CD Grain grouped by PAYER, SRC_FILE_NM, DOS_THRU_YYYYMM"/>
  </r>
  <r>
    <x v="2"/>
    <s v="SGMRYCLN_PE202402_REMAO004.TXT"/>
    <x v="70"/>
    <x v="7"/>
    <n v="162"/>
    <n v="68057"/>
    <n v="0.24"/>
    <s v="DQS_MAO04_FILE_000_B"/>
    <s v="RECORD COUNT by MBR_ID, DOS_THRU_DT, DX_CD Grain grouped by PAYER, SRC_FILE_NM, DOS_THRU_YYYYMM"/>
  </r>
  <r>
    <x v="2"/>
    <s v="SGMRYCLN_PE202402_REMAO004.TXT"/>
    <x v="71"/>
    <x v="7"/>
    <n v="73"/>
    <n v="68057"/>
    <n v="0.11"/>
    <s v="DQS_MAO04_FILE_000_B"/>
    <s v="RECORD COUNT by MBR_ID, DOS_THRU_DT, DX_CD Grain grouped by PAYER, SRC_FILE_NM, DOS_THRU_YYYYMM"/>
  </r>
  <r>
    <x v="2"/>
    <s v="SGMRYCLN_PE202402_REMAO004.TXT"/>
    <x v="72"/>
    <x v="7"/>
    <n v="198"/>
    <n v="68057"/>
    <n v="0.28999999999999998"/>
    <s v="DQS_MAO04_FILE_000_B"/>
    <s v="RECORD COUNT by MBR_ID, DOS_THRU_DT, DX_CD Grain grouped by PAYER, SRC_FILE_NM, DOS_THRU_YYYYMM"/>
  </r>
  <r>
    <x v="2"/>
    <s v="SGMRYCLN_PE202402_REMAO004.TXT"/>
    <x v="73"/>
    <x v="7"/>
    <n v="154"/>
    <n v="68057"/>
    <n v="0.23"/>
    <s v="DQS_MAO04_FILE_000_B"/>
    <s v="RECORD COUNT by MBR_ID, DOS_THRU_DT, DX_CD Grain grouped by PAYER, SRC_FILE_NM, DOS_THRU_YYYYMM"/>
  </r>
  <r>
    <x v="2"/>
    <s v="SGMRYCLN_PE202402_REMAO004.TXT"/>
    <x v="74"/>
    <x v="7"/>
    <n v="209"/>
    <n v="68057"/>
    <n v="0.31"/>
    <s v="DQS_MAO04_FILE_000_B"/>
    <s v="RECORD COUNT by MBR_ID, DOS_THRU_DT, DX_CD Grain grouped by PAYER, SRC_FILE_NM, DOS_THRU_YYYYMM"/>
  </r>
  <r>
    <x v="2"/>
    <s v="SGMRYCLN_PE202402_REMAO004.TXT"/>
    <x v="75"/>
    <x v="7"/>
    <n v="192"/>
    <n v="68057"/>
    <n v="0.28000000000000003"/>
    <s v="DQS_MAO04_FILE_000_B"/>
    <s v="RECORD COUNT by MBR_ID, DOS_THRU_DT, DX_CD Grain grouped by PAYER, SRC_FILE_NM, DOS_THRU_YYYYMM"/>
  </r>
  <r>
    <x v="2"/>
    <s v="SGMRYCLN_PE202402_REMAO004.TXT"/>
    <x v="76"/>
    <x v="7"/>
    <n v="232"/>
    <n v="68057"/>
    <n v="0.34"/>
    <s v="DQS_MAO04_FILE_000_B"/>
    <s v="RECORD COUNT by MBR_ID, DOS_THRU_DT, DX_CD Grain grouped by PAYER, SRC_FILE_NM, DOS_THRU_YYYYMM"/>
  </r>
  <r>
    <x v="2"/>
    <s v="SGMRYCLN_PE202402_REMAO004.TXT"/>
    <x v="77"/>
    <x v="8"/>
    <n v="360"/>
    <n v="68057"/>
    <n v="0.53"/>
    <s v="DQS_MAO04_FILE_000_B"/>
    <s v="RECORD COUNT by MBR_ID, DOS_THRU_DT, DX_CD Grain grouped by PAYER, SRC_FILE_NM, DOS_THRU_YYYYMM"/>
  </r>
  <r>
    <x v="2"/>
    <s v="SGMRYCLN_PE202402_REMAO004.TXT"/>
    <x v="78"/>
    <x v="8"/>
    <n v="321"/>
    <n v="68057"/>
    <n v="0.47"/>
    <s v="DQS_MAO04_FILE_000_B"/>
    <s v="RECORD COUNT by MBR_ID, DOS_THRU_DT, DX_CD Grain grouped by PAYER, SRC_FILE_NM, DOS_THRU_YYYYMM"/>
  </r>
  <r>
    <x v="2"/>
    <s v="SGMRYCLN_PE202402_REMAO004.TXT"/>
    <x v="79"/>
    <x v="8"/>
    <n v="572"/>
    <n v="68057"/>
    <n v="0.84"/>
    <s v="DQS_MAO04_FILE_000_B"/>
    <s v="RECORD COUNT by MBR_ID, DOS_THRU_DT, DX_CD Grain grouped by PAYER, SRC_FILE_NM, DOS_THRU_YYYYMM"/>
  </r>
  <r>
    <x v="2"/>
    <s v="SGMRYCLN_PE202402_REMAO004.TXT"/>
    <x v="80"/>
    <x v="8"/>
    <n v="379"/>
    <n v="68057"/>
    <n v="0.56000000000000005"/>
    <s v="DQS_MAO04_FILE_000_B"/>
    <s v="RECORD COUNT by MBR_ID, DOS_THRU_DT, DX_CD Grain grouped by PAYER, SRC_FILE_NM, DOS_THRU_YYYYMM"/>
  </r>
  <r>
    <x v="2"/>
    <s v="SGMRYCLN_PE202402_REMAO004.TXT"/>
    <x v="81"/>
    <x v="8"/>
    <n v="528"/>
    <n v="68057"/>
    <n v="0.78"/>
    <s v="DQS_MAO04_FILE_000_B"/>
    <s v="RECORD COUNT by MBR_ID, DOS_THRU_DT, DX_CD Grain grouped by PAYER, SRC_FILE_NM, DOS_THRU_YYYYMM"/>
  </r>
  <r>
    <x v="2"/>
    <s v="SGMRYCLN_PE202402_REMAO004.TXT"/>
    <x v="82"/>
    <x v="8"/>
    <n v="791"/>
    <n v="68057"/>
    <n v="1.1599999999999999"/>
    <s v="DQS_MAO04_FILE_000_B"/>
    <s v="RECORD COUNT by MBR_ID, DOS_THRU_DT, DX_CD Grain grouped by PAYER, SRC_FILE_NM, DOS_THRU_YYYYMM"/>
  </r>
  <r>
    <x v="2"/>
    <s v="SGMRYCLN_PE202402_REMAO004.TXT"/>
    <x v="83"/>
    <x v="8"/>
    <n v="859"/>
    <n v="68057"/>
    <n v="1.26"/>
    <s v="DQS_MAO04_FILE_000_B"/>
    <s v="RECORD COUNT by MBR_ID, DOS_THRU_DT, DX_CD Grain grouped by PAYER, SRC_FILE_NM, DOS_THRU_YYYYMM"/>
  </r>
  <r>
    <x v="2"/>
    <s v="SGMRYCLN_PE202402_REMAO004.TXT"/>
    <x v="84"/>
    <x v="8"/>
    <n v="1206"/>
    <n v="68057"/>
    <n v="1.77"/>
    <s v="DQS_MAO04_FILE_000_B"/>
    <s v="RECORD COUNT by MBR_ID, DOS_THRU_DT, DX_CD Grain grouped by PAYER, SRC_FILE_NM, DOS_THRU_YYYYMM"/>
  </r>
  <r>
    <x v="2"/>
    <s v="SGMRYCLN_PE202402_REMAO004.TXT"/>
    <x v="85"/>
    <x v="8"/>
    <n v="1902"/>
    <n v="68057"/>
    <n v="2.79"/>
    <s v="DQS_MAO04_FILE_000_B"/>
    <s v="RECORD COUNT by MBR_ID, DOS_THRU_DT, DX_CD Grain grouped by PAYER, SRC_FILE_NM, DOS_THRU_YYYYMM"/>
  </r>
  <r>
    <x v="2"/>
    <s v="SGMRYCLN_PE202402_REMAO004.TXT"/>
    <x v="86"/>
    <x v="8"/>
    <n v="7956"/>
    <n v="68057"/>
    <n v="11.69"/>
    <s v="DQS_MAO04_FILE_000_B"/>
    <s v="RECORD COUNT by MBR_ID, DOS_THRU_DT, DX_CD Grain grouped by PAYER, SRC_FILE_NM, DOS_THRU_YYYYMM"/>
  </r>
  <r>
    <x v="2"/>
    <s v="SGMRYCLN_PE202402_REMAO004.TXT"/>
    <x v="87"/>
    <x v="8"/>
    <n v="27498"/>
    <n v="68057"/>
    <n v="40.4"/>
    <s v="DQS_MAO04_FILE_000_B"/>
    <s v="RECORD COUNT by MBR_ID, DOS_THRU_DT, DX_CD Grain grouped by PAYER, SRC_FILE_NM, DOS_THRU_YYYYMM"/>
  </r>
  <r>
    <x v="2"/>
    <s v="SGMRYCLN_PE202402_REMAO004.TXT"/>
    <x v="88"/>
    <x v="8"/>
    <n v="23818"/>
    <n v="68057"/>
    <n v="35"/>
    <s v="DQS_MAO04_FILE_000_B"/>
    <s v="RECORD COUNT by MBR_ID, DOS_THRU_DT, DX_CD Grain grouped by PAYER, SRC_FILE_NM, DOS_THRU_YYYYMM"/>
  </r>
  <r>
    <x v="2"/>
    <s v="SGMRYCLN_PE202403_REMAO004.TXT"/>
    <x v="24"/>
    <x v="3"/>
    <n v="2"/>
    <n v="54076"/>
    <n v="0"/>
    <s v="DQS_MAO04_FILE_000_B"/>
    <s v="RECORD COUNT by MBR_ID, DOS_THRU_DT, DX_CD Grain grouped by PAYER, SRC_FILE_NM, DOS_THRU_YYYYMM"/>
  </r>
  <r>
    <x v="2"/>
    <s v="SGMRYCLN_PE202403_REMAO004.TXT"/>
    <x v="45"/>
    <x v="5"/>
    <n v="9"/>
    <n v="54076"/>
    <n v="0.02"/>
    <s v="DQS_MAO04_FILE_000_B"/>
    <s v="RECORD COUNT by MBR_ID, DOS_THRU_DT, DX_CD Grain grouped by PAYER, SRC_FILE_NM, DOS_THRU_YYYYMM"/>
  </r>
  <r>
    <x v="2"/>
    <s v="SGMRYCLN_PE202403_REMAO004.TXT"/>
    <x v="52"/>
    <x v="5"/>
    <n v="1"/>
    <n v="54076"/>
    <n v="0"/>
    <s v="DQS_MAO04_FILE_000_B"/>
    <s v="RECORD COUNT by MBR_ID, DOS_THRU_DT, DX_CD Grain grouped by PAYER, SRC_FILE_NM, DOS_THRU_YYYYMM"/>
  </r>
  <r>
    <x v="2"/>
    <s v="SGMRYCLN_PE202403_REMAO004.TXT"/>
    <x v="54"/>
    <x v="6"/>
    <n v="17"/>
    <n v="54076"/>
    <n v="0.03"/>
    <s v="DQS_MAO04_FILE_000_B"/>
    <s v="RECORD COUNT by MBR_ID, DOS_THRU_DT, DX_CD Grain grouped by PAYER, SRC_FILE_NM, DOS_THRU_YYYYMM"/>
  </r>
  <r>
    <x v="2"/>
    <s v="SGMRYCLN_PE202403_REMAO004.TXT"/>
    <x v="57"/>
    <x v="6"/>
    <n v="19"/>
    <n v="54076"/>
    <n v="0.04"/>
    <s v="DQS_MAO04_FILE_000_B"/>
    <s v="RECORD COUNT by MBR_ID, DOS_THRU_DT, DX_CD Grain grouped by PAYER, SRC_FILE_NM, DOS_THRU_YYYYMM"/>
  </r>
  <r>
    <x v="2"/>
    <s v="SGMRYCLN_PE202403_REMAO004.TXT"/>
    <x v="58"/>
    <x v="6"/>
    <n v="26"/>
    <n v="54076"/>
    <n v="0.05"/>
    <s v="DQS_MAO04_FILE_000_B"/>
    <s v="RECORD COUNT by MBR_ID, DOS_THRU_DT, DX_CD Grain grouped by PAYER, SRC_FILE_NM, DOS_THRU_YYYYMM"/>
  </r>
  <r>
    <x v="2"/>
    <s v="SGMRYCLN_PE202403_REMAO004.TXT"/>
    <x v="59"/>
    <x v="6"/>
    <n v="21"/>
    <n v="54076"/>
    <n v="0.04"/>
    <s v="DQS_MAO04_FILE_000_B"/>
    <s v="RECORD COUNT by MBR_ID, DOS_THRU_DT, DX_CD Grain grouped by PAYER, SRC_FILE_NM, DOS_THRU_YYYYMM"/>
  </r>
  <r>
    <x v="2"/>
    <s v="SGMRYCLN_PE202403_REMAO004.TXT"/>
    <x v="60"/>
    <x v="6"/>
    <n v="6"/>
    <n v="54076"/>
    <n v="0.01"/>
    <s v="DQS_MAO04_FILE_000_B"/>
    <s v="RECORD COUNT by MBR_ID, DOS_THRU_DT, DX_CD Grain grouped by PAYER, SRC_FILE_NM, DOS_THRU_YYYYMM"/>
  </r>
  <r>
    <x v="2"/>
    <s v="SGMRYCLN_PE202403_REMAO004.TXT"/>
    <x v="62"/>
    <x v="6"/>
    <n v="13"/>
    <n v="54076"/>
    <n v="0.02"/>
    <s v="DQS_MAO04_FILE_000_B"/>
    <s v="RECORD COUNT by MBR_ID, DOS_THRU_DT, DX_CD Grain grouped by PAYER, SRC_FILE_NM, DOS_THRU_YYYYMM"/>
  </r>
  <r>
    <x v="2"/>
    <s v="SGMRYCLN_PE202403_REMAO004.TXT"/>
    <x v="63"/>
    <x v="6"/>
    <n v="16"/>
    <n v="54076"/>
    <n v="0.03"/>
    <s v="DQS_MAO04_FILE_000_B"/>
    <s v="RECORD COUNT by MBR_ID, DOS_THRU_DT, DX_CD Grain grouped by PAYER, SRC_FILE_NM, DOS_THRU_YYYYMM"/>
  </r>
  <r>
    <x v="2"/>
    <s v="SGMRYCLN_PE202403_REMAO004.TXT"/>
    <x v="64"/>
    <x v="6"/>
    <n v="10"/>
    <n v="54076"/>
    <n v="0.02"/>
    <s v="DQS_MAO04_FILE_000_B"/>
    <s v="RECORD COUNT by MBR_ID, DOS_THRU_DT, DX_CD Grain grouped by PAYER, SRC_FILE_NM, DOS_THRU_YYYYMM"/>
  </r>
  <r>
    <x v="2"/>
    <s v="SGMRYCLN_PE202403_REMAO004.TXT"/>
    <x v="65"/>
    <x v="7"/>
    <n v="116"/>
    <n v="54076"/>
    <n v="0.21"/>
    <s v="DQS_MAO04_FILE_000_B"/>
    <s v="RECORD COUNT by MBR_ID, DOS_THRU_DT, DX_CD Grain grouped by PAYER, SRC_FILE_NM, DOS_THRU_YYYYMM"/>
  </r>
  <r>
    <x v="2"/>
    <s v="SGMRYCLN_PE202403_REMAO004.TXT"/>
    <x v="66"/>
    <x v="7"/>
    <n v="3"/>
    <n v="54076"/>
    <n v="0.01"/>
    <s v="DQS_MAO04_FILE_000_B"/>
    <s v="RECORD COUNT by MBR_ID, DOS_THRU_DT, DX_CD Grain grouped by PAYER, SRC_FILE_NM, DOS_THRU_YYYYMM"/>
  </r>
  <r>
    <x v="2"/>
    <s v="SGMRYCLN_PE202403_REMAO004.TXT"/>
    <x v="67"/>
    <x v="7"/>
    <n v="17"/>
    <n v="54076"/>
    <n v="0.03"/>
    <s v="DQS_MAO04_FILE_000_B"/>
    <s v="RECORD COUNT by MBR_ID, DOS_THRU_DT, DX_CD Grain grouped by PAYER, SRC_FILE_NM, DOS_THRU_YYYYMM"/>
  </r>
  <r>
    <x v="2"/>
    <s v="SGMRYCLN_PE202403_REMAO004.TXT"/>
    <x v="68"/>
    <x v="7"/>
    <n v="11"/>
    <n v="54076"/>
    <n v="0.02"/>
    <s v="DQS_MAO04_FILE_000_B"/>
    <s v="RECORD COUNT by MBR_ID, DOS_THRU_DT, DX_CD Grain grouped by PAYER, SRC_FILE_NM, DOS_THRU_YYYYMM"/>
  </r>
  <r>
    <x v="2"/>
    <s v="SGMRYCLN_PE202403_REMAO004.TXT"/>
    <x v="69"/>
    <x v="7"/>
    <n v="3"/>
    <n v="54076"/>
    <n v="0.01"/>
    <s v="DQS_MAO04_FILE_000_B"/>
    <s v="RECORD COUNT by MBR_ID, DOS_THRU_DT, DX_CD Grain grouped by PAYER, SRC_FILE_NM, DOS_THRU_YYYYMM"/>
  </r>
  <r>
    <x v="2"/>
    <s v="SGMRYCLN_PE202403_REMAO004.TXT"/>
    <x v="70"/>
    <x v="7"/>
    <n v="31"/>
    <n v="54076"/>
    <n v="0.06"/>
    <s v="DQS_MAO04_FILE_000_B"/>
    <s v="RECORD COUNT by MBR_ID, DOS_THRU_DT, DX_CD Grain grouped by PAYER, SRC_FILE_NM, DOS_THRU_YYYYMM"/>
  </r>
  <r>
    <x v="2"/>
    <s v="SGMRYCLN_PE202403_REMAO004.TXT"/>
    <x v="71"/>
    <x v="7"/>
    <n v="42"/>
    <n v="54076"/>
    <n v="0.08"/>
    <s v="DQS_MAO04_FILE_000_B"/>
    <s v="RECORD COUNT by MBR_ID, DOS_THRU_DT, DX_CD Grain grouped by PAYER, SRC_FILE_NM, DOS_THRU_YYYYMM"/>
  </r>
  <r>
    <x v="2"/>
    <s v="SGMRYCLN_PE202403_REMAO004.TXT"/>
    <x v="72"/>
    <x v="7"/>
    <n v="77"/>
    <n v="54076"/>
    <n v="0.14000000000000001"/>
    <s v="DQS_MAO04_FILE_000_B"/>
    <s v="RECORD COUNT by MBR_ID, DOS_THRU_DT, DX_CD Grain grouped by PAYER, SRC_FILE_NM, DOS_THRU_YYYYMM"/>
  </r>
  <r>
    <x v="2"/>
    <s v="SGMRYCLN_PE202403_REMAO004.TXT"/>
    <x v="73"/>
    <x v="7"/>
    <n v="42"/>
    <n v="54076"/>
    <n v="0.08"/>
    <s v="DQS_MAO04_FILE_000_B"/>
    <s v="RECORD COUNT by MBR_ID, DOS_THRU_DT, DX_CD Grain grouped by PAYER, SRC_FILE_NM, DOS_THRU_YYYYMM"/>
  </r>
  <r>
    <x v="2"/>
    <s v="SGMRYCLN_PE202403_REMAO004.TXT"/>
    <x v="74"/>
    <x v="7"/>
    <n v="95"/>
    <n v="54076"/>
    <n v="0.18"/>
    <s v="DQS_MAO04_FILE_000_B"/>
    <s v="RECORD COUNT by MBR_ID, DOS_THRU_DT, DX_CD Grain grouped by PAYER, SRC_FILE_NM, DOS_THRU_YYYYMM"/>
  </r>
  <r>
    <x v="2"/>
    <s v="SGMRYCLN_PE202403_REMAO004.TXT"/>
    <x v="75"/>
    <x v="7"/>
    <n v="99"/>
    <n v="54076"/>
    <n v="0.18"/>
    <s v="DQS_MAO04_FILE_000_B"/>
    <s v="RECORD COUNT by MBR_ID, DOS_THRU_DT, DX_CD Grain grouped by PAYER, SRC_FILE_NM, DOS_THRU_YYYYMM"/>
  </r>
  <r>
    <x v="2"/>
    <s v="SGMRYCLN_PE202403_REMAO004.TXT"/>
    <x v="76"/>
    <x v="7"/>
    <n v="84"/>
    <n v="54076"/>
    <n v="0.16"/>
    <s v="DQS_MAO04_FILE_000_B"/>
    <s v="RECORD COUNT by MBR_ID, DOS_THRU_DT, DX_CD Grain grouped by PAYER, SRC_FILE_NM, DOS_THRU_YYYYMM"/>
  </r>
  <r>
    <x v="2"/>
    <s v="SGMRYCLN_PE202403_REMAO004.TXT"/>
    <x v="77"/>
    <x v="8"/>
    <n v="243"/>
    <n v="54076"/>
    <n v="0.45"/>
    <s v="DQS_MAO04_FILE_000_B"/>
    <s v="RECORD COUNT by MBR_ID, DOS_THRU_DT, DX_CD Grain grouped by PAYER, SRC_FILE_NM, DOS_THRU_YYYYMM"/>
  </r>
  <r>
    <x v="2"/>
    <s v="SGMRYCLN_PE202403_REMAO004.TXT"/>
    <x v="78"/>
    <x v="8"/>
    <n v="290"/>
    <n v="54076"/>
    <n v="0.54"/>
    <s v="DQS_MAO04_FILE_000_B"/>
    <s v="RECORD COUNT by MBR_ID, DOS_THRU_DT, DX_CD Grain grouped by PAYER, SRC_FILE_NM, DOS_THRU_YYYYMM"/>
  </r>
  <r>
    <x v="2"/>
    <s v="SGMRYCLN_PE202403_REMAO004.TXT"/>
    <x v="79"/>
    <x v="8"/>
    <n v="230"/>
    <n v="54076"/>
    <n v="0.43"/>
    <s v="DQS_MAO04_FILE_000_B"/>
    <s v="RECORD COUNT by MBR_ID, DOS_THRU_DT, DX_CD Grain grouped by PAYER, SRC_FILE_NM, DOS_THRU_YYYYMM"/>
  </r>
  <r>
    <x v="2"/>
    <s v="SGMRYCLN_PE202403_REMAO004.TXT"/>
    <x v="80"/>
    <x v="8"/>
    <n v="341"/>
    <n v="54076"/>
    <n v="0.63"/>
    <s v="DQS_MAO04_FILE_000_B"/>
    <s v="RECORD COUNT by MBR_ID, DOS_THRU_DT, DX_CD Grain grouped by PAYER, SRC_FILE_NM, DOS_THRU_YYYYMM"/>
  </r>
  <r>
    <x v="2"/>
    <s v="SGMRYCLN_PE202403_REMAO004.TXT"/>
    <x v="81"/>
    <x v="8"/>
    <n v="327"/>
    <n v="54076"/>
    <n v="0.6"/>
    <s v="DQS_MAO04_FILE_000_B"/>
    <s v="RECORD COUNT by MBR_ID, DOS_THRU_DT, DX_CD Grain grouped by PAYER, SRC_FILE_NM, DOS_THRU_YYYYMM"/>
  </r>
  <r>
    <x v="2"/>
    <s v="SGMRYCLN_PE202403_REMAO004.TXT"/>
    <x v="82"/>
    <x v="8"/>
    <n v="463"/>
    <n v="54076"/>
    <n v="0.86"/>
    <s v="DQS_MAO04_FILE_000_B"/>
    <s v="RECORD COUNT by MBR_ID, DOS_THRU_DT, DX_CD Grain grouped by PAYER, SRC_FILE_NM, DOS_THRU_YYYYMM"/>
  </r>
  <r>
    <x v="2"/>
    <s v="SGMRYCLN_PE202403_REMAO004.TXT"/>
    <x v="83"/>
    <x v="8"/>
    <n v="395"/>
    <n v="54076"/>
    <n v="0.73"/>
    <s v="DQS_MAO04_FILE_000_B"/>
    <s v="RECORD COUNT by MBR_ID, DOS_THRU_DT, DX_CD Grain grouped by PAYER, SRC_FILE_NM, DOS_THRU_YYYYMM"/>
  </r>
  <r>
    <x v="2"/>
    <s v="SGMRYCLN_PE202403_REMAO004.TXT"/>
    <x v="84"/>
    <x v="8"/>
    <n v="926"/>
    <n v="54076"/>
    <n v="1.71"/>
    <s v="DQS_MAO04_FILE_000_B"/>
    <s v="RECORD COUNT by MBR_ID, DOS_THRU_DT, DX_CD Grain grouped by PAYER, SRC_FILE_NM, DOS_THRU_YYYYMM"/>
  </r>
  <r>
    <x v="2"/>
    <s v="SGMRYCLN_PE202403_REMAO004.TXT"/>
    <x v="85"/>
    <x v="8"/>
    <n v="1082"/>
    <n v="54076"/>
    <n v="2"/>
    <s v="DQS_MAO04_FILE_000_B"/>
    <s v="RECORD COUNT by MBR_ID, DOS_THRU_DT, DX_CD Grain grouped by PAYER, SRC_FILE_NM, DOS_THRU_YYYYMM"/>
  </r>
  <r>
    <x v="2"/>
    <s v="SGMRYCLN_PE202403_REMAO004.TXT"/>
    <x v="86"/>
    <x v="8"/>
    <n v="2441"/>
    <n v="54076"/>
    <n v="4.51"/>
    <s v="DQS_MAO04_FILE_000_B"/>
    <s v="RECORD COUNT by MBR_ID, DOS_THRU_DT, DX_CD Grain grouped by PAYER, SRC_FILE_NM, DOS_THRU_YYYYMM"/>
  </r>
  <r>
    <x v="2"/>
    <s v="SGMRYCLN_PE202403_REMAO004.TXT"/>
    <x v="87"/>
    <x v="8"/>
    <n v="4191"/>
    <n v="54076"/>
    <n v="7.75"/>
    <s v="DQS_MAO04_FILE_000_B"/>
    <s v="RECORD COUNT by MBR_ID, DOS_THRU_DT, DX_CD Grain grouped by PAYER, SRC_FILE_NM, DOS_THRU_YYYYMM"/>
  </r>
  <r>
    <x v="2"/>
    <s v="SGMRYCLN_PE202403_REMAO004.TXT"/>
    <x v="88"/>
    <x v="8"/>
    <n v="21824"/>
    <n v="54076"/>
    <n v="40.36"/>
    <s v="DQS_MAO04_FILE_000_B"/>
    <s v="RECORD COUNT by MBR_ID, DOS_THRU_DT, DX_CD Grain grouped by PAYER, SRC_FILE_NM, DOS_THRU_YYYYMM"/>
  </r>
  <r>
    <x v="2"/>
    <s v="SGMRYCLN_PE202403_REMAO004.TXT"/>
    <x v="89"/>
    <x v="9"/>
    <n v="20563"/>
    <n v="54076"/>
    <n v="38.03"/>
    <s v="DQS_MAO04_FILE_000_B"/>
    <s v="RECORD COUNT by MBR_ID, DOS_THRU_DT, DX_CD Grain grouped by PAYER, SRC_FILE_NM, DOS_THRU_YYYYMM"/>
  </r>
  <r>
    <x v="2"/>
    <s v="SGMRYCLN_PE202404_REMAO004.TXT"/>
    <x v="37"/>
    <x v="4"/>
    <n v="22"/>
    <n v="69173"/>
    <n v="0.03"/>
    <s v="DQS_MAO04_FILE_000_B"/>
    <s v="RECORD COUNT by MBR_ID, DOS_THRU_DT, DX_CD Grain grouped by PAYER, SRC_FILE_NM, DOS_THRU_YYYYMM"/>
  </r>
  <r>
    <x v="2"/>
    <s v="SGMRYCLN_PE202404_REMAO004.TXT"/>
    <x v="41"/>
    <x v="5"/>
    <n v="15"/>
    <n v="69173"/>
    <n v="0.02"/>
    <s v="DQS_MAO04_FILE_000_B"/>
    <s v="RECORD COUNT by MBR_ID, DOS_THRU_DT, DX_CD Grain grouped by PAYER, SRC_FILE_NM, DOS_THRU_YYYYMM"/>
  </r>
  <r>
    <x v="2"/>
    <s v="SGMRYCLN_PE202404_REMAO004.TXT"/>
    <x v="42"/>
    <x v="5"/>
    <n v="1"/>
    <n v="69173"/>
    <n v="0"/>
    <s v="DQS_MAO04_FILE_000_B"/>
    <s v="RECORD COUNT by MBR_ID, DOS_THRU_DT, DX_CD Grain grouped by PAYER, SRC_FILE_NM, DOS_THRU_YYYYMM"/>
  </r>
  <r>
    <x v="2"/>
    <s v="SGMRYCLN_PE202404_REMAO004.TXT"/>
    <x v="43"/>
    <x v="5"/>
    <n v="3"/>
    <n v="69173"/>
    <n v="0"/>
    <s v="DQS_MAO04_FILE_000_B"/>
    <s v="RECORD COUNT by MBR_ID, DOS_THRU_DT, DX_CD Grain grouped by PAYER, SRC_FILE_NM, DOS_THRU_YYYYMM"/>
  </r>
  <r>
    <x v="2"/>
    <s v="SGMRYCLN_PE202404_REMAO004.TXT"/>
    <x v="45"/>
    <x v="5"/>
    <n v="8"/>
    <n v="69173"/>
    <n v="0.01"/>
    <s v="DQS_MAO04_FILE_000_B"/>
    <s v="RECORD COUNT by MBR_ID, DOS_THRU_DT, DX_CD Grain grouped by PAYER, SRC_FILE_NM, DOS_THRU_YYYYMM"/>
  </r>
  <r>
    <x v="2"/>
    <s v="SGMRYCLN_PE202404_REMAO004.TXT"/>
    <x v="46"/>
    <x v="5"/>
    <n v="3"/>
    <n v="69173"/>
    <n v="0"/>
    <s v="DQS_MAO04_FILE_000_B"/>
    <s v="RECORD COUNT by MBR_ID, DOS_THRU_DT, DX_CD Grain grouped by PAYER, SRC_FILE_NM, DOS_THRU_YYYYMM"/>
  </r>
  <r>
    <x v="2"/>
    <s v="SGMRYCLN_PE202404_REMAO004.TXT"/>
    <x v="52"/>
    <x v="5"/>
    <n v="2"/>
    <n v="69173"/>
    <n v="0"/>
    <s v="DQS_MAO04_FILE_000_B"/>
    <s v="RECORD COUNT by MBR_ID, DOS_THRU_DT, DX_CD Grain grouped by PAYER, SRC_FILE_NM, DOS_THRU_YYYYMM"/>
  </r>
  <r>
    <x v="2"/>
    <s v="SGMRYCLN_PE202404_REMAO004.TXT"/>
    <x v="57"/>
    <x v="6"/>
    <n v="26"/>
    <n v="69173"/>
    <n v="0.04"/>
    <s v="DQS_MAO04_FILE_000_B"/>
    <s v="RECORD COUNT by MBR_ID, DOS_THRU_DT, DX_CD Grain grouped by PAYER, SRC_FILE_NM, DOS_THRU_YYYYMM"/>
  </r>
  <r>
    <x v="2"/>
    <s v="SGMRYCLN_PE202404_REMAO004.TXT"/>
    <x v="58"/>
    <x v="6"/>
    <n v="12"/>
    <n v="69173"/>
    <n v="0.02"/>
    <s v="DQS_MAO04_FILE_000_B"/>
    <s v="RECORD COUNT by MBR_ID, DOS_THRU_DT, DX_CD Grain grouped by PAYER, SRC_FILE_NM, DOS_THRU_YYYYMM"/>
  </r>
  <r>
    <x v="2"/>
    <s v="SGMRYCLN_PE202404_REMAO004.TXT"/>
    <x v="60"/>
    <x v="6"/>
    <n v="5"/>
    <n v="69173"/>
    <n v="0.01"/>
    <s v="DQS_MAO04_FILE_000_B"/>
    <s v="RECORD COUNT by MBR_ID, DOS_THRU_DT, DX_CD Grain grouped by PAYER, SRC_FILE_NM, DOS_THRU_YYYYMM"/>
  </r>
  <r>
    <x v="2"/>
    <s v="SGMRYCLN_PE202404_REMAO004.TXT"/>
    <x v="61"/>
    <x v="6"/>
    <n v="1"/>
    <n v="69173"/>
    <n v="0"/>
    <s v="DQS_MAO04_FILE_000_B"/>
    <s v="RECORD COUNT by MBR_ID, DOS_THRU_DT, DX_CD Grain grouped by PAYER, SRC_FILE_NM, DOS_THRU_YYYYMM"/>
  </r>
  <r>
    <x v="2"/>
    <s v="SGMRYCLN_PE202404_REMAO004.TXT"/>
    <x v="62"/>
    <x v="6"/>
    <n v="3"/>
    <n v="69173"/>
    <n v="0"/>
    <s v="DQS_MAO04_FILE_000_B"/>
    <s v="RECORD COUNT by MBR_ID, DOS_THRU_DT, DX_CD Grain grouped by PAYER, SRC_FILE_NM, DOS_THRU_YYYYMM"/>
  </r>
  <r>
    <x v="2"/>
    <s v="SGMRYCLN_PE202404_REMAO004.TXT"/>
    <x v="63"/>
    <x v="6"/>
    <n v="1"/>
    <n v="69173"/>
    <n v="0"/>
    <s v="DQS_MAO04_FILE_000_B"/>
    <s v="RECORD COUNT by MBR_ID, DOS_THRU_DT, DX_CD Grain grouped by PAYER, SRC_FILE_NM, DOS_THRU_YYYYMM"/>
  </r>
  <r>
    <x v="2"/>
    <s v="SGMRYCLN_PE202404_REMAO004.TXT"/>
    <x v="65"/>
    <x v="7"/>
    <n v="3"/>
    <n v="69173"/>
    <n v="0"/>
    <s v="DQS_MAO04_FILE_000_B"/>
    <s v="RECORD COUNT by MBR_ID, DOS_THRU_DT, DX_CD Grain grouped by PAYER, SRC_FILE_NM, DOS_THRU_YYYYMM"/>
  </r>
  <r>
    <x v="2"/>
    <s v="SGMRYCLN_PE202404_REMAO004.TXT"/>
    <x v="66"/>
    <x v="7"/>
    <n v="8"/>
    <n v="69173"/>
    <n v="0.01"/>
    <s v="DQS_MAO04_FILE_000_B"/>
    <s v="RECORD COUNT by MBR_ID, DOS_THRU_DT, DX_CD Grain grouped by PAYER, SRC_FILE_NM, DOS_THRU_YYYYMM"/>
  </r>
  <r>
    <x v="2"/>
    <s v="SGMRYCLN_PE202404_REMAO004.TXT"/>
    <x v="67"/>
    <x v="7"/>
    <n v="33"/>
    <n v="69173"/>
    <n v="0.05"/>
    <s v="DQS_MAO04_FILE_000_B"/>
    <s v="RECORD COUNT by MBR_ID, DOS_THRU_DT, DX_CD Grain grouped by PAYER, SRC_FILE_NM, DOS_THRU_YYYYMM"/>
  </r>
  <r>
    <x v="2"/>
    <s v="SGMRYCLN_PE202404_REMAO004.TXT"/>
    <x v="68"/>
    <x v="7"/>
    <n v="16"/>
    <n v="69173"/>
    <n v="0.02"/>
    <s v="DQS_MAO04_FILE_000_B"/>
    <s v="RECORD COUNT by MBR_ID, DOS_THRU_DT, DX_CD Grain grouped by PAYER, SRC_FILE_NM, DOS_THRU_YYYYMM"/>
  </r>
  <r>
    <x v="2"/>
    <s v="SGMRYCLN_PE202404_REMAO004.TXT"/>
    <x v="69"/>
    <x v="7"/>
    <n v="32"/>
    <n v="69173"/>
    <n v="0.05"/>
    <s v="DQS_MAO04_FILE_000_B"/>
    <s v="RECORD COUNT by MBR_ID, DOS_THRU_DT, DX_CD Grain grouped by PAYER, SRC_FILE_NM, DOS_THRU_YYYYMM"/>
  </r>
  <r>
    <x v="2"/>
    <s v="SGMRYCLN_PE202404_REMAO004.TXT"/>
    <x v="70"/>
    <x v="7"/>
    <n v="39"/>
    <n v="69173"/>
    <n v="0.06"/>
    <s v="DQS_MAO04_FILE_000_B"/>
    <s v="RECORD COUNT by MBR_ID, DOS_THRU_DT, DX_CD Grain grouped by PAYER, SRC_FILE_NM, DOS_THRU_YYYYMM"/>
  </r>
  <r>
    <x v="2"/>
    <s v="SGMRYCLN_PE202404_REMAO004.TXT"/>
    <x v="71"/>
    <x v="7"/>
    <n v="27"/>
    <n v="69173"/>
    <n v="0.04"/>
    <s v="DQS_MAO04_FILE_000_B"/>
    <s v="RECORD COUNT by MBR_ID, DOS_THRU_DT, DX_CD Grain grouped by PAYER, SRC_FILE_NM, DOS_THRU_YYYYMM"/>
  </r>
  <r>
    <x v="2"/>
    <s v="SGMRYCLN_PE202404_REMAO004.TXT"/>
    <x v="72"/>
    <x v="7"/>
    <n v="66"/>
    <n v="69173"/>
    <n v="0.1"/>
    <s v="DQS_MAO04_FILE_000_B"/>
    <s v="RECORD COUNT by MBR_ID, DOS_THRU_DT, DX_CD Grain grouped by PAYER, SRC_FILE_NM, DOS_THRU_YYYYMM"/>
  </r>
  <r>
    <x v="2"/>
    <s v="SGMRYCLN_PE202404_REMAO004.TXT"/>
    <x v="73"/>
    <x v="7"/>
    <n v="47"/>
    <n v="69173"/>
    <n v="7.0000000000000007E-2"/>
    <s v="DQS_MAO04_FILE_000_B"/>
    <s v="RECORD COUNT by MBR_ID, DOS_THRU_DT, DX_CD Grain grouped by PAYER, SRC_FILE_NM, DOS_THRU_YYYYMM"/>
  </r>
  <r>
    <x v="2"/>
    <s v="SGMRYCLN_PE202404_REMAO004.TXT"/>
    <x v="74"/>
    <x v="7"/>
    <n v="48"/>
    <n v="69173"/>
    <n v="7.0000000000000007E-2"/>
    <s v="DQS_MAO04_FILE_000_B"/>
    <s v="RECORD COUNT by MBR_ID, DOS_THRU_DT, DX_CD Grain grouped by PAYER, SRC_FILE_NM, DOS_THRU_YYYYMM"/>
  </r>
  <r>
    <x v="2"/>
    <s v="SGMRYCLN_PE202404_REMAO004.TXT"/>
    <x v="75"/>
    <x v="7"/>
    <n v="48"/>
    <n v="69173"/>
    <n v="7.0000000000000007E-2"/>
    <s v="DQS_MAO04_FILE_000_B"/>
    <s v="RECORD COUNT by MBR_ID, DOS_THRU_DT, DX_CD Grain grouped by PAYER, SRC_FILE_NM, DOS_THRU_YYYYMM"/>
  </r>
  <r>
    <x v="2"/>
    <s v="SGMRYCLN_PE202404_REMAO004.TXT"/>
    <x v="76"/>
    <x v="7"/>
    <n v="32"/>
    <n v="69173"/>
    <n v="0.05"/>
    <s v="DQS_MAO04_FILE_000_B"/>
    <s v="RECORD COUNT by MBR_ID, DOS_THRU_DT, DX_CD Grain grouped by PAYER, SRC_FILE_NM, DOS_THRU_YYYYMM"/>
  </r>
  <r>
    <x v="2"/>
    <s v="SGMRYCLN_PE202404_REMAO004.TXT"/>
    <x v="77"/>
    <x v="8"/>
    <n v="711"/>
    <n v="69173"/>
    <n v="1.03"/>
    <s v="DQS_MAO04_FILE_000_B"/>
    <s v="RECORD COUNT by MBR_ID, DOS_THRU_DT, DX_CD Grain grouped by PAYER, SRC_FILE_NM, DOS_THRU_YYYYMM"/>
  </r>
  <r>
    <x v="2"/>
    <s v="SGMRYCLN_PE202404_REMAO004.TXT"/>
    <x v="78"/>
    <x v="8"/>
    <n v="600"/>
    <n v="69173"/>
    <n v="0.87"/>
    <s v="DQS_MAO04_FILE_000_B"/>
    <s v="RECORD COUNT by MBR_ID, DOS_THRU_DT, DX_CD Grain grouped by PAYER, SRC_FILE_NM, DOS_THRU_YYYYMM"/>
  </r>
  <r>
    <x v="2"/>
    <s v="SGMRYCLN_PE202404_REMAO004.TXT"/>
    <x v="79"/>
    <x v="8"/>
    <n v="694"/>
    <n v="69173"/>
    <n v="1"/>
    <s v="DQS_MAO04_FILE_000_B"/>
    <s v="RECORD COUNT by MBR_ID, DOS_THRU_DT, DX_CD Grain grouped by PAYER, SRC_FILE_NM, DOS_THRU_YYYYMM"/>
  </r>
  <r>
    <x v="2"/>
    <s v="SGMRYCLN_PE202404_REMAO004.TXT"/>
    <x v="80"/>
    <x v="8"/>
    <n v="494"/>
    <n v="69173"/>
    <n v="0.71"/>
    <s v="DQS_MAO04_FILE_000_B"/>
    <s v="RECORD COUNT by MBR_ID, DOS_THRU_DT, DX_CD Grain grouped by PAYER, SRC_FILE_NM, DOS_THRU_YYYYMM"/>
  </r>
  <r>
    <x v="2"/>
    <s v="SGMRYCLN_PE202404_REMAO004.TXT"/>
    <x v="81"/>
    <x v="8"/>
    <n v="600"/>
    <n v="69173"/>
    <n v="0.87"/>
    <s v="DQS_MAO04_FILE_000_B"/>
    <s v="RECORD COUNT by MBR_ID, DOS_THRU_DT, DX_CD Grain grouped by PAYER, SRC_FILE_NM, DOS_THRU_YYYYMM"/>
  </r>
  <r>
    <x v="2"/>
    <s v="SGMRYCLN_PE202404_REMAO004.TXT"/>
    <x v="82"/>
    <x v="8"/>
    <n v="956"/>
    <n v="69173"/>
    <n v="1.38"/>
    <s v="DQS_MAO04_FILE_000_B"/>
    <s v="RECORD COUNT by MBR_ID, DOS_THRU_DT, DX_CD Grain grouped by PAYER, SRC_FILE_NM, DOS_THRU_YYYYMM"/>
  </r>
  <r>
    <x v="2"/>
    <s v="SGMRYCLN_PE202404_REMAO004.TXT"/>
    <x v="83"/>
    <x v="8"/>
    <n v="772"/>
    <n v="69173"/>
    <n v="1.1200000000000001"/>
    <s v="DQS_MAO04_FILE_000_B"/>
    <s v="RECORD COUNT by MBR_ID, DOS_THRU_DT, DX_CD Grain grouped by PAYER, SRC_FILE_NM, DOS_THRU_YYYYMM"/>
  </r>
  <r>
    <x v="2"/>
    <s v="SGMRYCLN_PE202404_REMAO004.TXT"/>
    <x v="84"/>
    <x v="8"/>
    <n v="904"/>
    <n v="69173"/>
    <n v="1.31"/>
    <s v="DQS_MAO04_FILE_000_B"/>
    <s v="RECORD COUNT by MBR_ID, DOS_THRU_DT, DX_CD Grain grouped by PAYER, SRC_FILE_NM, DOS_THRU_YYYYMM"/>
  </r>
  <r>
    <x v="2"/>
    <s v="SGMRYCLN_PE202404_REMAO004.TXT"/>
    <x v="85"/>
    <x v="8"/>
    <n v="890"/>
    <n v="69173"/>
    <n v="1.29"/>
    <s v="DQS_MAO04_FILE_000_B"/>
    <s v="RECORD COUNT by MBR_ID, DOS_THRU_DT, DX_CD Grain grouped by PAYER, SRC_FILE_NM, DOS_THRU_YYYYMM"/>
  </r>
  <r>
    <x v="2"/>
    <s v="SGMRYCLN_PE202404_REMAO004.TXT"/>
    <x v="86"/>
    <x v="8"/>
    <n v="1159"/>
    <n v="69173"/>
    <n v="1.68"/>
    <s v="DQS_MAO04_FILE_000_B"/>
    <s v="RECORD COUNT by MBR_ID, DOS_THRU_DT, DX_CD Grain grouped by PAYER, SRC_FILE_NM, DOS_THRU_YYYYMM"/>
  </r>
  <r>
    <x v="2"/>
    <s v="SGMRYCLN_PE202404_REMAO004.TXT"/>
    <x v="87"/>
    <x v="8"/>
    <n v="1962"/>
    <n v="69173"/>
    <n v="2.84"/>
    <s v="DQS_MAO04_FILE_000_B"/>
    <s v="RECORD COUNT by MBR_ID, DOS_THRU_DT, DX_CD Grain grouped by PAYER, SRC_FILE_NM, DOS_THRU_YYYYMM"/>
  </r>
  <r>
    <x v="2"/>
    <s v="SGMRYCLN_PE202404_REMAO004.TXT"/>
    <x v="88"/>
    <x v="8"/>
    <n v="4172"/>
    <n v="69173"/>
    <n v="6.03"/>
    <s v="DQS_MAO04_FILE_000_B"/>
    <s v="RECORD COUNT by MBR_ID, DOS_THRU_DT, DX_CD Grain grouped by PAYER, SRC_FILE_NM, DOS_THRU_YYYYMM"/>
  </r>
  <r>
    <x v="2"/>
    <s v="SGMRYCLN_PE202404_REMAO004.TXT"/>
    <x v="89"/>
    <x v="9"/>
    <n v="30527"/>
    <n v="69173"/>
    <n v="44.13"/>
    <s v="DQS_MAO04_FILE_000_B"/>
    <s v="RECORD COUNT by MBR_ID, DOS_THRU_DT, DX_CD Grain grouped by PAYER, SRC_FILE_NM, DOS_THRU_YYYYMM"/>
  </r>
  <r>
    <x v="2"/>
    <s v="SGMRYCLN_PE202404_REMAO004.TXT"/>
    <x v="97"/>
    <x v="9"/>
    <n v="24231"/>
    <n v="69173"/>
    <n v="35.03"/>
    <s v="DQS_MAO04_FILE_000_B"/>
    <s v="RECORD COUNT by MBR_ID, DOS_THRU_DT, DX_CD Grain grouped by PAYER, SRC_FILE_NM, DOS_THRU_YYYYMM"/>
  </r>
  <r>
    <x v="2"/>
    <s v="SGMRYCLN_PE202405_REMAO004.TXT"/>
    <x v="49"/>
    <x v="5"/>
    <n v="3"/>
    <n v="58995"/>
    <n v="0.01"/>
    <s v="DQS_MAO04_FILE_000_B"/>
    <s v="RECORD COUNT by MBR_ID, DOS_THRU_DT, DX_CD Grain grouped by PAYER, SRC_FILE_NM, DOS_THRU_YYYYMM"/>
  </r>
  <r>
    <x v="2"/>
    <s v="SGMRYCLN_PE202405_REMAO004.TXT"/>
    <x v="54"/>
    <x v="6"/>
    <n v="2"/>
    <n v="58995"/>
    <n v="0"/>
    <s v="DQS_MAO04_FILE_000_B"/>
    <s v="RECORD COUNT by MBR_ID, DOS_THRU_DT, DX_CD Grain grouped by PAYER, SRC_FILE_NM, DOS_THRU_YYYYMM"/>
  </r>
  <r>
    <x v="2"/>
    <s v="SGMRYCLN_PE202405_REMAO004.TXT"/>
    <x v="55"/>
    <x v="6"/>
    <n v="15"/>
    <n v="58995"/>
    <n v="0.03"/>
    <s v="DQS_MAO04_FILE_000_B"/>
    <s v="RECORD COUNT by MBR_ID, DOS_THRU_DT, DX_CD Grain grouped by PAYER, SRC_FILE_NM, DOS_THRU_YYYYMM"/>
  </r>
  <r>
    <x v="2"/>
    <s v="SGMRYCLN_PE202405_REMAO004.TXT"/>
    <x v="56"/>
    <x v="6"/>
    <n v="11"/>
    <n v="58995"/>
    <n v="0.02"/>
    <s v="DQS_MAO04_FILE_000_B"/>
    <s v="RECORD COUNT by MBR_ID, DOS_THRU_DT, DX_CD Grain grouped by PAYER, SRC_FILE_NM, DOS_THRU_YYYYMM"/>
  </r>
  <r>
    <x v="2"/>
    <s v="SGMRYCLN_PE202405_REMAO004.TXT"/>
    <x v="57"/>
    <x v="6"/>
    <n v="3"/>
    <n v="58995"/>
    <n v="0.01"/>
    <s v="DQS_MAO04_FILE_000_B"/>
    <s v="RECORD COUNT by MBR_ID, DOS_THRU_DT, DX_CD Grain grouped by PAYER, SRC_FILE_NM, DOS_THRU_YYYYMM"/>
  </r>
  <r>
    <x v="2"/>
    <s v="SGMRYCLN_PE202405_REMAO004.TXT"/>
    <x v="58"/>
    <x v="6"/>
    <n v="25"/>
    <n v="58995"/>
    <n v="0.04"/>
    <s v="DQS_MAO04_FILE_000_B"/>
    <s v="RECORD COUNT by MBR_ID, DOS_THRU_DT, DX_CD Grain grouped by PAYER, SRC_FILE_NM, DOS_THRU_YYYYMM"/>
  </r>
  <r>
    <x v="2"/>
    <s v="SGMRYCLN_PE202405_REMAO004.TXT"/>
    <x v="59"/>
    <x v="6"/>
    <n v="1"/>
    <n v="58995"/>
    <n v="0"/>
    <s v="DQS_MAO04_FILE_000_B"/>
    <s v="RECORD COUNT by MBR_ID, DOS_THRU_DT, DX_CD Grain grouped by PAYER, SRC_FILE_NM, DOS_THRU_YYYYMM"/>
  </r>
  <r>
    <x v="2"/>
    <s v="SGMRYCLN_PE202405_REMAO004.TXT"/>
    <x v="60"/>
    <x v="6"/>
    <n v="2"/>
    <n v="58995"/>
    <n v="0"/>
    <s v="DQS_MAO04_FILE_000_B"/>
    <s v="RECORD COUNT by MBR_ID, DOS_THRU_DT, DX_CD Grain grouped by PAYER, SRC_FILE_NM, DOS_THRU_YYYYMM"/>
  </r>
  <r>
    <x v="2"/>
    <s v="SGMRYCLN_PE202405_REMAO004.TXT"/>
    <x v="61"/>
    <x v="6"/>
    <n v="7"/>
    <n v="58995"/>
    <n v="0.01"/>
    <s v="DQS_MAO04_FILE_000_B"/>
    <s v="RECORD COUNT by MBR_ID, DOS_THRU_DT, DX_CD Grain grouped by PAYER, SRC_FILE_NM, DOS_THRU_YYYYMM"/>
  </r>
  <r>
    <x v="2"/>
    <s v="SGMRYCLN_PE202405_REMAO004.TXT"/>
    <x v="62"/>
    <x v="6"/>
    <n v="3"/>
    <n v="58995"/>
    <n v="0.01"/>
    <s v="DQS_MAO04_FILE_000_B"/>
    <s v="RECORD COUNT by MBR_ID, DOS_THRU_DT, DX_CD Grain grouped by PAYER, SRC_FILE_NM, DOS_THRU_YYYYMM"/>
  </r>
  <r>
    <x v="2"/>
    <s v="SGMRYCLN_PE202405_REMAO004.TXT"/>
    <x v="63"/>
    <x v="6"/>
    <n v="4"/>
    <n v="58995"/>
    <n v="0.01"/>
    <s v="DQS_MAO04_FILE_000_B"/>
    <s v="RECORD COUNT by MBR_ID, DOS_THRU_DT, DX_CD Grain grouped by PAYER, SRC_FILE_NM, DOS_THRU_YYYYMM"/>
  </r>
  <r>
    <x v="2"/>
    <s v="SGMRYCLN_PE202405_REMAO004.TXT"/>
    <x v="64"/>
    <x v="6"/>
    <n v="2"/>
    <n v="58995"/>
    <n v="0"/>
    <s v="DQS_MAO04_FILE_000_B"/>
    <s v="RECORD COUNT by MBR_ID, DOS_THRU_DT, DX_CD Grain grouped by PAYER, SRC_FILE_NM, DOS_THRU_YYYYMM"/>
  </r>
  <r>
    <x v="2"/>
    <s v="SGMRYCLN_PE202405_REMAO004.TXT"/>
    <x v="66"/>
    <x v="7"/>
    <n v="7"/>
    <n v="58995"/>
    <n v="0.01"/>
    <s v="DQS_MAO04_FILE_000_B"/>
    <s v="RECORD COUNT by MBR_ID, DOS_THRU_DT, DX_CD Grain grouped by PAYER, SRC_FILE_NM, DOS_THRU_YYYYMM"/>
  </r>
  <r>
    <x v="2"/>
    <s v="SGMRYCLN_PE202405_REMAO004.TXT"/>
    <x v="68"/>
    <x v="7"/>
    <n v="8"/>
    <n v="58995"/>
    <n v="0.01"/>
    <s v="DQS_MAO04_FILE_000_B"/>
    <s v="RECORD COUNT by MBR_ID, DOS_THRU_DT, DX_CD Grain grouped by PAYER, SRC_FILE_NM, DOS_THRU_YYYYMM"/>
  </r>
  <r>
    <x v="2"/>
    <s v="SGMRYCLN_PE202405_REMAO004.TXT"/>
    <x v="70"/>
    <x v="7"/>
    <n v="16"/>
    <n v="58995"/>
    <n v="0.03"/>
    <s v="DQS_MAO04_FILE_000_B"/>
    <s v="RECORD COUNT by MBR_ID, DOS_THRU_DT, DX_CD Grain grouped by PAYER, SRC_FILE_NM, DOS_THRU_YYYYMM"/>
  </r>
  <r>
    <x v="2"/>
    <s v="SGMRYCLN_PE202405_REMAO004.TXT"/>
    <x v="71"/>
    <x v="7"/>
    <n v="15"/>
    <n v="58995"/>
    <n v="0.03"/>
    <s v="DQS_MAO04_FILE_000_B"/>
    <s v="RECORD COUNT by MBR_ID, DOS_THRU_DT, DX_CD Grain grouped by PAYER, SRC_FILE_NM, DOS_THRU_YYYYMM"/>
  </r>
  <r>
    <x v="2"/>
    <s v="SGMRYCLN_PE202405_REMAO004.TXT"/>
    <x v="72"/>
    <x v="7"/>
    <n v="42"/>
    <n v="58995"/>
    <n v="7.0000000000000007E-2"/>
    <s v="DQS_MAO04_FILE_000_B"/>
    <s v="RECORD COUNT by MBR_ID, DOS_THRU_DT, DX_CD Grain grouped by PAYER, SRC_FILE_NM, DOS_THRU_YYYYMM"/>
  </r>
  <r>
    <x v="2"/>
    <s v="SGMRYCLN_PE202405_REMAO004.TXT"/>
    <x v="73"/>
    <x v="7"/>
    <n v="28"/>
    <n v="58995"/>
    <n v="0.05"/>
    <s v="DQS_MAO04_FILE_000_B"/>
    <s v="RECORD COUNT by MBR_ID, DOS_THRU_DT, DX_CD Grain grouped by PAYER, SRC_FILE_NM, DOS_THRU_YYYYMM"/>
  </r>
  <r>
    <x v="2"/>
    <s v="SGMRYCLN_PE202405_REMAO004.TXT"/>
    <x v="74"/>
    <x v="7"/>
    <n v="46"/>
    <n v="58995"/>
    <n v="0.08"/>
    <s v="DQS_MAO04_FILE_000_B"/>
    <s v="RECORD COUNT by MBR_ID, DOS_THRU_DT, DX_CD Grain grouped by PAYER, SRC_FILE_NM, DOS_THRU_YYYYMM"/>
  </r>
  <r>
    <x v="2"/>
    <s v="SGMRYCLN_PE202405_REMAO004.TXT"/>
    <x v="75"/>
    <x v="7"/>
    <n v="32"/>
    <n v="58995"/>
    <n v="0.05"/>
    <s v="DQS_MAO04_FILE_000_B"/>
    <s v="RECORD COUNT by MBR_ID, DOS_THRU_DT, DX_CD Grain grouped by PAYER, SRC_FILE_NM, DOS_THRU_YYYYMM"/>
  </r>
  <r>
    <x v="2"/>
    <s v="SGMRYCLN_PE202405_REMAO004.TXT"/>
    <x v="76"/>
    <x v="7"/>
    <n v="26"/>
    <n v="58995"/>
    <n v="0.04"/>
    <s v="DQS_MAO04_FILE_000_B"/>
    <s v="RECORD COUNT by MBR_ID, DOS_THRU_DT, DX_CD Grain grouped by PAYER, SRC_FILE_NM, DOS_THRU_YYYYMM"/>
  </r>
  <r>
    <x v="2"/>
    <s v="SGMRYCLN_PE202405_REMAO004.TXT"/>
    <x v="77"/>
    <x v="8"/>
    <n v="143"/>
    <n v="58995"/>
    <n v="0.24"/>
    <s v="DQS_MAO04_FILE_000_B"/>
    <s v="RECORD COUNT by MBR_ID, DOS_THRU_DT, DX_CD Grain grouped by PAYER, SRC_FILE_NM, DOS_THRU_YYYYMM"/>
  </r>
  <r>
    <x v="2"/>
    <s v="SGMRYCLN_PE202405_REMAO004.TXT"/>
    <x v="78"/>
    <x v="8"/>
    <n v="118"/>
    <n v="58995"/>
    <n v="0.2"/>
    <s v="DQS_MAO04_FILE_000_B"/>
    <s v="RECORD COUNT by MBR_ID, DOS_THRU_DT, DX_CD Grain grouped by PAYER, SRC_FILE_NM, DOS_THRU_YYYYMM"/>
  </r>
  <r>
    <x v="2"/>
    <s v="SGMRYCLN_PE202405_REMAO004.TXT"/>
    <x v="79"/>
    <x v="8"/>
    <n v="187"/>
    <n v="58995"/>
    <n v="0.32"/>
    <s v="DQS_MAO04_FILE_000_B"/>
    <s v="RECORD COUNT by MBR_ID, DOS_THRU_DT, DX_CD Grain grouped by PAYER, SRC_FILE_NM, DOS_THRU_YYYYMM"/>
  </r>
  <r>
    <x v="2"/>
    <s v="SGMRYCLN_PE202405_REMAO004.TXT"/>
    <x v="80"/>
    <x v="8"/>
    <n v="219"/>
    <n v="58995"/>
    <n v="0.37"/>
    <s v="DQS_MAO04_FILE_000_B"/>
    <s v="RECORD COUNT by MBR_ID, DOS_THRU_DT, DX_CD Grain grouped by PAYER, SRC_FILE_NM, DOS_THRU_YYYYMM"/>
  </r>
  <r>
    <x v="2"/>
    <s v="SGMRYCLN_PE202405_REMAO004.TXT"/>
    <x v="81"/>
    <x v="8"/>
    <n v="213"/>
    <n v="58995"/>
    <n v="0.36"/>
    <s v="DQS_MAO04_FILE_000_B"/>
    <s v="RECORD COUNT by MBR_ID, DOS_THRU_DT, DX_CD Grain grouped by PAYER, SRC_FILE_NM, DOS_THRU_YYYYMM"/>
  </r>
  <r>
    <x v="2"/>
    <s v="SGMRYCLN_PE202405_REMAO004.TXT"/>
    <x v="82"/>
    <x v="8"/>
    <n v="450"/>
    <n v="58995"/>
    <n v="0.76"/>
    <s v="DQS_MAO04_FILE_000_B"/>
    <s v="RECORD COUNT by MBR_ID, DOS_THRU_DT, DX_CD Grain grouped by PAYER, SRC_FILE_NM, DOS_THRU_YYYYMM"/>
  </r>
  <r>
    <x v="2"/>
    <s v="SGMRYCLN_PE202405_REMAO004.TXT"/>
    <x v="83"/>
    <x v="8"/>
    <n v="528"/>
    <n v="58995"/>
    <n v="0.89"/>
    <s v="DQS_MAO04_FILE_000_B"/>
    <s v="RECORD COUNT by MBR_ID, DOS_THRU_DT, DX_CD Grain grouped by PAYER, SRC_FILE_NM, DOS_THRU_YYYYMM"/>
  </r>
  <r>
    <x v="2"/>
    <s v="SGMRYCLN_PE202405_REMAO004.TXT"/>
    <x v="84"/>
    <x v="8"/>
    <n v="476"/>
    <n v="58995"/>
    <n v="0.81"/>
    <s v="DQS_MAO04_FILE_000_B"/>
    <s v="RECORD COUNT by MBR_ID, DOS_THRU_DT, DX_CD Grain grouped by PAYER, SRC_FILE_NM, DOS_THRU_YYYYMM"/>
  </r>
  <r>
    <x v="2"/>
    <s v="SGMRYCLN_PE202405_REMAO004.TXT"/>
    <x v="85"/>
    <x v="8"/>
    <n v="875"/>
    <n v="58995"/>
    <n v="1.48"/>
    <s v="DQS_MAO04_FILE_000_B"/>
    <s v="RECORD COUNT by MBR_ID, DOS_THRU_DT, DX_CD Grain grouped by PAYER, SRC_FILE_NM, DOS_THRU_YYYYMM"/>
  </r>
  <r>
    <x v="2"/>
    <s v="SGMRYCLN_PE202405_REMAO004.TXT"/>
    <x v="86"/>
    <x v="8"/>
    <n v="1067"/>
    <n v="58995"/>
    <n v="1.81"/>
    <s v="DQS_MAO04_FILE_000_B"/>
    <s v="RECORD COUNT by MBR_ID, DOS_THRU_DT, DX_CD Grain grouped by PAYER, SRC_FILE_NM, DOS_THRU_YYYYMM"/>
  </r>
  <r>
    <x v="2"/>
    <s v="SGMRYCLN_PE202405_REMAO004.TXT"/>
    <x v="87"/>
    <x v="8"/>
    <n v="2179"/>
    <n v="58995"/>
    <n v="3.69"/>
    <s v="DQS_MAO04_FILE_000_B"/>
    <s v="RECORD COUNT by MBR_ID, DOS_THRU_DT, DX_CD Grain grouped by PAYER, SRC_FILE_NM, DOS_THRU_YYYYMM"/>
  </r>
  <r>
    <x v="2"/>
    <s v="SGMRYCLN_PE202405_REMAO004.TXT"/>
    <x v="88"/>
    <x v="8"/>
    <n v="2298"/>
    <n v="58995"/>
    <n v="3.9"/>
    <s v="DQS_MAO04_FILE_000_B"/>
    <s v="RECORD COUNT by MBR_ID, DOS_THRU_DT, DX_CD Grain grouped by PAYER, SRC_FILE_NM, DOS_THRU_YYYYMM"/>
  </r>
  <r>
    <x v="2"/>
    <s v="SGMRYCLN_PE202405_REMAO004.TXT"/>
    <x v="89"/>
    <x v="9"/>
    <n v="5717"/>
    <n v="58995"/>
    <n v="9.69"/>
    <s v="DQS_MAO04_FILE_000_B"/>
    <s v="RECORD COUNT by MBR_ID, DOS_THRU_DT, DX_CD Grain grouped by PAYER, SRC_FILE_NM, DOS_THRU_YYYYMM"/>
  </r>
  <r>
    <x v="2"/>
    <s v="SGMRYCLN_PE202405_REMAO004.TXT"/>
    <x v="97"/>
    <x v="9"/>
    <n v="27150"/>
    <n v="58995"/>
    <n v="46.02"/>
    <s v="DQS_MAO04_FILE_000_B"/>
    <s v="RECORD COUNT by MBR_ID, DOS_THRU_DT, DX_CD Grain grouped by PAYER, SRC_FILE_NM, DOS_THRU_YYYYMM"/>
  </r>
  <r>
    <x v="2"/>
    <s v="SGMRYCLN_PE202405_REMAO004.TXT"/>
    <x v="98"/>
    <x v="9"/>
    <n v="17077"/>
    <n v="58995"/>
    <n v="28.95"/>
    <s v="DQS_MAO04_FILE_000_B"/>
    <s v="RECORD COUNT by MBR_ID, DOS_THRU_DT, DX_CD Grain grouped by PAYER, SRC_FILE_NM, DOS_THRU_YYYYMM"/>
  </r>
  <r>
    <x v="2"/>
    <s v="SGMRYCLN_PE202406_REMAO004.TXT"/>
    <x v="49"/>
    <x v="5"/>
    <n v="3"/>
    <n v="70398"/>
    <n v="0"/>
    <s v="DQS_MAO04_FILE_000_B"/>
    <s v="RECORD COUNT by MBR_ID, DOS_THRU_DT, DX_CD Grain grouped by PAYER, SRC_FILE_NM, DOS_THRU_YYYYMM"/>
  </r>
  <r>
    <x v="2"/>
    <s v="SGMRYCLN_PE202406_REMAO004.TXT"/>
    <x v="51"/>
    <x v="5"/>
    <n v="4"/>
    <n v="70398"/>
    <n v="0.01"/>
    <s v="DQS_MAO04_FILE_000_B"/>
    <s v="RECORD COUNT by MBR_ID, DOS_THRU_DT, DX_CD Grain grouped by PAYER, SRC_FILE_NM, DOS_THRU_YYYYMM"/>
  </r>
  <r>
    <x v="2"/>
    <s v="SGMRYCLN_PE202406_REMAO004.TXT"/>
    <x v="52"/>
    <x v="5"/>
    <n v="12"/>
    <n v="70398"/>
    <n v="0.02"/>
    <s v="DQS_MAO04_FILE_000_B"/>
    <s v="RECORD COUNT by MBR_ID, DOS_THRU_DT, DX_CD Grain grouped by PAYER, SRC_FILE_NM, DOS_THRU_YYYYMM"/>
  </r>
  <r>
    <x v="2"/>
    <s v="SGMRYCLN_PE202406_REMAO004.TXT"/>
    <x v="54"/>
    <x v="6"/>
    <n v="3"/>
    <n v="70398"/>
    <n v="0"/>
    <s v="DQS_MAO04_FILE_000_B"/>
    <s v="RECORD COUNT by MBR_ID, DOS_THRU_DT, DX_CD Grain grouped by PAYER, SRC_FILE_NM, DOS_THRU_YYYYMM"/>
  </r>
  <r>
    <x v="2"/>
    <s v="SGMRYCLN_PE202406_REMAO004.TXT"/>
    <x v="55"/>
    <x v="6"/>
    <n v="16"/>
    <n v="70398"/>
    <n v="0.02"/>
    <s v="DQS_MAO04_FILE_000_B"/>
    <s v="RECORD COUNT by MBR_ID, DOS_THRU_DT, DX_CD Grain grouped by PAYER, SRC_FILE_NM, DOS_THRU_YYYYMM"/>
  </r>
  <r>
    <x v="2"/>
    <s v="SGMRYCLN_PE202406_REMAO004.TXT"/>
    <x v="56"/>
    <x v="6"/>
    <n v="13"/>
    <n v="70398"/>
    <n v="0.02"/>
    <s v="DQS_MAO04_FILE_000_B"/>
    <s v="RECORD COUNT by MBR_ID, DOS_THRU_DT, DX_CD Grain grouped by PAYER, SRC_FILE_NM, DOS_THRU_YYYYMM"/>
  </r>
  <r>
    <x v="2"/>
    <s v="SGMRYCLN_PE202406_REMAO004.TXT"/>
    <x v="57"/>
    <x v="6"/>
    <n v="3"/>
    <n v="70398"/>
    <n v="0"/>
    <s v="DQS_MAO04_FILE_000_B"/>
    <s v="RECORD COUNT by MBR_ID, DOS_THRU_DT, DX_CD Grain grouped by PAYER, SRC_FILE_NM, DOS_THRU_YYYYMM"/>
  </r>
  <r>
    <x v="2"/>
    <s v="SGMRYCLN_PE202406_REMAO004.TXT"/>
    <x v="58"/>
    <x v="6"/>
    <n v="25"/>
    <n v="70398"/>
    <n v="0.04"/>
    <s v="DQS_MAO04_FILE_000_B"/>
    <s v="RECORD COUNT by MBR_ID, DOS_THRU_DT, DX_CD Grain grouped by PAYER, SRC_FILE_NM, DOS_THRU_YYYYMM"/>
  </r>
  <r>
    <x v="2"/>
    <s v="SGMRYCLN_PE202406_REMAO004.TXT"/>
    <x v="59"/>
    <x v="6"/>
    <n v="2"/>
    <n v="70398"/>
    <n v="0"/>
    <s v="DQS_MAO04_FILE_000_B"/>
    <s v="RECORD COUNT by MBR_ID, DOS_THRU_DT, DX_CD Grain grouped by PAYER, SRC_FILE_NM, DOS_THRU_YYYYMM"/>
  </r>
  <r>
    <x v="2"/>
    <s v="SGMRYCLN_PE202406_REMAO004.TXT"/>
    <x v="60"/>
    <x v="6"/>
    <n v="2"/>
    <n v="70398"/>
    <n v="0"/>
    <s v="DQS_MAO04_FILE_000_B"/>
    <s v="RECORD COUNT by MBR_ID, DOS_THRU_DT, DX_CD Grain grouped by PAYER, SRC_FILE_NM, DOS_THRU_YYYYMM"/>
  </r>
  <r>
    <x v="2"/>
    <s v="SGMRYCLN_PE202406_REMAO004.TXT"/>
    <x v="61"/>
    <x v="6"/>
    <n v="7"/>
    <n v="70398"/>
    <n v="0.01"/>
    <s v="DQS_MAO04_FILE_000_B"/>
    <s v="RECORD COUNT by MBR_ID, DOS_THRU_DT, DX_CD Grain grouped by PAYER, SRC_FILE_NM, DOS_THRU_YYYYMM"/>
  </r>
  <r>
    <x v="2"/>
    <s v="SGMRYCLN_PE202406_REMAO004.TXT"/>
    <x v="62"/>
    <x v="6"/>
    <n v="4"/>
    <n v="70398"/>
    <n v="0.01"/>
    <s v="DQS_MAO04_FILE_000_B"/>
    <s v="RECORD COUNT by MBR_ID, DOS_THRU_DT, DX_CD Grain grouped by PAYER, SRC_FILE_NM, DOS_THRU_YYYYMM"/>
  </r>
  <r>
    <x v="2"/>
    <s v="SGMRYCLN_PE202406_REMAO004.TXT"/>
    <x v="63"/>
    <x v="6"/>
    <n v="4"/>
    <n v="70398"/>
    <n v="0.01"/>
    <s v="DQS_MAO04_FILE_000_B"/>
    <s v="RECORD COUNT by MBR_ID, DOS_THRU_DT, DX_CD Grain grouped by PAYER, SRC_FILE_NM, DOS_THRU_YYYYMM"/>
  </r>
  <r>
    <x v="2"/>
    <s v="SGMRYCLN_PE202406_REMAO004.TXT"/>
    <x v="64"/>
    <x v="6"/>
    <n v="2"/>
    <n v="70398"/>
    <n v="0"/>
    <s v="DQS_MAO04_FILE_000_B"/>
    <s v="RECORD COUNT by MBR_ID, DOS_THRU_DT, DX_CD Grain grouped by PAYER, SRC_FILE_NM, DOS_THRU_YYYYMM"/>
  </r>
  <r>
    <x v="2"/>
    <s v="SGMRYCLN_PE202406_REMAO004.TXT"/>
    <x v="66"/>
    <x v="7"/>
    <n v="7"/>
    <n v="70398"/>
    <n v="0.01"/>
    <s v="DQS_MAO04_FILE_000_B"/>
    <s v="RECORD COUNT by MBR_ID, DOS_THRU_DT, DX_CD Grain grouped by PAYER, SRC_FILE_NM, DOS_THRU_YYYYMM"/>
  </r>
  <r>
    <x v="2"/>
    <s v="SGMRYCLN_PE202406_REMAO004.TXT"/>
    <x v="68"/>
    <x v="7"/>
    <n v="8"/>
    <n v="70398"/>
    <n v="0.01"/>
    <s v="DQS_MAO04_FILE_000_B"/>
    <s v="RECORD COUNT by MBR_ID, DOS_THRU_DT, DX_CD Grain grouped by PAYER, SRC_FILE_NM, DOS_THRU_YYYYMM"/>
  </r>
  <r>
    <x v="2"/>
    <s v="SGMRYCLN_PE202406_REMAO004.TXT"/>
    <x v="70"/>
    <x v="7"/>
    <n v="21"/>
    <n v="70398"/>
    <n v="0.03"/>
    <s v="DQS_MAO04_FILE_000_B"/>
    <s v="RECORD COUNT by MBR_ID, DOS_THRU_DT, DX_CD Grain grouped by PAYER, SRC_FILE_NM, DOS_THRU_YYYYMM"/>
  </r>
  <r>
    <x v="2"/>
    <s v="SGMRYCLN_PE202406_REMAO004.TXT"/>
    <x v="71"/>
    <x v="7"/>
    <n v="15"/>
    <n v="70398"/>
    <n v="0.02"/>
    <s v="DQS_MAO04_FILE_000_B"/>
    <s v="RECORD COUNT by MBR_ID, DOS_THRU_DT, DX_CD Grain grouped by PAYER, SRC_FILE_NM, DOS_THRU_YYYYMM"/>
  </r>
  <r>
    <x v="2"/>
    <s v="SGMRYCLN_PE202406_REMAO004.TXT"/>
    <x v="72"/>
    <x v="7"/>
    <n v="44"/>
    <n v="70398"/>
    <n v="0.06"/>
    <s v="DQS_MAO04_FILE_000_B"/>
    <s v="RECORD COUNT by MBR_ID, DOS_THRU_DT, DX_CD Grain grouped by PAYER, SRC_FILE_NM, DOS_THRU_YYYYMM"/>
  </r>
  <r>
    <x v="2"/>
    <s v="SGMRYCLN_PE202406_REMAO004.TXT"/>
    <x v="73"/>
    <x v="7"/>
    <n v="28"/>
    <n v="70398"/>
    <n v="0.04"/>
    <s v="DQS_MAO04_FILE_000_B"/>
    <s v="RECORD COUNT by MBR_ID, DOS_THRU_DT, DX_CD Grain grouped by PAYER, SRC_FILE_NM, DOS_THRU_YYYYMM"/>
  </r>
  <r>
    <x v="2"/>
    <s v="SGMRYCLN_PE202406_REMAO004.TXT"/>
    <x v="74"/>
    <x v="7"/>
    <n v="48"/>
    <n v="70398"/>
    <n v="7.0000000000000007E-2"/>
    <s v="DQS_MAO04_FILE_000_B"/>
    <s v="RECORD COUNT by MBR_ID, DOS_THRU_DT, DX_CD Grain grouped by PAYER, SRC_FILE_NM, DOS_THRU_YYYYMM"/>
  </r>
  <r>
    <x v="2"/>
    <s v="SGMRYCLN_PE202406_REMAO004.TXT"/>
    <x v="75"/>
    <x v="7"/>
    <n v="63"/>
    <n v="70398"/>
    <n v="0.09"/>
    <s v="DQS_MAO04_FILE_000_B"/>
    <s v="RECORD COUNT by MBR_ID, DOS_THRU_DT, DX_CD Grain grouped by PAYER, SRC_FILE_NM, DOS_THRU_YYYYMM"/>
  </r>
  <r>
    <x v="2"/>
    <s v="SGMRYCLN_PE202406_REMAO004.TXT"/>
    <x v="76"/>
    <x v="7"/>
    <n v="26"/>
    <n v="70398"/>
    <n v="0.04"/>
    <s v="DQS_MAO04_FILE_000_B"/>
    <s v="RECORD COUNT by MBR_ID, DOS_THRU_DT, DX_CD Grain grouped by PAYER, SRC_FILE_NM, DOS_THRU_YYYYMM"/>
  </r>
  <r>
    <x v="2"/>
    <s v="SGMRYCLN_PE202406_REMAO004.TXT"/>
    <x v="77"/>
    <x v="8"/>
    <n v="161"/>
    <n v="70398"/>
    <n v="0.23"/>
    <s v="DQS_MAO04_FILE_000_B"/>
    <s v="RECORD COUNT by MBR_ID, DOS_THRU_DT, DX_CD Grain grouped by PAYER, SRC_FILE_NM, DOS_THRU_YYYYMM"/>
  </r>
  <r>
    <x v="2"/>
    <s v="SGMRYCLN_PE202406_REMAO004.TXT"/>
    <x v="78"/>
    <x v="8"/>
    <n v="121"/>
    <n v="70398"/>
    <n v="0.17"/>
    <s v="DQS_MAO04_FILE_000_B"/>
    <s v="RECORD COUNT by MBR_ID, DOS_THRU_DT, DX_CD Grain grouped by PAYER, SRC_FILE_NM, DOS_THRU_YYYYMM"/>
  </r>
  <r>
    <x v="2"/>
    <s v="SGMRYCLN_PE202406_REMAO004.TXT"/>
    <x v="79"/>
    <x v="8"/>
    <n v="224"/>
    <n v="70398"/>
    <n v="0.32"/>
    <s v="DQS_MAO04_FILE_000_B"/>
    <s v="RECORD COUNT by MBR_ID, DOS_THRU_DT, DX_CD Grain grouped by PAYER, SRC_FILE_NM, DOS_THRU_YYYYMM"/>
  </r>
  <r>
    <x v="2"/>
    <s v="SGMRYCLN_PE202406_REMAO004.TXT"/>
    <x v="80"/>
    <x v="8"/>
    <n v="223"/>
    <n v="70398"/>
    <n v="0.32"/>
    <s v="DQS_MAO04_FILE_000_B"/>
    <s v="RECORD COUNT by MBR_ID, DOS_THRU_DT, DX_CD Grain grouped by PAYER, SRC_FILE_NM, DOS_THRU_YYYYMM"/>
  </r>
  <r>
    <x v="2"/>
    <s v="SGMRYCLN_PE202406_REMAO004.TXT"/>
    <x v="81"/>
    <x v="8"/>
    <n v="250"/>
    <n v="70398"/>
    <n v="0.36"/>
    <s v="DQS_MAO04_FILE_000_B"/>
    <s v="RECORD COUNT by MBR_ID, DOS_THRU_DT, DX_CD Grain grouped by PAYER, SRC_FILE_NM, DOS_THRU_YYYYMM"/>
  </r>
  <r>
    <x v="2"/>
    <s v="SGMRYCLN_PE202406_REMAO004.TXT"/>
    <x v="82"/>
    <x v="8"/>
    <n v="485"/>
    <n v="70398"/>
    <n v="0.69"/>
    <s v="DQS_MAO04_FILE_000_B"/>
    <s v="RECORD COUNT by MBR_ID, DOS_THRU_DT, DX_CD Grain grouped by PAYER, SRC_FILE_NM, DOS_THRU_YYYYMM"/>
  </r>
  <r>
    <x v="2"/>
    <s v="SGMRYCLN_PE202406_REMAO004.TXT"/>
    <x v="83"/>
    <x v="8"/>
    <n v="641"/>
    <n v="70398"/>
    <n v="0.91"/>
    <s v="DQS_MAO04_FILE_000_B"/>
    <s v="RECORD COUNT by MBR_ID, DOS_THRU_DT, DX_CD Grain grouped by PAYER, SRC_FILE_NM, DOS_THRU_YYYYMM"/>
  </r>
  <r>
    <x v="2"/>
    <s v="SGMRYCLN_PE202406_REMAO004.TXT"/>
    <x v="84"/>
    <x v="8"/>
    <n v="612"/>
    <n v="70398"/>
    <n v="0.87"/>
    <s v="DQS_MAO04_FILE_000_B"/>
    <s v="RECORD COUNT by MBR_ID, DOS_THRU_DT, DX_CD Grain grouped by PAYER, SRC_FILE_NM, DOS_THRU_YYYYMM"/>
  </r>
  <r>
    <x v="2"/>
    <s v="SGMRYCLN_PE202406_REMAO004.TXT"/>
    <x v="85"/>
    <x v="8"/>
    <n v="939"/>
    <n v="70398"/>
    <n v="1.33"/>
    <s v="DQS_MAO04_FILE_000_B"/>
    <s v="RECORD COUNT by MBR_ID, DOS_THRU_DT, DX_CD Grain grouped by PAYER, SRC_FILE_NM, DOS_THRU_YYYYMM"/>
  </r>
  <r>
    <x v="2"/>
    <s v="SGMRYCLN_PE202406_REMAO004.TXT"/>
    <x v="86"/>
    <x v="8"/>
    <n v="1321"/>
    <n v="70398"/>
    <n v="1.88"/>
    <s v="DQS_MAO04_FILE_000_B"/>
    <s v="RECORD COUNT by MBR_ID, DOS_THRU_DT, DX_CD Grain grouped by PAYER, SRC_FILE_NM, DOS_THRU_YYYYMM"/>
  </r>
  <r>
    <x v="2"/>
    <s v="SGMRYCLN_PE202406_REMAO004.TXT"/>
    <x v="87"/>
    <x v="8"/>
    <n v="2351"/>
    <n v="70398"/>
    <n v="3.34"/>
    <s v="DQS_MAO04_FILE_000_B"/>
    <s v="RECORD COUNT by MBR_ID, DOS_THRU_DT, DX_CD Grain grouped by PAYER, SRC_FILE_NM, DOS_THRU_YYYYMM"/>
  </r>
  <r>
    <x v="2"/>
    <s v="SGMRYCLN_PE202406_REMAO004.TXT"/>
    <x v="88"/>
    <x v="8"/>
    <n v="2458"/>
    <n v="70398"/>
    <n v="3.49"/>
    <s v="DQS_MAO04_FILE_000_B"/>
    <s v="RECORD COUNT by MBR_ID, DOS_THRU_DT, DX_CD Grain grouped by PAYER, SRC_FILE_NM, DOS_THRU_YYYYMM"/>
  </r>
  <r>
    <x v="2"/>
    <s v="SGMRYCLN_PE202406_REMAO004.TXT"/>
    <x v="89"/>
    <x v="9"/>
    <n v="6910"/>
    <n v="70398"/>
    <n v="9.82"/>
    <s v="DQS_MAO04_FILE_000_B"/>
    <s v="RECORD COUNT by MBR_ID, DOS_THRU_DT, DX_CD Grain grouped by PAYER, SRC_FILE_NM, DOS_THRU_YYYYMM"/>
  </r>
  <r>
    <x v="2"/>
    <s v="SGMRYCLN_PE202406_REMAO004.TXT"/>
    <x v="97"/>
    <x v="9"/>
    <n v="29916"/>
    <n v="70398"/>
    <n v="42.5"/>
    <s v="DQS_MAO04_FILE_000_B"/>
    <s v="RECORD COUNT by MBR_ID, DOS_THRU_DT, DX_CD Grain grouped by PAYER, SRC_FILE_NM, DOS_THRU_YYYYMM"/>
  </r>
  <r>
    <x v="2"/>
    <s v="SGMRYCLN_PE202406_REMAO004.TXT"/>
    <x v="98"/>
    <x v="9"/>
    <n v="23426"/>
    <n v="70398"/>
    <n v="33.28"/>
    <s v="DQS_MAO04_FILE_000_B"/>
    <s v="RECORD COUNT by MBR_ID, DOS_THRU_DT, DX_CD Grain grouped by PAYER, SRC_FILE_NM, DOS_THRU_YYYYMM"/>
  </r>
  <r>
    <x v="2"/>
    <s v="SGMRYCLN_PE202407_REMAO004.TXT"/>
    <x v="126"/>
    <x v="1"/>
    <n v="2"/>
    <n v="121626"/>
    <n v="0"/>
    <s v="DQS_MAO04_FILE_000_B"/>
    <s v="RECORD COUNT by MBR_ID, DOS_THRU_DT, DX_CD Grain grouped by PAYER, SRC_FILE_NM, DOS_THRU_YYYYMM"/>
  </r>
  <r>
    <x v="2"/>
    <s v="SGMRYCLN_PE202407_REMAO004.TXT"/>
    <x v="129"/>
    <x v="1"/>
    <n v="3"/>
    <n v="121626"/>
    <n v="0"/>
    <s v="DQS_MAO04_FILE_000_B"/>
    <s v="RECORD COUNT by MBR_ID, DOS_THRU_DT, DX_CD Grain grouped by PAYER, SRC_FILE_NM, DOS_THRU_YYYYMM"/>
  </r>
  <r>
    <x v="2"/>
    <s v="SGMRYCLN_PE202407_REMAO004.TXT"/>
    <x v="127"/>
    <x v="1"/>
    <n v="30"/>
    <n v="121626"/>
    <n v="0.02"/>
    <s v="DQS_MAO04_FILE_000_B"/>
    <s v="RECORD COUNT by MBR_ID, DOS_THRU_DT, DX_CD Grain grouped by PAYER, SRC_FILE_NM, DOS_THRU_YYYYMM"/>
  </r>
  <r>
    <x v="2"/>
    <s v="SGMRYCLN_PE202407_REMAO004.TXT"/>
    <x v="17"/>
    <x v="3"/>
    <n v="3"/>
    <n v="121626"/>
    <n v="0"/>
    <s v="DQS_MAO04_FILE_000_B"/>
    <s v="RECORD COUNT by MBR_ID, DOS_THRU_DT, DX_CD Grain grouped by PAYER, SRC_FILE_NM, DOS_THRU_YYYYMM"/>
  </r>
  <r>
    <x v="2"/>
    <s v="SGMRYCLN_PE202407_REMAO004.TXT"/>
    <x v="18"/>
    <x v="3"/>
    <n v="1"/>
    <n v="121626"/>
    <n v="0"/>
    <s v="DQS_MAO04_FILE_000_B"/>
    <s v="RECORD COUNT by MBR_ID, DOS_THRU_DT, DX_CD Grain grouped by PAYER, SRC_FILE_NM, DOS_THRU_YYYYMM"/>
  </r>
  <r>
    <x v="2"/>
    <s v="SGMRYCLN_PE202407_REMAO004.TXT"/>
    <x v="19"/>
    <x v="3"/>
    <n v="9"/>
    <n v="121626"/>
    <n v="0.01"/>
    <s v="DQS_MAO04_FILE_000_B"/>
    <s v="RECORD COUNT by MBR_ID, DOS_THRU_DT, DX_CD Grain grouped by PAYER, SRC_FILE_NM, DOS_THRU_YYYYMM"/>
  </r>
  <r>
    <x v="2"/>
    <s v="SGMRYCLN_PE202407_REMAO004.TXT"/>
    <x v="20"/>
    <x v="3"/>
    <n v="1"/>
    <n v="121626"/>
    <n v="0"/>
    <s v="DQS_MAO04_FILE_000_B"/>
    <s v="RECORD COUNT by MBR_ID, DOS_THRU_DT, DX_CD Grain grouped by PAYER, SRC_FILE_NM, DOS_THRU_YYYYMM"/>
  </r>
  <r>
    <x v="2"/>
    <s v="SGMRYCLN_PE202407_REMAO004.TXT"/>
    <x v="21"/>
    <x v="3"/>
    <n v="1"/>
    <n v="121626"/>
    <n v="0"/>
    <s v="DQS_MAO04_FILE_000_B"/>
    <s v="RECORD COUNT by MBR_ID, DOS_THRU_DT, DX_CD Grain grouped by PAYER, SRC_FILE_NM, DOS_THRU_YYYYMM"/>
  </r>
  <r>
    <x v="2"/>
    <s v="SGMRYCLN_PE202407_REMAO004.TXT"/>
    <x v="22"/>
    <x v="3"/>
    <n v="6"/>
    <n v="121626"/>
    <n v="0"/>
    <s v="DQS_MAO04_FILE_000_B"/>
    <s v="RECORD COUNT by MBR_ID, DOS_THRU_DT, DX_CD Grain grouped by PAYER, SRC_FILE_NM, DOS_THRU_YYYYMM"/>
  </r>
  <r>
    <x v="2"/>
    <s v="SGMRYCLN_PE202407_REMAO004.TXT"/>
    <x v="24"/>
    <x v="3"/>
    <n v="17"/>
    <n v="121626"/>
    <n v="0.01"/>
    <s v="DQS_MAO04_FILE_000_B"/>
    <s v="RECORD COUNT by MBR_ID, DOS_THRU_DT, DX_CD Grain grouped by PAYER, SRC_FILE_NM, DOS_THRU_YYYYMM"/>
  </r>
  <r>
    <x v="2"/>
    <s v="SGMRYCLN_PE202407_REMAO004.TXT"/>
    <x v="25"/>
    <x v="3"/>
    <n v="4"/>
    <n v="121626"/>
    <n v="0"/>
    <s v="DQS_MAO04_FILE_000_B"/>
    <s v="RECORD COUNT by MBR_ID, DOS_THRU_DT, DX_CD Grain grouped by PAYER, SRC_FILE_NM, DOS_THRU_YYYYMM"/>
  </r>
  <r>
    <x v="2"/>
    <s v="SGMRYCLN_PE202407_REMAO004.TXT"/>
    <x v="26"/>
    <x v="3"/>
    <n v="31"/>
    <n v="121626"/>
    <n v="0.03"/>
    <s v="DQS_MAO04_FILE_000_B"/>
    <s v="RECORD COUNT by MBR_ID, DOS_THRU_DT, DX_CD Grain grouped by PAYER, SRC_FILE_NM, DOS_THRU_YYYYMM"/>
  </r>
  <r>
    <x v="2"/>
    <s v="SGMRYCLN_PE202407_REMAO004.TXT"/>
    <x v="27"/>
    <x v="3"/>
    <n v="12"/>
    <n v="121626"/>
    <n v="0.01"/>
    <s v="DQS_MAO04_FILE_000_B"/>
    <s v="RECORD COUNT by MBR_ID, DOS_THRU_DT, DX_CD Grain grouped by PAYER, SRC_FILE_NM, DOS_THRU_YYYYMM"/>
  </r>
  <r>
    <x v="2"/>
    <s v="SGMRYCLN_PE202407_REMAO004.TXT"/>
    <x v="28"/>
    <x v="3"/>
    <n v="17"/>
    <n v="121626"/>
    <n v="0.01"/>
    <s v="DQS_MAO04_FILE_000_B"/>
    <s v="RECORD COUNT by MBR_ID, DOS_THRU_DT, DX_CD Grain grouped by PAYER, SRC_FILE_NM, DOS_THRU_YYYYMM"/>
  </r>
  <r>
    <x v="2"/>
    <s v="SGMRYCLN_PE202407_REMAO004.TXT"/>
    <x v="35"/>
    <x v="4"/>
    <n v="16"/>
    <n v="121626"/>
    <n v="0.01"/>
    <s v="DQS_MAO04_FILE_000_B"/>
    <s v="RECORD COUNT by MBR_ID, DOS_THRU_DT, DX_CD Grain grouped by PAYER, SRC_FILE_NM, DOS_THRU_YYYYMM"/>
  </r>
  <r>
    <x v="2"/>
    <s v="SGMRYCLN_PE202407_REMAO004.TXT"/>
    <x v="63"/>
    <x v="6"/>
    <n v="3"/>
    <n v="121626"/>
    <n v="0"/>
    <s v="DQS_MAO04_FILE_000_B"/>
    <s v="RECORD COUNT by MBR_ID, DOS_THRU_DT, DX_CD Grain grouped by PAYER, SRC_FILE_NM, DOS_THRU_YYYYMM"/>
  </r>
  <r>
    <x v="2"/>
    <s v="SGMRYCLN_PE202407_REMAO004.TXT"/>
    <x v="65"/>
    <x v="7"/>
    <n v="41"/>
    <n v="121626"/>
    <n v="0.03"/>
    <s v="DQS_MAO04_FILE_000_B"/>
    <s v="RECORD COUNT by MBR_ID, DOS_THRU_DT, DX_CD Grain grouped by PAYER, SRC_FILE_NM, DOS_THRU_YYYYMM"/>
  </r>
  <r>
    <x v="2"/>
    <s v="SGMRYCLN_PE202407_REMAO004.TXT"/>
    <x v="66"/>
    <x v="7"/>
    <n v="41"/>
    <n v="121626"/>
    <n v="0.03"/>
    <s v="DQS_MAO04_FILE_000_B"/>
    <s v="RECORD COUNT by MBR_ID, DOS_THRU_DT, DX_CD Grain grouped by PAYER, SRC_FILE_NM, DOS_THRU_YYYYMM"/>
  </r>
  <r>
    <x v="2"/>
    <s v="SGMRYCLN_PE202407_REMAO004.TXT"/>
    <x v="67"/>
    <x v="7"/>
    <n v="47"/>
    <n v="121626"/>
    <n v="0.04"/>
    <s v="DQS_MAO04_FILE_000_B"/>
    <s v="RECORD COUNT by MBR_ID, DOS_THRU_DT, DX_CD Grain grouped by PAYER, SRC_FILE_NM, DOS_THRU_YYYYMM"/>
  </r>
  <r>
    <x v="2"/>
    <s v="SGMRYCLN_PE202407_REMAO004.TXT"/>
    <x v="68"/>
    <x v="7"/>
    <n v="64"/>
    <n v="121626"/>
    <n v="0.05"/>
    <s v="DQS_MAO04_FILE_000_B"/>
    <s v="RECORD COUNT by MBR_ID, DOS_THRU_DT, DX_CD Grain grouped by PAYER, SRC_FILE_NM, DOS_THRU_YYYYMM"/>
  </r>
  <r>
    <x v="2"/>
    <s v="SGMRYCLN_PE202407_REMAO004.TXT"/>
    <x v="69"/>
    <x v="7"/>
    <n v="33"/>
    <n v="121626"/>
    <n v="0.03"/>
    <s v="DQS_MAO04_FILE_000_B"/>
    <s v="RECORD COUNT by MBR_ID, DOS_THRU_DT, DX_CD Grain grouped by PAYER, SRC_FILE_NM, DOS_THRU_YYYYMM"/>
  </r>
  <r>
    <x v="2"/>
    <s v="SGMRYCLN_PE202407_REMAO004.TXT"/>
    <x v="70"/>
    <x v="7"/>
    <n v="70"/>
    <n v="121626"/>
    <n v="0.06"/>
    <s v="DQS_MAO04_FILE_000_B"/>
    <s v="RECORD COUNT by MBR_ID, DOS_THRU_DT, DX_CD Grain grouped by PAYER, SRC_FILE_NM, DOS_THRU_YYYYMM"/>
  </r>
  <r>
    <x v="2"/>
    <s v="SGMRYCLN_PE202407_REMAO004.TXT"/>
    <x v="71"/>
    <x v="7"/>
    <n v="35"/>
    <n v="121626"/>
    <n v="0.03"/>
    <s v="DQS_MAO04_FILE_000_B"/>
    <s v="RECORD COUNT by MBR_ID, DOS_THRU_DT, DX_CD Grain grouped by PAYER, SRC_FILE_NM, DOS_THRU_YYYYMM"/>
  </r>
  <r>
    <x v="2"/>
    <s v="SGMRYCLN_PE202407_REMAO004.TXT"/>
    <x v="72"/>
    <x v="7"/>
    <n v="63"/>
    <n v="121626"/>
    <n v="0.05"/>
    <s v="DQS_MAO04_FILE_000_B"/>
    <s v="RECORD COUNT by MBR_ID, DOS_THRU_DT, DX_CD Grain grouped by PAYER, SRC_FILE_NM, DOS_THRU_YYYYMM"/>
  </r>
  <r>
    <x v="2"/>
    <s v="SGMRYCLN_PE202407_REMAO004.TXT"/>
    <x v="73"/>
    <x v="7"/>
    <n v="95"/>
    <n v="121626"/>
    <n v="0.08"/>
    <s v="DQS_MAO04_FILE_000_B"/>
    <s v="RECORD COUNT by MBR_ID, DOS_THRU_DT, DX_CD Grain grouped by PAYER, SRC_FILE_NM, DOS_THRU_YYYYMM"/>
  </r>
  <r>
    <x v="2"/>
    <s v="SGMRYCLN_PE202407_REMAO004.TXT"/>
    <x v="74"/>
    <x v="7"/>
    <n v="98"/>
    <n v="121626"/>
    <n v="0.08"/>
    <s v="DQS_MAO04_FILE_000_B"/>
    <s v="RECORD COUNT by MBR_ID, DOS_THRU_DT, DX_CD Grain grouped by PAYER, SRC_FILE_NM, DOS_THRU_YYYYMM"/>
  </r>
  <r>
    <x v="2"/>
    <s v="SGMRYCLN_PE202407_REMAO004.TXT"/>
    <x v="75"/>
    <x v="7"/>
    <n v="77"/>
    <n v="121626"/>
    <n v="0.06"/>
    <s v="DQS_MAO04_FILE_000_B"/>
    <s v="RECORD COUNT by MBR_ID, DOS_THRU_DT, DX_CD Grain grouped by PAYER, SRC_FILE_NM, DOS_THRU_YYYYMM"/>
  </r>
  <r>
    <x v="2"/>
    <s v="SGMRYCLN_PE202407_REMAO004.TXT"/>
    <x v="76"/>
    <x v="7"/>
    <n v="51"/>
    <n v="121626"/>
    <n v="0.04"/>
    <s v="DQS_MAO04_FILE_000_B"/>
    <s v="RECORD COUNT by MBR_ID, DOS_THRU_DT, DX_CD Grain grouped by PAYER, SRC_FILE_NM, DOS_THRU_YYYYMM"/>
  </r>
  <r>
    <x v="2"/>
    <s v="SGMRYCLN_PE202407_REMAO004.TXT"/>
    <x v="77"/>
    <x v="8"/>
    <n v="7527"/>
    <n v="121626"/>
    <n v="6.19"/>
    <s v="DQS_MAO04_FILE_000_B"/>
    <s v="RECORD COUNT by MBR_ID, DOS_THRU_DT, DX_CD Grain grouped by PAYER, SRC_FILE_NM, DOS_THRU_YYYYMM"/>
  </r>
  <r>
    <x v="2"/>
    <s v="SGMRYCLN_PE202407_REMAO004.TXT"/>
    <x v="78"/>
    <x v="8"/>
    <n v="6976"/>
    <n v="121626"/>
    <n v="5.74"/>
    <s v="DQS_MAO04_FILE_000_B"/>
    <s v="RECORD COUNT by MBR_ID, DOS_THRU_DT, DX_CD Grain grouped by PAYER, SRC_FILE_NM, DOS_THRU_YYYYMM"/>
  </r>
  <r>
    <x v="2"/>
    <s v="SGMRYCLN_PE202407_REMAO004.TXT"/>
    <x v="79"/>
    <x v="8"/>
    <n v="8349"/>
    <n v="121626"/>
    <n v="6.86"/>
    <s v="DQS_MAO04_FILE_000_B"/>
    <s v="RECORD COUNT by MBR_ID, DOS_THRU_DT, DX_CD Grain grouped by PAYER, SRC_FILE_NM, DOS_THRU_YYYYMM"/>
  </r>
  <r>
    <x v="2"/>
    <s v="SGMRYCLN_PE202407_REMAO004.TXT"/>
    <x v="80"/>
    <x v="8"/>
    <n v="7607"/>
    <n v="121626"/>
    <n v="6.25"/>
    <s v="DQS_MAO04_FILE_000_B"/>
    <s v="RECORD COUNT by MBR_ID, DOS_THRU_DT, DX_CD Grain grouped by PAYER, SRC_FILE_NM, DOS_THRU_YYYYMM"/>
  </r>
  <r>
    <x v="2"/>
    <s v="SGMRYCLN_PE202407_REMAO004.TXT"/>
    <x v="81"/>
    <x v="8"/>
    <n v="8716"/>
    <n v="121626"/>
    <n v="7.17"/>
    <s v="DQS_MAO04_FILE_000_B"/>
    <s v="RECORD COUNT by MBR_ID, DOS_THRU_DT, DX_CD Grain grouped by PAYER, SRC_FILE_NM, DOS_THRU_YYYYMM"/>
  </r>
  <r>
    <x v="2"/>
    <s v="SGMRYCLN_PE202407_REMAO004.TXT"/>
    <x v="82"/>
    <x v="8"/>
    <n v="7366"/>
    <n v="121626"/>
    <n v="6.06"/>
    <s v="DQS_MAO04_FILE_000_B"/>
    <s v="RECORD COUNT by MBR_ID, DOS_THRU_DT, DX_CD Grain grouped by PAYER, SRC_FILE_NM, DOS_THRU_YYYYMM"/>
  </r>
  <r>
    <x v="2"/>
    <s v="SGMRYCLN_PE202407_REMAO004.TXT"/>
    <x v="83"/>
    <x v="8"/>
    <n v="6419"/>
    <n v="121626"/>
    <n v="5.28"/>
    <s v="DQS_MAO04_FILE_000_B"/>
    <s v="RECORD COUNT by MBR_ID, DOS_THRU_DT, DX_CD Grain grouped by PAYER, SRC_FILE_NM, DOS_THRU_YYYYMM"/>
  </r>
  <r>
    <x v="2"/>
    <s v="SGMRYCLN_PE202407_REMAO004.TXT"/>
    <x v="84"/>
    <x v="8"/>
    <n v="6521"/>
    <n v="121626"/>
    <n v="5.36"/>
    <s v="DQS_MAO04_FILE_000_B"/>
    <s v="RECORD COUNT by MBR_ID, DOS_THRU_DT, DX_CD Grain grouped by PAYER, SRC_FILE_NM, DOS_THRU_YYYYMM"/>
  </r>
  <r>
    <x v="2"/>
    <s v="SGMRYCLN_PE202407_REMAO004.TXT"/>
    <x v="85"/>
    <x v="8"/>
    <n v="3873"/>
    <n v="121626"/>
    <n v="3.18"/>
    <s v="DQS_MAO04_FILE_000_B"/>
    <s v="RECORD COUNT by MBR_ID, DOS_THRU_DT, DX_CD Grain grouped by PAYER, SRC_FILE_NM, DOS_THRU_YYYYMM"/>
  </r>
  <r>
    <x v="2"/>
    <s v="SGMRYCLN_PE202407_REMAO004.TXT"/>
    <x v="86"/>
    <x v="8"/>
    <n v="680"/>
    <n v="121626"/>
    <n v="0.56000000000000005"/>
    <s v="DQS_MAO04_FILE_000_B"/>
    <s v="RECORD COUNT by MBR_ID, DOS_THRU_DT, DX_CD Grain grouped by PAYER, SRC_FILE_NM, DOS_THRU_YYYYMM"/>
  </r>
  <r>
    <x v="2"/>
    <s v="SGMRYCLN_PE202407_REMAO004.TXT"/>
    <x v="87"/>
    <x v="8"/>
    <n v="583"/>
    <n v="121626"/>
    <n v="0.48"/>
    <s v="DQS_MAO04_FILE_000_B"/>
    <s v="RECORD COUNT by MBR_ID, DOS_THRU_DT, DX_CD Grain grouped by PAYER, SRC_FILE_NM, DOS_THRU_YYYYMM"/>
  </r>
  <r>
    <x v="2"/>
    <s v="SGMRYCLN_PE202407_REMAO004.TXT"/>
    <x v="88"/>
    <x v="8"/>
    <n v="597"/>
    <n v="121626"/>
    <n v="0.49"/>
    <s v="DQS_MAO04_FILE_000_B"/>
    <s v="RECORD COUNT by MBR_ID, DOS_THRU_DT, DX_CD Grain grouped by PAYER, SRC_FILE_NM, DOS_THRU_YYYYMM"/>
  </r>
  <r>
    <x v="2"/>
    <s v="SGMRYCLN_PE202407_REMAO004.TXT"/>
    <x v="89"/>
    <x v="9"/>
    <n v="1616"/>
    <n v="121626"/>
    <n v="1.33"/>
    <s v="DQS_MAO04_FILE_000_B"/>
    <s v="RECORD COUNT by MBR_ID, DOS_THRU_DT, DX_CD Grain grouped by PAYER, SRC_FILE_NM, DOS_THRU_YYYYMM"/>
  </r>
  <r>
    <x v="2"/>
    <s v="SGMRYCLN_PE202407_REMAO004.TXT"/>
    <x v="97"/>
    <x v="9"/>
    <n v="1900"/>
    <n v="121626"/>
    <n v="1.56"/>
    <s v="DQS_MAO04_FILE_000_B"/>
    <s v="RECORD COUNT by MBR_ID, DOS_THRU_DT, DX_CD Grain grouped by PAYER, SRC_FILE_NM, DOS_THRU_YYYYMM"/>
  </r>
  <r>
    <x v="2"/>
    <s v="SGMRYCLN_PE202407_REMAO004.TXT"/>
    <x v="98"/>
    <x v="9"/>
    <n v="3693"/>
    <n v="121626"/>
    <n v="3.04"/>
    <s v="DQS_MAO04_FILE_000_B"/>
    <s v="RECORD COUNT by MBR_ID, DOS_THRU_DT, DX_CD Grain grouped by PAYER, SRC_FILE_NM, DOS_THRU_YYYYMM"/>
  </r>
  <r>
    <x v="2"/>
    <s v="SGMRYCLN_PE202407_REMAO004.TXT"/>
    <x v="99"/>
    <x v="9"/>
    <n v="26632"/>
    <n v="121626"/>
    <n v="21.9"/>
    <s v="DQS_MAO04_FILE_000_B"/>
    <s v="RECORD COUNT by MBR_ID, DOS_THRU_DT, DX_CD Grain grouped by PAYER, SRC_FILE_NM, DOS_THRU_YYYYMM"/>
  </r>
  <r>
    <x v="2"/>
    <s v="SGMRYCLN_PE202407_REMAO004.TXT"/>
    <x v="100"/>
    <x v="9"/>
    <n v="21700"/>
    <n v="121626"/>
    <n v="17.84"/>
    <s v="DQS_MAO04_FILE_000_B"/>
    <s v="RECORD COUNT by MBR_ID, DOS_THRU_DT, DX_CD Grain grouped by PAYER, SRC_FILE_NM, DOS_THRU_YYYYMM"/>
  </r>
  <r>
    <x v="2"/>
    <s v="SGMRYCLN_PE202408_REMAO004.TXT"/>
    <x v="37"/>
    <x v="4"/>
    <n v="1"/>
    <n v="157525"/>
    <n v="0"/>
    <s v="DQS_MAO04_FILE_000_B"/>
    <s v="RECORD COUNT by MBR_ID, DOS_THRU_DT, DX_CD Grain grouped by PAYER, SRC_FILE_NM, DOS_THRU_YYYYMM"/>
  </r>
  <r>
    <x v="2"/>
    <s v="SGMRYCLN_PE202408_REMAO004.TXT"/>
    <x v="58"/>
    <x v="6"/>
    <n v="1"/>
    <n v="157525"/>
    <n v="0"/>
    <s v="DQS_MAO04_FILE_000_B"/>
    <s v="RECORD COUNT by MBR_ID, DOS_THRU_DT, DX_CD Grain grouped by PAYER, SRC_FILE_NM, DOS_THRU_YYYYMM"/>
  </r>
  <r>
    <x v="2"/>
    <s v="SGMRYCLN_PE202408_REMAO004.TXT"/>
    <x v="65"/>
    <x v="7"/>
    <n v="6"/>
    <n v="157525"/>
    <n v="0"/>
    <s v="DQS_MAO04_FILE_000_B"/>
    <s v="RECORD COUNT by MBR_ID, DOS_THRU_DT, DX_CD Grain grouped by PAYER, SRC_FILE_NM, DOS_THRU_YYYYMM"/>
  </r>
  <r>
    <x v="2"/>
    <s v="SGMRYCLN_PE202408_REMAO004.TXT"/>
    <x v="66"/>
    <x v="7"/>
    <n v="4"/>
    <n v="157525"/>
    <n v="0"/>
    <s v="DQS_MAO04_FILE_000_B"/>
    <s v="RECORD COUNT by MBR_ID, DOS_THRU_DT, DX_CD Grain grouped by PAYER, SRC_FILE_NM, DOS_THRU_YYYYMM"/>
  </r>
  <r>
    <x v="2"/>
    <s v="SGMRYCLN_PE202408_REMAO004.TXT"/>
    <x v="67"/>
    <x v="7"/>
    <n v="18"/>
    <n v="157525"/>
    <n v="0.01"/>
    <s v="DQS_MAO04_FILE_000_B"/>
    <s v="RECORD COUNT by MBR_ID, DOS_THRU_DT, DX_CD Grain grouped by PAYER, SRC_FILE_NM, DOS_THRU_YYYYMM"/>
  </r>
  <r>
    <x v="2"/>
    <s v="SGMRYCLN_PE202408_REMAO004.TXT"/>
    <x v="68"/>
    <x v="7"/>
    <n v="18"/>
    <n v="157525"/>
    <n v="0.01"/>
    <s v="DQS_MAO04_FILE_000_B"/>
    <s v="RECORD COUNT by MBR_ID, DOS_THRU_DT, DX_CD Grain grouped by PAYER, SRC_FILE_NM, DOS_THRU_YYYYMM"/>
  </r>
  <r>
    <x v="2"/>
    <s v="SGMRYCLN_PE202408_REMAO004.TXT"/>
    <x v="69"/>
    <x v="7"/>
    <n v="14"/>
    <n v="157525"/>
    <n v="0.01"/>
    <s v="DQS_MAO04_FILE_000_B"/>
    <s v="RECORD COUNT by MBR_ID, DOS_THRU_DT, DX_CD Grain grouped by PAYER, SRC_FILE_NM, DOS_THRU_YYYYMM"/>
  </r>
  <r>
    <x v="2"/>
    <s v="SGMRYCLN_PE202408_REMAO004.TXT"/>
    <x v="70"/>
    <x v="7"/>
    <n v="11"/>
    <n v="157525"/>
    <n v="0.01"/>
    <s v="DQS_MAO04_FILE_000_B"/>
    <s v="RECORD COUNT by MBR_ID, DOS_THRU_DT, DX_CD Grain grouped by PAYER, SRC_FILE_NM, DOS_THRU_YYYYMM"/>
  </r>
  <r>
    <x v="2"/>
    <s v="SGMRYCLN_PE202408_REMAO004.TXT"/>
    <x v="71"/>
    <x v="7"/>
    <n v="4"/>
    <n v="157525"/>
    <n v="0"/>
    <s v="DQS_MAO04_FILE_000_B"/>
    <s v="RECORD COUNT by MBR_ID, DOS_THRU_DT, DX_CD Grain grouped by PAYER, SRC_FILE_NM, DOS_THRU_YYYYMM"/>
  </r>
  <r>
    <x v="2"/>
    <s v="SGMRYCLN_PE202408_REMAO004.TXT"/>
    <x v="72"/>
    <x v="7"/>
    <n v="9"/>
    <n v="157525"/>
    <n v="0.01"/>
    <s v="DQS_MAO04_FILE_000_B"/>
    <s v="RECORD COUNT by MBR_ID, DOS_THRU_DT, DX_CD Grain grouped by PAYER, SRC_FILE_NM, DOS_THRU_YYYYMM"/>
  </r>
  <r>
    <x v="2"/>
    <s v="SGMRYCLN_PE202408_REMAO004.TXT"/>
    <x v="74"/>
    <x v="7"/>
    <n v="5"/>
    <n v="157525"/>
    <n v="0"/>
    <s v="DQS_MAO04_FILE_000_B"/>
    <s v="RECORD COUNT by MBR_ID, DOS_THRU_DT, DX_CD Grain grouped by PAYER, SRC_FILE_NM, DOS_THRU_YYYYMM"/>
  </r>
  <r>
    <x v="2"/>
    <s v="SGMRYCLN_PE202408_REMAO004.TXT"/>
    <x v="75"/>
    <x v="7"/>
    <n v="14"/>
    <n v="157525"/>
    <n v="0.01"/>
    <s v="DQS_MAO04_FILE_000_B"/>
    <s v="RECORD COUNT by MBR_ID, DOS_THRU_DT, DX_CD Grain grouped by PAYER, SRC_FILE_NM, DOS_THRU_YYYYMM"/>
  </r>
  <r>
    <x v="2"/>
    <s v="SGMRYCLN_PE202408_REMAO004.TXT"/>
    <x v="76"/>
    <x v="7"/>
    <n v="14"/>
    <n v="157525"/>
    <n v="0.01"/>
    <s v="DQS_MAO04_FILE_000_B"/>
    <s v="RECORD COUNT by MBR_ID, DOS_THRU_DT, DX_CD Grain grouped by PAYER, SRC_FILE_NM, DOS_THRU_YYYYMM"/>
  </r>
  <r>
    <x v="2"/>
    <s v="SGMRYCLN_PE202408_REMAO004.TXT"/>
    <x v="77"/>
    <x v="8"/>
    <n v="12169"/>
    <n v="157525"/>
    <n v="7.73"/>
    <s v="DQS_MAO04_FILE_000_B"/>
    <s v="RECORD COUNT by MBR_ID, DOS_THRU_DT, DX_CD Grain grouped by PAYER, SRC_FILE_NM, DOS_THRU_YYYYMM"/>
  </r>
  <r>
    <x v="2"/>
    <s v="SGMRYCLN_PE202408_REMAO004.TXT"/>
    <x v="78"/>
    <x v="8"/>
    <n v="11256"/>
    <n v="157525"/>
    <n v="7.15"/>
    <s v="DQS_MAO04_FILE_000_B"/>
    <s v="RECORD COUNT by MBR_ID, DOS_THRU_DT, DX_CD Grain grouped by PAYER, SRC_FILE_NM, DOS_THRU_YYYYMM"/>
  </r>
  <r>
    <x v="2"/>
    <s v="SGMRYCLN_PE202408_REMAO004.TXT"/>
    <x v="79"/>
    <x v="8"/>
    <n v="12974"/>
    <n v="157525"/>
    <n v="8.24"/>
    <s v="DQS_MAO04_FILE_000_B"/>
    <s v="RECORD COUNT by MBR_ID, DOS_THRU_DT, DX_CD Grain grouped by PAYER, SRC_FILE_NM, DOS_THRU_YYYYMM"/>
  </r>
  <r>
    <x v="2"/>
    <s v="SGMRYCLN_PE202408_REMAO004.TXT"/>
    <x v="80"/>
    <x v="8"/>
    <n v="11715"/>
    <n v="157525"/>
    <n v="7.44"/>
    <s v="DQS_MAO04_FILE_000_B"/>
    <s v="RECORD COUNT by MBR_ID, DOS_THRU_DT, DX_CD Grain grouped by PAYER, SRC_FILE_NM, DOS_THRU_YYYYMM"/>
  </r>
  <r>
    <x v="2"/>
    <s v="SGMRYCLN_PE202408_REMAO004.TXT"/>
    <x v="81"/>
    <x v="8"/>
    <n v="12432"/>
    <n v="157525"/>
    <n v="7.89"/>
    <s v="DQS_MAO04_FILE_000_B"/>
    <s v="RECORD COUNT by MBR_ID, DOS_THRU_DT, DX_CD Grain grouped by PAYER, SRC_FILE_NM, DOS_THRU_YYYYMM"/>
  </r>
  <r>
    <x v="2"/>
    <s v="SGMRYCLN_PE202408_REMAO004.TXT"/>
    <x v="82"/>
    <x v="8"/>
    <n v="12047"/>
    <n v="157525"/>
    <n v="7.65"/>
    <s v="DQS_MAO04_FILE_000_B"/>
    <s v="RECORD COUNT by MBR_ID, DOS_THRU_DT, DX_CD Grain grouped by PAYER, SRC_FILE_NM, DOS_THRU_YYYYMM"/>
  </r>
  <r>
    <x v="2"/>
    <s v="SGMRYCLN_PE202408_REMAO004.TXT"/>
    <x v="83"/>
    <x v="8"/>
    <n v="9801"/>
    <n v="157525"/>
    <n v="6.22"/>
    <s v="DQS_MAO04_FILE_000_B"/>
    <s v="RECORD COUNT by MBR_ID, DOS_THRU_DT, DX_CD Grain grouped by PAYER, SRC_FILE_NM, DOS_THRU_YYYYMM"/>
  </r>
  <r>
    <x v="2"/>
    <s v="SGMRYCLN_PE202408_REMAO004.TXT"/>
    <x v="84"/>
    <x v="8"/>
    <n v="9475"/>
    <n v="157525"/>
    <n v="6.01"/>
    <s v="DQS_MAO04_FILE_000_B"/>
    <s v="RECORD COUNT by MBR_ID, DOS_THRU_DT, DX_CD Grain grouped by PAYER, SRC_FILE_NM, DOS_THRU_YYYYMM"/>
  </r>
  <r>
    <x v="2"/>
    <s v="SGMRYCLN_PE202408_REMAO004.TXT"/>
    <x v="85"/>
    <x v="8"/>
    <n v="5043"/>
    <n v="157525"/>
    <n v="3.2"/>
    <s v="DQS_MAO04_FILE_000_B"/>
    <s v="RECORD COUNT by MBR_ID, DOS_THRU_DT, DX_CD Grain grouped by PAYER, SRC_FILE_NM, DOS_THRU_YYYYMM"/>
  </r>
  <r>
    <x v="2"/>
    <s v="SGMRYCLN_PE202408_REMAO004.TXT"/>
    <x v="86"/>
    <x v="8"/>
    <n v="787"/>
    <n v="157525"/>
    <n v="0.5"/>
    <s v="DQS_MAO04_FILE_000_B"/>
    <s v="RECORD COUNT by MBR_ID, DOS_THRU_DT, DX_CD Grain grouped by PAYER, SRC_FILE_NM, DOS_THRU_YYYYMM"/>
  </r>
  <r>
    <x v="2"/>
    <s v="SGMRYCLN_PE202408_REMAO004.TXT"/>
    <x v="87"/>
    <x v="8"/>
    <n v="546"/>
    <n v="157525"/>
    <n v="0.35"/>
    <s v="DQS_MAO04_FILE_000_B"/>
    <s v="RECORD COUNT by MBR_ID, DOS_THRU_DT, DX_CD Grain grouped by PAYER, SRC_FILE_NM, DOS_THRU_YYYYMM"/>
  </r>
  <r>
    <x v="2"/>
    <s v="SGMRYCLN_PE202408_REMAO004.TXT"/>
    <x v="88"/>
    <x v="8"/>
    <n v="525"/>
    <n v="157525"/>
    <n v="0.33"/>
    <s v="DQS_MAO04_FILE_000_B"/>
    <s v="RECORD COUNT by MBR_ID, DOS_THRU_DT, DX_CD Grain grouped by PAYER, SRC_FILE_NM, DOS_THRU_YYYYMM"/>
  </r>
  <r>
    <x v="2"/>
    <s v="SGMRYCLN_PE202408_REMAO004.TXT"/>
    <x v="89"/>
    <x v="9"/>
    <n v="1241"/>
    <n v="157525"/>
    <n v="0.79"/>
    <s v="DQS_MAO04_FILE_000_B"/>
    <s v="RECORD COUNT by MBR_ID, DOS_THRU_DT, DX_CD Grain grouped by PAYER, SRC_FILE_NM, DOS_THRU_YYYYMM"/>
  </r>
  <r>
    <x v="2"/>
    <s v="SGMRYCLN_PE202408_REMAO004.TXT"/>
    <x v="97"/>
    <x v="9"/>
    <n v="1230"/>
    <n v="157525"/>
    <n v="0.78"/>
    <s v="DQS_MAO04_FILE_000_B"/>
    <s v="RECORD COUNT by MBR_ID, DOS_THRU_DT, DX_CD Grain grouped by PAYER, SRC_FILE_NM, DOS_THRU_YYYYMM"/>
  </r>
  <r>
    <x v="2"/>
    <s v="SGMRYCLN_PE202408_REMAO004.TXT"/>
    <x v="98"/>
    <x v="9"/>
    <n v="1547"/>
    <n v="157525"/>
    <n v="0.98"/>
    <s v="DQS_MAO04_FILE_000_B"/>
    <s v="RECORD COUNT by MBR_ID, DOS_THRU_DT, DX_CD Grain grouped by PAYER, SRC_FILE_NM, DOS_THRU_YYYYMM"/>
  </r>
  <r>
    <x v="2"/>
    <s v="SGMRYCLN_PE202408_REMAO004.TXT"/>
    <x v="99"/>
    <x v="9"/>
    <n v="3697"/>
    <n v="157525"/>
    <n v="2.35"/>
    <s v="DQS_MAO04_FILE_000_B"/>
    <s v="RECORD COUNT by MBR_ID, DOS_THRU_DT, DX_CD Grain grouped by PAYER, SRC_FILE_NM, DOS_THRU_YYYYMM"/>
  </r>
  <r>
    <x v="2"/>
    <s v="SGMRYCLN_PE202408_REMAO004.TXT"/>
    <x v="100"/>
    <x v="9"/>
    <n v="32055"/>
    <n v="157525"/>
    <n v="20.350000000000001"/>
    <s v="DQS_MAO04_FILE_000_B"/>
    <s v="RECORD COUNT by MBR_ID, DOS_THRU_DT, DX_CD Grain grouped by PAYER, SRC_FILE_NM, DOS_THRU_YYYYMM"/>
  </r>
  <r>
    <x v="2"/>
    <s v="SGMRYCLN_PE202408_REMAO004.TXT"/>
    <x v="102"/>
    <x v="9"/>
    <n v="18866"/>
    <n v="157525"/>
    <n v="11.98"/>
    <s v="DQS_MAO04_FILE_000_B"/>
    <s v="RECORD COUNT by MBR_ID, DOS_THRU_DT, DX_CD Grain grouped by PAYER, SRC_FILE_NM, DOS_THRU_YYYYMM"/>
  </r>
  <r>
    <x v="2"/>
    <s v="SGMRYCLN_PE202409_REMAO004.TXT"/>
    <x v="17"/>
    <x v="3"/>
    <n v="2"/>
    <n v="76600"/>
    <n v="0"/>
    <s v="DQS_MAO04_FILE_000_B"/>
    <s v="RECORD COUNT by MBR_ID, DOS_THRU_DT, DX_CD Grain grouped by PAYER, SRC_FILE_NM, DOS_THRU_YYYYMM"/>
  </r>
  <r>
    <x v="2"/>
    <s v="SGMRYCLN_PE202409_REMAO004.TXT"/>
    <x v="19"/>
    <x v="3"/>
    <n v="2"/>
    <n v="76600"/>
    <n v="0"/>
    <s v="DQS_MAO04_FILE_000_B"/>
    <s v="RECORD COUNT by MBR_ID, DOS_THRU_DT, DX_CD Grain grouped by PAYER, SRC_FILE_NM, DOS_THRU_YYYYMM"/>
  </r>
  <r>
    <x v="2"/>
    <s v="SGMRYCLN_PE202409_REMAO004.TXT"/>
    <x v="22"/>
    <x v="3"/>
    <n v="3"/>
    <n v="76600"/>
    <n v="0"/>
    <s v="DQS_MAO04_FILE_000_B"/>
    <s v="RECORD COUNT by MBR_ID, DOS_THRU_DT, DX_CD Grain grouped by PAYER, SRC_FILE_NM, DOS_THRU_YYYYMM"/>
  </r>
  <r>
    <x v="2"/>
    <s v="SGMRYCLN_PE202409_REMAO004.TXT"/>
    <x v="24"/>
    <x v="3"/>
    <n v="1"/>
    <n v="76600"/>
    <n v="0"/>
    <s v="DQS_MAO04_FILE_000_B"/>
    <s v="RECORD COUNT by MBR_ID, DOS_THRU_DT, DX_CD Grain grouped by PAYER, SRC_FILE_NM, DOS_THRU_YYYYMM"/>
  </r>
  <r>
    <x v="2"/>
    <s v="SGMRYCLN_PE202409_REMAO004.TXT"/>
    <x v="25"/>
    <x v="3"/>
    <n v="1"/>
    <n v="76600"/>
    <n v="0"/>
    <s v="DQS_MAO04_FILE_000_B"/>
    <s v="RECORD COUNT by MBR_ID, DOS_THRU_DT, DX_CD Grain grouped by PAYER, SRC_FILE_NM, DOS_THRU_YYYYMM"/>
  </r>
  <r>
    <x v="2"/>
    <s v="SGMRYCLN_PE202409_REMAO004.TXT"/>
    <x v="26"/>
    <x v="3"/>
    <n v="3"/>
    <n v="76600"/>
    <n v="0"/>
    <s v="DQS_MAO04_FILE_000_B"/>
    <s v="RECORD COUNT by MBR_ID, DOS_THRU_DT, DX_CD Grain grouped by PAYER, SRC_FILE_NM, DOS_THRU_YYYYMM"/>
  </r>
  <r>
    <x v="2"/>
    <s v="SGMRYCLN_PE202409_REMAO004.TXT"/>
    <x v="27"/>
    <x v="3"/>
    <n v="1"/>
    <n v="76600"/>
    <n v="0"/>
    <s v="DQS_MAO04_FILE_000_B"/>
    <s v="RECORD COUNT by MBR_ID, DOS_THRU_DT, DX_CD Grain grouped by PAYER, SRC_FILE_NM, DOS_THRU_YYYYMM"/>
  </r>
  <r>
    <x v="2"/>
    <s v="SGMRYCLN_PE202409_REMAO004.TXT"/>
    <x v="49"/>
    <x v="5"/>
    <n v="15"/>
    <n v="76600"/>
    <n v="0.02"/>
    <s v="DQS_MAO04_FILE_000_B"/>
    <s v="RECORD COUNT by MBR_ID, DOS_THRU_DT, DX_CD Grain grouped by PAYER, SRC_FILE_NM, DOS_THRU_YYYYMM"/>
  </r>
  <r>
    <x v="2"/>
    <s v="SGMRYCLN_PE202409_REMAO004.TXT"/>
    <x v="50"/>
    <x v="5"/>
    <n v="37"/>
    <n v="76600"/>
    <n v="0.05"/>
    <s v="DQS_MAO04_FILE_000_B"/>
    <s v="RECORD COUNT by MBR_ID, DOS_THRU_DT, DX_CD Grain grouped by PAYER, SRC_FILE_NM, DOS_THRU_YYYYMM"/>
  </r>
  <r>
    <x v="2"/>
    <s v="SGMRYCLN_PE202409_REMAO004.TXT"/>
    <x v="57"/>
    <x v="6"/>
    <n v="2"/>
    <n v="76600"/>
    <n v="0"/>
    <s v="DQS_MAO04_FILE_000_B"/>
    <s v="RECORD COUNT by MBR_ID, DOS_THRU_DT, DX_CD Grain grouped by PAYER, SRC_FILE_NM, DOS_THRU_YYYYMM"/>
  </r>
  <r>
    <x v="2"/>
    <s v="SGMRYCLN_PE202409_REMAO004.TXT"/>
    <x v="59"/>
    <x v="6"/>
    <n v="1"/>
    <n v="76600"/>
    <n v="0"/>
    <s v="DQS_MAO04_FILE_000_B"/>
    <s v="RECORD COUNT by MBR_ID, DOS_THRU_DT, DX_CD Grain grouped by PAYER, SRC_FILE_NM, DOS_THRU_YYYYMM"/>
  </r>
  <r>
    <x v="2"/>
    <s v="SGMRYCLN_PE202409_REMAO004.TXT"/>
    <x v="63"/>
    <x v="6"/>
    <n v="3"/>
    <n v="76600"/>
    <n v="0"/>
    <s v="DQS_MAO04_FILE_000_B"/>
    <s v="RECORD COUNT by MBR_ID, DOS_THRU_DT, DX_CD Grain grouped by PAYER, SRC_FILE_NM, DOS_THRU_YYYYMM"/>
  </r>
  <r>
    <x v="2"/>
    <s v="SGMRYCLN_PE202409_REMAO004.TXT"/>
    <x v="71"/>
    <x v="7"/>
    <n v="7"/>
    <n v="76600"/>
    <n v="0.01"/>
    <s v="DQS_MAO04_FILE_000_B"/>
    <s v="RECORD COUNT by MBR_ID, DOS_THRU_DT, DX_CD Grain grouped by PAYER, SRC_FILE_NM, DOS_THRU_YYYYMM"/>
  </r>
  <r>
    <x v="2"/>
    <s v="SGMRYCLN_PE202409_REMAO004.TXT"/>
    <x v="72"/>
    <x v="7"/>
    <n v="23"/>
    <n v="76600"/>
    <n v="0.03"/>
    <s v="DQS_MAO04_FILE_000_B"/>
    <s v="RECORD COUNT by MBR_ID, DOS_THRU_DT, DX_CD Grain grouped by PAYER, SRC_FILE_NM, DOS_THRU_YYYYMM"/>
  </r>
  <r>
    <x v="2"/>
    <s v="SGMRYCLN_PE202409_REMAO004.TXT"/>
    <x v="73"/>
    <x v="7"/>
    <n v="9"/>
    <n v="76600"/>
    <n v="0.01"/>
    <s v="DQS_MAO04_FILE_000_B"/>
    <s v="RECORD COUNT by MBR_ID, DOS_THRU_DT, DX_CD Grain grouped by PAYER, SRC_FILE_NM, DOS_THRU_YYYYMM"/>
  </r>
  <r>
    <x v="2"/>
    <s v="SGMRYCLN_PE202409_REMAO004.TXT"/>
    <x v="74"/>
    <x v="7"/>
    <n v="9"/>
    <n v="76600"/>
    <n v="0.01"/>
    <s v="DQS_MAO04_FILE_000_B"/>
    <s v="RECORD COUNT by MBR_ID, DOS_THRU_DT, DX_CD Grain grouped by PAYER, SRC_FILE_NM, DOS_THRU_YYYYMM"/>
  </r>
  <r>
    <x v="2"/>
    <s v="SGMRYCLN_PE202409_REMAO004.TXT"/>
    <x v="75"/>
    <x v="7"/>
    <n v="3"/>
    <n v="76600"/>
    <n v="0"/>
    <s v="DQS_MAO04_FILE_000_B"/>
    <s v="RECORD COUNT by MBR_ID, DOS_THRU_DT, DX_CD Grain grouped by PAYER, SRC_FILE_NM, DOS_THRU_YYYYMM"/>
  </r>
  <r>
    <x v="2"/>
    <s v="SGMRYCLN_PE202409_REMAO004.TXT"/>
    <x v="76"/>
    <x v="7"/>
    <n v="19"/>
    <n v="76600"/>
    <n v="0.02"/>
    <s v="DQS_MAO04_FILE_000_B"/>
    <s v="RECORD COUNT by MBR_ID, DOS_THRU_DT, DX_CD Grain grouped by PAYER, SRC_FILE_NM, DOS_THRU_YYYYMM"/>
  </r>
  <r>
    <x v="2"/>
    <s v="SGMRYCLN_PE202409_REMAO004.TXT"/>
    <x v="77"/>
    <x v="8"/>
    <n v="1706"/>
    <n v="76600"/>
    <n v="2.23"/>
    <s v="DQS_MAO04_FILE_000_B"/>
    <s v="RECORD COUNT by MBR_ID, DOS_THRU_DT, DX_CD Grain grouped by PAYER, SRC_FILE_NM, DOS_THRU_YYYYMM"/>
  </r>
  <r>
    <x v="2"/>
    <s v="SGMRYCLN_PE202409_REMAO004.TXT"/>
    <x v="78"/>
    <x v="8"/>
    <n v="1388"/>
    <n v="76600"/>
    <n v="1.81"/>
    <s v="DQS_MAO04_FILE_000_B"/>
    <s v="RECORD COUNT by MBR_ID, DOS_THRU_DT, DX_CD Grain grouped by PAYER, SRC_FILE_NM, DOS_THRU_YYYYMM"/>
  </r>
  <r>
    <x v="2"/>
    <s v="SGMRYCLN_PE202409_REMAO004.TXT"/>
    <x v="79"/>
    <x v="8"/>
    <n v="1861"/>
    <n v="76600"/>
    <n v="2.4300000000000002"/>
    <s v="DQS_MAO04_FILE_000_B"/>
    <s v="RECORD COUNT by MBR_ID, DOS_THRU_DT, DX_CD Grain grouped by PAYER, SRC_FILE_NM, DOS_THRU_YYYYMM"/>
  </r>
  <r>
    <x v="2"/>
    <s v="SGMRYCLN_PE202409_REMAO004.TXT"/>
    <x v="80"/>
    <x v="8"/>
    <n v="1860"/>
    <n v="76600"/>
    <n v="2.4300000000000002"/>
    <s v="DQS_MAO04_FILE_000_B"/>
    <s v="RECORD COUNT by MBR_ID, DOS_THRU_DT, DX_CD Grain grouped by PAYER, SRC_FILE_NM, DOS_THRU_YYYYMM"/>
  </r>
  <r>
    <x v="2"/>
    <s v="SGMRYCLN_PE202409_REMAO004.TXT"/>
    <x v="81"/>
    <x v="8"/>
    <n v="1619"/>
    <n v="76600"/>
    <n v="2.11"/>
    <s v="DQS_MAO04_FILE_000_B"/>
    <s v="RECORD COUNT by MBR_ID, DOS_THRU_DT, DX_CD Grain grouped by PAYER, SRC_FILE_NM, DOS_THRU_YYYYMM"/>
  </r>
  <r>
    <x v="2"/>
    <s v="SGMRYCLN_PE202409_REMAO004.TXT"/>
    <x v="82"/>
    <x v="8"/>
    <n v="1658"/>
    <n v="76600"/>
    <n v="2.16"/>
    <s v="DQS_MAO04_FILE_000_B"/>
    <s v="RECORD COUNT by MBR_ID, DOS_THRU_DT, DX_CD Grain grouped by PAYER, SRC_FILE_NM, DOS_THRU_YYYYMM"/>
  </r>
  <r>
    <x v="2"/>
    <s v="SGMRYCLN_PE202409_REMAO004.TXT"/>
    <x v="83"/>
    <x v="8"/>
    <n v="1437"/>
    <n v="76600"/>
    <n v="1.88"/>
    <s v="DQS_MAO04_FILE_000_B"/>
    <s v="RECORD COUNT by MBR_ID, DOS_THRU_DT, DX_CD Grain grouped by PAYER, SRC_FILE_NM, DOS_THRU_YYYYMM"/>
  </r>
  <r>
    <x v="2"/>
    <s v="SGMRYCLN_PE202409_REMAO004.TXT"/>
    <x v="84"/>
    <x v="8"/>
    <n v="1493"/>
    <n v="76600"/>
    <n v="1.95"/>
    <s v="DQS_MAO04_FILE_000_B"/>
    <s v="RECORD COUNT by MBR_ID, DOS_THRU_DT, DX_CD Grain grouped by PAYER, SRC_FILE_NM, DOS_THRU_YYYYMM"/>
  </r>
  <r>
    <x v="2"/>
    <s v="SGMRYCLN_PE202409_REMAO004.TXT"/>
    <x v="85"/>
    <x v="8"/>
    <n v="949"/>
    <n v="76600"/>
    <n v="1.24"/>
    <s v="DQS_MAO04_FILE_000_B"/>
    <s v="RECORD COUNT by MBR_ID, DOS_THRU_DT, DX_CD Grain grouped by PAYER, SRC_FILE_NM, DOS_THRU_YYYYMM"/>
  </r>
  <r>
    <x v="2"/>
    <s v="SGMRYCLN_PE202409_REMAO004.TXT"/>
    <x v="86"/>
    <x v="8"/>
    <n v="1034"/>
    <n v="76600"/>
    <n v="1.35"/>
    <s v="DQS_MAO04_FILE_000_B"/>
    <s v="RECORD COUNT by MBR_ID, DOS_THRU_DT, DX_CD Grain grouped by PAYER, SRC_FILE_NM, DOS_THRU_YYYYMM"/>
  </r>
  <r>
    <x v="2"/>
    <s v="SGMRYCLN_PE202409_REMAO004.TXT"/>
    <x v="87"/>
    <x v="8"/>
    <n v="1087"/>
    <n v="76600"/>
    <n v="1.42"/>
    <s v="DQS_MAO04_FILE_000_B"/>
    <s v="RECORD COUNT by MBR_ID, DOS_THRU_DT, DX_CD Grain grouped by PAYER, SRC_FILE_NM, DOS_THRU_YYYYMM"/>
  </r>
  <r>
    <x v="2"/>
    <s v="SGMRYCLN_PE202409_REMAO004.TXT"/>
    <x v="88"/>
    <x v="8"/>
    <n v="1022"/>
    <n v="76600"/>
    <n v="1.33"/>
    <s v="DQS_MAO04_FILE_000_B"/>
    <s v="RECORD COUNT by MBR_ID, DOS_THRU_DT, DX_CD Grain grouped by PAYER, SRC_FILE_NM, DOS_THRU_YYYYMM"/>
  </r>
  <r>
    <x v="2"/>
    <s v="SGMRYCLN_PE202409_REMAO004.TXT"/>
    <x v="89"/>
    <x v="9"/>
    <n v="1097"/>
    <n v="76600"/>
    <n v="1.43"/>
    <s v="DQS_MAO04_FILE_000_B"/>
    <s v="RECORD COUNT by MBR_ID, DOS_THRU_DT, DX_CD Grain grouped by PAYER, SRC_FILE_NM, DOS_THRU_YYYYMM"/>
  </r>
  <r>
    <x v="2"/>
    <s v="SGMRYCLN_PE202409_REMAO004.TXT"/>
    <x v="97"/>
    <x v="9"/>
    <n v="1158"/>
    <n v="76600"/>
    <n v="1.51"/>
    <s v="DQS_MAO04_FILE_000_B"/>
    <s v="RECORD COUNT by MBR_ID, DOS_THRU_DT, DX_CD Grain grouped by PAYER, SRC_FILE_NM, DOS_THRU_YYYYMM"/>
  </r>
  <r>
    <x v="2"/>
    <s v="SGMRYCLN_PE202409_REMAO004.TXT"/>
    <x v="98"/>
    <x v="9"/>
    <n v="1242"/>
    <n v="76600"/>
    <n v="1.62"/>
    <s v="DQS_MAO04_FILE_000_B"/>
    <s v="RECORD COUNT by MBR_ID, DOS_THRU_DT, DX_CD Grain grouped by PAYER, SRC_FILE_NM, DOS_THRU_YYYYMM"/>
  </r>
  <r>
    <x v="2"/>
    <s v="SGMRYCLN_PE202409_REMAO004.TXT"/>
    <x v="99"/>
    <x v="9"/>
    <n v="2230"/>
    <n v="76600"/>
    <n v="2.91"/>
    <s v="DQS_MAO04_FILE_000_B"/>
    <s v="RECORD COUNT by MBR_ID, DOS_THRU_DT, DX_CD Grain grouped by PAYER, SRC_FILE_NM, DOS_THRU_YYYYMM"/>
  </r>
  <r>
    <x v="2"/>
    <s v="SGMRYCLN_PE202409_REMAO004.TXT"/>
    <x v="100"/>
    <x v="9"/>
    <n v="5256"/>
    <n v="76600"/>
    <n v="6.86"/>
    <s v="DQS_MAO04_FILE_000_B"/>
    <s v="RECORD COUNT by MBR_ID, DOS_THRU_DT, DX_CD Grain grouped by PAYER, SRC_FILE_NM, DOS_THRU_YYYYMM"/>
  </r>
  <r>
    <x v="2"/>
    <s v="SGMRYCLN_PE202409_REMAO004.TXT"/>
    <x v="102"/>
    <x v="9"/>
    <n v="29360"/>
    <n v="76600"/>
    <n v="38.33"/>
    <s v="DQS_MAO04_FILE_000_B"/>
    <s v="RECORD COUNT by MBR_ID, DOS_THRU_DT, DX_CD Grain grouped by PAYER, SRC_FILE_NM, DOS_THRU_YYYYMM"/>
  </r>
  <r>
    <x v="2"/>
    <s v="SGMRYCLN_PE202409_REMAO004.TXT"/>
    <x v="103"/>
    <x v="9"/>
    <n v="19002"/>
    <n v="76600"/>
    <n v="24.81"/>
    <s v="DQS_MAO04_FILE_000_B"/>
    <s v="RECORD COUNT by MBR_ID, DOS_THRU_DT, DX_CD Grain grouped by PAYER, SRC_FILE_NM, DOS_THRU_YYYYMM"/>
  </r>
  <r>
    <x v="2"/>
    <s v="SGMRYCLN_PE202410_REMAO004.TXT"/>
    <x v="56"/>
    <x v="6"/>
    <n v="1"/>
    <n v="70200"/>
    <n v="0"/>
    <s v="DQS_MAO04_FILE_000_B"/>
    <s v="RECORD COUNT by MBR_ID, DOS_THRU_DT, DX_CD Grain grouped by PAYER, SRC_FILE_NM, DOS_THRU_YYYYMM"/>
  </r>
  <r>
    <x v="2"/>
    <s v="SGMRYCLN_PE202410_REMAO004.TXT"/>
    <x v="72"/>
    <x v="7"/>
    <n v="21"/>
    <n v="70200"/>
    <n v="0.03"/>
    <s v="DQS_MAO04_FILE_000_B"/>
    <s v="RECORD COUNT by MBR_ID, DOS_THRU_DT, DX_CD Grain grouped by PAYER, SRC_FILE_NM, DOS_THRU_YYYYMM"/>
  </r>
  <r>
    <x v="2"/>
    <s v="SGMRYCLN_PE202410_REMAO004.TXT"/>
    <x v="73"/>
    <x v="7"/>
    <n v="1"/>
    <n v="70200"/>
    <n v="0"/>
    <s v="DQS_MAO04_FILE_000_B"/>
    <s v="RECORD COUNT by MBR_ID, DOS_THRU_DT, DX_CD Grain grouped by PAYER, SRC_FILE_NM, DOS_THRU_YYYYMM"/>
  </r>
  <r>
    <x v="2"/>
    <s v="SGMRYCLN_PE202410_REMAO004.TXT"/>
    <x v="74"/>
    <x v="7"/>
    <n v="33"/>
    <n v="70200"/>
    <n v="0.05"/>
    <s v="DQS_MAO04_FILE_000_B"/>
    <s v="RECORD COUNT by MBR_ID, DOS_THRU_DT, DX_CD Grain grouped by PAYER, SRC_FILE_NM, DOS_THRU_YYYYMM"/>
  </r>
  <r>
    <x v="2"/>
    <s v="SGMRYCLN_PE202410_REMAO004.TXT"/>
    <x v="75"/>
    <x v="7"/>
    <n v="12"/>
    <n v="70200"/>
    <n v="0.02"/>
    <s v="DQS_MAO04_FILE_000_B"/>
    <s v="RECORD COUNT by MBR_ID, DOS_THRU_DT, DX_CD Grain grouped by PAYER, SRC_FILE_NM, DOS_THRU_YYYYMM"/>
  </r>
  <r>
    <x v="2"/>
    <s v="SGMRYCLN_PE202410_REMAO004.TXT"/>
    <x v="76"/>
    <x v="7"/>
    <n v="18"/>
    <n v="70200"/>
    <n v="0.03"/>
    <s v="DQS_MAO04_FILE_000_B"/>
    <s v="RECORD COUNT by MBR_ID, DOS_THRU_DT, DX_CD Grain grouped by PAYER, SRC_FILE_NM, DOS_THRU_YYYYMM"/>
  </r>
  <r>
    <x v="2"/>
    <s v="SGMRYCLN_PE202410_REMAO004.TXT"/>
    <x v="77"/>
    <x v="8"/>
    <n v="1200"/>
    <n v="70200"/>
    <n v="1.71"/>
    <s v="DQS_MAO04_FILE_000_B"/>
    <s v="RECORD COUNT by MBR_ID, DOS_THRU_DT, DX_CD Grain grouped by PAYER, SRC_FILE_NM, DOS_THRU_YYYYMM"/>
  </r>
  <r>
    <x v="2"/>
    <s v="SGMRYCLN_PE202410_REMAO004.TXT"/>
    <x v="78"/>
    <x v="8"/>
    <n v="927"/>
    <n v="70200"/>
    <n v="1.32"/>
    <s v="DQS_MAO04_FILE_000_B"/>
    <s v="RECORD COUNT by MBR_ID, DOS_THRU_DT, DX_CD Grain grouped by PAYER, SRC_FILE_NM, DOS_THRU_YYYYMM"/>
  </r>
  <r>
    <x v="2"/>
    <s v="SGMRYCLN_PE202410_REMAO004.TXT"/>
    <x v="79"/>
    <x v="8"/>
    <n v="1272"/>
    <n v="70200"/>
    <n v="1.81"/>
    <s v="DQS_MAO04_FILE_000_B"/>
    <s v="RECORD COUNT by MBR_ID, DOS_THRU_DT, DX_CD Grain grouped by PAYER, SRC_FILE_NM, DOS_THRU_YYYYMM"/>
  </r>
  <r>
    <x v="2"/>
    <s v="SGMRYCLN_PE202410_REMAO004.TXT"/>
    <x v="80"/>
    <x v="8"/>
    <n v="1273"/>
    <n v="70200"/>
    <n v="1.81"/>
    <s v="DQS_MAO04_FILE_000_B"/>
    <s v="RECORD COUNT by MBR_ID, DOS_THRU_DT, DX_CD Grain grouped by PAYER, SRC_FILE_NM, DOS_THRU_YYYYMM"/>
  </r>
  <r>
    <x v="2"/>
    <s v="SGMRYCLN_PE202410_REMAO004.TXT"/>
    <x v="81"/>
    <x v="8"/>
    <n v="1123"/>
    <n v="70200"/>
    <n v="1.6"/>
    <s v="DQS_MAO04_FILE_000_B"/>
    <s v="RECORD COUNT by MBR_ID, DOS_THRU_DT, DX_CD Grain grouped by PAYER, SRC_FILE_NM, DOS_THRU_YYYYMM"/>
  </r>
  <r>
    <x v="2"/>
    <s v="SGMRYCLN_PE202410_REMAO004.TXT"/>
    <x v="82"/>
    <x v="8"/>
    <n v="1221"/>
    <n v="70200"/>
    <n v="1.74"/>
    <s v="DQS_MAO04_FILE_000_B"/>
    <s v="RECORD COUNT by MBR_ID, DOS_THRU_DT, DX_CD Grain grouped by PAYER, SRC_FILE_NM, DOS_THRU_YYYYMM"/>
  </r>
  <r>
    <x v="2"/>
    <s v="SGMRYCLN_PE202410_REMAO004.TXT"/>
    <x v="83"/>
    <x v="8"/>
    <n v="1005"/>
    <n v="70200"/>
    <n v="1.43"/>
    <s v="DQS_MAO04_FILE_000_B"/>
    <s v="RECORD COUNT by MBR_ID, DOS_THRU_DT, DX_CD Grain grouped by PAYER, SRC_FILE_NM, DOS_THRU_YYYYMM"/>
  </r>
  <r>
    <x v="2"/>
    <s v="SGMRYCLN_PE202410_REMAO004.TXT"/>
    <x v="84"/>
    <x v="8"/>
    <n v="898"/>
    <n v="70200"/>
    <n v="1.28"/>
    <s v="DQS_MAO04_FILE_000_B"/>
    <s v="RECORD COUNT by MBR_ID, DOS_THRU_DT, DX_CD Grain grouped by PAYER, SRC_FILE_NM, DOS_THRU_YYYYMM"/>
  </r>
  <r>
    <x v="2"/>
    <s v="SGMRYCLN_PE202410_REMAO004.TXT"/>
    <x v="85"/>
    <x v="8"/>
    <n v="716"/>
    <n v="70200"/>
    <n v="1.02"/>
    <s v="DQS_MAO04_FILE_000_B"/>
    <s v="RECORD COUNT by MBR_ID, DOS_THRU_DT, DX_CD Grain grouped by PAYER, SRC_FILE_NM, DOS_THRU_YYYYMM"/>
  </r>
  <r>
    <x v="2"/>
    <s v="SGMRYCLN_PE202410_REMAO004.TXT"/>
    <x v="86"/>
    <x v="8"/>
    <n v="532"/>
    <n v="70200"/>
    <n v="0.76"/>
    <s v="DQS_MAO04_FILE_000_B"/>
    <s v="RECORD COUNT by MBR_ID, DOS_THRU_DT, DX_CD Grain grouped by PAYER, SRC_FILE_NM, DOS_THRU_YYYYMM"/>
  </r>
  <r>
    <x v="2"/>
    <s v="SGMRYCLN_PE202410_REMAO004.TXT"/>
    <x v="87"/>
    <x v="8"/>
    <n v="513"/>
    <n v="70200"/>
    <n v="0.73"/>
    <s v="DQS_MAO04_FILE_000_B"/>
    <s v="RECORD COUNT by MBR_ID, DOS_THRU_DT, DX_CD Grain grouped by PAYER, SRC_FILE_NM, DOS_THRU_YYYYMM"/>
  </r>
  <r>
    <x v="2"/>
    <s v="SGMRYCLN_PE202410_REMAO004.TXT"/>
    <x v="88"/>
    <x v="8"/>
    <n v="534"/>
    <n v="70200"/>
    <n v="0.76"/>
    <s v="DQS_MAO04_FILE_000_B"/>
    <s v="RECORD COUNT by MBR_ID, DOS_THRU_DT, DX_CD Grain grouped by PAYER, SRC_FILE_NM, DOS_THRU_YYYYMM"/>
  </r>
  <r>
    <x v="2"/>
    <s v="SGMRYCLN_PE202410_REMAO004.TXT"/>
    <x v="89"/>
    <x v="9"/>
    <n v="705"/>
    <n v="70200"/>
    <n v="1"/>
    <s v="DQS_MAO04_FILE_000_B"/>
    <s v="RECORD COUNT by MBR_ID, DOS_THRU_DT, DX_CD Grain grouped by PAYER, SRC_FILE_NM, DOS_THRU_YYYYMM"/>
  </r>
  <r>
    <x v="2"/>
    <s v="SGMRYCLN_PE202410_REMAO004.TXT"/>
    <x v="97"/>
    <x v="9"/>
    <n v="1071"/>
    <n v="70200"/>
    <n v="1.53"/>
    <s v="DQS_MAO04_FILE_000_B"/>
    <s v="RECORD COUNT by MBR_ID, DOS_THRU_DT, DX_CD Grain grouped by PAYER, SRC_FILE_NM, DOS_THRU_YYYYMM"/>
  </r>
  <r>
    <x v="2"/>
    <s v="SGMRYCLN_PE202410_REMAO004.TXT"/>
    <x v="98"/>
    <x v="9"/>
    <n v="890"/>
    <n v="70200"/>
    <n v="1.27"/>
    <s v="DQS_MAO04_FILE_000_B"/>
    <s v="RECORD COUNT by MBR_ID, DOS_THRU_DT, DX_CD Grain grouped by PAYER, SRC_FILE_NM, DOS_THRU_YYYYMM"/>
  </r>
  <r>
    <x v="2"/>
    <s v="SGMRYCLN_PE202410_REMAO004.TXT"/>
    <x v="99"/>
    <x v="9"/>
    <n v="1325"/>
    <n v="70200"/>
    <n v="1.89"/>
    <s v="DQS_MAO04_FILE_000_B"/>
    <s v="RECORD COUNT by MBR_ID, DOS_THRU_DT, DX_CD Grain grouped by PAYER, SRC_FILE_NM, DOS_THRU_YYYYMM"/>
  </r>
  <r>
    <x v="2"/>
    <s v="SGMRYCLN_PE202410_REMAO004.TXT"/>
    <x v="100"/>
    <x v="9"/>
    <n v="1808"/>
    <n v="70200"/>
    <n v="2.58"/>
    <s v="DQS_MAO04_FILE_000_B"/>
    <s v="RECORD COUNT by MBR_ID, DOS_THRU_DT, DX_CD Grain grouped by PAYER, SRC_FILE_NM, DOS_THRU_YYYYMM"/>
  </r>
  <r>
    <x v="2"/>
    <s v="SGMRYCLN_PE202410_REMAO004.TXT"/>
    <x v="102"/>
    <x v="9"/>
    <n v="5103"/>
    <n v="70200"/>
    <n v="7.27"/>
    <s v="DQS_MAO04_FILE_000_B"/>
    <s v="RECORD COUNT by MBR_ID, DOS_THRU_DT, DX_CD Grain grouped by PAYER, SRC_FILE_NM, DOS_THRU_YYYYMM"/>
  </r>
  <r>
    <x v="2"/>
    <s v="SGMRYCLN_PE202410_REMAO004.TXT"/>
    <x v="103"/>
    <x v="9"/>
    <n v="27348"/>
    <n v="70200"/>
    <n v="38.96"/>
    <s v="DQS_MAO04_FILE_000_B"/>
    <s v="RECORD COUNT by MBR_ID, DOS_THRU_DT, DX_CD Grain grouped by PAYER, SRC_FILE_NM, DOS_THRU_YYYYMM"/>
  </r>
  <r>
    <x v="2"/>
    <s v="SGMRYCLN_PE202410_REMAO004.TXT"/>
    <x v="105"/>
    <x v="9"/>
    <n v="20650"/>
    <n v="70200"/>
    <n v="29.42"/>
    <s v="DQS_MAO04_FILE_000_B"/>
    <s v="RECORD COUNT by MBR_ID, DOS_THRU_DT, DX_CD Grain grouped by PAYER, SRC_FILE_NM, DOS_THRU_YYYYMM"/>
  </r>
  <r>
    <x v="2"/>
    <s v="SGMRYCLN_PE202411_REMAO004.TXT"/>
    <x v="29"/>
    <x v="4"/>
    <n v="13"/>
    <n v="51003"/>
    <n v="0.03"/>
    <s v="DQS_MAO04_FILE_000_B"/>
    <s v="RECORD COUNT by MBR_ID, DOS_THRU_DT, DX_CD Grain grouped by PAYER, SRC_FILE_NM, DOS_THRU_YYYYMM"/>
  </r>
  <r>
    <x v="2"/>
    <s v="SGMRYCLN_PE202411_REMAO004.TXT"/>
    <x v="30"/>
    <x v="4"/>
    <n v="12"/>
    <n v="51003"/>
    <n v="0.02"/>
    <s v="DQS_MAO04_FILE_000_B"/>
    <s v="RECORD COUNT by MBR_ID, DOS_THRU_DT, DX_CD Grain grouped by PAYER, SRC_FILE_NM, DOS_THRU_YYYYMM"/>
  </r>
  <r>
    <x v="2"/>
    <s v="SGMRYCLN_PE202411_REMAO004.TXT"/>
    <x v="41"/>
    <x v="5"/>
    <n v="1"/>
    <n v="51003"/>
    <n v="0"/>
    <s v="DQS_MAO04_FILE_000_B"/>
    <s v="RECORD COUNT by MBR_ID, DOS_THRU_DT, DX_CD Grain grouped by PAYER, SRC_FILE_NM, DOS_THRU_YYYYMM"/>
  </r>
  <r>
    <x v="2"/>
    <s v="SGMRYCLN_PE202411_REMAO004.TXT"/>
    <x v="52"/>
    <x v="5"/>
    <n v="5"/>
    <n v="51003"/>
    <n v="0.01"/>
    <s v="DQS_MAO04_FILE_000_B"/>
    <s v="RECORD COUNT by MBR_ID, DOS_THRU_DT, DX_CD Grain grouped by PAYER, SRC_FILE_NM, DOS_THRU_YYYYMM"/>
  </r>
  <r>
    <x v="2"/>
    <s v="SGMRYCLN_PE202411_REMAO004.TXT"/>
    <x v="54"/>
    <x v="6"/>
    <n v="27"/>
    <n v="51003"/>
    <n v="0.05"/>
    <s v="DQS_MAO04_FILE_000_B"/>
    <s v="RECORD COUNT by MBR_ID, DOS_THRU_DT, DX_CD Grain grouped by PAYER, SRC_FILE_NM, DOS_THRU_YYYYMM"/>
  </r>
  <r>
    <x v="2"/>
    <s v="SGMRYCLN_PE202411_REMAO004.TXT"/>
    <x v="63"/>
    <x v="6"/>
    <n v="9"/>
    <n v="51003"/>
    <n v="0.02"/>
    <s v="DQS_MAO04_FILE_000_B"/>
    <s v="RECORD COUNT by MBR_ID, DOS_THRU_DT, DX_CD Grain grouped by PAYER, SRC_FILE_NM, DOS_THRU_YYYYMM"/>
  </r>
  <r>
    <x v="2"/>
    <s v="SGMRYCLN_PE202411_REMAO004.TXT"/>
    <x v="67"/>
    <x v="7"/>
    <n v="7"/>
    <n v="51003"/>
    <n v="0.01"/>
    <s v="DQS_MAO04_FILE_000_B"/>
    <s v="RECORD COUNT by MBR_ID, DOS_THRU_DT, DX_CD Grain grouped by PAYER, SRC_FILE_NM, DOS_THRU_YYYYMM"/>
  </r>
  <r>
    <x v="2"/>
    <s v="SGMRYCLN_PE202411_REMAO004.TXT"/>
    <x v="68"/>
    <x v="7"/>
    <n v="6"/>
    <n v="51003"/>
    <n v="0.01"/>
    <s v="DQS_MAO04_FILE_000_B"/>
    <s v="RECORD COUNT by MBR_ID, DOS_THRU_DT, DX_CD Grain grouped by PAYER, SRC_FILE_NM, DOS_THRU_YYYYMM"/>
  </r>
  <r>
    <x v="2"/>
    <s v="SGMRYCLN_PE202411_REMAO004.TXT"/>
    <x v="72"/>
    <x v="7"/>
    <n v="3"/>
    <n v="51003"/>
    <n v="0.01"/>
    <s v="DQS_MAO04_FILE_000_B"/>
    <s v="RECORD COUNT by MBR_ID, DOS_THRU_DT, DX_CD Grain grouped by PAYER, SRC_FILE_NM, DOS_THRU_YYYYMM"/>
  </r>
  <r>
    <x v="2"/>
    <s v="SGMRYCLN_PE202411_REMAO004.TXT"/>
    <x v="74"/>
    <x v="7"/>
    <n v="7"/>
    <n v="51003"/>
    <n v="0.01"/>
    <s v="DQS_MAO04_FILE_000_B"/>
    <s v="RECORD COUNT by MBR_ID, DOS_THRU_DT, DX_CD Grain grouped by PAYER, SRC_FILE_NM, DOS_THRU_YYYYMM"/>
  </r>
  <r>
    <x v="2"/>
    <s v="SGMRYCLN_PE202411_REMAO004.TXT"/>
    <x v="75"/>
    <x v="7"/>
    <n v="6"/>
    <n v="51003"/>
    <n v="0.01"/>
    <s v="DQS_MAO04_FILE_000_B"/>
    <s v="RECORD COUNT by MBR_ID, DOS_THRU_DT, DX_CD Grain grouped by PAYER, SRC_FILE_NM, DOS_THRU_YYYYMM"/>
  </r>
  <r>
    <x v="2"/>
    <s v="SGMRYCLN_PE202411_REMAO004.TXT"/>
    <x v="76"/>
    <x v="7"/>
    <n v="55"/>
    <n v="51003"/>
    <n v="0.11"/>
    <s v="DQS_MAO04_FILE_000_B"/>
    <s v="RECORD COUNT by MBR_ID, DOS_THRU_DT, DX_CD Grain grouped by PAYER, SRC_FILE_NM, DOS_THRU_YYYYMM"/>
  </r>
  <r>
    <x v="2"/>
    <s v="SGMRYCLN_PE202411_REMAO004.TXT"/>
    <x v="77"/>
    <x v="8"/>
    <n v="118"/>
    <n v="51003"/>
    <n v="0.23"/>
    <s v="DQS_MAO04_FILE_000_B"/>
    <s v="RECORD COUNT by MBR_ID, DOS_THRU_DT, DX_CD Grain grouped by PAYER, SRC_FILE_NM, DOS_THRU_YYYYMM"/>
  </r>
  <r>
    <x v="2"/>
    <s v="SGMRYCLN_PE202411_REMAO004.TXT"/>
    <x v="78"/>
    <x v="8"/>
    <n v="112"/>
    <n v="51003"/>
    <n v="0.22"/>
    <s v="DQS_MAO04_FILE_000_B"/>
    <s v="RECORD COUNT by MBR_ID, DOS_THRU_DT, DX_CD Grain grouped by PAYER, SRC_FILE_NM, DOS_THRU_YYYYMM"/>
  </r>
  <r>
    <x v="2"/>
    <s v="SGMRYCLN_PE202411_REMAO004.TXT"/>
    <x v="79"/>
    <x v="8"/>
    <n v="150"/>
    <n v="51003"/>
    <n v="0.28999999999999998"/>
    <s v="DQS_MAO04_FILE_000_B"/>
    <s v="RECORD COUNT by MBR_ID, DOS_THRU_DT, DX_CD Grain grouped by PAYER, SRC_FILE_NM, DOS_THRU_YYYYMM"/>
  </r>
  <r>
    <x v="2"/>
    <s v="SGMRYCLN_PE202411_REMAO004.TXT"/>
    <x v="80"/>
    <x v="8"/>
    <n v="290"/>
    <n v="51003"/>
    <n v="0.56999999999999995"/>
    <s v="DQS_MAO04_FILE_000_B"/>
    <s v="RECORD COUNT by MBR_ID, DOS_THRU_DT, DX_CD Grain grouped by PAYER, SRC_FILE_NM, DOS_THRU_YYYYMM"/>
  </r>
  <r>
    <x v="2"/>
    <s v="SGMRYCLN_PE202411_REMAO004.TXT"/>
    <x v="81"/>
    <x v="8"/>
    <n v="235"/>
    <n v="51003"/>
    <n v="0.46"/>
    <s v="DQS_MAO04_FILE_000_B"/>
    <s v="RECORD COUNT by MBR_ID, DOS_THRU_DT, DX_CD Grain grouped by PAYER, SRC_FILE_NM, DOS_THRU_YYYYMM"/>
  </r>
  <r>
    <x v="2"/>
    <s v="SGMRYCLN_PE202411_REMAO004.TXT"/>
    <x v="82"/>
    <x v="8"/>
    <n v="331"/>
    <n v="51003"/>
    <n v="0.65"/>
    <s v="DQS_MAO04_FILE_000_B"/>
    <s v="RECORD COUNT by MBR_ID, DOS_THRU_DT, DX_CD Grain grouped by PAYER, SRC_FILE_NM, DOS_THRU_YYYYMM"/>
  </r>
  <r>
    <x v="2"/>
    <s v="SGMRYCLN_PE202411_REMAO004.TXT"/>
    <x v="83"/>
    <x v="8"/>
    <n v="210"/>
    <n v="51003"/>
    <n v="0.41"/>
    <s v="DQS_MAO04_FILE_000_B"/>
    <s v="RECORD COUNT by MBR_ID, DOS_THRU_DT, DX_CD Grain grouped by PAYER, SRC_FILE_NM, DOS_THRU_YYYYMM"/>
  </r>
  <r>
    <x v="2"/>
    <s v="SGMRYCLN_PE202411_REMAO004.TXT"/>
    <x v="84"/>
    <x v="8"/>
    <n v="197"/>
    <n v="51003"/>
    <n v="0.39"/>
    <s v="DQS_MAO04_FILE_000_B"/>
    <s v="RECORD COUNT by MBR_ID, DOS_THRU_DT, DX_CD Grain grouped by PAYER, SRC_FILE_NM, DOS_THRU_YYYYMM"/>
  </r>
  <r>
    <x v="2"/>
    <s v="SGMRYCLN_PE202411_REMAO004.TXT"/>
    <x v="85"/>
    <x v="8"/>
    <n v="270"/>
    <n v="51003"/>
    <n v="0.53"/>
    <s v="DQS_MAO04_FILE_000_B"/>
    <s v="RECORD COUNT by MBR_ID, DOS_THRU_DT, DX_CD Grain grouped by PAYER, SRC_FILE_NM, DOS_THRU_YYYYMM"/>
  </r>
  <r>
    <x v="2"/>
    <s v="SGMRYCLN_PE202411_REMAO004.TXT"/>
    <x v="86"/>
    <x v="8"/>
    <n v="365"/>
    <n v="51003"/>
    <n v="0.72"/>
    <s v="DQS_MAO04_FILE_000_B"/>
    <s v="RECORD COUNT by MBR_ID, DOS_THRU_DT, DX_CD Grain grouped by PAYER, SRC_FILE_NM, DOS_THRU_YYYYMM"/>
  </r>
  <r>
    <x v="2"/>
    <s v="SGMRYCLN_PE202411_REMAO004.TXT"/>
    <x v="87"/>
    <x v="8"/>
    <n v="683"/>
    <n v="51003"/>
    <n v="1.34"/>
    <s v="DQS_MAO04_FILE_000_B"/>
    <s v="RECORD COUNT by MBR_ID, DOS_THRU_DT, DX_CD Grain grouped by PAYER, SRC_FILE_NM, DOS_THRU_YYYYMM"/>
  </r>
  <r>
    <x v="2"/>
    <s v="SGMRYCLN_PE202411_REMAO004.TXT"/>
    <x v="88"/>
    <x v="8"/>
    <n v="546"/>
    <n v="51003"/>
    <n v="1.07"/>
    <s v="DQS_MAO04_FILE_000_B"/>
    <s v="RECORD COUNT by MBR_ID, DOS_THRU_DT, DX_CD Grain grouped by PAYER, SRC_FILE_NM, DOS_THRU_YYYYMM"/>
  </r>
  <r>
    <x v="2"/>
    <s v="SGMRYCLN_PE202411_REMAO004.TXT"/>
    <x v="89"/>
    <x v="9"/>
    <n v="341"/>
    <n v="51003"/>
    <n v="0.67"/>
    <s v="DQS_MAO04_FILE_000_B"/>
    <s v="RECORD COUNT by MBR_ID, DOS_THRU_DT, DX_CD Grain grouped by PAYER, SRC_FILE_NM, DOS_THRU_YYYYMM"/>
  </r>
  <r>
    <x v="2"/>
    <s v="SGMRYCLN_PE202411_REMAO004.TXT"/>
    <x v="97"/>
    <x v="9"/>
    <n v="633"/>
    <n v="51003"/>
    <n v="1.24"/>
    <s v="DQS_MAO04_FILE_000_B"/>
    <s v="RECORD COUNT by MBR_ID, DOS_THRU_DT, DX_CD Grain grouped by PAYER, SRC_FILE_NM, DOS_THRU_YYYYMM"/>
  </r>
  <r>
    <x v="2"/>
    <s v="SGMRYCLN_PE202411_REMAO004.TXT"/>
    <x v="98"/>
    <x v="9"/>
    <n v="751"/>
    <n v="51003"/>
    <n v="1.47"/>
    <s v="DQS_MAO04_FILE_000_B"/>
    <s v="RECORD COUNT by MBR_ID, DOS_THRU_DT, DX_CD Grain grouped by PAYER, SRC_FILE_NM, DOS_THRU_YYYYMM"/>
  </r>
  <r>
    <x v="2"/>
    <s v="SGMRYCLN_PE202411_REMAO004.TXT"/>
    <x v="99"/>
    <x v="9"/>
    <n v="797"/>
    <n v="51003"/>
    <n v="1.56"/>
    <s v="DQS_MAO04_FILE_000_B"/>
    <s v="RECORD COUNT by MBR_ID, DOS_THRU_DT, DX_CD Grain grouped by PAYER, SRC_FILE_NM, DOS_THRU_YYYYMM"/>
  </r>
  <r>
    <x v="2"/>
    <s v="SGMRYCLN_PE202411_REMAO004.TXT"/>
    <x v="100"/>
    <x v="9"/>
    <n v="810"/>
    <n v="51003"/>
    <n v="1.59"/>
    <s v="DQS_MAO04_FILE_000_B"/>
    <s v="RECORD COUNT by MBR_ID, DOS_THRU_DT, DX_CD Grain grouped by PAYER, SRC_FILE_NM, DOS_THRU_YYYYMM"/>
  </r>
  <r>
    <x v="2"/>
    <s v="SGMRYCLN_PE202411_REMAO004.TXT"/>
    <x v="102"/>
    <x v="9"/>
    <n v="1868"/>
    <n v="51003"/>
    <n v="3.66"/>
    <s v="DQS_MAO04_FILE_000_B"/>
    <s v="RECORD COUNT by MBR_ID, DOS_THRU_DT, DX_CD Grain grouped by PAYER, SRC_FILE_NM, DOS_THRU_YYYYMM"/>
  </r>
  <r>
    <x v="2"/>
    <s v="SGMRYCLN_PE202411_REMAO004.TXT"/>
    <x v="103"/>
    <x v="9"/>
    <n v="3996"/>
    <n v="51003"/>
    <n v="7.83"/>
    <s v="DQS_MAO04_FILE_000_B"/>
    <s v="RECORD COUNT by MBR_ID, DOS_THRU_DT, DX_CD Grain grouped by PAYER, SRC_FILE_NM, DOS_THRU_YYYYMM"/>
  </r>
  <r>
    <x v="2"/>
    <s v="SGMRYCLN_PE202411_REMAO004.TXT"/>
    <x v="105"/>
    <x v="9"/>
    <n v="22947"/>
    <n v="51003"/>
    <n v="44.99"/>
    <s v="DQS_MAO04_FILE_000_B"/>
    <s v="RECORD COUNT by MBR_ID, DOS_THRU_DT, DX_CD Grain grouped by PAYER, SRC_FILE_NM, DOS_THRU_YYYYMM"/>
  </r>
  <r>
    <x v="2"/>
    <s v="SGMRYCLN_PE202411_REMAO004.TXT"/>
    <x v="106"/>
    <x v="9"/>
    <n v="15202"/>
    <n v="51003"/>
    <n v="29.81"/>
    <s v="DQS_MAO04_FILE_000_B"/>
    <s v="RECORD COUNT by MBR_ID, DOS_THRU_DT, DX_CD Grain grouped by PAYER, SRC_FILE_NM, DOS_THRU_YYYYMM"/>
  </r>
  <r>
    <x v="2"/>
    <s v="SGMRYCLN_PE202412_REMAO004.TXT"/>
    <x v="26"/>
    <x v="3"/>
    <n v="1"/>
    <n v="66678"/>
    <n v="0"/>
    <s v="DQS_MAO04_FILE_000_B"/>
    <s v="RECORD COUNT by MBR_ID, DOS_THRU_DT, DX_CD Grain grouped by PAYER, SRC_FILE_NM, DOS_THRU_YYYYMM"/>
  </r>
  <r>
    <x v="2"/>
    <s v="SGMRYCLN_PE202412_REMAO004.TXT"/>
    <x v="28"/>
    <x v="3"/>
    <n v="2"/>
    <n v="66678"/>
    <n v="0"/>
    <s v="DQS_MAO04_FILE_000_B"/>
    <s v="RECORD COUNT by MBR_ID, DOS_THRU_DT, DX_CD Grain grouped by PAYER, SRC_FILE_NM, DOS_THRU_YYYYMM"/>
  </r>
  <r>
    <x v="2"/>
    <s v="SGMRYCLN_PE202412_REMAO004.TXT"/>
    <x v="31"/>
    <x v="4"/>
    <n v="1"/>
    <n v="66678"/>
    <n v="0"/>
    <s v="DQS_MAO04_FILE_000_B"/>
    <s v="RECORD COUNT by MBR_ID, DOS_THRU_DT, DX_CD Grain grouped by PAYER, SRC_FILE_NM, DOS_THRU_YYYYMM"/>
  </r>
  <r>
    <x v="2"/>
    <s v="SGMRYCLN_PE202412_REMAO004.TXT"/>
    <x v="42"/>
    <x v="5"/>
    <n v="6"/>
    <n v="66678"/>
    <n v="0.01"/>
    <s v="DQS_MAO04_FILE_000_B"/>
    <s v="RECORD COUNT by MBR_ID, DOS_THRU_DT, DX_CD Grain grouped by PAYER, SRC_FILE_NM, DOS_THRU_YYYYMM"/>
  </r>
  <r>
    <x v="2"/>
    <s v="SGMRYCLN_PE202412_REMAO004.TXT"/>
    <x v="47"/>
    <x v="5"/>
    <n v="11"/>
    <n v="66678"/>
    <n v="0.02"/>
    <s v="DQS_MAO04_FILE_000_B"/>
    <s v="RECORD COUNT by MBR_ID, DOS_THRU_DT, DX_CD Grain grouped by PAYER, SRC_FILE_NM, DOS_THRU_YYYYMM"/>
  </r>
  <r>
    <x v="2"/>
    <s v="SGMRYCLN_PE202412_REMAO004.TXT"/>
    <x v="61"/>
    <x v="6"/>
    <n v="2"/>
    <n v="66678"/>
    <n v="0"/>
    <s v="DQS_MAO04_FILE_000_B"/>
    <s v="RECORD COUNT by MBR_ID, DOS_THRU_DT, DX_CD Grain grouped by PAYER, SRC_FILE_NM, DOS_THRU_YYYYMM"/>
  </r>
  <r>
    <x v="2"/>
    <s v="SGMRYCLN_PE202412_REMAO004.TXT"/>
    <x v="65"/>
    <x v="7"/>
    <n v="20"/>
    <n v="66678"/>
    <n v="0.03"/>
    <s v="DQS_MAO04_FILE_000_B"/>
    <s v="RECORD COUNT by MBR_ID, DOS_THRU_DT, DX_CD Grain grouped by PAYER, SRC_FILE_NM, DOS_THRU_YYYYMM"/>
  </r>
  <r>
    <x v="2"/>
    <s v="SGMRYCLN_PE202412_REMAO004.TXT"/>
    <x v="68"/>
    <x v="7"/>
    <n v="4"/>
    <n v="66678"/>
    <n v="0.01"/>
    <s v="DQS_MAO04_FILE_000_B"/>
    <s v="RECORD COUNT by MBR_ID, DOS_THRU_DT, DX_CD Grain grouped by PAYER, SRC_FILE_NM, DOS_THRU_YYYYMM"/>
  </r>
  <r>
    <x v="2"/>
    <s v="SGMRYCLN_PE202412_REMAO004.TXT"/>
    <x v="69"/>
    <x v="7"/>
    <n v="8"/>
    <n v="66678"/>
    <n v="0.01"/>
    <s v="DQS_MAO04_FILE_000_B"/>
    <s v="RECORD COUNT by MBR_ID, DOS_THRU_DT, DX_CD Grain grouped by PAYER, SRC_FILE_NM, DOS_THRU_YYYYMM"/>
  </r>
  <r>
    <x v="2"/>
    <s v="SGMRYCLN_PE202412_REMAO004.TXT"/>
    <x v="70"/>
    <x v="7"/>
    <n v="1"/>
    <n v="66678"/>
    <n v="0"/>
    <s v="DQS_MAO04_FILE_000_B"/>
    <s v="RECORD COUNT by MBR_ID, DOS_THRU_DT, DX_CD Grain grouped by PAYER, SRC_FILE_NM, DOS_THRU_YYYYMM"/>
  </r>
  <r>
    <x v="2"/>
    <s v="SGMRYCLN_PE202412_REMAO004.TXT"/>
    <x v="72"/>
    <x v="7"/>
    <n v="6"/>
    <n v="66678"/>
    <n v="0.01"/>
    <s v="DQS_MAO04_FILE_000_B"/>
    <s v="RECORD COUNT by MBR_ID, DOS_THRU_DT, DX_CD Grain grouped by PAYER, SRC_FILE_NM, DOS_THRU_YYYYMM"/>
  </r>
  <r>
    <x v="2"/>
    <s v="SGMRYCLN_PE202412_REMAO004.TXT"/>
    <x v="73"/>
    <x v="7"/>
    <n v="10"/>
    <n v="66678"/>
    <n v="0.01"/>
    <s v="DQS_MAO04_FILE_000_B"/>
    <s v="RECORD COUNT by MBR_ID, DOS_THRU_DT, DX_CD Grain grouped by PAYER, SRC_FILE_NM, DOS_THRU_YYYYMM"/>
  </r>
  <r>
    <x v="2"/>
    <s v="SGMRYCLN_PE202412_REMAO004.TXT"/>
    <x v="74"/>
    <x v="7"/>
    <n v="2"/>
    <n v="66678"/>
    <n v="0"/>
    <s v="DQS_MAO04_FILE_000_B"/>
    <s v="RECORD COUNT by MBR_ID, DOS_THRU_DT, DX_CD Grain grouped by PAYER, SRC_FILE_NM, DOS_THRU_YYYYMM"/>
  </r>
  <r>
    <x v="2"/>
    <s v="SGMRYCLN_PE202412_REMAO004.TXT"/>
    <x v="76"/>
    <x v="7"/>
    <n v="35"/>
    <n v="66678"/>
    <n v="0.05"/>
    <s v="DQS_MAO04_FILE_000_B"/>
    <s v="RECORD COUNT by MBR_ID, DOS_THRU_DT, DX_CD Grain grouped by PAYER, SRC_FILE_NM, DOS_THRU_YYYYMM"/>
  </r>
  <r>
    <x v="2"/>
    <s v="SGMRYCLN_PE202412_REMAO004.TXT"/>
    <x v="77"/>
    <x v="8"/>
    <n v="95"/>
    <n v="66678"/>
    <n v="0.14000000000000001"/>
    <s v="DQS_MAO04_FILE_000_B"/>
    <s v="RECORD COUNT by MBR_ID, DOS_THRU_DT, DX_CD Grain grouped by PAYER, SRC_FILE_NM, DOS_THRU_YYYYMM"/>
  </r>
  <r>
    <x v="2"/>
    <s v="SGMRYCLN_PE202412_REMAO004.TXT"/>
    <x v="78"/>
    <x v="8"/>
    <n v="109"/>
    <n v="66678"/>
    <n v="0.16"/>
    <s v="DQS_MAO04_FILE_000_B"/>
    <s v="RECORD COUNT by MBR_ID, DOS_THRU_DT, DX_CD Grain grouped by PAYER, SRC_FILE_NM, DOS_THRU_YYYYMM"/>
  </r>
  <r>
    <x v="2"/>
    <s v="SGMRYCLN_PE202412_REMAO004.TXT"/>
    <x v="79"/>
    <x v="8"/>
    <n v="95"/>
    <n v="66678"/>
    <n v="0.14000000000000001"/>
    <s v="DQS_MAO04_FILE_000_B"/>
    <s v="RECORD COUNT by MBR_ID, DOS_THRU_DT, DX_CD Grain grouped by PAYER, SRC_FILE_NM, DOS_THRU_YYYYMM"/>
  </r>
  <r>
    <x v="2"/>
    <s v="SGMRYCLN_PE202412_REMAO004.TXT"/>
    <x v="80"/>
    <x v="8"/>
    <n v="93"/>
    <n v="66678"/>
    <n v="0.14000000000000001"/>
    <s v="DQS_MAO04_FILE_000_B"/>
    <s v="RECORD COUNT by MBR_ID, DOS_THRU_DT, DX_CD Grain grouped by PAYER, SRC_FILE_NM, DOS_THRU_YYYYMM"/>
  </r>
  <r>
    <x v="2"/>
    <s v="SGMRYCLN_PE202412_REMAO004.TXT"/>
    <x v="81"/>
    <x v="8"/>
    <n v="143"/>
    <n v="66678"/>
    <n v="0.21"/>
    <s v="DQS_MAO04_FILE_000_B"/>
    <s v="RECORD COUNT by MBR_ID, DOS_THRU_DT, DX_CD Grain grouped by PAYER, SRC_FILE_NM, DOS_THRU_YYYYMM"/>
  </r>
  <r>
    <x v="2"/>
    <s v="SGMRYCLN_PE202412_REMAO004.TXT"/>
    <x v="82"/>
    <x v="8"/>
    <n v="141"/>
    <n v="66678"/>
    <n v="0.21"/>
    <s v="DQS_MAO04_FILE_000_B"/>
    <s v="RECORD COUNT by MBR_ID, DOS_THRU_DT, DX_CD Grain grouped by PAYER, SRC_FILE_NM, DOS_THRU_YYYYMM"/>
  </r>
  <r>
    <x v="2"/>
    <s v="SGMRYCLN_PE202412_REMAO004.TXT"/>
    <x v="83"/>
    <x v="8"/>
    <n v="112"/>
    <n v="66678"/>
    <n v="0.17"/>
    <s v="DQS_MAO04_FILE_000_B"/>
    <s v="RECORD COUNT by MBR_ID, DOS_THRU_DT, DX_CD Grain grouped by PAYER, SRC_FILE_NM, DOS_THRU_YYYYMM"/>
  </r>
  <r>
    <x v="2"/>
    <s v="SGMRYCLN_PE202412_REMAO004.TXT"/>
    <x v="84"/>
    <x v="8"/>
    <n v="205"/>
    <n v="66678"/>
    <n v="0.31"/>
    <s v="DQS_MAO04_FILE_000_B"/>
    <s v="RECORD COUNT by MBR_ID, DOS_THRU_DT, DX_CD Grain grouped by PAYER, SRC_FILE_NM, DOS_THRU_YYYYMM"/>
  </r>
  <r>
    <x v="2"/>
    <s v="SGMRYCLN_PE202412_REMAO004.TXT"/>
    <x v="85"/>
    <x v="8"/>
    <n v="272"/>
    <n v="66678"/>
    <n v="0.41"/>
    <s v="DQS_MAO04_FILE_000_B"/>
    <s v="RECORD COUNT by MBR_ID, DOS_THRU_DT, DX_CD Grain grouped by PAYER, SRC_FILE_NM, DOS_THRU_YYYYMM"/>
  </r>
  <r>
    <x v="2"/>
    <s v="SGMRYCLN_PE202412_REMAO004.TXT"/>
    <x v="86"/>
    <x v="8"/>
    <n v="393"/>
    <n v="66678"/>
    <n v="0.59"/>
    <s v="DQS_MAO04_FILE_000_B"/>
    <s v="RECORD COUNT by MBR_ID, DOS_THRU_DT, DX_CD Grain grouped by PAYER, SRC_FILE_NM, DOS_THRU_YYYYMM"/>
  </r>
  <r>
    <x v="2"/>
    <s v="SGMRYCLN_PE202412_REMAO004.TXT"/>
    <x v="87"/>
    <x v="8"/>
    <n v="280"/>
    <n v="66678"/>
    <n v="0.42"/>
    <s v="DQS_MAO04_FILE_000_B"/>
    <s v="RECORD COUNT by MBR_ID, DOS_THRU_DT, DX_CD Grain grouped by PAYER, SRC_FILE_NM, DOS_THRU_YYYYMM"/>
  </r>
  <r>
    <x v="2"/>
    <s v="SGMRYCLN_PE202412_REMAO004.TXT"/>
    <x v="88"/>
    <x v="8"/>
    <n v="328"/>
    <n v="66678"/>
    <n v="0.49"/>
    <s v="DQS_MAO04_FILE_000_B"/>
    <s v="RECORD COUNT by MBR_ID, DOS_THRU_DT, DX_CD Grain grouped by PAYER, SRC_FILE_NM, DOS_THRU_YYYYMM"/>
  </r>
  <r>
    <x v="2"/>
    <s v="SGMRYCLN_PE202412_REMAO004.TXT"/>
    <x v="89"/>
    <x v="9"/>
    <n v="585"/>
    <n v="66678"/>
    <n v="0.88"/>
    <s v="DQS_MAO04_FILE_000_B"/>
    <s v="RECORD COUNT by MBR_ID, DOS_THRU_DT, DX_CD Grain grouped by PAYER, SRC_FILE_NM, DOS_THRU_YYYYMM"/>
  </r>
  <r>
    <x v="2"/>
    <s v="SGMRYCLN_PE202412_REMAO004.TXT"/>
    <x v="97"/>
    <x v="9"/>
    <n v="598"/>
    <n v="66678"/>
    <n v="0.9"/>
    <s v="DQS_MAO04_FILE_000_B"/>
    <s v="RECORD COUNT by MBR_ID, DOS_THRU_DT, DX_CD Grain grouped by PAYER, SRC_FILE_NM, DOS_THRU_YYYYMM"/>
  </r>
  <r>
    <x v="2"/>
    <s v="SGMRYCLN_PE202412_REMAO004.TXT"/>
    <x v="98"/>
    <x v="9"/>
    <n v="287"/>
    <n v="66678"/>
    <n v="0.43"/>
    <s v="DQS_MAO04_FILE_000_B"/>
    <s v="RECORD COUNT by MBR_ID, DOS_THRU_DT, DX_CD Grain grouped by PAYER, SRC_FILE_NM, DOS_THRU_YYYYMM"/>
  </r>
  <r>
    <x v="2"/>
    <s v="SGMRYCLN_PE202412_REMAO004.TXT"/>
    <x v="99"/>
    <x v="9"/>
    <n v="504"/>
    <n v="66678"/>
    <n v="0.76"/>
    <s v="DQS_MAO04_FILE_000_B"/>
    <s v="RECORD COUNT by MBR_ID, DOS_THRU_DT, DX_CD Grain grouped by PAYER, SRC_FILE_NM, DOS_THRU_YYYYMM"/>
  </r>
  <r>
    <x v="2"/>
    <s v="SGMRYCLN_PE202412_REMAO004.TXT"/>
    <x v="100"/>
    <x v="9"/>
    <n v="807"/>
    <n v="66678"/>
    <n v="1.21"/>
    <s v="DQS_MAO04_FILE_000_B"/>
    <s v="RECORD COUNT by MBR_ID, DOS_THRU_DT, DX_CD Grain grouped by PAYER, SRC_FILE_NM, DOS_THRU_YYYYMM"/>
  </r>
  <r>
    <x v="2"/>
    <s v="SGMRYCLN_PE202412_REMAO004.TXT"/>
    <x v="102"/>
    <x v="9"/>
    <n v="1435"/>
    <n v="66678"/>
    <n v="2.15"/>
    <s v="DQS_MAO04_FILE_000_B"/>
    <s v="RECORD COUNT by MBR_ID, DOS_THRU_DT, DX_CD Grain grouped by PAYER, SRC_FILE_NM, DOS_THRU_YYYYMM"/>
  </r>
  <r>
    <x v="2"/>
    <s v="SGMRYCLN_PE202412_REMAO004.TXT"/>
    <x v="103"/>
    <x v="9"/>
    <n v="1364"/>
    <n v="66678"/>
    <n v="2.0499999999999998"/>
    <s v="DQS_MAO04_FILE_000_B"/>
    <s v="RECORD COUNT by MBR_ID, DOS_THRU_DT, DX_CD Grain grouped by PAYER, SRC_FILE_NM, DOS_THRU_YYYYMM"/>
  </r>
  <r>
    <x v="2"/>
    <s v="SGMRYCLN_PE202412_REMAO004.TXT"/>
    <x v="105"/>
    <x v="9"/>
    <n v="5177"/>
    <n v="66678"/>
    <n v="7.76"/>
    <s v="DQS_MAO04_FILE_000_B"/>
    <s v="RECORD COUNT by MBR_ID, DOS_THRU_DT, DX_CD Grain grouped by PAYER, SRC_FILE_NM, DOS_THRU_YYYYMM"/>
  </r>
  <r>
    <x v="2"/>
    <s v="SGMRYCLN_PE202412_REMAO004.TXT"/>
    <x v="106"/>
    <x v="9"/>
    <n v="28850"/>
    <n v="66678"/>
    <n v="43.27"/>
    <s v="DQS_MAO04_FILE_000_B"/>
    <s v="RECORD COUNT by MBR_ID, DOS_THRU_DT, DX_CD Grain grouped by PAYER, SRC_FILE_NM, DOS_THRU_YYYYMM"/>
  </r>
  <r>
    <x v="2"/>
    <s v="SGMRYCLN_PE202412_REMAO004.TXT"/>
    <x v="107"/>
    <x v="9"/>
    <n v="24696"/>
    <n v="66678"/>
    <n v="37.04"/>
    <s v="DQS_MAO04_FILE_000_B"/>
    <s v="RECORD COUNT by MBR_ID, DOS_THRU_DT, DX_CD Grain grouped by PAYER, SRC_FILE_NM, DOS_THRU_YYYYMM"/>
  </r>
  <r>
    <x v="2"/>
    <s v="SGMRYCLN_PE202501_REMAO004.TXT"/>
    <x v="44"/>
    <x v="5"/>
    <n v="35"/>
    <n v="68137"/>
    <n v="0.05"/>
    <s v="DQS_MAO04_FILE_000_B"/>
    <s v="RECORD COUNT by MBR_ID, DOS_THRU_DT, DX_CD Grain grouped by PAYER, SRC_FILE_NM, DOS_THRU_YYYYMM"/>
  </r>
  <r>
    <x v="2"/>
    <s v="SGMRYCLN_PE202501_REMAO004.TXT"/>
    <x v="45"/>
    <x v="5"/>
    <n v="101"/>
    <n v="68137"/>
    <n v="0.15"/>
    <s v="DQS_MAO04_FILE_000_B"/>
    <s v="RECORD COUNT by MBR_ID, DOS_THRU_DT, DX_CD Grain grouped by PAYER, SRC_FILE_NM, DOS_THRU_YYYYMM"/>
  </r>
  <r>
    <x v="2"/>
    <s v="SGMRYCLN_PE202501_REMAO004.TXT"/>
    <x v="49"/>
    <x v="5"/>
    <n v="2"/>
    <n v="68137"/>
    <n v="0"/>
    <s v="DQS_MAO04_FILE_000_B"/>
    <s v="RECORD COUNT by MBR_ID, DOS_THRU_DT, DX_CD Grain grouped by PAYER, SRC_FILE_NM, DOS_THRU_YYYYMM"/>
  </r>
  <r>
    <x v="2"/>
    <s v="SGMRYCLN_PE202501_REMAO004.TXT"/>
    <x v="60"/>
    <x v="6"/>
    <n v="1"/>
    <n v="68137"/>
    <n v="0"/>
    <s v="DQS_MAO04_FILE_000_B"/>
    <s v="RECORD COUNT by MBR_ID, DOS_THRU_DT, DX_CD Grain grouped by PAYER, SRC_FILE_NM, DOS_THRU_YYYYMM"/>
  </r>
  <r>
    <x v="2"/>
    <s v="SGMRYCLN_PE202501_REMAO004.TXT"/>
    <x v="62"/>
    <x v="6"/>
    <n v="11"/>
    <n v="68137"/>
    <n v="0.02"/>
    <s v="DQS_MAO04_FILE_000_B"/>
    <s v="RECORD COUNT by MBR_ID, DOS_THRU_DT, DX_CD Grain grouped by PAYER, SRC_FILE_NM, DOS_THRU_YYYYMM"/>
  </r>
  <r>
    <x v="2"/>
    <s v="SGMRYCLN_PE202501_REMAO004.TXT"/>
    <x v="63"/>
    <x v="6"/>
    <n v="2"/>
    <n v="68137"/>
    <n v="0"/>
    <s v="DQS_MAO04_FILE_000_B"/>
    <s v="RECORD COUNT by MBR_ID, DOS_THRU_DT, DX_CD Grain grouped by PAYER, SRC_FILE_NM, DOS_THRU_YYYYMM"/>
  </r>
  <r>
    <x v="2"/>
    <s v="SGMRYCLN_PE202501_REMAO004.TXT"/>
    <x v="64"/>
    <x v="6"/>
    <n v="1"/>
    <n v="68137"/>
    <n v="0"/>
    <s v="DQS_MAO04_FILE_000_B"/>
    <s v="RECORD COUNT by MBR_ID, DOS_THRU_DT, DX_CD Grain grouped by PAYER, SRC_FILE_NM, DOS_THRU_YYYYMM"/>
  </r>
  <r>
    <x v="2"/>
    <s v="SGMRYCLN_PE202501_REMAO004.TXT"/>
    <x v="65"/>
    <x v="7"/>
    <n v="5"/>
    <n v="68137"/>
    <n v="0.01"/>
    <s v="DQS_MAO04_FILE_000_B"/>
    <s v="RECORD COUNT by MBR_ID, DOS_THRU_DT, DX_CD Grain grouped by PAYER, SRC_FILE_NM, DOS_THRU_YYYYMM"/>
  </r>
  <r>
    <x v="2"/>
    <s v="SGMRYCLN_PE202501_REMAO004.TXT"/>
    <x v="66"/>
    <x v="7"/>
    <n v="1"/>
    <n v="68137"/>
    <n v="0"/>
    <s v="DQS_MAO04_FILE_000_B"/>
    <s v="RECORD COUNT by MBR_ID, DOS_THRU_DT, DX_CD Grain grouped by PAYER, SRC_FILE_NM, DOS_THRU_YYYYMM"/>
  </r>
  <r>
    <x v="2"/>
    <s v="SGMRYCLN_PE202501_REMAO004.TXT"/>
    <x v="67"/>
    <x v="7"/>
    <n v="18"/>
    <n v="68137"/>
    <n v="0.03"/>
    <s v="DQS_MAO04_FILE_000_B"/>
    <s v="RECORD COUNT by MBR_ID, DOS_THRU_DT, DX_CD Grain grouped by PAYER, SRC_FILE_NM, DOS_THRU_YYYYMM"/>
  </r>
  <r>
    <x v="2"/>
    <s v="SGMRYCLN_PE202501_REMAO004.TXT"/>
    <x v="68"/>
    <x v="7"/>
    <n v="1"/>
    <n v="68137"/>
    <n v="0"/>
    <s v="DQS_MAO04_FILE_000_B"/>
    <s v="RECORD COUNT by MBR_ID, DOS_THRU_DT, DX_CD Grain grouped by PAYER, SRC_FILE_NM, DOS_THRU_YYYYMM"/>
  </r>
  <r>
    <x v="2"/>
    <s v="SGMRYCLN_PE202501_REMAO004.TXT"/>
    <x v="69"/>
    <x v="7"/>
    <n v="26"/>
    <n v="68137"/>
    <n v="0.04"/>
    <s v="DQS_MAO04_FILE_000_B"/>
    <s v="RECORD COUNT by MBR_ID, DOS_THRU_DT, DX_CD Grain grouped by PAYER, SRC_FILE_NM, DOS_THRU_YYYYMM"/>
  </r>
  <r>
    <x v="2"/>
    <s v="SGMRYCLN_PE202501_REMAO004.TXT"/>
    <x v="70"/>
    <x v="7"/>
    <n v="4"/>
    <n v="68137"/>
    <n v="0.01"/>
    <s v="DQS_MAO04_FILE_000_B"/>
    <s v="RECORD COUNT by MBR_ID, DOS_THRU_DT, DX_CD Grain grouped by PAYER, SRC_FILE_NM, DOS_THRU_YYYYMM"/>
  </r>
  <r>
    <x v="2"/>
    <s v="SGMRYCLN_PE202501_REMAO004.TXT"/>
    <x v="71"/>
    <x v="7"/>
    <n v="1"/>
    <n v="68137"/>
    <n v="0"/>
    <s v="DQS_MAO04_FILE_000_B"/>
    <s v="RECORD COUNT by MBR_ID, DOS_THRU_DT, DX_CD Grain grouped by PAYER, SRC_FILE_NM, DOS_THRU_YYYYMM"/>
  </r>
  <r>
    <x v="2"/>
    <s v="SGMRYCLN_PE202501_REMAO004.TXT"/>
    <x v="72"/>
    <x v="7"/>
    <n v="7"/>
    <n v="68137"/>
    <n v="0.01"/>
    <s v="DQS_MAO04_FILE_000_B"/>
    <s v="RECORD COUNT by MBR_ID, DOS_THRU_DT, DX_CD Grain grouped by PAYER, SRC_FILE_NM, DOS_THRU_YYYYMM"/>
  </r>
  <r>
    <x v="2"/>
    <s v="SGMRYCLN_PE202501_REMAO004.TXT"/>
    <x v="73"/>
    <x v="7"/>
    <n v="7"/>
    <n v="68137"/>
    <n v="0.01"/>
    <s v="DQS_MAO04_FILE_000_B"/>
    <s v="RECORD COUNT by MBR_ID, DOS_THRU_DT, DX_CD Grain grouped by PAYER, SRC_FILE_NM, DOS_THRU_YYYYMM"/>
  </r>
  <r>
    <x v="2"/>
    <s v="SGMRYCLN_PE202501_REMAO004.TXT"/>
    <x v="74"/>
    <x v="7"/>
    <n v="14"/>
    <n v="68137"/>
    <n v="0.02"/>
    <s v="DQS_MAO04_FILE_000_B"/>
    <s v="RECORD COUNT by MBR_ID, DOS_THRU_DT, DX_CD Grain grouped by PAYER, SRC_FILE_NM, DOS_THRU_YYYYMM"/>
  </r>
  <r>
    <x v="2"/>
    <s v="SGMRYCLN_PE202501_REMAO004.TXT"/>
    <x v="75"/>
    <x v="7"/>
    <n v="18"/>
    <n v="68137"/>
    <n v="0.03"/>
    <s v="DQS_MAO04_FILE_000_B"/>
    <s v="RECORD COUNT by MBR_ID, DOS_THRU_DT, DX_CD Grain grouped by PAYER, SRC_FILE_NM, DOS_THRU_YYYYMM"/>
  </r>
  <r>
    <x v="2"/>
    <s v="SGMRYCLN_PE202501_REMAO004.TXT"/>
    <x v="76"/>
    <x v="7"/>
    <n v="27"/>
    <n v="68137"/>
    <n v="0.04"/>
    <s v="DQS_MAO04_FILE_000_B"/>
    <s v="RECORD COUNT by MBR_ID, DOS_THRU_DT, DX_CD Grain grouped by PAYER, SRC_FILE_NM, DOS_THRU_YYYYMM"/>
  </r>
  <r>
    <x v="2"/>
    <s v="SGMRYCLN_PE202501_REMAO004.TXT"/>
    <x v="77"/>
    <x v="8"/>
    <n v="101"/>
    <n v="68137"/>
    <n v="0.15"/>
    <s v="DQS_MAO04_FILE_000_B"/>
    <s v="RECORD COUNT by MBR_ID, DOS_THRU_DT, DX_CD Grain grouped by PAYER, SRC_FILE_NM, DOS_THRU_YYYYMM"/>
  </r>
  <r>
    <x v="2"/>
    <s v="SGMRYCLN_PE202501_REMAO004.TXT"/>
    <x v="78"/>
    <x v="8"/>
    <n v="50"/>
    <n v="68137"/>
    <n v="7.0000000000000007E-2"/>
    <s v="DQS_MAO04_FILE_000_B"/>
    <s v="RECORD COUNT by MBR_ID, DOS_THRU_DT, DX_CD Grain grouped by PAYER, SRC_FILE_NM, DOS_THRU_YYYYMM"/>
  </r>
  <r>
    <x v="2"/>
    <s v="SGMRYCLN_PE202501_REMAO004.TXT"/>
    <x v="79"/>
    <x v="8"/>
    <n v="141"/>
    <n v="68137"/>
    <n v="0.21"/>
    <s v="DQS_MAO04_FILE_000_B"/>
    <s v="RECORD COUNT by MBR_ID, DOS_THRU_DT, DX_CD Grain grouped by PAYER, SRC_FILE_NM, DOS_THRU_YYYYMM"/>
  </r>
  <r>
    <x v="2"/>
    <s v="SGMRYCLN_PE202501_REMAO004.TXT"/>
    <x v="80"/>
    <x v="8"/>
    <n v="158"/>
    <n v="68137"/>
    <n v="0.23"/>
    <s v="DQS_MAO04_FILE_000_B"/>
    <s v="RECORD COUNT by MBR_ID, DOS_THRU_DT, DX_CD Grain grouped by PAYER, SRC_FILE_NM, DOS_THRU_YYYYMM"/>
  </r>
  <r>
    <x v="2"/>
    <s v="SGMRYCLN_PE202501_REMAO004.TXT"/>
    <x v="81"/>
    <x v="8"/>
    <n v="137"/>
    <n v="68137"/>
    <n v="0.2"/>
    <s v="DQS_MAO04_FILE_000_B"/>
    <s v="RECORD COUNT by MBR_ID, DOS_THRU_DT, DX_CD Grain grouped by PAYER, SRC_FILE_NM, DOS_THRU_YYYYMM"/>
  </r>
  <r>
    <x v="2"/>
    <s v="SGMRYCLN_PE202501_REMAO004.TXT"/>
    <x v="82"/>
    <x v="8"/>
    <n v="143"/>
    <n v="68137"/>
    <n v="0.21"/>
    <s v="DQS_MAO04_FILE_000_B"/>
    <s v="RECORD COUNT by MBR_ID, DOS_THRU_DT, DX_CD Grain grouped by PAYER, SRC_FILE_NM, DOS_THRU_YYYYMM"/>
  </r>
  <r>
    <x v="2"/>
    <s v="SGMRYCLN_PE202501_REMAO004.TXT"/>
    <x v="83"/>
    <x v="8"/>
    <n v="116"/>
    <n v="68137"/>
    <n v="0.17"/>
    <s v="DQS_MAO04_FILE_000_B"/>
    <s v="RECORD COUNT by MBR_ID, DOS_THRU_DT, DX_CD Grain grouped by PAYER, SRC_FILE_NM, DOS_THRU_YYYYMM"/>
  </r>
  <r>
    <x v="2"/>
    <s v="SGMRYCLN_PE202501_REMAO004.TXT"/>
    <x v="84"/>
    <x v="8"/>
    <n v="227"/>
    <n v="68137"/>
    <n v="0.33"/>
    <s v="DQS_MAO04_FILE_000_B"/>
    <s v="RECORD COUNT by MBR_ID, DOS_THRU_DT, DX_CD Grain grouped by PAYER, SRC_FILE_NM, DOS_THRU_YYYYMM"/>
  </r>
  <r>
    <x v="2"/>
    <s v="SGMRYCLN_PE202501_REMAO004.TXT"/>
    <x v="85"/>
    <x v="8"/>
    <n v="168"/>
    <n v="68137"/>
    <n v="0.25"/>
    <s v="DQS_MAO04_FILE_000_B"/>
    <s v="RECORD COUNT by MBR_ID, DOS_THRU_DT, DX_CD Grain grouped by PAYER, SRC_FILE_NM, DOS_THRU_YYYYMM"/>
  </r>
  <r>
    <x v="2"/>
    <s v="SGMRYCLN_PE202501_REMAO004.TXT"/>
    <x v="86"/>
    <x v="8"/>
    <n v="186"/>
    <n v="68137"/>
    <n v="0.27"/>
    <s v="DQS_MAO04_FILE_000_B"/>
    <s v="RECORD COUNT by MBR_ID, DOS_THRU_DT, DX_CD Grain grouped by PAYER, SRC_FILE_NM, DOS_THRU_YYYYMM"/>
  </r>
  <r>
    <x v="2"/>
    <s v="SGMRYCLN_PE202501_REMAO004.TXT"/>
    <x v="87"/>
    <x v="8"/>
    <n v="292"/>
    <n v="68137"/>
    <n v="0.43"/>
    <s v="DQS_MAO04_FILE_000_B"/>
    <s v="RECORD COUNT by MBR_ID, DOS_THRU_DT, DX_CD Grain grouped by PAYER, SRC_FILE_NM, DOS_THRU_YYYYMM"/>
  </r>
  <r>
    <x v="2"/>
    <s v="SGMRYCLN_PE202501_REMAO004.TXT"/>
    <x v="88"/>
    <x v="8"/>
    <n v="451"/>
    <n v="68137"/>
    <n v="0.66"/>
    <s v="DQS_MAO04_FILE_000_B"/>
    <s v="RECORD COUNT by MBR_ID, DOS_THRU_DT, DX_CD Grain grouped by PAYER, SRC_FILE_NM, DOS_THRU_YYYYMM"/>
  </r>
  <r>
    <x v="2"/>
    <s v="SGMRYCLN_PE202501_REMAO004.TXT"/>
    <x v="89"/>
    <x v="9"/>
    <n v="519"/>
    <n v="68137"/>
    <n v="0.76"/>
    <s v="DQS_MAO04_FILE_000_B"/>
    <s v="RECORD COUNT by MBR_ID, DOS_THRU_DT, DX_CD Grain grouped by PAYER, SRC_FILE_NM, DOS_THRU_YYYYMM"/>
  </r>
  <r>
    <x v="2"/>
    <s v="SGMRYCLN_PE202501_REMAO004.TXT"/>
    <x v="97"/>
    <x v="9"/>
    <n v="504"/>
    <n v="68137"/>
    <n v="0.74"/>
    <s v="DQS_MAO04_FILE_000_B"/>
    <s v="RECORD COUNT by MBR_ID, DOS_THRU_DT, DX_CD Grain grouped by PAYER, SRC_FILE_NM, DOS_THRU_YYYYMM"/>
  </r>
  <r>
    <x v="2"/>
    <s v="SGMRYCLN_PE202501_REMAO004.TXT"/>
    <x v="98"/>
    <x v="9"/>
    <n v="395"/>
    <n v="68137"/>
    <n v="0.57999999999999996"/>
    <s v="DQS_MAO04_FILE_000_B"/>
    <s v="RECORD COUNT by MBR_ID, DOS_THRU_DT, DX_CD Grain grouped by PAYER, SRC_FILE_NM, DOS_THRU_YYYYMM"/>
  </r>
  <r>
    <x v="2"/>
    <s v="SGMRYCLN_PE202501_REMAO004.TXT"/>
    <x v="99"/>
    <x v="9"/>
    <n v="621"/>
    <n v="68137"/>
    <n v="0.91"/>
    <s v="DQS_MAO04_FILE_000_B"/>
    <s v="RECORD COUNT by MBR_ID, DOS_THRU_DT, DX_CD Grain grouped by PAYER, SRC_FILE_NM, DOS_THRU_YYYYMM"/>
  </r>
  <r>
    <x v="2"/>
    <s v="SGMRYCLN_PE202501_REMAO004.TXT"/>
    <x v="100"/>
    <x v="9"/>
    <n v="849"/>
    <n v="68137"/>
    <n v="1.25"/>
    <s v="DQS_MAO04_FILE_000_B"/>
    <s v="RECORD COUNT by MBR_ID, DOS_THRU_DT, DX_CD Grain grouped by PAYER, SRC_FILE_NM, DOS_THRU_YYYYMM"/>
  </r>
  <r>
    <x v="2"/>
    <s v="SGMRYCLN_PE202501_REMAO004.TXT"/>
    <x v="102"/>
    <x v="9"/>
    <n v="698"/>
    <n v="68137"/>
    <n v="1.02"/>
    <s v="DQS_MAO04_FILE_000_B"/>
    <s v="RECORD COUNT by MBR_ID, DOS_THRU_DT, DX_CD Grain grouped by PAYER, SRC_FILE_NM, DOS_THRU_YYYYMM"/>
  </r>
  <r>
    <x v="2"/>
    <s v="SGMRYCLN_PE202501_REMAO004.TXT"/>
    <x v="103"/>
    <x v="9"/>
    <n v="835"/>
    <n v="68137"/>
    <n v="1.23"/>
    <s v="DQS_MAO04_FILE_000_B"/>
    <s v="RECORD COUNT by MBR_ID, DOS_THRU_DT, DX_CD Grain grouped by PAYER, SRC_FILE_NM, DOS_THRU_YYYYMM"/>
  </r>
  <r>
    <x v="2"/>
    <s v="SGMRYCLN_PE202501_REMAO004.TXT"/>
    <x v="105"/>
    <x v="9"/>
    <n v="1741"/>
    <n v="68137"/>
    <n v="2.56"/>
    <s v="DQS_MAO04_FILE_000_B"/>
    <s v="RECORD COUNT by MBR_ID, DOS_THRU_DT, DX_CD Grain grouped by PAYER, SRC_FILE_NM, DOS_THRU_YYYYMM"/>
  </r>
  <r>
    <x v="2"/>
    <s v="SGMRYCLN_PE202501_REMAO004.TXT"/>
    <x v="106"/>
    <x v="9"/>
    <n v="4175"/>
    <n v="68137"/>
    <n v="6.13"/>
    <s v="DQS_MAO04_FILE_000_B"/>
    <s v="RECORD COUNT by MBR_ID, DOS_THRU_DT, DX_CD Grain grouped by PAYER, SRC_FILE_NM, DOS_THRU_YYYYMM"/>
  </r>
  <r>
    <x v="2"/>
    <s v="SGMRYCLN_PE202501_REMAO004.TXT"/>
    <x v="107"/>
    <x v="9"/>
    <n v="32351"/>
    <n v="68137"/>
    <n v="47.48"/>
    <s v="DQS_MAO04_FILE_000_B"/>
    <s v="RECORD COUNT by MBR_ID, DOS_THRU_DT, DX_CD Grain grouped by PAYER, SRC_FILE_NM, DOS_THRU_YYYYMM"/>
  </r>
  <r>
    <x v="2"/>
    <s v="SGMRYCLN_PE202501_REMAO004.TXT"/>
    <x v="108"/>
    <x v="9"/>
    <n v="22997"/>
    <n v="68137"/>
    <n v="33.75"/>
    <s v="DQS_MAO04_FILE_000_B"/>
    <s v="RECORD COUNT by MBR_ID, DOS_THRU_DT, DX_CD Grain grouped by PAYER, SRC_FILE_NM, DOS_THRU_YYYYMM"/>
  </r>
  <r>
    <x v="2"/>
    <s v="SGMRYCLN_PE202502_REMAO004.TXT"/>
    <x v="17"/>
    <x v="3"/>
    <n v="3"/>
    <n v="61011"/>
    <n v="0"/>
    <s v="DQS_MAO04_FILE_000_B"/>
    <s v="RECORD COUNT by MBR_ID, DOS_THRU_DT, DX_CD Grain grouped by PAYER, SRC_FILE_NM, DOS_THRU_YYYYMM"/>
  </r>
  <r>
    <x v="2"/>
    <s v="SGMRYCLN_PE202502_REMAO004.TXT"/>
    <x v="18"/>
    <x v="3"/>
    <n v="6"/>
    <n v="61011"/>
    <n v="0.01"/>
    <s v="DQS_MAO04_FILE_000_B"/>
    <s v="RECORD COUNT by MBR_ID, DOS_THRU_DT, DX_CD Grain grouped by PAYER, SRC_FILE_NM, DOS_THRU_YYYYMM"/>
  </r>
  <r>
    <x v="2"/>
    <s v="SGMRYCLN_PE202502_REMAO004.TXT"/>
    <x v="19"/>
    <x v="3"/>
    <n v="3"/>
    <n v="61011"/>
    <n v="0"/>
    <s v="DQS_MAO04_FILE_000_B"/>
    <s v="RECORD COUNT by MBR_ID, DOS_THRU_DT, DX_CD Grain grouped by PAYER, SRC_FILE_NM, DOS_THRU_YYYYMM"/>
  </r>
  <r>
    <x v="2"/>
    <s v="SGMRYCLN_PE202502_REMAO004.TXT"/>
    <x v="20"/>
    <x v="3"/>
    <n v="18"/>
    <n v="61011"/>
    <n v="0.03"/>
    <s v="DQS_MAO04_FILE_000_B"/>
    <s v="RECORD COUNT by MBR_ID, DOS_THRU_DT, DX_CD Grain grouped by PAYER, SRC_FILE_NM, DOS_THRU_YYYYMM"/>
  </r>
  <r>
    <x v="2"/>
    <s v="SGMRYCLN_PE202502_REMAO004.TXT"/>
    <x v="21"/>
    <x v="3"/>
    <n v="7"/>
    <n v="61011"/>
    <n v="0.01"/>
    <s v="DQS_MAO04_FILE_000_B"/>
    <s v="RECORD COUNT by MBR_ID, DOS_THRU_DT, DX_CD Grain grouped by PAYER, SRC_FILE_NM, DOS_THRU_YYYYMM"/>
  </r>
  <r>
    <x v="2"/>
    <s v="SGMRYCLN_PE202502_REMAO004.TXT"/>
    <x v="22"/>
    <x v="3"/>
    <n v="7"/>
    <n v="61011"/>
    <n v="0.01"/>
    <s v="DQS_MAO04_FILE_000_B"/>
    <s v="RECORD COUNT by MBR_ID, DOS_THRU_DT, DX_CD Grain grouped by PAYER, SRC_FILE_NM, DOS_THRU_YYYYMM"/>
  </r>
  <r>
    <x v="2"/>
    <s v="SGMRYCLN_PE202502_REMAO004.TXT"/>
    <x v="23"/>
    <x v="3"/>
    <n v="25"/>
    <n v="61011"/>
    <n v="0.04"/>
    <s v="DQS_MAO04_FILE_000_B"/>
    <s v="RECORD COUNT by MBR_ID, DOS_THRU_DT, DX_CD Grain grouped by PAYER, SRC_FILE_NM, DOS_THRU_YYYYMM"/>
  </r>
  <r>
    <x v="2"/>
    <s v="SGMRYCLN_PE202502_REMAO004.TXT"/>
    <x v="24"/>
    <x v="3"/>
    <n v="103"/>
    <n v="61011"/>
    <n v="0.17"/>
    <s v="DQS_MAO04_FILE_000_B"/>
    <s v="RECORD COUNT by MBR_ID, DOS_THRU_DT, DX_CD Grain grouped by PAYER, SRC_FILE_NM, DOS_THRU_YYYYMM"/>
  </r>
  <r>
    <x v="2"/>
    <s v="SGMRYCLN_PE202502_REMAO004.TXT"/>
    <x v="25"/>
    <x v="3"/>
    <n v="170"/>
    <n v="61011"/>
    <n v="0.28000000000000003"/>
    <s v="DQS_MAO04_FILE_000_B"/>
    <s v="RECORD COUNT by MBR_ID, DOS_THRU_DT, DX_CD Grain grouped by PAYER, SRC_FILE_NM, DOS_THRU_YYYYMM"/>
  </r>
  <r>
    <x v="2"/>
    <s v="SGMRYCLN_PE202502_REMAO004.TXT"/>
    <x v="26"/>
    <x v="3"/>
    <n v="258"/>
    <n v="61011"/>
    <n v="0.42"/>
    <s v="DQS_MAO04_FILE_000_B"/>
    <s v="RECORD COUNT by MBR_ID, DOS_THRU_DT, DX_CD Grain grouped by PAYER, SRC_FILE_NM, DOS_THRU_YYYYMM"/>
  </r>
  <r>
    <x v="2"/>
    <s v="SGMRYCLN_PE202502_REMAO004.TXT"/>
    <x v="27"/>
    <x v="3"/>
    <n v="10"/>
    <n v="61011"/>
    <n v="0.02"/>
    <s v="DQS_MAO04_FILE_000_B"/>
    <s v="RECORD COUNT by MBR_ID, DOS_THRU_DT, DX_CD Grain grouped by PAYER, SRC_FILE_NM, DOS_THRU_YYYYMM"/>
  </r>
  <r>
    <x v="2"/>
    <s v="SGMRYCLN_PE202502_REMAO004.TXT"/>
    <x v="28"/>
    <x v="3"/>
    <n v="3"/>
    <n v="61011"/>
    <n v="0"/>
    <s v="DQS_MAO04_FILE_000_B"/>
    <s v="RECORD COUNT by MBR_ID, DOS_THRU_DT, DX_CD Grain grouped by PAYER, SRC_FILE_NM, DOS_THRU_YYYYMM"/>
  </r>
  <r>
    <x v="2"/>
    <s v="SGMRYCLN_PE202502_REMAO004.TXT"/>
    <x v="29"/>
    <x v="4"/>
    <n v="16"/>
    <n v="61011"/>
    <n v="0.03"/>
    <s v="DQS_MAO04_FILE_000_B"/>
    <s v="RECORD COUNT by MBR_ID, DOS_THRU_DT, DX_CD Grain grouped by PAYER, SRC_FILE_NM, DOS_THRU_YYYYMM"/>
  </r>
  <r>
    <x v="2"/>
    <s v="SGMRYCLN_PE202502_REMAO004.TXT"/>
    <x v="30"/>
    <x v="4"/>
    <n v="12"/>
    <n v="61011"/>
    <n v="0.02"/>
    <s v="DQS_MAO04_FILE_000_B"/>
    <s v="RECORD COUNT by MBR_ID, DOS_THRU_DT, DX_CD Grain grouped by PAYER, SRC_FILE_NM, DOS_THRU_YYYYMM"/>
  </r>
  <r>
    <x v="2"/>
    <s v="SGMRYCLN_PE202502_REMAO004.TXT"/>
    <x v="31"/>
    <x v="4"/>
    <n v="1"/>
    <n v="61011"/>
    <n v="0"/>
    <s v="DQS_MAO04_FILE_000_B"/>
    <s v="RECORD COUNT by MBR_ID, DOS_THRU_DT, DX_CD Grain grouped by PAYER, SRC_FILE_NM, DOS_THRU_YYYYMM"/>
  </r>
  <r>
    <x v="2"/>
    <s v="SGMRYCLN_PE202502_REMAO004.TXT"/>
    <x v="40"/>
    <x v="4"/>
    <n v="18"/>
    <n v="61011"/>
    <n v="0.03"/>
    <s v="DQS_MAO04_FILE_000_B"/>
    <s v="RECORD COUNT by MBR_ID, DOS_THRU_DT, DX_CD Grain grouped by PAYER, SRC_FILE_NM, DOS_THRU_YYYYMM"/>
  </r>
  <r>
    <x v="2"/>
    <s v="SGMRYCLN_PE202502_REMAO004.TXT"/>
    <x v="43"/>
    <x v="5"/>
    <n v="8"/>
    <n v="61011"/>
    <n v="0.01"/>
    <s v="DQS_MAO04_FILE_000_B"/>
    <s v="RECORD COUNT by MBR_ID, DOS_THRU_DT, DX_CD Grain grouped by PAYER, SRC_FILE_NM, DOS_THRU_YYYYMM"/>
  </r>
  <r>
    <x v="2"/>
    <s v="SGMRYCLN_PE202502_REMAO004.TXT"/>
    <x v="45"/>
    <x v="5"/>
    <n v="27"/>
    <n v="61011"/>
    <n v="0.04"/>
    <s v="DQS_MAO04_FILE_000_B"/>
    <s v="RECORD COUNT by MBR_ID, DOS_THRU_DT, DX_CD Grain grouped by PAYER, SRC_FILE_NM, DOS_THRU_YYYYMM"/>
  </r>
  <r>
    <x v="2"/>
    <s v="SGMRYCLN_PE202502_REMAO004.TXT"/>
    <x v="46"/>
    <x v="5"/>
    <n v="7"/>
    <n v="61011"/>
    <n v="0.01"/>
    <s v="DQS_MAO04_FILE_000_B"/>
    <s v="RECORD COUNT by MBR_ID, DOS_THRU_DT, DX_CD Grain grouped by PAYER, SRC_FILE_NM, DOS_THRU_YYYYMM"/>
  </r>
  <r>
    <x v="2"/>
    <s v="SGMRYCLN_PE202502_REMAO004.TXT"/>
    <x v="47"/>
    <x v="5"/>
    <n v="56"/>
    <n v="61011"/>
    <n v="0.09"/>
    <s v="DQS_MAO04_FILE_000_B"/>
    <s v="RECORD COUNT by MBR_ID, DOS_THRU_DT, DX_CD Grain grouped by PAYER, SRC_FILE_NM, DOS_THRU_YYYYMM"/>
  </r>
  <r>
    <x v="2"/>
    <s v="SGMRYCLN_PE202502_REMAO004.TXT"/>
    <x v="68"/>
    <x v="7"/>
    <n v="18"/>
    <n v="61011"/>
    <n v="0.03"/>
    <s v="DQS_MAO04_FILE_000_B"/>
    <s v="RECORD COUNT by MBR_ID, DOS_THRU_DT, DX_CD Grain grouped by PAYER, SRC_FILE_NM, DOS_THRU_YYYYMM"/>
  </r>
  <r>
    <x v="2"/>
    <s v="SGMRYCLN_PE202502_REMAO004.TXT"/>
    <x v="69"/>
    <x v="7"/>
    <n v="9"/>
    <n v="61011"/>
    <n v="0.01"/>
    <s v="DQS_MAO04_FILE_000_B"/>
    <s v="RECORD COUNT by MBR_ID, DOS_THRU_DT, DX_CD Grain grouped by PAYER, SRC_FILE_NM, DOS_THRU_YYYYMM"/>
  </r>
  <r>
    <x v="2"/>
    <s v="SGMRYCLN_PE202502_REMAO004.TXT"/>
    <x v="70"/>
    <x v="7"/>
    <n v="4"/>
    <n v="61011"/>
    <n v="0.01"/>
    <s v="DQS_MAO04_FILE_000_B"/>
    <s v="RECORD COUNT by MBR_ID, DOS_THRU_DT, DX_CD Grain grouped by PAYER, SRC_FILE_NM, DOS_THRU_YYYYMM"/>
  </r>
  <r>
    <x v="2"/>
    <s v="SGMRYCLN_PE202502_REMAO004.TXT"/>
    <x v="71"/>
    <x v="7"/>
    <n v="4"/>
    <n v="61011"/>
    <n v="0.01"/>
    <s v="DQS_MAO04_FILE_000_B"/>
    <s v="RECORD COUNT by MBR_ID, DOS_THRU_DT, DX_CD Grain grouped by PAYER, SRC_FILE_NM, DOS_THRU_YYYYMM"/>
  </r>
  <r>
    <x v="2"/>
    <s v="SGMRYCLN_PE202502_REMAO004.TXT"/>
    <x v="72"/>
    <x v="7"/>
    <n v="4"/>
    <n v="61011"/>
    <n v="0.01"/>
    <s v="DQS_MAO04_FILE_000_B"/>
    <s v="RECORD COUNT by MBR_ID, DOS_THRU_DT, DX_CD Grain grouped by PAYER, SRC_FILE_NM, DOS_THRU_YYYYMM"/>
  </r>
  <r>
    <x v="2"/>
    <s v="SGMRYCLN_PE202502_REMAO004.TXT"/>
    <x v="73"/>
    <x v="7"/>
    <n v="2"/>
    <n v="61011"/>
    <n v="0"/>
    <s v="DQS_MAO04_FILE_000_B"/>
    <s v="RECORD COUNT by MBR_ID, DOS_THRU_DT, DX_CD Grain grouped by PAYER, SRC_FILE_NM, DOS_THRU_YYYYMM"/>
  </r>
  <r>
    <x v="2"/>
    <s v="SGMRYCLN_PE202502_REMAO004.TXT"/>
    <x v="74"/>
    <x v="7"/>
    <n v="9"/>
    <n v="61011"/>
    <n v="0.01"/>
    <s v="DQS_MAO04_FILE_000_B"/>
    <s v="RECORD COUNT by MBR_ID, DOS_THRU_DT, DX_CD Grain grouped by PAYER, SRC_FILE_NM, DOS_THRU_YYYYMM"/>
  </r>
  <r>
    <x v="2"/>
    <s v="SGMRYCLN_PE202502_REMAO004.TXT"/>
    <x v="75"/>
    <x v="7"/>
    <n v="31"/>
    <n v="61011"/>
    <n v="0.05"/>
    <s v="DQS_MAO04_FILE_000_B"/>
    <s v="RECORD COUNT by MBR_ID, DOS_THRU_DT, DX_CD Grain grouped by PAYER, SRC_FILE_NM, DOS_THRU_YYYYMM"/>
  </r>
  <r>
    <x v="2"/>
    <s v="SGMRYCLN_PE202502_REMAO004.TXT"/>
    <x v="76"/>
    <x v="7"/>
    <n v="51"/>
    <n v="61011"/>
    <n v="0.08"/>
    <s v="DQS_MAO04_FILE_000_B"/>
    <s v="RECORD COUNT by MBR_ID, DOS_THRU_DT, DX_CD Grain grouped by PAYER, SRC_FILE_NM, DOS_THRU_YYYYMM"/>
  </r>
  <r>
    <x v="2"/>
    <s v="SGMRYCLN_PE202502_REMAO004.TXT"/>
    <x v="77"/>
    <x v="8"/>
    <n v="40"/>
    <n v="61011"/>
    <n v="7.0000000000000007E-2"/>
    <s v="DQS_MAO04_FILE_000_B"/>
    <s v="RECORD COUNT by MBR_ID, DOS_THRU_DT, DX_CD Grain grouped by PAYER, SRC_FILE_NM, DOS_THRU_YYYYMM"/>
  </r>
  <r>
    <x v="2"/>
    <s v="SGMRYCLN_PE202502_REMAO004.TXT"/>
    <x v="78"/>
    <x v="8"/>
    <n v="93"/>
    <n v="61011"/>
    <n v="0.15"/>
    <s v="DQS_MAO04_FILE_000_B"/>
    <s v="RECORD COUNT by MBR_ID, DOS_THRU_DT, DX_CD Grain grouped by PAYER, SRC_FILE_NM, DOS_THRU_YYYYMM"/>
  </r>
  <r>
    <x v="2"/>
    <s v="SGMRYCLN_PE202502_REMAO004.TXT"/>
    <x v="79"/>
    <x v="8"/>
    <n v="76"/>
    <n v="61011"/>
    <n v="0.12"/>
    <s v="DQS_MAO04_FILE_000_B"/>
    <s v="RECORD COUNT by MBR_ID, DOS_THRU_DT, DX_CD Grain grouped by PAYER, SRC_FILE_NM, DOS_THRU_YYYYMM"/>
  </r>
  <r>
    <x v="2"/>
    <s v="SGMRYCLN_PE202502_REMAO004.TXT"/>
    <x v="80"/>
    <x v="8"/>
    <n v="82"/>
    <n v="61011"/>
    <n v="0.13"/>
    <s v="DQS_MAO04_FILE_000_B"/>
    <s v="RECORD COUNT by MBR_ID, DOS_THRU_DT, DX_CD Grain grouped by PAYER, SRC_FILE_NM, DOS_THRU_YYYYMM"/>
  </r>
  <r>
    <x v="2"/>
    <s v="SGMRYCLN_PE202502_REMAO004.TXT"/>
    <x v="81"/>
    <x v="8"/>
    <n v="70"/>
    <n v="61011"/>
    <n v="0.11"/>
    <s v="DQS_MAO04_FILE_000_B"/>
    <s v="RECORD COUNT by MBR_ID, DOS_THRU_DT, DX_CD Grain grouped by PAYER, SRC_FILE_NM, DOS_THRU_YYYYMM"/>
  </r>
  <r>
    <x v="2"/>
    <s v="SGMRYCLN_PE202502_REMAO004.TXT"/>
    <x v="82"/>
    <x v="8"/>
    <n v="93"/>
    <n v="61011"/>
    <n v="0.15"/>
    <s v="DQS_MAO04_FILE_000_B"/>
    <s v="RECORD COUNT by MBR_ID, DOS_THRU_DT, DX_CD Grain grouped by PAYER, SRC_FILE_NM, DOS_THRU_YYYYMM"/>
  </r>
  <r>
    <x v="2"/>
    <s v="SGMRYCLN_PE202502_REMAO004.TXT"/>
    <x v="83"/>
    <x v="8"/>
    <n v="59"/>
    <n v="61011"/>
    <n v="0.1"/>
    <s v="DQS_MAO04_FILE_000_B"/>
    <s v="RECORD COUNT by MBR_ID, DOS_THRU_DT, DX_CD Grain grouped by PAYER, SRC_FILE_NM, DOS_THRU_YYYYMM"/>
  </r>
  <r>
    <x v="2"/>
    <s v="SGMRYCLN_PE202502_REMAO004.TXT"/>
    <x v="84"/>
    <x v="8"/>
    <n v="117"/>
    <n v="61011"/>
    <n v="0.19"/>
    <s v="DQS_MAO04_FILE_000_B"/>
    <s v="RECORD COUNT by MBR_ID, DOS_THRU_DT, DX_CD Grain grouped by PAYER, SRC_FILE_NM, DOS_THRU_YYYYMM"/>
  </r>
  <r>
    <x v="2"/>
    <s v="SGMRYCLN_PE202502_REMAO004.TXT"/>
    <x v="85"/>
    <x v="8"/>
    <n v="69"/>
    <n v="61011"/>
    <n v="0.11"/>
    <s v="DQS_MAO04_FILE_000_B"/>
    <s v="RECORD COUNT by MBR_ID, DOS_THRU_DT, DX_CD Grain grouped by PAYER, SRC_FILE_NM, DOS_THRU_YYYYMM"/>
  </r>
  <r>
    <x v="2"/>
    <s v="SGMRYCLN_PE202502_REMAO004.TXT"/>
    <x v="86"/>
    <x v="8"/>
    <n v="176"/>
    <n v="61011"/>
    <n v="0.28999999999999998"/>
    <s v="DQS_MAO04_FILE_000_B"/>
    <s v="RECORD COUNT by MBR_ID, DOS_THRU_DT, DX_CD Grain grouped by PAYER, SRC_FILE_NM, DOS_THRU_YYYYMM"/>
  </r>
  <r>
    <x v="2"/>
    <s v="SGMRYCLN_PE202502_REMAO004.TXT"/>
    <x v="87"/>
    <x v="8"/>
    <n v="236"/>
    <n v="61011"/>
    <n v="0.39"/>
    <s v="DQS_MAO04_FILE_000_B"/>
    <s v="RECORD COUNT by MBR_ID, DOS_THRU_DT, DX_CD Grain grouped by PAYER, SRC_FILE_NM, DOS_THRU_YYYYMM"/>
  </r>
  <r>
    <x v="2"/>
    <s v="SGMRYCLN_PE202502_REMAO004.TXT"/>
    <x v="88"/>
    <x v="8"/>
    <n v="170"/>
    <n v="61011"/>
    <n v="0.28000000000000003"/>
    <s v="DQS_MAO04_FILE_000_B"/>
    <s v="RECORD COUNT by MBR_ID, DOS_THRU_DT, DX_CD Grain grouped by PAYER, SRC_FILE_NM, DOS_THRU_YYYYMM"/>
  </r>
  <r>
    <x v="2"/>
    <s v="SGMRYCLN_PE202502_REMAO004.TXT"/>
    <x v="89"/>
    <x v="9"/>
    <n v="965"/>
    <n v="61011"/>
    <n v="1.58"/>
    <s v="DQS_MAO04_FILE_000_B"/>
    <s v="RECORD COUNT by MBR_ID, DOS_THRU_DT, DX_CD Grain grouped by PAYER, SRC_FILE_NM, DOS_THRU_YYYYMM"/>
  </r>
  <r>
    <x v="2"/>
    <s v="SGMRYCLN_PE202502_REMAO004.TXT"/>
    <x v="97"/>
    <x v="9"/>
    <n v="347"/>
    <n v="61011"/>
    <n v="0.56999999999999995"/>
    <s v="DQS_MAO04_FILE_000_B"/>
    <s v="RECORD COUNT by MBR_ID, DOS_THRU_DT, DX_CD Grain grouped by PAYER, SRC_FILE_NM, DOS_THRU_YYYYMM"/>
  </r>
  <r>
    <x v="2"/>
    <s v="SGMRYCLN_PE202502_REMAO004.TXT"/>
    <x v="98"/>
    <x v="9"/>
    <n v="506"/>
    <n v="61011"/>
    <n v="0.83"/>
    <s v="DQS_MAO04_FILE_000_B"/>
    <s v="RECORD COUNT by MBR_ID, DOS_THRU_DT, DX_CD Grain grouped by PAYER, SRC_FILE_NM, DOS_THRU_YYYYMM"/>
  </r>
  <r>
    <x v="2"/>
    <s v="SGMRYCLN_PE202502_REMAO004.TXT"/>
    <x v="99"/>
    <x v="9"/>
    <n v="559"/>
    <n v="61011"/>
    <n v="0.92"/>
    <s v="DQS_MAO04_FILE_000_B"/>
    <s v="RECORD COUNT by MBR_ID, DOS_THRU_DT, DX_CD Grain grouped by PAYER, SRC_FILE_NM, DOS_THRU_YYYYMM"/>
  </r>
  <r>
    <x v="2"/>
    <s v="SGMRYCLN_PE202502_REMAO004.TXT"/>
    <x v="100"/>
    <x v="9"/>
    <n v="1098"/>
    <n v="61011"/>
    <n v="1.8"/>
    <s v="DQS_MAO04_FILE_000_B"/>
    <s v="RECORD COUNT by MBR_ID, DOS_THRU_DT, DX_CD Grain grouped by PAYER, SRC_FILE_NM, DOS_THRU_YYYYMM"/>
  </r>
  <r>
    <x v="2"/>
    <s v="SGMRYCLN_PE202502_REMAO004.TXT"/>
    <x v="102"/>
    <x v="9"/>
    <n v="477"/>
    <n v="61011"/>
    <n v="0.78"/>
    <s v="DQS_MAO04_FILE_000_B"/>
    <s v="RECORD COUNT by MBR_ID, DOS_THRU_DT, DX_CD Grain grouped by PAYER, SRC_FILE_NM, DOS_THRU_YYYYMM"/>
  </r>
  <r>
    <x v="2"/>
    <s v="SGMRYCLN_PE202502_REMAO004.TXT"/>
    <x v="103"/>
    <x v="9"/>
    <n v="513"/>
    <n v="61011"/>
    <n v="0.84"/>
    <s v="DQS_MAO04_FILE_000_B"/>
    <s v="RECORD COUNT by MBR_ID, DOS_THRU_DT, DX_CD Grain grouped by PAYER, SRC_FILE_NM, DOS_THRU_YYYYMM"/>
  </r>
  <r>
    <x v="2"/>
    <s v="SGMRYCLN_PE202502_REMAO004.TXT"/>
    <x v="105"/>
    <x v="9"/>
    <n v="900"/>
    <n v="61011"/>
    <n v="1.48"/>
    <s v="DQS_MAO04_FILE_000_B"/>
    <s v="RECORD COUNT by MBR_ID, DOS_THRU_DT, DX_CD Grain grouped by PAYER, SRC_FILE_NM, DOS_THRU_YYYYMM"/>
  </r>
  <r>
    <x v="2"/>
    <s v="SGMRYCLN_PE202502_REMAO004.TXT"/>
    <x v="106"/>
    <x v="9"/>
    <n v="1287"/>
    <n v="61011"/>
    <n v="2.11"/>
    <s v="DQS_MAO04_FILE_000_B"/>
    <s v="RECORD COUNT by MBR_ID, DOS_THRU_DT, DX_CD Grain grouped by PAYER, SRC_FILE_NM, DOS_THRU_YYYYMM"/>
  </r>
  <r>
    <x v="2"/>
    <s v="SGMRYCLN_PE202502_REMAO004.TXT"/>
    <x v="107"/>
    <x v="9"/>
    <n v="4849"/>
    <n v="61011"/>
    <n v="7.95"/>
    <s v="DQS_MAO04_FILE_000_B"/>
    <s v="RECORD COUNT by MBR_ID, DOS_THRU_DT, DX_CD Grain grouped by PAYER, SRC_FILE_NM, DOS_THRU_YYYYMM"/>
  </r>
  <r>
    <x v="2"/>
    <s v="SGMRYCLN_PE202502_REMAO004.TXT"/>
    <x v="108"/>
    <x v="9"/>
    <n v="24971"/>
    <n v="61011"/>
    <n v="40.93"/>
    <s v="DQS_MAO04_FILE_000_B"/>
    <s v="RECORD COUNT by MBR_ID, DOS_THRU_DT, DX_CD Grain grouped by PAYER, SRC_FILE_NM, DOS_THRU_YYYYMM"/>
  </r>
  <r>
    <x v="2"/>
    <s v="SGMRYCLN_PE202502_REMAO004.TXT"/>
    <x v="109"/>
    <x v="9"/>
    <n v="22368"/>
    <n v="61011"/>
    <n v="36.659999999999997"/>
    <s v="DQS_MAO04_FILE_000_B"/>
    <s v="RECORD COUNT by MBR_ID, DOS_THRU_DT, DX_CD Grain grouped by PAYER, SRC_FILE_NM, DOS_THRU_YYYYMM"/>
  </r>
  <r>
    <x v="2"/>
    <s v="SGMRYCLN_PE202503_REMAO004.TXT"/>
    <x v="26"/>
    <x v="3"/>
    <n v="4"/>
    <n v="57313"/>
    <n v="0.01"/>
    <s v="DQS_MAO04_FILE_000_B"/>
    <s v="RECORD COUNT by MBR_ID, DOS_THRU_DT, DX_CD Grain grouped by PAYER, SRC_FILE_NM, DOS_THRU_YYYYMM"/>
  </r>
  <r>
    <x v="2"/>
    <s v="SGMRYCLN_PE202503_REMAO004.TXT"/>
    <x v="27"/>
    <x v="3"/>
    <n v="22"/>
    <n v="57313"/>
    <n v="0.04"/>
    <s v="DQS_MAO04_FILE_000_B"/>
    <s v="RECORD COUNT by MBR_ID, DOS_THRU_DT, DX_CD Grain grouped by PAYER, SRC_FILE_NM, DOS_THRU_YYYYMM"/>
  </r>
  <r>
    <x v="2"/>
    <s v="SGMRYCLN_PE202503_REMAO004.TXT"/>
    <x v="28"/>
    <x v="3"/>
    <n v="8"/>
    <n v="57313"/>
    <n v="0.01"/>
    <s v="DQS_MAO04_FILE_000_B"/>
    <s v="RECORD COUNT by MBR_ID, DOS_THRU_DT, DX_CD Grain grouped by PAYER, SRC_FILE_NM, DOS_THRU_YYYYMM"/>
  </r>
  <r>
    <x v="2"/>
    <s v="SGMRYCLN_PE202503_REMAO004.TXT"/>
    <x v="73"/>
    <x v="7"/>
    <n v="15"/>
    <n v="57313"/>
    <n v="0.03"/>
    <s v="DQS_MAO04_FILE_000_B"/>
    <s v="RECORD COUNT by MBR_ID, DOS_THRU_DT, DX_CD Grain grouped by PAYER, SRC_FILE_NM, DOS_THRU_YYYYMM"/>
  </r>
  <r>
    <x v="2"/>
    <s v="SGMRYCLN_PE202503_REMAO004.TXT"/>
    <x v="74"/>
    <x v="7"/>
    <n v="17"/>
    <n v="57313"/>
    <n v="0.03"/>
    <s v="DQS_MAO04_FILE_000_B"/>
    <s v="RECORD COUNT by MBR_ID, DOS_THRU_DT, DX_CD Grain grouped by PAYER, SRC_FILE_NM, DOS_THRU_YYYYMM"/>
  </r>
  <r>
    <x v="2"/>
    <s v="SGMRYCLN_PE202503_REMAO004.TXT"/>
    <x v="75"/>
    <x v="7"/>
    <n v="28"/>
    <n v="57313"/>
    <n v="0.05"/>
    <s v="DQS_MAO04_FILE_000_B"/>
    <s v="RECORD COUNT by MBR_ID, DOS_THRU_DT, DX_CD Grain grouped by PAYER, SRC_FILE_NM, DOS_THRU_YYYYMM"/>
  </r>
  <r>
    <x v="2"/>
    <s v="SGMRYCLN_PE202503_REMAO004.TXT"/>
    <x v="76"/>
    <x v="7"/>
    <n v="53"/>
    <n v="57313"/>
    <n v="0.09"/>
    <s v="DQS_MAO04_FILE_000_B"/>
    <s v="RECORD COUNT by MBR_ID, DOS_THRU_DT, DX_CD Grain grouped by PAYER, SRC_FILE_NM, DOS_THRU_YYYYMM"/>
  </r>
  <r>
    <x v="2"/>
    <s v="SGMRYCLN_PE202503_REMAO004.TXT"/>
    <x v="77"/>
    <x v="8"/>
    <n v="68"/>
    <n v="57313"/>
    <n v="0.12"/>
    <s v="DQS_MAO04_FILE_000_B"/>
    <s v="RECORD COUNT by MBR_ID, DOS_THRU_DT, DX_CD Grain grouped by PAYER, SRC_FILE_NM, DOS_THRU_YYYYMM"/>
  </r>
  <r>
    <x v="2"/>
    <s v="SGMRYCLN_PE202503_REMAO004.TXT"/>
    <x v="78"/>
    <x v="8"/>
    <n v="123"/>
    <n v="57313"/>
    <n v="0.21"/>
    <s v="DQS_MAO04_FILE_000_B"/>
    <s v="RECORD COUNT by MBR_ID, DOS_THRU_DT, DX_CD Grain grouped by PAYER, SRC_FILE_NM, DOS_THRU_YYYYMM"/>
  </r>
  <r>
    <x v="2"/>
    <s v="SGMRYCLN_PE202503_REMAO004.TXT"/>
    <x v="79"/>
    <x v="8"/>
    <n v="123"/>
    <n v="57313"/>
    <n v="0.21"/>
    <s v="DQS_MAO04_FILE_000_B"/>
    <s v="RECORD COUNT by MBR_ID, DOS_THRU_DT, DX_CD Grain grouped by PAYER, SRC_FILE_NM, DOS_THRU_YYYYMM"/>
  </r>
  <r>
    <x v="2"/>
    <s v="SGMRYCLN_PE202503_REMAO004.TXT"/>
    <x v="80"/>
    <x v="8"/>
    <n v="62"/>
    <n v="57313"/>
    <n v="0.11"/>
    <s v="DQS_MAO04_FILE_000_B"/>
    <s v="RECORD COUNT by MBR_ID, DOS_THRU_DT, DX_CD Grain grouped by PAYER, SRC_FILE_NM, DOS_THRU_YYYYMM"/>
  </r>
  <r>
    <x v="2"/>
    <s v="SGMRYCLN_PE202503_REMAO004.TXT"/>
    <x v="81"/>
    <x v="8"/>
    <n v="48"/>
    <n v="57313"/>
    <n v="0.08"/>
    <s v="DQS_MAO04_FILE_000_B"/>
    <s v="RECORD COUNT by MBR_ID, DOS_THRU_DT, DX_CD Grain grouped by PAYER, SRC_FILE_NM, DOS_THRU_YYYYMM"/>
  </r>
  <r>
    <x v="2"/>
    <s v="SGMRYCLN_PE202503_REMAO004.TXT"/>
    <x v="82"/>
    <x v="8"/>
    <n v="78"/>
    <n v="57313"/>
    <n v="0.14000000000000001"/>
    <s v="DQS_MAO04_FILE_000_B"/>
    <s v="RECORD COUNT by MBR_ID, DOS_THRU_DT, DX_CD Grain grouped by PAYER, SRC_FILE_NM, DOS_THRU_YYYYMM"/>
  </r>
  <r>
    <x v="2"/>
    <s v="SGMRYCLN_PE202503_REMAO004.TXT"/>
    <x v="83"/>
    <x v="8"/>
    <n v="34"/>
    <n v="57313"/>
    <n v="0.06"/>
    <s v="DQS_MAO04_FILE_000_B"/>
    <s v="RECORD COUNT by MBR_ID, DOS_THRU_DT, DX_CD Grain grouped by PAYER, SRC_FILE_NM, DOS_THRU_YYYYMM"/>
  </r>
  <r>
    <x v="2"/>
    <s v="SGMRYCLN_PE202503_REMAO004.TXT"/>
    <x v="84"/>
    <x v="8"/>
    <n v="145"/>
    <n v="57313"/>
    <n v="0.25"/>
    <s v="DQS_MAO04_FILE_000_B"/>
    <s v="RECORD COUNT by MBR_ID, DOS_THRU_DT, DX_CD Grain grouped by PAYER, SRC_FILE_NM, DOS_THRU_YYYYMM"/>
  </r>
  <r>
    <x v="2"/>
    <s v="SGMRYCLN_PE202503_REMAO004.TXT"/>
    <x v="85"/>
    <x v="8"/>
    <n v="83"/>
    <n v="57313"/>
    <n v="0.14000000000000001"/>
    <s v="DQS_MAO04_FILE_000_B"/>
    <s v="RECORD COUNT by MBR_ID, DOS_THRU_DT, DX_CD Grain grouped by PAYER, SRC_FILE_NM, DOS_THRU_YYYYMM"/>
  </r>
  <r>
    <x v="2"/>
    <s v="SGMRYCLN_PE202503_REMAO004.TXT"/>
    <x v="86"/>
    <x v="8"/>
    <n v="82"/>
    <n v="57313"/>
    <n v="0.14000000000000001"/>
    <s v="DQS_MAO04_FILE_000_B"/>
    <s v="RECORD COUNT by MBR_ID, DOS_THRU_DT, DX_CD Grain grouped by PAYER, SRC_FILE_NM, DOS_THRU_YYYYMM"/>
  </r>
  <r>
    <x v="2"/>
    <s v="SGMRYCLN_PE202503_REMAO004.TXT"/>
    <x v="87"/>
    <x v="8"/>
    <n v="162"/>
    <n v="57313"/>
    <n v="0.28000000000000003"/>
    <s v="DQS_MAO04_FILE_000_B"/>
    <s v="RECORD COUNT by MBR_ID, DOS_THRU_DT, DX_CD Grain grouped by PAYER, SRC_FILE_NM, DOS_THRU_YYYYMM"/>
  </r>
  <r>
    <x v="2"/>
    <s v="SGMRYCLN_PE202503_REMAO004.TXT"/>
    <x v="88"/>
    <x v="8"/>
    <n v="197"/>
    <n v="57313"/>
    <n v="0.34"/>
    <s v="DQS_MAO04_FILE_000_B"/>
    <s v="RECORD COUNT by MBR_ID, DOS_THRU_DT, DX_CD Grain grouped by PAYER, SRC_FILE_NM, DOS_THRU_YYYYMM"/>
  </r>
  <r>
    <x v="2"/>
    <s v="SGMRYCLN_PE202503_REMAO004.TXT"/>
    <x v="89"/>
    <x v="9"/>
    <n v="528"/>
    <n v="57313"/>
    <n v="0.92"/>
    <s v="DQS_MAO04_FILE_000_B"/>
    <s v="RECORD COUNT by MBR_ID, DOS_THRU_DT, DX_CD Grain grouped by PAYER, SRC_FILE_NM, DOS_THRU_YYYYMM"/>
  </r>
  <r>
    <x v="2"/>
    <s v="SGMRYCLN_PE202503_REMAO004.TXT"/>
    <x v="97"/>
    <x v="9"/>
    <n v="730"/>
    <n v="57313"/>
    <n v="1.27"/>
    <s v="DQS_MAO04_FILE_000_B"/>
    <s v="RECORD COUNT by MBR_ID, DOS_THRU_DT, DX_CD Grain grouped by PAYER, SRC_FILE_NM, DOS_THRU_YYYYMM"/>
  </r>
  <r>
    <x v="2"/>
    <s v="SGMRYCLN_PE202503_REMAO004.TXT"/>
    <x v="98"/>
    <x v="9"/>
    <n v="1116"/>
    <n v="57313"/>
    <n v="1.95"/>
    <s v="DQS_MAO04_FILE_000_B"/>
    <s v="RECORD COUNT by MBR_ID, DOS_THRU_DT, DX_CD Grain grouped by PAYER, SRC_FILE_NM, DOS_THRU_YYYYMM"/>
  </r>
  <r>
    <x v="2"/>
    <s v="SGMRYCLN_PE202503_REMAO004.TXT"/>
    <x v="99"/>
    <x v="9"/>
    <n v="444"/>
    <n v="57313"/>
    <n v="0.77"/>
    <s v="DQS_MAO04_FILE_000_B"/>
    <s v="RECORD COUNT by MBR_ID, DOS_THRU_DT, DX_CD Grain grouped by PAYER, SRC_FILE_NM, DOS_THRU_YYYYMM"/>
  </r>
  <r>
    <x v="2"/>
    <s v="SGMRYCLN_PE202503_REMAO004.TXT"/>
    <x v="100"/>
    <x v="9"/>
    <n v="375"/>
    <n v="57313"/>
    <n v="0.65"/>
    <s v="DQS_MAO04_FILE_000_B"/>
    <s v="RECORD COUNT by MBR_ID, DOS_THRU_DT, DX_CD Grain grouped by PAYER, SRC_FILE_NM, DOS_THRU_YYYYMM"/>
  </r>
  <r>
    <x v="2"/>
    <s v="SGMRYCLN_PE202503_REMAO004.TXT"/>
    <x v="102"/>
    <x v="9"/>
    <n v="313"/>
    <n v="57313"/>
    <n v="0.55000000000000004"/>
    <s v="DQS_MAO04_FILE_000_B"/>
    <s v="RECORD COUNT by MBR_ID, DOS_THRU_DT, DX_CD Grain grouped by PAYER, SRC_FILE_NM, DOS_THRU_YYYYMM"/>
  </r>
  <r>
    <x v="2"/>
    <s v="SGMRYCLN_PE202503_REMAO004.TXT"/>
    <x v="103"/>
    <x v="9"/>
    <n v="310"/>
    <n v="57313"/>
    <n v="0.54"/>
    <s v="DQS_MAO04_FILE_000_B"/>
    <s v="RECORD COUNT by MBR_ID, DOS_THRU_DT, DX_CD Grain grouped by PAYER, SRC_FILE_NM, DOS_THRU_YYYYMM"/>
  </r>
  <r>
    <x v="2"/>
    <s v="SGMRYCLN_PE202503_REMAO004.TXT"/>
    <x v="105"/>
    <x v="9"/>
    <n v="729"/>
    <n v="57313"/>
    <n v="1.27"/>
    <s v="DQS_MAO04_FILE_000_B"/>
    <s v="RECORD COUNT by MBR_ID, DOS_THRU_DT, DX_CD Grain grouped by PAYER, SRC_FILE_NM, DOS_THRU_YYYYMM"/>
  </r>
  <r>
    <x v="2"/>
    <s v="SGMRYCLN_PE202503_REMAO004.TXT"/>
    <x v="106"/>
    <x v="9"/>
    <n v="955"/>
    <n v="57313"/>
    <n v="1.67"/>
    <s v="DQS_MAO04_FILE_000_B"/>
    <s v="RECORD COUNT by MBR_ID, DOS_THRU_DT, DX_CD Grain grouped by PAYER, SRC_FILE_NM, DOS_THRU_YYYYMM"/>
  </r>
  <r>
    <x v="2"/>
    <s v="SGMRYCLN_PE202503_REMAO004.TXT"/>
    <x v="107"/>
    <x v="9"/>
    <n v="1584"/>
    <n v="57313"/>
    <n v="2.76"/>
    <s v="DQS_MAO04_FILE_000_B"/>
    <s v="RECORD COUNT by MBR_ID, DOS_THRU_DT, DX_CD Grain grouped by PAYER, SRC_FILE_NM, DOS_THRU_YYYYMM"/>
  </r>
  <r>
    <x v="2"/>
    <s v="SGMRYCLN_PE202503_REMAO004.TXT"/>
    <x v="108"/>
    <x v="9"/>
    <n v="4967"/>
    <n v="57313"/>
    <n v="8.67"/>
    <s v="DQS_MAO04_FILE_000_B"/>
    <s v="RECORD COUNT by MBR_ID, DOS_THRU_DT, DX_CD Grain grouped by PAYER, SRC_FILE_NM, DOS_THRU_YYYYMM"/>
  </r>
  <r>
    <x v="2"/>
    <s v="SGMRYCLN_PE202503_REMAO004.TXT"/>
    <x v="109"/>
    <x v="9"/>
    <n v="27096"/>
    <n v="57313"/>
    <n v="47.28"/>
    <s v="DQS_MAO04_FILE_000_B"/>
    <s v="RECORD COUNT by MBR_ID, DOS_THRU_DT, DX_CD Grain grouped by PAYER, SRC_FILE_NM, DOS_THRU_YYYYMM"/>
  </r>
  <r>
    <x v="2"/>
    <s v="SGMRYCLN_PE202503_REMAO004.TXT"/>
    <x v="110"/>
    <x v="11"/>
    <n v="16814"/>
    <n v="57313"/>
    <n v="29.34"/>
    <s v="DQS_MAO04_FILE_000_B"/>
    <s v="RECORD COUNT by MBR_ID, DOS_THRU_DT, DX_CD Grain grouped by PAYER, SRC_FILE_NM, DOS_THRU_YYYYMM"/>
  </r>
  <r>
    <x v="2"/>
    <s v="SGMRYCLN_PE202504_REMAO004.TXT"/>
    <x v="30"/>
    <x v="4"/>
    <n v="6"/>
    <n v="71864"/>
    <n v="0.01"/>
    <s v="DQS_MAO04_FILE_000_B"/>
    <s v="RECORD COUNT by MBR_ID, DOS_THRU_DT, DX_CD Grain grouped by PAYER, SRC_FILE_NM, DOS_THRU_YYYYMM"/>
  </r>
  <r>
    <x v="2"/>
    <s v="SGMRYCLN_PE202504_REMAO004.TXT"/>
    <x v="46"/>
    <x v="5"/>
    <n v="2"/>
    <n v="71864"/>
    <n v="0"/>
    <s v="DQS_MAO04_FILE_000_B"/>
    <s v="RECORD COUNT by MBR_ID, DOS_THRU_DT, DX_CD Grain grouped by PAYER, SRC_FILE_NM, DOS_THRU_YYYYMM"/>
  </r>
  <r>
    <x v="2"/>
    <s v="SGMRYCLN_PE202504_REMAO004.TXT"/>
    <x v="64"/>
    <x v="6"/>
    <n v="4"/>
    <n v="71864"/>
    <n v="0.01"/>
    <s v="DQS_MAO04_FILE_000_B"/>
    <s v="RECORD COUNT by MBR_ID, DOS_THRU_DT, DX_CD Grain grouped by PAYER, SRC_FILE_NM, DOS_THRU_YYYYMM"/>
  </r>
  <r>
    <x v="2"/>
    <s v="SGMRYCLN_PE202504_REMAO004.TXT"/>
    <x v="70"/>
    <x v="7"/>
    <n v="14"/>
    <n v="71864"/>
    <n v="0.02"/>
    <s v="DQS_MAO04_FILE_000_B"/>
    <s v="RECORD COUNT by MBR_ID, DOS_THRU_DT, DX_CD Grain grouped by PAYER, SRC_FILE_NM, DOS_THRU_YYYYMM"/>
  </r>
  <r>
    <x v="2"/>
    <s v="SGMRYCLN_PE202504_REMAO004.TXT"/>
    <x v="71"/>
    <x v="7"/>
    <n v="2"/>
    <n v="71864"/>
    <n v="0"/>
    <s v="DQS_MAO04_FILE_000_B"/>
    <s v="RECORD COUNT by MBR_ID, DOS_THRU_DT, DX_CD Grain grouped by PAYER, SRC_FILE_NM, DOS_THRU_YYYYMM"/>
  </r>
  <r>
    <x v="2"/>
    <s v="SGMRYCLN_PE202504_REMAO004.TXT"/>
    <x v="76"/>
    <x v="7"/>
    <n v="3"/>
    <n v="71864"/>
    <n v="0"/>
    <s v="DQS_MAO04_FILE_000_B"/>
    <s v="RECORD COUNT by MBR_ID, DOS_THRU_DT, DX_CD Grain grouped by PAYER, SRC_FILE_NM, DOS_THRU_YYYYMM"/>
  </r>
  <r>
    <x v="2"/>
    <s v="SGMRYCLN_PE202504_REMAO004.TXT"/>
    <x v="77"/>
    <x v="8"/>
    <n v="19"/>
    <n v="71864"/>
    <n v="0.03"/>
    <s v="DQS_MAO04_FILE_000_B"/>
    <s v="RECORD COUNT by MBR_ID, DOS_THRU_DT, DX_CD Grain grouped by PAYER, SRC_FILE_NM, DOS_THRU_YYYYMM"/>
  </r>
  <r>
    <x v="2"/>
    <s v="SGMRYCLN_PE202504_REMAO004.TXT"/>
    <x v="78"/>
    <x v="8"/>
    <n v="3"/>
    <n v="71864"/>
    <n v="0"/>
    <s v="DQS_MAO04_FILE_000_B"/>
    <s v="RECORD COUNT by MBR_ID, DOS_THRU_DT, DX_CD Grain grouped by PAYER, SRC_FILE_NM, DOS_THRU_YYYYMM"/>
  </r>
  <r>
    <x v="2"/>
    <s v="SGMRYCLN_PE202504_REMAO004.TXT"/>
    <x v="79"/>
    <x v="8"/>
    <n v="65"/>
    <n v="71864"/>
    <n v="0.09"/>
    <s v="DQS_MAO04_FILE_000_B"/>
    <s v="RECORD COUNT by MBR_ID, DOS_THRU_DT, DX_CD Grain grouped by PAYER, SRC_FILE_NM, DOS_THRU_YYYYMM"/>
  </r>
  <r>
    <x v="2"/>
    <s v="SGMRYCLN_PE202504_REMAO004.TXT"/>
    <x v="80"/>
    <x v="8"/>
    <n v="86"/>
    <n v="71864"/>
    <n v="0.12"/>
    <s v="DQS_MAO04_FILE_000_B"/>
    <s v="RECORD COUNT by MBR_ID, DOS_THRU_DT, DX_CD Grain grouped by PAYER, SRC_FILE_NM, DOS_THRU_YYYYMM"/>
  </r>
  <r>
    <x v="2"/>
    <s v="SGMRYCLN_PE202504_REMAO004.TXT"/>
    <x v="81"/>
    <x v="8"/>
    <n v="80"/>
    <n v="71864"/>
    <n v="0.11"/>
    <s v="DQS_MAO04_FILE_000_B"/>
    <s v="RECORD COUNT by MBR_ID, DOS_THRU_DT, DX_CD Grain grouped by PAYER, SRC_FILE_NM, DOS_THRU_YYYYMM"/>
  </r>
  <r>
    <x v="2"/>
    <s v="SGMRYCLN_PE202504_REMAO004.TXT"/>
    <x v="82"/>
    <x v="8"/>
    <n v="86"/>
    <n v="71864"/>
    <n v="0.12"/>
    <s v="DQS_MAO04_FILE_000_B"/>
    <s v="RECORD COUNT by MBR_ID, DOS_THRU_DT, DX_CD Grain grouped by PAYER, SRC_FILE_NM, DOS_THRU_YYYYMM"/>
  </r>
  <r>
    <x v="2"/>
    <s v="SGMRYCLN_PE202504_REMAO004.TXT"/>
    <x v="83"/>
    <x v="8"/>
    <n v="26"/>
    <n v="71864"/>
    <n v="0.04"/>
    <s v="DQS_MAO04_FILE_000_B"/>
    <s v="RECORD COUNT by MBR_ID, DOS_THRU_DT, DX_CD Grain grouped by PAYER, SRC_FILE_NM, DOS_THRU_YYYYMM"/>
  </r>
  <r>
    <x v="2"/>
    <s v="SGMRYCLN_PE202504_REMAO004.TXT"/>
    <x v="84"/>
    <x v="8"/>
    <n v="141"/>
    <n v="71864"/>
    <n v="0.2"/>
    <s v="DQS_MAO04_FILE_000_B"/>
    <s v="RECORD COUNT by MBR_ID, DOS_THRU_DT, DX_CD Grain grouped by PAYER, SRC_FILE_NM, DOS_THRU_YYYYMM"/>
  </r>
  <r>
    <x v="2"/>
    <s v="SGMRYCLN_PE202504_REMAO004.TXT"/>
    <x v="85"/>
    <x v="8"/>
    <n v="122"/>
    <n v="71864"/>
    <n v="0.17"/>
    <s v="DQS_MAO04_FILE_000_B"/>
    <s v="RECORD COUNT by MBR_ID, DOS_THRU_DT, DX_CD Grain grouped by PAYER, SRC_FILE_NM, DOS_THRU_YYYYMM"/>
  </r>
  <r>
    <x v="2"/>
    <s v="SGMRYCLN_PE202504_REMAO004.TXT"/>
    <x v="86"/>
    <x v="8"/>
    <n v="112"/>
    <n v="71864"/>
    <n v="0.16"/>
    <s v="DQS_MAO04_FILE_000_B"/>
    <s v="RECORD COUNT by MBR_ID, DOS_THRU_DT, DX_CD Grain grouped by PAYER, SRC_FILE_NM, DOS_THRU_YYYYMM"/>
  </r>
  <r>
    <x v="2"/>
    <s v="SGMRYCLN_PE202504_REMAO004.TXT"/>
    <x v="87"/>
    <x v="8"/>
    <n v="148"/>
    <n v="71864"/>
    <n v="0.21"/>
    <s v="DQS_MAO04_FILE_000_B"/>
    <s v="RECORD COUNT by MBR_ID, DOS_THRU_DT, DX_CD Grain grouped by PAYER, SRC_FILE_NM, DOS_THRU_YYYYMM"/>
  </r>
  <r>
    <x v="2"/>
    <s v="SGMRYCLN_PE202504_REMAO004.TXT"/>
    <x v="88"/>
    <x v="8"/>
    <n v="174"/>
    <n v="71864"/>
    <n v="0.24"/>
    <s v="DQS_MAO04_FILE_000_B"/>
    <s v="RECORD COUNT by MBR_ID, DOS_THRU_DT, DX_CD Grain grouped by PAYER, SRC_FILE_NM, DOS_THRU_YYYYMM"/>
  </r>
  <r>
    <x v="2"/>
    <s v="SGMRYCLN_PE202504_REMAO004.TXT"/>
    <x v="89"/>
    <x v="9"/>
    <n v="346"/>
    <n v="71864"/>
    <n v="0.48"/>
    <s v="DQS_MAO04_FILE_000_B"/>
    <s v="RECORD COUNT by MBR_ID, DOS_THRU_DT, DX_CD Grain grouped by PAYER, SRC_FILE_NM, DOS_THRU_YYYYMM"/>
  </r>
  <r>
    <x v="2"/>
    <s v="SGMRYCLN_PE202504_REMAO004.TXT"/>
    <x v="97"/>
    <x v="9"/>
    <n v="191"/>
    <n v="71864"/>
    <n v="0.27"/>
    <s v="DQS_MAO04_FILE_000_B"/>
    <s v="RECORD COUNT by MBR_ID, DOS_THRU_DT, DX_CD Grain grouped by PAYER, SRC_FILE_NM, DOS_THRU_YYYYMM"/>
  </r>
  <r>
    <x v="2"/>
    <s v="SGMRYCLN_PE202504_REMAO004.TXT"/>
    <x v="98"/>
    <x v="9"/>
    <n v="172"/>
    <n v="71864"/>
    <n v="0.24"/>
    <s v="DQS_MAO04_FILE_000_B"/>
    <s v="RECORD COUNT by MBR_ID, DOS_THRU_DT, DX_CD Grain grouped by PAYER, SRC_FILE_NM, DOS_THRU_YYYYMM"/>
  </r>
  <r>
    <x v="2"/>
    <s v="SGMRYCLN_PE202504_REMAO004.TXT"/>
    <x v="99"/>
    <x v="9"/>
    <n v="1368"/>
    <n v="71864"/>
    <n v="1.9"/>
    <s v="DQS_MAO04_FILE_000_B"/>
    <s v="RECORD COUNT by MBR_ID, DOS_THRU_DT, DX_CD Grain grouped by PAYER, SRC_FILE_NM, DOS_THRU_YYYYMM"/>
  </r>
  <r>
    <x v="2"/>
    <s v="SGMRYCLN_PE202504_REMAO004.TXT"/>
    <x v="100"/>
    <x v="9"/>
    <n v="989"/>
    <n v="71864"/>
    <n v="1.38"/>
    <s v="DQS_MAO04_FILE_000_B"/>
    <s v="RECORD COUNT by MBR_ID, DOS_THRU_DT, DX_CD Grain grouped by PAYER, SRC_FILE_NM, DOS_THRU_YYYYMM"/>
  </r>
  <r>
    <x v="2"/>
    <s v="SGMRYCLN_PE202504_REMAO004.TXT"/>
    <x v="102"/>
    <x v="9"/>
    <n v="944"/>
    <n v="71864"/>
    <n v="1.31"/>
    <s v="DQS_MAO04_FILE_000_B"/>
    <s v="RECORD COUNT by MBR_ID, DOS_THRU_DT, DX_CD Grain grouped by PAYER, SRC_FILE_NM, DOS_THRU_YYYYMM"/>
  </r>
  <r>
    <x v="2"/>
    <s v="SGMRYCLN_PE202504_REMAO004.TXT"/>
    <x v="103"/>
    <x v="9"/>
    <n v="1266"/>
    <n v="71864"/>
    <n v="1.76"/>
    <s v="DQS_MAO04_FILE_000_B"/>
    <s v="RECORD COUNT by MBR_ID, DOS_THRU_DT, DX_CD Grain grouped by PAYER, SRC_FILE_NM, DOS_THRU_YYYYMM"/>
  </r>
  <r>
    <x v="2"/>
    <s v="SGMRYCLN_PE202504_REMAO004.TXT"/>
    <x v="105"/>
    <x v="9"/>
    <n v="1089"/>
    <n v="71864"/>
    <n v="1.52"/>
    <s v="DQS_MAO04_FILE_000_B"/>
    <s v="RECORD COUNT by MBR_ID, DOS_THRU_DT, DX_CD Grain grouped by PAYER, SRC_FILE_NM, DOS_THRU_YYYYMM"/>
  </r>
  <r>
    <x v="2"/>
    <s v="SGMRYCLN_PE202504_REMAO004.TXT"/>
    <x v="106"/>
    <x v="9"/>
    <n v="1166"/>
    <n v="71864"/>
    <n v="1.62"/>
    <s v="DQS_MAO04_FILE_000_B"/>
    <s v="RECORD COUNT by MBR_ID, DOS_THRU_DT, DX_CD Grain grouped by PAYER, SRC_FILE_NM, DOS_THRU_YYYYMM"/>
  </r>
  <r>
    <x v="2"/>
    <s v="SGMRYCLN_PE202504_REMAO004.TXT"/>
    <x v="107"/>
    <x v="9"/>
    <n v="2209"/>
    <n v="71864"/>
    <n v="3.07"/>
    <s v="DQS_MAO04_FILE_000_B"/>
    <s v="RECORD COUNT by MBR_ID, DOS_THRU_DT, DX_CD Grain grouped by PAYER, SRC_FILE_NM, DOS_THRU_YYYYMM"/>
  </r>
  <r>
    <x v="2"/>
    <s v="SGMRYCLN_PE202504_REMAO004.TXT"/>
    <x v="108"/>
    <x v="9"/>
    <n v="1801"/>
    <n v="71864"/>
    <n v="2.5099999999999998"/>
    <s v="DQS_MAO04_FILE_000_B"/>
    <s v="RECORD COUNT by MBR_ID, DOS_THRU_DT, DX_CD Grain grouped by PAYER, SRC_FILE_NM, DOS_THRU_YYYYMM"/>
  </r>
  <r>
    <x v="2"/>
    <s v="SGMRYCLN_PE202504_REMAO004.TXT"/>
    <x v="109"/>
    <x v="9"/>
    <n v="5143"/>
    <n v="71864"/>
    <n v="7.16"/>
    <s v="DQS_MAO04_FILE_000_B"/>
    <s v="RECORD COUNT by MBR_ID, DOS_THRU_DT, DX_CD Grain grouped by PAYER, SRC_FILE_NM, DOS_THRU_YYYYMM"/>
  </r>
  <r>
    <x v="2"/>
    <s v="SGMRYCLN_PE202504_REMAO004.TXT"/>
    <x v="110"/>
    <x v="11"/>
    <n v="37631"/>
    <n v="71864"/>
    <n v="52.36"/>
    <s v="DQS_MAO04_FILE_000_B"/>
    <s v="RECORD COUNT by MBR_ID, DOS_THRU_DT, DX_CD Grain grouped by PAYER, SRC_FILE_NM, DOS_THRU_YYYYMM"/>
  </r>
  <r>
    <x v="2"/>
    <s v="SGMRYCLN_PE202504_REMAO004.TXT"/>
    <x v="111"/>
    <x v="11"/>
    <n v="16456"/>
    <n v="71864"/>
    <n v="22.9"/>
    <s v="DQS_MAO04_FILE_000_B"/>
    <s v="RECORD COUNT by MBR_ID, DOS_THRU_DT, DX_CD Grain grouped by PAYER, SRC_FILE_NM, DOS_THRU_YYYYMM"/>
  </r>
  <r>
    <x v="2"/>
    <s v="SGMRYCLN_PE202505_REMAO004.TXT"/>
    <x v="41"/>
    <x v="5"/>
    <n v="7"/>
    <n v="79756"/>
    <n v="0.01"/>
    <s v="DQS_MAO04_FILE_000_B"/>
    <s v="RECORD COUNT by MBR_ID, DOS_THRU_DT, DX_CD Grain grouped by PAYER, SRC_FILE_NM, DOS_THRU_YYYYMM"/>
  </r>
  <r>
    <x v="2"/>
    <s v="SGMRYCLN_PE202505_REMAO004.TXT"/>
    <x v="48"/>
    <x v="5"/>
    <n v="1"/>
    <n v="79756"/>
    <n v="0"/>
    <s v="DQS_MAO04_FILE_000_B"/>
    <s v="RECORD COUNT by MBR_ID, DOS_THRU_DT, DX_CD Grain grouped by PAYER, SRC_FILE_NM, DOS_THRU_YYYYMM"/>
  </r>
  <r>
    <x v="2"/>
    <s v="SGMRYCLN_PE202505_REMAO004.TXT"/>
    <x v="56"/>
    <x v="6"/>
    <n v="1"/>
    <n v="79756"/>
    <n v="0"/>
    <s v="DQS_MAO04_FILE_000_B"/>
    <s v="RECORD COUNT by MBR_ID, DOS_THRU_DT, DX_CD Grain grouped by PAYER, SRC_FILE_NM, DOS_THRU_YYYYMM"/>
  </r>
  <r>
    <x v="2"/>
    <s v="SGMRYCLN_PE202505_REMAO004.TXT"/>
    <x v="58"/>
    <x v="6"/>
    <n v="19"/>
    <n v="79756"/>
    <n v="0.02"/>
    <s v="DQS_MAO04_FILE_000_B"/>
    <s v="RECORD COUNT by MBR_ID, DOS_THRU_DT, DX_CD Grain grouped by PAYER, SRC_FILE_NM, DOS_THRU_YYYYMM"/>
  </r>
  <r>
    <x v="2"/>
    <s v="SGMRYCLN_PE202505_REMAO004.TXT"/>
    <x v="59"/>
    <x v="6"/>
    <n v="8"/>
    <n v="79756"/>
    <n v="0.01"/>
    <s v="DQS_MAO04_FILE_000_B"/>
    <s v="RECORD COUNT by MBR_ID, DOS_THRU_DT, DX_CD Grain grouped by PAYER, SRC_FILE_NM, DOS_THRU_YYYYMM"/>
  </r>
  <r>
    <x v="2"/>
    <s v="SGMRYCLN_PE202505_REMAO004.TXT"/>
    <x v="67"/>
    <x v="7"/>
    <n v="3"/>
    <n v="79756"/>
    <n v="0"/>
    <s v="DQS_MAO04_FILE_000_B"/>
    <s v="RECORD COUNT by MBR_ID, DOS_THRU_DT, DX_CD Grain grouped by PAYER, SRC_FILE_NM, DOS_THRU_YYYYMM"/>
  </r>
  <r>
    <x v="2"/>
    <s v="SGMRYCLN_PE202505_REMAO004.TXT"/>
    <x v="70"/>
    <x v="7"/>
    <n v="3"/>
    <n v="79756"/>
    <n v="0"/>
    <s v="DQS_MAO04_FILE_000_B"/>
    <s v="RECORD COUNT by MBR_ID, DOS_THRU_DT, DX_CD Grain grouped by PAYER, SRC_FILE_NM, DOS_THRU_YYYYMM"/>
  </r>
  <r>
    <x v="2"/>
    <s v="SGMRYCLN_PE202505_REMAO004.TXT"/>
    <x v="71"/>
    <x v="7"/>
    <n v="1"/>
    <n v="79756"/>
    <n v="0"/>
    <s v="DQS_MAO04_FILE_000_B"/>
    <s v="RECORD COUNT by MBR_ID, DOS_THRU_DT, DX_CD Grain grouped by PAYER, SRC_FILE_NM, DOS_THRU_YYYYMM"/>
  </r>
  <r>
    <x v="2"/>
    <s v="SGMRYCLN_PE202505_REMAO004.TXT"/>
    <x v="75"/>
    <x v="7"/>
    <n v="9"/>
    <n v="79756"/>
    <n v="0.01"/>
    <s v="DQS_MAO04_FILE_000_B"/>
    <s v="RECORD COUNT by MBR_ID, DOS_THRU_DT, DX_CD Grain grouped by PAYER, SRC_FILE_NM, DOS_THRU_YYYYMM"/>
  </r>
  <r>
    <x v="2"/>
    <s v="SGMRYCLN_PE202505_REMAO004.TXT"/>
    <x v="76"/>
    <x v="7"/>
    <n v="1"/>
    <n v="79756"/>
    <n v="0"/>
    <s v="DQS_MAO04_FILE_000_B"/>
    <s v="RECORD COUNT by MBR_ID, DOS_THRU_DT, DX_CD Grain grouped by PAYER, SRC_FILE_NM, DOS_THRU_YYYYMM"/>
  </r>
  <r>
    <x v="2"/>
    <s v="SGMRYCLN_PE202505_REMAO004.TXT"/>
    <x v="77"/>
    <x v="8"/>
    <n v="70"/>
    <n v="79756"/>
    <n v="0.09"/>
    <s v="DQS_MAO04_FILE_000_B"/>
    <s v="RECORD COUNT by MBR_ID, DOS_THRU_DT, DX_CD Grain grouped by PAYER, SRC_FILE_NM, DOS_THRU_YYYYMM"/>
  </r>
  <r>
    <x v="2"/>
    <s v="SGMRYCLN_PE202505_REMAO004.TXT"/>
    <x v="78"/>
    <x v="8"/>
    <n v="1"/>
    <n v="79756"/>
    <n v="0"/>
    <s v="DQS_MAO04_FILE_000_B"/>
    <s v="RECORD COUNT by MBR_ID, DOS_THRU_DT, DX_CD Grain grouped by PAYER, SRC_FILE_NM, DOS_THRU_YYYYMM"/>
  </r>
  <r>
    <x v="2"/>
    <s v="SGMRYCLN_PE202505_REMAO004.TXT"/>
    <x v="79"/>
    <x v="8"/>
    <n v="32"/>
    <n v="79756"/>
    <n v="0.04"/>
    <s v="DQS_MAO04_FILE_000_B"/>
    <s v="RECORD COUNT by MBR_ID, DOS_THRU_DT, DX_CD Grain grouped by PAYER, SRC_FILE_NM, DOS_THRU_YYYYMM"/>
  </r>
  <r>
    <x v="2"/>
    <s v="SGMRYCLN_PE202505_REMAO004.TXT"/>
    <x v="80"/>
    <x v="8"/>
    <n v="79"/>
    <n v="79756"/>
    <n v="0.1"/>
    <s v="DQS_MAO04_FILE_000_B"/>
    <s v="RECORD COUNT by MBR_ID, DOS_THRU_DT, DX_CD Grain grouped by PAYER, SRC_FILE_NM, DOS_THRU_YYYYMM"/>
  </r>
  <r>
    <x v="2"/>
    <s v="SGMRYCLN_PE202505_REMAO004.TXT"/>
    <x v="81"/>
    <x v="8"/>
    <n v="110"/>
    <n v="79756"/>
    <n v="0.14000000000000001"/>
    <s v="DQS_MAO04_FILE_000_B"/>
    <s v="RECORD COUNT by MBR_ID, DOS_THRU_DT, DX_CD Grain grouped by PAYER, SRC_FILE_NM, DOS_THRU_YYYYMM"/>
  </r>
  <r>
    <x v="2"/>
    <s v="SGMRYCLN_PE202505_REMAO004.TXT"/>
    <x v="82"/>
    <x v="8"/>
    <n v="123"/>
    <n v="79756"/>
    <n v="0.15"/>
    <s v="DQS_MAO04_FILE_000_B"/>
    <s v="RECORD COUNT by MBR_ID, DOS_THRU_DT, DX_CD Grain grouped by PAYER, SRC_FILE_NM, DOS_THRU_YYYYMM"/>
  </r>
  <r>
    <x v="2"/>
    <s v="SGMRYCLN_PE202505_REMAO004.TXT"/>
    <x v="83"/>
    <x v="8"/>
    <n v="64"/>
    <n v="79756"/>
    <n v="0.08"/>
    <s v="DQS_MAO04_FILE_000_B"/>
    <s v="RECORD COUNT by MBR_ID, DOS_THRU_DT, DX_CD Grain grouped by PAYER, SRC_FILE_NM, DOS_THRU_YYYYMM"/>
  </r>
  <r>
    <x v="2"/>
    <s v="SGMRYCLN_PE202505_REMAO004.TXT"/>
    <x v="84"/>
    <x v="8"/>
    <n v="48"/>
    <n v="79756"/>
    <n v="0.06"/>
    <s v="DQS_MAO04_FILE_000_B"/>
    <s v="RECORD COUNT by MBR_ID, DOS_THRU_DT, DX_CD Grain grouped by PAYER, SRC_FILE_NM, DOS_THRU_YYYYMM"/>
  </r>
  <r>
    <x v="2"/>
    <s v="SGMRYCLN_PE202505_REMAO004.TXT"/>
    <x v="85"/>
    <x v="8"/>
    <n v="27"/>
    <n v="79756"/>
    <n v="0.03"/>
    <s v="DQS_MAO04_FILE_000_B"/>
    <s v="RECORD COUNT by MBR_ID, DOS_THRU_DT, DX_CD Grain grouped by PAYER, SRC_FILE_NM, DOS_THRU_YYYYMM"/>
  </r>
  <r>
    <x v="2"/>
    <s v="SGMRYCLN_PE202505_REMAO004.TXT"/>
    <x v="86"/>
    <x v="8"/>
    <n v="67"/>
    <n v="79756"/>
    <n v="0.08"/>
    <s v="DQS_MAO04_FILE_000_B"/>
    <s v="RECORD COUNT by MBR_ID, DOS_THRU_DT, DX_CD Grain grouped by PAYER, SRC_FILE_NM, DOS_THRU_YYYYMM"/>
  </r>
  <r>
    <x v="2"/>
    <s v="SGMRYCLN_PE202505_REMAO004.TXT"/>
    <x v="87"/>
    <x v="8"/>
    <n v="132"/>
    <n v="79756"/>
    <n v="0.17"/>
    <s v="DQS_MAO04_FILE_000_B"/>
    <s v="RECORD COUNT by MBR_ID, DOS_THRU_DT, DX_CD Grain grouped by PAYER, SRC_FILE_NM, DOS_THRU_YYYYMM"/>
  </r>
  <r>
    <x v="2"/>
    <s v="SGMRYCLN_PE202505_REMAO004.TXT"/>
    <x v="88"/>
    <x v="8"/>
    <n v="89"/>
    <n v="79756"/>
    <n v="0.11"/>
    <s v="DQS_MAO04_FILE_000_B"/>
    <s v="RECORD COUNT by MBR_ID, DOS_THRU_DT, DX_CD Grain grouped by PAYER, SRC_FILE_NM, DOS_THRU_YYYYMM"/>
  </r>
  <r>
    <x v="2"/>
    <s v="SGMRYCLN_PE202505_REMAO004.TXT"/>
    <x v="89"/>
    <x v="9"/>
    <n v="138"/>
    <n v="79756"/>
    <n v="0.17"/>
    <s v="DQS_MAO04_FILE_000_B"/>
    <s v="RECORD COUNT by MBR_ID, DOS_THRU_DT, DX_CD Grain grouped by PAYER, SRC_FILE_NM, DOS_THRU_YYYYMM"/>
  </r>
  <r>
    <x v="2"/>
    <s v="SGMRYCLN_PE202505_REMAO004.TXT"/>
    <x v="97"/>
    <x v="9"/>
    <n v="148"/>
    <n v="79756"/>
    <n v="0.19"/>
    <s v="DQS_MAO04_FILE_000_B"/>
    <s v="RECORD COUNT by MBR_ID, DOS_THRU_DT, DX_CD Grain grouped by PAYER, SRC_FILE_NM, DOS_THRU_YYYYMM"/>
  </r>
  <r>
    <x v="2"/>
    <s v="SGMRYCLN_PE202505_REMAO004.TXT"/>
    <x v="98"/>
    <x v="9"/>
    <n v="211"/>
    <n v="79756"/>
    <n v="0.26"/>
    <s v="DQS_MAO04_FILE_000_B"/>
    <s v="RECORD COUNT by MBR_ID, DOS_THRU_DT, DX_CD Grain grouped by PAYER, SRC_FILE_NM, DOS_THRU_YYYYMM"/>
  </r>
  <r>
    <x v="2"/>
    <s v="SGMRYCLN_PE202505_REMAO004.TXT"/>
    <x v="99"/>
    <x v="9"/>
    <n v="432"/>
    <n v="79756"/>
    <n v="0.54"/>
    <s v="DQS_MAO04_FILE_000_B"/>
    <s v="RECORD COUNT by MBR_ID, DOS_THRU_DT, DX_CD Grain grouped by PAYER, SRC_FILE_NM, DOS_THRU_YYYYMM"/>
  </r>
  <r>
    <x v="2"/>
    <s v="SGMRYCLN_PE202505_REMAO004.TXT"/>
    <x v="100"/>
    <x v="9"/>
    <n v="662"/>
    <n v="79756"/>
    <n v="0.83"/>
    <s v="DQS_MAO04_FILE_000_B"/>
    <s v="RECORD COUNT by MBR_ID, DOS_THRU_DT, DX_CD Grain grouped by PAYER, SRC_FILE_NM, DOS_THRU_YYYYMM"/>
  </r>
  <r>
    <x v="2"/>
    <s v="SGMRYCLN_PE202505_REMAO004.TXT"/>
    <x v="102"/>
    <x v="9"/>
    <n v="655"/>
    <n v="79756"/>
    <n v="0.82"/>
    <s v="DQS_MAO04_FILE_000_B"/>
    <s v="RECORD COUNT by MBR_ID, DOS_THRU_DT, DX_CD Grain grouped by PAYER, SRC_FILE_NM, DOS_THRU_YYYYMM"/>
  </r>
  <r>
    <x v="2"/>
    <s v="SGMRYCLN_PE202505_REMAO004.TXT"/>
    <x v="103"/>
    <x v="9"/>
    <n v="617"/>
    <n v="79756"/>
    <n v="0.77"/>
    <s v="DQS_MAO04_FILE_000_B"/>
    <s v="RECORD COUNT by MBR_ID, DOS_THRU_DT, DX_CD Grain grouped by PAYER, SRC_FILE_NM, DOS_THRU_YYYYMM"/>
  </r>
  <r>
    <x v="2"/>
    <s v="SGMRYCLN_PE202505_REMAO004.TXT"/>
    <x v="105"/>
    <x v="9"/>
    <n v="745"/>
    <n v="79756"/>
    <n v="0.93"/>
    <s v="DQS_MAO04_FILE_000_B"/>
    <s v="RECORD COUNT by MBR_ID, DOS_THRU_DT, DX_CD Grain grouped by PAYER, SRC_FILE_NM, DOS_THRU_YYYYMM"/>
  </r>
  <r>
    <x v="2"/>
    <s v="SGMRYCLN_PE202505_REMAO004.TXT"/>
    <x v="106"/>
    <x v="9"/>
    <n v="901"/>
    <n v="79756"/>
    <n v="1.1299999999999999"/>
    <s v="DQS_MAO04_FILE_000_B"/>
    <s v="RECORD COUNT by MBR_ID, DOS_THRU_DT, DX_CD Grain grouped by PAYER, SRC_FILE_NM, DOS_THRU_YYYYMM"/>
  </r>
  <r>
    <x v="2"/>
    <s v="SGMRYCLN_PE202505_REMAO004.TXT"/>
    <x v="107"/>
    <x v="9"/>
    <n v="1170"/>
    <n v="79756"/>
    <n v="1.47"/>
    <s v="DQS_MAO04_FILE_000_B"/>
    <s v="RECORD COUNT by MBR_ID, DOS_THRU_DT, DX_CD Grain grouped by PAYER, SRC_FILE_NM, DOS_THRU_YYYYMM"/>
  </r>
  <r>
    <x v="2"/>
    <s v="SGMRYCLN_PE202505_REMAO004.TXT"/>
    <x v="108"/>
    <x v="9"/>
    <n v="1940"/>
    <n v="79756"/>
    <n v="2.4300000000000002"/>
    <s v="DQS_MAO04_FILE_000_B"/>
    <s v="RECORD COUNT by MBR_ID, DOS_THRU_DT, DX_CD Grain grouped by PAYER, SRC_FILE_NM, DOS_THRU_YYYYMM"/>
  </r>
  <r>
    <x v="2"/>
    <s v="SGMRYCLN_PE202505_REMAO004.TXT"/>
    <x v="109"/>
    <x v="9"/>
    <n v="2132"/>
    <n v="79756"/>
    <n v="2.67"/>
    <s v="DQS_MAO04_FILE_000_B"/>
    <s v="RECORD COUNT by MBR_ID, DOS_THRU_DT, DX_CD Grain grouped by PAYER, SRC_FILE_NM, DOS_THRU_YYYYMM"/>
  </r>
  <r>
    <x v="2"/>
    <s v="SGMRYCLN_PE202505_REMAO004.TXT"/>
    <x v="110"/>
    <x v="11"/>
    <n v="7155"/>
    <n v="79756"/>
    <n v="8.9700000000000006"/>
    <s v="DQS_MAO04_FILE_000_B"/>
    <s v="RECORD COUNT by MBR_ID, DOS_THRU_DT, DX_CD Grain grouped by PAYER, SRC_FILE_NM, DOS_THRU_YYYYMM"/>
  </r>
  <r>
    <x v="2"/>
    <s v="SGMRYCLN_PE202505_REMAO004.TXT"/>
    <x v="111"/>
    <x v="11"/>
    <n v="34691"/>
    <n v="79756"/>
    <n v="43.5"/>
    <s v="DQS_MAO04_FILE_000_B"/>
    <s v="RECORD COUNT by MBR_ID, DOS_THRU_DT, DX_CD Grain grouped by PAYER, SRC_FILE_NM, DOS_THRU_YYYYMM"/>
  </r>
  <r>
    <x v="2"/>
    <s v="SGMRYCLN_PE202505_REMAO004.TXT"/>
    <x v="112"/>
    <x v="11"/>
    <n v="27264"/>
    <n v="79756"/>
    <n v="34.18"/>
    <s v="DQS_MAO04_FILE_000_B"/>
    <s v="RECORD COUNT by MBR_ID, DOS_THRU_DT, DX_CD Grain grouped by PAYER, SRC_FILE_NM, DOS_THRU_YYYYMM"/>
  </r>
  <r>
    <x v="2"/>
    <s v="SGMRYCLN_PE202506_REMAO004.TXT"/>
    <x v="128"/>
    <x v="0"/>
    <n v="2"/>
    <n v="68958"/>
    <n v="0"/>
    <s v="DQS_MAO04_FILE_000_B"/>
    <s v="RECORD COUNT by MBR_ID, DOS_THRU_DT, DX_CD Grain grouped by PAYER, SRC_FILE_NM, DOS_THRU_YYYYMM"/>
  </r>
  <r>
    <x v="2"/>
    <s v="SGMRYCLN_PE202506_REMAO004.TXT"/>
    <x v="35"/>
    <x v="4"/>
    <n v="25"/>
    <n v="68958"/>
    <n v="0.04"/>
    <s v="DQS_MAO04_FILE_000_B"/>
    <s v="RECORD COUNT by MBR_ID, DOS_THRU_DT, DX_CD Grain grouped by PAYER, SRC_FILE_NM, DOS_THRU_YYYYMM"/>
  </r>
  <r>
    <x v="2"/>
    <s v="SGMRYCLN_PE202506_REMAO004.TXT"/>
    <x v="71"/>
    <x v="7"/>
    <n v="2"/>
    <n v="68958"/>
    <n v="0"/>
    <s v="DQS_MAO04_FILE_000_B"/>
    <s v="RECORD COUNT by MBR_ID, DOS_THRU_DT, DX_CD Grain grouped by PAYER, SRC_FILE_NM, DOS_THRU_YYYYMM"/>
  </r>
  <r>
    <x v="2"/>
    <s v="SGMRYCLN_PE202506_REMAO004.TXT"/>
    <x v="73"/>
    <x v="7"/>
    <n v="4"/>
    <n v="68958"/>
    <n v="0.01"/>
    <s v="DQS_MAO04_FILE_000_B"/>
    <s v="RECORD COUNT by MBR_ID, DOS_THRU_DT, DX_CD Grain grouped by PAYER, SRC_FILE_NM, DOS_THRU_YYYYMM"/>
  </r>
  <r>
    <x v="2"/>
    <s v="SGMRYCLN_PE202506_REMAO004.TXT"/>
    <x v="74"/>
    <x v="7"/>
    <n v="8"/>
    <n v="68958"/>
    <n v="0.01"/>
    <s v="DQS_MAO04_FILE_000_B"/>
    <s v="RECORD COUNT by MBR_ID, DOS_THRU_DT, DX_CD Grain grouped by PAYER, SRC_FILE_NM, DOS_THRU_YYYYMM"/>
  </r>
  <r>
    <x v="2"/>
    <s v="SGMRYCLN_PE202506_REMAO004.TXT"/>
    <x v="75"/>
    <x v="7"/>
    <n v="5"/>
    <n v="68958"/>
    <n v="0.01"/>
    <s v="DQS_MAO04_FILE_000_B"/>
    <s v="RECORD COUNT by MBR_ID, DOS_THRU_DT, DX_CD Grain grouped by PAYER, SRC_FILE_NM, DOS_THRU_YYYYMM"/>
  </r>
  <r>
    <x v="2"/>
    <s v="SGMRYCLN_PE202506_REMAO004.TXT"/>
    <x v="76"/>
    <x v="7"/>
    <n v="5"/>
    <n v="68958"/>
    <n v="0.01"/>
    <s v="DQS_MAO04_FILE_000_B"/>
    <s v="RECORD COUNT by MBR_ID, DOS_THRU_DT, DX_CD Grain grouped by PAYER, SRC_FILE_NM, DOS_THRU_YYYYMM"/>
  </r>
  <r>
    <x v="2"/>
    <s v="SGMRYCLN_PE202506_REMAO004.TXT"/>
    <x v="77"/>
    <x v="8"/>
    <n v="34"/>
    <n v="68958"/>
    <n v="0.05"/>
    <s v="DQS_MAO04_FILE_000_B"/>
    <s v="RECORD COUNT by MBR_ID, DOS_THRU_DT, DX_CD Grain grouped by PAYER, SRC_FILE_NM, DOS_THRU_YYYYMM"/>
  </r>
  <r>
    <x v="2"/>
    <s v="SGMRYCLN_PE202506_REMAO004.TXT"/>
    <x v="78"/>
    <x v="8"/>
    <n v="13"/>
    <n v="68958"/>
    <n v="0.02"/>
    <s v="DQS_MAO04_FILE_000_B"/>
    <s v="RECORD COUNT by MBR_ID, DOS_THRU_DT, DX_CD Grain grouped by PAYER, SRC_FILE_NM, DOS_THRU_YYYYMM"/>
  </r>
  <r>
    <x v="2"/>
    <s v="SGMRYCLN_PE202506_REMAO004.TXT"/>
    <x v="79"/>
    <x v="8"/>
    <n v="7"/>
    <n v="68958"/>
    <n v="0.01"/>
    <s v="DQS_MAO04_FILE_000_B"/>
    <s v="RECORD COUNT by MBR_ID, DOS_THRU_DT, DX_CD Grain grouped by PAYER, SRC_FILE_NM, DOS_THRU_YYYYMM"/>
  </r>
  <r>
    <x v="2"/>
    <s v="SGMRYCLN_PE202506_REMAO004.TXT"/>
    <x v="80"/>
    <x v="8"/>
    <n v="6"/>
    <n v="68958"/>
    <n v="0.01"/>
    <s v="DQS_MAO04_FILE_000_B"/>
    <s v="RECORD COUNT by MBR_ID, DOS_THRU_DT, DX_CD Grain grouped by PAYER, SRC_FILE_NM, DOS_THRU_YYYYMM"/>
  </r>
  <r>
    <x v="2"/>
    <s v="SGMRYCLN_PE202506_REMAO004.TXT"/>
    <x v="81"/>
    <x v="8"/>
    <n v="89"/>
    <n v="68958"/>
    <n v="0.13"/>
    <s v="DQS_MAO04_FILE_000_B"/>
    <s v="RECORD COUNT by MBR_ID, DOS_THRU_DT, DX_CD Grain grouped by PAYER, SRC_FILE_NM, DOS_THRU_YYYYMM"/>
  </r>
  <r>
    <x v="2"/>
    <s v="SGMRYCLN_PE202506_REMAO004.TXT"/>
    <x v="82"/>
    <x v="8"/>
    <n v="47"/>
    <n v="68958"/>
    <n v="7.0000000000000007E-2"/>
    <s v="DQS_MAO04_FILE_000_B"/>
    <s v="RECORD COUNT by MBR_ID, DOS_THRU_DT, DX_CD Grain grouped by PAYER, SRC_FILE_NM, DOS_THRU_YYYYMM"/>
  </r>
  <r>
    <x v="2"/>
    <s v="SGMRYCLN_PE202506_REMAO004.TXT"/>
    <x v="83"/>
    <x v="8"/>
    <n v="72"/>
    <n v="68958"/>
    <n v="0.1"/>
    <s v="DQS_MAO04_FILE_000_B"/>
    <s v="RECORD COUNT by MBR_ID, DOS_THRU_DT, DX_CD Grain grouped by PAYER, SRC_FILE_NM, DOS_THRU_YYYYMM"/>
  </r>
  <r>
    <x v="2"/>
    <s v="SGMRYCLN_PE202506_REMAO004.TXT"/>
    <x v="84"/>
    <x v="8"/>
    <n v="261"/>
    <n v="68958"/>
    <n v="0.38"/>
    <s v="DQS_MAO04_FILE_000_B"/>
    <s v="RECORD COUNT by MBR_ID, DOS_THRU_DT, DX_CD Grain grouped by PAYER, SRC_FILE_NM, DOS_THRU_YYYYMM"/>
  </r>
  <r>
    <x v="2"/>
    <s v="SGMRYCLN_PE202506_REMAO004.TXT"/>
    <x v="85"/>
    <x v="8"/>
    <n v="1412"/>
    <n v="68958"/>
    <n v="2.0499999999999998"/>
    <s v="DQS_MAO04_FILE_000_B"/>
    <s v="RECORD COUNT by MBR_ID, DOS_THRU_DT, DX_CD Grain grouped by PAYER, SRC_FILE_NM, DOS_THRU_YYYYMM"/>
  </r>
  <r>
    <x v="2"/>
    <s v="SGMRYCLN_PE202506_REMAO004.TXT"/>
    <x v="86"/>
    <x v="8"/>
    <n v="82"/>
    <n v="68958"/>
    <n v="0.12"/>
    <s v="DQS_MAO04_FILE_000_B"/>
    <s v="RECORD COUNT by MBR_ID, DOS_THRU_DT, DX_CD Grain grouped by PAYER, SRC_FILE_NM, DOS_THRU_YYYYMM"/>
  </r>
  <r>
    <x v="2"/>
    <s v="SGMRYCLN_PE202506_REMAO004.TXT"/>
    <x v="87"/>
    <x v="8"/>
    <n v="169"/>
    <n v="68958"/>
    <n v="0.25"/>
    <s v="DQS_MAO04_FILE_000_B"/>
    <s v="RECORD COUNT by MBR_ID, DOS_THRU_DT, DX_CD Grain grouped by PAYER, SRC_FILE_NM, DOS_THRU_YYYYMM"/>
  </r>
  <r>
    <x v="2"/>
    <s v="SGMRYCLN_PE202506_REMAO004.TXT"/>
    <x v="88"/>
    <x v="8"/>
    <n v="82"/>
    <n v="68958"/>
    <n v="0.12"/>
    <s v="DQS_MAO04_FILE_000_B"/>
    <s v="RECORD COUNT by MBR_ID, DOS_THRU_DT, DX_CD Grain grouped by PAYER, SRC_FILE_NM, DOS_THRU_YYYYMM"/>
  </r>
  <r>
    <x v="2"/>
    <s v="SGMRYCLN_PE202506_REMAO004.TXT"/>
    <x v="89"/>
    <x v="9"/>
    <n v="165"/>
    <n v="68958"/>
    <n v="0.24"/>
    <s v="DQS_MAO04_FILE_000_B"/>
    <s v="RECORD COUNT by MBR_ID, DOS_THRU_DT, DX_CD Grain grouped by PAYER, SRC_FILE_NM, DOS_THRU_YYYYMM"/>
  </r>
  <r>
    <x v="2"/>
    <s v="SGMRYCLN_PE202506_REMAO004.TXT"/>
    <x v="97"/>
    <x v="9"/>
    <n v="101"/>
    <n v="68958"/>
    <n v="0.15"/>
    <s v="DQS_MAO04_FILE_000_B"/>
    <s v="RECORD COUNT by MBR_ID, DOS_THRU_DT, DX_CD Grain grouped by PAYER, SRC_FILE_NM, DOS_THRU_YYYYMM"/>
  </r>
  <r>
    <x v="2"/>
    <s v="SGMRYCLN_PE202506_REMAO004.TXT"/>
    <x v="98"/>
    <x v="9"/>
    <n v="103"/>
    <n v="68958"/>
    <n v="0.15"/>
    <s v="DQS_MAO04_FILE_000_B"/>
    <s v="RECORD COUNT by MBR_ID, DOS_THRU_DT, DX_CD Grain grouped by PAYER, SRC_FILE_NM, DOS_THRU_YYYYMM"/>
  </r>
  <r>
    <x v="2"/>
    <s v="SGMRYCLN_PE202506_REMAO004.TXT"/>
    <x v="99"/>
    <x v="9"/>
    <n v="93"/>
    <n v="68958"/>
    <n v="0.13"/>
    <s v="DQS_MAO04_FILE_000_B"/>
    <s v="RECORD COUNT by MBR_ID, DOS_THRU_DT, DX_CD Grain grouped by PAYER, SRC_FILE_NM, DOS_THRU_YYYYMM"/>
  </r>
  <r>
    <x v="2"/>
    <s v="SGMRYCLN_PE202506_REMAO004.TXT"/>
    <x v="100"/>
    <x v="9"/>
    <n v="146"/>
    <n v="68958"/>
    <n v="0.21"/>
    <s v="DQS_MAO04_FILE_000_B"/>
    <s v="RECORD COUNT by MBR_ID, DOS_THRU_DT, DX_CD Grain grouped by PAYER, SRC_FILE_NM, DOS_THRU_YYYYMM"/>
  </r>
  <r>
    <x v="2"/>
    <s v="SGMRYCLN_PE202506_REMAO004.TXT"/>
    <x v="102"/>
    <x v="9"/>
    <n v="605"/>
    <n v="68958"/>
    <n v="0.88"/>
    <s v="DQS_MAO04_FILE_000_B"/>
    <s v="RECORD COUNT by MBR_ID, DOS_THRU_DT, DX_CD Grain grouped by PAYER, SRC_FILE_NM, DOS_THRU_YYYYMM"/>
  </r>
  <r>
    <x v="2"/>
    <s v="SGMRYCLN_PE202506_REMAO004.TXT"/>
    <x v="103"/>
    <x v="9"/>
    <n v="498"/>
    <n v="68958"/>
    <n v="0.72"/>
    <s v="DQS_MAO04_FILE_000_B"/>
    <s v="RECORD COUNT by MBR_ID, DOS_THRU_DT, DX_CD Grain grouped by PAYER, SRC_FILE_NM, DOS_THRU_YYYYMM"/>
  </r>
  <r>
    <x v="2"/>
    <s v="SGMRYCLN_PE202506_REMAO004.TXT"/>
    <x v="105"/>
    <x v="9"/>
    <n v="307"/>
    <n v="68958"/>
    <n v="0.45"/>
    <s v="DQS_MAO04_FILE_000_B"/>
    <s v="RECORD COUNT by MBR_ID, DOS_THRU_DT, DX_CD Grain grouped by PAYER, SRC_FILE_NM, DOS_THRU_YYYYMM"/>
  </r>
  <r>
    <x v="2"/>
    <s v="SGMRYCLN_PE202506_REMAO004.TXT"/>
    <x v="106"/>
    <x v="9"/>
    <n v="555"/>
    <n v="68958"/>
    <n v="0.8"/>
    <s v="DQS_MAO04_FILE_000_B"/>
    <s v="RECORD COUNT by MBR_ID, DOS_THRU_DT, DX_CD Grain grouped by PAYER, SRC_FILE_NM, DOS_THRU_YYYYMM"/>
  </r>
  <r>
    <x v="2"/>
    <s v="SGMRYCLN_PE202506_REMAO004.TXT"/>
    <x v="107"/>
    <x v="9"/>
    <n v="783"/>
    <n v="68958"/>
    <n v="1.1399999999999999"/>
    <s v="DQS_MAO04_FILE_000_B"/>
    <s v="RECORD COUNT by MBR_ID, DOS_THRU_DT, DX_CD Grain grouped by PAYER, SRC_FILE_NM, DOS_THRU_YYYYMM"/>
  </r>
  <r>
    <x v="2"/>
    <s v="SGMRYCLN_PE202506_REMAO004.TXT"/>
    <x v="108"/>
    <x v="9"/>
    <n v="565"/>
    <n v="68958"/>
    <n v="0.82"/>
    <s v="DQS_MAO04_FILE_000_B"/>
    <s v="RECORD COUNT by MBR_ID, DOS_THRU_DT, DX_CD Grain grouped by PAYER, SRC_FILE_NM, DOS_THRU_YYYYMM"/>
  </r>
  <r>
    <x v="2"/>
    <s v="SGMRYCLN_PE202506_REMAO004.TXT"/>
    <x v="109"/>
    <x v="9"/>
    <n v="615"/>
    <n v="68958"/>
    <n v="0.89"/>
    <s v="DQS_MAO04_FILE_000_B"/>
    <s v="RECORD COUNT by MBR_ID, DOS_THRU_DT, DX_CD Grain grouped by PAYER, SRC_FILE_NM, DOS_THRU_YYYYMM"/>
  </r>
  <r>
    <x v="2"/>
    <s v="SGMRYCLN_PE202506_REMAO004.TXT"/>
    <x v="110"/>
    <x v="11"/>
    <n v="2311"/>
    <n v="68958"/>
    <n v="3.35"/>
    <s v="DQS_MAO04_FILE_000_B"/>
    <s v="RECORD COUNT by MBR_ID, DOS_THRU_DT, DX_CD Grain grouped by PAYER, SRC_FILE_NM, DOS_THRU_YYYYMM"/>
  </r>
  <r>
    <x v="2"/>
    <s v="SGMRYCLN_PE202506_REMAO004.TXT"/>
    <x v="111"/>
    <x v="11"/>
    <n v="5036"/>
    <n v="68958"/>
    <n v="7.3"/>
    <s v="DQS_MAO04_FILE_000_B"/>
    <s v="RECORD COUNT by MBR_ID, DOS_THRU_DT, DX_CD Grain grouped by PAYER, SRC_FILE_NM, DOS_THRU_YYYYMM"/>
  </r>
  <r>
    <x v="2"/>
    <s v="SGMRYCLN_PE202506_REMAO004.TXT"/>
    <x v="112"/>
    <x v="11"/>
    <n v="31586"/>
    <n v="68958"/>
    <n v="45.8"/>
    <s v="DQS_MAO04_FILE_000_B"/>
    <s v="RECORD COUNT by MBR_ID, DOS_THRU_DT, DX_CD Grain grouped by PAYER, SRC_FILE_NM, DOS_THRU_YYYYMM"/>
  </r>
  <r>
    <x v="2"/>
    <s v="SGMRYCLN_PE202506_REMAO004.TXT"/>
    <x v="113"/>
    <x v="11"/>
    <n v="23164"/>
    <n v="68958"/>
    <n v="33.590000000000003"/>
    <s v="DQS_MAO04_FILE_000_B"/>
    <s v="RECORD COUNT by MBR_ID, DOS_THRU_DT, DX_CD Grain grouped by PAYER, SRC_FILE_NM, DOS_THRU_YYYYMM"/>
  </r>
  <r>
    <x v="2"/>
    <s v="SGMRYCLN_PE202507_REMAO004.TXT"/>
    <x v="70"/>
    <x v="7"/>
    <n v="3"/>
    <n v="88081"/>
    <n v="0"/>
    <s v="DQS_MAO04_FILE_000_B"/>
    <s v="RECORD COUNT by MBR_ID, DOS_THRU_DT, DX_CD Grain grouped by PAYER, SRC_FILE_NM, DOS_THRU_YYYYMM"/>
  </r>
  <r>
    <x v="2"/>
    <s v="SGMRYCLN_PE202507_REMAO004.TXT"/>
    <x v="73"/>
    <x v="7"/>
    <n v="13"/>
    <n v="88081"/>
    <n v="0.01"/>
    <s v="DQS_MAO04_FILE_000_B"/>
    <s v="RECORD COUNT by MBR_ID, DOS_THRU_DT, DX_CD Grain grouped by PAYER, SRC_FILE_NM, DOS_THRU_YYYYMM"/>
  </r>
  <r>
    <x v="2"/>
    <s v="SGMRYCLN_PE202507_REMAO004.TXT"/>
    <x v="74"/>
    <x v="7"/>
    <n v="2"/>
    <n v="88081"/>
    <n v="0"/>
    <s v="DQS_MAO04_FILE_000_B"/>
    <s v="RECORD COUNT by MBR_ID, DOS_THRU_DT, DX_CD Grain grouped by PAYER, SRC_FILE_NM, DOS_THRU_YYYYMM"/>
  </r>
  <r>
    <x v="2"/>
    <s v="SGMRYCLN_PE202507_REMAO004.TXT"/>
    <x v="76"/>
    <x v="7"/>
    <n v="24"/>
    <n v="88081"/>
    <n v="0.03"/>
    <s v="DQS_MAO04_FILE_000_B"/>
    <s v="RECORD COUNT by MBR_ID, DOS_THRU_DT, DX_CD Grain grouped by PAYER, SRC_FILE_NM, DOS_THRU_YYYYMM"/>
  </r>
  <r>
    <x v="2"/>
    <s v="SGMRYCLN_PE202507_REMAO004.TXT"/>
    <x v="77"/>
    <x v="8"/>
    <n v="5"/>
    <n v="88081"/>
    <n v="0.01"/>
    <s v="DQS_MAO04_FILE_000_B"/>
    <s v="RECORD COUNT by MBR_ID, DOS_THRU_DT, DX_CD Grain grouped by PAYER, SRC_FILE_NM, DOS_THRU_YYYYMM"/>
  </r>
  <r>
    <x v="2"/>
    <s v="SGMRYCLN_PE202507_REMAO004.TXT"/>
    <x v="78"/>
    <x v="8"/>
    <n v="15"/>
    <n v="88081"/>
    <n v="0.02"/>
    <s v="DQS_MAO04_FILE_000_B"/>
    <s v="RECORD COUNT by MBR_ID, DOS_THRU_DT, DX_CD Grain grouped by PAYER, SRC_FILE_NM, DOS_THRU_YYYYMM"/>
  </r>
  <r>
    <x v="2"/>
    <s v="SGMRYCLN_PE202507_REMAO004.TXT"/>
    <x v="79"/>
    <x v="8"/>
    <n v="7"/>
    <n v="88081"/>
    <n v="0.01"/>
    <s v="DQS_MAO04_FILE_000_B"/>
    <s v="RECORD COUNT by MBR_ID, DOS_THRU_DT, DX_CD Grain grouped by PAYER, SRC_FILE_NM, DOS_THRU_YYYYMM"/>
  </r>
  <r>
    <x v="2"/>
    <s v="SGMRYCLN_PE202507_REMAO004.TXT"/>
    <x v="80"/>
    <x v="8"/>
    <n v="6"/>
    <n v="88081"/>
    <n v="0.01"/>
    <s v="DQS_MAO04_FILE_000_B"/>
    <s v="RECORD COUNT by MBR_ID, DOS_THRU_DT, DX_CD Grain grouped by PAYER, SRC_FILE_NM, DOS_THRU_YYYYMM"/>
  </r>
  <r>
    <x v="2"/>
    <s v="SGMRYCLN_PE202507_REMAO004.TXT"/>
    <x v="81"/>
    <x v="8"/>
    <n v="11"/>
    <n v="88081"/>
    <n v="0.01"/>
    <s v="DQS_MAO04_FILE_000_B"/>
    <s v="RECORD COUNT by MBR_ID, DOS_THRU_DT, DX_CD Grain grouped by PAYER, SRC_FILE_NM, DOS_THRU_YYYYMM"/>
  </r>
  <r>
    <x v="2"/>
    <s v="SGMRYCLN_PE202507_REMAO004.TXT"/>
    <x v="82"/>
    <x v="8"/>
    <n v="20"/>
    <n v="88081"/>
    <n v="0.02"/>
    <s v="DQS_MAO04_FILE_000_B"/>
    <s v="RECORD COUNT by MBR_ID, DOS_THRU_DT, DX_CD Grain grouped by PAYER, SRC_FILE_NM, DOS_THRU_YYYYMM"/>
  </r>
  <r>
    <x v="2"/>
    <s v="SGMRYCLN_PE202507_REMAO004.TXT"/>
    <x v="83"/>
    <x v="8"/>
    <n v="49"/>
    <n v="88081"/>
    <n v="0.06"/>
    <s v="DQS_MAO04_FILE_000_B"/>
    <s v="RECORD COUNT by MBR_ID, DOS_THRU_DT, DX_CD Grain grouped by PAYER, SRC_FILE_NM, DOS_THRU_YYYYMM"/>
  </r>
  <r>
    <x v="2"/>
    <s v="SGMRYCLN_PE202507_REMAO004.TXT"/>
    <x v="84"/>
    <x v="8"/>
    <n v="45"/>
    <n v="88081"/>
    <n v="0.05"/>
    <s v="DQS_MAO04_FILE_000_B"/>
    <s v="RECORD COUNT by MBR_ID, DOS_THRU_DT, DX_CD Grain grouped by PAYER, SRC_FILE_NM, DOS_THRU_YYYYMM"/>
  </r>
  <r>
    <x v="2"/>
    <s v="SGMRYCLN_PE202507_REMAO004.TXT"/>
    <x v="85"/>
    <x v="8"/>
    <n v="66"/>
    <n v="88081"/>
    <n v="7.0000000000000007E-2"/>
    <s v="DQS_MAO04_FILE_000_B"/>
    <s v="RECORD COUNT by MBR_ID, DOS_THRU_DT, DX_CD Grain grouped by PAYER, SRC_FILE_NM, DOS_THRU_YYYYMM"/>
  </r>
  <r>
    <x v="2"/>
    <s v="SGMRYCLN_PE202507_REMAO004.TXT"/>
    <x v="86"/>
    <x v="8"/>
    <n v="33"/>
    <n v="88081"/>
    <n v="0.04"/>
    <s v="DQS_MAO04_FILE_000_B"/>
    <s v="RECORD COUNT by MBR_ID, DOS_THRU_DT, DX_CD Grain grouped by PAYER, SRC_FILE_NM, DOS_THRU_YYYYMM"/>
  </r>
  <r>
    <x v="2"/>
    <s v="SGMRYCLN_PE202507_REMAO004.TXT"/>
    <x v="87"/>
    <x v="8"/>
    <n v="35"/>
    <n v="88081"/>
    <n v="0.04"/>
    <s v="DQS_MAO04_FILE_000_B"/>
    <s v="RECORD COUNT by MBR_ID, DOS_THRU_DT, DX_CD Grain grouped by PAYER, SRC_FILE_NM, DOS_THRU_YYYYMM"/>
  </r>
  <r>
    <x v="2"/>
    <s v="SGMRYCLN_PE202507_REMAO004.TXT"/>
    <x v="88"/>
    <x v="8"/>
    <n v="62"/>
    <n v="88081"/>
    <n v="7.0000000000000007E-2"/>
    <s v="DQS_MAO04_FILE_000_B"/>
    <s v="RECORD COUNT by MBR_ID, DOS_THRU_DT, DX_CD Grain grouped by PAYER, SRC_FILE_NM, DOS_THRU_YYYYMM"/>
  </r>
  <r>
    <x v="2"/>
    <s v="SGMRYCLN_PE202507_REMAO004.TXT"/>
    <x v="89"/>
    <x v="9"/>
    <n v="84"/>
    <n v="88081"/>
    <n v="0.1"/>
    <s v="DQS_MAO04_FILE_000_B"/>
    <s v="RECORD COUNT by MBR_ID, DOS_THRU_DT, DX_CD Grain grouped by PAYER, SRC_FILE_NM, DOS_THRU_YYYYMM"/>
  </r>
  <r>
    <x v="2"/>
    <s v="SGMRYCLN_PE202507_REMAO004.TXT"/>
    <x v="97"/>
    <x v="9"/>
    <n v="86"/>
    <n v="88081"/>
    <n v="0.1"/>
    <s v="DQS_MAO04_FILE_000_B"/>
    <s v="RECORD COUNT by MBR_ID, DOS_THRU_DT, DX_CD Grain grouped by PAYER, SRC_FILE_NM, DOS_THRU_YYYYMM"/>
  </r>
  <r>
    <x v="2"/>
    <s v="SGMRYCLN_PE202507_REMAO004.TXT"/>
    <x v="98"/>
    <x v="9"/>
    <n v="133"/>
    <n v="88081"/>
    <n v="0.15"/>
    <s v="DQS_MAO04_FILE_000_B"/>
    <s v="RECORD COUNT by MBR_ID, DOS_THRU_DT, DX_CD Grain grouped by PAYER, SRC_FILE_NM, DOS_THRU_YYYYMM"/>
  </r>
  <r>
    <x v="2"/>
    <s v="SGMRYCLN_PE202507_REMAO004.TXT"/>
    <x v="99"/>
    <x v="9"/>
    <n v="176"/>
    <n v="88081"/>
    <n v="0.2"/>
    <s v="DQS_MAO04_FILE_000_B"/>
    <s v="RECORD COUNT by MBR_ID, DOS_THRU_DT, DX_CD Grain grouped by PAYER, SRC_FILE_NM, DOS_THRU_YYYYMM"/>
  </r>
  <r>
    <x v="2"/>
    <s v="SGMRYCLN_PE202507_REMAO004.TXT"/>
    <x v="100"/>
    <x v="9"/>
    <n v="200"/>
    <n v="88081"/>
    <n v="0.23"/>
    <s v="DQS_MAO04_FILE_000_B"/>
    <s v="RECORD COUNT by MBR_ID, DOS_THRU_DT, DX_CD Grain grouped by PAYER, SRC_FILE_NM, DOS_THRU_YYYYMM"/>
  </r>
  <r>
    <x v="2"/>
    <s v="SGMRYCLN_PE202507_REMAO004.TXT"/>
    <x v="102"/>
    <x v="9"/>
    <n v="256"/>
    <n v="88081"/>
    <n v="0.28999999999999998"/>
    <s v="DQS_MAO04_FILE_000_B"/>
    <s v="RECORD COUNT by MBR_ID, DOS_THRU_DT, DX_CD Grain grouped by PAYER, SRC_FILE_NM, DOS_THRU_YYYYMM"/>
  </r>
  <r>
    <x v="2"/>
    <s v="SGMRYCLN_PE202507_REMAO004.TXT"/>
    <x v="103"/>
    <x v="9"/>
    <n v="568"/>
    <n v="88081"/>
    <n v="0.64"/>
    <s v="DQS_MAO04_FILE_000_B"/>
    <s v="RECORD COUNT by MBR_ID, DOS_THRU_DT, DX_CD Grain grouped by PAYER, SRC_FILE_NM, DOS_THRU_YYYYMM"/>
  </r>
  <r>
    <x v="2"/>
    <s v="SGMRYCLN_PE202507_REMAO004.TXT"/>
    <x v="105"/>
    <x v="9"/>
    <n v="619"/>
    <n v="88081"/>
    <n v="0.7"/>
    <s v="DQS_MAO04_FILE_000_B"/>
    <s v="RECORD COUNT by MBR_ID, DOS_THRU_DT, DX_CD Grain grouped by PAYER, SRC_FILE_NM, DOS_THRU_YYYYMM"/>
  </r>
  <r>
    <x v="2"/>
    <s v="SGMRYCLN_PE202507_REMAO004.TXT"/>
    <x v="106"/>
    <x v="9"/>
    <n v="860"/>
    <n v="88081"/>
    <n v="0.98"/>
    <s v="DQS_MAO04_FILE_000_B"/>
    <s v="RECORD COUNT by MBR_ID, DOS_THRU_DT, DX_CD Grain grouped by PAYER, SRC_FILE_NM, DOS_THRU_YYYYMM"/>
  </r>
  <r>
    <x v="2"/>
    <s v="SGMRYCLN_PE202507_REMAO004.TXT"/>
    <x v="107"/>
    <x v="9"/>
    <n v="1484"/>
    <n v="88081"/>
    <n v="1.68"/>
    <s v="DQS_MAO04_FILE_000_B"/>
    <s v="RECORD COUNT by MBR_ID, DOS_THRU_DT, DX_CD Grain grouped by PAYER, SRC_FILE_NM, DOS_THRU_YYYYMM"/>
  </r>
  <r>
    <x v="2"/>
    <s v="SGMRYCLN_PE202507_REMAO004.TXT"/>
    <x v="108"/>
    <x v="9"/>
    <n v="608"/>
    <n v="88081"/>
    <n v="0.69"/>
    <s v="DQS_MAO04_FILE_000_B"/>
    <s v="RECORD COUNT by MBR_ID, DOS_THRU_DT, DX_CD Grain grouped by PAYER, SRC_FILE_NM, DOS_THRU_YYYYMM"/>
  </r>
  <r>
    <x v="2"/>
    <s v="SGMRYCLN_PE202507_REMAO004.TXT"/>
    <x v="109"/>
    <x v="9"/>
    <n v="744"/>
    <n v="88081"/>
    <n v="0.84"/>
    <s v="DQS_MAO04_FILE_000_B"/>
    <s v="RECORD COUNT by MBR_ID, DOS_THRU_DT, DX_CD Grain grouped by PAYER, SRC_FILE_NM, DOS_THRU_YYYYMM"/>
  </r>
  <r>
    <x v="2"/>
    <s v="SGMRYCLN_PE202507_REMAO004.TXT"/>
    <x v="110"/>
    <x v="11"/>
    <n v="1124"/>
    <n v="88081"/>
    <n v="1.28"/>
    <s v="DQS_MAO04_FILE_000_B"/>
    <s v="RECORD COUNT by MBR_ID, DOS_THRU_DT, DX_CD Grain grouped by PAYER, SRC_FILE_NM, DOS_THRU_YYYYMM"/>
  </r>
  <r>
    <x v="2"/>
    <s v="SGMRYCLN_PE202507_REMAO004.TXT"/>
    <x v="111"/>
    <x v="11"/>
    <n v="2406"/>
    <n v="88081"/>
    <n v="2.73"/>
    <s v="DQS_MAO04_FILE_000_B"/>
    <s v="RECORD COUNT by MBR_ID, DOS_THRU_DT, DX_CD Grain grouped by PAYER, SRC_FILE_NM, DOS_THRU_YYYYMM"/>
  </r>
  <r>
    <x v="2"/>
    <s v="SGMRYCLN_PE202507_REMAO004.TXT"/>
    <x v="112"/>
    <x v="11"/>
    <n v="6373"/>
    <n v="88081"/>
    <n v="7.24"/>
    <s v="DQS_MAO04_FILE_000_B"/>
    <s v="RECORD COUNT by MBR_ID, DOS_THRU_DT, DX_CD Grain grouped by PAYER, SRC_FILE_NM, DOS_THRU_YYYYMM"/>
  </r>
  <r>
    <x v="2"/>
    <s v="SGMRYCLN_PE202507_REMAO004.TXT"/>
    <x v="113"/>
    <x v="11"/>
    <n v="42564"/>
    <n v="88081"/>
    <n v="48.32"/>
    <s v="DQS_MAO04_FILE_000_B"/>
    <s v="RECORD COUNT by MBR_ID, DOS_THRU_DT, DX_CD Grain grouped by PAYER, SRC_FILE_NM, DOS_THRU_YYYYMM"/>
  </r>
  <r>
    <x v="2"/>
    <s v="SGMRYCLN_PE202507_REMAO004.TXT"/>
    <x v="114"/>
    <x v="11"/>
    <n v="29400"/>
    <n v="88081"/>
    <n v="33.380000000000003"/>
    <s v="DQS_MAO04_FILE_000_B"/>
    <s v="RECORD COUNT by MBR_ID, DOS_THRU_DT, DX_CD Grain grouped by PAYER, SRC_FILE_NM, DOS_THRU_YYYYMM"/>
  </r>
  <r>
    <x v="2"/>
    <s v="SGMRYCLN_PE202508_REMAO004.TXT"/>
    <x v="30"/>
    <x v="4"/>
    <n v="12"/>
    <n v="73940"/>
    <n v="0.02"/>
    <s v="DQS_MAO04_FILE_000_B"/>
    <s v="RECORD COUNT by MBR_ID, DOS_THRU_DT, DX_CD Grain grouped by PAYER, SRC_FILE_NM, DOS_THRU_YYYYMM"/>
  </r>
  <r>
    <x v="2"/>
    <s v="SGMRYCLN_PE202508_REMAO004.TXT"/>
    <x v="68"/>
    <x v="7"/>
    <n v="9"/>
    <n v="73940"/>
    <n v="0.01"/>
    <s v="DQS_MAO04_FILE_000_B"/>
    <s v="RECORD COUNT by MBR_ID, DOS_THRU_DT, DX_CD Grain grouped by PAYER, SRC_FILE_NM, DOS_THRU_YYYYMM"/>
  </r>
  <r>
    <x v="2"/>
    <s v="SGMRYCLN_PE202508_REMAO004.TXT"/>
    <x v="69"/>
    <x v="7"/>
    <n v="1"/>
    <n v="73940"/>
    <n v="0"/>
    <s v="DQS_MAO04_FILE_000_B"/>
    <s v="RECORD COUNT by MBR_ID, DOS_THRU_DT, DX_CD Grain grouped by PAYER, SRC_FILE_NM, DOS_THRU_YYYYMM"/>
  </r>
  <r>
    <x v="2"/>
    <s v="SGMRYCLN_PE202508_REMAO004.TXT"/>
    <x v="70"/>
    <x v="7"/>
    <n v="6"/>
    <n v="73940"/>
    <n v="0.01"/>
    <s v="DQS_MAO04_FILE_000_B"/>
    <s v="RECORD COUNT by MBR_ID, DOS_THRU_DT, DX_CD Grain grouped by PAYER, SRC_FILE_NM, DOS_THRU_YYYYMM"/>
  </r>
  <r>
    <x v="2"/>
    <s v="SGMRYCLN_PE202508_REMAO004.TXT"/>
    <x v="71"/>
    <x v="7"/>
    <n v="3"/>
    <n v="73940"/>
    <n v="0"/>
    <s v="DQS_MAO04_FILE_000_B"/>
    <s v="RECORD COUNT by MBR_ID, DOS_THRU_DT, DX_CD Grain grouped by PAYER, SRC_FILE_NM, DOS_THRU_YYYYMM"/>
  </r>
  <r>
    <x v="2"/>
    <s v="SGMRYCLN_PE202508_REMAO004.TXT"/>
    <x v="72"/>
    <x v="7"/>
    <n v="10"/>
    <n v="73940"/>
    <n v="0.01"/>
    <s v="DQS_MAO04_FILE_000_B"/>
    <s v="RECORD COUNT by MBR_ID, DOS_THRU_DT, DX_CD Grain grouped by PAYER, SRC_FILE_NM, DOS_THRU_YYYYMM"/>
  </r>
  <r>
    <x v="2"/>
    <s v="SGMRYCLN_PE202508_REMAO004.TXT"/>
    <x v="73"/>
    <x v="7"/>
    <n v="2"/>
    <n v="73940"/>
    <n v="0"/>
    <s v="DQS_MAO04_FILE_000_B"/>
    <s v="RECORD COUNT by MBR_ID, DOS_THRU_DT, DX_CD Grain grouped by PAYER, SRC_FILE_NM, DOS_THRU_YYYYMM"/>
  </r>
  <r>
    <x v="2"/>
    <s v="SGMRYCLN_PE202508_REMAO004.TXT"/>
    <x v="74"/>
    <x v="7"/>
    <n v="5"/>
    <n v="73940"/>
    <n v="0.01"/>
    <s v="DQS_MAO04_FILE_000_B"/>
    <s v="RECORD COUNT by MBR_ID, DOS_THRU_DT, DX_CD Grain grouped by PAYER, SRC_FILE_NM, DOS_THRU_YYYYMM"/>
  </r>
  <r>
    <x v="2"/>
    <s v="SGMRYCLN_PE202508_REMAO004.TXT"/>
    <x v="75"/>
    <x v="7"/>
    <n v="3"/>
    <n v="73940"/>
    <n v="0"/>
    <s v="DQS_MAO04_FILE_000_B"/>
    <s v="RECORD COUNT by MBR_ID, DOS_THRU_DT, DX_CD Grain grouped by PAYER, SRC_FILE_NM, DOS_THRU_YYYYMM"/>
  </r>
  <r>
    <x v="2"/>
    <s v="SGMRYCLN_PE202508_REMAO004.TXT"/>
    <x v="76"/>
    <x v="7"/>
    <n v="11"/>
    <n v="73940"/>
    <n v="0.01"/>
    <s v="DQS_MAO04_FILE_000_B"/>
    <s v="RECORD COUNT by MBR_ID, DOS_THRU_DT, DX_CD Grain grouped by PAYER, SRC_FILE_NM, DOS_THRU_YYYYMM"/>
  </r>
  <r>
    <x v="2"/>
    <s v="SGMRYCLN_PE202508_REMAO004.TXT"/>
    <x v="77"/>
    <x v="8"/>
    <n v="158"/>
    <n v="73940"/>
    <n v="0.21"/>
    <s v="DQS_MAO04_FILE_000_B"/>
    <s v="RECORD COUNT by MBR_ID, DOS_THRU_DT, DX_CD Grain grouped by PAYER, SRC_FILE_NM, DOS_THRU_YYYYMM"/>
  </r>
  <r>
    <x v="2"/>
    <s v="SGMRYCLN_PE202508_REMAO004.TXT"/>
    <x v="78"/>
    <x v="8"/>
    <n v="104"/>
    <n v="73940"/>
    <n v="0.14000000000000001"/>
    <s v="DQS_MAO04_FILE_000_B"/>
    <s v="RECORD COUNT by MBR_ID, DOS_THRU_DT, DX_CD Grain grouped by PAYER, SRC_FILE_NM, DOS_THRU_YYYYMM"/>
  </r>
  <r>
    <x v="2"/>
    <s v="SGMRYCLN_PE202508_REMAO004.TXT"/>
    <x v="79"/>
    <x v="8"/>
    <n v="154"/>
    <n v="73940"/>
    <n v="0.21"/>
    <s v="DQS_MAO04_FILE_000_B"/>
    <s v="RECORD COUNT by MBR_ID, DOS_THRU_DT, DX_CD Grain grouped by PAYER, SRC_FILE_NM, DOS_THRU_YYYYMM"/>
  </r>
  <r>
    <x v="2"/>
    <s v="SGMRYCLN_PE202508_REMAO004.TXT"/>
    <x v="80"/>
    <x v="8"/>
    <n v="59"/>
    <n v="73940"/>
    <n v="0.08"/>
    <s v="DQS_MAO04_FILE_000_B"/>
    <s v="RECORD COUNT by MBR_ID, DOS_THRU_DT, DX_CD Grain grouped by PAYER, SRC_FILE_NM, DOS_THRU_YYYYMM"/>
  </r>
  <r>
    <x v="2"/>
    <s v="SGMRYCLN_PE202508_REMAO004.TXT"/>
    <x v="81"/>
    <x v="8"/>
    <n v="57"/>
    <n v="73940"/>
    <n v="0.08"/>
    <s v="DQS_MAO04_FILE_000_B"/>
    <s v="RECORD COUNT by MBR_ID, DOS_THRU_DT, DX_CD Grain grouped by PAYER, SRC_FILE_NM, DOS_THRU_YYYYMM"/>
  </r>
  <r>
    <x v="2"/>
    <s v="SGMRYCLN_PE202508_REMAO004.TXT"/>
    <x v="82"/>
    <x v="8"/>
    <n v="54"/>
    <n v="73940"/>
    <n v="7.0000000000000007E-2"/>
    <s v="DQS_MAO04_FILE_000_B"/>
    <s v="RECORD COUNT by MBR_ID, DOS_THRU_DT, DX_CD Grain grouped by PAYER, SRC_FILE_NM, DOS_THRU_YYYYMM"/>
  </r>
  <r>
    <x v="2"/>
    <s v="SGMRYCLN_PE202508_REMAO004.TXT"/>
    <x v="83"/>
    <x v="8"/>
    <n v="66"/>
    <n v="73940"/>
    <n v="0.09"/>
    <s v="DQS_MAO04_FILE_000_B"/>
    <s v="RECORD COUNT by MBR_ID, DOS_THRU_DT, DX_CD Grain grouped by PAYER, SRC_FILE_NM, DOS_THRU_YYYYMM"/>
  </r>
  <r>
    <x v="2"/>
    <s v="SGMRYCLN_PE202508_REMAO004.TXT"/>
    <x v="84"/>
    <x v="8"/>
    <n v="38"/>
    <n v="73940"/>
    <n v="0.05"/>
    <s v="DQS_MAO04_FILE_000_B"/>
    <s v="RECORD COUNT by MBR_ID, DOS_THRU_DT, DX_CD Grain grouped by PAYER, SRC_FILE_NM, DOS_THRU_YYYYMM"/>
  </r>
  <r>
    <x v="2"/>
    <s v="SGMRYCLN_PE202508_REMAO004.TXT"/>
    <x v="85"/>
    <x v="8"/>
    <n v="29"/>
    <n v="73940"/>
    <n v="0.04"/>
    <s v="DQS_MAO04_FILE_000_B"/>
    <s v="RECORD COUNT by MBR_ID, DOS_THRU_DT, DX_CD Grain grouped by PAYER, SRC_FILE_NM, DOS_THRU_YYYYMM"/>
  </r>
  <r>
    <x v="2"/>
    <s v="SGMRYCLN_PE202508_REMAO004.TXT"/>
    <x v="86"/>
    <x v="8"/>
    <n v="77"/>
    <n v="73940"/>
    <n v="0.1"/>
    <s v="DQS_MAO04_FILE_000_B"/>
    <s v="RECORD COUNT by MBR_ID, DOS_THRU_DT, DX_CD Grain grouped by PAYER, SRC_FILE_NM, DOS_THRU_YYYYMM"/>
  </r>
  <r>
    <x v="2"/>
    <s v="SGMRYCLN_PE202508_REMAO004.TXT"/>
    <x v="87"/>
    <x v="8"/>
    <n v="65"/>
    <n v="73940"/>
    <n v="0.09"/>
    <s v="DQS_MAO04_FILE_000_B"/>
    <s v="RECORD COUNT by MBR_ID, DOS_THRU_DT, DX_CD Grain grouped by PAYER, SRC_FILE_NM, DOS_THRU_YYYYMM"/>
  </r>
  <r>
    <x v="2"/>
    <s v="SGMRYCLN_PE202508_REMAO004.TXT"/>
    <x v="88"/>
    <x v="8"/>
    <n v="35"/>
    <n v="73940"/>
    <n v="0.05"/>
    <s v="DQS_MAO04_FILE_000_B"/>
    <s v="RECORD COUNT by MBR_ID, DOS_THRU_DT, DX_CD Grain grouped by PAYER, SRC_FILE_NM, DOS_THRU_YYYYMM"/>
  </r>
  <r>
    <x v="2"/>
    <s v="SGMRYCLN_PE202508_REMAO004.TXT"/>
    <x v="89"/>
    <x v="9"/>
    <n v="53"/>
    <n v="73940"/>
    <n v="7.0000000000000007E-2"/>
    <s v="DQS_MAO04_FILE_000_B"/>
    <s v="RECORD COUNT by MBR_ID, DOS_THRU_DT, DX_CD Grain grouped by PAYER, SRC_FILE_NM, DOS_THRU_YYYYMM"/>
  </r>
  <r>
    <x v="2"/>
    <s v="SGMRYCLN_PE202508_REMAO004.TXT"/>
    <x v="97"/>
    <x v="9"/>
    <n v="121"/>
    <n v="73940"/>
    <n v="0.16"/>
    <s v="DQS_MAO04_FILE_000_B"/>
    <s v="RECORD COUNT by MBR_ID, DOS_THRU_DT, DX_CD Grain grouped by PAYER, SRC_FILE_NM, DOS_THRU_YYYYMM"/>
  </r>
  <r>
    <x v="2"/>
    <s v="SGMRYCLN_PE202508_REMAO004.TXT"/>
    <x v="98"/>
    <x v="9"/>
    <n v="85"/>
    <n v="73940"/>
    <n v="0.11"/>
    <s v="DQS_MAO04_FILE_000_B"/>
    <s v="RECORD COUNT by MBR_ID, DOS_THRU_DT, DX_CD Grain grouped by PAYER, SRC_FILE_NM, DOS_THRU_YYYYMM"/>
  </r>
  <r>
    <x v="2"/>
    <s v="SGMRYCLN_PE202508_REMAO004.TXT"/>
    <x v="99"/>
    <x v="9"/>
    <n v="110"/>
    <n v="73940"/>
    <n v="0.15"/>
    <s v="DQS_MAO04_FILE_000_B"/>
    <s v="RECORD COUNT by MBR_ID, DOS_THRU_DT, DX_CD Grain grouped by PAYER, SRC_FILE_NM, DOS_THRU_YYYYMM"/>
  </r>
  <r>
    <x v="2"/>
    <s v="SGMRYCLN_PE202508_REMAO004.TXT"/>
    <x v="100"/>
    <x v="9"/>
    <n v="129"/>
    <n v="73940"/>
    <n v="0.17"/>
    <s v="DQS_MAO04_FILE_000_B"/>
    <s v="RECORD COUNT by MBR_ID, DOS_THRU_DT, DX_CD Grain grouped by PAYER, SRC_FILE_NM, DOS_THRU_YYYYMM"/>
  </r>
  <r>
    <x v="2"/>
    <s v="SGMRYCLN_PE202508_REMAO004.TXT"/>
    <x v="102"/>
    <x v="9"/>
    <n v="115"/>
    <n v="73940"/>
    <n v="0.16"/>
    <s v="DQS_MAO04_FILE_000_B"/>
    <s v="RECORD COUNT by MBR_ID, DOS_THRU_DT, DX_CD Grain grouped by PAYER, SRC_FILE_NM, DOS_THRU_YYYYMM"/>
  </r>
  <r>
    <x v="2"/>
    <s v="SGMRYCLN_PE202508_REMAO004.TXT"/>
    <x v="103"/>
    <x v="9"/>
    <n v="179"/>
    <n v="73940"/>
    <n v="0.24"/>
    <s v="DQS_MAO04_FILE_000_B"/>
    <s v="RECORD COUNT by MBR_ID, DOS_THRU_DT, DX_CD Grain grouped by PAYER, SRC_FILE_NM, DOS_THRU_YYYYMM"/>
  </r>
  <r>
    <x v="2"/>
    <s v="SGMRYCLN_PE202508_REMAO004.TXT"/>
    <x v="105"/>
    <x v="9"/>
    <n v="116"/>
    <n v="73940"/>
    <n v="0.16"/>
    <s v="DQS_MAO04_FILE_000_B"/>
    <s v="RECORD COUNT by MBR_ID, DOS_THRU_DT, DX_CD Grain grouped by PAYER, SRC_FILE_NM, DOS_THRU_YYYYMM"/>
  </r>
  <r>
    <x v="2"/>
    <s v="SGMRYCLN_PE202508_REMAO004.TXT"/>
    <x v="106"/>
    <x v="9"/>
    <n v="252"/>
    <n v="73940"/>
    <n v="0.34"/>
    <s v="DQS_MAO04_FILE_000_B"/>
    <s v="RECORD COUNT by MBR_ID, DOS_THRU_DT, DX_CD Grain grouped by PAYER, SRC_FILE_NM, DOS_THRU_YYYYMM"/>
  </r>
  <r>
    <x v="2"/>
    <s v="SGMRYCLN_PE202508_REMAO004.TXT"/>
    <x v="107"/>
    <x v="9"/>
    <n v="1535"/>
    <n v="73940"/>
    <n v="2.08"/>
    <s v="DQS_MAO04_FILE_000_B"/>
    <s v="RECORD COUNT by MBR_ID, DOS_THRU_DT, DX_CD Grain grouped by PAYER, SRC_FILE_NM, DOS_THRU_YYYYMM"/>
  </r>
  <r>
    <x v="2"/>
    <s v="SGMRYCLN_PE202508_REMAO004.TXT"/>
    <x v="108"/>
    <x v="9"/>
    <n v="1215"/>
    <n v="73940"/>
    <n v="1.64"/>
    <s v="DQS_MAO04_FILE_000_B"/>
    <s v="RECORD COUNT by MBR_ID, DOS_THRU_DT, DX_CD Grain grouped by PAYER, SRC_FILE_NM, DOS_THRU_YYYYMM"/>
  </r>
  <r>
    <x v="2"/>
    <s v="SGMRYCLN_PE202508_REMAO004.TXT"/>
    <x v="109"/>
    <x v="9"/>
    <n v="742"/>
    <n v="73940"/>
    <n v="1"/>
    <s v="DQS_MAO04_FILE_000_B"/>
    <s v="RECORD COUNT by MBR_ID, DOS_THRU_DT, DX_CD Grain grouped by PAYER, SRC_FILE_NM, DOS_THRU_YYYYMM"/>
  </r>
  <r>
    <x v="2"/>
    <s v="SGMRYCLN_PE202508_REMAO004.TXT"/>
    <x v="110"/>
    <x v="11"/>
    <n v="1367"/>
    <n v="73940"/>
    <n v="1.85"/>
    <s v="DQS_MAO04_FILE_000_B"/>
    <s v="RECORD COUNT by MBR_ID, DOS_THRU_DT, DX_CD Grain grouped by PAYER, SRC_FILE_NM, DOS_THRU_YYYYMM"/>
  </r>
  <r>
    <x v="2"/>
    <s v="SGMRYCLN_PE202508_REMAO004.TXT"/>
    <x v="111"/>
    <x v="11"/>
    <n v="843"/>
    <n v="73940"/>
    <n v="1.1399999999999999"/>
    <s v="DQS_MAO04_FILE_000_B"/>
    <s v="RECORD COUNT by MBR_ID, DOS_THRU_DT, DX_CD Grain grouped by PAYER, SRC_FILE_NM, DOS_THRU_YYYYMM"/>
  </r>
  <r>
    <x v="2"/>
    <s v="SGMRYCLN_PE202508_REMAO004.TXT"/>
    <x v="112"/>
    <x v="11"/>
    <n v="2048"/>
    <n v="73940"/>
    <n v="2.77"/>
    <s v="DQS_MAO04_FILE_000_B"/>
    <s v="RECORD COUNT by MBR_ID, DOS_THRU_DT, DX_CD Grain grouped by PAYER, SRC_FILE_NM, DOS_THRU_YYYYMM"/>
  </r>
  <r>
    <x v="2"/>
    <s v="SGMRYCLN_PE202508_REMAO004.TXT"/>
    <x v="113"/>
    <x v="11"/>
    <n v="4142"/>
    <n v="73940"/>
    <n v="5.6"/>
    <s v="DQS_MAO04_FILE_000_B"/>
    <s v="RECORD COUNT by MBR_ID, DOS_THRU_DT, DX_CD Grain grouped by PAYER, SRC_FILE_NM, DOS_THRU_YYYYMM"/>
  </r>
  <r>
    <x v="2"/>
    <s v="SGMRYCLN_PE202508_REMAO004.TXT"/>
    <x v="114"/>
    <x v="11"/>
    <n v="33170"/>
    <n v="73940"/>
    <n v="44.86"/>
    <s v="DQS_MAO04_FILE_000_B"/>
    <s v="RECORD COUNT by MBR_ID, DOS_THRU_DT, DX_CD Grain grouped by PAYER, SRC_FILE_NM, DOS_THRU_YYYYMM"/>
  </r>
  <r>
    <x v="2"/>
    <s v="SGMRYCLN_PE202508_REMAO004.TXT"/>
    <x v="115"/>
    <x v="11"/>
    <n v="26760"/>
    <n v="73940"/>
    <n v="36.19"/>
    <s v="DQS_MAO04_FILE_000_B"/>
    <s v="RECORD COUNT by MBR_ID, DOS_THRU_DT, DX_CD Grain grouped by PAYER, SRC_FILE_NM, DOS_THRU_YYYYMM"/>
  </r>
  <r>
    <x v="2"/>
    <s v="SGMRYCLN_PE202509_REMAO004.TXT"/>
    <x v="41"/>
    <x v="5"/>
    <n v="1"/>
    <n v="70591"/>
    <n v="0"/>
    <s v="DQS_MAO04_FILE_000_B"/>
    <s v="RECORD COUNT by MBR_ID, DOS_THRU_DT, DX_CD Grain grouped by PAYER, SRC_FILE_NM, DOS_THRU_YYYYMM"/>
  </r>
  <r>
    <x v="2"/>
    <s v="SGMRYCLN_PE202509_REMAO004.TXT"/>
    <x v="69"/>
    <x v="7"/>
    <n v="1"/>
    <n v="70591"/>
    <n v="0"/>
    <s v="DQS_MAO04_FILE_000_B"/>
    <s v="RECORD COUNT by MBR_ID, DOS_THRU_DT, DX_CD Grain grouped by PAYER, SRC_FILE_NM, DOS_THRU_YYYYMM"/>
  </r>
  <r>
    <x v="2"/>
    <s v="SGMRYCLN_PE202509_REMAO004.TXT"/>
    <x v="70"/>
    <x v="7"/>
    <n v="1"/>
    <n v="70591"/>
    <n v="0"/>
    <s v="DQS_MAO04_FILE_000_B"/>
    <s v="RECORD COUNT by MBR_ID, DOS_THRU_DT, DX_CD Grain grouped by PAYER, SRC_FILE_NM, DOS_THRU_YYYYMM"/>
  </r>
  <r>
    <x v="2"/>
    <s v="SGMRYCLN_PE202509_REMAO004.TXT"/>
    <x v="71"/>
    <x v="7"/>
    <n v="1"/>
    <n v="70591"/>
    <n v="0"/>
    <s v="DQS_MAO04_FILE_000_B"/>
    <s v="RECORD COUNT by MBR_ID, DOS_THRU_DT, DX_CD Grain grouped by PAYER, SRC_FILE_NM, DOS_THRU_YYYYMM"/>
  </r>
  <r>
    <x v="2"/>
    <s v="SGMRYCLN_PE202509_REMAO004.TXT"/>
    <x v="73"/>
    <x v="7"/>
    <n v="8"/>
    <n v="70591"/>
    <n v="0.01"/>
    <s v="DQS_MAO04_FILE_000_B"/>
    <s v="RECORD COUNT by MBR_ID, DOS_THRU_DT, DX_CD Grain grouped by PAYER, SRC_FILE_NM, DOS_THRU_YYYYMM"/>
  </r>
  <r>
    <x v="2"/>
    <s v="SGMRYCLN_PE202509_REMAO004.TXT"/>
    <x v="74"/>
    <x v="7"/>
    <n v="9"/>
    <n v="70591"/>
    <n v="0.01"/>
    <s v="DQS_MAO04_FILE_000_B"/>
    <s v="RECORD COUNT by MBR_ID, DOS_THRU_DT, DX_CD Grain grouped by PAYER, SRC_FILE_NM, DOS_THRU_YYYYMM"/>
  </r>
  <r>
    <x v="2"/>
    <s v="SGMRYCLN_PE202509_REMAO004.TXT"/>
    <x v="77"/>
    <x v="8"/>
    <n v="2"/>
    <n v="70591"/>
    <n v="0"/>
    <s v="DQS_MAO04_FILE_000_B"/>
    <s v="RECORD COUNT by MBR_ID, DOS_THRU_DT, DX_CD Grain grouped by PAYER, SRC_FILE_NM, DOS_THRU_YYYYMM"/>
  </r>
  <r>
    <x v="2"/>
    <s v="SGMRYCLN_PE202509_REMAO004.TXT"/>
    <x v="78"/>
    <x v="8"/>
    <n v="16"/>
    <n v="70591"/>
    <n v="0.02"/>
    <s v="DQS_MAO04_FILE_000_B"/>
    <s v="RECORD COUNT by MBR_ID, DOS_THRU_DT, DX_CD Grain grouped by PAYER, SRC_FILE_NM, DOS_THRU_YYYYMM"/>
  </r>
  <r>
    <x v="2"/>
    <s v="SGMRYCLN_PE202509_REMAO004.TXT"/>
    <x v="79"/>
    <x v="8"/>
    <n v="4"/>
    <n v="70591"/>
    <n v="0.01"/>
    <s v="DQS_MAO04_FILE_000_B"/>
    <s v="RECORD COUNT by MBR_ID, DOS_THRU_DT, DX_CD Grain grouped by PAYER, SRC_FILE_NM, DOS_THRU_YYYYMM"/>
  </r>
  <r>
    <x v="2"/>
    <s v="SGMRYCLN_PE202509_REMAO004.TXT"/>
    <x v="80"/>
    <x v="8"/>
    <n v="6"/>
    <n v="70591"/>
    <n v="0.01"/>
    <s v="DQS_MAO04_FILE_000_B"/>
    <s v="RECORD COUNT by MBR_ID, DOS_THRU_DT, DX_CD Grain grouped by PAYER, SRC_FILE_NM, DOS_THRU_YYYYMM"/>
  </r>
  <r>
    <x v="2"/>
    <s v="SGMRYCLN_PE202509_REMAO004.TXT"/>
    <x v="81"/>
    <x v="8"/>
    <n v="10"/>
    <n v="70591"/>
    <n v="0.01"/>
    <s v="DQS_MAO04_FILE_000_B"/>
    <s v="RECORD COUNT by MBR_ID, DOS_THRU_DT, DX_CD Grain grouped by PAYER, SRC_FILE_NM, DOS_THRU_YYYYMM"/>
  </r>
  <r>
    <x v="2"/>
    <s v="SGMRYCLN_PE202509_REMAO004.TXT"/>
    <x v="82"/>
    <x v="8"/>
    <n v="46"/>
    <n v="70591"/>
    <n v="7.0000000000000007E-2"/>
    <s v="DQS_MAO04_FILE_000_B"/>
    <s v="RECORD COUNT by MBR_ID, DOS_THRU_DT, DX_CD Grain grouped by PAYER, SRC_FILE_NM, DOS_THRU_YYYYMM"/>
  </r>
  <r>
    <x v="2"/>
    <s v="SGMRYCLN_PE202509_REMAO004.TXT"/>
    <x v="83"/>
    <x v="8"/>
    <n v="5"/>
    <n v="70591"/>
    <n v="0.01"/>
    <s v="DQS_MAO04_FILE_000_B"/>
    <s v="RECORD COUNT by MBR_ID, DOS_THRU_DT, DX_CD Grain grouped by PAYER, SRC_FILE_NM, DOS_THRU_YYYYMM"/>
  </r>
  <r>
    <x v="2"/>
    <s v="SGMRYCLN_PE202509_REMAO004.TXT"/>
    <x v="84"/>
    <x v="8"/>
    <n v="40"/>
    <n v="70591"/>
    <n v="0.06"/>
    <s v="DQS_MAO04_FILE_000_B"/>
    <s v="RECORD COUNT by MBR_ID, DOS_THRU_DT, DX_CD Grain grouped by PAYER, SRC_FILE_NM, DOS_THRU_YYYYMM"/>
  </r>
  <r>
    <x v="2"/>
    <s v="SGMRYCLN_PE202509_REMAO004.TXT"/>
    <x v="85"/>
    <x v="8"/>
    <n v="38"/>
    <n v="70591"/>
    <n v="0.05"/>
    <s v="DQS_MAO04_FILE_000_B"/>
    <s v="RECORD COUNT by MBR_ID, DOS_THRU_DT, DX_CD Grain grouped by PAYER, SRC_FILE_NM, DOS_THRU_YYYYMM"/>
  </r>
  <r>
    <x v="2"/>
    <s v="SGMRYCLN_PE202509_REMAO004.TXT"/>
    <x v="86"/>
    <x v="8"/>
    <n v="6"/>
    <n v="70591"/>
    <n v="0.01"/>
    <s v="DQS_MAO04_FILE_000_B"/>
    <s v="RECORD COUNT by MBR_ID, DOS_THRU_DT, DX_CD Grain grouped by PAYER, SRC_FILE_NM, DOS_THRU_YYYYMM"/>
  </r>
  <r>
    <x v="2"/>
    <s v="SGMRYCLN_PE202509_REMAO004.TXT"/>
    <x v="87"/>
    <x v="8"/>
    <n v="57"/>
    <n v="70591"/>
    <n v="0.08"/>
    <s v="DQS_MAO04_FILE_000_B"/>
    <s v="RECORD COUNT by MBR_ID, DOS_THRU_DT, DX_CD Grain grouped by PAYER, SRC_FILE_NM, DOS_THRU_YYYYMM"/>
  </r>
  <r>
    <x v="2"/>
    <s v="SGMRYCLN_PE202509_REMAO004.TXT"/>
    <x v="88"/>
    <x v="8"/>
    <n v="30"/>
    <n v="70591"/>
    <n v="0.04"/>
    <s v="DQS_MAO04_FILE_000_B"/>
    <s v="RECORD COUNT by MBR_ID, DOS_THRU_DT, DX_CD Grain grouped by PAYER, SRC_FILE_NM, DOS_THRU_YYYYMM"/>
  </r>
  <r>
    <x v="2"/>
    <s v="SGMRYCLN_PE202509_REMAO004.TXT"/>
    <x v="89"/>
    <x v="9"/>
    <n v="51"/>
    <n v="70591"/>
    <n v="7.0000000000000007E-2"/>
    <s v="DQS_MAO04_FILE_000_B"/>
    <s v="RECORD COUNT by MBR_ID, DOS_THRU_DT, DX_CD Grain grouped by PAYER, SRC_FILE_NM, DOS_THRU_YYYYMM"/>
  </r>
  <r>
    <x v="2"/>
    <s v="SGMRYCLN_PE202509_REMAO004.TXT"/>
    <x v="97"/>
    <x v="9"/>
    <n v="75"/>
    <n v="70591"/>
    <n v="0.11"/>
    <s v="DQS_MAO04_FILE_000_B"/>
    <s v="RECORD COUNT by MBR_ID, DOS_THRU_DT, DX_CD Grain grouped by PAYER, SRC_FILE_NM, DOS_THRU_YYYYMM"/>
  </r>
  <r>
    <x v="2"/>
    <s v="SGMRYCLN_PE202509_REMAO004.TXT"/>
    <x v="98"/>
    <x v="9"/>
    <n v="252"/>
    <n v="70591"/>
    <n v="0.36"/>
    <s v="DQS_MAO04_FILE_000_B"/>
    <s v="RECORD COUNT by MBR_ID, DOS_THRU_DT, DX_CD Grain grouped by PAYER, SRC_FILE_NM, DOS_THRU_YYYYMM"/>
  </r>
  <r>
    <x v="2"/>
    <s v="SGMRYCLN_PE202509_REMAO004.TXT"/>
    <x v="99"/>
    <x v="9"/>
    <n v="104"/>
    <n v="70591"/>
    <n v="0.15"/>
    <s v="DQS_MAO04_FILE_000_B"/>
    <s v="RECORD COUNT by MBR_ID, DOS_THRU_DT, DX_CD Grain grouped by PAYER, SRC_FILE_NM, DOS_THRU_YYYYMM"/>
  </r>
  <r>
    <x v="2"/>
    <s v="SGMRYCLN_PE202509_REMAO004.TXT"/>
    <x v="100"/>
    <x v="9"/>
    <n v="151"/>
    <n v="70591"/>
    <n v="0.21"/>
    <s v="DQS_MAO04_FILE_000_B"/>
    <s v="RECORD COUNT by MBR_ID, DOS_THRU_DT, DX_CD Grain grouped by PAYER, SRC_FILE_NM, DOS_THRU_YYYYMM"/>
  </r>
  <r>
    <x v="2"/>
    <s v="SGMRYCLN_PE202509_REMAO004.TXT"/>
    <x v="102"/>
    <x v="9"/>
    <n v="154"/>
    <n v="70591"/>
    <n v="0.22"/>
    <s v="DQS_MAO04_FILE_000_B"/>
    <s v="RECORD COUNT by MBR_ID, DOS_THRU_DT, DX_CD Grain grouped by PAYER, SRC_FILE_NM, DOS_THRU_YYYYMM"/>
  </r>
  <r>
    <x v="2"/>
    <s v="SGMRYCLN_PE202509_REMAO004.TXT"/>
    <x v="103"/>
    <x v="9"/>
    <n v="161"/>
    <n v="70591"/>
    <n v="0.23"/>
    <s v="DQS_MAO04_FILE_000_B"/>
    <s v="RECORD COUNT by MBR_ID, DOS_THRU_DT, DX_CD Grain grouped by PAYER, SRC_FILE_NM, DOS_THRU_YYYYMM"/>
  </r>
  <r>
    <x v="2"/>
    <s v="SGMRYCLN_PE202509_REMAO004.TXT"/>
    <x v="105"/>
    <x v="9"/>
    <n v="130"/>
    <n v="70591"/>
    <n v="0.18"/>
    <s v="DQS_MAO04_FILE_000_B"/>
    <s v="RECORD COUNT by MBR_ID, DOS_THRU_DT, DX_CD Grain grouped by PAYER, SRC_FILE_NM, DOS_THRU_YYYYMM"/>
  </r>
  <r>
    <x v="2"/>
    <s v="SGMRYCLN_PE202509_REMAO004.TXT"/>
    <x v="106"/>
    <x v="9"/>
    <n v="215"/>
    <n v="70591"/>
    <n v="0.3"/>
    <s v="DQS_MAO04_FILE_000_B"/>
    <s v="RECORD COUNT by MBR_ID, DOS_THRU_DT, DX_CD Grain grouped by PAYER, SRC_FILE_NM, DOS_THRU_YYYYMM"/>
  </r>
  <r>
    <x v="2"/>
    <s v="SGMRYCLN_PE202509_REMAO004.TXT"/>
    <x v="107"/>
    <x v="9"/>
    <n v="515"/>
    <n v="70591"/>
    <n v="0.73"/>
    <s v="DQS_MAO04_FILE_000_B"/>
    <s v="RECORD COUNT by MBR_ID, DOS_THRU_DT, DX_CD Grain grouped by PAYER, SRC_FILE_NM, DOS_THRU_YYYYMM"/>
  </r>
  <r>
    <x v="2"/>
    <s v="SGMRYCLN_PE202509_REMAO004.TXT"/>
    <x v="108"/>
    <x v="9"/>
    <n v="549"/>
    <n v="70591"/>
    <n v="0.78"/>
    <s v="DQS_MAO04_FILE_000_B"/>
    <s v="RECORD COUNT by MBR_ID, DOS_THRU_DT, DX_CD Grain grouped by PAYER, SRC_FILE_NM, DOS_THRU_YYYYMM"/>
  </r>
  <r>
    <x v="2"/>
    <s v="SGMRYCLN_PE202509_REMAO004.TXT"/>
    <x v="109"/>
    <x v="9"/>
    <n v="842"/>
    <n v="70591"/>
    <n v="1.19"/>
    <s v="DQS_MAO04_FILE_000_B"/>
    <s v="RECORD COUNT by MBR_ID, DOS_THRU_DT, DX_CD Grain grouped by PAYER, SRC_FILE_NM, DOS_THRU_YYYYMM"/>
  </r>
  <r>
    <x v="2"/>
    <s v="SGMRYCLN_PE202509_REMAO004.TXT"/>
    <x v="110"/>
    <x v="11"/>
    <n v="736"/>
    <n v="70591"/>
    <n v="1.04"/>
    <s v="DQS_MAO04_FILE_000_B"/>
    <s v="RECORD COUNT by MBR_ID, DOS_THRU_DT, DX_CD Grain grouped by PAYER, SRC_FILE_NM, DOS_THRU_YYYYMM"/>
  </r>
  <r>
    <x v="2"/>
    <s v="SGMRYCLN_PE202509_REMAO004.TXT"/>
    <x v="111"/>
    <x v="11"/>
    <n v="1260"/>
    <n v="70591"/>
    <n v="1.78"/>
    <s v="DQS_MAO04_FILE_000_B"/>
    <s v="RECORD COUNT by MBR_ID, DOS_THRU_DT, DX_CD Grain grouped by PAYER, SRC_FILE_NM, DOS_THRU_YYYYMM"/>
  </r>
  <r>
    <x v="2"/>
    <s v="SGMRYCLN_PE202509_REMAO004.TXT"/>
    <x v="112"/>
    <x v="11"/>
    <n v="1474"/>
    <n v="70591"/>
    <n v="2.09"/>
    <s v="DQS_MAO04_FILE_000_B"/>
    <s v="RECORD COUNT by MBR_ID, DOS_THRU_DT, DX_CD Grain grouped by PAYER, SRC_FILE_NM, DOS_THRU_YYYYMM"/>
  </r>
  <r>
    <x v="2"/>
    <s v="SGMRYCLN_PE202509_REMAO004.TXT"/>
    <x v="113"/>
    <x v="11"/>
    <n v="2677"/>
    <n v="70591"/>
    <n v="3.79"/>
    <s v="DQS_MAO04_FILE_000_B"/>
    <s v="RECORD COUNT by MBR_ID, DOS_THRU_DT, DX_CD Grain grouped by PAYER, SRC_FILE_NM, DOS_THRU_YYYYMM"/>
  </r>
  <r>
    <x v="2"/>
    <s v="SGMRYCLN_PE202509_REMAO004.TXT"/>
    <x v="114"/>
    <x v="11"/>
    <n v="4529"/>
    <n v="70591"/>
    <n v="6.42"/>
    <s v="DQS_MAO04_FILE_000_B"/>
    <s v="RECORD COUNT by MBR_ID, DOS_THRU_DT, DX_CD Grain grouped by PAYER, SRC_FILE_NM, DOS_THRU_YYYYMM"/>
  </r>
  <r>
    <x v="2"/>
    <s v="SGMRYCLN_PE202509_REMAO004.TXT"/>
    <x v="115"/>
    <x v="11"/>
    <n v="30947"/>
    <n v="70591"/>
    <n v="43.84"/>
    <s v="DQS_MAO04_FILE_000_B"/>
    <s v="RECORD COUNT by MBR_ID, DOS_THRU_DT, DX_CD Grain grouped by PAYER, SRC_FILE_NM, DOS_THRU_YYYYMM"/>
  </r>
  <r>
    <x v="2"/>
    <s v="SGMRYCLN_PE202509_REMAO004.TXT"/>
    <x v="116"/>
    <x v="11"/>
    <n v="25488"/>
    <n v="70591"/>
    <n v="36.11"/>
    <s v="DQS_MAO04_FILE_000_B"/>
    <s v="RECORD COUNT by MBR_ID, DOS_THRU_DT, DX_CD Grain grouped by PAYER, SRC_FILE_NM, DOS_THRU_YYYYMM"/>
  </r>
  <r>
    <x v="2"/>
    <s v="SGMRYCLN_PE202510_REMAO004.TXT"/>
    <x v="74"/>
    <x v="7"/>
    <n v="7"/>
    <n v="69867"/>
    <n v="0.01"/>
    <s v="DQS_MAO04_FILE_000_B"/>
    <s v="RECORD COUNT by MBR_ID, DOS_THRU_DT, DX_CD Grain grouped by PAYER, SRC_FILE_NM, DOS_THRU_YYYYMM"/>
  </r>
  <r>
    <x v="2"/>
    <s v="SGMRYCLN_PE202510_REMAO004.TXT"/>
    <x v="83"/>
    <x v="8"/>
    <n v="1"/>
    <n v="69867"/>
    <n v="0"/>
    <s v="DQS_MAO04_FILE_000_B"/>
    <s v="RECORD COUNT by MBR_ID, DOS_THRU_DT, DX_CD Grain grouped by PAYER, SRC_FILE_NM, DOS_THRU_YYYYMM"/>
  </r>
  <r>
    <x v="2"/>
    <s v="SGMRYCLN_PE202510_REMAO004.TXT"/>
    <x v="84"/>
    <x v="8"/>
    <n v="15"/>
    <n v="69867"/>
    <n v="0.02"/>
    <s v="DQS_MAO04_FILE_000_B"/>
    <s v="RECORD COUNT by MBR_ID, DOS_THRU_DT, DX_CD Grain grouped by PAYER, SRC_FILE_NM, DOS_THRU_YYYYMM"/>
  </r>
  <r>
    <x v="2"/>
    <s v="SGMRYCLN_PE202510_REMAO004.TXT"/>
    <x v="85"/>
    <x v="8"/>
    <n v="29"/>
    <n v="69867"/>
    <n v="0.04"/>
    <s v="DQS_MAO04_FILE_000_B"/>
    <s v="RECORD COUNT by MBR_ID, DOS_THRU_DT, DX_CD Grain grouped by PAYER, SRC_FILE_NM, DOS_THRU_YYYYMM"/>
  </r>
  <r>
    <x v="2"/>
    <s v="SGMRYCLN_PE202510_REMAO004.TXT"/>
    <x v="86"/>
    <x v="8"/>
    <n v="11"/>
    <n v="69867"/>
    <n v="0.02"/>
    <s v="DQS_MAO04_FILE_000_B"/>
    <s v="RECORD COUNT by MBR_ID, DOS_THRU_DT, DX_CD Grain grouped by PAYER, SRC_FILE_NM, DOS_THRU_YYYYMM"/>
  </r>
  <r>
    <x v="2"/>
    <s v="SGMRYCLN_PE202510_REMAO004.TXT"/>
    <x v="87"/>
    <x v="8"/>
    <n v="11"/>
    <n v="69867"/>
    <n v="0.02"/>
    <s v="DQS_MAO04_FILE_000_B"/>
    <s v="RECORD COUNT by MBR_ID, DOS_THRU_DT, DX_CD Grain grouped by PAYER, SRC_FILE_NM, DOS_THRU_YYYYMM"/>
  </r>
  <r>
    <x v="2"/>
    <s v="SGMRYCLN_PE202510_REMAO004.TXT"/>
    <x v="88"/>
    <x v="8"/>
    <n v="15"/>
    <n v="69867"/>
    <n v="0.02"/>
    <s v="DQS_MAO04_FILE_000_B"/>
    <s v="RECORD COUNT by MBR_ID, DOS_THRU_DT, DX_CD Grain grouped by PAYER, SRC_FILE_NM, DOS_THRU_YYYYMM"/>
  </r>
  <r>
    <x v="2"/>
    <s v="SGMRYCLN_PE202510_REMAO004.TXT"/>
    <x v="89"/>
    <x v="9"/>
    <n v="172"/>
    <n v="69867"/>
    <n v="0.25"/>
    <s v="DQS_MAO04_FILE_000_B"/>
    <s v="RECORD COUNT by MBR_ID, DOS_THRU_DT, DX_CD Grain grouped by PAYER, SRC_FILE_NM, DOS_THRU_YYYYMM"/>
  </r>
  <r>
    <x v="2"/>
    <s v="SGMRYCLN_PE202510_REMAO004.TXT"/>
    <x v="97"/>
    <x v="9"/>
    <n v="139"/>
    <n v="69867"/>
    <n v="0.2"/>
    <s v="DQS_MAO04_FILE_000_B"/>
    <s v="RECORD COUNT by MBR_ID, DOS_THRU_DT, DX_CD Grain grouped by PAYER, SRC_FILE_NM, DOS_THRU_YYYYMM"/>
  </r>
  <r>
    <x v="2"/>
    <s v="SGMRYCLN_PE202510_REMAO004.TXT"/>
    <x v="98"/>
    <x v="9"/>
    <n v="513"/>
    <n v="69867"/>
    <n v="0.73"/>
    <s v="DQS_MAO04_FILE_000_B"/>
    <s v="RECORD COUNT by MBR_ID, DOS_THRU_DT, DX_CD Grain grouped by PAYER, SRC_FILE_NM, DOS_THRU_YYYYMM"/>
  </r>
  <r>
    <x v="2"/>
    <s v="SGMRYCLN_PE202510_REMAO004.TXT"/>
    <x v="99"/>
    <x v="9"/>
    <n v="249"/>
    <n v="69867"/>
    <n v="0.36"/>
    <s v="DQS_MAO04_FILE_000_B"/>
    <s v="RECORD COUNT by MBR_ID, DOS_THRU_DT, DX_CD Grain grouped by PAYER, SRC_FILE_NM, DOS_THRU_YYYYMM"/>
  </r>
  <r>
    <x v="2"/>
    <s v="SGMRYCLN_PE202510_REMAO004.TXT"/>
    <x v="100"/>
    <x v="9"/>
    <n v="238"/>
    <n v="69867"/>
    <n v="0.34"/>
    <s v="DQS_MAO04_FILE_000_B"/>
    <s v="RECORD COUNT by MBR_ID, DOS_THRU_DT, DX_CD Grain grouped by PAYER, SRC_FILE_NM, DOS_THRU_YYYYMM"/>
  </r>
  <r>
    <x v="2"/>
    <s v="SGMRYCLN_PE202510_REMAO004.TXT"/>
    <x v="102"/>
    <x v="9"/>
    <n v="256"/>
    <n v="69867"/>
    <n v="0.37"/>
    <s v="DQS_MAO04_FILE_000_B"/>
    <s v="RECORD COUNT by MBR_ID, DOS_THRU_DT, DX_CD Grain grouped by PAYER, SRC_FILE_NM, DOS_THRU_YYYYMM"/>
  </r>
  <r>
    <x v="2"/>
    <s v="SGMRYCLN_PE202510_REMAO004.TXT"/>
    <x v="103"/>
    <x v="9"/>
    <n v="386"/>
    <n v="69867"/>
    <n v="0.55000000000000004"/>
    <s v="DQS_MAO04_FILE_000_B"/>
    <s v="RECORD COUNT by MBR_ID, DOS_THRU_DT, DX_CD Grain grouped by PAYER, SRC_FILE_NM, DOS_THRU_YYYYMM"/>
  </r>
  <r>
    <x v="2"/>
    <s v="SGMRYCLN_PE202510_REMAO004.TXT"/>
    <x v="105"/>
    <x v="9"/>
    <n v="259"/>
    <n v="69867"/>
    <n v="0.37"/>
    <s v="DQS_MAO04_FILE_000_B"/>
    <s v="RECORD COUNT by MBR_ID, DOS_THRU_DT, DX_CD Grain grouped by PAYER, SRC_FILE_NM, DOS_THRU_YYYYMM"/>
  </r>
  <r>
    <x v="2"/>
    <s v="SGMRYCLN_PE202510_REMAO004.TXT"/>
    <x v="106"/>
    <x v="9"/>
    <n v="317"/>
    <n v="69867"/>
    <n v="0.45"/>
    <s v="DQS_MAO04_FILE_000_B"/>
    <s v="RECORD COUNT by MBR_ID, DOS_THRU_DT, DX_CD Grain grouped by PAYER, SRC_FILE_NM, DOS_THRU_YYYYMM"/>
  </r>
  <r>
    <x v="2"/>
    <s v="SGMRYCLN_PE202510_REMAO004.TXT"/>
    <x v="107"/>
    <x v="9"/>
    <n v="498"/>
    <n v="69867"/>
    <n v="0.71"/>
    <s v="DQS_MAO04_FILE_000_B"/>
    <s v="RECORD COUNT by MBR_ID, DOS_THRU_DT, DX_CD Grain grouped by PAYER, SRC_FILE_NM, DOS_THRU_YYYYMM"/>
  </r>
  <r>
    <x v="2"/>
    <s v="SGMRYCLN_PE202510_REMAO004.TXT"/>
    <x v="108"/>
    <x v="9"/>
    <n v="636"/>
    <n v="69867"/>
    <n v="0.91"/>
    <s v="DQS_MAO04_FILE_000_B"/>
    <s v="RECORD COUNT by MBR_ID, DOS_THRU_DT, DX_CD Grain grouped by PAYER, SRC_FILE_NM, DOS_THRU_YYYYMM"/>
  </r>
  <r>
    <x v="2"/>
    <s v="SGMRYCLN_PE202510_REMAO004.TXT"/>
    <x v="109"/>
    <x v="9"/>
    <n v="1334"/>
    <n v="69867"/>
    <n v="1.91"/>
    <s v="DQS_MAO04_FILE_000_B"/>
    <s v="RECORD COUNT by MBR_ID, DOS_THRU_DT, DX_CD Grain grouped by PAYER, SRC_FILE_NM, DOS_THRU_YYYYMM"/>
  </r>
  <r>
    <x v="2"/>
    <s v="SGMRYCLN_PE202510_REMAO004.TXT"/>
    <x v="110"/>
    <x v="11"/>
    <n v="1179"/>
    <n v="69867"/>
    <n v="1.69"/>
    <s v="DQS_MAO04_FILE_000_B"/>
    <s v="RECORD COUNT by MBR_ID, DOS_THRU_DT, DX_CD Grain grouped by PAYER, SRC_FILE_NM, DOS_THRU_YYYYMM"/>
  </r>
  <r>
    <x v="2"/>
    <s v="SGMRYCLN_PE202510_REMAO004.TXT"/>
    <x v="111"/>
    <x v="11"/>
    <n v="707"/>
    <n v="69867"/>
    <n v="1.01"/>
    <s v="DQS_MAO04_FILE_000_B"/>
    <s v="RECORD COUNT by MBR_ID, DOS_THRU_DT, DX_CD Grain grouped by PAYER, SRC_FILE_NM, DOS_THRU_YYYYMM"/>
  </r>
  <r>
    <x v="2"/>
    <s v="SGMRYCLN_PE202510_REMAO004.TXT"/>
    <x v="112"/>
    <x v="11"/>
    <n v="794"/>
    <n v="69867"/>
    <n v="1.1399999999999999"/>
    <s v="DQS_MAO04_FILE_000_B"/>
    <s v="RECORD COUNT by MBR_ID, DOS_THRU_DT, DX_CD Grain grouped by PAYER, SRC_FILE_NM, DOS_THRU_YYYYMM"/>
  </r>
  <r>
    <x v="2"/>
    <s v="SGMRYCLN_PE202510_REMAO004.TXT"/>
    <x v="113"/>
    <x v="11"/>
    <n v="944"/>
    <n v="69867"/>
    <n v="1.35"/>
    <s v="DQS_MAO04_FILE_000_B"/>
    <s v="RECORD COUNT by MBR_ID, DOS_THRU_DT, DX_CD Grain grouped by PAYER, SRC_FILE_NM, DOS_THRU_YYYYMM"/>
  </r>
  <r>
    <x v="2"/>
    <s v="SGMRYCLN_PE202510_REMAO004.TXT"/>
    <x v="114"/>
    <x v="11"/>
    <n v="1397"/>
    <n v="69867"/>
    <n v="2"/>
    <s v="DQS_MAO04_FILE_000_B"/>
    <s v="RECORD COUNT by MBR_ID, DOS_THRU_DT, DX_CD Grain grouped by PAYER, SRC_FILE_NM, DOS_THRU_YYYYMM"/>
  </r>
  <r>
    <x v="2"/>
    <s v="SGMRYCLN_PE202510_REMAO004.TXT"/>
    <x v="115"/>
    <x v="11"/>
    <n v="3373"/>
    <n v="69867"/>
    <n v="4.83"/>
    <s v="DQS_MAO04_FILE_000_B"/>
    <s v="RECORD COUNT by MBR_ID, DOS_THRU_DT, DX_CD Grain grouped by PAYER, SRC_FILE_NM, DOS_THRU_YYYYMM"/>
  </r>
  <r>
    <x v="2"/>
    <s v="SGMRYCLN_PE202510_REMAO004.TXT"/>
    <x v="116"/>
    <x v="11"/>
    <n v="32508"/>
    <n v="69867"/>
    <n v="46.53"/>
    <s v="DQS_MAO04_FILE_000_B"/>
    <s v="RECORD COUNT by MBR_ID, DOS_THRU_DT, DX_CD Grain grouped by PAYER, SRC_FILE_NM, DOS_THRU_YYYYMM"/>
  </r>
  <r>
    <x v="2"/>
    <s v="SGMRYCLN_PE202510_REMAO004.TXT"/>
    <x v="117"/>
    <x v="11"/>
    <n v="23879"/>
    <n v="69867"/>
    <n v="34.18"/>
    <s v="DQS_MAO04_FILE_000_B"/>
    <s v="RECORD COUNT by MBR_ID, DOS_THRU_DT, DX_CD Grain grouped by PAYER, SRC_FILE_NM, DOS_THRU_YYYYMM"/>
  </r>
  <r>
    <x v="2"/>
    <s v="SGMRYCLN_PE202511_REMAO004.TXT"/>
    <x v="81"/>
    <x v="8"/>
    <n v="20"/>
    <n v="68257"/>
    <n v="0.03"/>
    <s v="DQS_MAO04_FILE_000_B"/>
    <s v="RECORD COUNT by MBR_ID, DOS_THRU_DT, DX_CD Grain grouped by PAYER, SRC_FILE_NM, DOS_THRU_YYYYMM"/>
  </r>
  <r>
    <x v="2"/>
    <s v="SGMRYCLN_PE202511_REMAO004.TXT"/>
    <x v="83"/>
    <x v="8"/>
    <n v="7"/>
    <n v="68257"/>
    <n v="0.01"/>
    <s v="DQS_MAO04_FILE_000_B"/>
    <s v="RECORD COUNT by MBR_ID, DOS_THRU_DT, DX_CD Grain grouped by PAYER, SRC_FILE_NM, DOS_THRU_YYYYMM"/>
  </r>
  <r>
    <x v="2"/>
    <s v="SGMRYCLN_PE202511_REMAO004.TXT"/>
    <x v="84"/>
    <x v="8"/>
    <n v="17"/>
    <n v="68257"/>
    <n v="0.02"/>
    <s v="DQS_MAO04_FILE_000_B"/>
    <s v="RECORD COUNT by MBR_ID, DOS_THRU_DT, DX_CD Grain grouped by PAYER, SRC_FILE_NM, DOS_THRU_YYYYMM"/>
  </r>
  <r>
    <x v="2"/>
    <s v="SGMRYCLN_PE202511_REMAO004.TXT"/>
    <x v="87"/>
    <x v="8"/>
    <n v="3"/>
    <n v="68257"/>
    <n v="0"/>
    <s v="DQS_MAO04_FILE_000_B"/>
    <s v="RECORD COUNT by MBR_ID, DOS_THRU_DT, DX_CD Grain grouped by PAYER, SRC_FILE_NM, DOS_THRU_YYYYMM"/>
  </r>
  <r>
    <x v="2"/>
    <s v="SGMRYCLN_PE202511_REMAO004.TXT"/>
    <x v="88"/>
    <x v="8"/>
    <n v="3"/>
    <n v="68257"/>
    <n v="0"/>
    <s v="DQS_MAO04_FILE_000_B"/>
    <s v="RECORD COUNT by MBR_ID, DOS_THRU_DT, DX_CD Grain grouped by PAYER, SRC_FILE_NM, DOS_THRU_YYYYMM"/>
  </r>
  <r>
    <x v="2"/>
    <s v="SGMRYCLN_PE202511_REMAO004.TXT"/>
    <x v="89"/>
    <x v="9"/>
    <n v="117"/>
    <n v="68257"/>
    <n v="0.17"/>
    <s v="DQS_MAO04_FILE_000_B"/>
    <s v="RECORD COUNT by MBR_ID, DOS_THRU_DT, DX_CD Grain grouped by PAYER, SRC_FILE_NM, DOS_THRU_YYYYMM"/>
  </r>
  <r>
    <x v="2"/>
    <s v="SGMRYCLN_PE202511_REMAO004.TXT"/>
    <x v="97"/>
    <x v="9"/>
    <n v="111"/>
    <n v="68257"/>
    <n v="0.16"/>
    <s v="DQS_MAO04_FILE_000_B"/>
    <s v="RECORD COUNT by MBR_ID, DOS_THRU_DT, DX_CD Grain grouped by PAYER, SRC_FILE_NM, DOS_THRU_YYYYMM"/>
  </r>
  <r>
    <x v="2"/>
    <s v="SGMRYCLN_PE202511_REMAO004.TXT"/>
    <x v="98"/>
    <x v="9"/>
    <n v="156"/>
    <n v="68257"/>
    <n v="0.23"/>
    <s v="DQS_MAO04_FILE_000_B"/>
    <s v="RECORD COUNT by MBR_ID, DOS_THRU_DT, DX_CD Grain grouped by PAYER, SRC_FILE_NM, DOS_THRU_YYYYMM"/>
  </r>
  <r>
    <x v="2"/>
    <s v="SGMRYCLN_PE202511_REMAO004.TXT"/>
    <x v="99"/>
    <x v="9"/>
    <n v="138"/>
    <n v="68257"/>
    <n v="0.2"/>
    <s v="DQS_MAO04_FILE_000_B"/>
    <s v="RECORD COUNT by MBR_ID, DOS_THRU_DT, DX_CD Grain grouped by PAYER, SRC_FILE_NM, DOS_THRU_YYYYMM"/>
  </r>
  <r>
    <x v="2"/>
    <s v="SGMRYCLN_PE202511_REMAO004.TXT"/>
    <x v="100"/>
    <x v="9"/>
    <n v="73"/>
    <n v="68257"/>
    <n v="0.11"/>
    <s v="DQS_MAO04_FILE_000_B"/>
    <s v="RECORD COUNT by MBR_ID, DOS_THRU_DT, DX_CD Grain grouped by PAYER, SRC_FILE_NM, DOS_THRU_YYYYMM"/>
  </r>
  <r>
    <x v="2"/>
    <s v="SGMRYCLN_PE202511_REMAO004.TXT"/>
    <x v="102"/>
    <x v="9"/>
    <n v="114"/>
    <n v="68257"/>
    <n v="0.17"/>
    <s v="DQS_MAO04_FILE_000_B"/>
    <s v="RECORD COUNT by MBR_ID, DOS_THRU_DT, DX_CD Grain grouped by PAYER, SRC_FILE_NM, DOS_THRU_YYYYMM"/>
  </r>
  <r>
    <x v="2"/>
    <s v="SGMRYCLN_PE202511_REMAO004.TXT"/>
    <x v="103"/>
    <x v="9"/>
    <n v="182"/>
    <n v="68257"/>
    <n v="0.27"/>
    <s v="DQS_MAO04_FILE_000_B"/>
    <s v="RECORD COUNT by MBR_ID, DOS_THRU_DT, DX_CD Grain grouped by PAYER, SRC_FILE_NM, DOS_THRU_YYYYMM"/>
  </r>
  <r>
    <x v="2"/>
    <s v="SGMRYCLN_PE202511_REMAO004.TXT"/>
    <x v="105"/>
    <x v="9"/>
    <n v="198"/>
    <n v="68257"/>
    <n v="0.28999999999999998"/>
    <s v="DQS_MAO04_FILE_000_B"/>
    <s v="RECORD COUNT by MBR_ID, DOS_THRU_DT, DX_CD Grain grouped by PAYER, SRC_FILE_NM, DOS_THRU_YYYYMM"/>
  </r>
  <r>
    <x v="2"/>
    <s v="SGMRYCLN_PE202511_REMAO004.TXT"/>
    <x v="106"/>
    <x v="9"/>
    <n v="209"/>
    <n v="68257"/>
    <n v="0.31"/>
    <s v="DQS_MAO04_FILE_000_B"/>
    <s v="RECORD COUNT by MBR_ID, DOS_THRU_DT, DX_CD Grain grouped by PAYER, SRC_FILE_NM, DOS_THRU_YYYYMM"/>
  </r>
  <r>
    <x v="2"/>
    <s v="SGMRYCLN_PE202511_REMAO004.TXT"/>
    <x v="107"/>
    <x v="9"/>
    <n v="744"/>
    <n v="68257"/>
    <n v="1.0900000000000001"/>
    <s v="DQS_MAO04_FILE_000_B"/>
    <s v="RECORD COUNT by MBR_ID, DOS_THRU_DT, DX_CD Grain grouped by PAYER, SRC_FILE_NM, DOS_THRU_YYYYMM"/>
  </r>
  <r>
    <x v="2"/>
    <s v="SGMRYCLN_PE202511_REMAO004.TXT"/>
    <x v="108"/>
    <x v="9"/>
    <n v="598"/>
    <n v="68257"/>
    <n v="0.88"/>
    <s v="DQS_MAO04_FILE_000_B"/>
    <s v="RECORD COUNT by MBR_ID, DOS_THRU_DT, DX_CD Grain grouped by PAYER, SRC_FILE_NM, DOS_THRU_YYYYMM"/>
  </r>
  <r>
    <x v="2"/>
    <s v="SGMRYCLN_PE202511_REMAO004.TXT"/>
    <x v="109"/>
    <x v="9"/>
    <n v="1614"/>
    <n v="68257"/>
    <n v="2.36"/>
    <s v="DQS_MAO04_FILE_000_B"/>
    <s v="RECORD COUNT by MBR_ID, DOS_THRU_DT, DX_CD Grain grouped by PAYER, SRC_FILE_NM, DOS_THRU_YYYYMM"/>
  </r>
  <r>
    <x v="2"/>
    <s v="SGMRYCLN_PE202511_REMAO004.TXT"/>
    <x v="110"/>
    <x v="11"/>
    <n v="920"/>
    <n v="68257"/>
    <n v="1.35"/>
    <s v="DQS_MAO04_FILE_000_B"/>
    <s v="RECORD COUNT by MBR_ID, DOS_THRU_DT, DX_CD Grain grouped by PAYER, SRC_FILE_NM, DOS_THRU_YYYYMM"/>
  </r>
  <r>
    <x v="2"/>
    <s v="SGMRYCLN_PE202511_REMAO004.TXT"/>
    <x v="111"/>
    <x v="11"/>
    <n v="1422"/>
    <n v="68257"/>
    <n v="2.08"/>
    <s v="DQS_MAO04_FILE_000_B"/>
    <s v="RECORD COUNT by MBR_ID, DOS_THRU_DT, DX_CD Grain grouped by PAYER, SRC_FILE_NM, DOS_THRU_YYYYMM"/>
  </r>
  <r>
    <x v="2"/>
    <s v="SGMRYCLN_PE202511_REMAO004.TXT"/>
    <x v="112"/>
    <x v="11"/>
    <n v="1060"/>
    <n v="68257"/>
    <n v="1.55"/>
    <s v="DQS_MAO04_FILE_000_B"/>
    <s v="RECORD COUNT by MBR_ID, DOS_THRU_DT, DX_CD Grain grouped by PAYER, SRC_FILE_NM, DOS_THRU_YYYYMM"/>
  </r>
  <r>
    <x v="2"/>
    <s v="SGMRYCLN_PE202511_REMAO004.TXT"/>
    <x v="113"/>
    <x v="11"/>
    <n v="1337"/>
    <n v="68257"/>
    <n v="1.96"/>
    <s v="DQS_MAO04_FILE_000_B"/>
    <s v="RECORD COUNT by MBR_ID, DOS_THRU_DT, DX_CD Grain grouped by PAYER, SRC_FILE_NM, DOS_THRU_YYYYMM"/>
  </r>
  <r>
    <x v="2"/>
    <s v="SGMRYCLN_PE202511_REMAO004.TXT"/>
    <x v="114"/>
    <x v="11"/>
    <n v="1258"/>
    <n v="68257"/>
    <n v="1.84"/>
    <s v="DQS_MAO04_FILE_000_B"/>
    <s v="RECORD COUNT by MBR_ID, DOS_THRU_DT, DX_CD Grain grouped by PAYER, SRC_FILE_NM, DOS_THRU_YYYYMM"/>
  </r>
  <r>
    <x v="2"/>
    <s v="SGMRYCLN_PE202511_REMAO004.TXT"/>
    <x v="115"/>
    <x v="11"/>
    <n v="1705"/>
    <n v="68257"/>
    <n v="2.5"/>
    <s v="DQS_MAO04_FILE_000_B"/>
    <s v="RECORD COUNT by MBR_ID, DOS_THRU_DT, DX_CD Grain grouped by PAYER, SRC_FILE_NM, DOS_THRU_YYYYMM"/>
  </r>
  <r>
    <x v="2"/>
    <s v="SGMRYCLN_PE202511_REMAO004.TXT"/>
    <x v="116"/>
    <x v="11"/>
    <n v="4634"/>
    <n v="68257"/>
    <n v="6.79"/>
    <s v="DQS_MAO04_FILE_000_B"/>
    <s v="RECORD COUNT by MBR_ID, DOS_THRU_DT, DX_CD Grain grouped by PAYER, SRC_FILE_NM, DOS_THRU_YYYYMM"/>
  </r>
  <r>
    <x v="2"/>
    <s v="SGMRYCLN_PE202511_REMAO004.TXT"/>
    <x v="117"/>
    <x v="11"/>
    <n v="29198"/>
    <n v="68257"/>
    <n v="42.78"/>
    <s v="DQS_MAO04_FILE_000_B"/>
    <s v="RECORD COUNT by MBR_ID, DOS_THRU_DT, DX_CD Grain grouped by PAYER, SRC_FILE_NM, DOS_THRU_YYYYMM"/>
  </r>
  <r>
    <x v="2"/>
    <s v="SGMRYCLN_PE202511_REMAO004.TXT"/>
    <x v="118"/>
    <x v="11"/>
    <n v="22419"/>
    <n v="68257"/>
    <n v="32.840000000000003"/>
    <s v="DQS_MAO04_FILE_000_B"/>
    <s v="RECORD COUNT by MBR_ID, DOS_THRU_DT, DX_CD Grain grouped by PAYER, SRC_FILE_NM, DOS_THRU_YYYYMM"/>
  </r>
  <r>
    <x v="2"/>
    <s v="SGMRYCLN_PE202512_REMAO004.TXT"/>
    <x v="72"/>
    <x v="7"/>
    <n v="1"/>
    <n v="103773"/>
    <n v="0"/>
    <s v="DQS_MAO04_FILE_000_B"/>
    <s v="RECORD COUNT by MBR_ID, DOS_THRU_DT, DX_CD Grain grouped by PAYER, SRC_FILE_NM, DOS_THRU_YYYYMM"/>
  </r>
  <r>
    <x v="2"/>
    <s v="SGMRYCLN_PE202512_REMAO004.TXT"/>
    <x v="73"/>
    <x v="7"/>
    <n v="1"/>
    <n v="103773"/>
    <n v="0"/>
    <s v="DQS_MAO04_FILE_000_B"/>
    <s v="RECORD COUNT by MBR_ID, DOS_THRU_DT, DX_CD Grain grouped by PAYER, SRC_FILE_NM, DOS_THRU_YYYYMM"/>
  </r>
  <r>
    <x v="2"/>
    <s v="SGMRYCLN_PE202512_REMAO004.TXT"/>
    <x v="78"/>
    <x v="8"/>
    <n v="24"/>
    <n v="103773"/>
    <n v="0.02"/>
    <s v="DQS_MAO04_FILE_000_B"/>
    <s v="RECORD COUNT by MBR_ID, DOS_THRU_DT, DX_CD Grain grouped by PAYER, SRC_FILE_NM, DOS_THRU_YYYYMM"/>
  </r>
  <r>
    <x v="2"/>
    <s v="SGMRYCLN_PE202512_REMAO004.TXT"/>
    <x v="80"/>
    <x v="8"/>
    <n v="16"/>
    <n v="103773"/>
    <n v="0.02"/>
    <s v="DQS_MAO04_FILE_000_B"/>
    <s v="RECORD COUNT by MBR_ID, DOS_THRU_DT, DX_CD Grain grouped by PAYER, SRC_FILE_NM, DOS_THRU_YYYYMM"/>
  </r>
  <r>
    <x v="2"/>
    <s v="SGMRYCLN_PE202512_REMAO004.TXT"/>
    <x v="81"/>
    <x v="8"/>
    <n v="5"/>
    <n v="103773"/>
    <n v="0"/>
    <s v="DQS_MAO04_FILE_000_B"/>
    <s v="RECORD COUNT by MBR_ID, DOS_THRU_DT, DX_CD Grain grouped by PAYER, SRC_FILE_NM, DOS_THRU_YYYYMM"/>
  </r>
  <r>
    <x v="2"/>
    <s v="SGMRYCLN_PE202512_REMAO004.TXT"/>
    <x v="82"/>
    <x v="8"/>
    <n v="28"/>
    <n v="103773"/>
    <n v="0.03"/>
    <s v="DQS_MAO04_FILE_000_B"/>
    <s v="RECORD COUNT by MBR_ID, DOS_THRU_DT, DX_CD Grain grouped by PAYER, SRC_FILE_NM, DOS_THRU_YYYYMM"/>
  </r>
  <r>
    <x v="2"/>
    <s v="SGMRYCLN_PE202512_REMAO004.TXT"/>
    <x v="84"/>
    <x v="8"/>
    <n v="29"/>
    <n v="103773"/>
    <n v="0.03"/>
    <s v="DQS_MAO04_FILE_000_B"/>
    <s v="RECORD COUNT by MBR_ID, DOS_THRU_DT, DX_CD Grain grouped by PAYER, SRC_FILE_NM, DOS_THRU_YYYYMM"/>
  </r>
  <r>
    <x v="2"/>
    <s v="SGMRYCLN_PE202512_REMAO004.TXT"/>
    <x v="85"/>
    <x v="8"/>
    <n v="30"/>
    <n v="103773"/>
    <n v="0.03"/>
    <s v="DQS_MAO04_FILE_000_B"/>
    <s v="RECORD COUNT by MBR_ID, DOS_THRU_DT, DX_CD Grain grouped by PAYER, SRC_FILE_NM, DOS_THRU_YYYYMM"/>
  </r>
  <r>
    <x v="2"/>
    <s v="SGMRYCLN_PE202512_REMAO004.TXT"/>
    <x v="86"/>
    <x v="8"/>
    <n v="24"/>
    <n v="103773"/>
    <n v="0.02"/>
    <s v="DQS_MAO04_FILE_000_B"/>
    <s v="RECORD COUNT by MBR_ID, DOS_THRU_DT, DX_CD Grain grouped by PAYER, SRC_FILE_NM, DOS_THRU_YYYYMM"/>
  </r>
  <r>
    <x v="2"/>
    <s v="SGMRYCLN_PE202512_REMAO004.TXT"/>
    <x v="87"/>
    <x v="8"/>
    <n v="62"/>
    <n v="103773"/>
    <n v="0.06"/>
    <s v="DQS_MAO04_FILE_000_B"/>
    <s v="RECORD COUNT by MBR_ID, DOS_THRU_DT, DX_CD Grain grouped by PAYER, SRC_FILE_NM, DOS_THRU_YYYYMM"/>
  </r>
  <r>
    <x v="2"/>
    <s v="SGMRYCLN_PE202512_REMAO004.TXT"/>
    <x v="88"/>
    <x v="8"/>
    <n v="48"/>
    <n v="103773"/>
    <n v="0.05"/>
    <s v="DQS_MAO04_FILE_000_B"/>
    <s v="RECORD COUNT by MBR_ID, DOS_THRU_DT, DX_CD Grain grouped by PAYER, SRC_FILE_NM, DOS_THRU_YYYYMM"/>
  </r>
  <r>
    <x v="2"/>
    <s v="SGMRYCLN_PE202512_REMAO004.TXT"/>
    <x v="89"/>
    <x v="9"/>
    <n v="107"/>
    <n v="103773"/>
    <n v="0.1"/>
    <s v="DQS_MAO04_FILE_000_B"/>
    <s v="RECORD COUNT by MBR_ID, DOS_THRU_DT, DX_CD Grain grouped by PAYER, SRC_FILE_NM, DOS_THRU_YYYYMM"/>
  </r>
  <r>
    <x v="2"/>
    <s v="SGMRYCLN_PE202512_REMAO004.TXT"/>
    <x v="97"/>
    <x v="9"/>
    <n v="84"/>
    <n v="103773"/>
    <n v="0.08"/>
    <s v="DQS_MAO04_FILE_000_B"/>
    <s v="RECORD COUNT by MBR_ID, DOS_THRU_DT, DX_CD Grain grouped by PAYER, SRC_FILE_NM, DOS_THRU_YYYYMM"/>
  </r>
  <r>
    <x v="2"/>
    <s v="SGMRYCLN_PE202512_REMAO004.TXT"/>
    <x v="98"/>
    <x v="9"/>
    <n v="102"/>
    <n v="103773"/>
    <n v="0.1"/>
    <s v="DQS_MAO04_FILE_000_B"/>
    <s v="RECORD COUNT by MBR_ID, DOS_THRU_DT, DX_CD Grain grouped by PAYER, SRC_FILE_NM, DOS_THRU_YYYYMM"/>
  </r>
  <r>
    <x v="2"/>
    <s v="SGMRYCLN_PE202512_REMAO004.TXT"/>
    <x v="99"/>
    <x v="9"/>
    <n v="68"/>
    <n v="103773"/>
    <n v="7.0000000000000007E-2"/>
    <s v="DQS_MAO04_FILE_000_B"/>
    <s v="RECORD COUNT by MBR_ID, DOS_THRU_DT, DX_CD Grain grouped by PAYER, SRC_FILE_NM, DOS_THRU_YYYYMM"/>
  </r>
  <r>
    <x v="2"/>
    <s v="SGMRYCLN_PE202512_REMAO004.TXT"/>
    <x v="100"/>
    <x v="9"/>
    <n v="41"/>
    <n v="103773"/>
    <n v="0.04"/>
    <s v="DQS_MAO04_FILE_000_B"/>
    <s v="RECORD COUNT by MBR_ID, DOS_THRU_DT, DX_CD Grain grouped by PAYER, SRC_FILE_NM, DOS_THRU_YYYYMM"/>
  </r>
  <r>
    <x v="2"/>
    <s v="SGMRYCLN_PE202512_REMAO004.TXT"/>
    <x v="102"/>
    <x v="9"/>
    <n v="32"/>
    <n v="103773"/>
    <n v="0.03"/>
    <s v="DQS_MAO04_FILE_000_B"/>
    <s v="RECORD COUNT by MBR_ID, DOS_THRU_DT, DX_CD Grain grouped by PAYER, SRC_FILE_NM, DOS_THRU_YYYYMM"/>
  </r>
  <r>
    <x v="2"/>
    <s v="SGMRYCLN_PE202512_REMAO004.TXT"/>
    <x v="103"/>
    <x v="9"/>
    <n v="38"/>
    <n v="103773"/>
    <n v="0.04"/>
    <s v="DQS_MAO04_FILE_000_B"/>
    <s v="RECORD COUNT by MBR_ID, DOS_THRU_DT, DX_CD Grain grouped by PAYER, SRC_FILE_NM, DOS_THRU_YYYYMM"/>
  </r>
  <r>
    <x v="2"/>
    <s v="SGMRYCLN_PE202512_REMAO004.TXT"/>
    <x v="105"/>
    <x v="9"/>
    <n v="175"/>
    <n v="103773"/>
    <n v="0.17"/>
    <s v="DQS_MAO04_FILE_000_B"/>
    <s v="RECORD COUNT by MBR_ID, DOS_THRU_DT, DX_CD Grain grouped by PAYER, SRC_FILE_NM, DOS_THRU_YYYYMM"/>
  </r>
  <r>
    <x v="2"/>
    <s v="SGMRYCLN_PE202512_REMAO004.TXT"/>
    <x v="106"/>
    <x v="9"/>
    <n v="162"/>
    <n v="103773"/>
    <n v="0.16"/>
    <s v="DQS_MAO04_FILE_000_B"/>
    <s v="RECORD COUNT by MBR_ID, DOS_THRU_DT, DX_CD Grain grouped by PAYER, SRC_FILE_NM, DOS_THRU_YYYYMM"/>
  </r>
  <r>
    <x v="2"/>
    <s v="SGMRYCLN_PE202512_REMAO004.TXT"/>
    <x v="107"/>
    <x v="9"/>
    <n v="244"/>
    <n v="103773"/>
    <n v="0.24"/>
    <s v="DQS_MAO04_FILE_000_B"/>
    <s v="RECORD COUNT by MBR_ID, DOS_THRU_DT, DX_CD Grain grouped by PAYER, SRC_FILE_NM, DOS_THRU_YYYYMM"/>
  </r>
  <r>
    <x v="2"/>
    <s v="SGMRYCLN_PE202512_REMAO004.TXT"/>
    <x v="108"/>
    <x v="9"/>
    <n v="253"/>
    <n v="103773"/>
    <n v="0.24"/>
    <s v="DQS_MAO04_FILE_000_B"/>
    <s v="RECORD COUNT by MBR_ID, DOS_THRU_DT, DX_CD Grain grouped by PAYER, SRC_FILE_NM, DOS_THRU_YYYYMM"/>
  </r>
  <r>
    <x v="2"/>
    <s v="SGMRYCLN_PE202512_REMAO004.TXT"/>
    <x v="109"/>
    <x v="9"/>
    <n v="515"/>
    <n v="103773"/>
    <n v="0.5"/>
    <s v="DQS_MAO04_FILE_000_B"/>
    <s v="RECORD COUNT by MBR_ID, DOS_THRU_DT, DX_CD Grain grouped by PAYER, SRC_FILE_NM, DOS_THRU_YYYYMM"/>
  </r>
  <r>
    <x v="2"/>
    <s v="SGMRYCLN_PE202512_REMAO004.TXT"/>
    <x v="110"/>
    <x v="11"/>
    <n v="3391"/>
    <n v="103773"/>
    <n v="3.27"/>
    <s v="DQS_MAO04_FILE_000_B"/>
    <s v="RECORD COUNT by MBR_ID, DOS_THRU_DT, DX_CD Grain grouped by PAYER, SRC_FILE_NM, DOS_THRU_YYYYMM"/>
  </r>
  <r>
    <x v="2"/>
    <s v="SGMRYCLN_PE202512_REMAO004.TXT"/>
    <x v="111"/>
    <x v="11"/>
    <n v="3395"/>
    <n v="103773"/>
    <n v="3.27"/>
    <s v="DQS_MAO04_FILE_000_B"/>
    <s v="RECORD COUNT by MBR_ID, DOS_THRU_DT, DX_CD Grain grouped by PAYER, SRC_FILE_NM, DOS_THRU_YYYYMM"/>
  </r>
  <r>
    <x v="2"/>
    <s v="SGMRYCLN_PE202512_REMAO004.TXT"/>
    <x v="112"/>
    <x v="11"/>
    <n v="3795"/>
    <n v="103773"/>
    <n v="3.66"/>
    <s v="DQS_MAO04_FILE_000_B"/>
    <s v="RECORD COUNT by MBR_ID, DOS_THRU_DT, DX_CD Grain grouped by PAYER, SRC_FILE_NM, DOS_THRU_YYYYMM"/>
  </r>
  <r>
    <x v="2"/>
    <s v="SGMRYCLN_PE202512_REMAO004.TXT"/>
    <x v="113"/>
    <x v="11"/>
    <n v="4158"/>
    <n v="103773"/>
    <n v="4.01"/>
    <s v="DQS_MAO04_FILE_000_B"/>
    <s v="RECORD COUNT by MBR_ID, DOS_THRU_DT, DX_CD Grain grouped by PAYER, SRC_FILE_NM, DOS_THRU_YYYYMM"/>
  </r>
  <r>
    <x v="2"/>
    <s v="SGMRYCLN_PE202512_REMAO004.TXT"/>
    <x v="114"/>
    <x v="11"/>
    <n v="4133"/>
    <n v="103773"/>
    <n v="3.98"/>
    <s v="DQS_MAO04_FILE_000_B"/>
    <s v="RECORD COUNT by MBR_ID, DOS_THRU_DT, DX_CD Grain grouped by PAYER, SRC_FILE_NM, DOS_THRU_YYYYMM"/>
  </r>
  <r>
    <x v="2"/>
    <s v="SGMRYCLN_PE202512_REMAO004.TXT"/>
    <x v="115"/>
    <x v="11"/>
    <n v="4694"/>
    <n v="103773"/>
    <n v="4.5199999999999996"/>
    <s v="DQS_MAO04_FILE_000_B"/>
    <s v="RECORD COUNT by MBR_ID, DOS_THRU_DT, DX_CD Grain grouped by PAYER, SRC_FILE_NM, DOS_THRU_YYYYMM"/>
  </r>
  <r>
    <x v="2"/>
    <s v="SGMRYCLN_PE202512_REMAO004.TXT"/>
    <x v="116"/>
    <x v="11"/>
    <n v="6874"/>
    <n v="103773"/>
    <n v="6.62"/>
    <s v="DQS_MAO04_FILE_000_B"/>
    <s v="RECORD COUNT by MBR_ID, DOS_THRU_DT, DX_CD Grain grouped by PAYER, SRC_FILE_NM, DOS_THRU_YYYYMM"/>
  </r>
  <r>
    <x v="2"/>
    <s v="SGMRYCLN_PE202512_REMAO004.TXT"/>
    <x v="117"/>
    <x v="11"/>
    <n v="11256"/>
    <n v="103773"/>
    <n v="10.85"/>
    <s v="DQS_MAO04_FILE_000_B"/>
    <s v="RECORD COUNT by MBR_ID, DOS_THRU_DT, DX_CD Grain grouped by PAYER, SRC_FILE_NM, DOS_THRU_YYYYMM"/>
  </r>
  <r>
    <x v="2"/>
    <s v="SGMRYCLN_PE202512_REMAO004.TXT"/>
    <x v="118"/>
    <x v="11"/>
    <n v="34797"/>
    <n v="103773"/>
    <n v="33.53"/>
    <s v="DQS_MAO04_FILE_000_B"/>
    <s v="RECORD COUNT by MBR_ID, DOS_THRU_DT, DX_CD Grain grouped by PAYER, SRC_FILE_NM, DOS_THRU_YYYYMM"/>
  </r>
  <r>
    <x v="2"/>
    <s v="SGMRYCLN_PE202512_REMAO004.TXT"/>
    <x v="119"/>
    <x v="11"/>
    <n v="25191"/>
    <n v="103773"/>
    <n v="24.28"/>
    <s v="DQS_MAO04_FILE_000_B"/>
    <s v="RECORD COUNT by MBR_ID, DOS_THRU_DT, DX_CD Grain grouped by PAYER, SRC_FILE_NM, DOS_THRU_YYYYMM"/>
  </r>
  <r>
    <x v="2"/>
    <s v="SGMRYCLN_PE202601_REMAO004.TXT"/>
    <x v="77"/>
    <x v="8"/>
    <n v="16"/>
    <n v="85741"/>
    <n v="0.02"/>
    <s v="DQS_MAO04_FILE_000_B"/>
    <s v="RECORD COUNT by MBR_ID, DOS_THRU_DT, DX_CD Grain grouped by PAYER, SRC_FILE_NM, DOS_THRU_YYYYMM"/>
  </r>
  <r>
    <x v="2"/>
    <s v="SGMRYCLN_PE202601_REMAO004.TXT"/>
    <x v="80"/>
    <x v="8"/>
    <n v="5"/>
    <n v="85741"/>
    <n v="0.01"/>
    <s v="DQS_MAO04_FILE_000_B"/>
    <s v="RECORD COUNT by MBR_ID, DOS_THRU_DT, DX_CD Grain grouped by PAYER, SRC_FILE_NM, DOS_THRU_YYYYMM"/>
  </r>
  <r>
    <x v="2"/>
    <s v="SGMRYCLN_PE202601_REMAO004.TXT"/>
    <x v="81"/>
    <x v="8"/>
    <n v="3"/>
    <n v="85741"/>
    <n v="0"/>
    <s v="DQS_MAO04_FILE_000_B"/>
    <s v="RECORD COUNT by MBR_ID, DOS_THRU_DT, DX_CD Grain grouped by PAYER, SRC_FILE_NM, DOS_THRU_YYYYMM"/>
  </r>
  <r>
    <x v="2"/>
    <s v="SGMRYCLN_PE202601_REMAO004.TXT"/>
    <x v="82"/>
    <x v="8"/>
    <n v="1"/>
    <n v="85741"/>
    <n v="0"/>
    <s v="DQS_MAO04_FILE_000_B"/>
    <s v="RECORD COUNT by MBR_ID, DOS_THRU_DT, DX_CD Grain grouped by PAYER, SRC_FILE_NM, DOS_THRU_YYYYMM"/>
  </r>
  <r>
    <x v="2"/>
    <s v="SGMRYCLN_PE202601_REMAO004.TXT"/>
    <x v="83"/>
    <x v="8"/>
    <n v="58"/>
    <n v="85741"/>
    <n v="7.0000000000000007E-2"/>
    <s v="DQS_MAO04_FILE_000_B"/>
    <s v="RECORD COUNT by MBR_ID, DOS_THRU_DT, DX_CD Grain grouped by PAYER, SRC_FILE_NM, DOS_THRU_YYYYMM"/>
  </r>
  <r>
    <x v="2"/>
    <s v="SGMRYCLN_PE202601_REMAO004.TXT"/>
    <x v="84"/>
    <x v="8"/>
    <n v="3"/>
    <n v="85741"/>
    <n v="0"/>
    <s v="DQS_MAO04_FILE_000_B"/>
    <s v="RECORD COUNT by MBR_ID, DOS_THRU_DT, DX_CD Grain grouped by PAYER, SRC_FILE_NM, DOS_THRU_YYYYMM"/>
  </r>
  <r>
    <x v="2"/>
    <s v="SGMRYCLN_PE202601_REMAO004.TXT"/>
    <x v="85"/>
    <x v="8"/>
    <n v="19"/>
    <n v="85741"/>
    <n v="0.02"/>
    <s v="DQS_MAO04_FILE_000_B"/>
    <s v="RECORD COUNT by MBR_ID, DOS_THRU_DT, DX_CD Grain grouped by PAYER, SRC_FILE_NM, DOS_THRU_YYYYMM"/>
  </r>
  <r>
    <x v="2"/>
    <s v="SGMRYCLN_PE202601_REMAO004.TXT"/>
    <x v="86"/>
    <x v="8"/>
    <n v="20"/>
    <n v="85741"/>
    <n v="0.02"/>
    <s v="DQS_MAO04_FILE_000_B"/>
    <s v="RECORD COUNT by MBR_ID, DOS_THRU_DT, DX_CD Grain grouped by PAYER, SRC_FILE_NM, DOS_THRU_YYYYMM"/>
  </r>
  <r>
    <x v="2"/>
    <s v="SGMRYCLN_PE202601_REMAO004.TXT"/>
    <x v="87"/>
    <x v="8"/>
    <n v="4"/>
    <n v="85741"/>
    <n v="0"/>
    <s v="DQS_MAO04_FILE_000_B"/>
    <s v="RECORD COUNT by MBR_ID, DOS_THRU_DT, DX_CD Grain grouped by PAYER, SRC_FILE_NM, DOS_THRU_YYYYMM"/>
  </r>
  <r>
    <x v="2"/>
    <s v="SGMRYCLN_PE202601_REMAO004.TXT"/>
    <x v="89"/>
    <x v="9"/>
    <n v="32"/>
    <n v="85741"/>
    <n v="0.04"/>
    <s v="DQS_MAO04_FILE_000_B"/>
    <s v="RECORD COUNT by MBR_ID, DOS_THRU_DT, DX_CD Grain grouped by PAYER, SRC_FILE_NM, DOS_THRU_YYYYMM"/>
  </r>
  <r>
    <x v="2"/>
    <s v="SGMRYCLN_PE202601_REMAO004.TXT"/>
    <x v="97"/>
    <x v="9"/>
    <n v="65"/>
    <n v="85741"/>
    <n v="0.08"/>
    <s v="DQS_MAO04_FILE_000_B"/>
    <s v="RECORD COUNT by MBR_ID, DOS_THRU_DT, DX_CD Grain grouped by PAYER, SRC_FILE_NM, DOS_THRU_YYYYMM"/>
  </r>
  <r>
    <x v="2"/>
    <s v="SGMRYCLN_PE202601_REMAO004.TXT"/>
    <x v="98"/>
    <x v="9"/>
    <n v="25"/>
    <n v="85741"/>
    <n v="0.03"/>
    <s v="DQS_MAO04_FILE_000_B"/>
    <s v="RECORD COUNT by MBR_ID, DOS_THRU_DT, DX_CD Grain grouped by PAYER, SRC_FILE_NM, DOS_THRU_YYYYMM"/>
  </r>
  <r>
    <x v="2"/>
    <s v="SGMRYCLN_PE202601_REMAO004.TXT"/>
    <x v="99"/>
    <x v="9"/>
    <n v="74"/>
    <n v="85741"/>
    <n v="0.09"/>
    <s v="DQS_MAO04_FILE_000_B"/>
    <s v="RECORD COUNT by MBR_ID, DOS_THRU_DT, DX_CD Grain grouped by PAYER, SRC_FILE_NM, DOS_THRU_YYYYMM"/>
  </r>
  <r>
    <x v="2"/>
    <s v="SGMRYCLN_PE202601_REMAO004.TXT"/>
    <x v="100"/>
    <x v="9"/>
    <n v="68"/>
    <n v="85741"/>
    <n v="0.08"/>
    <s v="DQS_MAO04_FILE_000_B"/>
    <s v="RECORD COUNT by MBR_ID, DOS_THRU_DT, DX_CD Grain grouped by PAYER, SRC_FILE_NM, DOS_THRU_YYYYMM"/>
  </r>
  <r>
    <x v="2"/>
    <s v="SGMRYCLN_PE202601_REMAO004.TXT"/>
    <x v="102"/>
    <x v="9"/>
    <n v="93"/>
    <n v="85741"/>
    <n v="0.11"/>
    <s v="DQS_MAO04_FILE_000_B"/>
    <s v="RECORD COUNT by MBR_ID, DOS_THRU_DT, DX_CD Grain grouped by PAYER, SRC_FILE_NM, DOS_THRU_YYYYMM"/>
  </r>
  <r>
    <x v="2"/>
    <s v="SGMRYCLN_PE202601_REMAO004.TXT"/>
    <x v="103"/>
    <x v="9"/>
    <n v="51"/>
    <n v="85741"/>
    <n v="0.06"/>
    <s v="DQS_MAO04_FILE_000_B"/>
    <s v="RECORD COUNT by MBR_ID, DOS_THRU_DT, DX_CD Grain grouped by PAYER, SRC_FILE_NM, DOS_THRU_YYYYMM"/>
  </r>
  <r>
    <x v="2"/>
    <s v="SGMRYCLN_PE202601_REMAO004.TXT"/>
    <x v="105"/>
    <x v="9"/>
    <n v="105"/>
    <n v="85741"/>
    <n v="0.12"/>
    <s v="DQS_MAO04_FILE_000_B"/>
    <s v="RECORD COUNT by MBR_ID, DOS_THRU_DT, DX_CD Grain grouped by PAYER, SRC_FILE_NM, DOS_THRU_YYYYMM"/>
  </r>
  <r>
    <x v="2"/>
    <s v="SGMRYCLN_PE202601_REMAO004.TXT"/>
    <x v="106"/>
    <x v="9"/>
    <n v="103"/>
    <n v="85741"/>
    <n v="0.12"/>
    <s v="DQS_MAO04_FILE_000_B"/>
    <s v="RECORD COUNT by MBR_ID, DOS_THRU_DT, DX_CD Grain grouped by PAYER, SRC_FILE_NM, DOS_THRU_YYYYMM"/>
  </r>
  <r>
    <x v="2"/>
    <s v="SGMRYCLN_PE202601_REMAO004.TXT"/>
    <x v="107"/>
    <x v="9"/>
    <n v="142"/>
    <n v="85741"/>
    <n v="0.17"/>
    <s v="DQS_MAO04_FILE_000_B"/>
    <s v="RECORD COUNT by MBR_ID, DOS_THRU_DT, DX_CD Grain grouped by PAYER, SRC_FILE_NM, DOS_THRU_YYYYMM"/>
  </r>
  <r>
    <x v="2"/>
    <s v="SGMRYCLN_PE202601_REMAO004.TXT"/>
    <x v="108"/>
    <x v="9"/>
    <n v="227"/>
    <n v="85741"/>
    <n v="0.26"/>
    <s v="DQS_MAO04_FILE_000_B"/>
    <s v="RECORD COUNT by MBR_ID, DOS_THRU_DT, DX_CD Grain grouped by PAYER, SRC_FILE_NM, DOS_THRU_YYYYMM"/>
  </r>
  <r>
    <x v="2"/>
    <s v="SGMRYCLN_PE202601_REMAO004.TXT"/>
    <x v="109"/>
    <x v="9"/>
    <n v="262"/>
    <n v="85741"/>
    <n v="0.31"/>
    <s v="DQS_MAO04_FILE_000_B"/>
    <s v="RECORD COUNT by MBR_ID, DOS_THRU_DT, DX_CD Grain grouped by PAYER, SRC_FILE_NM, DOS_THRU_YYYYMM"/>
  </r>
  <r>
    <x v="2"/>
    <s v="SGMRYCLN_PE202601_REMAO004.TXT"/>
    <x v="110"/>
    <x v="11"/>
    <n v="196"/>
    <n v="85741"/>
    <n v="0.23"/>
    <s v="DQS_MAO04_FILE_000_B"/>
    <s v="RECORD COUNT by MBR_ID, DOS_THRU_DT, DX_CD Grain grouped by PAYER, SRC_FILE_NM, DOS_THRU_YYYYMM"/>
  </r>
  <r>
    <x v="2"/>
    <s v="SGMRYCLN_PE202601_REMAO004.TXT"/>
    <x v="111"/>
    <x v="11"/>
    <n v="344"/>
    <n v="85741"/>
    <n v="0.4"/>
    <s v="DQS_MAO04_FILE_000_B"/>
    <s v="RECORD COUNT by MBR_ID, DOS_THRU_DT, DX_CD Grain grouped by PAYER, SRC_FILE_NM, DOS_THRU_YYYYMM"/>
  </r>
  <r>
    <x v="2"/>
    <s v="SGMRYCLN_PE202601_REMAO004.TXT"/>
    <x v="112"/>
    <x v="11"/>
    <n v="383"/>
    <n v="85741"/>
    <n v="0.45"/>
    <s v="DQS_MAO04_FILE_000_B"/>
    <s v="RECORD COUNT by MBR_ID, DOS_THRU_DT, DX_CD Grain grouped by PAYER, SRC_FILE_NM, DOS_THRU_YYYYMM"/>
  </r>
  <r>
    <x v="2"/>
    <s v="SGMRYCLN_PE202601_REMAO004.TXT"/>
    <x v="113"/>
    <x v="11"/>
    <n v="616"/>
    <n v="85741"/>
    <n v="0.72"/>
    <s v="DQS_MAO04_FILE_000_B"/>
    <s v="RECORD COUNT by MBR_ID, DOS_THRU_DT, DX_CD Grain grouped by PAYER, SRC_FILE_NM, DOS_THRU_YYYYMM"/>
  </r>
  <r>
    <x v="2"/>
    <s v="SGMRYCLN_PE202601_REMAO004.TXT"/>
    <x v="114"/>
    <x v="11"/>
    <n v="600"/>
    <n v="85741"/>
    <n v="0.7"/>
    <s v="DQS_MAO04_FILE_000_B"/>
    <s v="RECORD COUNT by MBR_ID, DOS_THRU_DT, DX_CD Grain grouped by PAYER, SRC_FILE_NM, DOS_THRU_YYYYMM"/>
  </r>
  <r>
    <x v="2"/>
    <s v="SGMRYCLN_PE202601_REMAO004.TXT"/>
    <x v="115"/>
    <x v="11"/>
    <n v="592"/>
    <n v="85741"/>
    <n v="0.69"/>
    <s v="DQS_MAO04_FILE_000_B"/>
    <s v="RECORD COUNT by MBR_ID, DOS_THRU_DT, DX_CD Grain grouped by PAYER, SRC_FILE_NM, DOS_THRU_YYYYMM"/>
  </r>
  <r>
    <x v="2"/>
    <s v="SGMRYCLN_PE202601_REMAO004.TXT"/>
    <x v="116"/>
    <x v="11"/>
    <n v="1281"/>
    <n v="85741"/>
    <n v="1.49"/>
    <s v="DQS_MAO04_FILE_000_B"/>
    <s v="RECORD COUNT by MBR_ID, DOS_THRU_DT, DX_CD Grain grouped by PAYER, SRC_FILE_NM, DOS_THRU_YYYYMM"/>
  </r>
  <r>
    <x v="2"/>
    <s v="SGMRYCLN_PE202601_REMAO004.TXT"/>
    <x v="117"/>
    <x v="11"/>
    <n v="6070"/>
    <n v="85741"/>
    <n v="7.08"/>
    <s v="DQS_MAO04_FILE_000_B"/>
    <s v="RECORD COUNT by MBR_ID, DOS_THRU_DT, DX_CD Grain grouped by PAYER, SRC_FILE_NM, DOS_THRU_YYYYMM"/>
  </r>
  <r>
    <x v="2"/>
    <s v="SGMRYCLN_PE202601_REMAO004.TXT"/>
    <x v="118"/>
    <x v="11"/>
    <n v="4895"/>
    <n v="85741"/>
    <n v="5.71"/>
    <s v="DQS_MAO04_FILE_000_B"/>
    <s v="RECORD COUNT by MBR_ID, DOS_THRU_DT, DX_CD Grain grouped by PAYER, SRC_FILE_NM, DOS_THRU_YYYYMM"/>
  </r>
  <r>
    <x v="2"/>
    <s v="SGMRYCLN_PE202601_REMAO004.TXT"/>
    <x v="119"/>
    <x v="11"/>
    <n v="42724"/>
    <n v="85741"/>
    <n v="49.83"/>
    <s v="DQS_MAO04_FILE_000_B"/>
    <s v="RECORD COUNT by MBR_ID, DOS_THRU_DT, DX_CD Grain grouped by PAYER, SRC_FILE_NM, DOS_THRU_YYYYMM"/>
  </r>
  <r>
    <x v="2"/>
    <s v="SGMRYCLN_PE202601_REMAO004.TXT"/>
    <x v="120"/>
    <x v="11"/>
    <n v="26664"/>
    <n v="85741"/>
    <n v="31.1"/>
    <s v="DQS_MAO04_FILE_000_B"/>
    <s v="RECORD COUNT by MBR_ID, DOS_THRU_DT, DX_CD Grain grouped by PAYER, SRC_FILE_NM, DOS_THRU_YYYYMM"/>
  </r>
  <r>
    <x v="2"/>
    <s v="SGMRYCLN_PE202602_REMAO004.TXT"/>
    <x v="78"/>
    <x v="8"/>
    <n v="1"/>
    <n v="92410"/>
    <n v="0"/>
    <s v="DQS_MAO04_FILE_000_B"/>
    <s v="RECORD COUNT by MBR_ID, DOS_THRU_DT, DX_CD Grain grouped by PAYER, SRC_FILE_NM, DOS_THRU_YYYYMM"/>
  </r>
  <r>
    <x v="2"/>
    <s v="SGMRYCLN_PE202602_REMAO004.TXT"/>
    <x v="79"/>
    <x v="8"/>
    <n v="1"/>
    <n v="92410"/>
    <n v="0"/>
    <s v="DQS_MAO04_FILE_000_B"/>
    <s v="RECORD COUNT by MBR_ID, DOS_THRU_DT, DX_CD Grain grouped by PAYER, SRC_FILE_NM, DOS_THRU_YYYYMM"/>
  </r>
  <r>
    <x v="2"/>
    <s v="SGMRYCLN_PE202602_REMAO004.TXT"/>
    <x v="82"/>
    <x v="8"/>
    <n v="4"/>
    <n v="92410"/>
    <n v="0"/>
    <s v="DQS_MAO04_FILE_000_B"/>
    <s v="RECORD COUNT by MBR_ID, DOS_THRU_DT, DX_CD Grain grouped by PAYER, SRC_FILE_NM, DOS_THRU_YYYYMM"/>
  </r>
  <r>
    <x v="2"/>
    <s v="SGMRYCLN_PE202602_REMAO004.TXT"/>
    <x v="83"/>
    <x v="8"/>
    <n v="5"/>
    <n v="92410"/>
    <n v="0.01"/>
    <s v="DQS_MAO04_FILE_000_B"/>
    <s v="RECORD COUNT by MBR_ID, DOS_THRU_DT, DX_CD Grain grouped by PAYER, SRC_FILE_NM, DOS_THRU_YYYYMM"/>
  </r>
  <r>
    <x v="2"/>
    <s v="SGMRYCLN_PE202602_REMAO004.TXT"/>
    <x v="84"/>
    <x v="8"/>
    <n v="14"/>
    <n v="92410"/>
    <n v="0.02"/>
    <s v="DQS_MAO04_FILE_000_B"/>
    <s v="RECORD COUNT by MBR_ID, DOS_THRU_DT, DX_CD Grain grouped by PAYER, SRC_FILE_NM, DOS_THRU_YYYYMM"/>
  </r>
  <r>
    <x v="2"/>
    <s v="SGMRYCLN_PE202602_REMAO004.TXT"/>
    <x v="85"/>
    <x v="8"/>
    <n v="14"/>
    <n v="92410"/>
    <n v="0.02"/>
    <s v="DQS_MAO04_FILE_000_B"/>
    <s v="RECORD COUNT by MBR_ID, DOS_THRU_DT, DX_CD Grain grouped by PAYER, SRC_FILE_NM, DOS_THRU_YYYYMM"/>
  </r>
  <r>
    <x v="2"/>
    <s v="SGMRYCLN_PE202602_REMAO004.TXT"/>
    <x v="86"/>
    <x v="8"/>
    <n v="12"/>
    <n v="92410"/>
    <n v="0.01"/>
    <s v="DQS_MAO04_FILE_000_B"/>
    <s v="RECORD COUNT by MBR_ID, DOS_THRU_DT, DX_CD Grain grouped by PAYER, SRC_FILE_NM, DOS_THRU_YYYYMM"/>
  </r>
  <r>
    <x v="2"/>
    <s v="SGMRYCLN_PE202602_REMAO004.TXT"/>
    <x v="87"/>
    <x v="8"/>
    <n v="1"/>
    <n v="92410"/>
    <n v="0"/>
    <s v="DQS_MAO04_FILE_000_B"/>
    <s v="RECORD COUNT by MBR_ID, DOS_THRU_DT, DX_CD Grain grouped by PAYER, SRC_FILE_NM, DOS_THRU_YYYYMM"/>
  </r>
  <r>
    <x v="2"/>
    <s v="SGMRYCLN_PE202602_REMAO004.TXT"/>
    <x v="88"/>
    <x v="8"/>
    <n v="44"/>
    <n v="92410"/>
    <n v="0.05"/>
    <s v="DQS_MAO04_FILE_000_B"/>
    <s v="RECORD COUNT by MBR_ID, DOS_THRU_DT, DX_CD Grain grouped by PAYER, SRC_FILE_NM, DOS_THRU_YYYYMM"/>
  </r>
  <r>
    <x v="2"/>
    <s v="SGMRYCLN_PE202602_REMAO004.TXT"/>
    <x v="89"/>
    <x v="9"/>
    <n v="143"/>
    <n v="92410"/>
    <n v="0.15"/>
    <s v="DQS_MAO04_FILE_000_B"/>
    <s v="RECORD COUNT by MBR_ID, DOS_THRU_DT, DX_CD Grain grouped by PAYER, SRC_FILE_NM, DOS_THRU_YYYYMM"/>
  </r>
  <r>
    <x v="2"/>
    <s v="SGMRYCLN_PE202602_REMAO004.TXT"/>
    <x v="97"/>
    <x v="9"/>
    <n v="135"/>
    <n v="92410"/>
    <n v="0.15"/>
    <s v="DQS_MAO04_FILE_000_B"/>
    <s v="RECORD COUNT by MBR_ID, DOS_THRU_DT, DX_CD Grain grouped by PAYER, SRC_FILE_NM, DOS_THRU_YYYYMM"/>
  </r>
  <r>
    <x v="2"/>
    <s v="SGMRYCLN_PE202602_REMAO004.TXT"/>
    <x v="98"/>
    <x v="9"/>
    <n v="36"/>
    <n v="92410"/>
    <n v="0.04"/>
    <s v="DQS_MAO04_FILE_000_B"/>
    <s v="RECORD COUNT by MBR_ID, DOS_THRU_DT, DX_CD Grain grouped by PAYER, SRC_FILE_NM, DOS_THRU_YYYYMM"/>
  </r>
  <r>
    <x v="2"/>
    <s v="SGMRYCLN_PE202602_REMAO004.TXT"/>
    <x v="99"/>
    <x v="9"/>
    <n v="53"/>
    <n v="92410"/>
    <n v="0.06"/>
    <s v="DQS_MAO04_FILE_000_B"/>
    <s v="RECORD COUNT by MBR_ID, DOS_THRU_DT, DX_CD Grain grouped by PAYER, SRC_FILE_NM, DOS_THRU_YYYYMM"/>
  </r>
  <r>
    <x v="2"/>
    <s v="SGMRYCLN_PE202602_REMAO004.TXT"/>
    <x v="100"/>
    <x v="9"/>
    <n v="124"/>
    <n v="92410"/>
    <n v="0.13"/>
    <s v="DQS_MAO04_FILE_000_B"/>
    <s v="RECORD COUNT by MBR_ID, DOS_THRU_DT, DX_CD Grain grouped by PAYER, SRC_FILE_NM, DOS_THRU_YYYYMM"/>
  </r>
  <r>
    <x v="2"/>
    <s v="SGMRYCLN_PE202602_REMAO004.TXT"/>
    <x v="102"/>
    <x v="9"/>
    <n v="220"/>
    <n v="92410"/>
    <n v="0.24"/>
    <s v="DQS_MAO04_FILE_000_B"/>
    <s v="RECORD COUNT by MBR_ID, DOS_THRU_DT, DX_CD Grain grouped by PAYER, SRC_FILE_NM, DOS_THRU_YYYYMM"/>
  </r>
  <r>
    <x v="2"/>
    <s v="SGMRYCLN_PE202602_REMAO004.TXT"/>
    <x v="103"/>
    <x v="9"/>
    <n v="86"/>
    <n v="92410"/>
    <n v="0.09"/>
    <s v="DQS_MAO04_FILE_000_B"/>
    <s v="RECORD COUNT by MBR_ID, DOS_THRU_DT, DX_CD Grain grouped by PAYER, SRC_FILE_NM, DOS_THRU_YYYYMM"/>
  </r>
  <r>
    <x v="2"/>
    <s v="SGMRYCLN_PE202602_REMAO004.TXT"/>
    <x v="105"/>
    <x v="9"/>
    <n v="108"/>
    <n v="92410"/>
    <n v="0.12"/>
    <s v="DQS_MAO04_FILE_000_B"/>
    <s v="RECORD COUNT by MBR_ID, DOS_THRU_DT, DX_CD Grain grouped by PAYER, SRC_FILE_NM, DOS_THRU_YYYYMM"/>
  </r>
  <r>
    <x v="2"/>
    <s v="SGMRYCLN_PE202602_REMAO004.TXT"/>
    <x v="106"/>
    <x v="9"/>
    <n v="260"/>
    <n v="92410"/>
    <n v="0.28000000000000003"/>
    <s v="DQS_MAO04_FILE_000_B"/>
    <s v="RECORD COUNT by MBR_ID, DOS_THRU_DT, DX_CD Grain grouped by PAYER, SRC_FILE_NM, DOS_THRU_YYYYMM"/>
  </r>
  <r>
    <x v="2"/>
    <s v="SGMRYCLN_PE202602_REMAO004.TXT"/>
    <x v="107"/>
    <x v="9"/>
    <n v="262"/>
    <n v="92410"/>
    <n v="0.28000000000000003"/>
    <s v="DQS_MAO04_FILE_000_B"/>
    <s v="RECORD COUNT by MBR_ID, DOS_THRU_DT, DX_CD Grain grouped by PAYER, SRC_FILE_NM, DOS_THRU_YYYYMM"/>
  </r>
  <r>
    <x v="2"/>
    <s v="SGMRYCLN_PE202602_REMAO004.TXT"/>
    <x v="108"/>
    <x v="9"/>
    <n v="173"/>
    <n v="92410"/>
    <n v="0.19"/>
    <s v="DQS_MAO04_FILE_000_B"/>
    <s v="RECORD COUNT by MBR_ID, DOS_THRU_DT, DX_CD Grain grouped by PAYER, SRC_FILE_NM, DOS_THRU_YYYYMM"/>
  </r>
  <r>
    <x v="2"/>
    <s v="SGMRYCLN_PE202602_REMAO004.TXT"/>
    <x v="109"/>
    <x v="9"/>
    <n v="172"/>
    <n v="92410"/>
    <n v="0.19"/>
    <s v="DQS_MAO04_FILE_000_B"/>
    <s v="RECORD COUNT by MBR_ID, DOS_THRU_DT, DX_CD Grain grouped by PAYER, SRC_FILE_NM, DOS_THRU_YYYYMM"/>
  </r>
  <r>
    <x v="2"/>
    <s v="SGMRYCLN_PE202602_REMAO004.TXT"/>
    <x v="110"/>
    <x v="11"/>
    <n v="320"/>
    <n v="92410"/>
    <n v="0.35"/>
    <s v="DQS_MAO04_FILE_000_B"/>
    <s v="RECORD COUNT by MBR_ID, DOS_THRU_DT, DX_CD Grain grouped by PAYER, SRC_FILE_NM, DOS_THRU_YYYYMM"/>
  </r>
  <r>
    <x v="2"/>
    <s v="SGMRYCLN_PE202602_REMAO004.TXT"/>
    <x v="111"/>
    <x v="11"/>
    <n v="390"/>
    <n v="92410"/>
    <n v="0.42"/>
    <s v="DQS_MAO04_FILE_000_B"/>
    <s v="RECORD COUNT by MBR_ID, DOS_THRU_DT, DX_CD Grain grouped by PAYER, SRC_FILE_NM, DOS_THRU_YYYYMM"/>
  </r>
  <r>
    <x v="2"/>
    <s v="SGMRYCLN_PE202602_REMAO004.TXT"/>
    <x v="112"/>
    <x v="11"/>
    <n v="603"/>
    <n v="92410"/>
    <n v="0.65"/>
    <s v="DQS_MAO04_FILE_000_B"/>
    <s v="RECORD COUNT by MBR_ID, DOS_THRU_DT, DX_CD Grain grouped by PAYER, SRC_FILE_NM, DOS_THRU_YYYYMM"/>
  </r>
  <r>
    <x v="2"/>
    <s v="SGMRYCLN_PE202602_REMAO004.TXT"/>
    <x v="113"/>
    <x v="11"/>
    <n v="888"/>
    <n v="92410"/>
    <n v="0.96"/>
    <s v="DQS_MAO04_FILE_000_B"/>
    <s v="RECORD COUNT by MBR_ID, DOS_THRU_DT, DX_CD Grain grouped by PAYER, SRC_FILE_NM, DOS_THRU_YYYYMM"/>
  </r>
  <r>
    <x v="2"/>
    <s v="SGMRYCLN_PE202602_REMAO004.TXT"/>
    <x v="114"/>
    <x v="11"/>
    <n v="773"/>
    <n v="92410"/>
    <n v="0.84"/>
    <s v="DQS_MAO04_FILE_000_B"/>
    <s v="RECORD COUNT by MBR_ID, DOS_THRU_DT, DX_CD Grain grouped by PAYER, SRC_FILE_NM, DOS_THRU_YYYYMM"/>
  </r>
  <r>
    <x v="2"/>
    <s v="SGMRYCLN_PE202602_REMAO004.TXT"/>
    <x v="115"/>
    <x v="11"/>
    <n v="904"/>
    <n v="92410"/>
    <n v="0.98"/>
    <s v="DQS_MAO04_FILE_000_B"/>
    <s v="RECORD COUNT by MBR_ID, DOS_THRU_DT, DX_CD Grain grouped by PAYER, SRC_FILE_NM, DOS_THRU_YYYYMM"/>
  </r>
  <r>
    <x v="2"/>
    <s v="SGMRYCLN_PE202602_REMAO004.TXT"/>
    <x v="116"/>
    <x v="11"/>
    <n v="1039"/>
    <n v="92410"/>
    <n v="1.1200000000000001"/>
    <s v="DQS_MAO04_FILE_000_B"/>
    <s v="RECORD COUNT by MBR_ID, DOS_THRU_DT, DX_CD Grain grouped by PAYER, SRC_FILE_NM, DOS_THRU_YYYYMM"/>
  </r>
  <r>
    <x v="2"/>
    <s v="SGMRYCLN_PE202602_REMAO004.TXT"/>
    <x v="117"/>
    <x v="11"/>
    <n v="1669"/>
    <n v="92410"/>
    <n v="1.81"/>
    <s v="DQS_MAO04_FILE_000_B"/>
    <s v="RECORD COUNT by MBR_ID, DOS_THRU_DT, DX_CD Grain grouped by PAYER, SRC_FILE_NM, DOS_THRU_YYYYMM"/>
  </r>
  <r>
    <x v="2"/>
    <s v="SGMRYCLN_PE202602_REMAO004.TXT"/>
    <x v="118"/>
    <x v="11"/>
    <n v="5477"/>
    <n v="92410"/>
    <n v="5.93"/>
    <s v="DQS_MAO04_FILE_000_B"/>
    <s v="RECORD COUNT by MBR_ID, DOS_THRU_DT, DX_CD Grain grouped by PAYER, SRC_FILE_NM, DOS_THRU_YYYYMM"/>
  </r>
  <r>
    <x v="2"/>
    <s v="SGMRYCLN_PE202602_REMAO004.TXT"/>
    <x v="119"/>
    <x v="11"/>
    <n v="9248"/>
    <n v="92410"/>
    <n v="10.01"/>
    <s v="DQS_MAO04_FILE_000_B"/>
    <s v="RECORD COUNT by MBR_ID, DOS_THRU_DT, DX_CD Grain grouped by PAYER, SRC_FILE_NM, DOS_THRU_YYYYMM"/>
  </r>
  <r>
    <x v="2"/>
    <s v="SGMRYCLN_PE202602_REMAO004.TXT"/>
    <x v="120"/>
    <x v="11"/>
    <n v="36685"/>
    <n v="92410"/>
    <n v="39.700000000000003"/>
    <s v="DQS_MAO04_FILE_000_B"/>
    <s v="RECORD COUNT by MBR_ID, DOS_THRU_DT, DX_CD Grain grouped by PAYER, SRC_FILE_NM, DOS_THRU_YYYYMM"/>
  </r>
  <r>
    <x v="2"/>
    <s v="SGMRYCLN_PE202602_REMAO004.TXT"/>
    <x v="121"/>
    <x v="11"/>
    <n v="32546"/>
    <n v="92410"/>
    <n v="35.22"/>
    <s v="DQS_MAO04_FILE_000_B"/>
    <s v="RECORD COUNT by MBR_ID, DOS_THRU_DT, DX_CD Grain grouped by PAYER, SRC_FILE_NM, DOS_THRU_YYYYMM"/>
  </r>
  <r>
    <x v="2"/>
    <s v="SGMRYCLN_PE202603_REMAO004.TXT"/>
    <x v="66"/>
    <x v="7"/>
    <n v="3"/>
    <n v="88388"/>
    <n v="0"/>
    <s v="DQS_MAO04_FILE_000_B"/>
    <s v="RECORD COUNT by MBR_ID, DOS_THRU_DT, DX_CD Grain grouped by PAYER, SRC_FILE_NM, DOS_THRU_YYYYMM"/>
  </r>
  <r>
    <x v="2"/>
    <s v="SGMRYCLN_PE202603_REMAO004.TXT"/>
    <x v="76"/>
    <x v="7"/>
    <n v="1"/>
    <n v="88388"/>
    <n v="0"/>
    <s v="DQS_MAO04_FILE_000_B"/>
    <s v="RECORD COUNT by MBR_ID, DOS_THRU_DT, DX_CD Grain grouped by PAYER, SRC_FILE_NM, DOS_THRU_YYYYMM"/>
  </r>
  <r>
    <x v="2"/>
    <s v="SGMRYCLN_PE202603_REMAO004.TXT"/>
    <x v="80"/>
    <x v="8"/>
    <n v="2"/>
    <n v="88388"/>
    <n v="0"/>
    <s v="DQS_MAO04_FILE_000_B"/>
    <s v="RECORD COUNT by MBR_ID, DOS_THRU_DT, DX_CD Grain grouped by PAYER, SRC_FILE_NM, DOS_THRU_YYYYMM"/>
  </r>
  <r>
    <x v="2"/>
    <s v="SGMRYCLN_PE202603_REMAO004.TXT"/>
    <x v="89"/>
    <x v="9"/>
    <n v="15"/>
    <n v="88388"/>
    <n v="0.02"/>
    <s v="DQS_MAO04_FILE_000_B"/>
    <s v="RECORD COUNT by MBR_ID, DOS_THRU_DT, DX_CD Grain grouped by PAYER, SRC_FILE_NM, DOS_THRU_YYYYMM"/>
  </r>
  <r>
    <x v="2"/>
    <s v="SGMRYCLN_PE202603_REMAO004.TXT"/>
    <x v="97"/>
    <x v="9"/>
    <n v="33"/>
    <n v="88388"/>
    <n v="0.04"/>
    <s v="DQS_MAO04_FILE_000_B"/>
    <s v="RECORD COUNT by MBR_ID, DOS_THRU_DT, DX_CD Grain grouped by PAYER, SRC_FILE_NM, DOS_THRU_YYYYMM"/>
  </r>
  <r>
    <x v="2"/>
    <s v="SGMRYCLN_PE202603_REMAO004.TXT"/>
    <x v="98"/>
    <x v="9"/>
    <n v="77"/>
    <n v="88388"/>
    <n v="0.09"/>
    <s v="DQS_MAO04_FILE_000_B"/>
    <s v="RECORD COUNT by MBR_ID, DOS_THRU_DT, DX_CD Grain grouped by PAYER, SRC_FILE_NM, DOS_THRU_YYYYMM"/>
  </r>
  <r>
    <x v="2"/>
    <s v="SGMRYCLN_PE202603_REMAO004.TXT"/>
    <x v="99"/>
    <x v="9"/>
    <n v="27"/>
    <n v="88388"/>
    <n v="0.03"/>
    <s v="DQS_MAO04_FILE_000_B"/>
    <s v="RECORD COUNT by MBR_ID, DOS_THRU_DT, DX_CD Grain grouped by PAYER, SRC_FILE_NM, DOS_THRU_YYYYMM"/>
  </r>
  <r>
    <x v="2"/>
    <s v="SGMRYCLN_PE202603_REMAO004.TXT"/>
    <x v="100"/>
    <x v="9"/>
    <n v="78"/>
    <n v="88388"/>
    <n v="0.09"/>
    <s v="DQS_MAO04_FILE_000_B"/>
    <s v="RECORD COUNT by MBR_ID, DOS_THRU_DT, DX_CD Grain grouped by PAYER, SRC_FILE_NM, DOS_THRU_YYYYMM"/>
  </r>
  <r>
    <x v="2"/>
    <s v="SGMRYCLN_PE202603_REMAO004.TXT"/>
    <x v="102"/>
    <x v="9"/>
    <n v="70"/>
    <n v="88388"/>
    <n v="0.08"/>
    <s v="DQS_MAO04_FILE_000_B"/>
    <s v="RECORD COUNT by MBR_ID, DOS_THRU_DT, DX_CD Grain grouped by PAYER, SRC_FILE_NM, DOS_THRU_YYYYMM"/>
  </r>
  <r>
    <x v="2"/>
    <s v="SGMRYCLN_PE202603_REMAO004.TXT"/>
    <x v="103"/>
    <x v="9"/>
    <n v="19"/>
    <n v="88388"/>
    <n v="0.02"/>
    <s v="DQS_MAO04_FILE_000_B"/>
    <s v="RECORD COUNT by MBR_ID, DOS_THRU_DT, DX_CD Grain grouped by PAYER, SRC_FILE_NM, DOS_THRU_YYYYMM"/>
  </r>
  <r>
    <x v="2"/>
    <s v="SGMRYCLN_PE202603_REMAO004.TXT"/>
    <x v="105"/>
    <x v="9"/>
    <n v="54"/>
    <n v="88388"/>
    <n v="0.06"/>
    <s v="DQS_MAO04_FILE_000_B"/>
    <s v="RECORD COUNT by MBR_ID, DOS_THRU_DT, DX_CD Grain grouped by PAYER, SRC_FILE_NM, DOS_THRU_YYYYMM"/>
  </r>
  <r>
    <x v="2"/>
    <s v="SGMRYCLN_PE202603_REMAO004.TXT"/>
    <x v="106"/>
    <x v="9"/>
    <n v="83"/>
    <n v="88388"/>
    <n v="0.09"/>
    <s v="DQS_MAO04_FILE_000_B"/>
    <s v="RECORD COUNT by MBR_ID, DOS_THRU_DT, DX_CD Grain grouped by PAYER, SRC_FILE_NM, DOS_THRU_YYYYMM"/>
  </r>
  <r>
    <x v="2"/>
    <s v="SGMRYCLN_PE202603_REMAO004.TXT"/>
    <x v="107"/>
    <x v="9"/>
    <n v="94"/>
    <n v="88388"/>
    <n v="0.11"/>
    <s v="DQS_MAO04_FILE_000_B"/>
    <s v="RECORD COUNT by MBR_ID, DOS_THRU_DT, DX_CD Grain grouped by PAYER, SRC_FILE_NM, DOS_THRU_YYYYMM"/>
  </r>
  <r>
    <x v="2"/>
    <s v="SGMRYCLN_PE202603_REMAO004.TXT"/>
    <x v="108"/>
    <x v="9"/>
    <n v="92"/>
    <n v="88388"/>
    <n v="0.1"/>
    <s v="DQS_MAO04_FILE_000_B"/>
    <s v="RECORD COUNT by MBR_ID, DOS_THRU_DT, DX_CD Grain grouped by PAYER, SRC_FILE_NM, DOS_THRU_YYYYMM"/>
  </r>
  <r>
    <x v="2"/>
    <s v="SGMRYCLN_PE202603_REMAO004.TXT"/>
    <x v="109"/>
    <x v="9"/>
    <n v="109"/>
    <n v="88388"/>
    <n v="0.12"/>
    <s v="DQS_MAO04_FILE_000_B"/>
    <s v="RECORD COUNT by MBR_ID, DOS_THRU_DT, DX_CD Grain grouped by PAYER, SRC_FILE_NM, DOS_THRU_YYYYMM"/>
  </r>
  <r>
    <x v="2"/>
    <s v="SGMRYCLN_PE202603_REMAO004.TXT"/>
    <x v="110"/>
    <x v="11"/>
    <n v="311"/>
    <n v="88388"/>
    <n v="0.35"/>
    <s v="DQS_MAO04_FILE_000_B"/>
    <s v="RECORD COUNT by MBR_ID, DOS_THRU_DT, DX_CD Grain grouped by PAYER, SRC_FILE_NM, DOS_THRU_YYYYMM"/>
  </r>
  <r>
    <x v="2"/>
    <s v="SGMRYCLN_PE202603_REMAO004.TXT"/>
    <x v="111"/>
    <x v="11"/>
    <n v="157"/>
    <n v="88388"/>
    <n v="0.18"/>
    <s v="DQS_MAO04_FILE_000_B"/>
    <s v="RECORD COUNT by MBR_ID, DOS_THRU_DT, DX_CD Grain grouped by PAYER, SRC_FILE_NM, DOS_THRU_YYYYMM"/>
  </r>
  <r>
    <x v="2"/>
    <s v="SGMRYCLN_PE202603_REMAO004.TXT"/>
    <x v="112"/>
    <x v="11"/>
    <n v="245"/>
    <n v="88388"/>
    <n v="0.28000000000000003"/>
    <s v="DQS_MAO04_FILE_000_B"/>
    <s v="RECORD COUNT by MBR_ID, DOS_THRU_DT, DX_CD Grain grouped by PAYER, SRC_FILE_NM, DOS_THRU_YYYYMM"/>
  </r>
  <r>
    <x v="2"/>
    <s v="SGMRYCLN_PE202603_REMAO004.TXT"/>
    <x v="113"/>
    <x v="11"/>
    <n v="854"/>
    <n v="88388"/>
    <n v="0.97"/>
    <s v="DQS_MAO04_FILE_000_B"/>
    <s v="RECORD COUNT by MBR_ID, DOS_THRU_DT, DX_CD Grain grouped by PAYER, SRC_FILE_NM, DOS_THRU_YYYYMM"/>
  </r>
  <r>
    <x v="2"/>
    <s v="SGMRYCLN_PE202603_REMAO004.TXT"/>
    <x v="114"/>
    <x v="11"/>
    <n v="829"/>
    <n v="88388"/>
    <n v="0.94"/>
    <s v="DQS_MAO04_FILE_000_B"/>
    <s v="RECORD COUNT by MBR_ID, DOS_THRU_DT, DX_CD Grain grouped by PAYER, SRC_FILE_NM, DOS_THRU_YYYYMM"/>
  </r>
  <r>
    <x v="2"/>
    <s v="SGMRYCLN_PE202603_REMAO004.TXT"/>
    <x v="115"/>
    <x v="11"/>
    <n v="813"/>
    <n v="88388"/>
    <n v="0.92"/>
    <s v="DQS_MAO04_FILE_000_B"/>
    <s v="RECORD COUNT by MBR_ID, DOS_THRU_DT, DX_CD Grain grouped by PAYER, SRC_FILE_NM, DOS_THRU_YYYYMM"/>
  </r>
  <r>
    <x v="2"/>
    <s v="SGMRYCLN_PE202603_REMAO004.TXT"/>
    <x v="116"/>
    <x v="11"/>
    <n v="734"/>
    <n v="88388"/>
    <n v="0.83"/>
    <s v="DQS_MAO04_FILE_000_B"/>
    <s v="RECORD COUNT by MBR_ID, DOS_THRU_DT, DX_CD Grain grouped by PAYER, SRC_FILE_NM, DOS_THRU_YYYYMM"/>
  </r>
  <r>
    <x v="2"/>
    <s v="SGMRYCLN_PE202603_REMAO004.TXT"/>
    <x v="117"/>
    <x v="11"/>
    <n v="1068"/>
    <n v="88388"/>
    <n v="1.21"/>
    <s v="DQS_MAO04_FILE_000_B"/>
    <s v="RECORD COUNT by MBR_ID, DOS_THRU_DT, DX_CD Grain grouped by PAYER, SRC_FILE_NM, DOS_THRU_YYYYMM"/>
  </r>
  <r>
    <x v="2"/>
    <s v="SGMRYCLN_PE202603_REMAO004.TXT"/>
    <x v="118"/>
    <x v="11"/>
    <n v="2300"/>
    <n v="88388"/>
    <n v="2.6"/>
    <s v="DQS_MAO04_FILE_000_B"/>
    <s v="RECORD COUNT by MBR_ID, DOS_THRU_DT, DX_CD Grain grouped by PAYER, SRC_FILE_NM, DOS_THRU_YYYYMM"/>
  </r>
  <r>
    <x v="2"/>
    <s v="SGMRYCLN_PE202603_REMAO004.TXT"/>
    <x v="119"/>
    <x v="11"/>
    <n v="3221"/>
    <n v="88388"/>
    <n v="3.64"/>
    <s v="DQS_MAO04_FILE_000_B"/>
    <s v="RECORD COUNT by MBR_ID, DOS_THRU_DT, DX_CD Grain grouped by PAYER, SRC_FILE_NM, DOS_THRU_YYYYMM"/>
  </r>
  <r>
    <x v="2"/>
    <s v="SGMRYCLN_PE202603_REMAO004.TXT"/>
    <x v="120"/>
    <x v="11"/>
    <n v="4098"/>
    <n v="88388"/>
    <n v="4.6399999999999997"/>
    <s v="DQS_MAO04_FILE_000_B"/>
    <s v="RECORD COUNT by MBR_ID, DOS_THRU_DT, DX_CD Grain grouped by PAYER, SRC_FILE_NM, DOS_THRU_YYYYMM"/>
  </r>
  <r>
    <x v="2"/>
    <s v="SGMRYCLN_PE202603_REMAO004.TXT"/>
    <x v="121"/>
    <x v="11"/>
    <n v="31316"/>
    <n v="88388"/>
    <n v="35.43"/>
    <s v="DQS_MAO04_FILE_000_B"/>
    <s v="RECORD COUNT by MBR_ID, DOS_THRU_DT, DX_CD Grain grouped by PAYER, SRC_FILE_NM, DOS_THRU_YYYYMM"/>
  </r>
  <r>
    <x v="2"/>
    <s v="SGMRYCLN_PE202603_REMAO004.TXT"/>
    <x v="122"/>
    <x v="12"/>
    <n v="41685"/>
    <n v="88388"/>
    <n v="47.16"/>
    <s v="DQS_MAO04_FILE_000_B"/>
    <s v="RECORD COUNT by MBR_ID, DOS_THRU_DT, DX_CD Grain grouped by PAYER, SRC_FILE_NM, DOS_THRU_YYYYMM"/>
  </r>
  <r>
    <x v="2"/>
    <s v="SGMRYCLN_PE202604_REMAO004.TXT"/>
    <x v="82"/>
    <x v="8"/>
    <n v="2"/>
    <n v="103058"/>
    <n v="0"/>
    <s v="DQS_MAO04_FILE_000_B"/>
    <s v="RECORD COUNT by MBR_ID, DOS_THRU_DT, DX_CD Grain grouped by PAYER, SRC_FILE_NM, DOS_THRU_YYYYMM"/>
  </r>
  <r>
    <x v="2"/>
    <s v="SGMRYCLN_PE202604_REMAO004.TXT"/>
    <x v="83"/>
    <x v="8"/>
    <n v="5"/>
    <n v="103058"/>
    <n v="0"/>
    <s v="DQS_MAO04_FILE_000_B"/>
    <s v="RECORD COUNT by MBR_ID, DOS_THRU_DT, DX_CD Grain grouped by PAYER, SRC_FILE_NM, DOS_THRU_YYYYMM"/>
  </r>
  <r>
    <x v="2"/>
    <s v="SGMRYCLN_PE202604_REMAO004.TXT"/>
    <x v="88"/>
    <x v="8"/>
    <n v="1"/>
    <n v="103058"/>
    <n v="0"/>
    <s v="DQS_MAO04_FILE_000_B"/>
    <s v="RECORD COUNT by MBR_ID, DOS_THRU_DT, DX_CD Grain grouped by PAYER, SRC_FILE_NM, DOS_THRU_YYYYMM"/>
  </r>
  <r>
    <x v="2"/>
    <s v="SGMRYCLN_PE202604_REMAO004.TXT"/>
    <x v="89"/>
    <x v="9"/>
    <n v="2"/>
    <n v="103058"/>
    <n v="0"/>
    <s v="DQS_MAO04_FILE_000_B"/>
    <s v="RECORD COUNT by MBR_ID, DOS_THRU_DT, DX_CD Grain grouped by PAYER, SRC_FILE_NM, DOS_THRU_YYYYMM"/>
  </r>
  <r>
    <x v="2"/>
    <s v="SGMRYCLN_PE202604_REMAO004.TXT"/>
    <x v="97"/>
    <x v="9"/>
    <n v="3"/>
    <n v="103058"/>
    <n v="0"/>
    <s v="DQS_MAO04_FILE_000_B"/>
    <s v="RECORD COUNT by MBR_ID, DOS_THRU_DT, DX_CD Grain grouped by PAYER, SRC_FILE_NM, DOS_THRU_YYYYMM"/>
  </r>
  <r>
    <x v="2"/>
    <s v="SGMRYCLN_PE202604_REMAO004.TXT"/>
    <x v="98"/>
    <x v="9"/>
    <n v="5"/>
    <n v="103058"/>
    <n v="0"/>
    <s v="DQS_MAO04_FILE_000_B"/>
    <s v="RECORD COUNT by MBR_ID, DOS_THRU_DT, DX_CD Grain grouped by PAYER, SRC_FILE_NM, DOS_THRU_YYYYMM"/>
  </r>
  <r>
    <x v="2"/>
    <s v="SGMRYCLN_PE202604_REMAO004.TXT"/>
    <x v="100"/>
    <x v="9"/>
    <n v="7"/>
    <n v="103058"/>
    <n v="0.01"/>
    <s v="DQS_MAO04_FILE_000_B"/>
    <s v="RECORD COUNT by MBR_ID, DOS_THRU_DT, DX_CD Grain grouped by PAYER, SRC_FILE_NM, DOS_THRU_YYYYMM"/>
  </r>
  <r>
    <x v="2"/>
    <s v="SGMRYCLN_PE202604_REMAO004.TXT"/>
    <x v="102"/>
    <x v="9"/>
    <n v="13"/>
    <n v="103058"/>
    <n v="0.01"/>
    <s v="DQS_MAO04_FILE_000_B"/>
    <s v="RECORD COUNT by MBR_ID, DOS_THRU_DT, DX_CD Grain grouped by PAYER, SRC_FILE_NM, DOS_THRU_YYYYMM"/>
  </r>
  <r>
    <x v="2"/>
    <s v="SGMRYCLN_PE202604_REMAO004.TXT"/>
    <x v="103"/>
    <x v="9"/>
    <n v="10"/>
    <n v="103058"/>
    <n v="0.01"/>
    <s v="DQS_MAO04_FILE_000_B"/>
    <s v="RECORD COUNT by MBR_ID, DOS_THRU_DT, DX_CD Grain grouped by PAYER, SRC_FILE_NM, DOS_THRU_YYYYMM"/>
  </r>
  <r>
    <x v="2"/>
    <s v="SGMRYCLN_PE202604_REMAO004.TXT"/>
    <x v="105"/>
    <x v="9"/>
    <n v="20"/>
    <n v="103058"/>
    <n v="0.02"/>
    <s v="DQS_MAO04_FILE_000_B"/>
    <s v="RECORD COUNT by MBR_ID, DOS_THRU_DT, DX_CD Grain grouped by PAYER, SRC_FILE_NM, DOS_THRU_YYYYMM"/>
  </r>
  <r>
    <x v="2"/>
    <s v="SGMRYCLN_PE202604_REMAO004.TXT"/>
    <x v="106"/>
    <x v="9"/>
    <n v="46"/>
    <n v="103058"/>
    <n v="0.04"/>
    <s v="DQS_MAO04_FILE_000_B"/>
    <s v="RECORD COUNT by MBR_ID, DOS_THRU_DT, DX_CD Grain grouped by PAYER, SRC_FILE_NM, DOS_THRU_YYYYMM"/>
  </r>
  <r>
    <x v="2"/>
    <s v="SGMRYCLN_PE202604_REMAO004.TXT"/>
    <x v="107"/>
    <x v="9"/>
    <n v="69"/>
    <n v="103058"/>
    <n v="7.0000000000000007E-2"/>
    <s v="DQS_MAO04_FILE_000_B"/>
    <s v="RECORD COUNT by MBR_ID, DOS_THRU_DT, DX_CD Grain grouped by PAYER, SRC_FILE_NM, DOS_THRU_YYYYMM"/>
  </r>
  <r>
    <x v="2"/>
    <s v="SGMRYCLN_PE202604_REMAO004.TXT"/>
    <x v="108"/>
    <x v="9"/>
    <n v="56"/>
    <n v="103058"/>
    <n v="0.05"/>
    <s v="DQS_MAO04_FILE_000_B"/>
    <s v="RECORD COUNT by MBR_ID, DOS_THRU_DT, DX_CD Grain grouped by PAYER, SRC_FILE_NM, DOS_THRU_YYYYMM"/>
  </r>
  <r>
    <x v="2"/>
    <s v="SGMRYCLN_PE202604_REMAO004.TXT"/>
    <x v="109"/>
    <x v="9"/>
    <n v="47"/>
    <n v="103058"/>
    <n v="0.05"/>
    <s v="DQS_MAO04_FILE_000_B"/>
    <s v="RECORD COUNT by MBR_ID, DOS_THRU_DT, DX_CD Grain grouped by PAYER, SRC_FILE_NM, DOS_THRU_YYYYMM"/>
  </r>
  <r>
    <x v="2"/>
    <s v="SGMRYCLN_PE202604_REMAO004.TXT"/>
    <x v="110"/>
    <x v="11"/>
    <n v="127"/>
    <n v="103058"/>
    <n v="0.12"/>
    <s v="DQS_MAO04_FILE_000_B"/>
    <s v="RECORD COUNT by MBR_ID, DOS_THRU_DT, DX_CD Grain grouped by PAYER, SRC_FILE_NM, DOS_THRU_YYYYMM"/>
  </r>
  <r>
    <x v="2"/>
    <s v="SGMRYCLN_PE202604_REMAO004.TXT"/>
    <x v="111"/>
    <x v="11"/>
    <n v="202"/>
    <n v="103058"/>
    <n v="0.2"/>
    <s v="DQS_MAO04_FILE_000_B"/>
    <s v="RECORD COUNT by MBR_ID, DOS_THRU_DT, DX_CD Grain grouped by PAYER, SRC_FILE_NM, DOS_THRU_YYYYMM"/>
  </r>
  <r>
    <x v="2"/>
    <s v="SGMRYCLN_PE202604_REMAO004.TXT"/>
    <x v="112"/>
    <x v="11"/>
    <n v="445"/>
    <n v="103058"/>
    <n v="0.43"/>
    <s v="DQS_MAO04_FILE_000_B"/>
    <s v="RECORD COUNT by MBR_ID, DOS_THRU_DT, DX_CD Grain grouped by PAYER, SRC_FILE_NM, DOS_THRU_YYYYMM"/>
  </r>
  <r>
    <x v="2"/>
    <s v="SGMRYCLN_PE202604_REMAO004.TXT"/>
    <x v="113"/>
    <x v="11"/>
    <n v="171"/>
    <n v="103058"/>
    <n v="0.17"/>
    <s v="DQS_MAO04_FILE_000_B"/>
    <s v="RECORD COUNT by MBR_ID, DOS_THRU_DT, DX_CD Grain grouped by PAYER, SRC_FILE_NM, DOS_THRU_YYYYMM"/>
  </r>
  <r>
    <x v="2"/>
    <s v="SGMRYCLN_PE202604_REMAO004.TXT"/>
    <x v="114"/>
    <x v="11"/>
    <n v="592"/>
    <n v="103058"/>
    <n v="0.56999999999999995"/>
    <s v="DQS_MAO04_FILE_000_B"/>
    <s v="RECORD COUNT by MBR_ID, DOS_THRU_DT, DX_CD Grain grouped by PAYER, SRC_FILE_NM, DOS_THRU_YYYYMM"/>
  </r>
  <r>
    <x v="2"/>
    <s v="SGMRYCLN_PE202604_REMAO004.TXT"/>
    <x v="115"/>
    <x v="11"/>
    <n v="433"/>
    <n v="103058"/>
    <n v="0.42"/>
    <s v="DQS_MAO04_FILE_000_B"/>
    <s v="RECORD COUNT by MBR_ID, DOS_THRU_DT, DX_CD Grain grouped by PAYER, SRC_FILE_NM, DOS_THRU_YYYYMM"/>
  </r>
  <r>
    <x v="2"/>
    <s v="SGMRYCLN_PE202604_REMAO004.TXT"/>
    <x v="116"/>
    <x v="11"/>
    <n v="531"/>
    <n v="103058"/>
    <n v="0.52"/>
    <s v="DQS_MAO04_FILE_000_B"/>
    <s v="RECORD COUNT by MBR_ID, DOS_THRU_DT, DX_CD Grain grouped by PAYER, SRC_FILE_NM, DOS_THRU_YYYYMM"/>
  </r>
  <r>
    <x v="2"/>
    <s v="SGMRYCLN_PE202604_REMAO004.TXT"/>
    <x v="117"/>
    <x v="11"/>
    <n v="599"/>
    <n v="103058"/>
    <n v="0.57999999999999996"/>
    <s v="DQS_MAO04_FILE_000_B"/>
    <s v="RECORD COUNT by MBR_ID, DOS_THRU_DT, DX_CD Grain grouped by PAYER, SRC_FILE_NM, DOS_THRU_YYYYMM"/>
  </r>
  <r>
    <x v="2"/>
    <s v="SGMRYCLN_PE202604_REMAO004.TXT"/>
    <x v="118"/>
    <x v="11"/>
    <n v="646"/>
    <n v="103058"/>
    <n v="0.63"/>
    <s v="DQS_MAO04_FILE_000_B"/>
    <s v="RECORD COUNT by MBR_ID, DOS_THRU_DT, DX_CD Grain grouped by PAYER, SRC_FILE_NM, DOS_THRU_YYYYMM"/>
  </r>
  <r>
    <x v="2"/>
    <s v="SGMRYCLN_PE202604_REMAO004.TXT"/>
    <x v="119"/>
    <x v="11"/>
    <n v="1040"/>
    <n v="103058"/>
    <n v="1.01"/>
    <s v="DQS_MAO04_FILE_000_B"/>
    <s v="RECORD COUNT by MBR_ID, DOS_THRU_DT, DX_CD Grain grouped by PAYER, SRC_FILE_NM, DOS_THRU_YYYYMM"/>
  </r>
  <r>
    <x v="2"/>
    <s v="SGMRYCLN_PE202604_REMAO004.TXT"/>
    <x v="120"/>
    <x v="11"/>
    <n v="1584"/>
    <n v="103058"/>
    <n v="1.54"/>
    <s v="DQS_MAO04_FILE_000_B"/>
    <s v="RECORD COUNT by MBR_ID, DOS_THRU_DT, DX_CD Grain grouped by PAYER, SRC_FILE_NM, DOS_THRU_YYYYMM"/>
  </r>
  <r>
    <x v="2"/>
    <s v="SGMRYCLN_PE202604_REMAO004.TXT"/>
    <x v="121"/>
    <x v="11"/>
    <n v="3768"/>
    <n v="103058"/>
    <n v="3.66"/>
    <s v="DQS_MAO04_FILE_000_B"/>
    <s v="RECORD COUNT by MBR_ID, DOS_THRU_DT, DX_CD Grain grouped by PAYER, SRC_FILE_NM, DOS_THRU_YYYYMM"/>
  </r>
  <r>
    <x v="2"/>
    <s v="SGMRYCLN_PE202604_REMAO004.TXT"/>
    <x v="122"/>
    <x v="12"/>
    <n v="56193"/>
    <n v="103058"/>
    <n v="54.53"/>
    <s v="DQS_MAO04_FILE_000_B"/>
    <s v="RECORD COUNT by MBR_ID, DOS_THRU_DT, DX_CD Grain grouped by PAYER, SRC_FILE_NM, DOS_THRU_YYYYMM"/>
  </r>
  <r>
    <x v="2"/>
    <s v="SGMRYCLN_PE202604_REMAO004.TXT"/>
    <x v="123"/>
    <x v="12"/>
    <n v="36441"/>
    <n v="103058"/>
    <n v="35.36"/>
    <s v="DQS_MAO04_FILE_000_B"/>
    <s v="RECORD COUNT by MBR_ID, DOS_THRU_DT, DX_CD Grain grouped by PAYER, SRC_FILE_NM, DOS_THRU_YYYYMM"/>
  </r>
  <r>
    <x v="2"/>
    <s v="SGMRYCLN_PE202605_REMAO004.TXT"/>
    <x v="69"/>
    <x v="7"/>
    <n v="1"/>
    <n v="142634"/>
    <n v="0"/>
    <s v="DQS_MAO04_FILE_000_B"/>
    <s v="RECORD COUNT by MBR_ID, DOS_THRU_DT, DX_CD Grain grouped by PAYER, SRC_FILE_NM, DOS_THRU_YYYYMM"/>
  </r>
  <r>
    <x v="2"/>
    <s v="SGMRYCLN_PE202605_REMAO004.TXT"/>
    <x v="80"/>
    <x v="8"/>
    <n v="9"/>
    <n v="142634"/>
    <n v="0.01"/>
    <s v="DQS_MAO04_FILE_000_B"/>
    <s v="RECORD COUNT by MBR_ID, DOS_THRU_DT, DX_CD Grain grouped by PAYER, SRC_FILE_NM, DOS_THRU_YYYYMM"/>
  </r>
  <r>
    <x v="2"/>
    <s v="SGMRYCLN_PE202605_REMAO004.TXT"/>
    <x v="81"/>
    <x v="8"/>
    <n v="3"/>
    <n v="142634"/>
    <n v="0"/>
    <s v="DQS_MAO04_FILE_000_B"/>
    <s v="RECORD COUNT by MBR_ID, DOS_THRU_DT, DX_CD Grain grouped by PAYER, SRC_FILE_NM, DOS_THRU_YYYYMM"/>
  </r>
  <r>
    <x v="2"/>
    <s v="SGMRYCLN_PE202605_REMAO004.TXT"/>
    <x v="82"/>
    <x v="8"/>
    <n v="27"/>
    <n v="142634"/>
    <n v="0.02"/>
    <s v="DQS_MAO04_FILE_000_B"/>
    <s v="RECORD COUNT by MBR_ID, DOS_THRU_DT, DX_CD Grain grouped by PAYER, SRC_FILE_NM, DOS_THRU_YYYYMM"/>
  </r>
  <r>
    <x v="2"/>
    <s v="SGMRYCLN_PE202605_REMAO004.TXT"/>
    <x v="83"/>
    <x v="8"/>
    <n v="13"/>
    <n v="142634"/>
    <n v="0.01"/>
    <s v="DQS_MAO04_FILE_000_B"/>
    <s v="RECORD COUNT by MBR_ID, DOS_THRU_DT, DX_CD Grain grouped by PAYER, SRC_FILE_NM, DOS_THRU_YYYYMM"/>
  </r>
  <r>
    <x v="2"/>
    <s v="SGMRYCLN_PE202605_REMAO004.TXT"/>
    <x v="84"/>
    <x v="8"/>
    <n v="57"/>
    <n v="142634"/>
    <n v="0.04"/>
    <s v="DQS_MAO04_FILE_000_B"/>
    <s v="RECORD COUNT by MBR_ID, DOS_THRU_DT, DX_CD Grain grouped by PAYER, SRC_FILE_NM, DOS_THRU_YYYYMM"/>
  </r>
  <r>
    <x v="2"/>
    <s v="SGMRYCLN_PE202605_REMAO004.TXT"/>
    <x v="85"/>
    <x v="8"/>
    <n v="50"/>
    <n v="142634"/>
    <n v="0.04"/>
    <s v="DQS_MAO04_FILE_000_B"/>
    <s v="RECORD COUNT by MBR_ID, DOS_THRU_DT, DX_CD Grain grouped by PAYER, SRC_FILE_NM, DOS_THRU_YYYYMM"/>
  </r>
  <r>
    <x v="2"/>
    <s v="SGMRYCLN_PE202605_REMAO004.TXT"/>
    <x v="86"/>
    <x v="8"/>
    <n v="2"/>
    <n v="142634"/>
    <n v="0"/>
    <s v="DQS_MAO04_FILE_000_B"/>
    <s v="RECORD COUNT by MBR_ID, DOS_THRU_DT, DX_CD Grain grouped by PAYER, SRC_FILE_NM, DOS_THRU_YYYYMM"/>
  </r>
  <r>
    <x v="2"/>
    <s v="SGMRYCLN_PE202605_REMAO004.TXT"/>
    <x v="87"/>
    <x v="8"/>
    <n v="18"/>
    <n v="142634"/>
    <n v="0.01"/>
    <s v="DQS_MAO04_FILE_000_B"/>
    <s v="RECORD COUNT by MBR_ID, DOS_THRU_DT, DX_CD Grain grouped by PAYER, SRC_FILE_NM, DOS_THRU_YYYYMM"/>
  </r>
  <r>
    <x v="2"/>
    <s v="SGMRYCLN_PE202605_REMAO004.TXT"/>
    <x v="88"/>
    <x v="8"/>
    <n v="22"/>
    <n v="142634"/>
    <n v="0.02"/>
    <s v="DQS_MAO04_FILE_000_B"/>
    <s v="RECORD COUNT by MBR_ID, DOS_THRU_DT, DX_CD Grain grouped by PAYER, SRC_FILE_NM, DOS_THRU_YYYYMM"/>
  </r>
  <r>
    <x v="2"/>
    <s v="SGMRYCLN_PE202605_REMAO004.TXT"/>
    <x v="97"/>
    <x v="9"/>
    <n v="16"/>
    <n v="142634"/>
    <n v="0.01"/>
    <s v="DQS_MAO04_FILE_000_B"/>
    <s v="RECORD COUNT by MBR_ID, DOS_THRU_DT, DX_CD Grain grouped by PAYER, SRC_FILE_NM, DOS_THRU_YYYYMM"/>
  </r>
  <r>
    <x v="2"/>
    <s v="SGMRYCLN_PE202605_REMAO004.TXT"/>
    <x v="98"/>
    <x v="9"/>
    <n v="1"/>
    <n v="142634"/>
    <n v="0"/>
    <s v="DQS_MAO04_FILE_000_B"/>
    <s v="RECORD COUNT by MBR_ID, DOS_THRU_DT, DX_CD Grain grouped by PAYER, SRC_FILE_NM, DOS_THRU_YYYYMM"/>
  </r>
  <r>
    <x v="2"/>
    <s v="SGMRYCLN_PE202605_REMAO004.TXT"/>
    <x v="99"/>
    <x v="9"/>
    <n v="30"/>
    <n v="142634"/>
    <n v="0.02"/>
    <s v="DQS_MAO04_FILE_000_B"/>
    <s v="RECORD COUNT by MBR_ID, DOS_THRU_DT, DX_CD Grain grouped by PAYER, SRC_FILE_NM, DOS_THRU_YYYYMM"/>
  </r>
  <r>
    <x v="2"/>
    <s v="SGMRYCLN_PE202605_REMAO004.TXT"/>
    <x v="100"/>
    <x v="9"/>
    <n v="15"/>
    <n v="142634"/>
    <n v="0.01"/>
    <s v="DQS_MAO04_FILE_000_B"/>
    <s v="RECORD COUNT by MBR_ID, DOS_THRU_DT, DX_CD Grain grouped by PAYER, SRC_FILE_NM, DOS_THRU_YYYYMM"/>
  </r>
  <r>
    <x v="2"/>
    <s v="SGMRYCLN_PE202605_REMAO004.TXT"/>
    <x v="102"/>
    <x v="9"/>
    <n v="5"/>
    <n v="142634"/>
    <n v="0"/>
    <s v="DQS_MAO04_FILE_000_B"/>
    <s v="RECORD COUNT by MBR_ID, DOS_THRU_DT, DX_CD Grain grouped by PAYER, SRC_FILE_NM, DOS_THRU_YYYYMM"/>
  </r>
  <r>
    <x v="2"/>
    <s v="SGMRYCLN_PE202605_REMAO004.TXT"/>
    <x v="103"/>
    <x v="9"/>
    <n v="9"/>
    <n v="142634"/>
    <n v="0.01"/>
    <s v="DQS_MAO04_FILE_000_B"/>
    <s v="RECORD COUNT by MBR_ID, DOS_THRU_DT, DX_CD Grain grouped by PAYER, SRC_FILE_NM, DOS_THRU_YYYYMM"/>
  </r>
  <r>
    <x v="2"/>
    <s v="SGMRYCLN_PE202605_REMAO004.TXT"/>
    <x v="105"/>
    <x v="9"/>
    <n v="11"/>
    <n v="142634"/>
    <n v="0.01"/>
    <s v="DQS_MAO04_FILE_000_B"/>
    <s v="RECORD COUNT by MBR_ID, DOS_THRU_DT, DX_CD Grain grouped by PAYER, SRC_FILE_NM, DOS_THRU_YYYYMM"/>
  </r>
  <r>
    <x v="2"/>
    <s v="SGMRYCLN_PE202605_REMAO004.TXT"/>
    <x v="106"/>
    <x v="9"/>
    <n v="55"/>
    <n v="142634"/>
    <n v="0.04"/>
    <s v="DQS_MAO04_FILE_000_B"/>
    <s v="RECORD COUNT by MBR_ID, DOS_THRU_DT, DX_CD Grain grouped by PAYER, SRC_FILE_NM, DOS_THRU_YYYYMM"/>
  </r>
  <r>
    <x v="2"/>
    <s v="SGMRYCLN_PE202605_REMAO004.TXT"/>
    <x v="107"/>
    <x v="9"/>
    <n v="39"/>
    <n v="142634"/>
    <n v="0.03"/>
    <s v="DQS_MAO04_FILE_000_B"/>
    <s v="RECORD COUNT by MBR_ID, DOS_THRU_DT, DX_CD Grain grouped by PAYER, SRC_FILE_NM, DOS_THRU_YYYYMM"/>
  </r>
  <r>
    <x v="2"/>
    <s v="SGMRYCLN_PE202605_REMAO004.TXT"/>
    <x v="108"/>
    <x v="9"/>
    <n v="49"/>
    <n v="142634"/>
    <n v="0.03"/>
    <s v="DQS_MAO04_FILE_000_B"/>
    <s v="RECORD COUNT by MBR_ID, DOS_THRU_DT, DX_CD Grain grouped by PAYER, SRC_FILE_NM, DOS_THRU_YYYYMM"/>
  </r>
  <r>
    <x v="2"/>
    <s v="SGMRYCLN_PE202605_REMAO004.TXT"/>
    <x v="109"/>
    <x v="9"/>
    <n v="37"/>
    <n v="142634"/>
    <n v="0.03"/>
    <s v="DQS_MAO04_FILE_000_B"/>
    <s v="RECORD COUNT by MBR_ID, DOS_THRU_DT, DX_CD Grain grouped by PAYER, SRC_FILE_NM, DOS_THRU_YYYYMM"/>
  </r>
  <r>
    <x v="2"/>
    <s v="SGMRYCLN_PE202605_REMAO004.TXT"/>
    <x v="110"/>
    <x v="11"/>
    <n v="410"/>
    <n v="142634"/>
    <n v="0.28999999999999998"/>
    <s v="DQS_MAO04_FILE_000_B"/>
    <s v="RECORD COUNT by MBR_ID, DOS_THRU_DT, DX_CD Grain grouped by PAYER, SRC_FILE_NM, DOS_THRU_YYYYMM"/>
  </r>
  <r>
    <x v="2"/>
    <s v="SGMRYCLN_PE202605_REMAO004.TXT"/>
    <x v="111"/>
    <x v="11"/>
    <n v="466"/>
    <n v="142634"/>
    <n v="0.33"/>
    <s v="DQS_MAO04_FILE_000_B"/>
    <s v="RECORD COUNT by MBR_ID, DOS_THRU_DT, DX_CD Grain grouped by PAYER, SRC_FILE_NM, DOS_THRU_YYYYMM"/>
  </r>
  <r>
    <x v="2"/>
    <s v="SGMRYCLN_PE202605_REMAO004.TXT"/>
    <x v="112"/>
    <x v="11"/>
    <n v="574"/>
    <n v="142634"/>
    <n v="0.4"/>
    <s v="DQS_MAO04_FILE_000_B"/>
    <s v="RECORD COUNT by MBR_ID, DOS_THRU_DT, DX_CD Grain grouped by PAYER, SRC_FILE_NM, DOS_THRU_YYYYMM"/>
  </r>
  <r>
    <x v="2"/>
    <s v="SGMRYCLN_PE202605_REMAO004.TXT"/>
    <x v="113"/>
    <x v="11"/>
    <n v="543"/>
    <n v="142634"/>
    <n v="0.38"/>
    <s v="DQS_MAO04_FILE_000_B"/>
    <s v="RECORD COUNT by MBR_ID, DOS_THRU_DT, DX_CD Grain grouped by PAYER, SRC_FILE_NM, DOS_THRU_YYYYMM"/>
  </r>
  <r>
    <x v="2"/>
    <s v="SGMRYCLN_PE202605_REMAO004.TXT"/>
    <x v="114"/>
    <x v="11"/>
    <n v="717"/>
    <n v="142634"/>
    <n v="0.5"/>
    <s v="DQS_MAO04_FILE_000_B"/>
    <s v="RECORD COUNT by MBR_ID, DOS_THRU_DT, DX_CD Grain grouped by PAYER, SRC_FILE_NM, DOS_THRU_YYYYMM"/>
  </r>
  <r>
    <x v="2"/>
    <s v="SGMRYCLN_PE202605_REMAO004.TXT"/>
    <x v="115"/>
    <x v="11"/>
    <n v="503"/>
    <n v="142634"/>
    <n v="0.35"/>
    <s v="DQS_MAO04_FILE_000_B"/>
    <s v="RECORD COUNT by MBR_ID, DOS_THRU_DT, DX_CD Grain grouped by PAYER, SRC_FILE_NM, DOS_THRU_YYYYMM"/>
  </r>
  <r>
    <x v="2"/>
    <s v="SGMRYCLN_PE202605_REMAO004.TXT"/>
    <x v="116"/>
    <x v="11"/>
    <n v="603"/>
    <n v="142634"/>
    <n v="0.42"/>
    <s v="DQS_MAO04_FILE_000_B"/>
    <s v="RECORD COUNT by MBR_ID, DOS_THRU_DT, DX_CD Grain grouped by PAYER, SRC_FILE_NM, DOS_THRU_YYYYMM"/>
  </r>
  <r>
    <x v="2"/>
    <s v="SGMRYCLN_PE202605_REMAO004.TXT"/>
    <x v="117"/>
    <x v="11"/>
    <n v="532"/>
    <n v="142634"/>
    <n v="0.37"/>
    <s v="DQS_MAO04_FILE_000_B"/>
    <s v="RECORD COUNT by MBR_ID, DOS_THRU_DT, DX_CD Grain grouped by PAYER, SRC_FILE_NM, DOS_THRU_YYYYMM"/>
  </r>
  <r>
    <x v="2"/>
    <s v="SGMRYCLN_PE202605_REMAO004.TXT"/>
    <x v="118"/>
    <x v="11"/>
    <n v="1092"/>
    <n v="142634"/>
    <n v="0.77"/>
    <s v="DQS_MAO04_FILE_000_B"/>
    <s v="RECORD COUNT by MBR_ID, DOS_THRU_DT, DX_CD Grain grouped by PAYER, SRC_FILE_NM, DOS_THRU_YYYYMM"/>
  </r>
  <r>
    <x v="2"/>
    <s v="SGMRYCLN_PE202605_REMAO004.TXT"/>
    <x v="119"/>
    <x v="11"/>
    <n v="1509"/>
    <n v="142634"/>
    <n v="1.06"/>
    <s v="DQS_MAO04_FILE_000_B"/>
    <s v="RECORD COUNT by MBR_ID, DOS_THRU_DT, DX_CD Grain grouped by PAYER, SRC_FILE_NM, DOS_THRU_YYYYMM"/>
  </r>
  <r>
    <x v="2"/>
    <s v="SGMRYCLN_PE202605_REMAO004.TXT"/>
    <x v="120"/>
    <x v="11"/>
    <n v="1655"/>
    <n v="142634"/>
    <n v="1.1599999999999999"/>
    <s v="DQS_MAO04_FILE_000_B"/>
    <s v="RECORD COUNT by MBR_ID, DOS_THRU_DT, DX_CD Grain grouped by PAYER, SRC_FILE_NM, DOS_THRU_YYYYMM"/>
  </r>
  <r>
    <x v="2"/>
    <s v="SGMRYCLN_PE202605_REMAO004.TXT"/>
    <x v="121"/>
    <x v="11"/>
    <n v="3095"/>
    <n v="142634"/>
    <n v="2.17"/>
    <s v="DQS_MAO04_FILE_000_B"/>
    <s v="RECORD COUNT by MBR_ID, DOS_THRU_DT, DX_CD Grain grouped by PAYER, SRC_FILE_NM, DOS_THRU_YYYYMM"/>
  </r>
  <r>
    <x v="2"/>
    <s v="SGMRYCLN_PE202605_REMAO004.TXT"/>
    <x v="122"/>
    <x v="12"/>
    <n v="12781"/>
    <n v="142634"/>
    <n v="8.9600000000000009"/>
    <s v="DQS_MAO04_FILE_000_B"/>
    <s v="RECORD COUNT by MBR_ID, DOS_THRU_DT, DX_CD Grain grouped by PAYER, SRC_FILE_NM, DOS_THRU_YYYYMM"/>
  </r>
  <r>
    <x v="2"/>
    <s v="SGMRYCLN_PE202605_REMAO004.TXT"/>
    <x v="123"/>
    <x v="12"/>
    <n v="67225"/>
    <n v="142634"/>
    <n v="47.13"/>
    <s v="DQS_MAO04_FILE_000_B"/>
    <s v="RECORD COUNT by MBR_ID, DOS_THRU_DT, DX_CD Grain grouped by PAYER, SRC_FILE_NM, DOS_THRU_YYYYMM"/>
  </r>
  <r>
    <x v="2"/>
    <s v="SGMRYCLN_PE202605_REMAO004.TXT"/>
    <x v="124"/>
    <x v="12"/>
    <n v="50460"/>
    <n v="142634"/>
    <n v="35.380000000000003"/>
    <s v="DQS_MAO04_FILE_000_B"/>
    <s v="RECORD COUNT by MBR_ID, DOS_THRU_DT, DX_CD Grain grouped by PAYER, SRC_FILE_NM, DOS_THRU_YYYYMM"/>
  </r>
  <r>
    <x v="2"/>
    <s v="SGMRYCLN_PE202606_REMAO004.TXT"/>
    <x v="79"/>
    <x v="8"/>
    <n v="1"/>
    <n v="118230"/>
    <n v="0"/>
    <s v="DQS_MAO04_FILE_000_B"/>
    <s v="RECORD COUNT by MBR_ID, DOS_THRU_DT, DX_CD Grain grouped by PAYER, SRC_FILE_NM, DOS_THRU_YYYYMM"/>
  </r>
  <r>
    <x v="2"/>
    <s v="SGMRYCLN_PE202606_REMAO004.TXT"/>
    <x v="81"/>
    <x v="8"/>
    <n v="2"/>
    <n v="118230"/>
    <n v="0"/>
    <s v="DQS_MAO04_FILE_000_B"/>
    <s v="RECORD COUNT by MBR_ID, DOS_THRU_DT, DX_CD Grain grouped by PAYER, SRC_FILE_NM, DOS_THRU_YYYYMM"/>
  </r>
  <r>
    <x v="2"/>
    <s v="SGMRYCLN_PE202606_REMAO004.TXT"/>
    <x v="86"/>
    <x v="8"/>
    <n v="4"/>
    <n v="118230"/>
    <n v="0"/>
    <s v="DQS_MAO04_FILE_000_B"/>
    <s v="RECORD COUNT by MBR_ID, DOS_THRU_DT, DX_CD Grain grouped by PAYER, SRC_FILE_NM, DOS_THRU_YYYYMM"/>
  </r>
  <r>
    <x v="2"/>
    <s v="SGMRYCLN_PE202606_REMAO004.TXT"/>
    <x v="87"/>
    <x v="8"/>
    <n v="8"/>
    <n v="118230"/>
    <n v="0.01"/>
    <s v="DQS_MAO04_FILE_000_B"/>
    <s v="RECORD COUNT by MBR_ID, DOS_THRU_DT, DX_CD Grain grouped by PAYER, SRC_FILE_NM, DOS_THRU_YYYYMM"/>
  </r>
  <r>
    <x v="2"/>
    <s v="SGMRYCLN_PE202606_REMAO004.TXT"/>
    <x v="97"/>
    <x v="9"/>
    <n v="5"/>
    <n v="118230"/>
    <n v="0"/>
    <s v="DQS_MAO04_FILE_000_B"/>
    <s v="RECORD COUNT by MBR_ID, DOS_THRU_DT, DX_CD Grain grouped by PAYER, SRC_FILE_NM, DOS_THRU_YYYYMM"/>
  </r>
  <r>
    <x v="2"/>
    <s v="SGMRYCLN_PE202606_REMAO004.TXT"/>
    <x v="98"/>
    <x v="9"/>
    <n v="7"/>
    <n v="118230"/>
    <n v="0.01"/>
    <s v="DQS_MAO04_FILE_000_B"/>
    <s v="RECORD COUNT by MBR_ID, DOS_THRU_DT, DX_CD Grain grouped by PAYER, SRC_FILE_NM, DOS_THRU_YYYYMM"/>
  </r>
  <r>
    <x v="2"/>
    <s v="SGMRYCLN_PE202606_REMAO004.TXT"/>
    <x v="99"/>
    <x v="9"/>
    <n v="7"/>
    <n v="118230"/>
    <n v="0.01"/>
    <s v="DQS_MAO04_FILE_000_B"/>
    <s v="RECORD COUNT by MBR_ID, DOS_THRU_DT, DX_CD Grain grouped by PAYER, SRC_FILE_NM, DOS_THRU_YYYYMM"/>
  </r>
  <r>
    <x v="2"/>
    <s v="SGMRYCLN_PE202606_REMAO004.TXT"/>
    <x v="100"/>
    <x v="9"/>
    <n v="27"/>
    <n v="118230"/>
    <n v="0.02"/>
    <s v="DQS_MAO04_FILE_000_B"/>
    <s v="RECORD COUNT by MBR_ID, DOS_THRU_DT, DX_CD Grain grouped by PAYER, SRC_FILE_NM, DOS_THRU_YYYYMM"/>
  </r>
  <r>
    <x v="2"/>
    <s v="SGMRYCLN_PE202606_REMAO004.TXT"/>
    <x v="102"/>
    <x v="9"/>
    <n v="6"/>
    <n v="118230"/>
    <n v="0.01"/>
    <s v="DQS_MAO04_FILE_000_B"/>
    <s v="RECORD COUNT by MBR_ID, DOS_THRU_DT, DX_CD Grain grouped by PAYER, SRC_FILE_NM, DOS_THRU_YYYYMM"/>
  </r>
  <r>
    <x v="2"/>
    <s v="SGMRYCLN_PE202606_REMAO004.TXT"/>
    <x v="103"/>
    <x v="9"/>
    <n v="8"/>
    <n v="118230"/>
    <n v="0.01"/>
    <s v="DQS_MAO04_FILE_000_B"/>
    <s v="RECORD COUNT by MBR_ID, DOS_THRU_DT, DX_CD Grain grouped by PAYER, SRC_FILE_NM, DOS_THRU_YYYYMM"/>
  </r>
  <r>
    <x v="2"/>
    <s v="SGMRYCLN_PE202606_REMAO004.TXT"/>
    <x v="105"/>
    <x v="9"/>
    <n v="30"/>
    <n v="118230"/>
    <n v="0.03"/>
    <s v="DQS_MAO04_FILE_000_B"/>
    <s v="RECORD COUNT by MBR_ID, DOS_THRU_DT, DX_CD Grain grouped by PAYER, SRC_FILE_NM, DOS_THRU_YYYYMM"/>
  </r>
  <r>
    <x v="2"/>
    <s v="SGMRYCLN_PE202606_REMAO004.TXT"/>
    <x v="106"/>
    <x v="9"/>
    <n v="2"/>
    <n v="118230"/>
    <n v="0"/>
    <s v="DQS_MAO04_FILE_000_B"/>
    <s v="RECORD COUNT by MBR_ID, DOS_THRU_DT, DX_CD Grain grouped by PAYER, SRC_FILE_NM, DOS_THRU_YYYYMM"/>
  </r>
  <r>
    <x v="2"/>
    <s v="SGMRYCLN_PE202606_REMAO004.TXT"/>
    <x v="107"/>
    <x v="9"/>
    <n v="27"/>
    <n v="118230"/>
    <n v="0.02"/>
    <s v="DQS_MAO04_FILE_000_B"/>
    <s v="RECORD COUNT by MBR_ID, DOS_THRU_DT, DX_CD Grain grouped by PAYER, SRC_FILE_NM, DOS_THRU_YYYYMM"/>
  </r>
  <r>
    <x v="2"/>
    <s v="SGMRYCLN_PE202606_REMAO004.TXT"/>
    <x v="108"/>
    <x v="9"/>
    <n v="20"/>
    <n v="118230"/>
    <n v="0.02"/>
    <s v="DQS_MAO04_FILE_000_B"/>
    <s v="RECORD COUNT by MBR_ID, DOS_THRU_DT, DX_CD Grain grouped by PAYER, SRC_FILE_NM, DOS_THRU_YYYYMM"/>
  </r>
  <r>
    <x v="2"/>
    <s v="SGMRYCLN_PE202606_REMAO004.TXT"/>
    <x v="109"/>
    <x v="9"/>
    <n v="33"/>
    <n v="118230"/>
    <n v="0.03"/>
    <s v="DQS_MAO04_FILE_000_B"/>
    <s v="RECORD COUNT by MBR_ID, DOS_THRU_DT, DX_CD Grain grouped by PAYER, SRC_FILE_NM, DOS_THRU_YYYYMM"/>
  </r>
  <r>
    <x v="2"/>
    <s v="SGMRYCLN_PE202606_REMAO004.TXT"/>
    <x v="110"/>
    <x v="11"/>
    <n v="167"/>
    <n v="118230"/>
    <n v="0.14000000000000001"/>
    <s v="DQS_MAO04_FILE_000_B"/>
    <s v="RECORD COUNT by MBR_ID, DOS_THRU_DT, DX_CD Grain grouped by PAYER, SRC_FILE_NM, DOS_THRU_YYYYMM"/>
  </r>
  <r>
    <x v="2"/>
    <s v="SGMRYCLN_PE202606_REMAO004.TXT"/>
    <x v="111"/>
    <x v="11"/>
    <n v="134"/>
    <n v="118230"/>
    <n v="0.11"/>
    <s v="DQS_MAO04_FILE_000_B"/>
    <s v="RECORD COUNT by MBR_ID, DOS_THRU_DT, DX_CD Grain grouped by PAYER, SRC_FILE_NM, DOS_THRU_YYYYMM"/>
  </r>
  <r>
    <x v="2"/>
    <s v="SGMRYCLN_PE202606_REMAO004.TXT"/>
    <x v="112"/>
    <x v="11"/>
    <n v="276"/>
    <n v="118230"/>
    <n v="0.23"/>
    <s v="DQS_MAO04_FILE_000_B"/>
    <s v="RECORD COUNT by MBR_ID, DOS_THRU_DT, DX_CD Grain grouped by PAYER, SRC_FILE_NM, DOS_THRU_YYYYMM"/>
  </r>
  <r>
    <x v="2"/>
    <s v="SGMRYCLN_PE202606_REMAO004.TXT"/>
    <x v="113"/>
    <x v="11"/>
    <n v="214"/>
    <n v="118230"/>
    <n v="0.18"/>
    <s v="DQS_MAO04_FILE_000_B"/>
    <s v="RECORD COUNT by MBR_ID, DOS_THRU_DT, DX_CD Grain grouped by PAYER, SRC_FILE_NM, DOS_THRU_YYYYMM"/>
  </r>
  <r>
    <x v="2"/>
    <s v="SGMRYCLN_PE202606_REMAO004.TXT"/>
    <x v="114"/>
    <x v="11"/>
    <n v="413"/>
    <n v="118230"/>
    <n v="0.35"/>
    <s v="DQS_MAO04_FILE_000_B"/>
    <s v="RECORD COUNT by MBR_ID, DOS_THRU_DT, DX_CD Grain grouped by PAYER, SRC_FILE_NM, DOS_THRU_YYYYMM"/>
  </r>
  <r>
    <x v="2"/>
    <s v="SGMRYCLN_PE202606_REMAO004.TXT"/>
    <x v="115"/>
    <x v="11"/>
    <n v="374"/>
    <n v="118230"/>
    <n v="0.32"/>
    <s v="DQS_MAO04_FILE_000_B"/>
    <s v="RECORD COUNT by MBR_ID, DOS_THRU_DT, DX_CD Grain grouped by PAYER, SRC_FILE_NM, DOS_THRU_YYYYMM"/>
  </r>
  <r>
    <x v="2"/>
    <s v="SGMRYCLN_PE202606_REMAO004.TXT"/>
    <x v="116"/>
    <x v="11"/>
    <n v="316"/>
    <n v="118230"/>
    <n v="0.27"/>
    <s v="DQS_MAO04_FILE_000_B"/>
    <s v="RECORD COUNT by MBR_ID, DOS_THRU_DT, DX_CD Grain grouped by PAYER, SRC_FILE_NM, DOS_THRU_YYYYMM"/>
  </r>
  <r>
    <x v="2"/>
    <s v="SGMRYCLN_PE202606_REMAO004.TXT"/>
    <x v="117"/>
    <x v="11"/>
    <n v="383"/>
    <n v="118230"/>
    <n v="0.32"/>
    <s v="DQS_MAO04_FILE_000_B"/>
    <s v="RECORD COUNT by MBR_ID, DOS_THRU_DT, DX_CD Grain grouped by PAYER, SRC_FILE_NM, DOS_THRU_YYYYMM"/>
  </r>
  <r>
    <x v="2"/>
    <s v="SGMRYCLN_PE202606_REMAO004.TXT"/>
    <x v="118"/>
    <x v="11"/>
    <n v="399"/>
    <n v="118230"/>
    <n v="0.34"/>
    <s v="DQS_MAO04_FILE_000_B"/>
    <s v="RECORD COUNT by MBR_ID, DOS_THRU_DT, DX_CD Grain grouped by PAYER, SRC_FILE_NM, DOS_THRU_YYYYMM"/>
  </r>
  <r>
    <x v="2"/>
    <s v="SGMRYCLN_PE202606_REMAO004.TXT"/>
    <x v="119"/>
    <x v="11"/>
    <n v="718"/>
    <n v="118230"/>
    <n v="0.61"/>
    <s v="DQS_MAO04_FILE_000_B"/>
    <s v="RECORD COUNT by MBR_ID, DOS_THRU_DT, DX_CD Grain grouped by PAYER, SRC_FILE_NM, DOS_THRU_YYYYMM"/>
  </r>
  <r>
    <x v="2"/>
    <s v="SGMRYCLN_PE202606_REMAO004.TXT"/>
    <x v="120"/>
    <x v="11"/>
    <n v="978"/>
    <n v="118230"/>
    <n v="0.83"/>
    <s v="DQS_MAO04_FILE_000_B"/>
    <s v="RECORD COUNT by MBR_ID, DOS_THRU_DT, DX_CD Grain grouped by PAYER, SRC_FILE_NM, DOS_THRU_YYYYMM"/>
  </r>
  <r>
    <x v="2"/>
    <s v="SGMRYCLN_PE202606_REMAO004.TXT"/>
    <x v="121"/>
    <x v="11"/>
    <n v="1417"/>
    <n v="118230"/>
    <n v="1.2"/>
    <s v="DQS_MAO04_FILE_000_B"/>
    <s v="RECORD COUNT by MBR_ID, DOS_THRU_DT, DX_CD Grain grouped by PAYER, SRC_FILE_NM, DOS_THRU_YYYYMM"/>
  </r>
  <r>
    <x v="2"/>
    <s v="SGMRYCLN_PE202606_REMAO004.TXT"/>
    <x v="122"/>
    <x v="12"/>
    <n v="3861"/>
    <n v="118230"/>
    <n v="3.27"/>
    <s v="DQS_MAO04_FILE_000_B"/>
    <s v="RECORD COUNT by MBR_ID, DOS_THRU_DT, DX_CD Grain grouped by PAYER, SRC_FILE_NM, DOS_THRU_YYYYMM"/>
  </r>
  <r>
    <x v="2"/>
    <s v="SGMRYCLN_PE202606_REMAO004.TXT"/>
    <x v="123"/>
    <x v="12"/>
    <n v="6439"/>
    <n v="118230"/>
    <n v="5.45"/>
    <s v="DQS_MAO04_FILE_000_B"/>
    <s v="RECORD COUNT by MBR_ID, DOS_THRU_DT, DX_CD Grain grouped by PAYER, SRC_FILE_NM, DOS_THRU_YYYYMM"/>
  </r>
  <r>
    <x v="2"/>
    <s v="SGMRYCLN_PE202606_REMAO004.TXT"/>
    <x v="124"/>
    <x v="12"/>
    <n v="57149"/>
    <n v="118230"/>
    <n v="48.34"/>
    <s v="DQS_MAO04_FILE_000_B"/>
    <s v="RECORD COUNT by MBR_ID, DOS_THRU_DT, DX_CD Grain grouped by PAYER, SRC_FILE_NM, DOS_THRU_YYYYMM"/>
  </r>
  <r>
    <x v="2"/>
    <s v="SGMRYCLN_PE202606_REMAO004.TXT"/>
    <x v="125"/>
    <x v="12"/>
    <n v="44805"/>
    <n v="118230"/>
    <n v="37.9"/>
    <s v="DQS_MAO04_FILE_000_B"/>
    <s v="RECORD COUNT by MBR_ID, DOS_THRU_DT, DX_CD Grain grouped by PAYER, SRC_FILE_NM, DOS_THRU_YYYYMM"/>
  </r>
  <r>
    <x v="2"/>
    <s v="SGOKMRCY_PE202401_REMAO004.TXT"/>
    <x v="43"/>
    <x v="5"/>
    <n v="7"/>
    <n v="52208"/>
    <n v="0.01"/>
    <s v="DQS_MAO04_FILE_000_B"/>
    <s v="RECORD COUNT by MBR_ID, DOS_THRU_DT, DX_CD Grain grouped by PAYER, SRC_FILE_NM, DOS_THRU_YYYYMM"/>
  </r>
  <r>
    <x v="2"/>
    <s v="SGOKMRCY_PE202401_REMAO004.TXT"/>
    <x v="50"/>
    <x v="5"/>
    <n v="1"/>
    <n v="52208"/>
    <n v="0"/>
    <s v="DQS_MAO04_FILE_000_B"/>
    <s v="RECORD COUNT by MBR_ID, DOS_THRU_DT, DX_CD Grain grouped by PAYER, SRC_FILE_NM, DOS_THRU_YYYYMM"/>
  </r>
  <r>
    <x v="2"/>
    <s v="SGOKMRCY_PE202401_REMAO004.TXT"/>
    <x v="53"/>
    <x v="6"/>
    <n v="3"/>
    <n v="52208"/>
    <n v="0.01"/>
    <s v="DQS_MAO04_FILE_000_B"/>
    <s v="RECORD COUNT by MBR_ID, DOS_THRU_DT, DX_CD Grain grouped by PAYER, SRC_FILE_NM, DOS_THRU_YYYYMM"/>
  </r>
  <r>
    <x v="2"/>
    <s v="SGOKMRCY_PE202401_REMAO004.TXT"/>
    <x v="55"/>
    <x v="6"/>
    <n v="9"/>
    <n v="52208"/>
    <n v="0.02"/>
    <s v="DQS_MAO04_FILE_000_B"/>
    <s v="RECORD COUNT by MBR_ID, DOS_THRU_DT, DX_CD Grain grouped by PAYER, SRC_FILE_NM, DOS_THRU_YYYYMM"/>
  </r>
  <r>
    <x v="2"/>
    <s v="SGOKMRCY_PE202401_REMAO004.TXT"/>
    <x v="57"/>
    <x v="6"/>
    <n v="36"/>
    <n v="52208"/>
    <n v="7.0000000000000007E-2"/>
    <s v="DQS_MAO04_FILE_000_B"/>
    <s v="RECORD COUNT by MBR_ID, DOS_THRU_DT, DX_CD Grain grouped by PAYER, SRC_FILE_NM, DOS_THRU_YYYYMM"/>
  </r>
  <r>
    <x v="2"/>
    <s v="SGOKMRCY_PE202401_REMAO004.TXT"/>
    <x v="59"/>
    <x v="6"/>
    <n v="11"/>
    <n v="52208"/>
    <n v="0.02"/>
    <s v="DQS_MAO04_FILE_000_B"/>
    <s v="RECORD COUNT by MBR_ID, DOS_THRU_DT, DX_CD Grain grouped by PAYER, SRC_FILE_NM, DOS_THRU_YYYYMM"/>
  </r>
  <r>
    <x v="2"/>
    <s v="SGOKMRCY_PE202401_REMAO004.TXT"/>
    <x v="60"/>
    <x v="6"/>
    <n v="4"/>
    <n v="52208"/>
    <n v="0.01"/>
    <s v="DQS_MAO04_FILE_000_B"/>
    <s v="RECORD COUNT by MBR_ID, DOS_THRU_DT, DX_CD Grain grouped by PAYER, SRC_FILE_NM, DOS_THRU_YYYYMM"/>
  </r>
  <r>
    <x v="2"/>
    <s v="SGOKMRCY_PE202401_REMAO004.TXT"/>
    <x v="61"/>
    <x v="6"/>
    <n v="1"/>
    <n v="52208"/>
    <n v="0"/>
    <s v="DQS_MAO04_FILE_000_B"/>
    <s v="RECORD COUNT by MBR_ID, DOS_THRU_DT, DX_CD Grain grouped by PAYER, SRC_FILE_NM, DOS_THRU_YYYYMM"/>
  </r>
  <r>
    <x v="2"/>
    <s v="SGOKMRCY_PE202401_REMAO004.TXT"/>
    <x v="63"/>
    <x v="6"/>
    <n v="1"/>
    <n v="52208"/>
    <n v="0"/>
    <s v="DQS_MAO04_FILE_000_B"/>
    <s v="RECORD COUNT by MBR_ID, DOS_THRU_DT, DX_CD Grain grouped by PAYER, SRC_FILE_NM, DOS_THRU_YYYYMM"/>
  </r>
  <r>
    <x v="2"/>
    <s v="SGOKMRCY_PE202401_REMAO004.TXT"/>
    <x v="64"/>
    <x v="6"/>
    <n v="11"/>
    <n v="52208"/>
    <n v="0.02"/>
    <s v="DQS_MAO04_FILE_000_B"/>
    <s v="RECORD COUNT by MBR_ID, DOS_THRU_DT, DX_CD Grain grouped by PAYER, SRC_FILE_NM, DOS_THRU_YYYYMM"/>
  </r>
  <r>
    <x v="2"/>
    <s v="SGOKMRCY_PE202401_REMAO004.TXT"/>
    <x v="65"/>
    <x v="7"/>
    <n v="3"/>
    <n v="52208"/>
    <n v="0.01"/>
    <s v="DQS_MAO04_FILE_000_B"/>
    <s v="RECORD COUNT by MBR_ID, DOS_THRU_DT, DX_CD Grain grouped by PAYER, SRC_FILE_NM, DOS_THRU_YYYYMM"/>
  </r>
  <r>
    <x v="2"/>
    <s v="SGOKMRCY_PE202401_REMAO004.TXT"/>
    <x v="66"/>
    <x v="7"/>
    <n v="42"/>
    <n v="52208"/>
    <n v="0.08"/>
    <s v="DQS_MAO04_FILE_000_B"/>
    <s v="RECORD COUNT by MBR_ID, DOS_THRU_DT, DX_CD Grain grouped by PAYER, SRC_FILE_NM, DOS_THRU_YYYYMM"/>
  </r>
  <r>
    <x v="2"/>
    <s v="SGOKMRCY_PE202401_REMAO004.TXT"/>
    <x v="67"/>
    <x v="7"/>
    <n v="14"/>
    <n v="52208"/>
    <n v="0.03"/>
    <s v="DQS_MAO04_FILE_000_B"/>
    <s v="RECORD COUNT by MBR_ID, DOS_THRU_DT, DX_CD Grain grouped by PAYER, SRC_FILE_NM, DOS_THRU_YYYYMM"/>
  </r>
  <r>
    <x v="2"/>
    <s v="SGOKMRCY_PE202401_REMAO004.TXT"/>
    <x v="68"/>
    <x v="7"/>
    <n v="24"/>
    <n v="52208"/>
    <n v="0.05"/>
    <s v="DQS_MAO04_FILE_000_B"/>
    <s v="RECORD COUNT by MBR_ID, DOS_THRU_DT, DX_CD Grain grouped by PAYER, SRC_FILE_NM, DOS_THRU_YYYYMM"/>
  </r>
  <r>
    <x v="2"/>
    <s v="SGOKMRCY_PE202401_REMAO004.TXT"/>
    <x v="69"/>
    <x v="7"/>
    <n v="37"/>
    <n v="52208"/>
    <n v="7.0000000000000007E-2"/>
    <s v="DQS_MAO04_FILE_000_B"/>
    <s v="RECORD COUNT by MBR_ID, DOS_THRU_DT, DX_CD Grain grouped by PAYER, SRC_FILE_NM, DOS_THRU_YYYYMM"/>
  </r>
  <r>
    <x v="2"/>
    <s v="SGOKMRCY_PE202401_REMAO004.TXT"/>
    <x v="70"/>
    <x v="7"/>
    <n v="6"/>
    <n v="52208"/>
    <n v="0.01"/>
    <s v="DQS_MAO04_FILE_000_B"/>
    <s v="RECORD COUNT by MBR_ID, DOS_THRU_DT, DX_CD Grain grouped by PAYER, SRC_FILE_NM, DOS_THRU_YYYYMM"/>
  </r>
  <r>
    <x v="2"/>
    <s v="SGOKMRCY_PE202401_REMAO004.TXT"/>
    <x v="71"/>
    <x v="7"/>
    <n v="28"/>
    <n v="52208"/>
    <n v="0.05"/>
    <s v="DQS_MAO04_FILE_000_B"/>
    <s v="RECORD COUNT by MBR_ID, DOS_THRU_DT, DX_CD Grain grouped by PAYER, SRC_FILE_NM, DOS_THRU_YYYYMM"/>
  </r>
  <r>
    <x v="2"/>
    <s v="SGOKMRCY_PE202401_REMAO004.TXT"/>
    <x v="72"/>
    <x v="7"/>
    <n v="34"/>
    <n v="52208"/>
    <n v="7.0000000000000007E-2"/>
    <s v="DQS_MAO04_FILE_000_B"/>
    <s v="RECORD COUNT by MBR_ID, DOS_THRU_DT, DX_CD Grain grouped by PAYER, SRC_FILE_NM, DOS_THRU_YYYYMM"/>
  </r>
  <r>
    <x v="2"/>
    <s v="SGOKMRCY_PE202401_REMAO004.TXT"/>
    <x v="73"/>
    <x v="7"/>
    <n v="69"/>
    <n v="52208"/>
    <n v="0.13"/>
    <s v="DQS_MAO04_FILE_000_B"/>
    <s v="RECORD COUNT by MBR_ID, DOS_THRU_DT, DX_CD Grain grouped by PAYER, SRC_FILE_NM, DOS_THRU_YYYYMM"/>
  </r>
  <r>
    <x v="2"/>
    <s v="SGOKMRCY_PE202401_REMAO004.TXT"/>
    <x v="74"/>
    <x v="7"/>
    <n v="77"/>
    <n v="52208"/>
    <n v="0.15"/>
    <s v="DQS_MAO04_FILE_000_B"/>
    <s v="RECORD COUNT by MBR_ID, DOS_THRU_DT, DX_CD Grain grouped by PAYER, SRC_FILE_NM, DOS_THRU_YYYYMM"/>
  </r>
  <r>
    <x v="2"/>
    <s v="SGOKMRCY_PE202401_REMAO004.TXT"/>
    <x v="75"/>
    <x v="7"/>
    <n v="74"/>
    <n v="52208"/>
    <n v="0.14000000000000001"/>
    <s v="DQS_MAO04_FILE_000_B"/>
    <s v="RECORD COUNT by MBR_ID, DOS_THRU_DT, DX_CD Grain grouped by PAYER, SRC_FILE_NM, DOS_THRU_YYYYMM"/>
  </r>
  <r>
    <x v="2"/>
    <s v="SGOKMRCY_PE202401_REMAO004.TXT"/>
    <x v="76"/>
    <x v="7"/>
    <n v="129"/>
    <n v="52208"/>
    <n v="0.25"/>
    <s v="DQS_MAO04_FILE_000_B"/>
    <s v="RECORD COUNT by MBR_ID, DOS_THRU_DT, DX_CD Grain grouped by PAYER, SRC_FILE_NM, DOS_THRU_YYYYMM"/>
  </r>
  <r>
    <x v="2"/>
    <s v="SGOKMRCY_PE202401_REMAO004.TXT"/>
    <x v="77"/>
    <x v="8"/>
    <n v="176"/>
    <n v="52208"/>
    <n v="0.34"/>
    <s v="DQS_MAO04_FILE_000_B"/>
    <s v="RECORD COUNT by MBR_ID, DOS_THRU_DT, DX_CD Grain grouped by PAYER, SRC_FILE_NM, DOS_THRU_YYYYMM"/>
  </r>
  <r>
    <x v="2"/>
    <s v="SGOKMRCY_PE202401_REMAO004.TXT"/>
    <x v="78"/>
    <x v="8"/>
    <n v="174"/>
    <n v="52208"/>
    <n v="0.33"/>
    <s v="DQS_MAO04_FILE_000_B"/>
    <s v="RECORD COUNT by MBR_ID, DOS_THRU_DT, DX_CD Grain grouped by PAYER, SRC_FILE_NM, DOS_THRU_YYYYMM"/>
  </r>
  <r>
    <x v="2"/>
    <s v="SGOKMRCY_PE202401_REMAO004.TXT"/>
    <x v="79"/>
    <x v="8"/>
    <n v="300"/>
    <n v="52208"/>
    <n v="0.56999999999999995"/>
    <s v="DQS_MAO04_FILE_000_B"/>
    <s v="RECORD COUNT by MBR_ID, DOS_THRU_DT, DX_CD Grain grouped by PAYER, SRC_FILE_NM, DOS_THRU_YYYYMM"/>
  </r>
  <r>
    <x v="2"/>
    <s v="SGOKMRCY_PE202401_REMAO004.TXT"/>
    <x v="80"/>
    <x v="8"/>
    <n v="311"/>
    <n v="52208"/>
    <n v="0.6"/>
    <s v="DQS_MAO04_FILE_000_B"/>
    <s v="RECORD COUNT by MBR_ID, DOS_THRU_DT, DX_CD Grain grouped by PAYER, SRC_FILE_NM, DOS_THRU_YYYYMM"/>
  </r>
  <r>
    <x v="2"/>
    <s v="SGOKMRCY_PE202401_REMAO004.TXT"/>
    <x v="81"/>
    <x v="8"/>
    <n v="384"/>
    <n v="52208"/>
    <n v="0.74"/>
    <s v="DQS_MAO04_FILE_000_B"/>
    <s v="RECORD COUNT by MBR_ID, DOS_THRU_DT, DX_CD Grain grouped by PAYER, SRC_FILE_NM, DOS_THRU_YYYYMM"/>
  </r>
  <r>
    <x v="2"/>
    <s v="SGOKMRCY_PE202401_REMAO004.TXT"/>
    <x v="82"/>
    <x v="8"/>
    <n v="635"/>
    <n v="52208"/>
    <n v="1.22"/>
    <s v="DQS_MAO04_FILE_000_B"/>
    <s v="RECORD COUNT by MBR_ID, DOS_THRU_DT, DX_CD Grain grouped by PAYER, SRC_FILE_NM, DOS_THRU_YYYYMM"/>
  </r>
  <r>
    <x v="2"/>
    <s v="SGOKMRCY_PE202401_REMAO004.TXT"/>
    <x v="83"/>
    <x v="8"/>
    <n v="1079"/>
    <n v="52208"/>
    <n v="2.0699999999999998"/>
    <s v="DQS_MAO04_FILE_000_B"/>
    <s v="RECORD COUNT by MBR_ID, DOS_THRU_DT, DX_CD Grain grouped by PAYER, SRC_FILE_NM, DOS_THRU_YYYYMM"/>
  </r>
  <r>
    <x v="2"/>
    <s v="SGOKMRCY_PE202401_REMAO004.TXT"/>
    <x v="84"/>
    <x v="8"/>
    <n v="1992"/>
    <n v="52208"/>
    <n v="3.82"/>
    <s v="DQS_MAO04_FILE_000_B"/>
    <s v="RECORD COUNT by MBR_ID, DOS_THRU_DT, DX_CD Grain grouped by PAYER, SRC_FILE_NM, DOS_THRU_YYYYMM"/>
  </r>
  <r>
    <x v="2"/>
    <s v="SGOKMRCY_PE202401_REMAO004.TXT"/>
    <x v="85"/>
    <x v="8"/>
    <n v="4178"/>
    <n v="52208"/>
    <n v="8"/>
    <s v="DQS_MAO04_FILE_000_B"/>
    <s v="RECORD COUNT by MBR_ID, DOS_THRU_DT, DX_CD Grain grouped by PAYER, SRC_FILE_NM, DOS_THRU_YYYYMM"/>
  </r>
  <r>
    <x v="2"/>
    <s v="SGOKMRCY_PE202401_REMAO004.TXT"/>
    <x v="86"/>
    <x v="8"/>
    <n v="25046"/>
    <n v="52208"/>
    <n v="47.97"/>
    <s v="DQS_MAO04_FILE_000_B"/>
    <s v="RECORD COUNT by MBR_ID, DOS_THRU_DT, DX_CD Grain grouped by PAYER, SRC_FILE_NM, DOS_THRU_YYYYMM"/>
  </r>
  <r>
    <x v="2"/>
    <s v="SGOKMRCY_PE202401_REMAO004.TXT"/>
    <x v="87"/>
    <x v="8"/>
    <n v="17312"/>
    <n v="52208"/>
    <n v="33.159999999999997"/>
    <s v="DQS_MAO04_FILE_000_B"/>
    <s v="RECORD COUNT by MBR_ID, DOS_THRU_DT, DX_CD Grain grouped by PAYER, SRC_FILE_NM, DOS_THRU_YYYYMM"/>
  </r>
  <r>
    <x v="2"/>
    <s v="SGOKMRCY_PE202402_REMAO004.TXT"/>
    <x v="53"/>
    <x v="6"/>
    <n v="1"/>
    <n v="63648"/>
    <n v="0"/>
    <s v="DQS_MAO04_FILE_000_B"/>
    <s v="RECORD COUNT by MBR_ID, DOS_THRU_DT, DX_CD Grain grouped by PAYER, SRC_FILE_NM, DOS_THRU_YYYYMM"/>
  </r>
  <r>
    <x v="2"/>
    <s v="SGOKMRCY_PE202402_REMAO004.TXT"/>
    <x v="55"/>
    <x v="6"/>
    <n v="9"/>
    <n v="63648"/>
    <n v="0.01"/>
    <s v="DQS_MAO04_FILE_000_B"/>
    <s v="RECORD COUNT by MBR_ID, DOS_THRU_DT, DX_CD Grain grouped by PAYER, SRC_FILE_NM, DOS_THRU_YYYYMM"/>
  </r>
  <r>
    <x v="2"/>
    <s v="SGOKMRCY_PE202402_REMAO004.TXT"/>
    <x v="57"/>
    <x v="6"/>
    <n v="3"/>
    <n v="63648"/>
    <n v="0"/>
    <s v="DQS_MAO04_FILE_000_B"/>
    <s v="RECORD COUNT by MBR_ID, DOS_THRU_DT, DX_CD Grain grouped by PAYER, SRC_FILE_NM, DOS_THRU_YYYYMM"/>
  </r>
  <r>
    <x v="2"/>
    <s v="SGOKMRCY_PE202402_REMAO004.TXT"/>
    <x v="59"/>
    <x v="6"/>
    <n v="61"/>
    <n v="63648"/>
    <n v="0.1"/>
    <s v="DQS_MAO04_FILE_000_B"/>
    <s v="RECORD COUNT by MBR_ID, DOS_THRU_DT, DX_CD Grain grouped by PAYER, SRC_FILE_NM, DOS_THRU_YYYYMM"/>
  </r>
  <r>
    <x v="2"/>
    <s v="SGOKMRCY_PE202402_REMAO004.TXT"/>
    <x v="60"/>
    <x v="6"/>
    <n v="38"/>
    <n v="63648"/>
    <n v="0.06"/>
    <s v="DQS_MAO04_FILE_000_B"/>
    <s v="RECORD COUNT by MBR_ID, DOS_THRU_DT, DX_CD Grain grouped by PAYER, SRC_FILE_NM, DOS_THRU_YYYYMM"/>
  </r>
  <r>
    <x v="2"/>
    <s v="SGOKMRCY_PE202402_REMAO004.TXT"/>
    <x v="61"/>
    <x v="6"/>
    <n v="111"/>
    <n v="63648"/>
    <n v="0.17"/>
    <s v="DQS_MAO04_FILE_000_B"/>
    <s v="RECORD COUNT by MBR_ID, DOS_THRU_DT, DX_CD Grain grouped by PAYER, SRC_FILE_NM, DOS_THRU_YYYYMM"/>
  </r>
  <r>
    <x v="2"/>
    <s v="SGOKMRCY_PE202402_REMAO004.TXT"/>
    <x v="62"/>
    <x v="6"/>
    <n v="19"/>
    <n v="63648"/>
    <n v="0.03"/>
    <s v="DQS_MAO04_FILE_000_B"/>
    <s v="RECORD COUNT by MBR_ID, DOS_THRU_DT, DX_CD Grain grouped by PAYER, SRC_FILE_NM, DOS_THRU_YYYYMM"/>
  </r>
  <r>
    <x v="2"/>
    <s v="SGOKMRCY_PE202402_REMAO004.TXT"/>
    <x v="63"/>
    <x v="6"/>
    <n v="35"/>
    <n v="63648"/>
    <n v="0.05"/>
    <s v="DQS_MAO04_FILE_000_B"/>
    <s v="RECORD COUNT by MBR_ID, DOS_THRU_DT, DX_CD Grain grouped by PAYER, SRC_FILE_NM, DOS_THRU_YYYYMM"/>
  </r>
  <r>
    <x v="2"/>
    <s v="SGOKMRCY_PE202402_REMAO004.TXT"/>
    <x v="64"/>
    <x v="6"/>
    <n v="68"/>
    <n v="63648"/>
    <n v="0.11"/>
    <s v="DQS_MAO04_FILE_000_B"/>
    <s v="RECORD COUNT by MBR_ID, DOS_THRU_DT, DX_CD Grain grouped by PAYER, SRC_FILE_NM, DOS_THRU_YYYYMM"/>
  </r>
  <r>
    <x v="2"/>
    <s v="SGOKMRCY_PE202402_REMAO004.TXT"/>
    <x v="65"/>
    <x v="7"/>
    <n v="52"/>
    <n v="63648"/>
    <n v="0.08"/>
    <s v="DQS_MAO04_FILE_000_B"/>
    <s v="RECORD COUNT by MBR_ID, DOS_THRU_DT, DX_CD Grain grouped by PAYER, SRC_FILE_NM, DOS_THRU_YYYYMM"/>
  </r>
  <r>
    <x v="2"/>
    <s v="SGOKMRCY_PE202402_REMAO004.TXT"/>
    <x v="66"/>
    <x v="7"/>
    <n v="40"/>
    <n v="63648"/>
    <n v="0.06"/>
    <s v="DQS_MAO04_FILE_000_B"/>
    <s v="RECORD COUNT by MBR_ID, DOS_THRU_DT, DX_CD Grain grouped by PAYER, SRC_FILE_NM, DOS_THRU_YYYYMM"/>
  </r>
  <r>
    <x v="2"/>
    <s v="SGOKMRCY_PE202402_REMAO004.TXT"/>
    <x v="67"/>
    <x v="7"/>
    <n v="113"/>
    <n v="63648"/>
    <n v="0.18"/>
    <s v="DQS_MAO04_FILE_000_B"/>
    <s v="RECORD COUNT by MBR_ID, DOS_THRU_DT, DX_CD Grain grouped by PAYER, SRC_FILE_NM, DOS_THRU_YYYYMM"/>
  </r>
  <r>
    <x v="2"/>
    <s v="SGOKMRCY_PE202402_REMAO004.TXT"/>
    <x v="68"/>
    <x v="7"/>
    <n v="118"/>
    <n v="63648"/>
    <n v="0.19"/>
    <s v="DQS_MAO04_FILE_000_B"/>
    <s v="RECORD COUNT by MBR_ID, DOS_THRU_DT, DX_CD Grain grouped by PAYER, SRC_FILE_NM, DOS_THRU_YYYYMM"/>
  </r>
  <r>
    <x v="2"/>
    <s v="SGOKMRCY_PE202402_REMAO004.TXT"/>
    <x v="69"/>
    <x v="7"/>
    <n v="107"/>
    <n v="63648"/>
    <n v="0.17"/>
    <s v="DQS_MAO04_FILE_000_B"/>
    <s v="RECORD COUNT by MBR_ID, DOS_THRU_DT, DX_CD Grain grouped by PAYER, SRC_FILE_NM, DOS_THRU_YYYYMM"/>
  </r>
  <r>
    <x v="2"/>
    <s v="SGOKMRCY_PE202402_REMAO004.TXT"/>
    <x v="70"/>
    <x v="7"/>
    <n v="92"/>
    <n v="63648"/>
    <n v="0.14000000000000001"/>
    <s v="DQS_MAO04_FILE_000_B"/>
    <s v="RECORD COUNT by MBR_ID, DOS_THRU_DT, DX_CD Grain grouped by PAYER, SRC_FILE_NM, DOS_THRU_YYYYMM"/>
  </r>
  <r>
    <x v="2"/>
    <s v="SGOKMRCY_PE202402_REMAO004.TXT"/>
    <x v="71"/>
    <x v="7"/>
    <n v="185"/>
    <n v="63648"/>
    <n v="0.28999999999999998"/>
    <s v="DQS_MAO04_FILE_000_B"/>
    <s v="RECORD COUNT by MBR_ID, DOS_THRU_DT, DX_CD Grain grouped by PAYER, SRC_FILE_NM, DOS_THRU_YYYYMM"/>
  </r>
  <r>
    <x v="2"/>
    <s v="SGOKMRCY_PE202402_REMAO004.TXT"/>
    <x v="72"/>
    <x v="7"/>
    <n v="84"/>
    <n v="63648"/>
    <n v="0.13"/>
    <s v="DQS_MAO04_FILE_000_B"/>
    <s v="RECORD COUNT by MBR_ID, DOS_THRU_DT, DX_CD Grain grouped by PAYER, SRC_FILE_NM, DOS_THRU_YYYYMM"/>
  </r>
  <r>
    <x v="2"/>
    <s v="SGOKMRCY_PE202402_REMAO004.TXT"/>
    <x v="73"/>
    <x v="7"/>
    <n v="206"/>
    <n v="63648"/>
    <n v="0.32"/>
    <s v="DQS_MAO04_FILE_000_B"/>
    <s v="RECORD COUNT by MBR_ID, DOS_THRU_DT, DX_CD Grain grouped by PAYER, SRC_FILE_NM, DOS_THRU_YYYYMM"/>
  </r>
  <r>
    <x v="2"/>
    <s v="SGOKMRCY_PE202402_REMAO004.TXT"/>
    <x v="74"/>
    <x v="7"/>
    <n v="140"/>
    <n v="63648"/>
    <n v="0.22"/>
    <s v="DQS_MAO04_FILE_000_B"/>
    <s v="RECORD COUNT by MBR_ID, DOS_THRU_DT, DX_CD Grain grouped by PAYER, SRC_FILE_NM, DOS_THRU_YYYYMM"/>
  </r>
  <r>
    <x v="2"/>
    <s v="SGOKMRCY_PE202402_REMAO004.TXT"/>
    <x v="75"/>
    <x v="7"/>
    <n v="212"/>
    <n v="63648"/>
    <n v="0.33"/>
    <s v="DQS_MAO04_FILE_000_B"/>
    <s v="RECORD COUNT by MBR_ID, DOS_THRU_DT, DX_CD Grain grouped by PAYER, SRC_FILE_NM, DOS_THRU_YYYYMM"/>
  </r>
  <r>
    <x v="2"/>
    <s v="SGOKMRCY_PE202402_REMAO004.TXT"/>
    <x v="76"/>
    <x v="7"/>
    <n v="269"/>
    <n v="63648"/>
    <n v="0.42"/>
    <s v="DQS_MAO04_FILE_000_B"/>
    <s v="RECORD COUNT by MBR_ID, DOS_THRU_DT, DX_CD Grain grouped by PAYER, SRC_FILE_NM, DOS_THRU_YYYYMM"/>
  </r>
  <r>
    <x v="2"/>
    <s v="SGOKMRCY_PE202402_REMAO004.TXT"/>
    <x v="77"/>
    <x v="8"/>
    <n v="386"/>
    <n v="63648"/>
    <n v="0.61"/>
    <s v="DQS_MAO04_FILE_000_B"/>
    <s v="RECORD COUNT by MBR_ID, DOS_THRU_DT, DX_CD Grain grouped by PAYER, SRC_FILE_NM, DOS_THRU_YYYYMM"/>
  </r>
  <r>
    <x v="2"/>
    <s v="SGOKMRCY_PE202402_REMAO004.TXT"/>
    <x v="78"/>
    <x v="8"/>
    <n v="379"/>
    <n v="63648"/>
    <n v="0.6"/>
    <s v="DQS_MAO04_FILE_000_B"/>
    <s v="RECORD COUNT by MBR_ID, DOS_THRU_DT, DX_CD Grain grouped by PAYER, SRC_FILE_NM, DOS_THRU_YYYYMM"/>
  </r>
  <r>
    <x v="2"/>
    <s v="SGOKMRCY_PE202402_REMAO004.TXT"/>
    <x v="79"/>
    <x v="8"/>
    <n v="482"/>
    <n v="63648"/>
    <n v="0.76"/>
    <s v="DQS_MAO04_FILE_000_B"/>
    <s v="RECORD COUNT by MBR_ID, DOS_THRU_DT, DX_CD Grain grouped by PAYER, SRC_FILE_NM, DOS_THRU_YYYYMM"/>
  </r>
  <r>
    <x v="2"/>
    <s v="SGOKMRCY_PE202402_REMAO004.TXT"/>
    <x v="80"/>
    <x v="8"/>
    <n v="501"/>
    <n v="63648"/>
    <n v="0.79"/>
    <s v="DQS_MAO04_FILE_000_B"/>
    <s v="RECORD COUNT by MBR_ID, DOS_THRU_DT, DX_CD Grain grouped by PAYER, SRC_FILE_NM, DOS_THRU_YYYYMM"/>
  </r>
  <r>
    <x v="2"/>
    <s v="SGOKMRCY_PE202402_REMAO004.TXT"/>
    <x v="81"/>
    <x v="8"/>
    <n v="694"/>
    <n v="63648"/>
    <n v="1.0900000000000001"/>
    <s v="DQS_MAO04_FILE_000_B"/>
    <s v="RECORD COUNT by MBR_ID, DOS_THRU_DT, DX_CD Grain grouped by PAYER, SRC_FILE_NM, DOS_THRU_YYYYMM"/>
  </r>
  <r>
    <x v="2"/>
    <s v="SGOKMRCY_PE202402_REMAO004.TXT"/>
    <x v="82"/>
    <x v="8"/>
    <n v="702"/>
    <n v="63648"/>
    <n v="1.1000000000000001"/>
    <s v="DQS_MAO04_FILE_000_B"/>
    <s v="RECORD COUNT by MBR_ID, DOS_THRU_DT, DX_CD Grain grouped by PAYER, SRC_FILE_NM, DOS_THRU_YYYYMM"/>
  </r>
  <r>
    <x v="2"/>
    <s v="SGOKMRCY_PE202402_REMAO004.TXT"/>
    <x v="83"/>
    <x v="8"/>
    <n v="886"/>
    <n v="63648"/>
    <n v="1.39"/>
    <s v="DQS_MAO04_FILE_000_B"/>
    <s v="RECORD COUNT by MBR_ID, DOS_THRU_DT, DX_CD Grain grouped by PAYER, SRC_FILE_NM, DOS_THRU_YYYYMM"/>
  </r>
  <r>
    <x v="2"/>
    <s v="SGOKMRCY_PE202402_REMAO004.TXT"/>
    <x v="84"/>
    <x v="8"/>
    <n v="1197"/>
    <n v="63648"/>
    <n v="1.88"/>
    <s v="DQS_MAO04_FILE_000_B"/>
    <s v="RECORD COUNT by MBR_ID, DOS_THRU_DT, DX_CD Grain grouped by PAYER, SRC_FILE_NM, DOS_THRU_YYYYMM"/>
  </r>
  <r>
    <x v="2"/>
    <s v="SGOKMRCY_PE202402_REMAO004.TXT"/>
    <x v="85"/>
    <x v="8"/>
    <n v="2090"/>
    <n v="63648"/>
    <n v="3.28"/>
    <s v="DQS_MAO04_FILE_000_B"/>
    <s v="RECORD COUNT by MBR_ID, DOS_THRU_DT, DX_CD Grain grouped by PAYER, SRC_FILE_NM, DOS_THRU_YYYYMM"/>
  </r>
  <r>
    <x v="2"/>
    <s v="SGOKMRCY_PE202402_REMAO004.TXT"/>
    <x v="86"/>
    <x v="8"/>
    <n v="7915"/>
    <n v="63648"/>
    <n v="12.44"/>
    <s v="DQS_MAO04_FILE_000_B"/>
    <s v="RECORD COUNT by MBR_ID, DOS_THRU_DT, DX_CD Grain grouped by PAYER, SRC_FILE_NM, DOS_THRU_YYYYMM"/>
  </r>
  <r>
    <x v="2"/>
    <s v="SGOKMRCY_PE202402_REMAO004.TXT"/>
    <x v="87"/>
    <x v="8"/>
    <n v="24913"/>
    <n v="63648"/>
    <n v="39.14"/>
    <s v="DQS_MAO04_FILE_000_B"/>
    <s v="RECORD COUNT by MBR_ID, DOS_THRU_DT, DX_CD Grain grouped by PAYER, SRC_FILE_NM, DOS_THRU_YYYYMM"/>
  </r>
  <r>
    <x v="2"/>
    <s v="SGOKMRCY_PE202402_REMAO004.TXT"/>
    <x v="88"/>
    <x v="8"/>
    <n v="21540"/>
    <n v="63648"/>
    <n v="33.840000000000003"/>
    <s v="DQS_MAO04_FILE_000_B"/>
    <s v="RECORD COUNT by MBR_ID, DOS_THRU_DT, DX_CD Grain grouped by PAYER, SRC_FILE_NM, DOS_THRU_YYYYMM"/>
  </r>
  <r>
    <x v="2"/>
    <s v="SGOKMRCY_PE202403_REMAO004.TXT"/>
    <x v="22"/>
    <x v="3"/>
    <n v="1"/>
    <n v="55143"/>
    <n v="0"/>
    <s v="DQS_MAO04_FILE_000_B"/>
    <s v="RECORD COUNT by MBR_ID, DOS_THRU_DT, DX_CD Grain grouped by PAYER, SRC_FILE_NM, DOS_THRU_YYYYMM"/>
  </r>
  <r>
    <x v="2"/>
    <s v="SGOKMRCY_PE202403_REMAO004.TXT"/>
    <x v="54"/>
    <x v="6"/>
    <n v="17"/>
    <n v="55143"/>
    <n v="0.03"/>
    <s v="DQS_MAO04_FILE_000_B"/>
    <s v="RECORD COUNT by MBR_ID, DOS_THRU_DT, DX_CD Grain grouped by PAYER, SRC_FILE_NM, DOS_THRU_YYYYMM"/>
  </r>
  <r>
    <x v="2"/>
    <s v="SGOKMRCY_PE202403_REMAO004.TXT"/>
    <x v="57"/>
    <x v="6"/>
    <n v="9"/>
    <n v="55143"/>
    <n v="0.02"/>
    <s v="DQS_MAO04_FILE_000_B"/>
    <s v="RECORD COUNT by MBR_ID, DOS_THRU_DT, DX_CD Grain grouped by PAYER, SRC_FILE_NM, DOS_THRU_YYYYMM"/>
  </r>
  <r>
    <x v="2"/>
    <s v="SGOKMRCY_PE202403_REMAO004.TXT"/>
    <x v="58"/>
    <x v="6"/>
    <n v="3"/>
    <n v="55143"/>
    <n v="0.01"/>
    <s v="DQS_MAO04_FILE_000_B"/>
    <s v="RECORD COUNT by MBR_ID, DOS_THRU_DT, DX_CD Grain grouped by PAYER, SRC_FILE_NM, DOS_THRU_YYYYMM"/>
  </r>
  <r>
    <x v="2"/>
    <s v="SGOKMRCY_PE202403_REMAO004.TXT"/>
    <x v="61"/>
    <x v="6"/>
    <n v="4"/>
    <n v="55143"/>
    <n v="0.01"/>
    <s v="DQS_MAO04_FILE_000_B"/>
    <s v="RECORD COUNT by MBR_ID, DOS_THRU_DT, DX_CD Grain grouped by PAYER, SRC_FILE_NM, DOS_THRU_YYYYMM"/>
  </r>
  <r>
    <x v="2"/>
    <s v="SGOKMRCY_PE202403_REMAO004.TXT"/>
    <x v="62"/>
    <x v="6"/>
    <n v="8"/>
    <n v="55143"/>
    <n v="0.01"/>
    <s v="DQS_MAO04_FILE_000_B"/>
    <s v="RECORD COUNT by MBR_ID, DOS_THRU_DT, DX_CD Grain grouped by PAYER, SRC_FILE_NM, DOS_THRU_YYYYMM"/>
  </r>
  <r>
    <x v="2"/>
    <s v="SGOKMRCY_PE202403_REMAO004.TXT"/>
    <x v="63"/>
    <x v="6"/>
    <n v="20"/>
    <n v="55143"/>
    <n v="0.04"/>
    <s v="DQS_MAO04_FILE_000_B"/>
    <s v="RECORD COUNT by MBR_ID, DOS_THRU_DT, DX_CD Grain grouped by PAYER, SRC_FILE_NM, DOS_THRU_YYYYMM"/>
  </r>
  <r>
    <x v="2"/>
    <s v="SGOKMRCY_PE202403_REMAO004.TXT"/>
    <x v="64"/>
    <x v="6"/>
    <n v="12"/>
    <n v="55143"/>
    <n v="0.02"/>
    <s v="DQS_MAO04_FILE_000_B"/>
    <s v="RECORD COUNT by MBR_ID, DOS_THRU_DT, DX_CD Grain grouped by PAYER, SRC_FILE_NM, DOS_THRU_YYYYMM"/>
  </r>
  <r>
    <x v="2"/>
    <s v="SGOKMRCY_PE202403_REMAO004.TXT"/>
    <x v="65"/>
    <x v="7"/>
    <n v="46"/>
    <n v="55143"/>
    <n v="0.08"/>
    <s v="DQS_MAO04_FILE_000_B"/>
    <s v="RECORD COUNT by MBR_ID, DOS_THRU_DT, DX_CD Grain grouped by PAYER, SRC_FILE_NM, DOS_THRU_YYYYMM"/>
  </r>
  <r>
    <x v="2"/>
    <s v="SGOKMRCY_PE202403_REMAO004.TXT"/>
    <x v="66"/>
    <x v="7"/>
    <n v="57"/>
    <n v="55143"/>
    <n v="0.1"/>
    <s v="DQS_MAO04_FILE_000_B"/>
    <s v="RECORD COUNT by MBR_ID, DOS_THRU_DT, DX_CD Grain grouped by PAYER, SRC_FILE_NM, DOS_THRU_YYYYMM"/>
  </r>
  <r>
    <x v="2"/>
    <s v="SGOKMRCY_PE202403_REMAO004.TXT"/>
    <x v="67"/>
    <x v="7"/>
    <n v="76"/>
    <n v="55143"/>
    <n v="0.14000000000000001"/>
    <s v="DQS_MAO04_FILE_000_B"/>
    <s v="RECORD COUNT by MBR_ID, DOS_THRU_DT, DX_CD Grain grouped by PAYER, SRC_FILE_NM, DOS_THRU_YYYYMM"/>
  </r>
  <r>
    <x v="2"/>
    <s v="SGOKMRCY_PE202403_REMAO004.TXT"/>
    <x v="68"/>
    <x v="7"/>
    <n v="89"/>
    <n v="55143"/>
    <n v="0.16"/>
    <s v="DQS_MAO04_FILE_000_B"/>
    <s v="RECORD COUNT by MBR_ID, DOS_THRU_DT, DX_CD Grain grouped by PAYER, SRC_FILE_NM, DOS_THRU_YYYYMM"/>
  </r>
  <r>
    <x v="2"/>
    <s v="SGOKMRCY_PE202403_REMAO004.TXT"/>
    <x v="69"/>
    <x v="7"/>
    <n v="54"/>
    <n v="55143"/>
    <n v="0.1"/>
    <s v="DQS_MAO04_FILE_000_B"/>
    <s v="RECORD COUNT by MBR_ID, DOS_THRU_DT, DX_CD Grain grouped by PAYER, SRC_FILE_NM, DOS_THRU_YYYYMM"/>
  </r>
  <r>
    <x v="2"/>
    <s v="SGOKMRCY_PE202403_REMAO004.TXT"/>
    <x v="70"/>
    <x v="7"/>
    <n v="98"/>
    <n v="55143"/>
    <n v="0.18"/>
    <s v="DQS_MAO04_FILE_000_B"/>
    <s v="RECORD COUNT by MBR_ID, DOS_THRU_DT, DX_CD Grain grouped by PAYER, SRC_FILE_NM, DOS_THRU_YYYYMM"/>
  </r>
  <r>
    <x v="2"/>
    <s v="SGOKMRCY_PE202403_REMAO004.TXT"/>
    <x v="71"/>
    <x v="7"/>
    <n v="43"/>
    <n v="55143"/>
    <n v="0.08"/>
    <s v="DQS_MAO04_FILE_000_B"/>
    <s v="RECORD COUNT by MBR_ID, DOS_THRU_DT, DX_CD Grain grouped by PAYER, SRC_FILE_NM, DOS_THRU_YYYYMM"/>
  </r>
  <r>
    <x v="2"/>
    <s v="SGOKMRCY_PE202403_REMAO004.TXT"/>
    <x v="72"/>
    <x v="7"/>
    <n v="134"/>
    <n v="55143"/>
    <n v="0.24"/>
    <s v="DQS_MAO04_FILE_000_B"/>
    <s v="RECORD COUNT by MBR_ID, DOS_THRU_DT, DX_CD Grain grouped by PAYER, SRC_FILE_NM, DOS_THRU_YYYYMM"/>
  </r>
  <r>
    <x v="2"/>
    <s v="SGOKMRCY_PE202403_REMAO004.TXT"/>
    <x v="73"/>
    <x v="7"/>
    <n v="172"/>
    <n v="55143"/>
    <n v="0.31"/>
    <s v="DQS_MAO04_FILE_000_B"/>
    <s v="RECORD COUNT by MBR_ID, DOS_THRU_DT, DX_CD Grain grouped by PAYER, SRC_FILE_NM, DOS_THRU_YYYYMM"/>
  </r>
  <r>
    <x v="2"/>
    <s v="SGOKMRCY_PE202403_REMAO004.TXT"/>
    <x v="74"/>
    <x v="7"/>
    <n v="119"/>
    <n v="55143"/>
    <n v="0.22"/>
    <s v="DQS_MAO04_FILE_000_B"/>
    <s v="RECORD COUNT by MBR_ID, DOS_THRU_DT, DX_CD Grain grouped by PAYER, SRC_FILE_NM, DOS_THRU_YYYYMM"/>
  </r>
  <r>
    <x v="2"/>
    <s v="SGOKMRCY_PE202403_REMAO004.TXT"/>
    <x v="75"/>
    <x v="7"/>
    <n v="154"/>
    <n v="55143"/>
    <n v="0.28000000000000003"/>
    <s v="DQS_MAO04_FILE_000_B"/>
    <s v="RECORD COUNT by MBR_ID, DOS_THRU_DT, DX_CD Grain grouped by PAYER, SRC_FILE_NM, DOS_THRU_YYYYMM"/>
  </r>
  <r>
    <x v="2"/>
    <s v="SGOKMRCY_PE202403_REMAO004.TXT"/>
    <x v="76"/>
    <x v="7"/>
    <n v="291"/>
    <n v="55143"/>
    <n v="0.53"/>
    <s v="DQS_MAO04_FILE_000_B"/>
    <s v="RECORD COUNT by MBR_ID, DOS_THRU_DT, DX_CD Grain grouped by PAYER, SRC_FILE_NM, DOS_THRU_YYYYMM"/>
  </r>
  <r>
    <x v="2"/>
    <s v="SGOKMRCY_PE202403_REMAO004.TXT"/>
    <x v="77"/>
    <x v="8"/>
    <n v="509"/>
    <n v="55143"/>
    <n v="0.92"/>
    <s v="DQS_MAO04_FILE_000_B"/>
    <s v="RECORD COUNT by MBR_ID, DOS_THRU_DT, DX_CD Grain grouped by PAYER, SRC_FILE_NM, DOS_THRU_YYYYMM"/>
  </r>
  <r>
    <x v="2"/>
    <s v="SGOKMRCY_PE202403_REMAO004.TXT"/>
    <x v="78"/>
    <x v="8"/>
    <n v="285"/>
    <n v="55143"/>
    <n v="0.52"/>
    <s v="DQS_MAO04_FILE_000_B"/>
    <s v="RECORD COUNT by MBR_ID, DOS_THRU_DT, DX_CD Grain grouped by PAYER, SRC_FILE_NM, DOS_THRU_YYYYMM"/>
  </r>
  <r>
    <x v="2"/>
    <s v="SGOKMRCY_PE202403_REMAO004.TXT"/>
    <x v="79"/>
    <x v="8"/>
    <n v="344"/>
    <n v="55143"/>
    <n v="0.62"/>
    <s v="DQS_MAO04_FILE_000_B"/>
    <s v="RECORD COUNT by MBR_ID, DOS_THRU_DT, DX_CD Grain grouped by PAYER, SRC_FILE_NM, DOS_THRU_YYYYMM"/>
  </r>
  <r>
    <x v="2"/>
    <s v="SGOKMRCY_PE202403_REMAO004.TXT"/>
    <x v="80"/>
    <x v="8"/>
    <n v="522"/>
    <n v="55143"/>
    <n v="0.95"/>
    <s v="DQS_MAO04_FILE_000_B"/>
    <s v="RECORD COUNT by MBR_ID, DOS_THRU_DT, DX_CD Grain grouped by PAYER, SRC_FILE_NM, DOS_THRU_YYYYMM"/>
  </r>
  <r>
    <x v="2"/>
    <s v="SGOKMRCY_PE202403_REMAO004.TXT"/>
    <x v="81"/>
    <x v="8"/>
    <n v="496"/>
    <n v="55143"/>
    <n v="0.9"/>
    <s v="DQS_MAO04_FILE_000_B"/>
    <s v="RECORD COUNT by MBR_ID, DOS_THRU_DT, DX_CD Grain grouped by PAYER, SRC_FILE_NM, DOS_THRU_YYYYMM"/>
  </r>
  <r>
    <x v="2"/>
    <s v="SGOKMRCY_PE202403_REMAO004.TXT"/>
    <x v="82"/>
    <x v="8"/>
    <n v="632"/>
    <n v="55143"/>
    <n v="1.1499999999999999"/>
    <s v="DQS_MAO04_FILE_000_B"/>
    <s v="RECORD COUNT by MBR_ID, DOS_THRU_DT, DX_CD Grain grouped by PAYER, SRC_FILE_NM, DOS_THRU_YYYYMM"/>
  </r>
  <r>
    <x v="2"/>
    <s v="SGOKMRCY_PE202403_REMAO004.TXT"/>
    <x v="83"/>
    <x v="8"/>
    <n v="515"/>
    <n v="55143"/>
    <n v="0.93"/>
    <s v="DQS_MAO04_FILE_000_B"/>
    <s v="RECORD COUNT by MBR_ID, DOS_THRU_DT, DX_CD Grain grouped by PAYER, SRC_FILE_NM, DOS_THRU_YYYYMM"/>
  </r>
  <r>
    <x v="2"/>
    <s v="SGOKMRCY_PE202403_REMAO004.TXT"/>
    <x v="84"/>
    <x v="8"/>
    <n v="688"/>
    <n v="55143"/>
    <n v="1.25"/>
    <s v="DQS_MAO04_FILE_000_B"/>
    <s v="RECORD COUNT by MBR_ID, DOS_THRU_DT, DX_CD Grain grouped by PAYER, SRC_FILE_NM, DOS_THRU_YYYYMM"/>
  </r>
  <r>
    <x v="2"/>
    <s v="SGOKMRCY_PE202403_REMAO004.TXT"/>
    <x v="85"/>
    <x v="8"/>
    <n v="1097"/>
    <n v="55143"/>
    <n v="1.99"/>
    <s v="DQS_MAO04_FILE_000_B"/>
    <s v="RECORD COUNT by MBR_ID, DOS_THRU_DT, DX_CD Grain grouped by PAYER, SRC_FILE_NM, DOS_THRU_YYYYMM"/>
  </r>
  <r>
    <x v="2"/>
    <s v="SGOKMRCY_PE202403_REMAO004.TXT"/>
    <x v="86"/>
    <x v="8"/>
    <n v="2036"/>
    <n v="55143"/>
    <n v="3.69"/>
    <s v="DQS_MAO04_FILE_000_B"/>
    <s v="RECORD COUNT by MBR_ID, DOS_THRU_DT, DX_CD Grain grouped by PAYER, SRC_FILE_NM, DOS_THRU_YYYYMM"/>
  </r>
  <r>
    <x v="2"/>
    <s v="SGOKMRCY_PE202403_REMAO004.TXT"/>
    <x v="87"/>
    <x v="8"/>
    <n v="4706"/>
    <n v="55143"/>
    <n v="8.5299999999999994"/>
    <s v="DQS_MAO04_FILE_000_B"/>
    <s v="RECORD COUNT by MBR_ID, DOS_THRU_DT, DX_CD Grain grouped by PAYER, SRC_FILE_NM, DOS_THRU_YYYYMM"/>
  </r>
  <r>
    <x v="2"/>
    <s v="SGOKMRCY_PE202403_REMAO004.TXT"/>
    <x v="88"/>
    <x v="8"/>
    <n v="23084"/>
    <n v="55143"/>
    <n v="41.86"/>
    <s v="DQS_MAO04_FILE_000_B"/>
    <s v="RECORD COUNT by MBR_ID, DOS_THRU_DT, DX_CD Grain grouped by PAYER, SRC_FILE_NM, DOS_THRU_YYYYMM"/>
  </r>
  <r>
    <x v="2"/>
    <s v="SGOKMRCY_PE202403_REMAO004.TXT"/>
    <x v="89"/>
    <x v="9"/>
    <n v="18822"/>
    <n v="55143"/>
    <n v="34.130000000000003"/>
    <s v="DQS_MAO04_FILE_000_B"/>
    <s v="RECORD COUNT by MBR_ID, DOS_THRU_DT, DX_CD Grain grouped by PAYER, SRC_FILE_NM, DOS_THRU_YYYYMM"/>
  </r>
  <r>
    <x v="2"/>
    <s v="SGOKMRCY_PE202404_REMAO004.TXT"/>
    <x v="37"/>
    <x v="4"/>
    <n v="2"/>
    <n v="70864"/>
    <n v="0"/>
    <s v="DQS_MAO04_FILE_000_B"/>
    <s v="RECORD COUNT by MBR_ID, DOS_THRU_DT, DX_CD Grain grouped by PAYER, SRC_FILE_NM, DOS_THRU_YYYYMM"/>
  </r>
  <r>
    <x v="2"/>
    <s v="SGOKMRCY_PE202404_REMAO004.TXT"/>
    <x v="40"/>
    <x v="4"/>
    <n v="1"/>
    <n v="70864"/>
    <n v="0"/>
    <s v="DQS_MAO04_FILE_000_B"/>
    <s v="RECORD COUNT by MBR_ID, DOS_THRU_DT, DX_CD Grain grouped by PAYER, SRC_FILE_NM, DOS_THRU_YYYYMM"/>
  </r>
  <r>
    <x v="2"/>
    <s v="SGOKMRCY_PE202404_REMAO004.TXT"/>
    <x v="48"/>
    <x v="5"/>
    <n v="6"/>
    <n v="70864"/>
    <n v="0.01"/>
    <s v="DQS_MAO04_FILE_000_B"/>
    <s v="RECORD COUNT by MBR_ID, DOS_THRU_DT, DX_CD Grain grouped by PAYER, SRC_FILE_NM, DOS_THRU_YYYYMM"/>
  </r>
  <r>
    <x v="2"/>
    <s v="SGOKMRCY_PE202404_REMAO004.TXT"/>
    <x v="53"/>
    <x v="6"/>
    <n v="3"/>
    <n v="70864"/>
    <n v="0"/>
    <s v="DQS_MAO04_FILE_000_B"/>
    <s v="RECORD COUNT by MBR_ID, DOS_THRU_DT, DX_CD Grain grouped by PAYER, SRC_FILE_NM, DOS_THRU_YYYYMM"/>
  </r>
  <r>
    <x v="2"/>
    <s v="SGOKMRCY_PE202404_REMAO004.TXT"/>
    <x v="55"/>
    <x v="6"/>
    <n v="21"/>
    <n v="70864"/>
    <n v="0.03"/>
    <s v="DQS_MAO04_FILE_000_B"/>
    <s v="RECORD COUNT by MBR_ID, DOS_THRU_DT, DX_CD Grain grouped by PAYER, SRC_FILE_NM, DOS_THRU_YYYYMM"/>
  </r>
  <r>
    <x v="2"/>
    <s v="SGOKMRCY_PE202404_REMAO004.TXT"/>
    <x v="58"/>
    <x v="6"/>
    <n v="39"/>
    <n v="70864"/>
    <n v="0.06"/>
    <s v="DQS_MAO04_FILE_000_B"/>
    <s v="RECORD COUNT by MBR_ID, DOS_THRU_DT, DX_CD Grain grouped by PAYER, SRC_FILE_NM, DOS_THRU_YYYYMM"/>
  </r>
  <r>
    <x v="2"/>
    <s v="SGOKMRCY_PE202404_REMAO004.TXT"/>
    <x v="60"/>
    <x v="6"/>
    <n v="2"/>
    <n v="70864"/>
    <n v="0"/>
    <s v="DQS_MAO04_FILE_000_B"/>
    <s v="RECORD COUNT by MBR_ID, DOS_THRU_DT, DX_CD Grain grouped by PAYER, SRC_FILE_NM, DOS_THRU_YYYYMM"/>
  </r>
  <r>
    <x v="2"/>
    <s v="SGOKMRCY_PE202404_REMAO004.TXT"/>
    <x v="63"/>
    <x v="6"/>
    <n v="1"/>
    <n v="70864"/>
    <n v="0"/>
    <s v="DQS_MAO04_FILE_000_B"/>
    <s v="RECORD COUNT by MBR_ID, DOS_THRU_DT, DX_CD Grain grouped by PAYER, SRC_FILE_NM, DOS_THRU_YYYYMM"/>
  </r>
  <r>
    <x v="2"/>
    <s v="SGOKMRCY_PE202404_REMAO004.TXT"/>
    <x v="65"/>
    <x v="7"/>
    <n v="9"/>
    <n v="70864"/>
    <n v="0.01"/>
    <s v="DQS_MAO04_FILE_000_B"/>
    <s v="RECORD COUNT by MBR_ID, DOS_THRU_DT, DX_CD Grain grouped by PAYER, SRC_FILE_NM, DOS_THRU_YYYYMM"/>
  </r>
  <r>
    <x v="2"/>
    <s v="SGOKMRCY_PE202404_REMAO004.TXT"/>
    <x v="66"/>
    <x v="7"/>
    <n v="13"/>
    <n v="70864"/>
    <n v="0.02"/>
    <s v="DQS_MAO04_FILE_000_B"/>
    <s v="RECORD COUNT by MBR_ID, DOS_THRU_DT, DX_CD Grain grouped by PAYER, SRC_FILE_NM, DOS_THRU_YYYYMM"/>
  </r>
  <r>
    <x v="2"/>
    <s v="SGOKMRCY_PE202404_REMAO004.TXT"/>
    <x v="67"/>
    <x v="7"/>
    <n v="24"/>
    <n v="70864"/>
    <n v="0.03"/>
    <s v="DQS_MAO04_FILE_000_B"/>
    <s v="RECORD COUNT by MBR_ID, DOS_THRU_DT, DX_CD Grain grouped by PAYER, SRC_FILE_NM, DOS_THRU_YYYYMM"/>
  </r>
  <r>
    <x v="2"/>
    <s v="SGOKMRCY_PE202404_REMAO004.TXT"/>
    <x v="68"/>
    <x v="7"/>
    <n v="28"/>
    <n v="70864"/>
    <n v="0.04"/>
    <s v="DQS_MAO04_FILE_000_B"/>
    <s v="RECORD COUNT by MBR_ID, DOS_THRU_DT, DX_CD Grain grouped by PAYER, SRC_FILE_NM, DOS_THRU_YYYYMM"/>
  </r>
  <r>
    <x v="2"/>
    <s v="SGOKMRCY_PE202404_REMAO004.TXT"/>
    <x v="69"/>
    <x v="7"/>
    <n v="51"/>
    <n v="70864"/>
    <n v="7.0000000000000007E-2"/>
    <s v="DQS_MAO04_FILE_000_B"/>
    <s v="RECORD COUNT by MBR_ID, DOS_THRU_DT, DX_CD Grain grouped by PAYER, SRC_FILE_NM, DOS_THRU_YYYYMM"/>
  </r>
  <r>
    <x v="2"/>
    <s v="SGOKMRCY_PE202404_REMAO004.TXT"/>
    <x v="70"/>
    <x v="7"/>
    <n v="30"/>
    <n v="70864"/>
    <n v="0.04"/>
    <s v="DQS_MAO04_FILE_000_B"/>
    <s v="RECORD COUNT by MBR_ID, DOS_THRU_DT, DX_CD Grain grouped by PAYER, SRC_FILE_NM, DOS_THRU_YYYYMM"/>
  </r>
  <r>
    <x v="2"/>
    <s v="SGOKMRCY_PE202404_REMAO004.TXT"/>
    <x v="71"/>
    <x v="7"/>
    <n v="74"/>
    <n v="70864"/>
    <n v="0.1"/>
    <s v="DQS_MAO04_FILE_000_B"/>
    <s v="RECORD COUNT by MBR_ID, DOS_THRU_DT, DX_CD Grain grouped by PAYER, SRC_FILE_NM, DOS_THRU_YYYYMM"/>
  </r>
  <r>
    <x v="2"/>
    <s v="SGOKMRCY_PE202404_REMAO004.TXT"/>
    <x v="72"/>
    <x v="7"/>
    <n v="89"/>
    <n v="70864"/>
    <n v="0.13"/>
    <s v="DQS_MAO04_FILE_000_B"/>
    <s v="RECORD COUNT by MBR_ID, DOS_THRU_DT, DX_CD Grain grouped by PAYER, SRC_FILE_NM, DOS_THRU_YYYYMM"/>
  </r>
  <r>
    <x v="2"/>
    <s v="SGOKMRCY_PE202404_REMAO004.TXT"/>
    <x v="73"/>
    <x v="7"/>
    <n v="75"/>
    <n v="70864"/>
    <n v="0.11"/>
    <s v="DQS_MAO04_FILE_000_B"/>
    <s v="RECORD COUNT by MBR_ID, DOS_THRU_DT, DX_CD Grain grouped by PAYER, SRC_FILE_NM, DOS_THRU_YYYYMM"/>
  </r>
  <r>
    <x v="2"/>
    <s v="SGOKMRCY_PE202404_REMAO004.TXT"/>
    <x v="74"/>
    <x v="7"/>
    <n v="164"/>
    <n v="70864"/>
    <n v="0.23"/>
    <s v="DQS_MAO04_FILE_000_B"/>
    <s v="RECORD COUNT by MBR_ID, DOS_THRU_DT, DX_CD Grain grouped by PAYER, SRC_FILE_NM, DOS_THRU_YYYYMM"/>
  </r>
  <r>
    <x v="2"/>
    <s v="SGOKMRCY_PE202404_REMAO004.TXT"/>
    <x v="75"/>
    <x v="7"/>
    <n v="69"/>
    <n v="70864"/>
    <n v="0.1"/>
    <s v="DQS_MAO04_FILE_000_B"/>
    <s v="RECORD COUNT by MBR_ID, DOS_THRU_DT, DX_CD Grain grouped by PAYER, SRC_FILE_NM, DOS_THRU_YYYYMM"/>
  </r>
  <r>
    <x v="2"/>
    <s v="SGOKMRCY_PE202404_REMAO004.TXT"/>
    <x v="76"/>
    <x v="7"/>
    <n v="180"/>
    <n v="70864"/>
    <n v="0.25"/>
    <s v="DQS_MAO04_FILE_000_B"/>
    <s v="RECORD COUNT by MBR_ID, DOS_THRU_DT, DX_CD Grain grouped by PAYER, SRC_FILE_NM, DOS_THRU_YYYYMM"/>
  </r>
  <r>
    <x v="2"/>
    <s v="SGOKMRCY_PE202404_REMAO004.TXT"/>
    <x v="77"/>
    <x v="8"/>
    <n v="389"/>
    <n v="70864"/>
    <n v="0.55000000000000004"/>
    <s v="DQS_MAO04_FILE_000_B"/>
    <s v="RECORD COUNT by MBR_ID, DOS_THRU_DT, DX_CD Grain grouped by PAYER, SRC_FILE_NM, DOS_THRU_YYYYMM"/>
  </r>
  <r>
    <x v="2"/>
    <s v="SGOKMRCY_PE202404_REMAO004.TXT"/>
    <x v="78"/>
    <x v="8"/>
    <n v="298"/>
    <n v="70864"/>
    <n v="0.42"/>
    <s v="DQS_MAO04_FILE_000_B"/>
    <s v="RECORD COUNT by MBR_ID, DOS_THRU_DT, DX_CD Grain grouped by PAYER, SRC_FILE_NM, DOS_THRU_YYYYMM"/>
  </r>
  <r>
    <x v="2"/>
    <s v="SGOKMRCY_PE202404_REMAO004.TXT"/>
    <x v="79"/>
    <x v="8"/>
    <n v="414"/>
    <n v="70864"/>
    <n v="0.57999999999999996"/>
    <s v="DQS_MAO04_FILE_000_B"/>
    <s v="RECORD COUNT by MBR_ID, DOS_THRU_DT, DX_CD Grain grouped by PAYER, SRC_FILE_NM, DOS_THRU_YYYYMM"/>
  </r>
  <r>
    <x v="2"/>
    <s v="SGOKMRCY_PE202404_REMAO004.TXT"/>
    <x v="80"/>
    <x v="8"/>
    <n v="501"/>
    <n v="70864"/>
    <n v="0.71"/>
    <s v="DQS_MAO04_FILE_000_B"/>
    <s v="RECORD COUNT by MBR_ID, DOS_THRU_DT, DX_CD Grain grouped by PAYER, SRC_FILE_NM, DOS_THRU_YYYYMM"/>
  </r>
  <r>
    <x v="2"/>
    <s v="SGOKMRCY_PE202404_REMAO004.TXT"/>
    <x v="81"/>
    <x v="8"/>
    <n v="603"/>
    <n v="70864"/>
    <n v="0.85"/>
    <s v="DQS_MAO04_FILE_000_B"/>
    <s v="RECORD COUNT by MBR_ID, DOS_THRU_DT, DX_CD Grain grouped by PAYER, SRC_FILE_NM, DOS_THRU_YYYYMM"/>
  </r>
  <r>
    <x v="2"/>
    <s v="SGOKMRCY_PE202404_REMAO004.TXT"/>
    <x v="82"/>
    <x v="8"/>
    <n v="433"/>
    <n v="70864"/>
    <n v="0.61"/>
    <s v="DQS_MAO04_FILE_000_B"/>
    <s v="RECORD COUNT by MBR_ID, DOS_THRU_DT, DX_CD Grain grouped by PAYER, SRC_FILE_NM, DOS_THRU_YYYYMM"/>
  </r>
  <r>
    <x v="2"/>
    <s v="SGOKMRCY_PE202404_REMAO004.TXT"/>
    <x v="83"/>
    <x v="8"/>
    <n v="471"/>
    <n v="70864"/>
    <n v="0.66"/>
    <s v="DQS_MAO04_FILE_000_B"/>
    <s v="RECORD COUNT by MBR_ID, DOS_THRU_DT, DX_CD Grain grouped by PAYER, SRC_FILE_NM, DOS_THRU_YYYYMM"/>
  </r>
  <r>
    <x v="2"/>
    <s v="SGOKMRCY_PE202404_REMAO004.TXT"/>
    <x v="84"/>
    <x v="8"/>
    <n v="546"/>
    <n v="70864"/>
    <n v="0.77"/>
    <s v="DQS_MAO04_FILE_000_B"/>
    <s v="RECORD COUNT by MBR_ID, DOS_THRU_DT, DX_CD Grain grouped by PAYER, SRC_FILE_NM, DOS_THRU_YYYYMM"/>
  </r>
  <r>
    <x v="2"/>
    <s v="SGOKMRCY_PE202404_REMAO004.TXT"/>
    <x v="85"/>
    <x v="8"/>
    <n v="736"/>
    <n v="70864"/>
    <n v="1.04"/>
    <s v="DQS_MAO04_FILE_000_B"/>
    <s v="RECORD COUNT by MBR_ID, DOS_THRU_DT, DX_CD Grain grouped by PAYER, SRC_FILE_NM, DOS_THRU_YYYYMM"/>
  </r>
  <r>
    <x v="2"/>
    <s v="SGOKMRCY_PE202404_REMAO004.TXT"/>
    <x v="86"/>
    <x v="8"/>
    <n v="1232"/>
    <n v="70864"/>
    <n v="1.74"/>
    <s v="DQS_MAO04_FILE_000_B"/>
    <s v="RECORD COUNT by MBR_ID, DOS_THRU_DT, DX_CD Grain grouped by PAYER, SRC_FILE_NM, DOS_THRU_YYYYMM"/>
  </r>
  <r>
    <x v="2"/>
    <s v="SGOKMRCY_PE202404_REMAO004.TXT"/>
    <x v="87"/>
    <x v="8"/>
    <n v="2219"/>
    <n v="70864"/>
    <n v="3.13"/>
    <s v="DQS_MAO04_FILE_000_B"/>
    <s v="RECORD COUNT by MBR_ID, DOS_THRU_DT, DX_CD Grain grouped by PAYER, SRC_FILE_NM, DOS_THRU_YYYYMM"/>
  </r>
  <r>
    <x v="2"/>
    <s v="SGOKMRCY_PE202404_REMAO004.TXT"/>
    <x v="88"/>
    <x v="8"/>
    <n v="4723"/>
    <n v="70864"/>
    <n v="6.66"/>
    <s v="DQS_MAO04_FILE_000_B"/>
    <s v="RECORD COUNT by MBR_ID, DOS_THRU_DT, DX_CD Grain grouped by PAYER, SRC_FILE_NM, DOS_THRU_YYYYMM"/>
  </r>
  <r>
    <x v="2"/>
    <s v="SGOKMRCY_PE202404_REMAO004.TXT"/>
    <x v="89"/>
    <x v="9"/>
    <n v="34068"/>
    <n v="70864"/>
    <n v="48.08"/>
    <s v="DQS_MAO04_FILE_000_B"/>
    <s v="RECORD COUNT by MBR_ID, DOS_THRU_DT, DX_CD Grain grouped by PAYER, SRC_FILE_NM, DOS_THRU_YYYYMM"/>
  </r>
  <r>
    <x v="2"/>
    <s v="SGOKMRCY_PE202404_REMAO004.TXT"/>
    <x v="97"/>
    <x v="9"/>
    <n v="23350"/>
    <n v="70864"/>
    <n v="32.950000000000003"/>
    <s v="DQS_MAO04_FILE_000_B"/>
    <s v="RECORD COUNT by MBR_ID, DOS_THRU_DT, DX_CD Grain grouped by PAYER, SRC_FILE_NM, DOS_THRU_YYYYMM"/>
  </r>
  <r>
    <x v="2"/>
    <s v="SGOKMRCY_PE202405_REMAO004.TXT"/>
    <x v="40"/>
    <x v="4"/>
    <n v="16"/>
    <n v="91136"/>
    <n v="0.02"/>
    <s v="DQS_MAO04_FILE_000_B"/>
    <s v="RECORD COUNT by MBR_ID, DOS_THRU_DT, DX_CD Grain grouped by PAYER, SRC_FILE_NM, DOS_THRU_YYYYMM"/>
  </r>
  <r>
    <x v="2"/>
    <s v="SGOKMRCY_PE202405_REMAO004.TXT"/>
    <x v="41"/>
    <x v="5"/>
    <n v="1"/>
    <n v="91136"/>
    <n v="0"/>
    <s v="DQS_MAO04_FILE_000_B"/>
    <s v="RECORD COUNT by MBR_ID, DOS_THRU_DT, DX_CD Grain grouped by PAYER, SRC_FILE_NM, DOS_THRU_YYYYMM"/>
  </r>
  <r>
    <x v="2"/>
    <s v="SGOKMRCY_PE202405_REMAO004.TXT"/>
    <x v="59"/>
    <x v="6"/>
    <n v="2"/>
    <n v="91136"/>
    <n v="0"/>
    <s v="DQS_MAO04_FILE_000_B"/>
    <s v="RECORD COUNT by MBR_ID, DOS_THRU_DT, DX_CD Grain grouped by PAYER, SRC_FILE_NM, DOS_THRU_YYYYMM"/>
  </r>
  <r>
    <x v="2"/>
    <s v="SGOKMRCY_PE202405_REMAO004.TXT"/>
    <x v="61"/>
    <x v="6"/>
    <n v="3"/>
    <n v="91136"/>
    <n v="0"/>
    <s v="DQS_MAO04_FILE_000_B"/>
    <s v="RECORD COUNT by MBR_ID, DOS_THRU_DT, DX_CD Grain grouped by PAYER, SRC_FILE_NM, DOS_THRU_YYYYMM"/>
  </r>
  <r>
    <x v="2"/>
    <s v="SGOKMRCY_PE202405_REMAO004.TXT"/>
    <x v="62"/>
    <x v="6"/>
    <n v="12"/>
    <n v="91136"/>
    <n v="0.01"/>
    <s v="DQS_MAO04_FILE_000_B"/>
    <s v="RECORD COUNT by MBR_ID, DOS_THRU_DT, DX_CD Grain grouped by PAYER, SRC_FILE_NM, DOS_THRU_YYYYMM"/>
  </r>
  <r>
    <x v="2"/>
    <s v="SGOKMRCY_PE202405_REMAO004.TXT"/>
    <x v="63"/>
    <x v="6"/>
    <n v="4"/>
    <n v="91136"/>
    <n v="0"/>
    <s v="DQS_MAO04_FILE_000_B"/>
    <s v="RECORD COUNT by MBR_ID, DOS_THRU_DT, DX_CD Grain grouped by PAYER, SRC_FILE_NM, DOS_THRU_YYYYMM"/>
  </r>
  <r>
    <x v="2"/>
    <s v="SGOKMRCY_PE202405_REMAO004.TXT"/>
    <x v="65"/>
    <x v="7"/>
    <n v="2"/>
    <n v="91136"/>
    <n v="0"/>
    <s v="DQS_MAO04_FILE_000_B"/>
    <s v="RECORD COUNT by MBR_ID, DOS_THRU_DT, DX_CD Grain grouped by PAYER, SRC_FILE_NM, DOS_THRU_YYYYMM"/>
  </r>
  <r>
    <x v="2"/>
    <s v="SGOKMRCY_PE202405_REMAO004.TXT"/>
    <x v="67"/>
    <x v="7"/>
    <n v="3"/>
    <n v="91136"/>
    <n v="0"/>
    <s v="DQS_MAO04_FILE_000_B"/>
    <s v="RECORD COUNT by MBR_ID, DOS_THRU_DT, DX_CD Grain grouped by PAYER, SRC_FILE_NM, DOS_THRU_YYYYMM"/>
  </r>
  <r>
    <x v="2"/>
    <s v="SGOKMRCY_PE202405_REMAO004.TXT"/>
    <x v="68"/>
    <x v="7"/>
    <n v="2"/>
    <n v="91136"/>
    <n v="0"/>
    <s v="DQS_MAO04_FILE_000_B"/>
    <s v="RECORD COUNT by MBR_ID, DOS_THRU_DT, DX_CD Grain grouped by PAYER, SRC_FILE_NM, DOS_THRU_YYYYMM"/>
  </r>
  <r>
    <x v="2"/>
    <s v="SGOKMRCY_PE202405_REMAO004.TXT"/>
    <x v="69"/>
    <x v="7"/>
    <n v="26"/>
    <n v="91136"/>
    <n v="0.03"/>
    <s v="DQS_MAO04_FILE_000_B"/>
    <s v="RECORD COUNT by MBR_ID, DOS_THRU_DT, DX_CD Grain grouped by PAYER, SRC_FILE_NM, DOS_THRU_YYYYMM"/>
  </r>
  <r>
    <x v="2"/>
    <s v="SGOKMRCY_PE202405_REMAO004.TXT"/>
    <x v="70"/>
    <x v="7"/>
    <n v="55"/>
    <n v="91136"/>
    <n v="0.06"/>
    <s v="DQS_MAO04_FILE_000_B"/>
    <s v="RECORD COUNT by MBR_ID, DOS_THRU_DT, DX_CD Grain grouped by PAYER, SRC_FILE_NM, DOS_THRU_YYYYMM"/>
  </r>
  <r>
    <x v="2"/>
    <s v="SGOKMRCY_PE202405_REMAO004.TXT"/>
    <x v="71"/>
    <x v="7"/>
    <n v="79"/>
    <n v="91136"/>
    <n v="0.09"/>
    <s v="DQS_MAO04_FILE_000_B"/>
    <s v="RECORD COUNT by MBR_ID, DOS_THRU_DT, DX_CD Grain grouped by PAYER, SRC_FILE_NM, DOS_THRU_YYYYMM"/>
  </r>
  <r>
    <x v="2"/>
    <s v="SGOKMRCY_PE202405_REMAO004.TXT"/>
    <x v="72"/>
    <x v="7"/>
    <n v="52"/>
    <n v="91136"/>
    <n v="0.06"/>
    <s v="DQS_MAO04_FILE_000_B"/>
    <s v="RECORD COUNT by MBR_ID, DOS_THRU_DT, DX_CD Grain grouped by PAYER, SRC_FILE_NM, DOS_THRU_YYYYMM"/>
  </r>
  <r>
    <x v="2"/>
    <s v="SGOKMRCY_PE202405_REMAO004.TXT"/>
    <x v="73"/>
    <x v="7"/>
    <n v="101"/>
    <n v="91136"/>
    <n v="0.11"/>
    <s v="DQS_MAO04_FILE_000_B"/>
    <s v="RECORD COUNT by MBR_ID, DOS_THRU_DT, DX_CD Grain grouped by PAYER, SRC_FILE_NM, DOS_THRU_YYYYMM"/>
  </r>
  <r>
    <x v="2"/>
    <s v="SGOKMRCY_PE202405_REMAO004.TXT"/>
    <x v="74"/>
    <x v="7"/>
    <n v="63"/>
    <n v="91136"/>
    <n v="7.0000000000000007E-2"/>
    <s v="DQS_MAO04_FILE_000_B"/>
    <s v="RECORD COUNT by MBR_ID, DOS_THRU_DT, DX_CD Grain grouped by PAYER, SRC_FILE_NM, DOS_THRU_YYYYMM"/>
  </r>
  <r>
    <x v="2"/>
    <s v="SGOKMRCY_PE202405_REMAO004.TXT"/>
    <x v="75"/>
    <x v="7"/>
    <n v="144"/>
    <n v="91136"/>
    <n v="0.16"/>
    <s v="DQS_MAO04_FILE_000_B"/>
    <s v="RECORD COUNT by MBR_ID, DOS_THRU_DT, DX_CD Grain grouped by PAYER, SRC_FILE_NM, DOS_THRU_YYYYMM"/>
  </r>
  <r>
    <x v="2"/>
    <s v="SGOKMRCY_PE202405_REMAO004.TXT"/>
    <x v="76"/>
    <x v="7"/>
    <n v="77"/>
    <n v="91136"/>
    <n v="0.08"/>
    <s v="DQS_MAO04_FILE_000_B"/>
    <s v="RECORD COUNT by MBR_ID, DOS_THRU_DT, DX_CD Grain grouped by PAYER, SRC_FILE_NM, DOS_THRU_YYYYMM"/>
  </r>
  <r>
    <x v="2"/>
    <s v="SGOKMRCY_PE202405_REMAO004.TXT"/>
    <x v="77"/>
    <x v="8"/>
    <n v="6889"/>
    <n v="91136"/>
    <n v="7.56"/>
    <s v="DQS_MAO04_FILE_000_B"/>
    <s v="RECORD COUNT by MBR_ID, DOS_THRU_DT, DX_CD Grain grouped by PAYER, SRC_FILE_NM, DOS_THRU_YYYYMM"/>
  </r>
  <r>
    <x v="2"/>
    <s v="SGOKMRCY_PE202405_REMAO004.TXT"/>
    <x v="78"/>
    <x v="8"/>
    <n v="6389"/>
    <n v="91136"/>
    <n v="7.01"/>
    <s v="DQS_MAO04_FILE_000_B"/>
    <s v="RECORD COUNT by MBR_ID, DOS_THRU_DT, DX_CD Grain grouped by PAYER, SRC_FILE_NM, DOS_THRU_YYYYMM"/>
  </r>
  <r>
    <x v="2"/>
    <s v="SGOKMRCY_PE202405_REMAO004.TXT"/>
    <x v="79"/>
    <x v="8"/>
    <n v="7489"/>
    <n v="91136"/>
    <n v="8.2200000000000006"/>
    <s v="DQS_MAO04_FILE_000_B"/>
    <s v="RECORD COUNT by MBR_ID, DOS_THRU_DT, DX_CD Grain grouped by PAYER, SRC_FILE_NM, DOS_THRU_YYYYMM"/>
  </r>
  <r>
    <x v="2"/>
    <s v="SGOKMRCY_PE202405_REMAO004.TXT"/>
    <x v="80"/>
    <x v="8"/>
    <n v="6245"/>
    <n v="91136"/>
    <n v="6.85"/>
    <s v="DQS_MAO04_FILE_000_B"/>
    <s v="RECORD COUNT by MBR_ID, DOS_THRU_DT, DX_CD Grain grouped by PAYER, SRC_FILE_NM, DOS_THRU_YYYYMM"/>
  </r>
  <r>
    <x v="2"/>
    <s v="SGOKMRCY_PE202405_REMAO004.TXT"/>
    <x v="81"/>
    <x v="8"/>
    <n v="5943"/>
    <n v="91136"/>
    <n v="6.52"/>
    <s v="DQS_MAO04_FILE_000_B"/>
    <s v="RECORD COUNT by MBR_ID, DOS_THRU_DT, DX_CD Grain grouped by PAYER, SRC_FILE_NM, DOS_THRU_YYYYMM"/>
  </r>
  <r>
    <x v="2"/>
    <s v="SGOKMRCY_PE202405_REMAO004.TXT"/>
    <x v="82"/>
    <x v="8"/>
    <n v="5948"/>
    <n v="91136"/>
    <n v="6.53"/>
    <s v="DQS_MAO04_FILE_000_B"/>
    <s v="RECORD COUNT by MBR_ID, DOS_THRU_DT, DX_CD Grain grouped by PAYER, SRC_FILE_NM, DOS_THRU_YYYYMM"/>
  </r>
  <r>
    <x v="2"/>
    <s v="SGOKMRCY_PE202405_REMAO004.TXT"/>
    <x v="83"/>
    <x v="8"/>
    <n v="4517"/>
    <n v="91136"/>
    <n v="4.96"/>
    <s v="DQS_MAO04_FILE_000_B"/>
    <s v="RECORD COUNT by MBR_ID, DOS_THRU_DT, DX_CD Grain grouped by PAYER, SRC_FILE_NM, DOS_THRU_YYYYMM"/>
  </r>
  <r>
    <x v="2"/>
    <s v="SGOKMRCY_PE202405_REMAO004.TXT"/>
    <x v="84"/>
    <x v="8"/>
    <n v="614"/>
    <n v="91136"/>
    <n v="0.67"/>
    <s v="DQS_MAO04_FILE_000_B"/>
    <s v="RECORD COUNT by MBR_ID, DOS_THRU_DT, DX_CD Grain grouped by PAYER, SRC_FILE_NM, DOS_THRU_YYYYMM"/>
  </r>
  <r>
    <x v="2"/>
    <s v="SGOKMRCY_PE202405_REMAO004.TXT"/>
    <x v="85"/>
    <x v="8"/>
    <n v="994"/>
    <n v="91136"/>
    <n v="1.0900000000000001"/>
    <s v="DQS_MAO04_FILE_000_B"/>
    <s v="RECORD COUNT by MBR_ID, DOS_THRU_DT, DX_CD Grain grouped by PAYER, SRC_FILE_NM, DOS_THRU_YYYYMM"/>
  </r>
  <r>
    <x v="2"/>
    <s v="SGOKMRCY_PE202405_REMAO004.TXT"/>
    <x v="86"/>
    <x v="8"/>
    <n v="768"/>
    <n v="91136"/>
    <n v="0.84"/>
    <s v="DQS_MAO04_FILE_000_B"/>
    <s v="RECORD COUNT by MBR_ID, DOS_THRU_DT, DX_CD Grain grouped by PAYER, SRC_FILE_NM, DOS_THRU_YYYYMM"/>
  </r>
  <r>
    <x v="2"/>
    <s v="SGOKMRCY_PE202405_REMAO004.TXT"/>
    <x v="87"/>
    <x v="8"/>
    <n v="1925"/>
    <n v="91136"/>
    <n v="2.11"/>
    <s v="DQS_MAO04_FILE_000_B"/>
    <s v="RECORD COUNT by MBR_ID, DOS_THRU_DT, DX_CD Grain grouped by PAYER, SRC_FILE_NM, DOS_THRU_YYYYMM"/>
  </r>
  <r>
    <x v="2"/>
    <s v="SGOKMRCY_PE202405_REMAO004.TXT"/>
    <x v="88"/>
    <x v="8"/>
    <n v="1980"/>
    <n v="91136"/>
    <n v="2.17"/>
    <s v="DQS_MAO04_FILE_000_B"/>
    <s v="RECORD COUNT by MBR_ID, DOS_THRU_DT, DX_CD Grain grouped by PAYER, SRC_FILE_NM, DOS_THRU_YYYYMM"/>
  </r>
  <r>
    <x v="2"/>
    <s v="SGOKMRCY_PE202405_REMAO004.TXT"/>
    <x v="89"/>
    <x v="9"/>
    <n v="4505"/>
    <n v="91136"/>
    <n v="4.9400000000000004"/>
    <s v="DQS_MAO04_FILE_000_B"/>
    <s v="RECORD COUNT by MBR_ID, DOS_THRU_DT, DX_CD Grain grouped by PAYER, SRC_FILE_NM, DOS_THRU_YYYYMM"/>
  </r>
  <r>
    <x v="2"/>
    <s v="SGOKMRCY_PE202405_REMAO004.TXT"/>
    <x v="97"/>
    <x v="9"/>
    <n v="26041"/>
    <n v="91136"/>
    <n v="28.57"/>
    <s v="DQS_MAO04_FILE_000_B"/>
    <s v="RECORD COUNT by MBR_ID, DOS_THRU_DT, DX_CD Grain grouped by PAYER, SRC_FILE_NM, DOS_THRU_YYYYMM"/>
  </r>
  <r>
    <x v="2"/>
    <s v="SGOKMRCY_PE202405_REMAO004.TXT"/>
    <x v="98"/>
    <x v="9"/>
    <n v="10247"/>
    <n v="91136"/>
    <n v="11.24"/>
    <s v="DQS_MAO04_FILE_000_B"/>
    <s v="RECORD COUNT by MBR_ID, DOS_THRU_DT, DX_CD Grain grouped by PAYER, SRC_FILE_NM, DOS_THRU_YYYYMM"/>
  </r>
  <r>
    <x v="2"/>
    <s v="SGOKMRCY_PE202406_REMAO004.TXT"/>
    <x v="39"/>
    <x v="4"/>
    <n v="4"/>
    <n v="140222"/>
    <n v="0"/>
    <s v="DQS_MAO04_FILE_000_B"/>
    <s v="RECORD COUNT by MBR_ID, DOS_THRU_DT, DX_CD Grain grouped by PAYER, SRC_FILE_NM, DOS_THRU_YYYYMM"/>
  </r>
  <r>
    <x v="2"/>
    <s v="SGOKMRCY_PE202406_REMAO004.TXT"/>
    <x v="40"/>
    <x v="4"/>
    <n v="16"/>
    <n v="140222"/>
    <n v="0.01"/>
    <s v="DQS_MAO04_FILE_000_B"/>
    <s v="RECORD COUNT by MBR_ID, DOS_THRU_DT, DX_CD Grain grouped by PAYER, SRC_FILE_NM, DOS_THRU_YYYYMM"/>
  </r>
  <r>
    <x v="2"/>
    <s v="SGOKMRCY_PE202406_REMAO004.TXT"/>
    <x v="41"/>
    <x v="5"/>
    <n v="1"/>
    <n v="140222"/>
    <n v="0"/>
    <s v="DQS_MAO04_FILE_000_B"/>
    <s v="RECORD COUNT by MBR_ID, DOS_THRU_DT, DX_CD Grain grouped by PAYER, SRC_FILE_NM, DOS_THRU_YYYYMM"/>
  </r>
  <r>
    <x v="2"/>
    <s v="SGOKMRCY_PE202406_REMAO004.TXT"/>
    <x v="59"/>
    <x v="6"/>
    <n v="2"/>
    <n v="140222"/>
    <n v="0"/>
    <s v="DQS_MAO04_FILE_000_B"/>
    <s v="RECORD COUNT by MBR_ID, DOS_THRU_DT, DX_CD Grain grouped by PAYER, SRC_FILE_NM, DOS_THRU_YYYYMM"/>
  </r>
  <r>
    <x v="2"/>
    <s v="SGOKMRCY_PE202406_REMAO004.TXT"/>
    <x v="61"/>
    <x v="6"/>
    <n v="3"/>
    <n v="140222"/>
    <n v="0"/>
    <s v="DQS_MAO04_FILE_000_B"/>
    <s v="RECORD COUNT by MBR_ID, DOS_THRU_DT, DX_CD Grain grouped by PAYER, SRC_FILE_NM, DOS_THRU_YYYYMM"/>
  </r>
  <r>
    <x v="2"/>
    <s v="SGOKMRCY_PE202406_REMAO004.TXT"/>
    <x v="62"/>
    <x v="6"/>
    <n v="12"/>
    <n v="140222"/>
    <n v="0.01"/>
    <s v="DQS_MAO04_FILE_000_B"/>
    <s v="RECORD COUNT by MBR_ID, DOS_THRU_DT, DX_CD Grain grouped by PAYER, SRC_FILE_NM, DOS_THRU_YYYYMM"/>
  </r>
  <r>
    <x v="2"/>
    <s v="SGOKMRCY_PE202406_REMAO004.TXT"/>
    <x v="63"/>
    <x v="6"/>
    <n v="4"/>
    <n v="140222"/>
    <n v="0"/>
    <s v="DQS_MAO04_FILE_000_B"/>
    <s v="RECORD COUNT by MBR_ID, DOS_THRU_DT, DX_CD Grain grouped by PAYER, SRC_FILE_NM, DOS_THRU_YYYYMM"/>
  </r>
  <r>
    <x v="2"/>
    <s v="SGOKMRCY_PE202406_REMAO004.TXT"/>
    <x v="65"/>
    <x v="7"/>
    <n v="2"/>
    <n v="140222"/>
    <n v="0"/>
    <s v="DQS_MAO04_FILE_000_B"/>
    <s v="RECORD COUNT by MBR_ID, DOS_THRU_DT, DX_CD Grain grouped by PAYER, SRC_FILE_NM, DOS_THRU_YYYYMM"/>
  </r>
  <r>
    <x v="2"/>
    <s v="SGOKMRCY_PE202406_REMAO004.TXT"/>
    <x v="67"/>
    <x v="7"/>
    <n v="3"/>
    <n v="140222"/>
    <n v="0"/>
    <s v="DQS_MAO04_FILE_000_B"/>
    <s v="RECORD COUNT by MBR_ID, DOS_THRU_DT, DX_CD Grain grouped by PAYER, SRC_FILE_NM, DOS_THRU_YYYYMM"/>
  </r>
  <r>
    <x v="2"/>
    <s v="SGOKMRCY_PE202406_REMAO004.TXT"/>
    <x v="68"/>
    <x v="7"/>
    <n v="3"/>
    <n v="140222"/>
    <n v="0"/>
    <s v="DQS_MAO04_FILE_000_B"/>
    <s v="RECORD COUNT by MBR_ID, DOS_THRU_DT, DX_CD Grain grouped by PAYER, SRC_FILE_NM, DOS_THRU_YYYYMM"/>
  </r>
  <r>
    <x v="2"/>
    <s v="SGOKMRCY_PE202406_REMAO004.TXT"/>
    <x v="69"/>
    <x v="7"/>
    <n v="26"/>
    <n v="140222"/>
    <n v="0.02"/>
    <s v="DQS_MAO04_FILE_000_B"/>
    <s v="RECORD COUNT by MBR_ID, DOS_THRU_DT, DX_CD Grain grouped by PAYER, SRC_FILE_NM, DOS_THRU_YYYYMM"/>
  </r>
  <r>
    <x v="2"/>
    <s v="SGOKMRCY_PE202406_REMAO004.TXT"/>
    <x v="70"/>
    <x v="7"/>
    <n v="55"/>
    <n v="140222"/>
    <n v="0.04"/>
    <s v="DQS_MAO04_FILE_000_B"/>
    <s v="RECORD COUNT by MBR_ID, DOS_THRU_DT, DX_CD Grain grouped by PAYER, SRC_FILE_NM, DOS_THRU_YYYYMM"/>
  </r>
  <r>
    <x v="2"/>
    <s v="SGOKMRCY_PE202406_REMAO004.TXT"/>
    <x v="71"/>
    <x v="7"/>
    <n v="106"/>
    <n v="140222"/>
    <n v="0.08"/>
    <s v="DQS_MAO04_FILE_000_B"/>
    <s v="RECORD COUNT by MBR_ID, DOS_THRU_DT, DX_CD Grain grouped by PAYER, SRC_FILE_NM, DOS_THRU_YYYYMM"/>
  </r>
  <r>
    <x v="2"/>
    <s v="SGOKMRCY_PE202406_REMAO004.TXT"/>
    <x v="72"/>
    <x v="7"/>
    <n v="59"/>
    <n v="140222"/>
    <n v="0.04"/>
    <s v="DQS_MAO04_FILE_000_B"/>
    <s v="RECORD COUNT by MBR_ID, DOS_THRU_DT, DX_CD Grain grouped by PAYER, SRC_FILE_NM, DOS_THRU_YYYYMM"/>
  </r>
  <r>
    <x v="2"/>
    <s v="SGOKMRCY_PE202406_REMAO004.TXT"/>
    <x v="73"/>
    <x v="7"/>
    <n v="113"/>
    <n v="140222"/>
    <n v="0.08"/>
    <s v="DQS_MAO04_FILE_000_B"/>
    <s v="RECORD COUNT by MBR_ID, DOS_THRU_DT, DX_CD Grain grouped by PAYER, SRC_FILE_NM, DOS_THRU_YYYYMM"/>
  </r>
  <r>
    <x v="2"/>
    <s v="SGOKMRCY_PE202406_REMAO004.TXT"/>
    <x v="74"/>
    <x v="7"/>
    <n v="64"/>
    <n v="140222"/>
    <n v="0.05"/>
    <s v="DQS_MAO04_FILE_000_B"/>
    <s v="RECORD COUNT by MBR_ID, DOS_THRU_DT, DX_CD Grain grouped by PAYER, SRC_FILE_NM, DOS_THRU_YYYYMM"/>
  </r>
  <r>
    <x v="2"/>
    <s v="SGOKMRCY_PE202406_REMAO004.TXT"/>
    <x v="75"/>
    <x v="7"/>
    <n v="158"/>
    <n v="140222"/>
    <n v="0.11"/>
    <s v="DQS_MAO04_FILE_000_B"/>
    <s v="RECORD COUNT by MBR_ID, DOS_THRU_DT, DX_CD Grain grouped by PAYER, SRC_FILE_NM, DOS_THRU_YYYYMM"/>
  </r>
  <r>
    <x v="2"/>
    <s v="SGOKMRCY_PE202406_REMAO004.TXT"/>
    <x v="76"/>
    <x v="7"/>
    <n v="116"/>
    <n v="140222"/>
    <n v="0.08"/>
    <s v="DQS_MAO04_FILE_000_B"/>
    <s v="RECORD COUNT by MBR_ID, DOS_THRU_DT, DX_CD Grain grouped by PAYER, SRC_FILE_NM, DOS_THRU_YYYYMM"/>
  </r>
  <r>
    <x v="2"/>
    <s v="SGOKMRCY_PE202406_REMAO004.TXT"/>
    <x v="77"/>
    <x v="8"/>
    <n v="10468"/>
    <n v="140222"/>
    <n v="7.47"/>
    <s v="DQS_MAO04_FILE_000_B"/>
    <s v="RECORD COUNT by MBR_ID, DOS_THRU_DT, DX_CD Grain grouped by PAYER, SRC_FILE_NM, DOS_THRU_YYYYMM"/>
  </r>
  <r>
    <x v="2"/>
    <s v="SGOKMRCY_PE202406_REMAO004.TXT"/>
    <x v="78"/>
    <x v="8"/>
    <n v="10030"/>
    <n v="140222"/>
    <n v="7.15"/>
    <s v="DQS_MAO04_FILE_000_B"/>
    <s v="RECORD COUNT by MBR_ID, DOS_THRU_DT, DX_CD Grain grouped by PAYER, SRC_FILE_NM, DOS_THRU_YYYYMM"/>
  </r>
  <r>
    <x v="2"/>
    <s v="SGOKMRCY_PE202406_REMAO004.TXT"/>
    <x v="79"/>
    <x v="8"/>
    <n v="11723"/>
    <n v="140222"/>
    <n v="8.36"/>
    <s v="DQS_MAO04_FILE_000_B"/>
    <s v="RECORD COUNT by MBR_ID, DOS_THRU_DT, DX_CD Grain grouped by PAYER, SRC_FILE_NM, DOS_THRU_YYYYMM"/>
  </r>
  <r>
    <x v="2"/>
    <s v="SGOKMRCY_PE202406_REMAO004.TXT"/>
    <x v="80"/>
    <x v="8"/>
    <n v="9732"/>
    <n v="140222"/>
    <n v="6.94"/>
    <s v="DQS_MAO04_FILE_000_B"/>
    <s v="RECORD COUNT by MBR_ID, DOS_THRU_DT, DX_CD Grain grouped by PAYER, SRC_FILE_NM, DOS_THRU_YYYYMM"/>
  </r>
  <r>
    <x v="2"/>
    <s v="SGOKMRCY_PE202406_REMAO004.TXT"/>
    <x v="81"/>
    <x v="8"/>
    <n v="9724"/>
    <n v="140222"/>
    <n v="6.93"/>
    <s v="DQS_MAO04_FILE_000_B"/>
    <s v="RECORD COUNT by MBR_ID, DOS_THRU_DT, DX_CD Grain grouped by PAYER, SRC_FILE_NM, DOS_THRU_YYYYMM"/>
  </r>
  <r>
    <x v="2"/>
    <s v="SGOKMRCY_PE202406_REMAO004.TXT"/>
    <x v="82"/>
    <x v="8"/>
    <n v="9667"/>
    <n v="140222"/>
    <n v="6.89"/>
    <s v="DQS_MAO04_FILE_000_B"/>
    <s v="RECORD COUNT by MBR_ID, DOS_THRU_DT, DX_CD Grain grouped by PAYER, SRC_FILE_NM, DOS_THRU_YYYYMM"/>
  </r>
  <r>
    <x v="2"/>
    <s v="SGOKMRCY_PE202406_REMAO004.TXT"/>
    <x v="83"/>
    <x v="8"/>
    <n v="7534"/>
    <n v="140222"/>
    <n v="5.37"/>
    <s v="DQS_MAO04_FILE_000_B"/>
    <s v="RECORD COUNT by MBR_ID, DOS_THRU_DT, DX_CD Grain grouped by PAYER, SRC_FILE_NM, DOS_THRU_YYYYMM"/>
  </r>
  <r>
    <x v="2"/>
    <s v="SGOKMRCY_PE202406_REMAO004.TXT"/>
    <x v="84"/>
    <x v="8"/>
    <n v="800"/>
    <n v="140222"/>
    <n v="0.56999999999999995"/>
    <s v="DQS_MAO04_FILE_000_B"/>
    <s v="RECORD COUNT by MBR_ID, DOS_THRU_DT, DX_CD Grain grouped by PAYER, SRC_FILE_NM, DOS_THRU_YYYYMM"/>
  </r>
  <r>
    <x v="2"/>
    <s v="SGOKMRCY_PE202406_REMAO004.TXT"/>
    <x v="85"/>
    <x v="8"/>
    <n v="1127"/>
    <n v="140222"/>
    <n v="0.8"/>
    <s v="DQS_MAO04_FILE_000_B"/>
    <s v="RECORD COUNT by MBR_ID, DOS_THRU_DT, DX_CD Grain grouped by PAYER, SRC_FILE_NM, DOS_THRU_YYYYMM"/>
  </r>
  <r>
    <x v="2"/>
    <s v="SGOKMRCY_PE202406_REMAO004.TXT"/>
    <x v="86"/>
    <x v="8"/>
    <n v="1065"/>
    <n v="140222"/>
    <n v="0.76"/>
    <s v="DQS_MAO04_FILE_000_B"/>
    <s v="RECORD COUNT by MBR_ID, DOS_THRU_DT, DX_CD Grain grouped by PAYER, SRC_FILE_NM, DOS_THRU_YYYYMM"/>
  </r>
  <r>
    <x v="2"/>
    <s v="SGOKMRCY_PE202406_REMAO004.TXT"/>
    <x v="87"/>
    <x v="8"/>
    <n v="2240"/>
    <n v="140222"/>
    <n v="1.6"/>
    <s v="DQS_MAO04_FILE_000_B"/>
    <s v="RECORD COUNT by MBR_ID, DOS_THRU_DT, DX_CD Grain grouped by PAYER, SRC_FILE_NM, DOS_THRU_YYYYMM"/>
  </r>
  <r>
    <x v="2"/>
    <s v="SGOKMRCY_PE202406_REMAO004.TXT"/>
    <x v="88"/>
    <x v="8"/>
    <n v="2326"/>
    <n v="140222"/>
    <n v="1.66"/>
    <s v="DQS_MAO04_FILE_000_B"/>
    <s v="RECORD COUNT by MBR_ID, DOS_THRU_DT, DX_CD Grain grouped by PAYER, SRC_FILE_NM, DOS_THRU_YYYYMM"/>
  </r>
  <r>
    <x v="2"/>
    <s v="SGOKMRCY_PE202406_REMAO004.TXT"/>
    <x v="89"/>
    <x v="9"/>
    <n v="6832"/>
    <n v="140222"/>
    <n v="4.87"/>
    <s v="DQS_MAO04_FILE_000_B"/>
    <s v="RECORD COUNT by MBR_ID, DOS_THRU_DT, DX_CD Grain grouped by PAYER, SRC_FILE_NM, DOS_THRU_YYYYMM"/>
  </r>
  <r>
    <x v="2"/>
    <s v="SGOKMRCY_PE202406_REMAO004.TXT"/>
    <x v="97"/>
    <x v="9"/>
    <n v="32242"/>
    <n v="140222"/>
    <n v="22.99"/>
    <s v="DQS_MAO04_FILE_000_B"/>
    <s v="RECORD COUNT by MBR_ID, DOS_THRU_DT, DX_CD Grain grouped by PAYER, SRC_FILE_NM, DOS_THRU_YYYYMM"/>
  </r>
  <r>
    <x v="2"/>
    <s v="SGOKMRCY_PE202406_REMAO004.TXT"/>
    <x v="98"/>
    <x v="9"/>
    <n v="23965"/>
    <n v="140222"/>
    <n v="17.09"/>
    <s v="DQS_MAO04_FILE_000_B"/>
    <s v="RECORD COUNT by MBR_ID, DOS_THRU_DT, DX_CD Grain grouped by PAYER, SRC_FILE_NM, DOS_THRU_YYYYMM"/>
  </r>
  <r>
    <x v="2"/>
    <s v="SGOKMRCY_PE202407_REMAO004.TXT"/>
    <x v="132"/>
    <x v="1"/>
    <n v="2"/>
    <n v="72429"/>
    <n v="0"/>
    <s v="DQS_MAO04_FILE_000_B"/>
    <s v="RECORD COUNT by MBR_ID, DOS_THRU_DT, DX_CD Grain grouped by PAYER, SRC_FILE_NM, DOS_THRU_YYYYMM"/>
  </r>
  <r>
    <x v="2"/>
    <s v="SGOKMRCY_PE202407_REMAO004.TXT"/>
    <x v="7"/>
    <x v="2"/>
    <n v="3"/>
    <n v="72429"/>
    <n v="0"/>
    <s v="DQS_MAO04_FILE_000_B"/>
    <s v="RECORD COUNT by MBR_ID, DOS_THRU_DT, DX_CD Grain grouped by PAYER, SRC_FILE_NM, DOS_THRU_YYYYMM"/>
  </r>
  <r>
    <x v="2"/>
    <s v="SGOKMRCY_PE202407_REMAO004.TXT"/>
    <x v="23"/>
    <x v="3"/>
    <n v="15"/>
    <n v="72429"/>
    <n v="0.02"/>
    <s v="DQS_MAO04_FILE_000_B"/>
    <s v="RECORD COUNT by MBR_ID, DOS_THRU_DT, DX_CD Grain grouped by PAYER, SRC_FILE_NM, DOS_THRU_YYYYMM"/>
  </r>
  <r>
    <x v="2"/>
    <s v="SGOKMRCY_PE202407_REMAO004.TXT"/>
    <x v="24"/>
    <x v="3"/>
    <n v="2"/>
    <n v="72429"/>
    <n v="0"/>
    <s v="DQS_MAO04_FILE_000_B"/>
    <s v="RECORD COUNT by MBR_ID, DOS_THRU_DT, DX_CD Grain grouped by PAYER, SRC_FILE_NM, DOS_THRU_YYYYMM"/>
  </r>
  <r>
    <x v="2"/>
    <s v="SGOKMRCY_PE202407_REMAO004.TXT"/>
    <x v="28"/>
    <x v="3"/>
    <n v="12"/>
    <n v="72429"/>
    <n v="0.02"/>
    <s v="DQS_MAO04_FILE_000_B"/>
    <s v="RECORD COUNT by MBR_ID, DOS_THRU_DT, DX_CD Grain grouped by PAYER, SRC_FILE_NM, DOS_THRU_YYYYMM"/>
  </r>
  <r>
    <x v="2"/>
    <s v="SGOKMRCY_PE202407_REMAO004.TXT"/>
    <x v="30"/>
    <x v="4"/>
    <n v="9"/>
    <n v="72429"/>
    <n v="0.01"/>
    <s v="DQS_MAO04_FILE_000_B"/>
    <s v="RECORD COUNT by MBR_ID, DOS_THRU_DT, DX_CD Grain grouped by PAYER, SRC_FILE_NM, DOS_THRU_YYYYMM"/>
  </r>
  <r>
    <x v="2"/>
    <s v="SGOKMRCY_PE202407_REMAO004.TXT"/>
    <x v="42"/>
    <x v="5"/>
    <n v="25"/>
    <n v="72429"/>
    <n v="0.03"/>
    <s v="DQS_MAO04_FILE_000_B"/>
    <s v="RECORD COUNT by MBR_ID, DOS_THRU_DT, DX_CD Grain grouped by PAYER, SRC_FILE_NM, DOS_THRU_YYYYMM"/>
  </r>
  <r>
    <x v="2"/>
    <s v="SGOKMRCY_PE202407_REMAO004.TXT"/>
    <x v="45"/>
    <x v="5"/>
    <n v="5"/>
    <n v="72429"/>
    <n v="0.01"/>
    <s v="DQS_MAO04_FILE_000_B"/>
    <s v="RECORD COUNT by MBR_ID, DOS_THRU_DT, DX_CD Grain grouped by PAYER, SRC_FILE_NM, DOS_THRU_YYYYMM"/>
  </r>
  <r>
    <x v="2"/>
    <s v="SGOKMRCY_PE202407_REMAO004.TXT"/>
    <x v="46"/>
    <x v="5"/>
    <n v="46"/>
    <n v="72429"/>
    <n v="0.06"/>
    <s v="DQS_MAO04_FILE_000_B"/>
    <s v="RECORD COUNT by MBR_ID, DOS_THRU_DT, DX_CD Grain grouped by PAYER, SRC_FILE_NM, DOS_THRU_YYYYMM"/>
  </r>
  <r>
    <x v="2"/>
    <s v="SGOKMRCY_PE202407_REMAO004.TXT"/>
    <x v="60"/>
    <x v="6"/>
    <n v="4"/>
    <n v="72429"/>
    <n v="0.01"/>
    <s v="DQS_MAO04_FILE_000_B"/>
    <s v="RECORD COUNT by MBR_ID, DOS_THRU_DT, DX_CD Grain grouped by PAYER, SRC_FILE_NM, DOS_THRU_YYYYMM"/>
  </r>
  <r>
    <x v="2"/>
    <s v="SGOKMRCY_PE202407_REMAO004.TXT"/>
    <x v="64"/>
    <x v="6"/>
    <n v="2"/>
    <n v="72429"/>
    <n v="0"/>
    <s v="DQS_MAO04_FILE_000_B"/>
    <s v="RECORD COUNT by MBR_ID, DOS_THRU_DT, DX_CD Grain grouped by PAYER, SRC_FILE_NM, DOS_THRU_YYYYMM"/>
  </r>
  <r>
    <x v="2"/>
    <s v="SGOKMRCY_PE202407_REMAO004.TXT"/>
    <x v="65"/>
    <x v="7"/>
    <n v="40"/>
    <n v="72429"/>
    <n v="0.06"/>
    <s v="DQS_MAO04_FILE_000_B"/>
    <s v="RECORD COUNT by MBR_ID, DOS_THRU_DT, DX_CD Grain grouped by PAYER, SRC_FILE_NM, DOS_THRU_YYYYMM"/>
  </r>
  <r>
    <x v="2"/>
    <s v="SGOKMRCY_PE202407_REMAO004.TXT"/>
    <x v="66"/>
    <x v="7"/>
    <n v="1"/>
    <n v="72429"/>
    <n v="0"/>
    <s v="DQS_MAO04_FILE_000_B"/>
    <s v="RECORD COUNT by MBR_ID, DOS_THRU_DT, DX_CD Grain grouped by PAYER, SRC_FILE_NM, DOS_THRU_YYYYMM"/>
  </r>
  <r>
    <x v="2"/>
    <s v="SGOKMRCY_PE202407_REMAO004.TXT"/>
    <x v="67"/>
    <x v="7"/>
    <n v="26"/>
    <n v="72429"/>
    <n v="0.04"/>
    <s v="DQS_MAO04_FILE_000_B"/>
    <s v="RECORD COUNT by MBR_ID, DOS_THRU_DT, DX_CD Grain grouped by PAYER, SRC_FILE_NM, DOS_THRU_YYYYMM"/>
  </r>
  <r>
    <x v="2"/>
    <s v="SGOKMRCY_PE202407_REMAO004.TXT"/>
    <x v="68"/>
    <x v="7"/>
    <n v="34"/>
    <n v="72429"/>
    <n v="0.05"/>
    <s v="DQS_MAO04_FILE_000_B"/>
    <s v="RECORD COUNT by MBR_ID, DOS_THRU_DT, DX_CD Grain grouped by PAYER, SRC_FILE_NM, DOS_THRU_YYYYMM"/>
  </r>
  <r>
    <x v="2"/>
    <s v="SGOKMRCY_PE202407_REMAO004.TXT"/>
    <x v="69"/>
    <x v="7"/>
    <n v="6"/>
    <n v="72429"/>
    <n v="0.01"/>
    <s v="DQS_MAO04_FILE_000_B"/>
    <s v="RECORD COUNT by MBR_ID, DOS_THRU_DT, DX_CD Grain grouped by PAYER, SRC_FILE_NM, DOS_THRU_YYYYMM"/>
  </r>
  <r>
    <x v="2"/>
    <s v="SGOKMRCY_PE202407_REMAO004.TXT"/>
    <x v="70"/>
    <x v="7"/>
    <n v="28"/>
    <n v="72429"/>
    <n v="0.04"/>
    <s v="DQS_MAO04_FILE_000_B"/>
    <s v="RECORD COUNT by MBR_ID, DOS_THRU_DT, DX_CD Grain grouped by PAYER, SRC_FILE_NM, DOS_THRU_YYYYMM"/>
  </r>
  <r>
    <x v="2"/>
    <s v="SGOKMRCY_PE202407_REMAO004.TXT"/>
    <x v="71"/>
    <x v="7"/>
    <n v="28"/>
    <n v="72429"/>
    <n v="0.04"/>
    <s v="DQS_MAO04_FILE_000_B"/>
    <s v="RECORD COUNT by MBR_ID, DOS_THRU_DT, DX_CD Grain grouped by PAYER, SRC_FILE_NM, DOS_THRU_YYYYMM"/>
  </r>
  <r>
    <x v="2"/>
    <s v="SGOKMRCY_PE202407_REMAO004.TXT"/>
    <x v="72"/>
    <x v="7"/>
    <n v="62"/>
    <n v="72429"/>
    <n v="0.09"/>
    <s v="DQS_MAO04_FILE_000_B"/>
    <s v="RECORD COUNT by MBR_ID, DOS_THRU_DT, DX_CD Grain grouped by PAYER, SRC_FILE_NM, DOS_THRU_YYYYMM"/>
  </r>
  <r>
    <x v="2"/>
    <s v="SGOKMRCY_PE202407_REMAO004.TXT"/>
    <x v="73"/>
    <x v="7"/>
    <n v="49"/>
    <n v="72429"/>
    <n v="7.0000000000000007E-2"/>
    <s v="DQS_MAO04_FILE_000_B"/>
    <s v="RECORD COUNT by MBR_ID, DOS_THRU_DT, DX_CD Grain grouped by PAYER, SRC_FILE_NM, DOS_THRU_YYYYMM"/>
  </r>
  <r>
    <x v="2"/>
    <s v="SGOKMRCY_PE202407_REMAO004.TXT"/>
    <x v="74"/>
    <x v="7"/>
    <n v="45"/>
    <n v="72429"/>
    <n v="0.06"/>
    <s v="DQS_MAO04_FILE_000_B"/>
    <s v="RECORD COUNT by MBR_ID, DOS_THRU_DT, DX_CD Grain grouped by PAYER, SRC_FILE_NM, DOS_THRU_YYYYMM"/>
  </r>
  <r>
    <x v="2"/>
    <s v="SGOKMRCY_PE202407_REMAO004.TXT"/>
    <x v="75"/>
    <x v="7"/>
    <n v="25"/>
    <n v="72429"/>
    <n v="0.03"/>
    <s v="DQS_MAO04_FILE_000_B"/>
    <s v="RECORD COUNT by MBR_ID, DOS_THRU_DT, DX_CD Grain grouped by PAYER, SRC_FILE_NM, DOS_THRU_YYYYMM"/>
  </r>
  <r>
    <x v="2"/>
    <s v="SGOKMRCY_PE202407_REMAO004.TXT"/>
    <x v="76"/>
    <x v="7"/>
    <n v="82"/>
    <n v="72429"/>
    <n v="0.11"/>
    <s v="DQS_MAO04_FILE_000_B"/>
    <s v="RECORD COUNT by MBR_ID, DOS_THRU_DT, DX_CD Grain grouped by PAYER, SRC_FILE_NM, DOS_THRU_YYYYMM"/>
  </r>
  <r>
    <x v="2"/>
    <s v="SGOKMRCY_PE202407_REMAO004.TXT"/>
    <x v="77"/>
    <x v="8"/>
    <n v="200"/>
    <n v="72429"/>
    <n v="0.28000000000000003"/>
    <s v="DQS_MAO04_FILE_000_B"/>
    <s v="RECORD COUNT by MBR_ID, DOS_THRU_DT, DX_CD Grain grouped by PAYER, SRC_FILE_NM, DOS_THRU_YYYYMM"/>
  </r>
  <r>
    <x v="2"/>
    <s v="SGOKMRCY_PE202407_REMAO004.TXT"/>
    <x v="78"/>
    <x v="8"/>
    <n v="233"/>
    <n v="72429"/>
    <n v="0.32"/>
    <s v="DQS_MAO04_FILE_000_B"/>
    <s v="RECORD COUNT by MBR_ID, DOS_THRU_DT, DX_CD Grain grouped by PAYER, SRC_FILE_NM, DOS_THRU_YYYYMM"/>
  </r>
  <r>
    <x v="2"/>
    <s v="SGOKMRCY_PE202407_REMAO004.TXT"/>
    <x v="79"/>
    <x v="8"/>
    <n v="250"/>
    <n v="72429"/>
    <n v="0.35"/>
    <s v="DQS_MAO04_FILE_000_B"/>
    <s v="RECORD COUNT by MBR_ID, DOS_THRU_DT, DX_CD Grain grouped by PAYER, SRC_FILE_NM, DOS_THRU_YYYYMM"/>
  </r>
  <r>
    <x v="2"/>
    <s v="SGOKMRCY_PE202407_REMAO004.TXT"/>
    <x v="80"/>
    <x v="8"/>
    <n v="253"/>
    <n v="72429"/>
    <n v="0.35"/>
    <s v="DQS_MAO04_FILE_000_B"/>
    <s v="RECORD COUNT by MBR_ID, DOS_THRU_DT, DX_CD Grain grouped by PAYER, SRC_FILE_NM, DOS_THRU_YYYYMM"/>
  </r>
  <r>
    <x v="2"/>
    <s v="SGOKMRCY_PE202407_REMAO004.TXT"/>
    <x v="81"/>
    <x v="8"/>
    <n v="379"/>
    <n v="72429"/>
    <n v="0.52"/>
    <s v="DQS_MAO04_FILE_000_B"/>
    <s v="RECORD COUNT by MBR_ID, DOS_THRU_DT, DX_CD Grain grouped by PAYER, SRC_FILE_NM, DOS_THRU_YYYYMM"/>
  </r>
  <r>
    <x v="2"/>
    <s v="SGOKMRCY_PE202407_REMAO004.TXT"/>
    <x v="82"/>
    <x v="8"/>
    <n v="364"/>
    <n v="72429"/>
    <n v="0.5"/>
    <s v="DQS_MAO04_FILE_000_B"/>
    <s v="RECORD COUNT by MBR_ID, DOS_THRU_DT, DX_CD Grain grouped by PAYER, SRC_FILE_NM, DOS_THRU_YYYYMM"/>
  </r>
  <r>
    <x v="2"/>
    <s v="SGOKMRCY_PE202407_REMAO004.TXT"/>
    <x v="83"/>
    <x v="8"/>
    <n v="410"/>
    <n v="72429"/>
    <n v="0.56999999999999995"/>
    <s v="DQS_MAO04_FILE_000_B"/>
    <s v="RECORD COUNT by MBR_ID, DOS_THRU_DT, DX_CD Grain grouped by PAYER, SRC_FILE_NM, DOS_THRU_YYYYMM"/>
  </r>
  <r>
    <x v="2"/>
    <s v="SGOKMRCY_PE202407_REMAO004.TXT"/>
    <x v="84"/>
    <x v="8"/>
    <n v="365"/>
    <n v="72429"/>
    <n v="0.5"/>
    <s v="DQS_MAO04_FILE_000_B"/>
    <s v="RECORD COUNT by MBR_ID, DOS_THRU_DT, DX_CD Grain grouped by PAYER, SRC_FILE_NM, DOS_THRU_YYYYMM"/>
  </r>
  <r>
    <x v="2"/>
    <s v="SGOKMRCY_PE202407_REMAO004.TXT"/>
    <x v="85"/>
    <x v="8"/>
    <n v="670"/>
    <n v="72429"/>
    <n v="0.93"/>
    <s v="DQS_MAO04_FILE_000_B"/>
    <s v="RECORD COUNT by MBR_ID, DOS_THRU_DT, DX_CD Grain grouped by PAYER, SRC_FILE_NM, DOS_THRU_YYYYMM"/>
  </r>
  <r>
    <x v="2"/>
    <s v="SGOKMRCY_PE202407_REMAO004.TXT"/>
    <x v="86"/>
    <x v="8"/>
    <n v="979"/>
    <n v="72429"/>
    <n v="1.35"/>
    <s v="DQS_MAO04_FILE_000_B"/>
    <s v="RECORD COUNT by MBR_ID, DOS_THRU_DT, DX_CD Grain grouped by PAYER, SRC_FILE_NM, DOS_THRU_YYYYMM"/>
  </r>
  <r>
    <x v="2"/>
    <s v="SGOKMRCY_PE202407_REMAO004.TXT"/>
    <x v="87"/>
    <x v="8"/>
    <n v="797"/>
    <n v="72429"/>
    <n v="1.1000000000000001"/>
    <s v="DQS_MAO04_FILE_000_B"/>
    <s v="RECORD COUNT by MBR_ID, DOS_THRU_DT, DX_CD Grain grouped by PAYER, SRC_FILE_NM, DOS_THRU_YYYYMM"/>
  </r>
  <r>
    <x v="2"/>
    <s v="SGOKMRCY_PE202407_REMAO004.TXT"/>
    <x v="88"/>
    <x v="8"/>
    <n v="841"/>
    <n v="72429"/>
    <n v="1.1599999999999999"/>
    <s v="DQS_MAO04_FILE_000_B"/>
    <s v="RECORD COUNT by MBR_ID, DOS_THRU_DT, DX_CD Grain grouped by PAYER, SRC_FILE_NM, DOS_THRU_YYYYMM"/>
  </r>
  <r>
    <x v="2"/>
    <s v="SGOKMRCY_PE202407_REMAO004.TXT"/>
    <x v="89"/>
    <x v="9"/>
    <n v="2124"/>
    <n v="72429"/>
    <n v="2.93"/>
    <s v="DQS_MAO04_FILE_000_B"/>
    <s v="RECORD COUNT by MBR_ID, DOS_THRU_DT, DX_CD Grain grouped by PAYER, SRC_FILE_NM, DOS_THRU_YYYYMM"/>
  </r>
  <r>
    <x v="2"/>
    <s v="SGOKMRCY_PE202407_REMAO004.TXT"/>
    <x v="97"/>
    <x v="9"/>
    <n v="2274"/>
    <n v="72429"/>
    <n v="3.14"/>
    <s v="DQS_MAO04_FILE_000_B"/>
    <s v="RECORD COUNT by MBR_ID, DOS_THRU_DT, DX_CD Grain grouped by PAYER, SRC_FILE_NM, DOS_THRU_YYYYMM"/>
  </r>
  <r>
    <x v="2"/>
    <s v="SGOKMRCY_PE202407_REMAO004.TXT"/>
    <x v="98"/>
    <x v="9"/>
    <n v="4265"/>
    <n v="72429"/>
    <n v="5.89"/>
    <s v="DQS_MAO04_FILE_000_B"/>
    <s v="RECORD COUNT by MBR_ID, DOS_THRU_DT, DX_CD Grain grouped by PAYER, SRC_FILE_NM, DOS_THRU_YYYYMM"/>
  </r>
  <r>
    <x v="2"/>
    <s v="SGOKMRCY_PE202407_REMAO004.TXT"/>
    <x v="99"/>
    <x v="9"/>
    <n v="34032"/>
    <n v="72429"/>
    <n v="46.99"/>
    <s v="DQS_MAO04_FILE_000_B"/>
    <s v="RECORD COUNT by MBR_ID, DOS_THRU_DT, DX_CD Grain grouped by PAYER, SRC_FILE_NM, DOS_THRU_YYYYMM"/>
  </r>
  <r>
    <x v="2"/>
    <s v="SGOKMRCY_PE202407_REMAO004.TXT"/>
    <x v="100"/>
    <x v="9"/>
    <n v="23442"/>
    <n v="72429"/>
    <n v="32.369999999999997"/>
    <s v="DQS_MAO04_FILE_000_B"/>
    <s v="RECORD COUNT by MBR_ID, DOS_THRU_DT, DX_CD Grain grouped by PAYER, SRC_FILE_NM, DOS_THRU_YYYYMM"/>
  </r>
  <r>
    <x v="2"/>
    <s v="SGOKMRCY_PE202408_REMAO004.TXT"/>
    <x v="65"/>
    <x v="7"/>
    <n v="1"/>
    <n v="71066"/>
    <n v="0"/>
    <s v="DQS_MAO04_FILE_000_B"/>
    <s v="RECORD COUNT by MBR_ID, DOS_THRU_DT, DX_CD Grain grouped by PAYER, SRC_FILE_NM, DOS_THRU_YYYYMM"/>
  </r>
  <r>
    <x v="2"/>
    <s v="SGOKMRCY_PE202408_REMAO004.TXT"/>
    <x v="67"/>
    <x v="7"/>
    <n v="1"/>
    <n v="71066"/>
    <n v="0"/>
    <s v="DQS_MAO04_FILE_000_B"/>
    <s v="RECORD COUNT by MBR_ID, DOS_THRU_DT, DX_CD Grain grouped by PAYER, SRC_FILE_NM, DOS_THRU_YYYYMM"/>
  </r>
  <r>
    <x v="2"/>
    <s v="SGOKMRCY_PE202408_REMAO004.TXT"/>
    <x v="68"/>
    <x v="7"/>
    <n v="1"/>
    <n v="71066"/>
    <n v="0"/>
    <s v="DQS_MAO04_FILE_000_B"/>
    <s v="RECORD COUNT by MBR_ID, DOS_THRU_DT, DX_CD Grain grouped by PAYER, SRC_FILE_NM, DOS_THRU_YYYYMM"/>
  </r>
  <r>
    <x v="2"/>
    <s v="SGOKMRCY_PE202408_REMAO004.TXT"/>
    <x v="69"/>
    <x v="7"/>
    <n v="1"/>
    <n v="71066"/>
    <n v="0"/>
    <s v="DQS_MAO04_FILE_000_B"/>
    <s v="RECORD COUNT by MBR_ID, DOS_THRU_DT, DX_CD Grain grouped by PAYER, SRC_FILE_NM, DOS_THRU_YYYYMM"/>
  </r>
  <r>
    <x v="2"/>
    <s v="SGOKMRCY_PE202408_REMAO004.TXT"/>
    <x v="70"/>
    <x v="7"/>
    <n v="21"/>
    <n v="71066"/>
    <n v="0.03"/>
    <s v="DQS_MAO04_FILE_000_B"/>
    <s v="RECORD COUNT by MBR_ID, DOS_THRU_DT, DX_CD Grain grouped by PAYER, SRC_FILE_NM, DOS_THRU_YYYYMM"/>
  </r>
  <r>
    <x v="2"/>
    <s v="SGOKMRCY_PE202408_REMAO004.TXT"/>
    <x v="71"/>
    <x v="7"/>
    <n v="6"/>
    <n v="71066"/>
    <n v="0.01"/>
    <s v="DQS_MAO04_FILE_000_B"/>
    <s v="RECORD COUNT by MBR_ID, DOS_THRU_DT, DX_CD Grain grouped by PAYER, SRC_FILE_NM, DOS_THRU_YYYYMM"/>
  </r>
  <r>
    <x v="2"/>
    <s v="SGOKMRCY_PE202408_REMAO004.TXT"/>
    <x v="72"/>
    <x v="7"/>
    <n v="2"/>
    <n v="71066"/>
    <n v="0"/>
    <s v="DQS_MAO04_FILE_000_B"/>
    <s v="RECORD COUNT by MBR_ID, DOS_THRU_DT, DX_CD Grain grouped by PAYER, SRC_FILE_NM, DOS_THRU_YYYYMM"/>
  </r>
  <r>
    <x v="2"/>
    <s v="SGOKMRCY_PE202408_REMAO004.TXT"/>
    <x v="73"/>
    <x v="7"/>
    <n v="11"/>
    <n v="71066"/>
    <n v="0.02"/>
    <s v="DQS_MAO04_FILE_000_B"/>
    <s v="RECORD COUNT by MBR_ID, DOS_THRU_DT, DX_CD Grain grouped by PAYER, SRC_FILE_NM, DOS_THRU_YYYYMM"/>
  </r>
  <r>
    <x v="2"/>
    <s v="SGOKMRCY_PE202408_REMAO004.TXT"/>
    <x v="74"/>
    <x v="7"/>
    <n v="113"/>
    <n v="71066"/>
    <n v="0.16"/>
    <s v="DQS_MAO04_FILE_000_B"/>
    <s v="RECORD COUNT by MBR_ID, DOS_THRU_DT, DX_CD Grain grouped by PAYER, SRC_FILE_NM, DOS_THRU_YYYYMM"/>
  </r>
  <r>
    <x v="2"/>
    <s v="SGOKMRCY_PE202408_REMAO004.TXT"/>
    <x v="75"/>
    <x v="7"/>
    <n v="43"/>
    <n v="71066"/>
    <n v="0.06"/>
    <s v="DQS_MAO04_FILE_000_B"/>
    <s v="RECORD COUNT by MBR_ID, DOS_THRU_DT, DX_CD Grain grouped by PAYER, SRC_FILE_NM, DOS_THRU_YYYYMM"/>
  </r>
  <r>
    <x v="2"/>
    <s v="SGOKMRCY_PE202408_REMAO004.TXT"/>
    <x v="76"/>
    <x v="7"/>
    <n v="63"/>
    <n v="71066"/>
    <n v="0.09"/>
    <s v="DQS_MAO04_FILE_000_B"/>
    <s v="RECORD COUNT by MBR_ID, DOS_THRU_DT, DX_CD Grain grouped by PAYER, SRC_FILE_NM, DOS_THRU_YYYYMM"/>
  </r>
  <r>
    <x v="2"/>
    <s v="SGOKMRCY_PE202408_REMAO004.TXT"/>
    <x v="77"/>
    <x v="8"/>
    <n v="130"/>
    <n v="71066"/>
    <n v="0.18"/>
    <s v="DQS_MAO04_FILE_000_B"/>
    <s v="RECORD COUNT by MBR_ID, DOS_THRU_DT, DX_CD Grain grouped by PAYER, SRC_FILE_NM, DOS_THRU_YYYYMM"/>
  </r>
  <r>
    <x v="2"/>
    <s v="SGOKMRCY_PE202408_REMAO004.TXT"/>
    <x v="78"/>
    <x v="8"/>
    <n v="101"/>
    <n v="71066"/>
    <n v="0.14000000000000001"/>
    <s v="DQS_MAO04_FILE_000_B"/>
    <s v="RECORD COUNT by MBR_ID, DOS_THRU_DT, DX_CD Grain grouped by PAYER, SRC_FILE_NM, DOS_THRU_YYYYMM"/>
  </r>
  <r>
    <x v="2"/>
    <s v="SGOKMRCY_PE202408_REMAO004.TXT"/>
    <x v="79"/>
    <x v="8"/>
    <n v="125"/>
    <n v="71066"/>
    <n v="0.18"/>
    <s v="DQS_MAO04_FILE_000_B"/>
    <s v="RECORD COUNT by MBR_ID, DOS_THRU_DT, DX_CD Grain grouped by PAYER, SRC_FILE_NM, DOS_THRU_YYYYMM"/>
  </r>
  <r>
    <x v="2"/>
    <s v="SGOKMRCY_PE202408_REMAO004.TXT"/>
    <x v="80"/>
    <x v="8"/>
    <n v="126"/>
    <n v="71066"/>
    <n v="0.18"/>
    <s v="DQS_MAO04_FILE_000_B"/>
    <s v="RECORD COUNT by MBR_ID, DOS_THRU_DT, DX_CD Grain grouped by PAYER, SRC_FILE_NM, DOS_THRU_YYYYMM"/>
  </r>
  <r>
    <x v="2"/>
    <s v="SGOKMRCY_PE202408_REMAO004.TXT"/>
    <x v="81"/>
    <x v="8"/>
    <n v="327"/>
    <n v="71066"/>
    <n v="0.46"/>
    <s v="DQS_MAO04_FILE_000_B"/>
    <s v="RECORD COUNT by MBR_ID, DOS_THRU_DT, DX_CD Grain grouped by PAYER, SRC_FILE_NM, DOS_THRU_YYYYMM"/>
  </r>
  <r>
    <x v="2"/>
    <s v="SGOKMRCY_PE202408_REMAO004.TXT"/>
    <x v="82"/>
    <x v="8"/>
    <n v="329"/>
    <n v="71066"/>
    <n v="0.46"/>
    <s v="DQS_MAO04_FILE_000_B"/>
    <s v="RECORD COUNT by MBR_ID, DOS_THRU_DT, DX_CD Grain grouped by PAYER, SRC_FILE_NM, DOS_THRU_YYYYMM"/>
  </r>
  <r>
    <x v="2"/>
    <s v="SGOKMRCY_PE202408_REMAO004.TXT"/>
    <x v="83"/>
    <x v="8"/>
    <n v="399"/>
    <n v="71066"/>
    <n v="0.56000000000000005"/>
    <s v="DQS_MAO04_FILE_000_B"/>
    <s v="RECORD COUNT by MBR_ID, DOS_THRU_DT, DX_CD Grain grouped by PAYER, SRC_FILE_NM, DOS_THRU_YYYYMM"/>
  </r>
  <r>
    <x v="2"/>
    <s v="SGOKMRCY_PE202408_REMAO004.TXT"/>
    <x v="84"/>
    <x v="8"/>
    <n v="284"/>
    <n v="71066"/>
    <n v="0.4"/>
    <s v="DQS_MAO04_FILE_000_B"/>
    <s v="RECORD COUNT by MBR_ID, DOS_THRU_DT, DX_CD Grain grouped by PAYER, SRC_FILE_NM, DOS_THRU_YYYYMM"/>
  </r>
  <r>
    <x v="2"/>
    <s v="SGOKMRCY_PE202408_REMAO004.TXT"/>
    <x v="85"/>
    <x v="8"/>
    <n v="226"/>
    <n v="71066"/>
    <n v="0.32"/>
    <s v="DQS_MAO04_FILE_000_B"/>
    <s v="RECORD COUNT by MBR_ID, DOS_THRU_DT, DX_CD Grain grouped by PAYER, SRC_FILE_NM, DOS_THRU_YYYYMM"/>
  </r>
  <r>
    <x v="2"/>
    <s v="SGOKMRCY_PE202408_REMAO004.TXT"/>
    <x v="86"/>
    <x v="8"/>
    <n v="557"/>
    <n v="71066"/>
    <n v="0.78"/>
    <s v="DQS_MAO04_FILE_000_B"/>
    <s v="RECORD COUNT by MBR_ID, DOS_THRU_DT, DX_CD Grain grouped by PAYER, SRC_FILE_NM, DOS_THRU_YYYYMM"/>
  </r>
  <r>
    <x v="2"/>
    <s v="SGOKMRCY_PE202408_REMAO004.TXT"/>
    <x v="87"/>
    <x v="8"/>
    <n v="406"/>
    <n v="71066"/>
    <n v="0.56999999999999995"/>
    <s v="DQS_MAO04_FILE_000_B"/>
    <s v="RECORD COUNT by MBR_ID, DOS_THRU_DT, DX_CD Grain grouped by PAYER, SRC_FILE_NM, DOS_THRU_YYYYMM"/>
  </r>
  <r>
    <x v="2"/>
    <s v="SGOKMRCY_PE202408_REMAO004.TXT"/>
    <x v="88"/>
    <x v="8"/>
    <n v="540"/>
    <n v="71066"/>
    <n v="0.76"/>
    <s v="DQS_MAO04_FILE_000_B"/>
    <s v="RECORD COUNT by MBR_ID, DOS_THRU_DT, DX_CD Grain grouped by PAYER, SRC_FILE_NM, DOS_THRU_YYYYMM"/>
  </r>
  <r>
    <x v="2"/>
    <s v="SGOKMRCY_PE202408_REMAO004.TXT"/>
    <x v="89"/>
    <x v="9"/>
    <n v="1471"/>
    <n v="71066"/>
    <n v="2.0699999999999998"/>
    <s v="DQS_MAO04_FILE_000_B"/>
    <s v="RECORD COUNT by MBR_ID, DOS_THRU_DT, DX_CD Grain grouped by PAYER, SRC_FILE_NM, DOS_THRU_YYYYMM"/>
  </r>
  <r>
    <x v="2"/>
    <s v="SGOKMRCY_PE202408_REMAO004.TXT"/>
    <x v="97"/>
    <x v="9"/>
    <n v="1359"/>
    <n v="71066"/>
    <n v="1.91"/>
    <s v="DQS_MAO04_FILE_000_B"/>
    <s v="RECORD COUNT by MBR_ID, DOS_THRU_DT, DX_CD Grain grouped by PAYER, SRC_FILE_NM, DOS_THRU_YYYYMM"/>
  </r>
  <r>
    <x v="2"/>
    <s v="SGOKMRCY_PE202408_REMAO004.TXT"/>
    <x v="98"/>
    <x v="9"/>
    <n v="1546"/>
    <n v="71066"/>
    <n v="2.1800000000000002"/>
    <s v="DQS_MAO04_FILE_000_B"/>
    <s v="RECORD COUNT by MBR_ID, DOS_THRU_DT, DX_CD Grain grouped by PAYER, SRC_FILE_NM, DOS_THRU_YYYYMM"/>
  </r>
  <r>
    <x v="2"/>
    <s v="SGOKMRCY_PE202408_REMAO004.TXT"/>
    <x v="99"/>
    <x v="9"/>
    <n v="4656"/>
    <n v="71066"/>
    <n v="6.55"/>
    <s v="DQS_MAO04_FILE_000_B"/>
    <s v="RECORD COUNT by MBR_ID, DOS_THRU_DT, DX_CD Grain grouped by PAYER, SRC_FILE_NM, DOS_THRU_YYYYMM"/>
  </r>
  <r>
    <x v="2"/>
    <s v="SGOKMRCY_PE202408_REMAO004.TXT"/>
    <x v="100"/>
    <x v="9"/>
    <n v="36432"/>
    <n v="71066"/>
    <n v="51.27"/>
    <s v="DQS_MAO04_FILE_000_B"/>
    <s v="RECORD COUNT by MBR_ID, DOS_THRU_DT, DX_CD Grain grouped by PAYER, SRC_FILE_NM, DOS_THRU_YYYYMM"/>
  </r>
  <r>
    <x v="2"/>
    <s v="SGOKMRCY_PE202408_REMAO004.TXT"/>
    <x v="102"/>
    <x v="9"/>
    <n v="21789"/>
    <n v="71066"/>
    <n v="30.66"/>
    <s v="DQS_MAO04_FILE_000_B"/>
    <s v="RECORD COUNT by MBR_ID, DOS_THRU_DT, DX_CD Grain grouped by PAYER, SRC_FILE_NM, DOS_THRU_YYYYMM"/>
  </r>
  <r>
    <x v="2"/>
    <s v="SGOKMRCY_PE202409_REMAO004.TXT"/>
    <x v="22"/>
    <x v="3"/>
    <n v="1"/>
    <n v="83226"/>
    <n v="0"/>
    <s v="DQS_MAO04_FILE_000_B"/>
    <s v="RECORD COUNT by MBR_ID, DOS_THRU_DT, DX_CD Grain grouped by PAYER, SRC_FILE_NM, DOS_THRU_YYYYMM"/>
  </r>
  <r>
    <x v="2"/>
    <s v="SGOKMRCY_PE202409_REMAO004.TXT"/>
    <x v="49"/>
    <x v="5"/>
    <n v="4"/>
    <n v="83226"/>
    <n v="0"/>
    <s v="DQS_MAO04_FILE_000_B"/>
    <s v="RECORD COUNT by MBR_ID, DOS_THRU_DT, DX_CD Grain grouped by PAYER, SRC_FILE_NM, DOS_THRU_YYYYMM"/>
  </r>
  <r>
    <x v="2"/>
    <s v="SGOKMRCY_PE202409_REMAO004.TXT"/>
    <x v="50"/>
    <x v="5"/>
    <n v="4"/>
    <n v="83226"/>
    <n v="0"/>
    <s v="DQS_MAO04_FILE_000_B"/>
    <s v="RECORD COUNT by MBR_ID, DOS_THRU_DT, DX_CD Grain grouped by PAYER, SRC_FILE_NM, DOS_THRU_YYYYMM"/>
  </r>
  <r>
    <x v="2"/>
    <s v="SGOKMRCY_PE202409_REMAO004.TXT"/>
    <x v="58"/>
    <x v="6"/>
    <n v="1"/>
    <n v="83226"/>
    <n v="0"/>
    <s v="DQS_MAO04_FILE_000_B"/>
    <s v="RECORD COUNT by MBR_ID, DOS_THRU_DT, DX_CD Grain grouped by PAYER, SRC_FILE_NM, DOS_THRU_YYYYMM"/>
  </r>
  <r>
    <x v="2"/>
    <s v="SGOKMRCY_PE202409_REMAO004.TXT"/>
    <x v="60"/>
    <x v="6"/>
    <n v="3"/>
    <n v="83226"/>
    <n v="0"/>
    <s v="DQS_MAO04_FILE_000_B"/>
    <s v="RECORD COUNT by MBR_ID, DOS_THRU_DT, DX_CD Grain grouped by PAYER, SRC_FILE_NM, DOS_THRU_YYYYMM"/>
  </r>
  <r>
    <x v="2"/>
    <s v="SGOKMRCY_PE202409_REMAO004.TXT"/>
    <x v="63"/>
    <x v="6"/>
    <n v="4"/>
    <n v="83226"/>
    <n v="0"/>
    <s v="DQS_MAO04_FILE_000_B"/>
    <s v="RECORD COUNT by MBR_ID, DOS_THRU_DT, DX_CD Grain grouped by PAYER, SRC_FILE_NM, DOS_THRU_YYYYMM"/>
  </r>
  <r>
    <x v="2"/>
    <s v="SGOKMRCY_PE202409_REMAO004.TXT"/>
    <x v="64"/>
    <x v="6"/>
    <n v="8"/>
    <n v="83226"/>
    <n v="0.01"/>
    <s v="DQS_MAO04_FILE_000_B"/>
    <s v="RECORD COUNT by MBR_ID, DOS_THRU_DT, DX_CD Grain grouped by PAYER, SRC_FILE_NM, DOS_THRU_YYYYMM"/>
  </r>
  <r>
    <x v="2"/>
    <s v="SGOKMRCY_PE202409_REMAO004.TXT"/>
    <x v="65"/>
    <x v="7"/>
    <n v="21"/>
    <n v="83226"/>
    <n v="0.03"/>
    <s v="DQS_MAO04_FILE_000_B"/>
    <s v="RECORD COUNT by MBR_ID, DOS_THRU_DT, DX_CD Grain grouped by PAYER, SRC_FILE_NM, DOS_THRU_YYYYMM"/>
  </r>
  <r>
    <x v="2"/>
    <s v="SGOKMRCY_PE202409_REMAO004.TXT"/>
    <x v="67"/>
    <x v="7"/>
    <n v="3"/>
    <n v="83226"/>
    <n v="0"/>
    <s v="DQS_MAO04_FILE_000_B"/>
    <s v="RECORD COUNT by MBR_ID, DOS_THRU_DT, DX_CD Grain grouped by PAYER, SRC_FILE_NM, DOS_THRU_YYYYMM"/>
  </r>
  <r>
    <x v="2"/>
    <s v="SGOKMRCY_PE202409_REMAO004.TXT"/>
    <x v="70"/>
    <x v="7"/>
    <n v="31"/>
    <n v="83226"/>
    <n v="0.04"/>
    <s v="DQS_MAO04_FILE_000_B"/>
    <s v="RECORD COUNT by MBR_ID, DOS_THRU_DT, DX_CD Grain grouped by PAYER, SRC_FILE_NM, DOS_THRU_YYYYMM"/>
  </r>
  <r>
    <x v="2"/>
    <s v="SGOKMRCY_PE202409_REMAO004.TXT"/>
    <x v="71"/>
    <x v="7"/>
    <n v="35"/>
    <n v="83226"/>
    <n v="0.04"/>
    <s v="DQS_MAO04_FILE_000_B"/>
    <s v="RECORD COUNT by MBR_ID, DOS_THRU_DT, DX_CD Grain grouped by PAYER, SRC_FILE_NM, DOS_THRU_YYYYMM"/>
  </r>
  <r>
    <x v="2"/>
    <s v="SGOKMRCY_PE202409_REMAO004.TXT"/>
    <x v="72"/>
    <x v="7"/>
    <n v="13"/>
    <n v="83226"/>
    <n v="0.02"/>
    <s v="DQS_MAO04_FILE_000_B"/>
    <s v="RECORD COUNT by MBR_ID, DOS_THRU_DT, DX_CD Grain grouped by PAYER, SRC_FILE_NM, DOS_THRU_YYYYMM"/>
  </r>
  <r>
    <x v="2"/>
    <s v="SGOKMRCY_PE202409_REMAO004.TXT"/>
    <x v="73"/>
    <x v="7"/>
    <n v="21"/>
    <n v="83226"/>
    <n v="0.03"/>
    <s v="DQS_MAO04_FILE_000_B"/>
    <s v="RECORD COUNT by MBR_ID, DOS_THRU_DT, DX_CD Grain grouped by PAYER, SRC_FILE_NM, DOS_THRU_YYYYMM"/>
  </r>
  <r>
    <x v="2"/>
    <s v="SGOKMRCY_PE202409_REMAO004.TXT"/>
    <x v="74"/>
    <x v="7"/>
    <n v="54"/>
    <n v="83226"/>
    <n v="0.06"/>
    <s v="DQS_MAO04_FILE_000_B"/>
    <s v="RECORD COUNT by MBR_ID, DOS_THRU_DT, DX_CD Grain grouped by PAYER, SRC_FILE_NM, DOS_THRU_YYYYMM"/>
  </r>
  <r>
    <x v="2"/>
    <s v="SGOKMRCY_PE202409_REMAO004.TXT"/>
    <x v="75"/>
    <x v="7"/>
    <n v="23"/>
    <n v="83226"/>
    <n v="0.03"/>
    <s v="DQS_MAO04_FILE_000_B"/>
    <s v="RECORD COUNT by MBR_ID, DOS_THRU_DT, DX_CD Grain grouped by PAYER, SRC_FILE_NM, DOS_THRU_YYYYMM"/>
  </r>
  <r>
    <x v="2"/>
    <s v="SGOKMRCY_PE202409_REMAO004.TXT"/>
    <x v="76"/>
    <x v="7"/>
    <n v="17"/>
    <n v="83226"/>
    <n v="0.02"/>
    <s v="DQS_MAO04_FILE_000_B"/>
    <s v="RECORD COUNT by MBR_ID, DOS_THRU_DT, DX_CD Grain grouped by PAYER, SRC_FILE_NM, DOS_THRU_YYYYMM"/>
  </r>
  <r>
    <x v="2"/>
    <s v="SGOKMRCY_PE202409_REMAO004.TXT"/>
    <x v="77"/>
    <x v="8"/>
    <n v="207"/>
    <n v="83226"/>
    <n v="0.25"/>
    <s v="DQS_MAO04_FILE_000_B"/>
    <s v="RECORD COUNT by MBR_ID, DOS_THRU_DT, DX_CD Grain grouped by PAYER, SRC_FILE_NM, DOS_THRU_YYYYMM"/>
  </r>
  <r>
    <x v="2"/>
    <s v="SGOKMRCY_PE202409_REMAO004.TXT"/>
    <x v="78"/>
    <x v="8"/>
    <n v="208"/>
    <n v="83226"/>
    <n v="0.25"/>
    <s v="DQS_MAO04_FILE_000_B"/>
    <s v="RECORD COUNT by MBR_ID, DOS_THRU_DT, DX_CD Grain grouped by PAYER, SRC_FILE_NM, DOS_THRU_YYYYMM"/>
  </r>
  <r>
    <x v="2"/>
    <s v="SGOKMRCY_PE202409_REMAO004.TXT"/>
    <x v="79"/>
    <x v="8"/>
    <n v="157"/>
    <n v="83226"/>
    <n v="0.19"/>
    <s v="DQS_MAO04_FILE_000_B"/>
    <s v="RECORD COUNT by MBR_ID, DOS_THRU_DT, DX_CD Grain grouped by PAYER, SRC_FILE_NM, DOS_THRU_YYYYMM"/>
  </r>
  <r>
    <x v="2"/>
    <s v="SGOKMRCY_PE202409_REMAO004.TXT"/>
    <x v="80"/>
    <x v="8"/>
    <n v="198"/>
    <n v="83226"/>
    <n v="0.24"/>
    <s v="DQS_MAO04_FILE_000_B"/>
    <s v="RECORD COUNT by MBR_ID, DOS_THRU_DT, DX_CD Grain grouped by PAYER, SRC_FILE_NM, DOS_THRU_YYYYMM"/>
  </r>
  <r>
    <x v="2"/>
    <s v="SGOKMRCY_PE202409_REMAO004.TXT"/>
    <x v="81"/>
    <x v="8"/>
    <n v="288"/>
    <n v="83226"/>
    <n v="0.35"/>
    <s v="DQS_MAO04_FILE_000_B"/>
    <s v="RECORD COUNT by MBR_ID, DOS_THRU_DT, DX_CD Grain grouped by PAYER, SRC_FILE_NM, DOS_THRU_YYYYMM"/>
  </r>
  <r>
    <x v="2"/>
    <s v="SGOKMRCY_PE202409_REMAO004.TXT"/>
    <x v="82"/>
    <x v="8"/>
    <n v="333"/>
    <n v="83226"/>
    <n v="0.4"/>
    <s v="DQS_MAO04_FILE_000_B"/>
    <s v="RECORD COUNT by MBR_ID, DOS_THRU_DT, DX_CD Grain grouped by PAYER, SRC_FILE_NM, DOS_THRU_YYYYMM"/>
  </r>
  <r>
    <x v="2"/>
    <s v="SGOKMRCY_PE202409_REMAO004.TXT"/>
    <x v="83"/>
    <x v="8"/>
    <n v="417"/>
    <n v="83226"/>
    <n v="0.5"/>
    <s v="DQS_MAO04_FILE_000_B"/>
    <s v="RECORD COUNT by MBR_ID, DOS_THRU_DT, DX_CD Grain grouped by PAYER, SRC_FILE_NM, DOS_THRU_YYYYMM"/>
  </r>
  <r>
    <x v="2"/>
    <s v="SGOKMRCY_PE202409_REMAO004.TXT"/>
    <x v="84"/>
    <x v="8"/>
    <n v="753"/>
    <n v="83226"/>
    <n v="0.9"/>
    <s v="DQS_MAO04_FILE_000_B"/>
    <s v="RECORD COUNT by MBR_ID, DOS_THRU_DT, DX_CD Grain grouped by PAYER, SRC_FILE_NM, DOS_THRU_YYYYMM"/>
  </r>
  <r>
    <x v="2"/>
    <s v="SGOKMRCY_PE202409_REMAO004.TXT"/>
    <x v="85"/>
    <x v="8"/>
    <n v="581"/>
    <n v="83226"/>
    <n v="0.7"/>
    <s v="DQS_MAO04_FILE_000_B"/>
    <s v="RECORD COUNT by MBR_ID, DOS_THRU_DT, DX_CD Grain grouped by PAYER, SRC_FILE_NM, DOS_THRU_YYYYMM"/>
  </r>
  <r>
    <x v="2"/>
    <s v="SGOKMRCY_PE202409_REMAO004.TXT"/>
    <x v="86"/>
    <x v="8"/>
    <n v="1778"/>
    <n v="83226"/>
    <n v="2.14"/>
    <s v="DQS_MAO04_FILE_000_B"/>
    <s v="RECORD COUNT by MBR_ID, DOS_THRU_DT, DX_CD Grain grouped by PAYER, SRC_FILE_NM, DOS_THRU_YYYYMM"/>
  </r>
  <r>
    <x v="2"/>
    <s v="SGOKMRCY_PE202409_REMAO004.TXT"/>
    <x v="87"/>
    <x v="8"/>
    <n v="1541"/>
    <n v="83226"/>
    <n v="1.85"/>
    <s v="DQS_MAO04_FILE_000_B"/>
    <s v="RECORD COUNT by MBR_ID, DOS_THRU_DT, DX_CD Grain grouped by PAYER, SRC_FILE_NM, DOS_THRU_YYYYMM"/>
  </r>
  <r>
    <x v="2"/>
    <s v="SGOKMRCY_PE202409_REMAO004.TXT"/>
    <x v="88"/>
    <x v="8"/>
    <n v="1247"/>
    <n v="83226"/>
    <n v="1.5"/>
    <s v="DQS_MAO04_FILE_000_B"/>
    <s v="RECORD COUNT by MBR_ID, DOS_THRU_DT, DX_CD Grain grouped by PAYER, SRC_FILE_NM, DOS_THRU_YYYYMM"/>
  </r>
  <r>
    <x v="2"/>
    <s v="SGOKMRCY_PE202409_REMAO004.TXT"/>
    <x v="89"/>
    <x v="9"/>
    <n v="1678"/>
    <n v="83226"/>
    <n v="2.02"/>
    <s v="DQS_MAO04_FILE_000_B"/>
    <s v="RECORD COUNT by MBR_ID, DOS_THRU_DT, DX_CD Grain grouped by PAYER, SRC_FILE_NM, DOS_THRU_YYYYMM"/>
  </r>
  <r>
    <x v="2"/>
    <s v="SGOKMRCY_PE202409_REMAO004.TXT"/>
    <x v="97"/>
    <x v="9"/>
    <n v="1541"/>
    <n v="83226"/>
    <n v="1.85"/>
    <s v="DQS_MAO04_FILE_000_B"/>
    <s v="RECORD COUNT by MBR_ID, DOS_THRU_DT, DX_CD Grain grouped by PAYER, SRC_FILE_NM, DOS_THRU_YYYYMM"/>
  </r>
  <r>
    <x v="2"/>
    <s v="SGOKMRCY_PE202409_REMAO004.TXT"/>
    <x v="98"/>
    <x v="9"/>
    <n v="1761"/>
    <n v="83226"/>
    <n v="2.12"/>
    <s v="DQS_MAO04_FILE_000_B"/>
    <s v="RECORD COUNT by MBR_ID, DOS_THRU_DT, DX_CD Grain grouped by PAYER, SRC_FILE_NM, DOS_THRU_YYYYMM"/>
  </r>
  <r>
    <x v="2"/>
    <s v="SGOKMRCY_PE202409_REMAO004.TXT"/>
    <x v="99"/>
    <x v="9"/>
    <n v="2954"/>
    <n v="83226"/>
    <n v="3.55"/>
    <s v="DQS_MAO04_FILE_000_B"/>
    <s v="RECORD COUNT by MBR_ID, DOS_THRU_DT, DX_CD Grain grouped by PAYER, SRC_FILE_NM, DOS_THRU_YYYYMM"/>
  </r>
  <r>
    <x v="2"/>
    <s v="SGOKMRCY_PE202409_REMAO004.TXT"/>
    <x v="100"/>
    <x v="9"/>
    <n v="7318"/>
    <n v="83226"/>
    <n v="8.7899999999999991"/>
    <s v="DQS_MAO04_FILE_000_B"/>
    <s v="RECORD COUNT by MBR_ID, DOS_THRU_DT, DX_CD Grain grouped by PAYER, SRC_FILE_NM, DOS_THRU_YYYYMM"/>
  </r>
  <r>
    <x v="2"/>
    <s v="SGOKMRCY_PE202409_REMAO004.TXT"/>
    <x v="102"/>
    <x v="9"/>
    <n v="36779"/>
    <n v="83226"/>
    <n v="44.19"/>
    <s v="DQS_MAO04_FILE_000_B"/>
    <s v="RECORD COUNT by MBR_ID, DOS_THRU_DT, DX_CD Grain grouped by PAYER, SRC_FILE_NM, DOS_THRU_YYYYMM"/>
  </r>
  <r>
    <x v="2"/>
    <s v="SGOKMRCY_PE202409_REMAO004.TXT"/>
    <x v="103"/>
    <x v="9"/>
    <n v="23244"/>
    <n v="83226"/>
    <n v="27.93"/>
    <s v="DQS_MAO04_FILE_000_B"/>
    <s v="RECORD COUNT by MBR_ID, DOS_THRU_DT, DX_CD Grain grouped by PAYER, SRC_FILE_NM, DOS_THRU_YYYYMM"/>
  </r>
  <r>
    <x v="2"/>
    <s v="SGOKMRCY_PE202410_REMAO004.TXT"/>
    <x v="40"/>
    <x v="4"/>
    <n v="1"/>
    <n v="80826"/>
    <n v="0"/>
    <s v="DQS_MAO04_FILE_000_B"/>
    <s v="RECORD COUNT by MBR_ID, DOS_THRU_DT, DX_CD Grain grouped by PAYER, SRC_FILE_NM, DOS_THRU_YYYYMM"/>
  </r>
  <r>
    <x v="2"/>
    <s v="SGOKMRCY_PE202410_REMAO004.TXT"/>
    <x v="42"/>
    <x v="5"/>
    <n v="7"/>
    <n v="80826"/>
    <n v="0.01"/>
    <s v="DQS_MAO04_FILE_000_B"/>
    <s v="RECORD COUNT by MBR_ID, DOS_THRU_DT, DX_CD Grain grouped by PAYER, SRC_FILE_NM, DOS_THRU_YYYYMM"/>
  </r>
  <r>
    <x v="2"/>
    <s v="SGOKMRCY_PE202410_REMAO004.TXT"/>
    <x v="60"/>
    <x v="6"/>
    <n v="1"/>
    <n v="80826"/>
    <n v="0"/>
    <s v="DQS_MAO04_FILE_000_B"/>
    <s v="RECORD COUNT by MBR_ID, DOS_THRU_DT, DX_CD Grain grouped by PAYER, SRC_FILE_NM, DOS_THRU_YYYYMM"/>
  </r>
  <r>
    <x v="2"/>
    <s v="SGOKMRCY_PE202410_REMAO004.TXT"/>
    <x v="65"/>
    <x v="7"/>
    <n v="2"/>
    <n v="80826"/>
    <n v="0"/>
    <s v="DQS_MAO04_FILE_000_B"/>
    <s v="RECORD COUNT by MBR_ID, DOS_THRU_DT, DX_CD Grain grouped by PAYER, SRC_FILE_NM, DOS_THRU_YYYYMM"/>
  </r>
  <r>
    <x v="2"/>
    <s v="SGOKMRCY_PE202410_REMAO004.TXT"/>
    <x v="66"/>
    <x v="7"/>
    <n v="4"/>
    <n v="80826"/>
    <n v="0"/>
    <s v="DQS_MAO04_FILE_000_B"/>
    <s v="RECORD COUNT by MBR_ID, DOS_THRU_DT, DX_CD Grain grouped by PAYER, SRC_FILE_NM, DOS_THRU_YYYYMM"/>
  </r>
  <r>
    <x v="2"/>
    <s v="SGOKMRCY_PE202410_REMAO004.TXT"/>
    <x v="67"/>
    <x v="7"/>
    <n v="1"/>
    <n v="80826"/>
    <n v="0"/>
    <s v="DQS_MAO04_FILE_000_B"/>
    <s v="RECORD COUNT by MBR_ID, DOS_THRU_DT, DX_CD Grain grouped by PAYER, SRC_FILE_NM, DOS_THRU_YYYYMM"/>
  </r>
  <r>
    <x v="2"/>
    <s v="SGOKMRCY_PE202410_REMAO004.TXT"/>
    <x v="68"/>
    <x v="7"/>
    <n v="2"/>
    <n v="80826"/>
    <n v="0"/>
    <s v="DQS_MAO04_FILE_000_B"/>
    <s v="RECORD COUNT by MBR_ID, DOS_THRU_DT, DX_CD Grain grouped by PAYER, SRC_FILE_NM, DOS_THRU_YYYYMM"/>
  </r>
  <r>
    <x v="2"/>
    <s v="SGOKMRCY_PE202410_REMAO004.TXT"/>
    <x v="69"/>
    <x v="7"/>
    <n v="16"/>
    <n v="80826"/>
    <n v="0.02"/>
    <s v="DQS_MAO04_FILE_000_B"/>
    <s v="RECORD COUNT by MBR_ID, DOS_THRU_DT, DX_CD Grain grouped by PAYER, SRC_FILE_NM, DOS_THRU_YYYYMM"/>
  </r>
  <r>
    <x v="2"/>
    <s v="SGOKMRCY_PE202410_REMAO004.TXT"/>
    <x v="70"/>
    <x v="7"/>
    <n v="25"/>
    <n v="80826"/>
    <n v="0.03"/>
    <s v="DQS_MAO04_FILE_000_B"/>
    <s v="RECORD COUNT by MBR_ID, DOS_THRU_DT, DX_CD Grain grouped by PAYER, SRC_FILE_NM, DOS_THRU_YYYYMM"/>
  </r>
  <r>
    <x v="2"/>
    <s v="SGOKMRCY_PE202410_REMAO004.TXT"/>
    <x v="71"/>
    <x v="7"/>
    <n v="44"/>
    <n v="80826"/>
    <n v="0.05"/>
    <s v="DQS_MAO04_FILE_000_B"/>
    <s v="RECORD COUNT by MBR_ID, DOS_THRU_DT, DX_CD Grain grouped by PAYER, SRC_FILE_NM, DOS_THRU_YYYYMM"/>
  </r>
  <r>
    <x v="2"/>
    <s v="SGOKMRCY_PE202410_REMAO004.TXT"/>
    <x v="72"/>
    <x v="7"/>
    <n v="1"/>
    <n v="80826"/>
    <n v="0"/>
    <s v="DQS_MAO04_FILE_000_B"/>
    <s v="RECORD COUNT by MBR_ID, DOS_THRU_DT, DX_CD Grain grouped by PAYER, SRC_FILE_NM, DOS_THRU_YYYYMM"/>
  </r>
  <r>
    <x v="2"/>
    <s v="SGOKMRCY_PE202410_REMAO004.TXT"/>
    <x v="73"/>
    <x v="7"/>
    <n v="7"/>
    <n v="80826"/>
    <n v="0.01"/>
    <s v="DQS_MAO04_FILE_000_B"/>
    <s v="RECORD COUNT by MBR_ID, DOS_THRU_DT, DX_CD Grain grouped by PAYER, SRC_FILE_NM, DOS_THRU_YYYYMM"/>
  </r>
  <r>
    <x v="2"/>
    <s v="SGOKMRCY_PE202410_REMAO004.TXT"/>
    <x v="74"/>
    <x v="7"/>
    <n v="4"/>
    <n v="80826"/>
    <n v="0"/>
    <s v="DQS_MAO04_FILE_000_B"/>
    <s v="RECORD COUNT by MBR_ID, DOS_THRU_DT, DX_CD Grain grouped by PAYER, SRC_FILE_NM, DOS_THRU_YYYYMM"/>
  </r>
  <r>
    <x v="2"/>
    <s v="SGOKMRCY_PE202410_REMAO004.TXT"/>
    <x v="75"/>
    <x v="7"/>
    <n v="23"/>
    <n v="80826"/>
    <n v="0.03"/>
    <s v="DQS_MAO04_FILE_000_B"/>
    <s v="RECORD COUNT by MBR_ID, DOS_THRU_DT, DX_CD Grain grouped by PAYER, SRC_FILE_NM, DOS_THRU_YYYYMM"/>
  </r>
  <r>
    <x v="2"/>
    <s v="SGOKMRCY_PE202410_REMAO004.TXT"/>
    <x v="76"/>
    <x v="7"/>
    <n v="9"/>
    <n v="80826"/>
    <n v="0.01"/>
    <s v="DQS_MAO04_FILE_000_B"/>
    <s v="RECORD COUNT by MBR_ID, DOS_THRU_DT, DX_CD Grain grouped by PAYER, SRC_FILE_NM, DOS_THRU_YYYYMM"/>
  </r>
  <r>
    <x v="2"/>
    <s v="SGOKMRCY_PE202410_REMAO004.TXT"/>
    <x v="77"/>
    <x v="8"/>
    <n v="70"/>
    <n v="80826"/>
    <n v="0.09"/>
    <s v="DQS_MAO04_FILE_000_B"/>
    <s v="RECORD COUNT by MBR_ID, DOS_THRU_DT, DX_CD Grain grouped by PAYER, SRC_FILE_NM, DOS_THRU_YYYYMM"/>
  </r>
  <r>
    <x v="2"/>
    <s v="SGOKMRCY_PE202410_REMAO004.TXT"/>
    <x v="78"/>
    <x v="8"/>
    <n v="72"/>
    <n v="80826"/>
    <n v="0.09"/>
    <s v="DQS_MAO04_FILE_000_B"/>
    <s v="RECORD COUNT by MBR_ID, DOS_THRU_DT, DX_CD Grain grouped by PAYER, SRC_FILE_NM, DOS_THRU_YYYYMM"/>
  </r>
  <r>
    <x v="2"/>
    <s v="SGOKMRCY_PE202410_REMAO004.TXT"/>
    <x v="79"/>
    <x v="8"/>
    <n v="95"/>
    <n v="80826"/>
    <n v="0.12"/>
    <s v="DQS_MAO04_FILE_000_B"/>
    <s v="RECORD COUNT by MBR_ID, DOS_THRU_DT, DX_CD Grain grouped by PAYER, SRC_FILE_NM, DOS_THRU_YYYYMM"/>
  </r>
  <r>
    <x v="2"/>
    <s v="SGOKMRCY_PE202410_REMAO004.TXT"/>
    <x v="80"/>
    <x v="8"/>
    <n v="168"/>
    <n v="80826"/>
    <n v="0.21"/>
    <s v="DQS_MAO04_FILE_000_B"/>
    <s v="RECORD COUNT by MBR_ID, DOS_THRU_DT, DX_CD Grain grouped by PAYER, SRC_FILE_NM, DOS_THRU_YYYYMM"/>
  </r>
  <r>
    <x v="2"/>
    <s v="SGOKMRCY_PE202410_REMAO004.TXT"/>
    <x v="81"/>
    <x v="8"/>
    <n v="156"/>
    <n v="80826"/>
    <n v="0.19"/>
    <s v="DQS_MAO04_FILE_000_B"/>
    <s v="RECORD COUNT by MBR_ID, DOS_THRU_DT, DX_CD Grain grouped by PAYER, SRC_FILE_NM, DOS_THRU_YYYYMM"/>
  </r>
  <r>
    <x v="2"/>
    <s v="SGOKMRCY_PE202410_REMAO004.TXT"/>
    <x v="82"/>
    <x v="8"/>
    <n v="168"/>
    <n v="80826"/>
    <n v="0.21"/>
    <s v="DQS_MAO04_FILE_000_B"/>
    <s v="RECORD COUNT by MBR_ID, DOS_THRU_DT, DX_CD Grain grouped by PAYER, SRC_FILE_NM, DOS_THRU_YYYYMM"/>
  </r>
  <r>
    <x v="2"/>
    <s v="SGOKMRCY_PE202410_REMAO004.TXT"/>
    <x v="83"/>
    <x v="8"/>
    <n v="349"/>
    <n v="80826"/>
    <n v="0.43"/>
    <s v="DQS_MAO04_FILE_000_B"/>
    <s v="RECORD COUNT by MBR_ID, DOS_THRU_DT, DX_CD Grain grouped by PAYER, SRC_FILE_NM, DOS_THRU_YYYYMM"/>
  </r>
  <r>
    <x v="2"/>
    <s v="SGOKMRCY_PE202410_REMAO004.TXT"/>
    <x v="84"/>
    <x v="8"/>
    <n v="476"/>
    <n v="80826"/>
    <n v="0.59"/>
    <s v="DQS_MAO04_FILE_000_B"/>
    <s v="RECORD COUNT by MBR_ID, DOS_THRU_DT, DX_CD Grain grouped by PAYER, SRC_FILE_NM, DOS_THRU_YYYYMM"/>
  </r>
  <r>
    <x v="2"/>
    <s v="SGOKMRCY_PE202410_REMAO004.TXT"/>
    <x v="85"/>
    <x v="8"/>
    <n v="618"/>
    <n v="80826"/>
    <n v="0.76"/>
    <s v="DQS_MAO04_FILE_000_B"/>
    <s v="RECORD COUNT by MBR_ID, DOS_THRU_DT, DX_CD Grain grouped by PAYER, SRC_FILE_NM, DOS_THRU_YYYYMM"/>
  </r>
  <r>
    <x v="2"/>
    <s v="SGOKMRCY_PE202410_REMAO004.TXT"/>
    <x v="86"/>
    <x v="8"/>
    <n v="728"/>
    <n v="80826"/>
    <n v="0.9"/>
    <s v="DQS_MAO04_FILE_000_B"/>
    <s v="RECORD COUNT by MBR_ID, DOS_THRU_DT, DX_CD Grain grouped by PAYER, SRC_FILE_NM, DOS_THRU_YYYYMM"/>
  </r>
  <r>
    <x v="2"/>
    <s v="SGOKMRCY_PE202410_REMAO004.TXT"/>
    <x v="87"/>
    <x v="8"/>
    <n v="887"/>
    <n v="80826"/>
    <n v="1.1000000000000001"/>
    <s v="DQS_MAO04_FILE_000_B"/>
    <s v="RECORD COUNT by MBR_ID, DOS_THRU_DT, DX_CD Grain grouped by PAYER, SRC_FILE_NM, DOS_THRU_YYYYMM"/>
  </r>
  <r>
    <x v="2"/>
    <s v="SGOKMRCY_PE202410_REMAO004.TXT"/>
    <x v="88"/>
    <x v="8"/>
    <n v="598"/>
    <n v="80826"/>
    <n v="0.74"/>
    <s v="DQS_MAO04_FILE_000_B"/>
    <s v="RECORD COUNT by MBR_ID, DOS_THRU_DT, DX_CD Grain grouped by PAYER, SRC_FILE_NM, DOS_THRU_YYYYMM"/>
  </r>
  <r>
    <x v="2"/>
    <s v="SGOKMRCY_PE202410_REMAO004.TXT"/>
    <x v="89"/>
    <x v="9"/>
    <n v="612"/>
    <n v="80826"/>
    <n v="0.76"/>
    <s v="DQS_MAO04_FILE_000_B"/>
    <s v="RECORD COUNT by MBR_ID, DOS_THRU_DT, DX_CD Grain grouped by PAYER, SRC_FILE_NM, DOS_THRU_YYYYMM"/>
  </r>
  <r>
    <x v="2"/>
    <s v="SGOKMRCY_PE202410_REMAO004.TXT"/>
    <x v="97"/>
    <x v="9"/>
    <n v="748"/>
    <n v="80826"/>
    <n v="0.93"/>
    <s v="DQS_MAO04_FILE_000_B"/>
    <s v="RECORD COUNT by MBR_ID, DOS_THRU_DT, DX_CD Grain grouped by PAYER, SRC_FILE_NM, DOS_THRU_YYYYMM"/>
  </r>
  <r>
    <x v="2"/>
    <s v="SGOKMRCY_PE202410_REMAO004.TXT"/>
    <x v="98"/>
    <x v="9"/>
    <n v="1012"/>
    <n v="80826"/>
    <n v="1.25"/>
    <s v="DQS_MAO04_FILE_000_B"/>
    <s v="RECORD COUNT by MBR_ID, DOS_THRU_DT, DX_CD Grain grouped by PAYER, SRC_FILE_NM, DOS_THRU_YYYYMM"/>
  </r>
  <r>
    <x v="2"/>
    <s v="SGOKMRCY_PE202410_REMAO004.TXT"/>
    <x v="99"/>
    <x v="9"/>
    <n v="1657"/>
    <n v="80826"/>
    <n v="2.0499999999999998"/>
    <s v="DQS_MAO04_FILE_000_B"/>
    <s v="RECORD COUNT by MBR_ID, DOS_THRU_DT, DX_CD Grain grouped by PAYER, SRC_FILE_NM, DOS_THRU_YYYYMM"/>
  </r>
  <r>
    <x v="2"/>
    <s v="SGOKMRCY_PE202410_REMAO004.TXT"/>
    <x v="100"/>
    <x v="9"/>
    <n v="2712"/>
    <n v="80826"/>
    <n v="3.36"/>
    <s v="DQS_MAO04_FILE_000_B"/>
    <s v="RECORD COUNT by MBR_ID, DOS_THRU_DT, DX_CD Grain grouped by PAYER, SRC_FILE_NM, DOS_THRU_YYYYMM"/>
  </r>
  <r>
    <x v="2"/>
    <s v="SGOKMRCY_PE202410_REMAO004.TXT"/>
    <x v="102"/>
    <x v="9"/>
    <n v="6533"/>
    <n v="80826"/>
    <n v="8.08"/>
    <s v="DQS_MAO04_FILE_000_B"/>
    <s v="RECORD COUNT by MBR_ID, DOS_THRU_DT, DX_CD Grain grouped by PAYER, SRC_FILE_NM, DOS_THRU_YYYYMM"/>
  </r>
  <r>
    <x v="2"/>
    <s v="SGOKMRCY_PE202410_REMAO004.TXT"/>
    <x v="103"/>
    <x v="9"/>
    <n v="36331"/>
    <n v="80826"/>
    <n v="44.95"/>
    <s v="DQS_MAO04_FILE_000_B"/>
    <s v="RECORD COUNT by MBR_ID, DOS_THRU_DT, DX_CD Grain grouped by PAYER, SRC_FILE_NM, DOS_THRU_YYYYMM"/>
  </r>
  <r>
    <x v="2"/>
    <s v="SGOKMRCY_PE202410_REMAO004.TXT"/>
    <x v="105"/>
    <x v="9"/>
    <n v="26689"/>
    <n v="80826"/>
    <n v="33.020000000000003"/>
    <s v="DQS_MAO04_FILE_000_B"/>
    <s v="RECORD COUNT by MBR_ID, DOS_THRU_DT, DX_CD Grain grouped by PAYER, SRC_FILE_NM, DOS_THRU_YYYYMM"/>
  </r>
  <r>
    <x v="2"/>
    <s v="SGOKMRCY_PE202411_REMAO004.TXT"/>
    <x v="53"/>
    <x v="6"/>
    <n v="38"/>
    <n v="65831"/>
    <n v="0.06"/>
    <s v="DQS_MAO04_FILE_000_B"/>
    <s v="RECORD COUNT by MBR_ID, DOS_THRU_DT, DX_CD Grain grouped by PAYER, SRC_FILE_NM, DOS_THRU_YYYYMM"/>
  </r>
  <r>
    <x v="2"/>
    <s v="SGOKMRCY_PE202411_REMAO004.TXT"/>
    <x v="68"/>
    <x v="7"/>
    <n v="13"/>
    <n v="65831"/>
    <n v="0.02"/>
    <s v="DQS_MAO04_FILE_000_B"/>
    <s v="RECORD COUNT by MBR_ID, DOS_THRU_DT, DX_CD Grain grouped by PAYER, SRC_FILE_NM, DOS_THRU_YYYYMM"/>
  </r>
  <r>
    <x v="2"/>
    <s v="SGOKMRCY_PE202411_REMAO004.TXT"/>
    <x v="70"/>
    <x v="7"/>
    <n v="2"/>
    <n v="65831"/>
    <n v="0"/>
    <s v="DQS_MAO04_FILE_000_B"/>
    <s v="RECORD COUNT by MBR_ID, DOS_THRU_DT, DX_CD Grain grouped by PAYER, SRC_FILE_NM, DOS_THRU_YYYYMM"/>
  </r>
  <r>
    <x v="2"/>
    <s v="SGOKMRCY_PE202411_REMAO004.TXT"/>
    <x v="71"/>
    <x v="7"/>
    <n v="1"/>
    <n v="65831"/>
    <n v="0"/>
    <s v="DQS_MAO04_FILE_000_B"/>
    <s v="RECORD COUNT by MBR_ID, DOS_THRU_DT, DX_CD Grain grouped by PAYER, SRC_FILE_NM, DOS_THRU_YYYYMM"/>
  </r>
  <r>
    <x v="2"/>
    <s v="SGOKMRCY_PE202411_REMAO004.TXT"/>
    <x v="72"/>
    <x v="7"/>
    <n v="3"/>
    <n v="65831"/>
    <n v="0"/>
    <s v="DQS_MAO04_FILE_000_B"/>
    <s v="RECORD COUNT by MBR_ID, DOS_THRU_DT, DX_CD Grain grouped by PAYER, SRC_FILE_NM, DOS_THRU_YYYYMM"/>
  </r>
  <r>
    <x v="2"/>
    <s v="SGOKMRCY_PE202411_REMAO004.TXT"/>
    <x v="73"/>
    <x v="7"/>
    <n v="13"/>
    <n v="65831"/>
    <n v="0.02"/>
    <s v="DQS_MAO04_FILE_000_B"/>
    <s v="RECORD COUNT by MBR_ID, DOS_THRU_DT, DX_CD Grain grouped by PAYER, SRC_FILE_NM, DOS_THRU_YYYYMM"/>
  </r>
  <r>
    <x v="2"/>
    <s v="SGOKMRCY_PE202411_REMAO004.TXT"/>
    <x v="74"/>
    <x v="7"/>
    <n v="5"/>
    <n v="65831"/>
    <n v="0.01"/>
    <s v="DQS_MAO04_FILE_000_B"/>
    <s v="RECORD COUNT by MBR_ID, DOS_THRU_DT, DX_CD Grain grouped by PAYER, SRC_FILE_NM, DOS_THRU_YYYYMM"/>
  </r>
  <r>
    <x v="2"/>
    <s v="SGOKMRCY_PE202411_REMAO004.TXT"/>
    <x v="75"/>
    <x v="7"/>
    <n v="4"/>
    <n v="65831"/>
    <n v="0.01"/>
    <s v="DQS_MAO04_FILE_000_B"/>
    <s v="RECORD COUNT by MBR_ID, DOS_THRU_DT, DX_CD Grain grouped by PAYER, SRC_FILE_NM, DOS_THRU_YYYYMM"/>
  </r>
  <r>
    <x v="2"/>
    <s v="SGOKMRCY_PE202411_REMAO004.TXT"/>
    <x v="76"/>
    <x v="7"/>
    <n v="90"/>
    <n v="65831"/>
    <n v="0.14000000000000001"/>
    <s v="DQS_MAO04_FILE_000_B"/>
    <s v="RECORD COUNT by MBR_ID, DOS_THRU_DT, DX_CD Grain grouped by PAYER, SRC_FILE_NM, DOS_THRU_YYYYMM"/>
  </r>
  <r>
    <x v="2"/>
    <s v="SGOKMRCY_PE202411_REMAO004.TXT"/>
    <x v="77"/>
    <x v="8"/>
    <n v="74"/>
    <n v="65831"/>
    <n v="0.11"/>
    <s v="DQS_MAO04_FILE_000_B"/>
    <s v="RECORD COUNT by MBR_ID, DOS_THRU_DT, DX_CD Grain grouped by PAYER, SRC_FILE_NM, DOS_THRU_YYYYMM"/>
  </r>
  <r>
    <x v="2"/>
    <s v="SGOKMRCY_PE202411_REMAO004.TXT"/>
    <x v="78"/>
    <x v="8"/>
    <n v="93"/>
    <n v="65831"/>
    <n v="0.14000000000000001"/>
    <s v="DQS_MAO04_FILE_000_B"/>
    <s v="RECORD COUNT by MBR_ID, DOS_THRU_DT, DX_CD Grain grouped by PAYER, SRC_FILE_NM, DOS_THRU_YYYYMM"/>
  </r>
  <r>
    <x v="2"/>
    <s v="SGOKMRCY_PE202411_REMAO004.TXT"/>
    <x v="79"/>
    <x v="8"/>
    <n v="127"/>
    <n v="65831"/>
    <n v="0.19"/>
    <s v="DQS_MAO04_FILE_000_B"/>
    <s v="RECORD COUNT by MBR_ID, DOS_THRU_DT, DX_CD Grain grouped by PAYER, SRC_FILE_NM, DOS_THRU_YYYYMM"/>
  </r>
  <r>
    <x v="2"/>
    <s v="SGOKMRCY_PE202411_REMAO004.TXT"/>
    <x v="80"/>
    <x v="8"/>
    <n v="184"/>
    <n v="65831"/>
    <n v="0.28000000000000003"/>
    <s v="DQS_MAO04_FILE_000_B"/>
    <s v="RECORD COUNT by MBR_ID, DOS_THRU_DT, DX_CD Grain grouped by PAYER, SRC_FILE_NM, DOS_THRU_YYYYMM"/>
  </r>
  <r>
    <x v="2"/>
    <s v="SGOKMRCY_PE202411_REMAO004.TXT"/>
    <x v="81"/>
    <x v="8"/>
    <n v="188"/>
    <n v="65831"/>
    <n v="0.28999999999999998"/>
    <s v="DQS_MAO04_FILE_000_B"/>
    <s v="RECORD COUNT by MBR_ID, DOS_THRU_DT, DX_CD Grain grouped by PAYER, SRC_FILE_NM, DOS_THRU_YYYYMM"/>
  </r>
  <r>
    <x v="2"/>
    <s v="SGOKMRCY_PE202411_REMAO004.TXT"/>
    <x v="82"/>
    <x v="8"/>
    <n v="236"/>
    <n v="65831"/>
    <n v="0.36"/>
    <s v="DQS_MAO04_FILE_000_B"/>
    <s v="RECORD COUNT by MBR_ID, DOS_THRU_DT, DX_CD Grain grouped by PAYER, SRC_FILE_NM, DOS_THRU_YYYYMM"/>
  </r>
  <r>
    <x v="2"/>
    <s v="SGOKMRCY_PE202411_REMAO004.TXT"/>
    <x v="83"/>
    <x v="8"/>
    <n v="238"/>
    <n v="65831"/>
    <n v="0.36"/>
    <s v="DQS_MAO04_FILE_000_B"/>
    <s v="RECORD COUNT by MBR_ID, DOS_THRU_DT, DX_CD Grain grouped by PAYER, SRC_FILE_NM, DOS_THRU_YYYYMM"/>
  </r>
  <r>
    <x v="2"/>
    <s v="SGOKMRCY_PE202411_REMAO004.TXT"/>
    <x v="84"/>
    <x v="8"/>
    <n v="276"/>
    <n v="65831"/>
    <n v="0.42"/>
    <s v="DQS_MAO04_FILE_000_B"/>
    <s v="RECORD COUNT by MBR_ID, DOS_THRU_DT, DX_CD Grain grouped by PAYER, SRC_FILE_NM, DOS_THRU_YYYYMM"/>
  </r>
  <r>
    <x v="2"/>
    <s v="SGOKMRCY_PE202411_REMAO004.TXT"/>
    <x v="85"/>
    <x v="8"/>
    <n v="457"/>
    <n v="65831"/>
    <n v="0.69"/>
    <s v="DQS_MAO04_FILE_000_B"/>
    <s v="RECORD COUNT by MBR_ID, DOS_THRU_DT, DX_CD Grain grouped by PAYER, SRC_FILE_NM, DOS_THRU_YYYYMM"/>
  </r>
  <r>
    <x v="2"/>
    <s v="SGOKMRCY_PE202411_REMAO004.TXT"/>
    <x v="86"/>
    <x v="8"/>
    <n v="595"/>
    <n v="65831"/>
    <n v="0.9"/>
    <s v="DQS_MAO04_FILE_000_B"/>
    <s v="RECORD COUNT by MBR_ID, DOS_THRU_DT, DX_CD Grain grouped by PAYER, SRC_FILE_NM, DOS_THRU_YYYYMM"/>
  </r>
  <r>
    <x v="2"/>
    <s v="SGOKMRCY_PE202411_REMAO004.TXT"/>
    <x v="87"/>
    <x v="8"/>
    <n v="430"/>
    <n v="65831"/>
    <n v="0.65"/>
    <s v="DQS_MAO04_FILE_000_B"/>
    <s v="RECORD COUNT by MBR_ID, DOS_THRU_DT, DX_CD Grain grouped by PAYER, SRC_FILE_NM, DOS_THRU_YYYYMM"/>
  </r>
  <r>
    <x v="2"/>
    <s v="SGOKMRCY_PE202411_REMAO004.TXT"/>
    <x v="88"/>
    <x v="8"/>
    <n v="483"/>
    <n v="65831"/>
    <n v="0.73"/>
    <s v="DQS_MAO04_FILE_000_B"/>
    <s v="RECORD COUNT by MBR_ID, DOS_THRU_DT, DX_CD Grain grouped by PAYER, SRC_FILE_NM, DOS_THRU_YYYYMM"/>
  </r>
  <r>
    <x v="2"/>
    <s v="SGOKMRCY_PE202411_REMAO004.TXT"/>
    <x v="89"/>
    <x v="9"/>
    <n v="444"/>
    <n v="65831"/>
    <n v="0.67"/>
    <s v="DQS_MAO04_FILE_000_B"/>
    <s v="RECORD COUNT by MBR_ID, DOS_THRU_DT, DX_CD Grain grouped by PAYER, SRC_FILE_NM, DOS_THRU_YYYYMM"/>
  </r>
  <r>
    <x v="2"/>
    <s v="SGOKMRCY_PE202411_REMAO004.TXT"/>
    <x v="97"/>
    <x v="9"/>
    <n v="640"/>
    <n v="65831"/>
    <n v="0.97"/>
    <s v="DQS_MAO04_FILE_000_B"/>
    <s v="RECORD COUNT by MBR_ID, DOS_THRU_DT, DX_CD Grain grouped by PAYER, SRC_FILE_NM, DOS_THRU_YYYYMM"/>
  </r>
  <r>
    <x v="2"/>
    <s v="SGOKMRCY_PE202411_REMAO004.TXT"/>
    <x v="98"/>
    <x v="9"/>
    <n v="809"/>
    <n v="65831"/>
    <n v="1.23"/>
    <s v="DQS_MAO04_FILE_000_B"/>
    <s v="RECORD COUNT by MBR_ID, DOS_THRU_DT, DX_CD Grain grouped by PAYER, SRC_FILE_NM, DOS_THRU_YYYYMM"/>
  </r>
  <r>
    <x v="2"/>
    <s v="SGOKMRCY_PE202411_REMAO004.TXT"/>
    <x v="99"/>
    <x v="9"/>
    <n v="956"/>
    <n v="65831"/>
    <n v="1.45"/>
    <s v="DQS_MAO04_FILE_000_B"/>
    <s v="RECORD COUNT by MBR_ID, DOS_THRU_DT, DX_CD Grain grouped by PAYER, SRC_FILE_NM, DOS_THRU_YYYYMM"/>
  </r>
  <r>
    <x v="2"/>
    <s v="SGOKMRCY_PE202411_REMAO004.TXT"/>
    <x v="100"/>
    <x v="9"/>
    <n v="1454"/>
    <n v="65831"/>
    <n v="2.21"/>
    <s v="DQS_MAO04_FILE_000_B"/>
    <s v="RECORD COUNT by MBR_ID, DOS_THRU_DT, DX_CD Grain grouped by PAYER, SRC_FILE_NM, DOS_THRU_YYYYMM"/>
  </r>
  <r>
    <x v="2"/>
    <s v="SGOKMRCY_PE202411_REMAO004.TXT"/>
    <x v="102"/>
    <x v="9"/>
    <n v="2713"/>
    <n v="65831"/>
    <n v="4.12"/>
    <s v="DQS_MAO04_FILE_000_B"/>
    <s v="RECORD COUNT by MBR_ID, DOS_THRU_DT, DX_CD Grain grouped by PAYER, SRC_FILE_NM, DOS_THRU_YYYYMM"/>
  </r>
  <r>
    <x v="2"/>
    <s v="SGOKMRCY_PE202411_REMAO004.TXT"/>
    <x v="103"/>
    <x v="9"/>
    <n v="5507"/>
    <n v="65831"/>
    <n v="8.3699999999999992"/>
    <s v="DQS_MAO04_FILE_000_B"/>
    <s v="RECORD COUNT by MBR_ID, DOS_THRU_DT, DX_CD Grain grouped by PAYER, SRC_FILE_NM, DOS_THRU_YYYYMM"/>
  </r>
  <r>
    <x v="2"/>
    <s v="SGOKMRCY_PE202411_REMAO004.TXT"/>
    <x v="105"/>
    <x v="9"/>
    <n v="32202"/>
    <n v="65831"/>
    <n v="48.92"/>
    <s v="DQS_MAO04_FILE_000_B"/>
    <s v="RECORD COUNT by MBR_ID, DOS_THRU_DT, DX_CD Grain grouped by PAYER, SRC_FILE_NM, DOS_THRU_YYYYMM"/>
  </r>
  <r>
    <x v="2"/>
    <s v="SGOKMRCY_PE202411_REMAO004.TXT"/>
    <x v="106"/>
    <x v="9"/>
    <n v="17556"/>
    <n v="65831"/>
    <n v="26.67"/>
    <s v="DQS_MAO04_FILE_000_B"/>
    <s v="RECORD COUNT by MBR_ID, DOS_THRU_DT, DX_CD Grain grouped by PAYER, SRC_FILE_NM, DOS_THRU_YYYYMM"/>
  </r>
  <r>
    <x v="2"/>
    <s v="SGOKMRCY_PE202412_REMAO004.TXT"/>
    <x v="46"/>
    <x v="5"/>
    <n v="24"/>
    <n v="83071"/>
    <n v="0.03"/>
    <s v="DQS_MAO04_FILE_000_B"/>
    <s v="RECORD COUNT by MBR_ID, DOS_THRU_DT, DX_CD Grain grouped by PAYER, SRC_FILE_NM, DOS_THRU_YYYYMM"/>
  </r>
  <r>
    <x v="2"/>
    <s v="SGOKMRCY_PE202412_REMAO004.TXT"/>
    <x v="63"/>
    <x v="6"/>
    <n v="2"/>
    <n v="83071"/>
    <n v="0"/>
    <s v="DQS_MAO04_FILE_000_B"/>
    <s v="RECORD COUNT by MBR_ID, DOS_THRU_DT, DX_CD Grain grouped by PAYER, SRC_FILE_NM, DOS_THRU_YYYYMM"/>
  </r>
  <r>
    <x v="2"/>
    <s v="SGOKMRCY_PE202412_REMAO004.TXT"/>
    <x v="65"/>
    <x v="7"/>
    <n v="3"/>
    <n v="83071"/>
    <n v="0"/>
    <s v="DQS_MAO04_FILE_000_B"/>
    <s v="RECORD COUNT by MBR_ID, DOS_THRU_DT, DX_CD Grain grouped by PAYER, SRC_FILE_NM, DOS_THRU_YYYYMM"/>
  </r>
  <r>
    <x v="2"/>
    <s v="SGOKMRCY_PE202412_REMAO004.TXT"/>
    <x v="69"/>
    <x v="7"/>
    <n v="5"/>
    <n v="83071"/>
    <n v="0.01"/>
    <s v="DQS_MAO04_FILE_000_B"/>
    <s v="RECORD COUNT by MBR_ID, DOS_THRU_DT, DX_CD Grain grouped by PAYER, SRC_FILE_NM, DOS_THRU_YYYYMM"/>
  </r>
  <r>
    <x v="2"/>
    <s v="SGOKMRCY_PE202412_REMAO004.TXT"/>
    <x v="70"/>
    <x v="7"/>
    <n v="2"/>
    <n v="83071"/>
    <n v="0"/>
    <s v="DQS_MAO04_FILE_000_B"/>
    <s v="RECORD COUNT by MBR_ID, DOS_THRU_DT, DX_CD Grain grouped by PAYER, SRC_FILE_NM, DOS_THRU_YYYYMM"/>
  </r>
  <r>
    <x v="2"/>
    <s v="SGOKMRCY_PE202412_REMAO004.TXT"/>
    <x v="71"/>
    <x v="7"/>
    <n v="8"/>
    <n v="83071"/>
    <n v="0.01"/>
    <s v="DQS_MAO04_FILE_000_B"/>
    <s v="RECORD COUNT by MBR_ID, DOS_THRU_DT, DX_CD Grain grouped by PAYER, SRC_FILE_NM, DOS_THRU_YYYYMM"/>
  </r>
  <r>
    <x v="2"/>
    <s v="SGOKMRCY_PE202412_REMAO004.TXT"/>
    <x v="72"/>
    <x v="7"/>
    <n v="1"/>
    <n v="83071"/>
    <n v="0"/>
    <s v="DQS_MAO04_FILE_000_B"/>
    <s v="RECORD COUNT by MBR_ID, DOS_THRU_DT, DX_CD Grain grouped by PAYER, SRC_FILE_NM, DOS_THRU_YYYYMM"/>
  </r>
  <r>
    <x v="2"/>
    <s v="SGOKMRCY_PE202412_REMAO004.TXT"/>
    <x v="73"/>
    <x v="7"/>
    <n v="8"/>
    <n v="83071"/>
    <n v="0.01"/>
    <s v="DQS_MAO04_FILE_000_B"/>
    <s v="RECORD COUNT by MBR_ID, DOS_THRU_DT, DX_CD Grain grouped by PAYER, SRC_FILE_NM, DOS_THRU_YYYYMM"/>
  </r>
  <r>
    <x v="2"/>
    <s v="SGOKMRCY_PE202412_REMAO004.TXT"/>
    <x v="74"/>
    <x v="7"/>
    <n v="31"/>
    <n v="83071"/>
    <n v="0.04"/>
    <s v="DQS_MAO04_FILE_000_B"/>
    <s v="RECORD COUNT by MBR_ID, DOS_THRU_DT, DX_CD Grain grouped by PAYER, SRC_FILE_NM, DOS_THRU_YYYYMM"/>
  </r>
  <r>
    <x v="2"/>
    <s v="SGOKMRCY_PE202412_REMAO004.TXT"/>
    <x v="75"/>
    <x v="7"/>
    <n v="20"/>
    <n v="83071"/>
    <n v="0.02"/>
    <s v="DQS_MAO04_FILE_000_B"/>
    <s v="RECORD COUNT by MBR_ID, DOS_THRU_DT, DX_CD Grain grouped by PAYER, SRC_FILE_NM, DOS_THRU_YYYYMM"/>
  </r>
  <r>
    <x v="2"/>
    <s v="SGOKMRCY_PE202412_REMAO004.TXT"/>
    <x v="76"/>
    <x v="7"/>
    <n v="31"/>
    <n v="83071"/>
    <n v="0.04"/>
    <s v="DQS_MAO04_FILE_000_B"/>
    <s v="RECORD COUNT by MBR_ID, DOS_THRU_DT, DX_CD Grain grouped by PAYER, SRC_FILE_NM, DOS_THRU_YYYYMM"/>
  </r>
  <r>
    <x v="2"/>
    <s v="SGOKMRCY_PE202412_REMAO004.TXT"/>
    <x v="77"/>
    <x v="8"/>
    <n v="75"/>
    <n v="83071"/>
    <n v="0.09"/>
    <s v="DQS_MAO04_FILE_000_B"/>
    <s v="RECORD COUNT by MBR_ID, DOS_THRU_DT, DX_CD Grain grouped by PAYER, SRC_FILE_NM, DOS_THRU_YYYYMM"/>
  </r>
  <r>
    <x v="2"/>
    <s v="SGOKMRCY_PE202412_REMAO004.TXT"/>
    <x v="78"/>
    <x v="8"/>
    <n v="105"/>
    <n v="83071"/>
    <n v="0.13"/>
    <s v="DQS_MAO04_FILE_000_B"/>
    <s v="RECORD COUNT by MBR_ID, DOS_THRU_DT, DX_CD Grain grouped by PAYER, SRC_FILE_NM, DOS_THRU_YYYYMM"/>
  </r>
  <r>
    <x v="2"/>
    <s v="SGOKMRCY_PE202412_REMAO004.TXT"/>
    <x v="79"/>
    <x v="8"/>
    <n v="103"/>
    <n v="83071"/>
    <n v="0.12"/>
    <s v="DQS_MAO04_FILE_000_B"/>
    <s v="RECORD COUNT by MBR_ID, DOS_THRU_DT, DX_CD Grain grouped by PAYER, SRC_FILE_NM, DOS_THRU_YYYYMM"/>
  </r>
  <r>
    <x v="2"/>
    <s v="SGOKMRCY_PE202412_REMAO004.TXT"/>
    <x v="80"/>
    <x v="8"/>
    <n v="147"/>
    <n v="83071"/>
    <n v="0.18"/>
    <s v="DQS_MAO04_FILE_000_B"/>
    <s v="RECORD COUNT by MBR_ID, DOS_THRU_DT, DX_CD Grain grouped by PAYER, SRC_FILE_NM, DOS_THRU_YYYYMM"/>
  </r>
  <r>
    <x v="2"/>
    <s v="SGOKMRCY_PE202412_REMAO004.TXT"/>
    <x v="81"/>
    <x v="8"/>
    <n v="225"/>
    <n v="83071"/>
    <n v="0.27"/>
    <s v="DQS_MAO04_FILE_000_B"/>
    <s v="RECORD COUNT by MBR_ID, DOS_THRU_DT, DX_CD Grain grouped by PAYER, SRC_FILE_NM, DOS_THRU_YYYYMM"/>
  </r>
  <r>
    <x v="2"/>
    <s v="SGOKMRCY_PE202412_REMAO004.TXT"/>
    <x v="82"/>
    <x v="8"/>
    <n v="184"/>
    <n v="83071"/>
    <n v="0.22"/>
    <s v="DQS_MAO04_FILE_000_B"/>
    <s v="RECORD COUNT by MBR_ID, DOS_THRU_DT, DX_CD Grain grouped by PAYER, SRC_FILE_NM, DOS_THRU_YYYYMM"/>
  </r>
  <r>
    <x v="2"/>
    <s v="SGOKMRCY_PE202412_REMAO004.TXT"/>
    <x v="83"/>
    <x v="8"/>
    <n v="388"/>
    <n v="83071"/>
    <n v="0.47"/>
    <s v="DQS_MAO04_FILE_000_B"/>
    <s v="RECORD COUNT by MBR_ID, DOS_THRU_DT, DX_CD Grain grouped by PAYER, SRC_FILE_NM, DOS_THRU_YYYYMM"/>
  </r>
  <r>
    <x v="2"/>
    <s v="SGOKMRCY_PE202412_REMAO004.TXT"/>
    <x v="84"/>
    <x v="8"/>
    <n v="372"/>
    <n v="83071"/>
    <n v="0.45"/>
    <s v="DQS_MAO04_FILE_000_B"/>
    <s v="RECORD COUNT by MBR_ID, DOS_THRU_DT, DX_CD Grain grouped by PAYER, SRC_FILE_NM, DOS_THRU_YYYYMM"/>
  </r>
  <r>
    <x v="2"/>
    <s v="SGOKMRCY_PE202412_REMAO004.TXT"/>
    <x v="85"/>
    <x v="8"/>
    <n v="477"/>
    <n v="83071"/>
    <n v="0.56999999999999995"/>
    <s v="DQS_MAO04_FILE_000_B"/>
    <s v="RECORD COUNT by MBR_ID, DOS_THRU_DT, DX_CD Grain grouped by PAYER, SRC_FILE_NM, DOS_THRU_YYYYMM"/>
  </r>
  <r>
    <x v="2"/>
    <s v="SGOKMRCY_PE202412_REMAO004.TXT"/>
    <x v="86"/>
    <x v="8"/>
    <n v="525"/>
    <n v="83071"/>
    <n v="0.63"/>
    <s v="DQS_MAO04_FILE_000_B"/>
    <s v="RECORD COUNT by MBR_ID, DOS_THRU_DT, DX_CD Grain grouped by PAYER, SRC_FILE_NM, DOS_THRU_YYYYMM"/>
  </r>
  <r>
    <x v="2"/>
    <s v="SGOKMRCY_PE202412_REMAO004.TXT"/>
    <x v="87"/>
    <x v="8"/>
    <n v="281"/>
    <n v="83071"/>
    <n v="0.34"/>
    <s v="DQS_MAO04_FILE_000_B"/>
    <s v="RECORD COUNT by MBR_ID, DOS_THRU_DT, DX_CD Grain grouped by PAYER, SRC_FILE_NM, DOS_THRU_YYYYMM"/>
  </r>
  <r>
    <x v="2"/>
    <s v="SGOKMRCY_PE202412_REMAO004.TXT"/>
    <x v="88"/>
    <x v="8"/>
    <n v="379"/>
    <n v="83071"/>
    <n v="0.46"/>
    <s v="DQS_MAO04_FILE_000_B"/>
    <s v="RECORD COUNT by MBR_ID, DOS_THRU_DT, DX_CD Grain grouped by PAYER, SRC_FILE_NM, DOS_THRU_YYYYMM"/>
  </r>
  <r>
    <x v="2"/>
    <s v="SGOKMRCY_PE202412_REMAO004.TXT"/>
    <x v="89"/>
    <x v="9"/>
    <n v="464"/>
    <n v="83071"/>
    <n v="0.56000000000000005"/>
    <s v="DQS_MAO04_FILE_000_B"/>
    <s v="RECORD COUNT by MBR_ID, DOS_THRU_DT, DX_CD Grain grouped by PAYER, SRC_FILE_NM, DOS_THRU_YYYYMM"/>
  </r>
  <r>
    <x v="2"/>
    <s v="SGOKMRCY_PE202412_REMAO004.TXT"/>
    <x v="97"/>
    <x v="9"/>
    <n v="614"/>
    <n v="83071"/>
    <n v="0.74"/>
    <s v="DQS_MAO04_FILE_000_B"/>
    <s v="RECORD COUNT by MBR_ID, DOS_THRU_DT, DX_CD Grain grouped by PAYER, SRC_FILE_NM, DOS_THRU_YYYYMM"/>
  </r>
  <r>
    <x v="2"/>
    <s v="SGOKMRCY_PE202412_REMAO004.TXT"/>
    <x v="98"/>
    <x v="9"/>
    <n v="581"/>
    <n v="83071"/>
    <n v="0.7"/>
    <s v="DQS_MAO04_FILE_000_B"/>
    <s v="RECORD COUNT by MBR_ID, DOS_THRU_DT, DX_CD Grain grouped by PAYER, SRC_FILE_NM, DOS_THRU_YYYYMM"/>
  </r>
  <r>
    <x v="2"/>
    <s v="SGOKMRCY_PE202412_REMAO004.TXT"/>
    <x v="99"/>
    <x v="9"/>
    <n v="722"/>
    <n v="83071"/>
    <n v="0.87"/>
    <s v="DQS_MAO04_FILE_000_B"/>
    <s v="RECORD COUNT by MBR_ID, DOS_THRU_DT, DX_CD Grain grouped by PAYER, SRC_FILE_NM, DOS_THRU_YYYYMM"/>
  </r>
  <r>
    <x v="2"/>
    <s v="SGOKMRCY_PE202412_REMAO004.TXT"/>
    <x v="100"/>
    <x v="9"/>
    <n v="1076"/>
    <n v="83071"/>
    <n v="1.3"/>
    <s v="DQS_MAO04_FILE_000_B"/>
    <s v="RECORD COUNT by MBR_ID, DOS_THRU_DT, DX_CD Grain grouped by PAYER, SRC_FILE_NM, DOS_THRU_YYYYMM"/>
  </r>
  <r>
    <x v="2"/>
    <s v="SGOKMRCY_PE202412_REMAO004.TXT"/>
    <x v="102"/>
    <x v="9"/>
    <n v="1544"/>
    <n v="83071"/>
    <n v="1.86"/>
    <s v="DQS_MAO04_FILE_000_B"/>
    <s v="RECORD COUNT by MBR_ID, DOS_THRU_DT, DX_CD Grain grouped by PAYER, SRC_FILE_NM, DOS_THRU_YYYYMM"/>
  </r>
  <r>
    <x v="2"/>
    <s v="SGOKMRCY_PE202412_REMAO004.TXT"/>
    <x v="103"/>
    <x v="9"/>
    <n v="2714"/>
    <n v="83071"/>
    <n v="3.27"/>
    <s v="DQS_MAO04_FILE_000_B"/>
    <s v="RECORD COUNT by MBR_ID, DOS_THRU_DT, DX_CD Grain grouped by PAYER, SRC_FILE_NM, DOS_THRU_YYYYMM"/>
  </r>
  <r>
    <x v="2"/>
    <s v="SGOKMRCY_PE202412_REMAO004.TXT"/>
    <x v="105"/>
    <x v="9"/>
    <n v="6541"/>
    <n v="83071"/>
    <n v="7.87"/>
    <s v="DQS_MAO04_FILE_000_B"/>
    <s v="RECORD COUNT by MBR_ID, DOS_THRU_DT, DX_CD Grain grouped by PAYER, SRC_FILE_NM, DOS_THRU_YYYYMM"/>
  </r>
  <r>
    <x v="2"/>
    <s v="SGOKMRCY_PE202412_REMAO004.TXT"/>
    <x v="106"/>
    <x v="9"/>
    <n v="36063"/>
    <n v="83071"/>
    <n v="43.41"/>
    <s v="DQS_MAO04_FILE_000_B"/>
    <s v="RECORD COUNT by MBR_ID, DOS_THRU_DT, DX_CD Grain grouped by PAYER, SRC_FILE_NM, DOS_THRU_YYYYMM"/>
  </r>
  <r>
    <x v="2"/>
    <s v="SGOKMRCY_PE202412_REMAO004.TXT"/>
    <x v="107"/>
    <x v="9"/>
    <n v="29356"/>
    <n v="83071"/>
    <n v="35.340000000000003"/>
    <s v="DQS_MAO04_FILE_000_B"/>
    <s v="RECORD COUNT by MBR_ID, DOS_THRU_DT, DX_CD Grain grouped by PAYER, SRC_FILE_NM, DOS_THRU_YYYYMM"/>
  </r>
  <r>
    <x v="2"/>
    <s v="SGOKMRCY_PE202501_REMAO004.TXT"/>
    <x v="60"/>
    <x v="6"/>
    <n v="2"/>
    <n v="76702"/>
    <n v="0"/>
    <s v="DQS_MAO04_FILE_000_B"/>
    <s v="RECORD COUNT by MBR_ID, DOS_THRU_DT, DX_CD Grain grouped by PAYER, SRC_FILE_NM, DOS_THRU_YYYYMM"/>
  </r>
  <r>
    <x v="2"/>
    <s v="SGOKMRCY_PE202501_REMAO004.TXT"/>
    <x v="62"/>
    <x v="6"/>
    <n v="2"/>
    <n v="76702"/>
    <n v="0"/>
    <s v="DQS_MAO04_FILE_000_B"/>
    <s v="RECORD COUNT by MBR_ID, DOS_THRU_DT, DX_CD Grain grouped by PAYER, SRC_FILE_NM, DOS_THRU_YYYYMM"/>
  </r>
  <r>
    <x v="2"/>
    <s v="SGOKMRCY_PE202501_REMAO004.TXT"/>
    <x v="65"/>
    <x v="7"/>
    <n v="3"/>
    <n v="76702"/>
    <n v="0"/>
    <s v="DQS_MAO04_FILE_000_B"/>
    <s v="RECORD COUNT by MBR_ID, DOS_THRU_DT, DX_CD Grain grouped by PAYER, SRC_FILE_NM, DOS_THRU_YYYYMM"/>
  </r>
  <r>
    <x v="2"/>
    <s v="SGOKMRCY_PE202501_REMAO004.TXT"/>
    <x v="66"/>
    <x v="7"/>
    <n v="7"/>
    <n v="76702"/>
    <n v="0.01"/>
    <s v="DQS_MAO04_FILE_000_B"/>
    <s v="RECORD COUNT by MBR_ID, DOS_THRU_DT, DX_CD Grain grouped by PAYER, SRC_FILE_NM, DOS_THRU_YYYYMM"/>
  </r>
  <r>
    <x v="2"/>
    <s v="SGOKMRCY_PE202501_REMAO004.TXT"/>
    <x v="67"/>
    <x v="7"/>
    <n v="6"/>
    <n v="76702"/>
    <n v="0.01"/>
    <s v="DQS_MAO04_FILE_000_B"/>
    <s v="RECORD COUNT by MBR_ID, DOS_THRU_DT, DX_CD Grain grouped by PAYER, SRC_FILE_NM, DOS_THRU_YYYYMM"/>
  </r>
  <r>
    <x v="2"/>
    <s v="SGOKMRCY_PE202501_REMAO004.TXT"/>
    <x v="68"/>
    <x v="7"/>
    <n v="4"/>
    <n v="76702"/>
    <n v="0.01"/>
    <s v="DQS_MAO04_FILE_000_B"/>
    <s v="RECORD COUNT by MBR_ID, DOS_THRU_DT, DX_CD Grain grouped by PAYER, SRC_FILE_NM, DOS_THRU_YYYYMM"/>
  </r>
  <r>
    <x v="2"/>
    <s v="SGOKMRCY_PE202501_REMAO004.TXT"/>
    <x v="69"/>
    <x v="7"/>
    <n v="4"/>
    <n v="76702"/>
    <n v="0.01"/>
    <s v="DQS_MAO04_FILE_000_B"/>
    <s v="RECORD COUNT by MBR_ID, DOS_THRU_DT, DX_CD Grain grouped by PAYER, SRC_FILE_NM, DOS_THRU_YYYYMM"/>
  </r>
  <r>
    <x v="2"/>
    <s v="SGOKMRCY_PE202501_REMAO004.TXT"/>
    <x v="70"/>
    <x v="7"/>
    <n v="13"/>
    <n v="76702"/>
    <n v="0.02"/>
    <s v="DQS_MAO04_FILE_000_B"/>
    <s v="RECORD COUNT by MBR_ID, DOS_THRU_DT, DX_CD Grain grouped by PAYER, SRC_FILE_NM, DOS_THRU_YYYYMM"/>
  </r>
  <r>
    <x v="2"/>
    <s v="SGOKMRCY_PE202501_REMAO004.TXT"/>
    <x v="71"/>
    <x v="7"/>
    <n v="4"/>
    <n v="76702"/>
    <n v="0.01"/>
    <s v="DQS_MAO04_FILE_000_B"/>
    <s v="RECORD COUNT by MBR_ID, DOS_THRU_DT, DX_CD Grain grouped by PAYER, SRC_FILE_NM, DOS_THRU_YYYYMM"/>
  </r>
  <r>
    <x v="2"/>
    <s v="SGOKMRCY_PE202501_REMAO004.TXT"/>
    <x v="72"/>
    <x v="7"/>
    <n v="8"/>
    <n v="76702"/>
    <n v="0.01"/>
    <s v="DQS_MAO04_FILE_000_B"/>
    <s v="RECORD COUNT by MBR_ID, DOS_THRU_DT, DX_CD Grain grouped by PAYER, SRC_FILE_NM, DOS_THRU_YYYYMM"/>
  </r>
  <r>
    <x v="2"/>
    <s v="SGOKMRCY_PE202501_REMAO004.TXT"/>
    <x v="73"/>
    <x v="7"/>
    <n v="19"/>
    <n v="76702"/>
    <n v="0.02"/>
    <s v="DQS_MAO04_FILE_000_B"/>
    <s v="RECORD COUNT by MBR_ID, DOS_THRU_DT, DX_CD Grain grouped by PAYER, SRC_FILE_NM, DOS_THRU_YYYYMM"/>
  </r>
  <r>
    <x v="2"/>
    <s v="SGOKMRCY_PE202501_REMAO004.TXT"/>
    <x v="74"/>
    <x v="7"/>
    <n v="17"/>
    <n v="76702"/>
    <n v="0.02"/>
    <s v="DQS_MAO04_FILE_000_B"/>
    <s v="RECORD COUNT by MBR_ID, DOS_THRU_DT, DX_CD Grain grouped by PAYER, SRC_FILE_NM, DOS_THRU_YYYYMM"/>
  </r>
  <r>
    <x v="2"/>
    <s v="SGOKMRCY_PE202501_REMAO004.TXT"/>
    <x v="75"/>
    <x v="7"/>
    <n v="25"/>
    <n v="76702"/>
    <n v="0.03"/>
    <s v="DQS_MAO04_FILE_000_B"/>
    <s v="RECORD COUNT by MBR_ID, DOS_THRU_DT, DX_CD Grain grouped by PAYER, SRC_FILE_NM, DOS_THRU_YYYYMM"/>
  </r>
  <r>
    <x v="2"/>
    <s v="SGOKMRCY_PE202501_REMAO004.TXT"/>
    <x v="76"/>
    <x v="7"/>
    <n v="96"/>
    <n v="76702"/>
    <n v="0.13"/>
    <s v="DQS_MAO04_FILE_000_B"/>
    <s v="RECORD COUNT by MBR_ID, DOS_THRU_DT, DX_CD Grain grouped by PAYER, SRC_FILE_NM, DOS_THRU_YYYYMM"/>
  </r>
  <r>
    <x v="2"/>
    <s v="SGOKMRCY_PE202501_REMAO004.TXT"/>
    <x v="77"/>
    <x v="8"/>
    <n v="107"/>
    <n v="76702"/>
    <n v="0.14000000000000001"/>
    <s v="DQS_MAO04_FILE_000_B"/>
    <s v="RECORD COUNT by MBR_ID, DOS_THRU_DT, DX_CD Grain grouped by PAYER, SRC_FILE_NM, DOS_THRU_YYYYMM"/>
  </r>
  <r>
    <x v="2"/>
    <s v="SGOKMRCY_PE202501_REMAO004.TXT"/>
    <x v="78"/>
    <x v="8"/>
    <n v="93"/>
    <n v="76702"/>
    <n v="0.12"/>
    <s v="DQS_MAO04_FILE_000_B"/>
    <s v="RECORD COUNT by MBR_ID, DOS_THRU_DT, DX_CD Grain grouped by PAYER, SRC_FILE_NM, DOS_THRU_YYYYMM"/>
  </r>
  <r>
    <x v="2"/>
    <s v="SGOKMRCY_PE202501_REMAO004.TXT"/>
    <x v="79"/>
    <x v="8"/>
    <n v="122"/>
    <n v="76702"/>
    <n v="0.16"/>
    <s v="DQS_MAO04_FILE_000_B"/>
    <s v="RECORD COUNT by MBR_ID, DOS_THRU_DT, DX_CD Grain grouped by PAYER, SRC_FILE_NM, DOS_THRU_YYYYMM"/>
  </r>
  <r>
    <x v="2"/>
    <s v="SGOKMRCY_PE202501_REMAO004.TXT"/>
    <x v="80"/>
    <x v="8"/>
    <n v="107"/>
    <n v="76702"/>
    <n v="0.14000000000000001"/>
    <s v="DQS_MAO04_FILE_000_B"/>
    <s v="RECORD COUNT by MBR_ID, DOS_THRU_DT, DX_CD Grain grouped by PAYER, SRC_FILE_NM, DOS_THRU_YYYYMM"/>
  </r>
  <r>
    <x v="2"/>
    <s v="SGOKMRCY_PE202501_REMAO004.TXT"/>
    <x v="81"/>
    <x v="8"/>
    <n v="129"/>
    <n v="76702"/>
    <n v="0.17"/>
    <s v="DQS_MAO04_FILE_000_B"/>
    <s v="RECORD COUNT by MBR_ID, DOS_THRU_DT, DX_CD Grain grouped by PAYER, SRC_FILE_NM, DOS_THRU_YYYYMM"/>
  </r>
  <r>
    <x v="2"/>
    <s v="SGOKMRCY_PE202501_REMAO004.TXT"/>
    <x v="82"/>
    <x v="8"/>
    <n v="88"/>
    <n v="76702"/>
    <n v="0.11"/>
    <s v="DQS_MAO04_FILE_000_B"/>
    <s v="RECORD COUNT by MBR_ID, DOS_THRU_DT, DX_CD Grain grouped by PAYER, SRC_FILE_NM, DOS_THRU_YYYYMM"/>
  </r>
  <r>
    <x v="2"/>
    <s v="SGOKMRCY_PE202501_REMAO004.TXT"/>
    <x v="83"/>
    <x v="8"/>
    <n v="160"/>
    <n v="76702"/>
    <n v="0.21"/>
    <s v="DQS_MAO04_FILE_000_B"/>
    <s v="RECORD COUNT by MBR_ID, DOS_THRU_DT, DX_CD Grain grouped by PAYER, SRC_FILE_NM, DOS_THRU_YYYYMM"/>
  </r>
  <r>
    <x v="2"/>
    <s v="SGOKMRCY_PE202501_REMAO004.TXT"/>
    <x v="84"/>
    <x v="8"/>
    <n v="300"/>
    <n v="76702"/>
    <n v="0.39"/>
    <s v="DQS_MAO04_FILE_000_B"/>
    <s v="RECORD COUNT by MBR_ID, DOS_THRU_DT, DX_CD Grain grouped by PAYER, SRC_FILE_NM, DOS_THRU_YYYYMM"/>
  </r>
  <r>
    <x v="2"/>
    <s v="SGOKMRCY_PE202501_REMAO004.TXT"/>
    <x v="85"/>
    <x v="8"/>
    <n v="271"/>
    <n v="76702"/>
    <n v="0.35"/>
    <s v="DQS_MAO04_FILE_000_B"/>
    <s v="RECORD COUNT by MBR_ID, DOS_THRU_DT, DX_CD Grain grouped by PAYER, SRC_FILE_NM, DOS_THRU_YYYYMM"/>
  </r>
  <r>
    <x v="2"/>
    <s v="SGOKMRCY_PE202501_REMAO004.TXT"/>
    <x v="86"/>
    <x v="8"/>
    <n v="186"/>
    <n v="76702"/>
    <n v="0.24"/>
    <s v="DQS_MAO04_FILE_000_B"/>
    <s v="RECORD COUNT by MBR_ID, DOS_THRU_DT, DX_CD Grain grouped by PAYER, SRC_FILE_NM, DOS_THRU_YYYYMM"/>
  </r>
  <r>
    <x v="2"/>
    <s v="SGOKMRCY_PE202501_REMAO004.TXT"/>
    <x v="87"/>
    <x v="8"/>
    <n v="222"/>
    <n v="76702"/>
    <n v="0.28999999999999998"/>
    <s v="DQS_MAO04_FILE_000_B"/>
    <s v="RECORD COUNT by MBR_ID, DOS_THRU_DT, DX_CD Grain grouped by PAYER, SRC_FILE_NM, DOS_THRU_YYYYMM"/>
  </r>
  <r>
    <x v="2"/>
    <s v="SGOKMRCY_PE202501_REMAO004.TXT"/>
    <x v="88"/>
    <x v="8"/>
    <n v="246"/>
    <n v="76702"/>
    <n v="0.32"/>
    <s v="DQS_MAO04_FILE_000_B"/>
    <s v="RECORD COUNT by MBR_ID, DOS_THRU_DT, DX_CD Grain grouped by PAYER, SRC_FILE_NM, DOS_THRU_YYYYMM"/>
  </r>
  <r>
    <x v="2"/>
    <s v="SGOKMRCY_PE202501_REMAO004.TXT"/>
    <x v="89"/>
    <x v="9"/>
    <n v="355"/>
    <n v="76702"/>
    <n v="0.46"/>
    <s v="DQS_MAO04_FILE_000_B"/>
    <s v="RECORD COUNT by MBR_ID, DOS_THRU_DT, DX_CD Grain grouped by PAYER, SRC_FILE_NM, DOS_THRU_YYYYMM"/>
  </r>
  <r>
    <x v="2"/>
    <s v="SGOKMRCY_PE202501_REMAO004.TXT"/>
    <x v="97"/>
    <x v="9"/>
    <n v="665"/>
    <n v="76702"/>
    <n v="0.87"/>
    <s v="DQS_MAO04_FILE_000_B"/>
    <s v="RECORD COUNT by MBR_ID, DOS_THRU_DT, DX_CD Grain grouped by PAYER, SRC_FILE_NM, DOS_THRU_YYYYMM"/>
  </r>
  <r>
    <x v="2"/>
    <s v="SGOKMRCY_PE202501_REMAO004.TXT"/>
    <x v="98"/>
    <x v="9"/>
    <n v="401"/>
    <n v="76702"/>
    <n v="0.52"/>
    <s v="DQS_MAO04_FILE_000_B"/>
    <s v="RECORD COUNT by MBR_ID, DOS_THRU_DT, DX_CD Grain grouped by PAYER, SRC_FILE_NM, DOS_THRU_YYYYMM"/>
  </r>
  <r>
    <x v="2"/>
    <s v="SGOKMRCY_PE202501_REMAO004.TXT"/>
    <x v="99"/>
    <x v="9"/>
    <n v="699"/>
    <n v="76702"/>
    <n v="0.91"/>
    <s v="DQS_MAO04_FILE_000_B"/>
    <s v="RECORD COUNT by MBR_ID, DOS_THRU_DT, DX_CD Grain grouped by PAYER, SRC_FILE_NM, DOS_THRU_YYYYMM"/>
  </r>
  <r>
    <x v="2"/>
    <s v="SGOKMRCY_PE202501_REMAO004.TXT"/>
    <x v="100"/>
    <x v="9"/>
    <n v="819"/>
    <n v="76702"/>
    <n v="1.07"/>
    <s v="DQS_MAO04_FILE_000_B"/>
    <s v="RECORD COUNT by MBR_ID, DOS_THRU_DT, DX_CD Grain grouped by PAYER, SRC_FILE_NM, DOS_THRU_YYYYMM"/>
  </r>
  <r>
    <x v="2"/>
    <s v="SGOKMRCY_PE202501_REMAO004.TXT"/>
    <x v="102"/>
    <x v="9"/>
    <n v="1096"/>
    <n v="76702"/>
    <n v="1.43"/>
    <s v="DQS_MAO04_FILE_000_B"/>
    <s v="RECORD COUNT by MBR_ID, DOS_THRU_DT, DX_CD Grain grouped by PAYER, SRC_FILE_NM, DOS_THRU_YYYYMM"/>
  </r>
  <r>
    <x v="2"/>
    <s v="SGOKMRCY_PE202501_REMAO004.TXT"/>
    <x v="103"/>
    <x v="9"/>
    <n v="1304"/>
    <n v="76702"/>
    <n v="1.7"/>
    <s v="DQS_MAO04_FILE_000_B"/>
    <s v="RECORD COUNT by MBR_ID, DOS_THRU_DT, DX_CD Grain grouped by PAYER, SRC_FILE_NM, DOS_THRU_YYYYMM"/>
  </r>
  <r>
    <x v="2"/>
    <s v="SGOKMRCY_PE202501_REMAO004.TXT"/>
    <x v="105"/>
    <x v="9"/>
    <n v="2589"/>
    <n v="76702"/>
    <n v="3.38"/>
    <s v="DQS_MAO04_FILE_000_B"/>
    <s v="RECORD COUNT by MBR_ID, DOS_THRU_DT, DX_CD Grain grouped by PAYER, SRC_FILE_NM, DOS_THRU_YYYYMM"/>
  </r>
  <r>
    <x v="2"/>
    <s v="SGOKMRCY_PE202501_REMAO004.TXT"/>
    <x v="106"/>
    <x v="9"/>
    <n v="5291"/>
    <n v="76702"/>
    <n v="6.9"/>
    <s v="DQS_MAO04_FILE_000_B"/>
    <s v="RECORD COUNT by MBR_ID, DOS_THRU_DT, DX_CD Grain grouped by PAYER, SRC_FILE_NM, DOS_THRU_YYYYMM"/>
  </r>
  <r>
    <x v="2"/>
    <s v="SGOKMRCY_PE202501_REMAO004.TXT"/>
    <x v="107"/>
    <x v="9"/>
    <n v="35968"/>
    <n v="76702"/>
    <n v="46.89"/>
    <s v="DQS_MAO04_FILE_000_B"/>
    <s v="RECORD COUNT by MBR_ID, DOS_THRU_DT, DX_CD Grain grouped by PAYER, SRC_FILE_NM, DOS_THRU_YYYYMM"/>
  </r>
  <r>
    <x v="2"/>
    <s v="SGOKMRCY_PE202501_REMAO004.TXT"/>
    <x v="108"/>
    <x v="9"/>
    <n v="25274"/>
    <n v="76702"/>
    <n v="32.950000000000003"/>
    <s v="DQS_MAO04_FILE_000_B"/>
    <s v="RECORD COUNT by MBR_ID, DOS_THRU_DT, DX_CD Grain grouped by PAYER, SRC_FILE_NM, DOS_THRU_YYYYMM"/>
  </r>
  <r>
    <x v="2"/>
    <s v="SGOKMRCY_PE202502_REMAO004.TXT"/>
    <x v="16"/>
    <x v="2"/>
    <n v="2"/>
    <n v="70172"/>
    <n v="0"/>
    <s v="DQS_MAO04_FILE_000_B"/>
    <s v="RECORD COUNT by MBR_ID, DOS_THRU_DT, DX_CD Grain grouped by PAYER, SRC_FILE_NM, DOS_THRU_YYYYMM"/>
  </r>
  <r>
    <x v="2"/>
    <s v="SGOKMRCY_PE202502_REMAO004.TXT"/>
    <x v="17"/>
    <x v="3"/>
    <n v="65"/>
    <n v="70172"/>
    <n v="0.09"/>
    <s v="DQS_MAO04_FILE_000_B"/>
    <s v="RECORD COUNT by MBR_ID, DOS_THRU_DT, DX_CD Grain grouped by PAYER, SRC_FILE_NM, DOS_THRU_YYYYMM"/>
  </r>
  <r>
    <x v="2"/>
    <s v="SGOKMRCY_PE202502_REMAO004.TXT"/>
    <x v="18"/>
    <x v="3"/>
    <n v="10"/>
    <n v="70172"/>
    <n v="0.01"/>
    <s v="DQS_MAO04_FILE_000_B"/>
    <s v="RECORD COUNT by MBR_ID, DOS_THRU_DT, DX_CD Grain grouped by PAYER, SRC_FILE_NM, DOS_THRU_YYYYMM"/>
  </r>
  <r>
    <x v="2"/>
    <s v="SGOKMRCY_PE202502_REMAO004.TXT"/>
    <x v="19"/>
    <x v="3"/>
    <n v="12"/>
    <n v="70172"/>
    <n v="0.02"/>
    <s v="DQS_MAO04_FILE_000_B"/>
    <s v="RECORD COUNT by MBR_ID, DOS_THRU_DT, DX_CD Grain grouped by PAYER, SRC_FILE_NM, DOS_THRU_YYYYMM"/>
  </r>
  <r>
    <x v="2"/>
    <s v="SGOKMRCY_PE202502_REMAO004.TXT"/>
    <x v="20"/>
    <x v="3"/>
    <n v="26"/>
    <n v="70172"/>
    <n v="0.04"/>
    <s v="DQS_MAO04_FILE_000_B"/>
    <s v="RECORD COUNT by MBR_ID, DOS_THRU_DT, DX_CD Grain grouped by PAYER, SRC_FILE_NM, DOS_THRU_YYYYMM"/>
  </r>
  <r>
    <x v="2"/>
    <s v="SGOKMRCY_PE202502_REMAO004.TXT"/>
    <x v="21"/>
    <x v="3"/>
    <n v="13"/>
    <n v="70172"/>
    <n v="0.02"/>
    <s v="DQS_MAO04_FILE_000_B"/>
    <s v="RECORD COUNT by MBR_ID, DOS_THRU_DT, DX_CD Grain grouped by PAYER, SRC_FILE_NM, DOS_THRU_YYYYMM"/>
  </r>
  <r>
    <x v="2"/>
    <s v="SGOKMRCY_PE202502_REMAO004.TXT"/>
    <x v="22"/>
    <x v="3"/>
    <n v="42"/>
    <n v="70172"/>
    <n v="0.06"/>
    <s v="DQS_MAO04_FILE_000_B"/>
    <s v="RECORD COUNT by MBR_ID, DOS_THRU_DT, DX_CD Grain grouped by PAYER, SRC_FILE_NM, DOS_THRU_YYYYMM"/>
  </r>
  <r>
    <x v="2"/>
    <s v="SGOKMRCY_PE202502_REMAO004.TXT"/>
    <x v="23"/>
    <x v="3"/>
    <n v="77"/>
    <n v="70172"/>
    <n v="0.11"/>
    <s v="DQS_MAO04_FILE_000_B"/>
    <s v="RECORD COUNT by MBR_ID, DOS_THRU_DT, DX_CD Grain grouped by PAYER, SRC_FILE_NM, DOS_THRU_YYYYMM"/>
  </r>
  <r>
    <x v="2"/>
    <s v="SGOKMRCY_PE202502_REMAO004.TXT"/>
    <x v="24"/>
    <x v="3"/>
    <n v="361"/>
    <n v="70172"/>
    <n v="0.51"/>
    <s v="DQS_MAO04_FILE_000_B"/>
    <s v="RECORD COUNT by MBR_ID, DOS_THRU_DT, DX_CD Grain grouped by PAYER, SRC_FILE_NM, DOS_THRU_YYYYMM"/>
  </r>
  <r>
    <x v="2"/>
    <s v="SGOKMRCY_PE202502_REMAO004.TXT"/>
    <x v="25"/>
    <x v="3"/>
    <n v="183"/>
    <n v="70172"/>
    <n v="0.26"/>
    <s v="DQS_MAO04_FILE_000_B"/>
    <s v="RECORD COUNT by MBR_ID, DOS_THRU_DT, DX_CD Grain grouped by PAYER, SRC_FILE_NM, DOS_THRU_YYYYMM"/>
  </r>
  <r>
    <x v="2"/>
    <s v="SGOKMRCY_PE202502_REMAO004.TXT"/>
    <x v="26"/>
    <x v="3"/>
    <n v="207"/>
    <n v="70172"/>
    <n v="0.28999999999999998"/>
    <s v="DQS_MAO04_FILE_000_B"/>
    <s v="RECORD COUNT by MBR_ID, DOS_THRU_DT, DX_CD Grain grouped by PAYER, SRC_FILE_NM, DOS_THRU_YYYYMM"/>
  </r>
  <r>
    <x v="2"/>
    <s v="SGOKMRCY_PE202502_REMAO004.TXT"/>
    <x v="27"/>
    <x v="3"/>
    <n v="118"/>
    <n v="70172"/>
    <n v="0.17"/>
    <s v="DQS_MAO04_FILE_000_B"/>
    <s v="RECORD COUNT by MBR_ID, DOS_THRU_DT, DX_CD Grain grouped by PAYER, SRC_FILE_NM, DOS_THRU_YYYYMM"/>
  </r>
  <r>
    <x v="2"/>
    <s v="SGOKMRCY_PE202502_REMAO004.TXT"/>
    <x v="28"/>
    <x v="3"/>
    <n v="60"/>
    <n v="70172"/>
    <n v="0.09"/>
    <s v="DQS_MAO04_FILE_000_B"/>
    <s v="RECORD COUNT by MBR_ID, DOS_THRU_DT, DX_CD Grain grouped by PAYER, SRC_FILE_NM, DOS_THRU_YYYYMM"/>
  </r>
  <r>
    <x v="2"/>
    <s v="SGOKMRCY_PE202502_REMAO004.TXT"/>
    <x v="29"/>
    <x v="4"/>
    <n v="25"/>
    <n v="70172"/>
    <n v="0.04"/>
    <s v="DQS_MAO04_FILE_000_B"/>
    <s v="RECORD COUNT by MBR_ID, DOS_THRU_DT, DX_CD Grain grouped by PAYER, SRC_FILE_NM, DOS_THRU_YYYYMM"/>
  </r>
  <r>
    <x v="2"/>
    <s v="SGOKMRCY_PE202502_REMAO004.TXT"/>
    <x v="43"/>
    <x v="5"/>
    <n v="19"/>
    <n v="70172"/>
    <n v="0.03"/>
    <s v="DQS_MAO04_FILE_000_B"/>
    <s v="RECORD COUNT by MBR_ID, DOS_THRU_DT, DX_CD Grain grouped by PAYER, SRC_FILE_NM, DOS_THRU_YYYYMM"/>
  </r>
  <r>
    <x v="2"/>
    <s v="SGOKMRCY_PE202502_REMAO004.TXT"/>
    <x v="67"/>
    <x v="7"/>
    <n v="1"/>
    <n v="70172"/>
    <n v="0"/>
    <s v="DQS_MAO04_FILE_000_B"/>
    <s v="RECORD COUNT by MBR_ID, DOS_THRU_DT, DX_CD Grain grouped by PAYER, SRC_FILE_NM, DOS_THRU_YYYYMM"/>
  </r>
  <r>
    <x v="2"/>
    <s v="SGOKMRCY_PE202502_REMAO004.TXT"/>
    <x v="69"/>
    <x v="7"/>
    <n v="3"/>
    <n v="70172"/>
    <n v="0"/>
    <s v="DQS_MAO04_FILE_000_B"/>
    <s v="RECORD COUNT by MBR_ID, DOS_THRU_DT, DX_CD Grain grouped by PAYER, SRC_FILE_NM, DOS_THRU_YYYYMM"/>
  </r>
  <r>
    <x v="2"/>
    <s v="SGOKMRCY_PE202502_REMAO004.TXT"/>
    <x v="70"/>
    <x v="7"/>
    <n v="4"/>
    <n v="70172"/>
    <n v="0.01"/>
    <s v="DQS_MAO04_FILE_000_B"/>
    <s v="RECORD COUNT by MBR_ID, DOS_THRU_DT, DX_CD Grain grouped by PAYER, SRC_FILE_NM, DOS_THRU_YYYYMM"/>
  </r>
  <r>
    <x v="2"/>
    <s v="SGOKMRCY_PE202502_REMAO004.TXT"/>
    <x v="71"/>
    <x v="7"/>
    <n v="7"/>
    <n v="70172"/>
    <n v="0.01"/>
    <s v="DQS_MAO04_FILE_000_B"/>
    <s v="RECORD COUNT by MBR_ID, DOS_THRU_DT, DX_CD Grain grouped by PAYER, SRC_FILE_NM, DOS_THRU_YYYYMM"/>
  </r>
  <r>
    <x v="2"/>
    <s v="SGOKMRCY_PE202502_REMAO004.TXT"/>
    <x v="72"/>
    <x v="7"/>
    <n v="5"/>
    <n v="70172"/>
    <n v="0.01"/>
    <s v="DQS_MAO04_FILE_000_B"/>
    <s v="RECORD COUNT by MBR_ID, DOS_THRU_DT, DX_CD Grain grouped by PAYER, SRC_FILE_NM, DOS_THRU_YYYYMM"/>
  </r>
  <r>
    <x v="2"/>
    <s v="SGOKMRCY_PE202502_REMAO004.TXT"/>
    <x v="74"/>
    <x v="7"/>
    <n v="13"/>
    <n v="70172"/>
    <n v="0.02"/>
    <s v="DQS_MAO04_FILE_000_B"/>
    <s v="RECORD COUNT by MBR_ID, DOS_THRU_DT, DX_CD Grain grouped by PAYER, SRC_FILE_NM, DOS_THRU_YYYYMM"/>
  </r>
  <r>
    <x v="2"/>
    <s v="SGOKMRCY_PE202502_REMAO004.TXT"/>
    <x v="75"/>
    <x v="7"/>
    <n v="26"/>
    <n v="70172"/>
    <n v="0.04"/>
    <s v="DQS_MAO04_FILE_000_B"/>
    <s v="RECORD COUNT by MBR_ID, DOS_THRU_DT, DX_CD Grain grouped by PAYER, SRC_FILE_NM, DOS_THRU_YYYYMM"/>
  </r>
  <r>
    <x v="2"/>
    <s v="SGOKMRCY_PE202502_REMAO004.TXT"/>
    <x v="76"/>
    <x v="7"/>
    <n v="3"/>
    <n v="70172"/>
    <n v="0"/>
    <s v="DQS_MAO04_FILE_000_B"/>
    <s v="RECORD COUNT by MBR_ID, DOS_THRU_DT, DX_CD Grain grouped by PAYER, SRC_FILE_NM, DOS_THRU_YYYYMM"/>
  </r>
  <r>
    <x v="2"/>
    <s v="SGOKMRCY_PE202502_REMAO004.TXT"/>
    <x v="77"/>
    <x v="8"/>
    <n v="91"/>
    <n v="70172"/>
    <n v="0.13"/>
    <s v="DQS_MAO04_FILE_000_B"/>
    <s v="RECORD COUNT by MBR_ID, DOS_THRU_DT, DX_CD Grain grouped by PAYER, SRC_FILE_NM, DOS_THRU_YYYYMM"/>
  </r>
  <r>
    <x v="2"/>
    <s v="SGOKMRCY_PE202502_REMAO004.TXT"/>
    <x v="78"/>
    <x v="8"/>
    <n v="51"/>
    <n v="70172"/>
    <n v="7.0000000000000007E-2"/>
    <s v="DQS_MAO04_FILE_000_B"/>
    <s v="RECORD COUNT by MBR_ID, DOS_THRU_DT, DX_CD Grain grouped by PAYER, SRC_FILE_NM, DOS_THRU_YYYYMM"/>
  </r>
  <r>
    <x v="2"/>
    <s v="SGOKMRCY_PE202502_REMAO004.TXT"/>
    <x v="79"/>
    <x v="8"/>
    <n v="57"/>
    <n v="70172"/>
    <n v="0.08"/>
    <s v="DQS_MAO04_FILE_000_B"/>
    <s v="RECORD COUNT by MBR_ID, DOS_THRU_DT, DX_CD Grain grouped by PAYER, SRC_FILE_NM, DOS_THRU_YYYYMM"/>
  </r>
  <r>
    <x v="2"/>
    <s v="SGOKMRCY_PE202502_REMAO004.TXT"/>
    <x v="80"/>
    <x v="8"/>
    <n v="85"/>
    <n v="70172"/>
    <n v="0.12"/>
    <s v="DQS_MAO04_FILE_000_B"/>
    <s v="RECORD COUNT by MBR_ID, DOS_THRU_DT, DX_CD Grain grouped by PAYER, SRC_FILE_NM, DOS_THRU_YYYYMM"/>
  </r>
  <r>
    <x v="2"/>
    <s v="SGOKMRCY_PE202502_REMAO004.TXT"/>
    <x v="81"/>
    <x v="8"/>
    <n v="137"/>
    <n v="70172"/>
    <n v="0.2"/>
    <s v="DQS_MAO04_FILE_000_B"/>
    <s v="RECORD COUNT by MBR_ID, DOS_THRU_DT, DX_CD Grain grouped by PAYER, SRC_FILE_NM, DOS_THRU_YYYYMM"/>
  </r>
  <r>
    <x v="2"/>
    <s v="SGOKMRCY_PE202502_REMAO004.TXT"/>
    <x v="82"/>
    <x v="8"/>
    <n v="156"/>
    <n v="70172"/>
    <n v="0.22"/>
    <s v="DQS_MAO04_FILE_000_B"/>
    <s v="RECORD COUNT by MBR_ID, DOS_THRU_DT, DX_CD Grain grouped by PAYER, SRC_FILE_NM, DOS_THRU_YYYYMM"/>
  </r>
  <r>
    <x v="2"/>
    <s v="SGOKMRCY_PE202502_REMAO004.TXT"/>
    <x v="83"/>
    <x v="8"/>
    <n v="201"/>
    <n v="70172"/>
    <n v="0.28999999999999998"/>
    <s v="DQS_MAO04_FILE_000_B"/>
    <s v="RECORD COUNT by MBR_ID, DOS_THRU_DT, DX_CD Grain grouped by PAYER, SRC_FILE_NM, DOS_THRU_YYYYMM"/>
  </r>
  <r>
    <x v="2"/>
    <s v="SGOKMRCY_PE202502_REMAO004.TXT"/>
    <x v="84"/>
    <x v="8"/>
    <n v="248"/>
    <n v="70172"/>
    <n v="0.35"/>
    <s v="DQS_MAO04_FILE_000_B"/>
    <s v="RECORD COUNT by MBR_ID, DOS_THRU_DT, DX_CD Grain grouped by PAYER, SRC_FILE_NM, DOS_THRU_YYYYMM"/>
  </r>
  <r>
    <x v="2"/>
    <s v="SGOKMRCY_PE202502_REMAO004.TXT"/>
    <x v="85"/>
    <x v="8"/>
    <n v="177"/>
    <n v="70172"/>
    <n v="0.25"/>
    <s v="DQS_MAO04_FILE_000_B"/>
    <s v="RECORD COUNT by MBR_ID, DOS_THRU_DT, DX_CD Grain grouped by PAYER, SRC_FILE_NM, DOS_THRU_YYYYMM"/>
  </r>
  <r>
    <x v="2"/>
    <s v="SGOKMRCY_PE202502_REMAO004.TXT"/>
    <x v="86"/>
    <x v="8"/>
    <n v="204"/>
    <n v="70172"/>
    <n v="0.28999999999999998"/>
    <s v="DQS_MAO04_FILE_000_B"/>
    <s v="RECORD COUNT by MBR_ID, DOS_THRU_DT, DX_CD Grain grouped by PAYER, SRC_FILE_NM, DOS_THRU_YYYYMM"/>
  </r>
  <r>
    <x v="2"/>
    <s v="SGOKMRCY_PE202502_REMAO004.TXT"/>
    <x v="87"/>
    <x v="8"/>
    <n v="228"/>
    <n v="70172"/>
    <n v="0.32"/>
    <s v="DQS_MAO04_FILE_000_B"/>
    <s v="RECORD COUNT by MBR_ID, DOS_THRU_DT, DX_CD Grain grouped by PAYER, SRC_FILE_NM, DOS_THRU_YYYYMM"/>
  </r>
  <r>
    <x v="2"/>
    <s v="SGOKMRCY_PE202502_REMAO004.TXT"/>
    <x v="88"/>
    <x v="8"/>
    <n v="215"/>
    <n v="70172"/>
    <n v="0.31"/>
    <s v="DQS_MAO04_FILE_000_B"/>
    <s v="RECORD COUNT by MBR_ID, DOS_THRU_DT, DX_CD Grain grouped by PAYER, SRC_FILE_NM, DOS_THRU_YYYYMM"/>
  </r>
  <r>
    <x v="2"/>
    <s v="SGOKMRCY_PE202502_REMAO004.TXT"/>
    <x v="89"/>
    <x v="9"/>
    <n v="815"/>
    <n v="70172"/>
    <n v="1.1599999999999999"/>
    <s v="DQS_MAO04_FILE_000_B"/>
    <s v="RECORD COUNT by MBR_ID, DOS_THRU_DT, DX_CD Grain grouped by PAYER, SRC_FILE_NM, DOS_THRU_YYYYMM"/>
  </r>
  <r>
    <x v="2"/>
    <s v="SGOKMRCY_PE202502_REMAO004.TXT"/>
    <x v="97"/>
    <x v="9"/>
    <n v="333"/>
    <n v="70172"/>
    <n v="0.47"/>
    <s v="DQS_MAO04_FILE_000_B"/>
    <s v="RECORD COUNT by MBR_ID, DOS_THRU_DT, DX_CD Grain grouped by PAYER, SRC_FILE_NM, DOS_THRU_YYYYMM"/>
  </r>
  <r>
    <x v="2"/>
    <s v="SGOKMRCY_PE202502_REMAO004.TXT"/>
    <x v="98"/>
    <x v="9"/>
    <n v="290"/>
    <n v="70172"/>
    <n v="0.41"/>
    <s v="DQS_MAO04_FILE_000_B"/>
    <s v="RECORD COUNT by MBR_ID, DOS_THRU_DT, DX_CD Grain grouped by PAYER, SRC_FILE_NM, DOS_THRU_YYYYMM"/>
  </r>
  <r>
    <x v="2"/>
    <s v="SGOKMRCY_PE202502_REMAO004.TXT"/>
    <x v="99"/>
    <x v="9"/>
    <n v="399"/>
    <n v="70172"/>
    <n v="0.56999999999999995"/>
    <s v="DQS_MAO04_FILE_000_B"/>
    <s v="RECORD COUNT by MBR_ID, DOS_THRU_DT, DX_CD Grain grouped by PAYER, SRC_FILE_NM, DOS_THRU_YYYYMM"/>
  </r>
  <r>
    <x v="2"/>
    <s v="SGOKMRCY_PE202502_REMAO004.TXT"/>
    <x v="100"/>
    <x v="9"/>
    <n v="442"/>
    <n v="70172"/>
    <n v="0.63"/>
    <s v="DQS_MAO04_FILE_000_B"/>
    <s v="RECORD COUNT by MBR_ID, DOS_THRU_DT, DX_CD Grain grouped by PAYER, SRC_FILE_NM, DOS_THRU_YYYYMM"/>
  </r>
  <r>
    <x v="2"/>
    <s v="SGOKMRCY_PE202502_REMAO004.TXT"/>
    <x v="102"/>
    <x v="9"/>
    <n v="611"/>
    <n v="70172"/>
    <n v="0.87"/>
    <s v="DQS_MAO04_FILE_000_B"/>
    <s v="RECORD COUNT by MBR_ID, DOS_THRU_DT, DX_CD Grain grouped by PAYER, SRC_FILE_NM, DOS_THRU_YYYYMM"/>
  </r>
  <r>
    <x v="2"/>
    <s v="SGOKMRCY_PE202502_REMAO004.TXT"/>
    <x v="103"/>
    <x v="9"/>
    <n v="713"/>
    <n v="70172"/>
    <n v="1.02"/>
    <s v="DQS_MAO04_FILE_000_B"/>
    <s v="RECORD COUNT by MBR_ID, DOS_THRU_DT, DX_CD Grain grouped by PAYER, SRC_FILE_NM, DOS_THRU_YYYYMM"/>
  </r>
  <r>
    <x v="2"/>
    <s v="SGOKMRCY_PE202502_REMAO004.TXT"/>
    <x v="105"/>
    <x v="9"/>
    <n v="1456"/>
    <n v="70172"/>
    <n v="2.0699999999999998"/>
    <s v="DQS_MAO04_FILE_000_B"/>
    <s v="RECORD COUNT by MBR_ID, DOS_THRU_DT, DX_CD Grain grouped by PAYER, SRC_FILE_NM, DOS_THRU_YYYYMM"/>
  </r>
  <r>
    <x v="2"/>
    <s v="SGOKMRCY_PE202502_REMAO004.TXT"/>
    <x v="106"/>
    <x v="9"/>
    <n v="2008"/>
    <n v="70172"/>
    <n v="2.86"/>
    <s v="DQS_MAO04_FILE_000_B"/>
    <s v="RECORD COUNT by MBR_ID, DOS_THRU_DT, DX_CD Grain grouped by PAYER, SRC_FILE_NM, DOS_THRU_YYYYMM"/>
  </r>
  <r>
    <x v="2"/>
    <s v="SGOKMRCY_PE202502_REMAO004.TXT"/>
    <x v="107"/>
    <x v="9"/>
    <n v="5563"/>
    <n v="70172"/>
    <n v="7.93"/>
    <s v="DQS_MAO04_FILE_000_B"/>
    <s v="RECORD COUNT by MBR_ID, DOS_THRU_DT, DX_CD Grain grouped by PAYER, SRC_FILE_NM, DOS_THRU_YYYYMM"/>
  </r>
  <r>
    <x v="2"/>
    <s v="SGOKMRCY_PE202502_REMAO004.TXT"/>
    <x v="108"/>
    <x v="9"/>
    <n v="28623"/>
    <n v="70172"/>
    <n v="40.79"/>
    <s v="DQS_MAO04_FILE_000_B"/>
    <s v="RECORD COUNT by MBR_ID, DOS_THRU_DT, DX_CD Grain grouped by PAYER, SRC_FILE_NM, DOS_THRU_YYYYMM"/>
  </r>
  <r>
    <x v="2"/>
    <s v="SGOKMRCY_PE202502_REMAO004.TXT"/>
    <x v="109"/>
    <x v="9"/>
    <n v="25787"/>
    <n v="70172"/>
    <n v="36.75"/>
    <s v="DQS_MAO04_FILE_000_B"/>
    <s v="RECORD COUNT by MBR_ID, DOS_THRU_DT, DX_CD Grain grouped by PAYER, SRC_FILE_NM, DOS_THRU_YYYYMM"/>
  </r>
  <r>
    <x v="2"/>
    <s v="SGOKMRCY_PE202503_REMAO004.TXT"/>
    <x v="59"/>
    <x v="6"/>
    <n v="1"/>
    <n v="70530"/>
    <n v="0"/>
    <s v="DQS_MAO04_FILE_000_B"/>
    <s v="RECORD COUNT by MBR_ID, DOS_THRU_DT, DX_CD Grain grouped by PAYER, SRC_FILE_NM, DOS_THRU_YYYYMM"/>
  </r>
  <r>
    <x v="2"/>
    <s v="SGOKMRCY_PE202503_REMAO004.TXT"/>
    <x v="60"/>
    <x v="6"/>
    <n v="1"/>
    <n v="70530"/>
    <n v="0"/>
    <s v="DQS_MAO04_FILE_000_B"/>
    <s v="RECORD COUNT by MBR_ID, DOS_THRU_DT, DX_CD Grain grouped by PAYER, SRC_FILE_NM, DOS_THRU_YYYYMM"/>
  </r>
  <r>
    <x v="2"/>
    <s v="SGOKMRCY_PE202503_REMAO004.TXT"/>
    <x v="65"/>
    <x v="7"/>
    <n v="1"/>
    <n v="70530"/>
    <n v="0"/>
    <s v="DQS_MAO04_FILE_000_B"/>
    <s v="RECORD COUNT by MBR_ID, DOS_THRU_DT, DX_CD Grain grouped by PAYER, SRC_FILE_NM, DOS_THRU_YYYYMM"/>
  </r>
  <r>
    <x v="2"/>
    <s v="SGOKMRCY_PE202503_REMAO004.TXT"/>
    <x v="68"/>
    <x v="7"/>
    <n v="1"/>
    <n v="70530"/>
    <n v="0"/>
    <s v="DQS_MAO04_FILE_000_B"/>
    <s v="RECORD COUNT by MBR_ID, DOS_THRU_DT, DX_CD Grain grouped by PAYER, SRC_FILE_NM, DOS_THRU_YYYYMM"/>
  </r>
  <r>
    <x v="2"/>
    <s v="SGOKMRCY_PE202503_REMAO004.TXT"/>
    <x v="71"/>
    <x v="7"/>
    <n v="10"/>
    <n v="70530"/>
    <n v="0.01"/>
    <s v="DQS_MAO04_FILE_000_B"/>
    <s v="RECORD COUNT by MBR_ID, DOS_THRU_DT, DX_CD Grain grouped by PAYER, SRC_FILE_NM, DOS_THRU_YYYYMM"/>
  </r>
  <r>
    <x v="2"/>
    <s v="SGOKMRCY_PE202503_REMAO004.TXT"/>
    <x v="72"/>
    <x v="7"/>
    <n v="1"/>
    <n v="70530"/>
    <n v="0"/>
    <s v="DQS_MAO04_FILE_000_B"/>
    <s v="RECORD COUNT by MBR_ID, DOS_THRU_DT, DX_CD Grain grouped by PAYER, SRC_FILE_NM, DOS_THRU_YYYYMM"/>
  </r>
  <r>
    <x v="2"/>
    <s v="SGOKMRCY_PE202503_REMAO004.TXT"/>
    <x v="74"/>
    <x v="7"/>
    <n v="5"/>
    <n v="70530"/>
    <n v="0.01"/>
    <s v="DQS_MAO04_FILE_000_B"/>
    <s v="RECORD COUNT by MBR_ID, DOS_THRU_DT, DX_CD Grain grouped by PAYER, SRC_FILE_NM, DOS_THRU_YYYYMM"/>
  </r>
  <r>
    <x v="2"/>
    <s v="SGOKMRCY_PE202503_REMAO004.TXT"/>
    <x v="75"/>
    <x v="7"/>
    <n v="2"/>
    <n v="70530"/>
    <n v="0"/>
    <s v="DQS_MAO04_FILE_000_B"/>
    <s v="RECORD COUNT by MBR_ID, DOS_THRU_DT, DX_CD Grain grouped by PAYER, SRC_FILE_NM, DOS_THRU_YYYYMM"/>
  </r>
  <r>
    <x v="2"/>
    <s v="SGOKMRCY_PE202503_REMAO004.TXT"/>
    <x v="76"/>
    <x v="7"/>
    <n v="5"/>
    <n v="70530"/>
    <n v="0.01"/>
    <s v="DQS_MAO04_FILE_000_B"/>
    <s v="RECORD COUNT by MBR_ID, DOS_THRU_DT, DX_CD Grain grouped by PAYER, SRC_FILE_NM, DOS_THRU_YYYYMM"/>
  </r>
  <r>
    <x v="2"/>
    <s v="SGOKMRCY_PE202503_REMAO004.TXT"/>
    <x v="77"/>
    <x v="8"/>
    <n v="17"/>
    <n v="70530"/>
    <n v="0.02"/>
    <s v="DQS_MAO04_FILE_000_B"/>
    <s v="RECORD COUNT by MBR_ID, DOS_THRU_DT, DX_CD Grain grouped by PAYER, SRC_FILE_NM, DOS_THRU_YYYYMM"/>
  </r>
  <r>
    <x v="2"/>
    <s v="SGOKMRCY_PE202503_REMAO004.TXT"/>
    <x v="78"/>
    <x v="8"/>
    <n v="9"/>
    <n v="70530"/>
    <n v="0.01"/>
    <s v="DQS_MAO04_FILE_000_B"/>
    <s v="RECORD COUNT by MBR_ID, DOS_THRU_DT, DX_CD Grain grouped by PAYER, SRC_FILE_NM, DOS_THRU_YYYYMM"/>
  </r>
  <r>
    <x v="2"/>
    <s v="SGOKMRCY_PE202503_REMAO004.TXT"/>
    <x v="79"/>
    <x v="8"/>
    <n v="114"/>
    <n v="70530"/>
    <n v="0.16"/>
    <s v="DQS_MAO04_FILE_000_B"/>
    <s v="RECORD COUNT by MBR_ID, DOS_THRU_DT, DX_CD Grain grouped by PAYER, SRC_FILE_NM, DOS_THRU_YYYYMM"/>
  </r>
  <r>
    <x v="2"/>
    <s v="SGOKMRCY_PE202503_REMAO004.TXT"/>
    <x v="80"/>
    <x v="8"/>
    <n v="57"/>
    <n v="70530"/>
    <n v="0.08"/>
    <s v="DQS_MAO04_FILE_000_B"/>
    <s v="RECORD COUNT by MBR_ID, DOS_THRU_DT, DX_CD Grain grouped by PAYER, SRC_FILE_NM, DOS_THRU_YYYYMM"/>
  </r>
  <r>
    <x v="2"/>
    <s v="SGOKMRCY_PE202503_REMAO004.TXT"/>
    <x v="81"/>
    <x v="8"/>
    <n v="139"/>
    <n v="70530"/>
    <n v="0.2"/>
    <s v="DQS_MAO04_FILE_000_B"/>
    <s v="RECORD COUNT by MBR_ID, DOS_THRU_DT, DX_CD Grain grouped by PAYER, SRC_FILE_NM, DOS_THRU_YYYYMM"/>
  </r>
  <r>
    <x v="2"/>
    <s v="SGOKMRCY_PE202503_REMAO004.TXT"/>
    <x v="82"/>
    <x v="8"/>
    <n v="75"/>
    <n v="70530"/>
    <n v="0.11"/>
    <s v="DQS_MAO04_FILE_000_B"/>
    <s v="RECORD COUNT by MBR_ID, DOS_THRU_DT, DX_CD Grain grouped by PAYER, SRC_FILE_NM, DOS_THRU_YYYYMM"/>
  </r>
  <r>
    <x v="2"/>
    <s v="SGOKMRCY_PE202503_REMAO004.TXT"/>
    <x v="83"/>
    <x v="8"/>
    <n v="58"/>
    <n v="70530"/>
    <n v="0.08"/>
    <s v="DQS_MAO04_FILE_000_B"/>
    <s v="RECORD COUNT by MBR_ID, DOS_THRU_DT, DX_CD Grain grouped by PAYER, SRC_FILE_NM, DOS_THRU_YYYYMM"/>
  </r>
  <r>
    <x v="2"/>
    <s v="SGOKMRCY_PE202503_REMAO004.TXT"/>
    <x v="84"/>
    <x v="8"/>
    <n v="195"/>
    <n v="70530"/>
    <n v="0.28000000000000003"/>
    <s v="DQS_MAO04_FILE_000_B"/>
    <s v="RECORD COUNT by MBR_ID, DOS_THRU_DT, DX_CD Grain grouped by PAYER, SRC_FILE_NM, DOS_THRU_YYYYMM"/>
  </r>
  <r>
    <x v="2"/>
    <s v="SGOKMRCY_PE202503_REMAO004.TXT"/>
    <x v="85"/>
    <x v="8"/>
    <n v="116"/>
    <n v="70530"/>
    <n v="0.16"/>
    <s v="DQS_MAO04_FILE_000_B"/>
    <s v="RECORD COUNT by MBR_ID, DOS_THRU_DT, DX_CD Grain grouped by PAYER, SRC_FILE_NM, DOS_THRU_YYYYMM"/>
  </r>
  <r>
    <x v="2"/>
    <s v="SGOKMRCY_PE202503_REMAO004.TXT"/>
    <x v="86"/>
    <x v="8"/>
    <n v="163"/>
    <n v="70530"/>
    <n v="0.23"/>
    <s v="DQS_MAO04_FILE_000_B"/>
    <s v="RECORD COUNT by MBR_ID, DOS_THRU_DT, DX_CD Grain grouped by PAYER, SRC_FILE_NM, DOS_THRU_YYYYMM"/>
  </r>
  <r>
    <x v="2"/>
    <s v="SGOKMRCY_PE202503_REMAO004.TXT"/>
    <x v="87"/>
    <x v="8"/>
    <n v="156"/>
    <n v="70530"/>
    <n v="0.22"/>
    <s v="DQS_MAO04_FILE_000_B"/>
    <s v="RECORD COUNT by MBR_ID, DOS_THRU_DT, DX_CD Grain grouped by PAYER, SRC_FILE_NM, DOS_THRU_YYYYMM"/>
  </r>
  <r>
    <x v="2"/>
    <s v="SGOKMRCY_PE202503_REMAO004.TXT"/>
    <x v="88"/>
    <x v="8"/>
    <n v="158"/>
    <n v="70530"/>
    <n v="0.22"/>
    <s v="DQS_MAO04_FILE_000_B"/>
    <s v="RECORD COUNT by MBR_ID, DOS_THRU_DT, DX_CD Grain grouped by PAYER, SRC_FILE_NM, DOS_THRU_YYYYMM"/>
  </r>
  <r>
    <x v="2"/>
    <s v="SGOKMRCY_PE202503_REMAO004.TXT"/>
    <x v="89"/>
    <x v="9"/>
    <n v="443"/>
    <n v="70530"/>
    <n v="0.63"/>
    <s v="DQS_MAO04_FILE_000_B"/>
    <s v="RECORD COUNT by MBR_ID, DOS_THRU_DT, DX_CD Grain grouped by PAYER, SRC_FILE_NM, DOS_THRU_YYYYMM"/>
  </r>
  <r>
    <x v="2"/>
    <s v="SGOKMRCY_PE202503_REMAO004.TXT"/>
    <x v="97"/>
    <x v="9"/>
    <n v="492"/>
    <n v="70530"/>
    <n v="0.7"/>
    <s v="DQS_MAO04_FILE_000_B"/>
    <s v="RECORD COUNT by MBR_ID, DOS_THRU_DT, DX_CD Grain grouped by PAYER, SRC_FILE_NM, DOS_THRU_YYYYMM"/>
  </r>
  <r>
    <x v="2"/>
    <s v="SGOKMRCY_PE202503_REMAO004.TXT"/>
    <x v="98"/>
    <x v="9"/>
    <n v="623"/>
    <n v="70530"/>
    <n v="0.88"/>
    <s v="DQS_MAO04_FILE_000_B"/>
    <s v="RECORD COUNT by MBR_ID, DOS_THRU_DT, DX_CD Grain grouped by PAYER, SRC_FILE_NM, DOS_THRU_YYYYMM"/>
  </r>
  <r>
    <x v="2"/>
    <s v="SGOKMRCY_PE202503_REMAO004.TXT"/>
    <x v="99"/>
    <x v="9"/>
    <n v="331"/>
    <n v="70530"/>
    <n v="0.47"/>
    <s v="DQS_MAO04_FILE_000_B"/>
    <s v="RECORD COUNT by MBR_ID, DOS_THRU_DT, DX_CD Grain grouped by PAYER, SRC_FILE_NM, DOS_THRU_YYYYMM"/>
  </r>
  <r>
    <x v="2"/>
    <s v="SGOKMRCY_PE202503_REMAO004.TXT"/>
    <x v="100"/>
    <x v="9"/>
    <n v="451"/>
    <n v="70530"/>
    <n v="0.64"/>
    <s v="DQS_MAO04_FILE_000_B"/>
    <s v="RECORD COUNT by MBR_ID, DOS_THRU_DT, DX_CD Grain grouped by PAYER, SRC_FILE_NM, DOS_THRU_YYYYMM"/>
  </r>
  <r>
    <x v="2"/>
    <s v="SGOKMRCY_PE202503_REMAO004.TXT"/>
    <x v="102"/>
    <x v="9"/>
    <n v="689"/>
    <n v="70530"/>
    <n v="0.98"/>
    <s v="DQS_MAO04_FILE_000_B"/>
    <s v="RECORD COUNT by MBR_ID, DOS_THRU_DT, DX_CD Grain grouped by PAYER, SRC_FILE_NM, DOS_THRU_YYYYMM"/>
  </r>
  <r>
    <x v="2"/>
    <s v="SGOKMRCY_PE202503_REMAO004.TXT"/>
    <x v="103"/>
    <x v="9"/>
    <n v="794"/>
    <n v="70530"/>
    <n v="1.1299999999999999"/>
    <s v="DQS_MAO04_FILE_000_B"/>
    <s v="RECORD COUNT by MBR_ID, DOS_THRU_DT, DX_CD Grain grouped by PAYER, SRC_FILE_NM, DOS_THRU_YYYYMM"/>
  </r>
  <r>
    <x v="2"/>
    <s v="SGOKMRCY_PE202503_REMAO004.TXT"/>
    <x v="105"/>
    <x v="9"/>
    <n v="1265"/>
    <n v="70530"/>
    <n v="1.79"/>
    <s v="DQS_MAO04_FILE_000_B"/>
    <s v="RECORD COUNT by MBR_ID, DOS_THRU_DT, DX_CD Grain grouped by PAYER, SRC_FILE_NM, DOS_THRU_YYYYMM"/>
  </r>
  <r>
    <x v="2"/>
    <s v="SGOKMRCY_PE202503_REMAO004.TXT"/>
    <x v="106"/>
    <x v="9"/>
    <n v="1698"/>
    <n v="70530"/>
    <n v="2.41"/>
    <s v="DQS_MAO04_FILE_000_B"/>
    <s v="RECORD COUNT by MBR_ID, DOS_THRU_DT, DX_CD Grain grouped by PAYER, SRC_FILE_NM, DOS_THRU_YYYYMM"/>
  </r>
  <r>
    <x v="2"/>
    <s v="SGOKMRCY_PE202503_REMAO004.TXT"/>
    <x v="107"/>
    <x v="9"/>
    <n v="2655"/>
    <n v="70530"/>
    <n v="3.76"/>
    <s v="DQS_MAO04_FILE_000_B"/>
    <s v="RECORD COUNT by MBR_ID, DOS_THRU_DT, DX_CD Grain grouped by PAYER, SRC_FILE_NM, DOS_THRU_YYYYMM"/>
  </r>
  <r>
    <x v="2"/>
    <s v="SGOKMRCY_PE202503_REMAO004.TXT"/>
    <x v="108"/>
    <x v="9"/>
    <n v="5928"/>
    <n v="70530"/>
    <n v="8.4"/>
    <s v="DQS_MAO04_FILE_000_B"/>
    <s v="RECORD COUNT by MBR_ID, DOS_THRU_DT, DX_CD Grain grouped by PAYER, SRC_FILE_NM, DOS_THRU_YYYYMM"/>
  </r>
  <r>
    <x v="2"/>
    <s v="SGOKMRCY_PE202503_REMAO004.TXT"/>
    <x v="109"/>
    <x v="9"/>
    <n v="33349"/>
    <n v="70530"/>
    <n v="47.28"/>
    <s v="DQS_MAO04_FILE_000_B"/>
    <s v="RECORD COUNT by MBR_ID, DOS_THRU_DT, DX_CD Grain grouped by PAYER, SRC_FILE_NM, DOS_THRU_YYYYMM"/>
  </r>
  <r>
    <x v="2"/>
    <s v="SGOKMRCY_PE202503_REMAO004.TXT"/>
    <x v="110"/>
    <x v="11"/>
    <n v="20528"/>
    <n v="70530"/>
    <n v="29.11"/>
    <s v="DQS_MAO04_FILE_000_B"/>
    <s v="RECORD COUNT by MBR_ID, DOS_THRU_DT, DX_CD Grain grouped by PAYER, SRC_FILE_NM, DOS_THRU_YYYYMM"/>
  </r>
  <r>
    <x v="2"/>
    <s v="SGOKMRCY_PE202504_REMAO004.TXT"/>
    <x v="21"/>
    <x v="3"/>
    <n v="12"/>
    <n v="87584"/>
    <n v="0.01"/>
    <s v="DQS_MAO04_FILE_000_B"/>
    <s v="RECORD COUNT by MBR_ID, DOS_THRU_DT, DX_CD Grain grouped by PAYER, SRC_FILE_NM, DOS_THRU_YYYYMM"/>
  </r>
  <r>
    <x v="2"/>
    <s v="SGOKMRCY_PE202504_REMAO004.TXT"/>
    <x v="40"/>
    <x v="4"/>
    <n v="12"/>
    <n v="87584"/>
    <n v="0.01"/>
    <s v="DQS_MAO04_FILE_000_B"/>
    <s v="RECORD COUNT by MBR_ID, DOS_THRU_DT, DX_CD Grain grouped by PAYER, SRC_FILE_NM, DOS_THRU_YYYYMM"/>
  </r>
  <r>
    <x v="2"/>
    <s v="SGOKMRCY_PE202504_REMAO004.TXT"/>
    <x v="58"/>
    <x v="6"/>
    <n v="2"/>
    <n v="87584"/>
    <n v="0"/>
    <s v="DQS_MAO04_FILE_000_B"/>
    <s v="RECORD COUNT by MBR_ID, DOS_THRU_DT, DX_CD Grain grouped by PAYER, SRC_FILE_NM, DOS_THRU_YYYYMM"/>
  </r>
  <r>
    <x v="2"/>
    <s v="SGOKMRCY_PE202504_REMAO004.TXT"/>
    <x v="66"/>
    <x v="7"/>
    <n v="34"/>
    <n v="87584"/>
    <n v="0.04"/>
    <s v="DQS_MAO04_FILE_000_B"/>
    <s v="RECORD COUNT by MBR_ID, DOS_THRU_DT, DX_CD Grain grouped by PAYER, SRC_FILE_NM, DOS_THRU_YYYYMM"/>
  </r>
  <r>
    <x v="2"/>
    <s v="SGOKMRCY_PE202504_REMAO004.TXT"/>
    <x v="68"/>
    <x v="7"/>
    <n v="2"/>
    <n v="87584"/>
    <n v="0"/>
    <s v="DQS_MAO04_FILE_000_B"/>
    <s v="RECORD COUNT by MBR_ID, DOS_THRU_DT, DX_CD Grain grouped by PAYER, SRC_FILE_NM, DOS_THRU_YYYYMM"/>
  </r>
  <r>
    <x v="2"/>
    <s v="SGOKMRCY_PE202504_REMAO004.TXT"/>
    <x v="69"/>
    <x v="7"/>
    <n v="6"/>
    <n v="87584"/>
    <n v="0.01"/>
    <s v="DQS_MAO04_FILE_000_B"/>
    <s v="RECORD COUNT by MBR_ID, DOS_THRU_DT, DX_CD Grain grouped by PAYER, SRC_FILE_NM, DOS_THRU_YYYYMM"/>
  </r>
  <r>
    <x v="2"/>
    <s v="SGOKMRCY_PE202504_REMAO004.TXT"/>
    <x v="71"/>
    <x v="7"/>
    <n v="1"/>
    <n v="87584"/>
    <n v="0"/>
    <s v="DQS_MAO04_FILE_000_B"/>
    <s v="RECORD COUNT by MBR_ID, DOS_THRU_DT, DX_CD Grain grouped by PAYER, SRC_FILE_NM, DOS_THRU_YYYYMM"/>
  </r>
  <r>
    <x v="2"/>
    <s v="SGOKMRCY_PE202504_REMAO004.TXT"/>
    <x v="73"/>
    <x v="7"/>
    <n v="1"/>
    <n v="87584"/>
    <n v="0"/>
    <s v="DQS_MAO04_FILE_000_B"/>
    <s v="RECORD COUNT by MBR_ID, DOS_THRU_DT, DX_CD Grain grouped by PAYER, SRC_FILE_NM, DOS_THRU_YYYYMM"/>
  </r>
  <r>
    <x v="2"/>
    <s v="SGOKMRCY_PE202504_REMAO004.TXT"/>
    <x v="75"/>
    <x v="7"/>
    <n v="1"/>
    <n v="87584"/>
    <n v="0"/>
    <s v="DQS_MAO04_FILE_000_B"/>
    <s v="RECORD COUNT by MBR_ID, DOS_THRU_DT, DX_CD Grain grouped by PAYER, SRC_FILE_NM, DOS_THRU_YYYYMM"/>
  </r>
  <r>
    <x v="2"/>
    <s v="SGOKMRCY_PE202504_REMAO004.TXT"/>
    <x v="76"/>
    <x v="7"/>
    <n v="1"/>
    <n v="87584"/>
    <n v="0"/>
    <s v="DQS_MAO04_FILE_000_B"/>
    <s v="RECORD COUNT by MBR_ID, DOS_THRU_DT, DX_CD Grain grouped by PAYER, SRC_FILE_NM, DOS_THRU_YYYYMM"/>
  </r>
  <r>
    <x v="2"/>
    <s v="SGOKMRCY_PE202504_REMAO004.TXT"/>
    <x v="77"/>
    <x v="8"/>
    <n v="8"/>
    <n v="87584"/>
    <n v="0.01"/>
    <s v="DQS_MAO04_FILE_000_B"/>
    <s v="RECORD COUNT by MBR_ID, DOS_THRU_DT, DX_CD Grain grouped by PAYER, SRC_FILE_NM, DOS_THRU_YYYYMM"/>
  </r>
  <r>
    <x v="2"/>
    <s v="SGOKMRCY_PE202504_REMAO004.TXT"/>
    <x v="78"/>
    <x v="8"/>
    <n v="4"/>
    <n v="87584"/>
    <n v="0"/>
    <s v="DQS_MAO04_FILE_000_B"/>
    <s v="RECORD COUNT by MBR_ID, DOS_THRU_DT, DX_CD Grain grouped by PAYER, SRC_FILE_NM, DOS_THRU_YYYYMM"/>
  </r>
  <r>
    <x v="2"/>
    <s v="SGOKMRCY_PE202504_REMAO004.TXT"/>
    <x v="79"/>
    <x v="8"/>
    <n v="5"/>
    <n v="87584"/>
    <n v="0.01"/>
    <s v="DQS_MAO04_FILE_000_B"/>
    <s v="RECORD COUNT by MBR_ID, DOS_THRU_DT, DX_CD Grain grouped by PAYER, SRC_FILE_NM, DOS_THRU_YYYYMM"/>
  </r>
  <r>
    <x v="2"/>
    <s v="SGOKMRCY_PE202504_REMAO004.TXT"/>
    <x v="80"/>
    <x v="8"/>
    <n v="133"/>
    <n v="87584"/>
    <n v="0.15"/>
    <s v="DQS_MAO04_FILE_000_B"/>
    <s v="RECORD COUNT by MBR_ID, DOS_THRU_DT, DX_CD Grain grouped by PAYER, SRC_FILE_NM, DOS_THRU_YYYYMM"/>
  </r>
  <r>
    <x v="2"/>
    <s v="SGOKMRCY_PE202504_REMAO004.TXT"/>
    <x v="81"/>
    <x v="8"/>
    <n v="185"/>
    <n v="87584"/>
    <n v="0.21"/>
    <s v="DQS_MAO04_FILE_000_B"/>
    <s v="RECORD COUNT by MBR_ID, DOS_THRU_DT, DX_CD Grain grouped by PAYER, SRC_FILE_NM, DOS_THRU_YYYYMM"/>
  </r>
  <r>
    <x v="2"/>
    <s v="SGOKMRCY_PE202504_REMAO004.TXT"/>
    <x v="82"/>
    <x v="8"/>
    <n v="187"/>
    <n v="87584"/>
    <n v="0.21"/>
    <s v="DQS_MAO04_FILE_000_B"/>
    <s v="RECORD COUNT by MBR_ID, DOS_THRU_DT, DX_CD Grain grouped by PAYER, SRC_FILE_NM, DOS_THRU_YYYYMM"/>
  </r>
  <r>
    <x v="2"/>
    <s v="SGOKMRCY_PE202504_REMAO004.TXT"/>
    <x v="83"/>
    <x v="8"/>
    <n v="119"/>
    <n v="87584"/>
    <n v="0.14000000000000001"/>
    <s v="DQS_MAO04_FILE_000_B"/>
    <s v="RECORD COUNT by MBR_ID, DOS_THRU_DT, DX_CD Grain grouped by PAYER, SRC_FILE_NM, DOS_THRU_YYYYMM"/>
  </r>
  <r>
    <x v="2"/>
    <s v="SGOKMRCY_PE202504_REMAO004.TXT"/>
    <x v="84"/>
    <x v="8"/>
    <n v="213"/>
    <n v="87584"/>
    <n v="0.24"/>
    <s v="DQS_MAO04_FILE_000_B"/>
    <s v="RECORD COUNT by MBR_ID, DOS_THRU_DT, DX_CD Grain grouped by PAYER, SRC_FILE_NM, DOS_THRU_YYYYMM"/>
  </r>
  <r>
    <x v="2"/>
    <s v="SGOKMRCY_PE202504_REMAO004.TXT"/>
    <x v="85"/>
    <x v="8"/>
    <n v="247"/>
    <n v="87584"/>
    <n v="0.28000000000000003"/>
    <s v="DQS_MAO04_FILE_000_B"/>
    <s v="RECORD COUNT by MBR_ID, DOS_THRU_DT, DX_CD Grain grouped by PAYER, SRC_FILE_NM, DOS_THRU_YYYYMM"/>
  </r>
  <r>
    <x v="2"/>
    <s v="SGOKMRCY_PE202504_REMAO004.TXT"/>
    <x v="86"/>
    <x v="8"/>
    <n v="310"/>
    <n v="87584"/>
    <n v="0.35"/>
    <s v="DQS_MAO04_FILE_000_B"/>
    <s v="RECORD COUNT by MBR_ID, DOS_THRU_DT, DX_CD Grain grouped by PAYER, SRC_FILE_NM, DOS_THRU_YYYYMM"/>
  </r>
  <r>
    <x v="2"/>
    <s v="SGOKMRCY_PE202504_REMAO004.TXT"/>
    <x v="87"/>
    <x v="8"/>
    <n v="237"/>
    <n v="87584"/>
    <n v="0.27"/>
    <s v="DQS_MAO04_FILE_000_B"/>
    <s v="RECORD COUNT by MBR_ID, DOS_THRU_DT, DX_CD Grain grouped by PAYER, SRC_FILE_NM, DOS_THRU_YYYYMM"/>
  </r>
  <r>
    <x v="2"/>
    <s v="SGOKMRCY_PE202504_REMAO004.TXT"/>
    <x v="88"/>
    <x v="8"/>
    <n v="173"/>
    <n v="87584"/>
    <n v="0.2"/>
    <s v="DQS_MAO04_FILE_000_B"/>
    <s v="RECORD COUNT by MBR_ID, DOS_THRU_DT, DX_CD Grain grouped by PAYER, SRC_FILE_NM, DOS_THRU_YYYYMM"/>
  </r>
  <r>
    <x v="2"/>
    <s v="SGOKMRCY_PE202504_REMAO004.TXT"/>
    <x v="89"/>
    <x v="9"/>
    <n v="423"/>
    <n v="87584"/>
    <n v="0.48"/>
    <s v="DQS_MAO04_FILE_000_B"/>
    <s v="RECORD COUNT by MBR_ID, DOS_THRU_DT, DX_CD Grain grouped by PAYER, SRC_FILE_NM, DOS_THRU_YYYYMM"/>
  </r>
  <r>
    <x v="2"/>
    <s v="SGOKMRCY_PE202504_REMAO004.TXT"/>
    <x v="97"/>
    <x v="9"/>
    <n v="473"/>
    <n v="87584"/>
    <n v="0.54"/>
    <s v="DQS_MAO04_FILE_000_B"/>
    <s v="RECORD COUNT by MBR_ID, DOS_THRU_DT, DX_CD Grain grouped by PAYER, SRC_FILE_NM, DOS_THRU_YYYYMM"/>
  </r>
  <r>
    <x v="2"/>
    <s v="SGOKMRCY_PE202504_REMAO004.TXT"/>
    <x v="98"/>
    <x v="9"/>
    <n v="580"/>
    <n v="87584"/>
    <n v="0.66"/>
    <s v="DQS_MAO04_FILE_000_B"/>
    <s v="RECORD COUNT by MBR_ID, DOS_THRU_DT, DX_CD Grain grouped by PAYER, SRC_FILE_NM, DOS_THRU_YYYYMM"/>
  </r>
  <r>
    <x v="2"/>
    <s v="SGOKMRCY_PE202504_REMAO004.TXT"/>
    <x v="99"/>
    <x v="9"/>
    <n v="1477"/>
    <n v="87584"/>
    <n v="1.69"/>
    <s v="DQS_MAO04_FILE_000_B"/>
    <s v="RECORD COUNT by MBR_ID, DOS_THRU_DT, DX_CD Grain grouped by PAYER, SRC_FILE_NM, DOS_THRU_YYYYMM"/>
  </r>
  <r>
    <x v="2"/>
    <s v="SGOKMRCY_PE202504_REMAO004.TXT"/>
    <x v="100"/>
    <x v="9"/>
    <n v="1304"/>
    <n v="87584"/>
    <n v="1.49"/>
    <s v="DQS_MAO04_FILE_000_B"/>
    <s v="RECORD COUNT by MBR_ID, DOS_THRU_DT, DX_CD Grain grouped by PAYER, SRC_FILE_NM, DOS_THRU_YYYYMM"/>
  </r>
  <r>
    <x v="2"/>
    <s v="SGOKMRCY_PE202504_REMAO004.TXT"/>
    <x v="102"/>
    <x v="9"/>
    <n v="1173"/>
    <n v="87584"/>
    <n v="1.34"/>
    <s v="DQS_MAO04_FILE_000_B"/>
    <s v="RECORD COUNT by MBR_ID, DOS_THRU_DT, DX_CD Grain grouped by PAYER, SRC_FILE_NM, DOS_THRU_YYYYMM"/>
  </r>
  <r>
    <x v="2"/>
    <s v="SGOKMRCY_PE202504_REMAO004.TXT"/>
    <x v="103"/>
    <x v="9"/>
    <n v="1525"/>
    <n v="87584"/>
    <n v="1.74"/>
    <s v="DQS_MAO04_FILE_000_B"/>
    <s v="RECORD COUNT by MBR_ID, DOS_THRU_DT, DX_CD Grain grouped by PAYER, SRC_FILE_NM, DOS_THRU_YYYYMM"/>
  </r>
  <r>
    <x v="2"/>
    <s v="SGOKMRCY_PE202504_REMAO004.TXT"/>
    <x v="105"/>
    <x v="9"/>
    <n v="1479"/>
    <n v="87584"/>
    <n v="1.69"/>
    <s v="DQS_MAO04_FILE_000_B"/>
    <s v="RECORD COUNT by MBR_ID, DOS_THRU_DT, DX_CD Grain grouped by PAYER, SRC_FILE_NM, DOS_THRU_YYYYMM"/>
  </r>
  <r>
    <x v="2"/>
    <s v="SGOKMRCY_PE202504_REMAO004.TXT"/>
    <x v="106"/>
    <x v="9"/>
    <n v="1672"/>
    <n v="87584"/>
    <n v="1.91"/>
    <s v="DQS_MAO04_FILE_000_B"/>
    <s v="RECORD COUNT by MBR_ID, DOS_THRU_DT, DX_CD Grain grouped by PAYER, SRC_FILE_NM, DOS_THRU_YYYYMM"/>
  </r>
  <r>
    <x v="2"/>
    <s v="SGOKMRCY_PE202504_REMAO004.TXT"/>
    <x v="107"/>
    <x v="9"/>
    <n v="2437"/>
    <n v="87584"/>
    <n v="2.78"/>
    <s v="DQS_MAO04_FILE_000_B"/>
    <s v="RECORD COUNT by MBR_ID, DOS_THRU_DT, DX_CD Grain grouped by PAYER, SRC_FILE_NM, DOS_THRU_YYYYMM"/>
  </r>
  <r>
    <x v="2"/>
    <s v="SGOKMRCY_PE202504_REMAO004.TXT"/>
    <x v="108"/>
    <x v="9"/>
    <n v="2727"/>
    <n v="87584"/>
    <n v="3.11"/>
    <s v="DQS_MAO04_FILE_000_B"/>
    <s v="RECORD COUNT by MBR_ID, DOS_THRU_DT, DX_CD Grain grouped by PAYER, SRC_FILE_NM, DOS_THRU_YYYYMM"/>
  </r>
  <r>
    <x v="2"/>
    <s v="SGOKMRCY_PE202504_REMAO004.TXT"/>
    <x v="109"/>
    <x v="9"/>
    <n v="6672"/>
    <n v="87584"/>
    <n v="7.62"/>
    <s v="DQS_MAO04_FILE_000_B"/>
    <s v="RECORD COUNT by MBR_ID, DOS_THRU_DT, DX_CD Grain grouped by PAYER, SRC_FILE_NM, DOS_THRU_YYYYMM"/>
  </r>
  <r>
    <x v="2"/>
    <s v="SGOKMRCY_PE202504_REMAO004.TXT"/>
    <x v="110"/>
    <x v="11"/>
    <n v="44805"/>
    <n v="87584"/>
    <n v="51.16"/>
    <s v="DQS_MAO04_FILE_000_B"/>
    <s v="RECORD COUNT by MBR_ID, DOS_THRU_DT, DX_CD Grain grouped by PAYER, SRC_FILE_NM, DOS_THRU_YYYYMM"/>
  </r>
  <r>
    <x v="2"/>
    <s v="SGOKMRCY_PE202504_REMAO004.TXT"/>
    <x v="111"/>
    <x v="11"/>
    <n v="18944"/>
    <n v="87584"/>
    <n v="21.63"/>
    <s v="DQS_MAO04_FILE_000_B"/>
    <s v="RECORD COUNT by MBR_ID, DOS_THRU_DT, DX_CD Grain grouped by PAYER, SRC_FILE_NM, DOS_THRU_YYYYMM"/>
  </r>
  <r>
    <x v="2"/>
    <s v="SGOKMRCY_PE202505_REMAO004.TXT"/>
    <x v="54"/>
    <x v="6"/>
    <n v="6"/>
    <n v="84865"/>
    <n v="0.01"/>
    <s v="DQS_MAO04_FILE_000_B"/>
    <s v="RECORD COUNT by MBR_ID, DOS_THRU_DT, DX_CD Grain grouped by PAYER, SRC_FILE_NM, DOS_THRU_YYYYMM"/>
  </r>
  <r>
    <x v="2"/>
    <s v="SGOKMRCY_PE202505_REMAO004.TXT"/>
    <x v="55"/>
    <x v="6"/>
    <n v="1"/>
    <n v="84865"/>
    <n v="0"/>
    <s v="DQS_MAO04_FILE_000_B"/>
    <s v="RECORD COUNT by MBR_ID, DOS_THRU_DT, DX_CD Grain grouped by PAYER, SRC_FILE_NM, DOS_THRU_YYYYMM"/>
  </r>
  <r>
    <x v="2"/>
    <s v="SGOKMRCY_PE202505_REMAO004.TXT"/>
    <x v="57"/>
    <x v="6"/>
    <n v="1"/>
    <n v="84865"/>
    <n v="0"/>
    <s v="DQS_MAO04_FILE_000_B"/>
    <s v="RECORD COUNT by MBR_ID, DOS_THRU_DT, DX_CD Grain grouped by PAYER, SRC_FILE_NM, DOS_THRU_YYYYMM"/>
  </r>
  <r>
    <x v="2"/>
    <s v="SGOKMRCY_PE202505_REMAO004.TXT"/>
    <x v="58"/>
    <x v="6"/>
    <n v="3"/>
    <n v="84865"/>
    <n v="0"/>
    <s v="DQS_MAO04_FILE_000_B"/>
    <s v="RECORD COUNT by MBR_ID, DOS_THRU_DT, DX_CD Grain grouped by PAYER, SRC_FILE_NM, DOS_THRU_YYYYMM"/>
  </r>
  <r>
    <x v="2"/>
    <s v="SGOKMRCY_PE202505_REMAO004.TXT"/>
    <x v="67"/>
    <x v="7"/>
    <n v="1"/>
    <n v="84865"/>
    <n v="0"/>
    <s v="DQS_MAO04_FILE_000_B"/>
    <s v="RECORD COUNT by MBR_ID, DOS_THRU_DT, DX_CD Grain grouped by PAYER, SRC_FILE_NM, DOS_THRU_YYYYMM"/>
  </r>
  <r>
    <x v="2"/>
    <s v="SGOKMRCY_PE202505_REMAO004.TXT"/>
    <x v="72"/>
    <x v="7"/>
    <n v="5"/>
    <n v="84865"/>
    <n v="0.01"/>
    <s v="DQS_MAO04_FILE_000_B"/>
    <s v="RECORD COUNT by MBR_ID, DOS_THRU_DT, DX_CD Grain grouped by PAYER, SRC_FILE_NM, DOS_THRU_YYYYMM"/>
  </r>
  <r>
    <x v="2"/>
    <s v="SGOKMRCY_PE202505_REMAO004.TXT"/>
    <x v="77"/>
    <x v="8"/>
    <n v="12"/>
    <n v="84865"/>
    <n v="0.01"/>
    <s v="DQS_MAO04_FILE_000_B"/>
    <s v="RECORD COUNT by MBR_ID, DOS_THRU_DT, DX_CD Grain grouped by PAYER, SRC_FILE_NM, DOS_THRU_YYYYMM"/>
  </r>
  <r>
    <x v="2"/>
    <s v="SGOKMRCY_PE202505_REMAO004.TXT"/>
    <x v="78"/>
    <x v="8"/>
    <n v="4"/>
    <n v="84865"/>
    <n v="0"/>
    <s v="DQS_MAO04_FILE_000_B"/>
    <s v="RECORD COUNT by MBR_ID, DOS_THRU_DT, DX_CD Grain grouped by PAYER, SRC_FILE_NM, DOS_THRU_YYYYMM"/>
  </r>
  <r>
    <x v="2"/>
    <s v="SGOKMRCY_PE202505_REMAO004.TXT"/>
    <x v="79"/>
    <x v="8"/>
    <n v="28"/>
    <n v="84865"/>
    <n v="0.03"/>
    <s v="DQS_MAO04_FILE_000_B"/>
    <s v="RECORD COUNT by MBR_ID, DOS_THRU_DT, DX_CD Grain grouped by PAYER, SRC_FILE_NM, DOS_THRU_YYYYMM"/>
  </r>
  <r>
    <x v="2"/>
    <s v="SGOKMRCY_PE202505_REMAO004.TXT"/>
    <x v="80"/>
    <x v="8"/>
    <n v="69"/>
    <n v="84865"/>
    <n v="0.08"/>
    <s v="DQS_MAO04_FILE_000_B"/>
    <s v="RECORD COUNT by MBR_ID, DOS_THRU_DT, DX_CD Grain grouped by PAYER, SRC_FILE_NM, DOS_THRU_YYYYMM"/>
  </r>
  <r>
    <x v="2"/>
    <s v="SGOKMRCY_PE202505_REMAO004.TXT"/>
    <x v="81"/>
    <x v="8"/>
    <n v="112"/>
    <n v="84865"/>
    <n v="0.13"/>
    <s v="DQS_MAO04_FILE_000_B"/>
    <s v="RECORD COUNT by MBR_ID, DOS_THRU_DT, DX_CD Grain grouped by PAYER, SRC_FILE_NM, DOS_THRU_YYYYMM"/>
  </r>
  <r>
    <x v="2"/>
    <s v="SGOKMRCY_PE202505_REMAO004.TXT"/>
    <x v="82"/>
    <x v="8"/>
    <n v="74"/>
    <n v="84865"/>
    <n v="0.09"/>
    <s v="DQS_MAO04_FILE_000_B"/>
    <s v="RECORD COUNT by MBR_ID, DOS_THRU_DT, DX_CD Grain grouped by PAYER, SRC_FILE_NM, DOS_THRU_YYYYMM"/>
  </r>
  <r>
    <x v="2"/>
    <s v="SGOKMRCY_PE202505_REMAO004.TXT"/>
    <x v="83"/>
    <x v="8"/>
    <n v="158"/>
    <n v="84865"/>
    <n v="0.19"/>
    <s v="DQS_MAO04_FILE_000_B"/>
    <s v="RECORD COUNT by MBR_ID, DOS_THRU_DT, DX_CD Grain grouped by PAYER, SRC_FILE_NM, DOS_THRU_YYYYMM"/>
  </r>
  <r>
    <x v="2"/>
    <s v="SGOKMRCY_PE202505_REMAO004.TXT"/>
    <x v="84"/>
    <x v="8"/>
    <n v="294"/>
    <n v="84865"/>
    <n v="0.35"/>
    <s v="DQS_MAO04_FILE_000_B"/>
    <s v="RECORD COUNT by MBR_ID, DOS_THRU_DT, DX_CD Grain grouped by PAYER, SRC_FILE_NM, DOS_THRU_YYYYMM"/>
  </r>
  <r>
    <x v="2"/>
    <s v="SGOKMRCY_PE202505_REMAO004.TXT"/>
    <x v="85"/>
    <x v="8"/>
    <n v="146"/>
    <n v="84865"/>
    <n v="0.17"/>
    <s v="DQS_MAO04_FILE_000_B"/>
    <s v="RECORD COUNT by MBR_ID, DOS_THRU_DT, DX_CD Grain grouped by PAYER, SRC_FILE_NM, DOS_THRU_YYYYMM"/>
  </r>
  <r>
    <x v="2"/>
    <s v="SGOKMRCY_PE202505_REMAO004.TXT"/>
    <x v="86"/>
    <x v="8"/>
    <n v="162"/>
    <n v="84865"/>
    <n v="0.19"/>
    <s v="DQS_MAO04_FILE_000_B"/>
    <s v="RECORD COUNT by MBR_ID, DOS_THRU_DT, DX_CD Grain grouped by PAYER, SRC_FILE_NM, DOS_THRU_YYYYMM"/>
  </r>
  <r>
    <x v="2"/>
    <s v="SGOKMRCY_PE202505_REMAO004.TXT"/>
    <x v="87"/>
    <x v="8"/>
    <n v="176"/>
    <n v="84865"/>
    <n v="0.21"/>
    <s v="DQS_MAO04_FILE_000_B"/>
    <s v="RECORD COUNT by MBR_ID, DOS_THRU_DT, DX_CD Grain grouped by PAYER, SRC_FILE_NM, DOS_THRU_YYYYMM"/>
  </r>
  <r>
    <x v="2"/>
    <s v="SGOKMRCY_PE202505_REMAO004.TXT"/>
    <x v="88"/>
    <x v="8"/>
    <n v="306"/>
    <n v="84865"/>
    <n v="0.36"/>
    <s v="DQS_MAO04_FILE_000_B"/>
    <s v="RECORD COUNT by MBR_ID, DOS_THRU_DT, DX_CD Grain grouped by PAYER, SRC_FILE_NM, DOS_THRU_YYYYMM"/>
  </r>
  <r>
    <x v="2"/>
    <s v="SGOKMRCY_PE202505_REMAO004.TXT"/>
    <x v="89"/>
    <x v="9"/>
    <n v="189"/>
    <n v="84865"/>
    <n v="0.22"/>
    <s v="DQS_MAO04_FILE_000_B"/>
    <s v="RECORD COUNT by MBR_ID, DOS_THRU_DT, DX_CD Grain grouped by PAYER, SRC_FILE_NM, DOS_THRU_YYYYMM"/>
  </r>
  <r>
    <x v="2"/>
    <s v="SGOKMRCY_PE202505_REMAO004.TXT"/>
    <x v="97"/>
    <x v="9"/>
    <n v="249"/>
    <n v="84865"/>
    <n v="0.28999999999999998"/>
    <s v="DQS_MAO04_FILE_000_B"/>
    <s v="RECORD COUNT by MBR_ID, DOS_THRU_DT, DX_CD Grain grouped by PAYER, SRC_FILE_NM, DOS_THRU_YYYYMM"/>
  </r>
  <r>
    <x v="2"/>
    <s v="SGOKMRCY_PE202505_REMAO004.TXT"/>
    <x v="98"/>
    <x v="9"/>
    <n v="416"/>
    <n v="84865"/>
    <n v="0.49"/>
    <s v="DQS_MAO04_FILE_000_B"/>
    <s v="RECORD COUNT by MBR_ID, DOS_THRU_DT, DX_CD Grain grouped by PAYER, SRC_FILE_NM, DOS_THRU_YYYYMM"/>
  </r>
  <r>
    <x v="2"/>
    <s v="SGOKMRCY_PE202505_REMAO004.TXT"/>
    <x v="99"/>
    <x v="9"/>
    <n v="426"/>
    <n v="84865"/>
    <n v="0.5"/>
    <s v="DQS_MAO04_FILE_000_B"/>
    <s v="RECORD COUNT by MBR_ID, DOS_THRU_DT, DX_CD Grain grouped by PAYER, SRC_FILE_NM, DOS_THRU_YYYYMM"/>
  </r>
  <r>
    <x v="2"/>
    <s v="SGOKMRCY_PE202505_REMAO004.TXT"/>
    <x v="100"/>
    <x v="9"/>
    <n v="459"/>
    <n v="84865"/>
    <n v="0.54"/>
    <s v="DQS_MAO04_FILE_000_B"/>
    <s v="RECORD COUNT by MBR_ID, DOS_THRU_DT, DX_CD Grain grouped by PAYER, SRC_FILE_NM, DOS_THRU_YYYYMM"/>
  </r>
  <r>
    <x v="2"/>
    <s v="SGOKMRCY_PE202505_REMAO004.TXT"/>
    <x v="102"/>
    <x v="9"/>
    <n v="649"/>
    <n v="84865"/>
    <n v="0.76"/>
    <s v="DQS_MAO04_FILE_000_B"/>
    <s v="RECORD COUNT by MBR_ID, DOS_THRU_DT, DX_CD Grain grouped by PAYER, SRC_FILE_NM, DOS_THRU_YYYYMM"/>
  </r>
  <r>
    <x v="2"/>
    <s v="SGOKMRCY_PE202505_REMAO004.TXT"/>
    <x v="103"/>
    <x v="9"/>
    <n v="651"/>
    <n v="84865"/>
    <n v="0.77"/>
    <s v="DQS_MAO04_FILE_000_B"/>
    <s v="RECORD COUNT by MBR_ID, DOS_THRU_DT, DX_CD Grain grouped by PAYER, SRC_FILE_NM, DOS_THRU_YYYYMM"/>
  </r>
  <r>
    <x v="2"/>
    <s v="SGOKMRCY_PE202505_REMAO004.TXT"/>
    <x v="105"/>
    <x v="9"/>
    <n v="878"/>
    <n v="84865"/>
    <n v="1.03"/>
    <s v="DQS_MAO04_FILE_000_B"/>
    <s v="RECORD COUNT by MBR_ID, DOS_THRU_DT, DX_CD Grain grouped by PAYER, SRC_FILE_NM, DOS_THRU_YYYYMM"/>
  </r>
  <r>
    <x v="2"/>
    <s v="SGOKMRCY_PE202505_REMAO004.TXT"/>
    <x v="106"/>
    <x v="9"/>
    <n v="1135"/>
    <n v="84865"/>
    <n v="1.34"/>
    <s v="DQS_MAO04_FILE_000_B"/>
    <s v="RECORD COUNT by MBR_ID, DOS_THRU_DT, DX_CD Grain grouped by PAYER, SRC_FILE_NM, DOS_THRU_YYYYMM"/>
  </r>
  <r>
    <x v="2"/>
    <s v="SGOKMRCY_PE202505_REMAO004.TXT"/>
    <x v="107"/>
    <x v="9"/>
    <n v="1142"/>
    <n v="84865"/>
    <n v="1.35"/>
    <s v="DQS_MAO04_FILE_000_B"/>
    <s v="RECORD COUNT by MBR_ID, DOS_THRU_DT, DX_CD Grain grouped by PAYER, SRC_FILE_NM, DOS_THRU_YYYYMM"/>
  </r>
  <r>
    <x v="2"/>
    <s v="SGOKMRCY_PE202505_REMAO004.TXT"/>
    <x v="108"/>
    <x v="9"/>
    <n v="2060"/>
    <n v="84865"/>
    <n v="2.4300000000000002"/>
    <s v="DQS_MAO04_FILE_000_B"/>
    <s v="RECORD COUNT by MBR_ID, DOS_THRU_DT, DX_CD Grain grouped by PAYER, SRC_FILE_NM, DOS_THRU_YYYYMM"/>
  </r>
  <r>
    <x v="2"/>
    <s v="SGOKMRCY_PE202505_REMAO004.TXT"/>
    <x v="109"/>
    <x v="9"/>
    <n v="3027"/>
    <n v="84865"/>
    <n v="3.57"/>
    <s v="DQS_MAO04_FILE_000_B"/>
    <s v="RECORD COUNT by MBR_ID, DOS_THRU_DT, DX_CD Grain grouped by PAYER, SRC_FILE_NM, DOS_THRU_YYYYMM"/>
  </r>
  <r>
    <x v="2"/>
    <s v="SGOKMRCY_PE202505_REMAO004.TXT"/>
    <x v="110"/>
    <x v="11"/>
    <n v="7150"/>
    <n v="84865"/>
    <n v="8.43"/>
    <s v="DQS_MAO04_FILE_000_B"/>
    <s v="RECORD COUNT by MBR_ID, DOS_THRU_DT, DX_CD Grain grouped by PAYER, SRC_FILE_NM, DOS_THRU_YYYYMM"/>
  </r>
  <r>
    <x v="2"/>
    <s v="SGOKMRCY_PE202505_REMAO004.TXT"/>
    <x v="111"/>
    <x v="11"/>
    <n v="37295"/>
    <n v="84865"/>
    <n v="43.95"/>
    <s v="DQS_MAO04_FILE_000_B"/>
    <s v="RECORD COUNT by MBR_ID, DOS_THRU_DT, DX_CD Grain grouped by PAYER, SRC_FILE_NM, DOS_THRU_YYYYMM"/>
  </r>
  <r>
    <x v="2"/>
    <s v="SGOKMRCY_PE202505_REMAO004.TXT"/>
    <x v="112"/>
    <x v="11"/>
    <n v="27581"/>
    <n v="84865"/>
    <n v="32.5"/>
    <s v="DQS_MAO04_FILE_000_B"/>
    <s v="RECORD COUNT by MBR_ID, DOS_THRU_DT, DX_CD Grain grouped by PAYER, SRC_FILE_NM, DOS_THRU_YYYYMM"/>
  </r>
  <r>
    <x v="2"/>
    <s v="SGOKMRCY_PE202506_REMAO004.TXT"/>
    <x v="31"/>
    <x v="4"/>
    <n v="11"/>
    <n v="75394"/>
    <n v="0.01"/>
    <s v="DQS_MAO04_FILE_000_B"/>
    <s v="RECORD COUNT by MBR_ID, DOS_THRU_DT, DX_CD Grain grouped by PAYER, SRC_FILE_NM, DOS_THRU_YYYYMM"/>
  </r>
  <r>
    <x v="2"/>
    <s v="SGOKMRCY_PE202506_REMAO004.TXT"/>
    <x v="77"/>
    <x v="8"/>
    <n v="1"/>
    <n v="75394"/>
    <n v="0"/>
    <s v="DQS_MAO04_FILE_000_B"/>
    <s v="RECORD COUNT by MBR_ID, DOS_THRU_DT, DX_CD Grain grouped by PAYER, SRC_FILE_NM, DOS_THRU_YYYYMM"/>
  </r>
  <r>
    <x v="2"/>
    <s v="SGOKMRCY_PE202506_REMAO004.TXT"/>
    <x v="78"/>
    <x v="8"/>
    <n v="4"/>
    <n v="75394"/>
    <n v="0.01"/>
    <s v="DQS_MAO04_FILE_000_B"/>
    <s v="RECORD COUNT by MBR_ID, DOS_THRU_DT, DX_CD Grain grouped by PAYER, SRC_FILE_NM, DOS_THRU_YYYYMM"/>
  </r>
  <r>
    <x v="2"/>
    <s v="SGOKMRCY_PE202506_REMAO004.TXT"/>
    <x v="79"/>
    <x v="8"/>
    <n v="1"/>
    <n v="75394"/>
    <n v="0"/>
    <s v="DQS_MAO04_FILE_000_B"/>
    <s v="RECORD COUNT by MBR_ID, DOS_THRU_DT, DX_CD Grain grouped by PAYER, SRC_FILE_NM, DOS_THRU_YYYYMM"/>
  </r>
  <r>
    <x v="2"/>
    <s v="SGOKMRCY_PE202506_REMAO004.TXT"/>
    <x v="80"/>
    <x v="8"/>
    <n v="17"/>
    <n v="75394"/>
    <n v="0.02"/>
    <s v="DQS_MAO04_FILE_000_B"/>
    <s v="RECORD COUNT by MBR_ID, DOS_THRU_DT, DX_CD Grain grouped by PAYER, SRC_FILE_NM, DOS_THRU_YYYYMM"/>
  </r>
  <r>
    <x v="2"/>
    <s v="SGOKMRCY_PE202506_REMAO004.TXT"/>
    <x v="81"/>
    <x v="8"/>
    <n v="11"/>
    <n v="75394"/>
    <n v="0.01"/>
    <s v="DQS_MAO04_FILE_000_B"/>
    <s v="RECORD COUNT by MBR_ID, DOS_THRU_DT, DX_CD Grain grouped by PAYER, SRC_FILE_NM, DOS_THRU_YYYYMM"/>
  </r>
  <r>
    <x v="2"/>
    <s v="SGOKMRCY_PE202506_REMAO004.TXT"/>
    <x v="82"/>
    <x v="8"/>
    <n v="32"/>
    <n v="75394"/>
    <n v="0.04"/>
    <s v="DQS_MAO04_FILE_000_B"/>
    <s v="RECORD COUNT by MBR_ID, DOS_THRU_DT, DX_CD Grain grouped by PAYER, SRC_FILE_NM, DOS_THRU_YYYYMM"/>
  </r>
  <r>
    <x v="2"/>
    <s v="SGOKMRCY_PE202506_REMAO004.TXT"/>
    <x v="83"/>
    <x v="8"/>
    <n v="48"/>
    <n v="75394"/>
    <n v="0.06"/>
    <s v="DQS_MAO04_FILE_000_B"/>
    <s v="RECORD COUNT by MBR_ID, DOS_THRU_DT, DX_CD Grain grouped by PAYER, SRC_FILE_NM, DOS_THRU_YYYYMM"/>
  </r>
  <r>
    <x v="2"/>
    <s v="SGOKMRCY_PE202506_REMAO004.TXT"/>
    <x v="84"/>
    <x v="8"/>
    <n v="49"/>
    <n v="75394"/>
    <n v="0.06"/>
    <s v="DQS_MAO04_FILE_000_B"/>
    <s v="RECORD COUNT by MBR_ID, DOS_THRU_DT, DX_CD Grain grouped by PAYER, SRC_FILE_NM, DOS_THRU_YYYYMM"/>
  </r>
  <r>
    <x v="2"/>
    <s v="SGOKMRCY_PE202506_REMAO004.TXT"/>
    <x v="85"/>
    <x v="8"/>
    <n v="38"/>
    <n v="75394"/>
    <n v="0.05"/>
    <s v="DQS_MAO04_FILE_000_B"/>
    <s v="RECORD COUNT by MBR_ID, DOS_THRU_DT, DX_CD Grain grouped by PAYER, SRC_FILE_NM, DOS_THRU_YYYYMM"/>
  </r>
  <r>
    <x v="2"/>
    <s v="SGOKMRCY_PE202506_REMAO004.TXT"/>
    <x v="86"/>
    <x v="8"/>
    <n v="68"/>
    <n v="75394"/>
    <n v="0.09"/>
    <s v="DQS_MAO04_FILE_000_B"/>
    <s v="RECORD COUNT by MBR_ID, DOS_THRU_DT, DX_CD Grain grouped by PAYER, SRC_FILE_NM, DOS_THRU_YYYYMM"/>
  </r>
  <r>
    <x v="2"/>
    <s v="SGOKMRCY_PE202506_REMAO004.TXT"/>
    <x v="87"/>
    <x v="8"/>
    <n v="86"/>
    <n v="75394"/>
    <n v="0.11"/>
    <s v="DQS_MAO04_FILE_000_B"/>
    <s v="RECORD COUNT by MBR_ID, DOS_THRU_DT, DX_CD Grain grouped by PAYER, SRC_FILE_NM, DOS_THRU_YYYYMM"/>
  </r>
  <r>
    <x v="2"/>
    <s v="SGOKMRCY_PE202506_REMAO004.TXT"/>
    <x v="88"/>
    <x v="8"/>
    <n v="105"/>
    <n v="75394"/>
    <n v="0.14000000000000001"/>
    <s v="DQS_MAO04_FILE_000_B"/>
    <s v="RECORD COUNT by MBR_ID, DOS_THRU_DT, DX_CD Grain grouped by PAYER, SRC_FILE_NM, DOS_THRU_YYYYMM"/>
  </r>
  <r>
    <x v="2"/>
    <s v="SGOKMRCY_PE202506_REMAO004.TXT"/>
    <x v="89"/>
    <x v="9"/>
    <n v="228"/>
    <n v="75394"/>
    <n v="0.3"/>
    <s v="DQS_MAO04_FILE_000_B"/>
    <s v="RECORD COUNT by MBR_ID, DOS_THRU_DT, DX_CD Grain grouped by PAYER, SRC_FILE_NM, DOS_THRU_YYYYMM"/>
  </r>
  <r>
    <x v="2"/>
    <s v="SGOKMRCY_PE202506_REMAO004.TXT"/>
    <x v="97"/>
    <x v="9"/>
    <n v="168"/>
    <n v="75394"/>
    <n v="0.22"/>
    <s v="DQS_MAO04_FILE_000_B"/>
    <s v="RECORD COUNT by MBR_ID, DOS_THRU_DT, DX_CD Grain grouped by PAYER, SRC_FILE_NM, DOS_THRU_YYYYMM"/>
  </r>
  <r>
    <x v="2"/>
    <s v="SGOKMRCY_PE202506_REMAO004.TXT"/>
    <x v="98"/>
    <x v="9"/>
    <n v="186"/>
    <n v="75394"/>
    <n v="0.25"/>
    <s v="DQS_MAO04_FILE_000_B"/>
    <s v="RECORD COUNT by MBR_ID, DOS_THRU_DT, DX_CD Grain grouped by PAYER, SRC_FILE_NM, DOS_THRU_YYYYMM"/>
  </r>
  <r>
    <x v="2"/>
    <s v="SGOKMRCY_PE202506_REMAO004.TXT"/>
    <x v="99"/>
    <x v="9"/>
    <n v="222"/>
    <n v="75394"/>
    <n v="0.28999999999999998"/>
    <s v="DQS_MAO04_FILE_000_B"/>
    <s v="RECORD COUNT by MBR_ID, DOS_THRU_DT, DX_CD Grain grouped by PAYER, SRC_FILE_NM, DOS_THRU_YYYYMM"/>
  </r>
  <r>
    <x v="2"/>
    <s v="SGOKMRCY_PE202506_REMAO004.TXT"/>
    <x v="100"/>
    <x v="9"/>
    <n v="459"/>
    <n v="75394"/>
    <n v="0.61"/>
    <s v="DQS_MAO04_FILE_000_B"/>
    <s v="RECORD COUNT by MBR_ID, DOS_THRU_DT, DX_CD Grain grouped by PAYER, SRC_FILE_NM, DOS_THRU_YYYYMM"/>
  </r>
  <r>
    <x v="2"/>
    <s v="SGOKMRCY_PE202506_REMAO004.TXT"/>
    <x v="102"/>
    <x v="9"/>
    <n v="1086"/>
    <n v="75394"/>
    <n v="1.44"/>
    <s v="DQS_MAO04_FILE_000_B"/>
    <s v="RECORD COUNT by MBR_ID, DOS_THRU_DT, DX_CD Grain grouped by PAYER, SRC_FILE_NM, DOS_THRU_YYYYMM"/>
  </r>
  <r>
    <x v="2"/>
    <s v="SGOKMRCY_PE202506_REMAO004.TXT"/>
    <x v="103"/>
    <x v="9"/>
    <n v="683"/>
    <n v="75394"/>
    <n v="0.91"/>
    <s v="DQS_MAO04_FILE_000_B"/>
    <s v="RECORD COUNT by MBR_ID, DOS_THRU_DT, DX_CD Grain grouped by PAYER, SRC_FILE_NM, DOS_THRU_YYYYMM"/>
  </r>
  <r>
    <x v="2"/>
    <s v="SGOKMRCY_PE202506_REMAO004.TXT"/>
    <x v="105"/>
    <x v="9"/>
    <n v="512"/>
    <n v="75394"/>
    <n v="0.68"/>
    <s v="DQS_MAO04_FILE_000_B"/>
    <s v="RECORD COUNT by MBR_ID, DOS_THRU_DT, DX_CD Grain grouped by PAYER, SRC_FILE_NM, DOS_THRU_YYYYMM"/>
  </r>
  <r>
    <x v="2"/>
    <s v="SGOKMRCY_PE202506_REMAO004.TXT"/>
    <x v="106"/>
    <x v="9"/>
    <n v="653"/>
    <n v="75394"/>
    <n v="0.87"/>
    <s v="DQS_MAO04_FILE_000_B"/>
    <s v="RECORD COUNT by MBR_ID, DOS_THRU_DT, DX_CD Grain grouped by PAYER, SRC_FILE_NM, DOS_THRU_YYYYMM"/>
  </r>
  <r>
    <x v="2"/>
    <s v="SGOKMRCY_PE202506_REMAO004.TXT"/>
    <x v="107"/>
    <x v="9"/>
    <n v="879"/>
    <n v="75394"/>
    <n v="1.17"/>
    <s v="DQS_MAO04_FILE_000_B"/>
    <s v="RECORD COUNT by MBR_ID, DOS_THRU_DT, DX_CD Grain grouped by PAYER, SRC_FILE_NM, DOS_THRU_YYYYMM"/>
  </r>
  <r>
    <x v="2"/>
    <s v="SGOKMRCY_PE202506_REMAO004.TXT"/>
    <x v="108"/>
    <x v="9"/>
    <n v="579"/>
    <n v="75394"/>
    <n v="0.77"/>
    <s v="DQS_MAO04_FILE_000_B"/>
    <s v="RECORD COUNT by MBR_ID, DOS_THRU_DT, DX_CD Grain grouped by PAYER, SRC_FILE_NM, DOS_THRU_YYYYMM"/>
  </r>
  <r>
    <x v="2"/>
    <s v="SGOKMRCY_PE202506_REMAO004.TXT"/>
    <x v="109"/>
    <x v="9"/>
    <n v="990"/>
    <n v="75394"/>
    <n v="1.31"/>
    <s v="DQS_MAO04_FILE_000_B"/>
    <s v="RECORD COUNT by MBR_ID, DOS_THRU_DT, DX_CD Grain grouped by PAYER, SRC_FILE_NM, DOS_THRU_YYYYMM"/>
  </r>
  <r>
    <x v="2"/>
    <s v="SGOKMRCY_PE202506_REMAO004.TXT"/>
    <x v="110"/>
    <x v="11"/>
    <n v="3480"/>
    <n v="75394"/>
    <n v="4.62"/>
    <s v="DQS_MAO04_FILE_000_B"/>
    <s v="RECORD COUNT by MBR_ID, DOS_THRU_DT, DX_CD Grain grouped by PAYER, SRC_FILE_NM, DOS_THRU_YYYYMM"/>
  </r>
  <r>
    <x v="2"/>
    <s v="SGOKMRCY_PE202506_REMAO004.TXT"/>
    <x v="111"/>
    <x v="11"/>
    <n v="6089"/>
    <n v="75394"/>
    <n v="8.08"/>
    <s v="DQS_MAO04_FILE_000_B"/>
    <s v="RECORD COUNT by MBR_ID, DOS_THRU_DT, DX_CD Grain grouped by PAYER, SRC_FILE_NM, DOS_THRU_YYYYMM"/>
  </r>
  <r>
    <x v="2"/>
    <s v="SGOKMRCY_PE202506_REMAO004.TXT"/>
    <x v="112"/>
    <x v="11"/>
    <n v="36178"/>
    <n v="75394"/>
    <n v="47.99"/>
    <s v="DQS_MAO04_FILE_000_B"/>
    <s v="RECORD COUNT by MBR_ID, DOS_THRU_DT, DX_CD Grain grouped by PAYER, SRC_FILE_NM, DOS_THRU_YYYYMM"/>
  </r>
  <r>
    <x v="2"/>
    <s v="SGOKMRCY_PE202506_REMAO004.TXT"/>
    <x v="113"/>
    <x v="11"/>
    <n v="22531"/>
    <n v="75394"/>
    <n v="29.88"/>
    <s v="DQS_MAO04_FILE_000_B"/>
    <s v="RECORD COUNT by MBR_ID, DOS_THRU_DT, DX_CD Grain grouped by PAYER, SRC_FILE_NM, DOS_THRU_YYYYMM"/>
  </r>
  <r>
    <x v="2"/>
    <s v="SGOKMRCY_PE202507_REMAO004.TXT"/>
    <x v="47"/>
    <x v="5"/>
    <n v="1"/>
    <n v="95628"/>
    <n v="0"/>
    <s v="DQS_MAO04_FILE_000_B"/>
    <s v="RECORD COUNT by MBR_ID, DOS_THRU_DT, DX_CD Grain grouped by PAYER, SRC_FILE_NM, DOS_THRU_YYYYMM"/>
  </r>
  <r>
    <x v="2"/>
    <s v="SGOKMRCY_PE202507_REMAO004.TXT"/>
    <x v="68"/>
    <x v="7"/>
    <n v="2"/>
    <n v="95628"/>
    <n v="0"/>
    <s v="DQS_MAO04_FILE_000_B"/>
    <s v="RECORD COUNT by MBR_ID, DOS_THRU_DT, DX_CD Grain grouped by PAYER, SRC_FILE_NM, DOS_THRU_YYYYMM"/>
  </r>
  <r>
    <x v="2"/>
    <s v="SGOKMRCY_PE202507_REMAO004.TXT"/>
    <x v="69"/>
    <x v="7"/>
    <n v="6"/>
    <n v="95628"/>
    <n v="0.01"/>
    <s v="DQS_MAO04_FILE_000_B"/>
    <s v="RECORD COUNT by MBR_ID, DOS_THRU_DT, DX_CD Grain grouped by PAYER, SRC_FILE_NM, DOS_THRU_YYYYMM"/>
  </r>
  <r>
    <x v="2"/>
    <s v="SGOKMRCY_PE202507_REMAO004.TXT"/>
    <x v="77"/>
    <x v="8"/>
    <n v="2"/>
    <n v="95628"/>
    <n v="0"/>
    <s v="DQS_MAO04_FILE_000_B"/>
    <s v="RECORD COUNT by MBR_ID, DOS_THRU_DT, DX_CD Grain grouped by PAYER, SRC_FILE_NM, DOS_THRU_YYYYMM"/>
  </r>
  <r>
    <x v="2"/>
    <s v="SGOKMRCY_PE202507_REMAO004.TXT"/>
    <x v="78"/>
    <x v="8"/>
    <n v="4"/>
    <n v="95628"/>
    <n v="0"/>
    <s v="DQS_MAO04_FILE_000_B"/>
    <s v="RECORD COUNT by MBR_ID, DOS_THRU_DT, DX_CD Grain grouped by PAYER, SRC_FILE_NM, DOS_THRU_YYYYMM"/>
  </r>
  <r>
    <x v="2"/>
    <s v="SGOKMRCY_PE202507_REMAO004.TXT"/>
    <x v="80"/>
    <x v="8"/>
    <n v="2"/>
    <n v="95628"/>
    <n v="0"/>
    <s v="DQS_MAO04_FILE_000_B"/>
    <s v="RECORD COUNT by MBR_ID, DOS_THRU_DT, DX_CD Grain grouped by PAYER, SRC_FILE_NM, DOS_THRU_YYYYMM"/>
  </r>
  <r>
    <x v="2"/>
    <s v="SGOKMRCY_PE202507_REMAO004.TXT"/>
    <x v="81"/>
    <x v="8"/>
    <n v="7"/>
    <n v="95628"/>
    <n v="0.01"/>
    <s v="DQS_MAO04_FILE_000_B"/>
    <s v="RECORD COUNT by MBR_ID, DOS_THRU_DT, DX_CD Grain grouped by PAYER, SRC_FILE_NM, DOS_THRU_YYYYMM"/>
  </r>
  <r>
    <x v="2"/>
    <s v="SGOKMRCY_PE202507_REMAO004.TXT"/>
    <x v="82"/>
    <x v="8"/>
    <n v="4"/>
    <n v="95628"/>
    <n v="0"/>
    <s v="DQS_MAO04_FILE_000_B"/>
    <s v="RECORD COUNT by MBR_ID, DOS_THRU_DT, DX_CD Grain grouped by PAYER, SRC_FILE_NM, DOS_THRU_YYYYMM"/>
  </r>
  <r>
    <x v="2"/>
    <s v="SGOKMRCY_PE202507_REMAO004.TXT"/>
    <x v="83"/>
    <x v="8"/>
    <n v="34"/>
    <n v="95628"/>
    <n v="0.04"/>
    <s v="DQS_MAO04_FILE_000_B"/>
    <s v="RECORD COUNT by MBR_ID, DOS_THRU_DT, DX_CD Grain grouped by PAYER, SRC_FILE_NM, DOS_THRU_YYYYMM"/>
  </r>
  <r>
    <x v="2"/>
    <s v="SGOKMRCY_PE202507_REMAO004.TXT"/>
    <x v="84"/>
    <x v="8"/>
    <n v="97"/>
    <n v="95628"/>
    <n v="0.1"/>
    <s v="DQS_MAO04_FILE_000_B"/>
    <s v="RECORD COUNT by MBR_ID, DOS_THRU_DT, DX_CD Grain grouped by PAYER, SRC_FILE_NM, DOS_THRU_YYYYMM"/>
  </r>
  <r>
    <x v="2"/>
    <s v="SGOKMRCY_PE202507_REMAO004.TXT"/>
    <x v="85"/>
    <x v="8"/>
    <n v="27"/>
    <n v="95628"/>
    <n v="0.03"/>
    <s v="DQS_MAO04_FILE_000_B"/>
    <s v="RECORD COUNT by MBR_ID, DOS_THRU_DT, DX_CD Grain grouped by PAYER, SRC_FILE_NM, DOS_THRU_YYYYMM"/>
  </r>
  <r>
    <x v="2"/>
    <s v="SGOKMRCY_PE202507_REMAO004.TXT"/>
    <x v="86"/>
    <x v="8"/>
    <n v="24"/>
    <n v="95628"/>
    <n v="0.03"/>
    <s v="DQS_MAO04_FILE_000_B"/>
    <s v="RECORD COUNT by MBR_ID, DOS_THRU_DT, DX_CD Grain grouped by PAYER, SRC_FILE_NM, DOS_THRU_YYYYMM"/>
  </r>
  <r>
    <x v="2"/>
    <s v="SGOKMRCY_PE202507_REMAO004.TXT"/>
    <x v="87"/>
    <x v="8"/>
    <n v="24"/>
    <n v="95628"/>
    <n v="0.03"/>
    <s v="DQS_MAO04_FILE_000_B"/>
    <s v="RECORD COUNT by MBR_ID, DOS_THRU_DT, DX_CD Grain grouped by PAYER, SRC_FILE_NM, DOS_THRU_YYYYMM"/>
  </r>
  <r>
    <x v="2"/>
    <s v="SGOKMRCY_PE202507_REMAO004.TXT"/>
    <x v="88"/>
    <x v="8"/>
    <n v="70"/>
    <n v="95628"/>
    <n v="7.0000000000000007E-2"/>
    <s v="DQS_MAO04_FILE_000_B"/>
    <s v="RECORD COUNT by MBR_ID, DOS_THRU_DT, DX_CD Grain grouped by PAYER, SRC_FILE_NM, DOS_THRU_YYYYMM"/>
  </r>
  <r>
    <x v="2"/>
    <s v="SGOKMRCY_PE202507_REMAO004.TXT"/>
    <x v="89"/>
    <x v="9"/>
    <n v="156"/>
    <n v="95628"/>
    <n v="0.16"/>
    <s v="DQS_MAO04_FILE_000_B"/>
    <s v="RECORD COUNT by MBR_ID, DOS_THRU_DT, DX_CD Grain grouped by PAYER, SRC_FILE_NM, DOS_THRU_YYYYMM"/>
  </r>
  <r>
    <x v="2"/>
    <s v="SGOKMRCY_PE202507_REMAO004.TXT"/>
    <x v="97"/>
    <x v="9"/>
    <n v="285"/>
    <n v="95628"/>
    <n v="0.3"/>
    <s v="DQS_MAO04_FILE_000_B"/>
    <s v="RECORD COUNT by MBR_ID, DOS_THRU_DT, DX_CD Grain grouped by PAYER, SRC_FILE_NM, DOS_THRU_YYYYMM"/>
  </r>
  <r>
    <x v="2"/>
    <s v="SGOKMRCY_PE202507_REMAO004.TXT"/>
    <x v="98"/>
    <x v="9"/>
    <n v="400"/>
    <n v="95628"/>
    <n v="0.42"/>
    <s v="DQS_MAO04_FILE_000_B"/>
    <s v="RECORD COUNT by MBR_ID, DOS_THRU_DT, DX_CD Grain grouped by PAYER, SRC_FILE_NM, DOS_THRU_YYYYMM"/>
  </r>
  <r>
    <x v="2"/>
    <s v="SGOKMRCY_PE202507_REMAO004.TXT"/>
    <x v="99"/>
    <x v="9"/>
    <n v="283"/>
    <n v="95628"/>
    <n v="0.3"/>
    <s v="DQS_MAO04_FILE_000_B"/>
    <s v="RECORD COUNT by MBR_ID, DOS_THRU_DT, DX_CD Grain grouped by PAYER, SRC_FILE_NM, DOS_THRU_YYYYMM"/>
  </r>
  <r>
    <x v="2"/>
    <s v="SGOKMRCY_PE202507_REMAO004.TXT"/>
    <x v="100"/>
    <x v="9"/>
    <n v="706"/>
    <n v="95628"/>
    <n v="0.74"/>
    <s v="DQS_MAO04_FILE_000_B"/>
    <s v="RECORD COUNT by MBR_ID, DOS_THRU_DT, DX_CD Grain grouped by PAYER, SRC_FILE_NM, DOS_THRU_YYYYMM"/>
  </r>
  <r>
    <x v="2"/>
    <s v="SGOKMRCY_PE202507_REMAO004.TXT"/>
    <x v="102"/>
    <x v="9"/>
    <n v="740"/>
    <n v="95628"/>
    <n v="0.77"/>
    <s v="DQS_MAO04_FILE_000_B"/>
    <s v="RECORD COUNT by MBR_ID, DOS_THRU_DT, DX_CD Grain grouped by PAYER, SRC_FILE_NM, DOS_THRU_YYYYMM"/>
  </r>
  <r>
    <x v="2"/>
    <s v="SGOKMRCY_PE202507_REMAO004.TXT"/>
    <x v="103"/>
    <x v="9"/>
    <n v="869"/>
    <n v="95628"/>
    <n v="0.91"/>
    <s v="DQS_MAO04_FILE_000_B"/>
    <s v="RECORD COUNT by MBR_ID, DOS_THRU_DT, DX_CD Grain grouped by PAYER, SRC_FILE_NM, DOS_THRU_YYYYMM"/>
  </r>
  <r>
    <x v="2"/>
    <s v="SGOKMRCY_PE202507_REMAO004.TXT"/>
    <x v="105"/>
    <x v="9"/>
    <n v="808"/>
    <n v="95628"/>
    <n v="0.84"/>
    <s v="DQS_MAO04_FILE_000_B"/>
    <s v="RECORD COUNT by MBR_ID, DOS_THRU_DT, DX_CD Grain grouped by PAYER, SRC_FILE_NM, DOS_THRU_YYYYMM"/>
  </r>
  <r>
    <x v="2"/>
    <s v="SGOKMRCY_PE202507_REMAO004.TXT"/>
    <x v="106"/>
    <x v="9"/>
    <n v="584"/>
    <n v="95628"/>
    <n v="0.61"/>
    <s v="DQS_MAO04_FILE_000_B"/>
    <s v="RECORD COUNT by MBR_ID, DOS_THRU_DT, DX_CD Grain grouped by PAYER, SRC_FILE_NM, DOS_THRU_YYYYMM"/>
  </r>
  <r>
    <x v="2"/>
    <s v="SGOKMRCY_PE202507_REMAO004.TXT"/>
    <x v="107"/>
    <x v="9"/>
    <n v="1310"/>
    <n v="95628"/>
    <n v="1.37"/>
    <s v="DQS_MAO04_FILE_000_B"/>
    <s v="RECORD COUNT by MBR_ID, DOS_THRU_DT, DX_CD Grain grouped by PAYER, SRC_FILE_NM, DOS_THRU_YYYYMM"/>
  </r>
  <r>
    <x v="2"/>
    <s v="SGOKMRCY_PE202507_REMAO004.TXT"/>
    <x v="108"/>
    <x v="9"/>
    <n v="860"/>
    <n v="95628"/>
    <n v="0.9"/>
    <s v="DQS_MAO04_FILE_000_B"/>
    <s v="RECORD COUNT by MBR_ID, DOS_THRU_DT, DX_CD Grain grouped by PAYER, SRC_FILE_NM, DOS_THRU_YYYYMM"/>
  </r>
  <r>
    <x v="2"/>
    <s v="SGOKMRCY_PE202507_REMAO004.TXT"/>
    <x v="109"/>
    <x v="9"/>
    <n v="972"/>
    <n v="95628"/>
    <n v="1.02"/>
    <s v="DQS_MAO04_FILE_000_B"/>
    <s v="RECORD COUNT by MBR_ID, DOS_THRU_DT, DX_CD Grain grouped by PAYER, SRC_FILE_NM, DOS_THRU_YYYYMM"/>
  </r>
  <r>
    <x v="2"/>
    <s v="SGOKMRCY_PE202507_REMAO004.TXT"/>
    <x v="110"/>
    <x v="11"/>
    <n v="1578"/>
    <n v="95628"/>
    <n v="1.65"/>
    <s v="DQS_MAO04_FILE_000_B"/>
    <s v="RECORD COUNT by MBR_ID, DOS_THRU_DT, DX_CD Grain grouped by PAYER, SRC_FILE_NM, DOS_THRU_YYYYMM"/>
  </r>
  <r>
    <x v="2"/>
    <s v="SGOKMRCY_PE202507_REMAO004.TXT"/>
    <x v="111"/>
    <x v="11"/>
    <n v="2484"/>
    <n v="95628"/>
    <n v="2.6"/>
    <s v="DQS_MAO04_FILE_000_B"/>
    <s v="RECORD COUNT by MBR_ID, DOS_THRU_DT, DX_CD Grain grouped by PAYER, SRC_FILE_NM, DOS_THRU_YYYYMM"/>
  </r>
  <r>
    <x v="2"/>
    <s v="SGOKMRCY_PE202507_REMAO004.TXT"/>
    <x v="112"/>
    <x v="11"/>
    <n v="6380"/>
    <n v="95628"/>
    <n v="6.67"/>
    <s v="DQS_MAO04_FILE_000_B"/>
    <s v="RECORD COUNT by MBR_ID, DOS_THRU_DT, DX_CD Grain grouped by PAYER, SRC_FILE_NM, DOS_THRU_YYYYMM"/>
  </r>
  <r>
    <x v="2"/>
    <s v="SGOKMRCY_PE202507_REMAO004.TXT"/>
    <x v="113"/>
    <x v="11"/>
    <n v="46529"/>
    <n v="95628"/>
    <n v="48.66"/>
    <s v="DQS_MAO04_FILE_000_B"/>
    <s v="RECORD COUNT by MBR_ID, DOS_THRU_DT, DX_CD Grain grouped by PAYER, SRC_FILE_NM, DOS_THRU_YYYYMM"/>
  </r>
  <r>
    <x v="2"/>
    <s v="SGOKMRCY_PE202507_REMAO004.TXT"/>
    <x v="114"/>
    <x v="11"/>
    <n v="30380"/>
    <n v="95628"/>
    <n v="31.77"/>
    <s v="DQS_MAO04_FILE_000_B"/>
    <s v="RECORD COUNT by MBR_ID, DOS_THRU_DT, DX_CD Grain grouped by PAYER, SRC_FILE_NM, DOS_THRU_YYYYMM"/>
  </r>
  <r>
    <x v="2"/>
    <s v="SGOKMRCY_PE202508_REMAO004.TXT"/>
    <x v="55"/>
    <x v="6"/>
    <n v="1"/>
    <n v="79426"/>
    <n v="0"/>
    <s v="DQS_MAO04_FILE_000_B"/>
    <s v="RECORD COUNT by MBR_ID, DOS_THRU_DT, DX_CD Grain grouped by PAYER, SRC_FILE_NM, DOS_THRU_YYYYMM"/>
  </r>
  <r>
    <x v="2"/>
    <s v="SGOKMRCY_PE202508_REMAO004.TXT"/>
    <x v="65"/>
    <x v="7"/>
    <n v="12"/>
    <n v="79426"/>
    <n v="0.02"/>
    <s v="DQS_MAO04_FILE_000_B"/>
    <s v="RECORD COUNT by MBR_ID, DOS_THRU_DT, DX_CD Grain grouped by PAYER, SRC_FILE_NM, DOS_THRU_YYYYMM"/>
  </r>
  <r>
    <x v="2"/>
    <s v="SGOKMRCY_PE202508_REMAO004.TXT"/>
    <x v="66"/>
    <x v="7"/>
    <n v="13"/>
    <n v="79426"/>
    <n v="0.02"/>
    <s v="DQS_MAO04_FILE_000_B"/>
    <s v="RECORD COUNT by MBR_ID, DOS_THRU_DT, DX_CD Grain grouped by PAYER, SRC_FILE_NM, DOS_THRU_YYYYMM"/>
  </r>
  <r>
    <x v="2"/>
    <s v="SGOKMRCY_PE202508_REMAO004.TXT"/>
    <x v="68"/>
    <x v="7"/>
    <n v="3"/>
    <n v="79426"/>
    <n v="0"/>
    <s v="DQS_MAO04_FILE_000_B"/>
    <s v="RECORD COUNT by MBR_ID, DOS_THRU_DT, DX_CD Grain grouped by PAYER, SRC_FILE_NM, DOS_THRU_YYYYMM"/>
  </r>
  <r>
    <x v="2"/>
    <s v="SGOKMRCY_PE202508_REMAO004.TXT"/>
    <x v="69"/>
    <x v="7"/>
    <n v="4"/>
    <n v="79426"/>
    <n v="0.01"/>
    <s v="DQS_MAO04_FILE_000_B"/>
    <s v="RECORD COUNT by MBR_ID, DOS_THRU_DT, DX_CD Grain grouped by PAYER, SRC_FILE_NM, DOS_THRU_YYYYMM"/>
  </r>
  <r>
    <x v="2"/>
    <s v="SGOKMRCY_PE202508_REMAO004.TXT"/>
    <x v="70"/>
    <x v="7"/>
    <n v="1"/>
    <n v="79426"/>
    <n v="0"/>
    <s v="DQS_MAO04_FILE_000_B"/>
    <s v="RECORD COUNT by MBR_ID, DOS_THRU_DT, DX_CD Grain grouped by PAYER, SRC_FILE_NM, DOS_THRU_YYYYMM"/>
  </r>
  <r>
    <x v="2"/>
    <s v="SGOKMRCY_PE202508_REMAO004.TXT"/>
    <x v="71"/>
    <x v="7"/>
    <n v="2"/>
    <n v="79426"/>
    <n v="0"/>
    <s v="DQS_MAO04_FILE_000_B"/>
    <s v="RECORD COUNT by MBR_ID, DOS_THRU_DT, DX_CD Grain grouped by PAYER, SRC_FILE_NM, DOS_THRU_YYYYMM"/>
  </r>
  <r>
    <x v="2"/>
    <s v="SGOKMRCY_PE202508_REMAO004.TXT"/>
    <x v="72"/>
    <x v="7"/>
    <n v="17"/>
    <n v="79426"/>
    <n v="0.02"/>
    <s v="DQS_MAO04_FILE_000_B"/>
    <s v="RECORD COUNT by MBR_ID, DOS_THRU_DT, DX_CD Grain grouped by PAYER, SRC_FILE_NM, DOS_THRU_YYYYMM"/>
  </r>
  <r>
    <x v="2"/>
    <s v="SGOKMRCY_PE202508_REMAO004.TXT"/>
    <x v="73"/>
    <x v="7"/>
    <n v="4"/>
    <n v="79426"/>
    <n v="0.01"/>
    <s v="DQS_MAO04_FILE_000_B"/>
    <s v="RECORD COUNT by MBR_ID, DOS_THRU_DT, DX_CD Grain grouped by PAYER, SRC_FILE_NM, DOS_THRU_YYYYMM"/>
  </r>
  <r>
    <x v="2"/>
    <s v="SGOKMRCY_PE202508_REMAO004.TXT"/>
    <x v="74"/>
    <x v="7"/>
    <n v="12"/>
    <n v="79426"/>
    <n v="0.02"/>
    <s v="DQS_MAO04_FILE_000_B"/>
    <s v="RECORD COUNT by MBR_ID, DOS_THRU_DT, DX_CD Grain grouped by PAYER, SRC_FILE_NM, DOS_THRU_YYYYMM"/>
  </r>
  <r>
    <x v="2"/>
    <s v="SGOKMRCY_PE202508_REMAO004.TXT"/>
    <x v="75"/>
    <x v="7"/>
    <n v="21"/>
    <n v="79426"/>
    <n v="0.03"/>
    <s v="DQS_MAO04_FILE_000_B"/>
    <s v="RECORD COUNT by MBR_ID, DOS_THRU_DT, DX_CD Grain grouped by PAYER, SRC_FILE_NM, DOS_THRU_YYYYMM"/>
  </r>
  <r>
    <x v="2"/>
    <s v="SGOKMRCY_PE202508_REMAO004.TXT"/>
    <x v="76"/>
    <x v="7"/>
    <n v="34"/>
    <n v="79426"/>
    <n v="0.04"/>
    <s v="DQS_MAO04_FILE_000_B"/>
    <s v="RECORD COUNT by MBR_ID, DOS_THRU_DT, DX_CD Grain grouped by PAYER, SRC_FILE_NM, DOS_THRU_YYYYMM"/>
  </r>
  <r>
    <x v="2"/>
    <s v="SGOKMRCY_PE202508_REMAO004.TXT"/>
    <x v="77"/>
    <x v="8"/>
    <n v="1"/>
    <n v="79426"/>
    <n v="0"/>
    <s v="DQS_MAO04_FILE_000_B"/>
    <s v="RECORD COUNT by MBR_ID, DOS_THRU_DT, DX_CD Grain grouped by PAYER, SRC_FILE_NM, DOS_THRU_YYYYMM"/>
  </r>
  <r>
    <x v="2"/>
    <s v="SGOKMRCY_PE202508_REMAO004.TXT"/>
    <x v="78"/>
    <x v="8"/>
    <n v="9"/>
    <n v="79426"/>
    <n v="0.01"/>
    <s v="DQS_MAO04_FILE_000_B"/>
    <s v="RECORD COUNT by MBR_ID, DOS_THRU_DT, DX_CD Grain grouped by PAYER, SRC_FILE_NM, DOS_THRU_YYYYMM"/>
  </r>
  <r>
    <x v="2"/>
    <s v="SGOKMRCY_PE202508_REMAO004.TXT"/>
    <x v="79"/>
    <x v="8"/>
    <n v="17"/>
    <n v="79426"/>
    <n v="0.02"/>
    <s v="DQS_MAO04_FILE_000_B"/>
    <s v="RECORD COUNT by MBR_ID, DOS_THRU_DT, DX_CD Grain grouped by PAYER, SRC_FILE_NM, DOS_THRU_YYYYMM"/>
  </r>
  <r>
    <x v="2"/>
    <s v="SGOKMRCY_PE202508_REMAO004.TXT"/>
    <x v="80"/>
    <x v="8"/>
    <n v="14"/>
    <n v="79426"/>
    <n v="0.02"/>
    <s v="DQS_MAO04_FILE_000_B"/>
    <s v="RECORD COUNT by MBR_ID, DOS_THRU_DT, DX_CD Grain grouped by PAYER, SRC_FILE_NM, DOS_THRU_YYYYMM"/>
  </r>
  <r>
    <x v="2"/>
    <s v="SGOKMRCY_PE202508_REMAO004.TXT"/>
    <x v="81"/>
    <x v="8"/>
    <n v="9"/>
    <n v="79426"/>
    <n v="0.01"/>
    <s v="DQS_MAO04_FILE_000_B"/>
    <s v="RECORD COUNT by MBR_ID, DOS_THRU_DT, DX_CD Grain grouped by PAYER, SRC_FILE_NM, DOS_THRU_YYYYMM"/>
  </r>
  <r>
    <x v="2"/>
    <s v="SGOKMRCY_PE202508_REMAO004.TXT"/>
    <x v="82"/>
    <x v="8"/>
    <n v="26"/>
    <n v="79426"/>
    <n v="0.03"/>
    <s v="DQS_MAO04_FILE_000_B"/>
    <s v="RECORD COUNT by MBR_ID, DOS_THRU_DT, DX_CD Grain grouped by PAYER, SRC_FILE_NM, DOS_THRU_YYYYMM"/>
  </r>
  <r>
    <x v="2"/>
    <s v="SGOKMRCY_PE202508_REMAO004.TXT"/>
    <x v="83"/>
    <x v="8"/>
    <n v="27"/>
    <n v="79426"/>
    <n v="0.03"/>
    <s v="DQS_MAO04_FILE_000_B"/>
    <s v="RECORD COUNT by MBR_ID, DOS_THRU_DT, DX_CD Grain grouped by PAYER, SRC_FILE_NM, DOS_THRU_YYYYMM"/>
  </r>
  <r>
    <x v="2"/>
    <s v="SGOKMRCY_PE202508_REMAO004.TXT"/>
    <x v="84"/>
    <x v="8"/>
    <n v="34"/>
    <n v="79426"/>
    <n v="0.04"/>
    <s v="DQS_MAO04_FILE_000_B"/>
    <s v="RECORD COUNT by MBR_ID, DOS_THRU_DT, DX_CD Grain grouped by PAYER, SRC_FILE_NM, DOS_THRU_YYYYMM"/>
  </r>
  <r>
    <x v="2"/>
    <s v="SGOKMRCY_PE202508_REMAO004.TXT"/>
    <x v="85"/>
    <x v="8"/>
    <n v="5"/>
    <n v="79426"/>
    <n v="0.01"/>
    <s v="DQS_MAO04_FILE_000_B"/>
    <s v="RECORD COUNT by MBR_ID, DOS_THRU_DT, DX_CD Grain grouped by PAYER, SRC_FILE_NM, DOS_THRU_YYYYMM"/>
  </r>
  <r>
    <x v="2"/>
    <s v="SGOKMRCY_PE202508_REMAO004.TXT"/>
    <x v="86"/>
    <x v="8"/>
    <n v="69"/>
    <n v="79426"/>
    <n v="0.09"/>
    <s v="DQS_MAO04_FILE_000_B"/>
    <s v="RECORD COUNT by MBR_ID, DOS_THRU_DT, DX_CD Grain grouped by PAYER, SRC_FILE_NM, DOS_THRU_YYYYMM"/>
  </r>
  <r>
    <x v="2"/>
    <s v="SGOKMRCY_PE202508_REMAO004.TXT"/>
    <x v="87"/>
    <x v="8"/>
    <n v="33"/>
    <n v="79426"/>
    <n v="0.04"/>
    <s v="DQS_MAO04_FILE_000_B"/>
    <s v="RECORD COUNT by MBR_ID, DOS_THRU_DT, DX_CD Grain grouped by PAYER, SRC_FILE_NM, DOS_THRU_YYYYMM"/>
  </r>
  <r>
    <x v="2"/>
    <s v="SGOKMRCY_PE202508_REMAO004.TXT"/>
    <x v="88"/>
    <x v="8"/>
    <n v="75"/>
    <n v="79426"/>
    <n v="0.09"/>
    <s v="DQS_MAO04_FILE_000_B"/>
    <s v="RECORD COUNT by MBR_ID, DOS_THRU_DT, DX_CD Grain grouped by PAYER, SRC_FILE_NM, DOS_THRU_YYYYMM"/>
  </r>
  <r>
    <x v="2"/>
    <s v="SGOKMRCY_PE202508_REMAO004.TXT"/>
    <x v="89"/>
    <x v="9"/>
    <n v="113"/>
    <n v="79426"/>
    <n v="0.14000000000000001"/>
    <s v="DQS_MAO04_FILE_000_B"/>
    <s v="RECORD COUNT by MBR_ID, DOS_THRU_DT, DX_CD Grain grouped by PAYER, SRC_FILE_NM, DOS_THRU_YYYYMM"/>
  </r>
  <r>
    <x v="2"/>
    <s v="SGOKMRCY_PE202508_REMAO004.TXT"/>
    <x v="97"/>
    <x v="9"/>
    <n v="106"/>
    <n v="79426"/>
    <n v="0.13"/>
    <s v="DQS_MAO04_FILE_000_B"/>
    <s v="RECORD COUNT by MBR_ID, DOS_THRU_DT, DX_CD Grain grouped by PAYER, SRC_FILE_NM, DOS_THRU_YYYYMM"/>
  </r>
  <r>
    <x v="2"/>
    <s v="SGOKMRCY_PE202508_REMAO004.TXT"/>
    <x v="98"/>
    <x v="9"/>
    <n v="56"/>
    <n v="79426"/>
    <n v="7.0000000000000007E-2"/>
    <s v="DQS_MAO04_FILE_000_B"/>
    <s v="RECORD COUNT by MBR_ID, DOS_THRU_DT, DX_CD Grain grouped by PAYER, SRC_FILE_NM, DOS_THRU_YYYYMM"/>
  </r>
  <r>
    <x v="2"/>
    <s v="SGOKMRCY_PE202508_REMAO004.TXT"/>
    <x v="99"/>
    <x v="9"/>
    <n v="166"/>
    <n v="79426"/>
    <n v="0.21"/>
    <s v="DQS_MAO04_FILE_000_B"/>
    <s v="RECORD COUNT by MBR_ID, DOS_THRU_DT, DX_CD Grain grouped by PAYER, SRC_FILE_NM, DOS_THRU_YYYYMM"/>
  </r>
  <r>
    <x v="2"/>
    <s v="SGOKMRCY_PE202508_REMAO004.TXT"/>
    <x v="100"/>
    <x v="9"/>
    <n v="253"/>
    <n v="79426"/>
    <n v="0.32"/>
    <s v="DQS_MAO04_FILE_000_B"/>
    <s v="RECORD COUNT by MBR_ID, DOS_THRU_DT, DX_CD Grain grouped by PAYER, SRC_FILE_NM, DOS_THRU_YYYYMM"/>
  </r>
  <r>
    <x v="2"/>
    <s v="SGOKMRCY_PE202508_REMAO004.TXT"/>
    <x v="102"/>
    <x v="9"/>
    <n v="252"/>
    <n v="79426"/>
    <n v="0.32"/>
    <s v="DQS_MAO04_FILE_000_B"/>
    <s v="RECORD COUNT by MBR_ID, DOS_THRU_DT, DX_CD Grain grouped by PAYER, SRC_FILE_NM, DOS_THRU_YYYYMM"/>
  </r>
  <r>
    <x v="2"/>
    <s v="SGOKMRCY_PE202508_REMAO004.TXT"/>
    <x v="103"/>
    <x v="9"/>
    <n v="284"/>
    <n v="79426"/>
    <n v="0.36"/>
    <s v="DQS_MAO04_FILE_000_B"/>
    <s v="RECORD COUNT by MBR_ID, DOS_THRU_DT, DX_CD Grain grouped by PAYER, SRC_FILE_NM, DOS_THRU_YYYYMM"/>
  </r>
  <r>
    <x v="2"/>
    <s v="SGOKMRCY_PE202508_REMAO004.TXT"/>
    <x v="105"/>
    <x v="9"/>
    <n v="620"/>
    <n v="79426"/>
    <n v="0.78"/>
    <s v="DQS_MAO04_FILE_000_B"/>
    <s v="RECORD COUNT by MBR_ID, DOS_THRU_DT, DX_CD Grain grouped by PAYER, SRC_FILE_NM, DOS_THRU_YYYYMM"/>
  </r>
  <r>
    <x v="2"/>
    <s v="SGOKMRCY_PE202508_REMAO004.TXT"/>
    <x v="106"/>
    <x v="9"/>
    <n v="648"/>
    <n v="79426"/>
    <n v="0.82"/>
    <s v="DQS_MAO04_FILE_000_B"/>
    <s v="RECORD COUNT by MBR_ID, DOS_THRU_DT, DX_CD Grain grouped by PAYER, SRC_FILE_NM, DOS_THRU_YYYYMM"/>
  </r>
  <r>
    <x v="2"/>
    <s v="SGOKMRCY_PE202508_REMAO004.TXT"/>
    <x v="107"/>
    <x v="9"/>
    <n v="926"/>
    <n v="79426"/>
    <n v="1.17"/>
    <s v="DQS_MAO04_FILE_000_B"/>
    <s v="RECORD COUNT by MBR_ID, DOS_THRU_DT, DX_CD Grain grouped by PAYER, SRC_FILE_NM, DOS_THRU_YYYYMM"/>
  </r>
  <r>
    <x v="2"/>
    <s v="SGOKMRCY_PE202508_REMAO004.TXT"/>
    <x v="108"/>
    <x v="9"/>
    <n v="748"/>
    <n v="79426"/>
    <n v="0.94"/>
    <s v="DQS_MAO04_FILE_000_B"/>
    <s v="RECORD COUNT by MBR_ID, DOS_THRU_DT, DX_CD Grain grouped by PAYER, SRC_FILE_NM, DOS_THRU_YYYYMM"/>
  </r>
  <r>
    <x v="2"/>
    <s v="SGOKMRCY_PE202508_REMAO004.TXT"/>
    <x v="109"/>
    <x v="9"/>
    <n v="907"/>
    <n v="79426"/>
    <n v="1.1399999999999999"/>
    <s v="DQS_MAO04_FILE_000_B"/>
    <s v="RECORD COUNT by MBR_ID, DOS_THRU_DT, DX_CD Grain grouped by PAYER, SRC_FILE_NM, DOS_THRU_YYYYMM"/>
  </r>
  <r>
    <x v="2"/>
    <s v="SGOKMRCY_PE202508_REMAO004.TXT"/>
    <x v="110"/>
    <x v="11"/>
    <n v="1409"/>
    <n v="79426"/>
    <n v="1.77"/>
    <s v="DQS_MAO04_FILE_000_B"/>
    <s v="RECORD COUNT by MBR_ID, DOS_THRU_DT, DX_CD Grain grouped by PAYER, SRC_FILE_NM, DOS_THRU_YYYYMM"/>
  </r>
  <r>
    <x v="2"/>
    <s v="SGOKMRCY_PE202508_REMAO004.TXT"/>
    <x v="111"/>
    <x v="11"/>
    <n v="1314"/>
    <n v="79426"/>
    <n v="1.65"/>
    <s v="DQS_MAO04_FILE_000_B"/>
    <s v="RECORD COUNT by MBR_ID, DOS_THRU_DT, DX_CD Grain grouped by PAYER, SRC_FILE_NM, DOS_THRU_YYYYMM"/>
  </r>
  <r>
    <x v="2"/>
    <s v="SGOKMRCY_PE202508_REMAO004.TXT"/>
    <x v="112"/>
    <x v="11"/>
    <n v="2282"/>
    <n v="79426"/>
    <n v="2.87"/>
    <s v="DQS_MAO04_FILE_000_B"/>
    <s v="RECORD COUNT by MBR_ID, DOS_THRU_DT, DX_CD Grain grouped by PAYER, SRC_FILE_NM, DOS_THRU_YYYYMM"/>
  </r>
  <r>
    <x v="2"/>
    <s v="SGOKMRCY_PE202508_REMAO004.TXT"/>
    <x v="113"/>
    <x v="11"/>
    <n v="5729"/>
    <n v="79426"/>
    <n v="7.21"/>
    <s v="DQS_MAO04_FILE_000_B"/>
    <s v="RECORD COUNT by MBR_ID, DOS_THRU_DT, DX_CD Grain grouped by PAYER, SRC_FILE_NM, DOS_THRU_YYYYMM"/>
  </r>
  <r>
    <x v="2"/>
    <s v="SGOKMRCY_PE202508_REMAO004.TXT"/>
    <x v="114"/>
    <x v="11"/>
    <n v="35107"/>
    <n v="79426"/>
    <n v="44.2"/>
    <s v="DQS_MAO04_FILE_000_B"/>
    <s v="RECORD COUNT by MBR_ID, DOS_THRU_DT, DX_CD Grain grouped by PAYER, SRC_FILE_NM, DOS_THRU_YYYYMM"/>
  </r>
  <r>
    <x v="2"/>
    <s v="SGOKMRCY_PE202508_REMAO004.TXT"/>
    <x v="115"/>
    <x v="11"/>
    <n v="28063"/>
    <n v="79426"/>
    <n v="35.33"/>
    <s v="DQS_MAO04_FILE_000_B"/>
    <s v="RECORD COUNT by MBR_ID, DOS_THRU_DT, DX_CD Grain grouped by PAYER, SRC_FILE_NM, DOS_THRU_YYYYMM"/>
  </r>
  <r>
    <x v="2"/>
    <s v="SGOKMRCY_PE202509_REMAO004.TXT"/>
    <x v="77"/>
    <x v="8"/>
    <n v="5"/>
    <n v="75890"/>
    <n v="0.01"/>
    <s v="DQS_MAO04_FILE_000_B"/>
    <s v="RECORD COUNT by MBR_ID, DOS_THRU_DT, DX_CD Grain grouped by PAYER, SRC_FILE_NM, DOS_THRU_YYYYMM"/>
  </r>
  <r>
    <x v="2"/>
    <s v="SGOKMRCY_PE202509_REMAO004.TXT"/>
    <x v="78"/>
    <x v="8"/>
    <n v="2"/>
    <n v="75890"/>
    <n v="0"/>
    <s v="DQS_MAO04_FILE_000_B"/>
    <s v="RECORD COUNT by MBR_ID, DOS_THRU_DT, DX_CD Grain grouped by PAYER, SRC_FILE_NM, DOS_THRU_YYYYMM"/>
  </r>
  <r>
    <x v="2"/>
    <s v="SGOKMRCY_PE202509_REMAO004.TXT"/>
    <x v="80"/>
    <x v="8"/>
    <n v="18"/>
    <n v="75890"/>
    <n v="0.02"/>
    <s v="DQS_MAO04_FILE_000_B"/>
    <s v="RECORD COUNT by MBR_ID, DOS_THRU_DT, DX_CD Grain grouped by PAYER, SRC_FILE_NM, DOS_THRU_YYYYMM"/>
  </r>
  <r>
    <x v="2"/>
    <s v="SGOKMRCY_PE202509_REMAO004.TXT"/>
    <x v="81"/>
    <x v="8"/>
    <n v="11"/>
    <n v="75890"/>
    <n v="0.01"/>
    <s v="DQS_MAO04_FILE_000_B"/>
    <s v="RECORD COUNT by MBR_ID, DOS_THRU_DT, DX_CD Grain grouped by PAYER, SRC_FILE_NM, DOS_THRU_YYYYMM"/>
  </r>
  <r>
    <x v="2"/>
    <s v="SGOKMRCY_PE202509_REMAO004.TXT"/>
    <x v="82"/>
    <x v="8"/>
    <n v="27"/>
    <n v="75890"/>
    <n v="0.04"/>
    <s v="DQS_MAO04_FILE_000_B"/>
    <s v="RECORD COUNT by MBR_ID, DOS_THRU_DT, DX_CD Grain grouped by PAYER, SRC_FILE_NM, DOS_THRU_YYYYMM"/>
  </r>
  <r>
    <x v="2"/>
    <s v="SGOKMRCY_PE202509_REMAO004.TXT"/>
    <x v="83"/>
    <x v="8"/>
    <n v="41"/>
    <n v="75890"/>
    <n v="0.05"/>
    <s v="DQS_MAO04_FILE_000_B"/>
    <s v="RECORD COUNT by MBR_ID, DOS_THRU_DT, DX_CD Grain grouped by PAYER, SRC_FILE_NM, DOS_THRU_YYYYMM"/>
  </r>
  <r>
    <x v="2"/>
    <s v="SGOKMRCY_PE202509_REMAO004.TXT"/>
    <x v="84"/>
    <x v="8"/>
    <n v="27"/>
    <n v="75890"/>
    <n v="0.04"/>
    <s v="DQS_MAO04_FILE_000_B"/>
    <s v="RECORD COUNT by MBR_ID, DOS_THRU_DT, DX_CD Grain grouped by PAYER, SRC_FILE_NM, DOS_THRU_YYYYMM"/>
  </r>
  <r>
    <x v="2"/>
    <s v="SGOKMRCY_PE202509_REMAO004.TXT"/>
    <x v="85"/>
    <x v="8"/>
    <n v="54"/>
    <n v="75890"/>
    <n v="7.0000000000000007E-2"/>
    <s v="DQS_MAO04_FILE_000_B"/>
    <s v="RECORD COUNT by MBR_ID, DOS_THRU_DT, DX_CD Grain grouped by PAYER, SRC_FILE_NM, DOS_THRU_YYYYMM"/>
  </r>
  <r>
    <x v="2"/>
    <s v="SGOKMRCY_PE202509_REMAO004.TXT"/>
    <x v="86"/>
    <x v="8"/>
    <n v="29"/>
    <n v="75890"/>
    <n v="0.04"/>
    <s v="DQS_MAO04_FILE_000_B"/>
    <s v="RECORD COUNT by MBR_ID, DOS_THRU_DT, DX_CD Grain grouped by PAYER, SRC_FILE_NM, DOS_THRU_YYYYMM"/>
  </r>
  <r>
    <x v="2"/>
    <s v="SGOKMRCY_PE202509_REMAO004.TXT"/>
    <x v="87"/>
    <x v="8"/>
    <n v="26"/>
    <n v="75890"/>
    <n v="0.03"/>
    <s v="DQS_MAO04_FILE_000_B"/>
    <s v="RECORD COUNT by MBR_ID, DOS_THRU_DT, DX_CD Grain grouped by PAYER, SRC_FILE_NM, DOS_THRU_YYYYMM"/>
  </r>
  <r>
    <x v="2"/>
    <s v="SGOKMRCY_PE202509_REMAO004.TXT"/>
    <x v="88"/>
    <x v="8"/>
    <n v="29"/>
    <n v="75890"/>
    <n v="0.04"/>
    <s v="DQS_MAO04_FILE_000_B"/>
    <s v="RECORD COUNT by MBR_ID, DOS_THRU_DT, DX_CD Grain grouped by PAYER, SRC_FILE_NM, DOS_THRU_YYYYMM"/>
  </r>
  <r>
    <x v="2"/>
    <s v="SGOKMRCY_PE202509_REMAO004.TXT"/>
    <x v="89"/>
    <x v="9"/>
    <n v="38"/>
    <n v="75890"/>
    <n v="0.05"/>
    <s v="DQS_MAO04_FILE_000_B"/>
    <s v="RECORD COUNT by MBR_ID, DOS_THRU_DT, DX_CD Grain grouped by PAYER, SRC_FILE_NM, DOS_THRU_YYYYMM"/>
  </r>
  <r>
    <x v="2"/>
    <s v="SGOKMRCY_PE202509_REMAO004.TXT"/>
    <x v="97"/>
    <x v="9"/>
    <n v="24"/>
    <n v="75890"/>
    <n v="0.03"/>
    <s v="DQS_MAO04_FILE_000_B"/>
    <s v="RECORD COUNT by MBR_ID, DOS_THRU_DT, DX_CD Grain grouped by PAYER, SRC_FILE_NM, DOS_THRU_YYYYMM"/>
  </r>
  <r>
    <x v="2"/>
    <s v="SGOKMRCY_PE202509_REMAO004.TXT"/>
    <x v="98"/>
    <x v="9"/>
    <n v="73"/>
    <n v="75890"/>
    <n v="0.1"/>
    <s v="DQS_MAO04_FILE_000_B"/>
    <s v="RECORD COUNT by MBR_ID, DOS_THRU_DT, DX_CD Grain grouped by PAYER, SRC_FILE_NM, DOS_THRU_YYYYMM"/>
  </r>
  <r>
    <x v="2"/>
    <s v="SGOKMRCY_PE202509_REMAO004.TXT"/>
    <x v="99"/>
    <x v="9"/>
    <n v="159"/>
    <n v="75890"/>
    <n v="0.21"/>
    <s v="DQS_MAO04_FILE_000_B"/>
    <s v="RECORD COUNT by MBR_ID, DOS_THRU_DT, DX_CD Grain grouped by PAYER, SRC_FILE_NM, DOS_THRU_YYYYMM"/>
  </r>
  <r>
    <x v="2"/>
    <s v="SGOKMRCY_PE202509_REMAO004.TXT"/>
    <x v="100"/>
    <x v="9"/>
    <n v="221"/>
    <n v="75890"/>
    <n v="0.28999999999999998"/>
    <s v="DQS_MAO04_FILE_000_B"/>
    <s v="RECORD COUNT by MBR_ID, DOS_THRU_DT, DX_CD Grain grouped by PAYER, SRC_FILE_NM, DOS_THRU_YYYYMM"/>
  </r>
  <r>
    <x v="2"/>
    <s v="SGOKMRCY_PE202509_REMAO004.TXT"/>
    <x v="102"/>
    <x v="9"/>
    <n v="208"/>
    <n v="75890"/>
    <n v="0.27"/>
    <s v="DQS_MAO04_FILE_000_B"/>
    <s v="RECORD COUNT by MBR_ID, DOS_THRU_DT, DX_CD Grain grouped by PAYER, SRC_FILE_NM, DOS_THRU_YYYYMM"/>
  </r>
  <r>
    <x v="2"/>
    <s v="SGOKMRCY_PE202509_REMAO004.TXT"/>
    <x v="103"/>
    <x v="9"/>
    <n v="274"/>
    <n v="75890"/>
    <n v="0.36"/>
    <s v="DQS_MAO04_FILE_000_B"/>
    <s v="RECORD COUNT by MBR_ID, DOS_THRU_DT, DX_CD Grain grouped by PAYER, SRC_FILE_NM, DOS_THRU_YYYYMM"/>
  </r>
  <r>
    <x v="2"/>
    <s v="SGOKMRCY_PE202509_REMAO004.TXT"/>
    <x v="105"/>
    <x v="9"/>
    <n v="364"/>
    <n v="75890"/>
    <n v="0.48"/>
    <s v="DQS_MAO04_FILE_000_B"/>
    <s v="RECORD COUNT by MBR_ID, DOS_THRU_DT, DX_CD Grain grouped by PAYER, SRC_FILE_NM, DOS_THRU_YYYYMM"/>
  </r>
  <r>
    <x v="2"/>
    <s v="SGOKMRCY_PE202509_REMAO004.TXT"/>
    <x v="106"/>
    <x v="9"/>
    <n v="439"/>
    <n v="75890"/>
    <n v="0.57999999999999996"/>
    <s v="DQS_MAO04_FILE_000_B"/>
    <s v="RECORD COUNT by MBR_ID, DOS_THRU_DT, DX_CD Grain grouped by PAYER, SRC_FILE_NM, DOS_THRU_YYYYMM"/>
  </r>
  <r>
    <x v="2"/>
    <s v="SGOKMRCY_PE202509_REMAO004.TXT"/>
    <x v="107"/>
    <x v="9"/>
    <n v="630"/>
    <n v="75890"/>
    <n v="0.83"/>
    <s v="DQS_MAO04_FILE_000_B"/>
    <s v="RECORD COUNT by MBR_ID, DOS_THRU_DT, DX_CD Grain grouped by PAYER, SRC_FILE_NM, DOS_THRU_YYYYMM"/>
  </r>
  <r>
    <x v="2"/>
    <s v="SGOKMRCY_PE202509_REMAO004.TXT"/>
    <x v="108"/>
    <x v="9"/>
    <n v="453"/>
    <n v="75890"/>
    <n v="0.6"/>
    <s v="DQS_MAO04_FILE_000_B"/>
    <s v="RECORD COUNT by MBR_ID, DOS_THRU_DT, DX_CD Grain grouped by PAYER, SRC_FILE_NM, DOS_THRU_YYYYMM"/>
  </r>
  <r>
    <x v="2"/>
    <s v="SGOKMRCY_PE202509_REMAO004.TXT"/>
    <x v="109"/>
    <x v="9"/>
    <n v="726"/>
    <n v="75890"/>
    <n v="0.96"/>
    <s v="DQS_MAO04_FILE_000_B"/>
    <s v="RECORD COUNT by MBR_ID, DOS_THRU_DT, DX_CD Grain grouped by PAYER, SRC_FILE_NM, DOS_THRU_YYYYMM"/>
  </r>
  <r>
    <x v="2"/>
    <s v="SGOKMRCY_PE202509_REMAO004.TXT"/>
    <x v="110"/>
    <x v="11"/>
    <n v="983"/>
    <n v="75890"/>
    <n v="1.3"/>
    <s v="DQS_MAO04_FILE_000_B"/>
    <s v="RECORD COUNT by MBR_ID, DOS_THRU_DT, DX_CD Grain grouped by PAYER, SRC_FILE_NM, DOS_THRU_YYYYMM"/>
  </r>
  <r>
    <x v="2"/>
    <s v="SGOKMRCY_PE202509_REMAO004.TXT"/>
    <x v="111"/>
    <x v="11"/>
    <n v="1146"/>
    <n v="75890"/>
    <n v="1.51"/>
    <s v="DQS_MAO04_FILE_000_B"/>
    <s v="RECORD COUNT by MBR_ID, DOS_THRU_DT, DX_CD Grain grouped by PAYER, SRC_FILE_NM, DOS_THRU_YYYYMM"/>
  </r>
  <r>
    <x v="2"/>
    <s v="SGOKMRCY_PE202509_REMAO004.TXT"/>
    <x v="112"/>
    <x v="11"/>
    <n v="1718"/>
    <n v="75890"/>
    <n v="2.2599999999999998"/>
    <s v="DQS_MAO04_FILE_000_B"/>
    <s v="RECORD COUNT by MBR_ID, DOS_THRU_DT, DX_CD Grain grouped by PAYER, SRC_FILE_NM, DOS_THRU_YYYYMM"/>
  </r>
  <r>
    <x v="2"/>
    <s v="SGOKMRCY_PE202509_REMAO004.TXT"/>
    <x v="113"/>
    <x v="11"/>
    <n v="2397"/>
    <n v="75890"/>
    <n v="3.16"/>
    <s v="DQS_MAO04_FILE_000_B"/>
    <s v="RECORD COUNT by MBR_ID, DOS_THRU_DT, DX_CD Grain grouped by PAYER, SRC_FILE_NM, DOS_THRU_YYYYMM"/>
  </r>
  <r>
    <x v="2"/>
    <s v="SGOKMRCY_PE202509_REMAO004.TXT"/>
    <x v="114"/>
    <x v="11"/>
    <n v="4551"/>
    <n v="75890"/>
    <n v="6"/>
    <s v="DQS_MAO04_FILE_000_B"/>
    <s v="RECORD COUNT by MBR_ID, DOS_THRU_DT, DX_CD Grain grouped by PAYER, SRC_FILE_NM, DOS_THRU_YYYYMM"/>
  </r>
  <r>
    <x v="2"/>
    <s v="SGOKMRCY_PE202509_REMAO004.TXT"/>
    <x v="115"/>
    <x v="11"/>
    <n v="33196"/>
    <n v="75890"/>
    <n v="43.74"/>
    <s v="DQS_MAO04_FILE_000_B"/>
    <s v="RECORD COUNT by MBR_ID, DOS_THRU_DT, DX_CD Grain grouped by PAYER, SRC_FILE_NM, DOS_THRU_YYYYMM"/>
  </r>
  <r>
    <x v="2"/>
    <s v="SGOKMRCY_PE202509_REMAO004.TXT"/>
    <x v="116"/>
    <x v="11"/>
    <n v="28021"/>
    <n v="75890"/>
    <n v="36.92"/>
    <s v="DQS_MAO04_FILE_000_B"/>
    <s v="RECORD COUNT by MBR_ID, DOS_THRU_DT, DX_CD Grain grouped by PAYER, SRC_FILE_NM, DOS_THRU_YYYYMM"/>
  </r>
  <r>
    <x v="2"/>
    <s v="SGOKMRCY_PE202510_REMAO004.TXT"/>
    <x v="73"/>
    <x v="7"/>
    <n v="4"/>
    <n v="76749"/>
    <n v="0.01"/>
    <s v="DQS_MAO04_FILE_000_B"/>
    <s v="RECORD COUNT by MBR_ID, DOS_THRU_DT, DX_CD Grain grouped by PAYER, SRC_FILE_NM, DOS_THRU_YYYYMM"/>
  </r>
  <r>
    <x v="2"/>
    <s v="SGOKMRCY_PE202510_REMAO004.TXT"/>
    <x v="75"/>
    <x v="7"/>
    <n v="1"/>
    <n v="76749"/>
    <n v="0"/>
    <s v="DQS_MAO04_FILE_000_B"/>
    <s v="RECORD COUNT by MBR_ID, DOS_THRU_DT, DX_CD Grain grouped by PAYER, SRC_FILE_NM, DOS_THRU_YYYYMM"/>
  </r>
  <r>
    <x v="2"/>
    <s v="SGOKMRCY_PE202510_REMAO004.TXT"/>
    <x v="76"/>
    <x v="7"/>
    <n v="3"/>
    <n v="76749"/>
    <n v="0"/>
    <s v="DQS_MAO04_FILE_000_B"/>
    <s v="RECORD COUNT by MBR_ID, DOS_THRU_DT, DX_CD Grain grouped by PAYER, SRC_FILE_NM, DOS_THRU_YYYYMM"/>
  </r>
  <r>
    <x v="2"/>
    <s v="SGOKMRCY_PE202510_REMAO004.TXT"/>
    <x v="79"/>
    <x v="8"/>
    <n v="34"/>
    <n v="76749"/>
    <n v="0.04"/>
    <s v="DQS_MAO04_FILE_000_B"/>
    <s v="RECORD COUNT by MBR_ID, DOS_THRU_DT, DX_CD Grain grouped by PAYER, SRC_FILE_NM, DOS_THRU_YYYYMM"/>
  </r>
  <r>
    <x v="2"/>
    <s v="SGOKMRCY_PE202510_REMAO004.TXT"/>
    <x v="82"/>
    <x v="8"/>
    <n v="1"/>
    <n v="76749"/>
    <n v="0"/>
    <s v="DQS_MAO04_FILE_000_B"/>
    <s v="RECORD COUNT by MBR_ID, DOS_THRU_DT, DX_CD Grain grouped by PAYER, SRC_FILE_NM, DOS_THRU_YYYYMM"/>
  </r>
  <r>
    <x v="2"/>
    <s v="SGOKMRCY_PE202510_REMAO004.TXT"/>
    <x v="84"/>
    <x v="8"/>
    <n v="9"/>
    <n v="76749"/>
    <n v="0.01"/>
    <s v="DQS_MAO04_FILE_000_B"/>
    <s v="RECORD COUNT by MBR_ID, DOS_THRU_DT, DX_CD Grain grouped by PAYER, SRC_FILE_NM, DOS_THRU_YYYYMM"/>
  </r>
  <r>
    <x v="2"/>
    <s v="SGOKMRCY_PE202510_REMAO004.TXT"/>
    <x v="85"/>
    <x v="8"/>
    <n v="1"/>
    <n v="76749"/>
    <n v="0"/>
    <s v="DQS_MAO04_FILE_000_B"/>
    <s v="RECORD COUNT by MBR_ID, DOS_THRU_DT, DX_CD Grain grouped by PAYER, SRC_FILE_NM, DOS_THRU_YYYYMM"/>
  </r>
  <r>
    <x v="2"/>
    <s v="SGOKMRCY_PE202510_REMAO004.TXT"/>
    <x v="86"/>
    <x v="8"/>
    <n v="34"/>
    <n v="76749"/>
    <n v="0.04"/>
    <s v="DQS_MAO04_FILE_000_B"/>
    <s v="RECORD COUNT by MBR_ID, DOS_THRU_DT, DX_CD Grain grouped by PAYER, SRC_FILE_NM, DOS_THRU_YYYYMM"/>
  </r>
  <r>
    <x v="2"/>
    <s v="SGOKMRCY_PE202510_REMAO004.TXT"/>
    <x v="88"/>
    <x v="8"/>
    <n v="3"/>
    <n v="76749"/>
    <n v="0"/>
    <s v="DQS_MAO04_FILE_000_B"/>
    <s v="RECORD COUNT by MBR_ID, DOS_THRU_DT, DX_CD Grain grouped by PAYER, SRC_FILE_NM, DOS_THRU_YYYYMM"/>
  </r>
  <r>
    <x v="2"/>
    <s v="SGOKMRCY_PE202510_REMAO004.TXT"/>
    <x v="89"/>
    <x v="9"/>
    <n v="126"/>
    <n v="76749"/>
    <n v="0.16"/>
    <s v="DQS_MAO04_FILE_000_B"/>
    <s v="RECORD COUNT by MBR_ID, DOS_THRU_DT, DX_CD Grain grouped by PAYER, SRC_FILE_NM, DOS_THRU_YYYYMM"/>
  </r>
  <r>
    <x v="2"/>
    <s v="SGOKMRCY_PE202510_REMAO004.TXT"/>
    <x v="97"/>
    <x v="9"/>
    <n v="122"/>
    <n v="76749"/>
    <n v="0.16"/>
    <s v="DQS_MAO04_FILE_000_B"/>
    <s v="RECORD COUNT by MBR_ID, DOS_THRU_DT, DX_CD Grain grouped by PAYER, SRC_FILE_NM, DOS_THRU_YYYYMM"/>
  </r>
  <r>
    <x v="2"/>
    <s v="SGOKMRCY_PE202510_REMAO004.TXT"/>
    <x v="98"/>
    <x v="9"/>
    <n v="141"/>
    <n v="76749"/>
    <n v="0.18"/>
    <s v="DQS_MAO04_FILE_000_B"/>
    <s v="RECORD COUNT by MBR_ID, DOS_THRU_DT, DX_CD Grain grouped by PAYER, SRC_FILE_NM, DOS_THRU_YYYYMM"/>
  </r>
  <r>
    <x v="2"/>
    <s v="SGOKMRCY_PE202510_REMAO004.TXT"/>
    <x v="99"/>
    <x v="9"/>
    <n v="170"/>
    <n v="76749"/>
    <n v="0.22"/>
    <s v="DQS_MAO04_FILE_000_B"/>
    <s v="RECORD COUNT by MBR_ID, DOS_THRU_DT, DX_CD Grain grouped by PAYER, SRC_FILE_NM, DOS_THRU_YYYYMM"/>
  </r>
  <r>
    <x v="2"/>
    <s v="SGOKMRCY_PE202510_REMAO004.TXT"/>
    <x v="100"/>
    <x v="9"/>
    <n v="246"/>
    <n v="76749"/>
    <n v="0.32"/>
    <s v="DQS_MAO04_FILE_000_B"/>
    <s v="RECORD COUNT by MBR_ID, DOS_THRU_DT, DX_CD Grain grouped by PAYER, SRC_FILE_NM, DOS_THRU_YYYYMM"/>
  </r>
  <r>
    <x v="2"/>
    <s v="SGOKMRCY_PE202510_REMAO004.TXT"/>
    <x v="102"/>
    <x v="9"/>
    <n v="453"/>
    <n v="76749"/>
    <n v="0.59"/>
    <s v="DQS_MAO04_FILE_000_B"/>
    <s v="RECORD COUNT by MBR_ID, DOS_THRU_DT, DX_CD Grain grouped by PAYER, SRC_FILE_NM, DOS_THRU_YYYYMM"/>
  </r>
  <r>
    <x v="2"/>
    <s v="SGOKMRCY_PE202510_REMAO004.TXT"/>
    <x v="103"/>
    <x v="9"/>
    <n v="355"/>
    <n v="76749"/>
    <n v="0.46"/>
    <s v="DQS_MAO04_FILE_000_B"/>
    <s v="RECORD COUNT by MBR_ID, DOS_THRU_DT, DX_CD Grain grouped by PAYER, SRC_FILE_NM, DOS_THRU_YYYYMM"/>
  </r>
  <r>
    <x v="2"/>
    <s v="SGOKMRCY_PE202510_REMAO004.TXT"/>
    <x v="105"/>
    <x v="9"/>
    <n v="378"/>
    <n v="76749"/>
    <n v="0.49"/>
    <s v="DQS_MAO04_FILE_000_B"/>
    <s v="RECORD COUNT by MBR_ID, DOS_THRU_DT, DX_CD Grain grouped by PAYER, SRC_FILE_NM, DOS_THRU_YYYYMM"/>
  </r>
  <r>
    <x v="2"/>
    <s v="SGOKMRCY_PE202510_REMAO004.TXT"/>
    <x v="106"/>
    <x v="9"/>
    <n v="351"/>
    <n v="76749"/>
    <n v="0.46"/>
    <s v="DQS_MAO04_FILE_000_B"/>
    <s v="RECORD COUNT by MBR_ID, DOS_THRU_DT, DX_CD Grain grouped by PAYER, SRC_FILE_NM, DOS_THRU_YYYYMM"/>
  </r>
  <r>
    <x v="2"/>
    <s v="SGOKMRCY_PE202510_REMAO004.TXT"/>
    <x v="107"/>
    <x v="9"/>
    <n v="484"/>
    <n v="76749"/>
    <n v="0.63"/>
    <s v="DQS_MAO04_FILE_000_B"/>
    <s v="RECORD COUNT by MBR_ID, DOS_THRU_DT, DX_CD Grain grouped by PAYER, SRC_FILE_NM, DOS_THRU_YYYYMM"/>
  </r>
  <r>
    <x v="2"/>
    <s v="SGOKMRCY_PE202510_REMAO004.TXT"/>
    <x v="108"/>
    <x v="9"/>
    <n v="748"/>
    <n v="76749"/>
    <n v="0.97"/>
    <s v="DQS_MAO04_FILE_000_B"/>
    <s v="RECORD COUNT by MBR_ID, DOS_THRU_DT, DX_CD Grain grouped by PAYER, SRC_FILE_NM, DOS_THRU_YYYYMM"/>
  </r>
  <r>
    <x v="2"/>
    <s v="SGOKMRCY_PE202510_REMAO004.TXT"/>
    <x v="109"/>
    <x v="9"/>
    <n v="1746"/>
    <n v="76749"/>
    <n v="2.27"/>
    <s v="DQS_MAO04_FILE_000_B"/>
    <s v="RECORD COUNT by MBR_ID, DOS_THRU_DT, DX_CD Grain grouped by PAYER, SRC_FILE_NM, DOS_THRU_YYYYMM"/>
  </r>
  <r>
    <x v="2"/>
    <s v="SGOKMRCY_PE202510_REMAO004.TXT"/>
    <x v="110"/>
    <x v="11"/>
    <n v="944"/>
    <n v="76749"/>
    <n v="1.23"/>
    <s v="DQS_MAO04_FILE_000_B"/>
    <s v="RECORD COUNT by MBR_ID, DOS_THRU_DT, DX_CD Grain grouped by PAYER, SRC_FILE_NM, DOS_THRU_YYYYMM"/>
  </r>
  <r>
    <x v="2"/>
    <s v="SGOKMRCY_PE202510_REMAO004.TXT"/>
    <x v="111"/>
    <x v="11"/>
    <n v="656"/>
    <n v="76749"/>
    <n v="0.85"/>
    <s v="DQS_MAO04_FILE_000_B"/>
    <s v="RECORD COUNT by MBR_ID, DOS_THRU_DT, DX_CD Grain grouped by PAYER, SRC_FILE_NM, DOS_THRU_YYYYMM"/>
  </r>
  <r>
    <x v="2"/>
    <s v="SGOKMRCY_PE202510_REMAO004.TXT"/>
    <x v="112"/>
    <x v="11"/>
    <n v="854"/>
    <n v="76749"/>
    <n v="1.1100000000000001"/>
    <s v="DQS_MAO04_FILE_000_B"/>
    <s v="RECORD COUNT by MBR_ID, DOS_THRU_DT, DX_CD Grain grouped by PAYER, SRC_FILE_NM, DOS_THRU_YYYYMM"/>
  </r>
  <r>
    <x v="2"/>
    <s v="SGOKMRCY_PE202510_REMAO004.TXT"/>
    <x v="113"/>
    <x v="11"/>
    <n v="1431"/>
    <n v="76749"/>
    <n v="1.86"/>
    <s v="DQS_MAO04_FILE_000_B"/>
    <s v="RECORD COUNT by MBR_ID, DOS_THRU_DT, DX_CD Grain grouped by PAYER, SRC_FILE_NM, DOS_THRU_YYYYMM"/>
  </r>
  <r>
    <x v="2"/>
    <s v="SGOKMRCY_PE202510_REMAO004.TXT"/>
    <x v="114"/>
    <x v="11"/>
    <n v="1640"/>
    <n v="76749"/>
    <n v="2.14"/>
    <s v="DQS_MAO04_FILE_000_B"/>
    <s v="RECORD COUNT by MBR_ID, DOS_THRU_DT, DX_CD Grain grouped by PAYER, SRC_FILE_NM, DOS_THRU_YYYYMM"/>
  </r>
  <r>
    <x v="2"/>
    <s v="SGOKMRCY_PE202510_REMAO004.TXT"/>
    <x v="115"/>
    <x v="11"/>
    <n v="4457"/>
    <n v="76749"/>
    <n v="5.81"/>
    <s v="DQS_MAO04_FILE_000_B"/>
    <s v="RECORD COUNT by MBR_ID, DOS_THRU_DT, DX_CD Grain grouped by PAYER, SRC_FILE_NM, DOS_THRU_YYYYMM"/>
  </r>
  <r>
    <x v="2"/>
    <s v="SGOKMRCY_PE202510_REMAO004.TXT"/>
    <x v="116"/>
    <x v="11"/>
    <n v="36973"/>
    <n v="76749"/>
    <n v="48.17"/>
    <s v="DQS_MAO04_FILE_000_B"/>
    <s v="RECORD COUNT by MBR_ID, DOS_THRU_DT, DX_CD Grain grouped by PAYER, SRC_FILE_NM, DOS_THRU_YYYYMM"/>
  </r>
  <r>
    <x v="2"/>
    <s v="SGOKMRCY_PE202510_REMAO004.TXT"/>
    <x v="117"/>
    <x v="11"/>
    <n v="24384"/>
    <n v="76749"/>
    <n v="31.77"/>
    <s v="DQS_MAO04_FILE_000_B"/>
    <s v="RECORD COUNT by MBR_ID, DOS_THRU_DT, DX_CD Grain grouped by PAYER, SRC_FILE_NM, DOS_THRU_YYYYMM"/>
  </r>
  <r>
    <x v="2"/>
    <s v="SGOKMRCY_PE202511_REMAO004.TXT"/>
    <x v="73"/>
    <x v="7"/>
    <n v="1"/>
    <n v="81747"/>
    <n v="0"/>
    <s v="DQS_MAO04_FILE_000_B"/>
    <s v="RECORD COUNT by MBR_ID, DOS_THRU_DT, DX_CD Grain grouped by PAYER, SRC_FILE_NM, DOS_THRU_YYYYMM"/>
  </r>
  <r>
    <x v="2"/>
    <s v="SGOKMRCY_PE202511_REMAO004.TXT"/>
    <x v="77"/>
    <x v="8"/>
    <n v="6"/>
    <n v="81747"/>
    <n v="0.01"/>
    <s v="DQS_MAO04_FILE_000_B"/>
    <s v="RECORD COUNT by MBR_ID, DOS_THRU_DT, DX_CD Grain grouped by PAYER, SRC_FILE_NM, DOS_THRU_YYYYMM"/>
  </r>
  <r>
    <x v="2"/>
    <s v="SGOKMRCY_PE202511_REMAO004.TXT"/>
    <x v="78"/>
    <x v="8"/>
    <n v="6"/>
    <n v="81747"/>
    <n v="0.01"/>
    <s v="DQS_MAO04_FILE_000_B"/>
    <s v="RECORD COUNT by MBR_ID, DOS_THRU_DT, DX_CD Grain grouped by PAYER, SRC_FILE_NM, DOS_THRU_YYYYMM"/>
  </r>
  <r>
    <x v="2"/>
    <s v="SGOKMRCY_PE202511_REMAO004.TXT"/>
    <x v="79"/>
    <x v="8"/>
    <n v="23"/>
    <n v="81747"/>
    <n v="0.03"/>
    <s v="DQS_MAO04_FILE_000_B"/>
    <s v="RECORD COUNT by MBR_ID, DOS_THRU_DT, DX_CD Grain grouped by PAYER, SRC_FILE_NM, DOS_THRU_YYYYMM"/>
  </r>
  <r>
    <x v="2"/>
    <s v="SGOKMRCY_PE202511_REMAO004.TXT"/>
    <x v="87"/>
    <x v="8"/>
    <n v="16"/>
    <n v="81747"/>
    <n v="0.02"/>
    <s v="DQS_MAO04_FILE_000_B"/>
    <s v="RECORD COUNT by MBR_ID, DOS_THRU_DT, DX_CD Grain grouped by PAYER, SRC_FILE_NM, DOS_THRU_YYYYMM"/>
  </r>
  <r>
    <x v="2"/>
    <s v="SGOKMRCY_PE202511_REMAO004.TXT"/>
    <x v="88"/>
    <x v="8"/>
    <n v="10"/>
    <n v="81747"/>
    <n v="0.01"/>
    <s v="DQS_MAO04_FILE_000_B"/>
    <s v="RECORD COUNT by MBR_ID, DOS_THRU_DT, DX_CD Grain grouped by PAYER, SRC_FILE_NM, DOS_THRU_YYYYMM"/>
  </r>
  <r>
    <x v="2"/>
    <s v="SGOKMRCY_PE202511_REMAO004.TXT"/>
    <x v="89"/>
    <x v="9"/>
    <n v="135"/>
    <n v="81747"/>
    <n v="0.17"/>
    <s v="DQS_MAO04_FILE_000_B"/>
    <s v="RECORD COUNT by MBR_ID, DOS_THRU_DT, DX_CD Grain grouped by PAYER, SRC_FILE_NM, DOS_THRU_YYYYMM"/>
  </r>
  <r>
    <x v="2"/>
    <s v="SGOKMRCY_PE202511_REMAO004.TXT"/>
    <x v="97"/>
    <x v="9"/>
    <n v="212"/>
    <n v="81747"/>
    <n v="0.26"/>
    <s v="DQS_MAO04_FILE_000_B"/>
    <s v="RECORD COUNT by MBR_ID, DOS_THRU_DT, DX_CD Grain grouped by PAYER, SRC_FILE_NM, DOS_THRU_YYYYMM"/>
  </r>
  <r>
    <x v="2"/>
    <s v="SGOKMRCY_PE202511_REMAO004.TXT"/>
    <x v="98"/>
    <x v="9"/>
    <n v="132"/>
    <n v="81747"/>
    <n v="0.16"/>
    <s v="DQS_MAO04_FILE_000_B"/>
    <s v="RECORD COUNT by MBR_ID, DOS_THRU_DT, DX_CD Grain grouped by PAYER, SRC_FILE_NM, DOS_THRU_YYYYMM"/>
  </r>
  <r>
    <x v="2"/>
    <s v="SGOKMRCY_PE202511_REMAO004.TXT"/>
    <x v="99"/>
    <x v="9"/>
    <n v="203"/>
    <n v="81747"/>
    <n v="0.25"/>
    <s v="DQS_MAO04_FILE_000_B"/>
    <s v="RECORD COUNT by MBR_ID, DOS_THRU_DT, DX_CD Grain grouped by PAYER, SRC_FILE_NM, DOS_THRU_YYYYMM"/>
  </r>
  <r>
    <x v="2"/>
    <s v="SGOKMRCY_PE202511_REMAO004.TXT"/>
    <x v="100"/>
    <x v="9"/>
    <n v="112"/>
    <n v="81747"/>
    <n v="0.14000000000000001"/>
    <s v="DQS_MAO04_FILE_000_B"/>
    <s v="RECORD COUNT by MBR_ID, DOS_THRU_DT, DX_CD Grain grouped by PAYER, SRC_FILE_NM, DOS_THRU_YYYYMM"/>
  </r>
  <r>
    <x v="2"/>
    <s v="SGOKMRCY_PE202511_REMAO004.TXT"/>
    <x v="102"/>
    <x v="9"/>
    <n v="207"/>
    <n v="81747"/>
    <n v="0.25"/>
    <s v="DQS_MAO04_FILE_000_B"/>
    <s v="RECORD COUNT by MBR_ID, DOS_THRU_DT, DX_CD Grain grouped by PAYER, SRC_FILE_NM, DOS_THRU_YYYYMM"/>
  </r>
  <r>
    <x v="2"/>
    <s v="SGOKMRCY_PE202511_REMAO004.TXT"/>
    <x v="103"/>
    <x v="9"/>
    <n v="303"/>
    <n v="81747"/>
    <n v="0.37"/>
    <s v="DQS_MAO04_FILE_000_B"/>
    <s v="RECORD COUNT by MBR_ID, DOS_THRU_DT, DX_CD Grain grouped by PAYER, SRC_FILE_NM, DOS_THRU_YYYYMM"/>
  </r>
  <r>
    <x v="2"/>
    <s v="SGOKMRCY_PE202511_REMAO004.TXT"/>
    <x v="105"/>
    <x v="9"/>
    <n v="298"/>
    <n v="81747"/>
    <n v="0.36"/>
    <s v="DQS_MAO04_FILE_000_B"/>
    <s v="RECORD COUNT by MBR_ID, DOS_THRU_DT, DX_CD Grain grouped by PAYER, SRC_FILE_NM, DOS_THRU_YYYYMM"/>
  </r>
  <r>
    <x v="2"/>
    <s v="SGOKMRCY_PE202511_REMAO004.TXT"/>
    <x v="106"/>
    <x v="9"/>
    <n v="254"/>
    <n v="81747"/>
    <n v="0.31"/>
    <s v="DQS_MAO04_FILE_000_B"/>
    <s v="RECORD COUNT by MBR_ID, DOS_THRU_DT, DX_CD Grain grouped by PAYER, SRC_FILE_NM, DOS_THRU_YYYYMM"/>
  </r>
  <r>
    <x v="2"/>
    <s v="SGOKMRCY_PE202511_REMAO004.TXT"/>
    <x v="107"/>
    <x v="9"/>
    <n v="791"/>
    <n v="81747"/>
    <n v="0.97"/>
    <s v="DQS_MAO04_FILE_000_B"/>
    <s v="RECORD COUNT by MBR_ID, DOS_THRU_DT, DX_CD Grain grouped by PAYER, SRC_FILE_NM, DOS_THRU_YYYYMM"/>
  </r>
  <r>
    <x v="2"/>
    <s v="SGOKMRCY_PE202511_REMAO004.TXT"/>
    <x v="108"/>
    <x v="9"/>
    <n v="617"/>
    <n v="81747"/>
    <n v="0.75"/>
    <s v="DQS_MAO04_FILE_000_B"/>
    <s v="RECORD COUNT by MBR_ID, DOS_THRU_DT, DX_CD Grain grouped by PAYER, SRC_FILE_NM, DOS_THRU_YYYYMM"/>
  </r>
  <r>
    <x v="2"/>
    <s v="SGOKMRCY_PE202511_REMAO004.TXT"/>
    <x v="109"/>
    <x v="9"/>
    <n v="1988"/>
    <n v="81747"/>
    <n v="2.4300000000000002"/>
    <s v="DQS_MAO04_FILE_000_B"/>
    <s v="RECORD COUNT by MBR_ID, DOS_THRU_DT, DX_CD Grain grouped by PAYER, SRC_FILE_NM, DOS_THRU_YYYYMM"/>
  </r>
  <r>
    <x v="2"/>
    <s v="SGOKMRCY_PE202511_REMAO004.TXT"/>
    <x v="110"/>
    <x v="11"/>
    <n v="1167"/>
    <n v="81747"/>
    <n v="1.43"/>
    <s v="DQS_MAO04_FILE_000_B"/>
    <s v="RECORD COUNT by MBR_ID, DOS_THRU_DT, DX_CD Grain grouped by PAYER, SRC_FILE_NM, DOS_THRU_YYYYMM"/>
  </r>
  <r>
    <x v="2"/>
    <s v="SGOKMRCY_PE202511_REMAO004.TXT"/>
    <x v="111"/>
    <x v="11"/>
    <n v="1783"/>
    <n v="81747"/>
    <n v="2.1800000000000002"/>
    <s v="DQS_MAO04_FILE_000_B"/>
    <s v="RECORD COUNT by MBR_ID, DOS_THRU_DT, DX_CD Grain grouped by PAYER, SRC_FILE_NM, DOS_THRU_YYYYMM"/>
  </r>
  <r>
    <x v="2"/>
    <s v="SGOKMRCY_PE202511_REMAO004.TXT"/>
    <x v="112"/>
    <x v="11"/>
    <n v="1423"/>
    <n v="81747"/>
    <n v="1.74"/>
    <s v="DQS_MAO04_FILE_000_B"/>
    <s v="RECORD COUNT by MBR_ID, DOS_THRU_DT, DX_CD Grain grouped by PAYER, SRC_FILE_NM, DOS_THRU_YYYYMM"/>
  </r>
  <r>
    <x v="2"/>
    <s v="SGOKMRCY_PE202511_REMAO004.TXT"/>
    <x v="113"/>
    <x v="11"/>
    <n v="1546"/>
    <n v="81747"/>
    <n v="1.89"/>
    <s v="DQS_MAO04_FILE_000_B"/>
    <s v="RECORD COUNT by MBR_ID, DOS_THRU_DT, DX_CD Grain grouped by PAYER, SRC_FILE_NM, DOS_THRU_YYYYMM"/>
  </r>
  <r>
    <x v="2"/>
    <s v="SGOKMRCY_PE202511_REMAO004.TXT"/>
    <x v="114"/>
    <x v="11"/>
    <n v="1657"/>
    <n v="81747"/>
    <n v="2.0299999999999998"/>
    <s v="DQS_MAO04_FILE_000_B"/>
    <s v="RECORD COUNT by MBR_ID, DOS_THRU_DT, DX_CD Grain grouped by PAYER, SRC_FILE_NM, DOS_THRU_YYYYMM"/>
  </r>
  <r>
    <x v="2"/>
    <s v="SGOKMRCY_PE202511_REMAO004.TXT"/>
    <x v="115"/>
    <x v="11"/>
    <n v="2632"/>
    <n v="81747"/>
    <n v="3.22"/>
    <s v="DQS_MAO04_FILE_000_B"/>
    <s v="RECORD COUNT by MBR_ID, DOS_THRU_DT, DX_CD Grain grouped by PAYER, SRC_FILE_NM, DOS_THRU_YYYYMM"/>
  </r>
  <r>
    <x v="2"/>
    <s v="SGOKMRCY_PE202511_REMAO004.TXT"/>
    <x v="116"/>
    <x v="11"/>
    <n v="6647"/>
    <n v="81747"/>
    <n v="8.1300000000000008"/>
    <s v="DQS_MAO04_FILE_000_B"/>
    <s v="RECORD COUNT by MBR_ID, DOS_THRU_DT, DX_CD Grain grouped by PAYER, SRC_FILE_NM, DOS_THRU_YYYYMM"/>
  </r>
  <r>
    <x v="2"/>
    <s v="SGOKMRCY_PE202511_REMAO004.TXT"/>
    <x v="117"/>
    <x v="11"/>
    <n v="34026"/>
    <n v="81747"/>
    <n v="41.62"/>
    <s v="DQS_MAO04_FILE_000_B"/>
    <s v="RECORD COUNT by MBR_ID, DOS_THRU_DT, DX_CD Grain grouped by PAYER, SRC_FILE_NM, DOS_THRU_YYYYMM"/>
  </r>
  <r>
    <x v="2"/>
    <s v="SGOKMRCY_PE202511_REMAO004.TXT"/>
    <x v="118"/>
    <x v="11"/>
    <n v="25552"/>
    <n v="81747"/>
    <n v="31.26"/>
    <s v="DQS_MAO04_FILE_000_B"/>
    <s v="RECORD COUNT by MBR_ID, DOS_THRU_DT, DX_CD Grain grouped by PAYER, SRC_FILE_NM, DOS_THRU_YYYYMM"/>
  </r>
  <r>
    <x v="2"/>
    <s v="SGOKMRCY_PE202512_REMAO004.TXT"/>
    <x v="65"/>
    <x v="7"/>
    <n v="2"/>
    <n v="111109"/>
    <n v="0"/>
    <s v="DQS_MAO04_FILE_000_B"/>
    <s v="RECORD COUNT by MBR_ID, DOS_THRU_DT, DX_CD Grain grouped by PAYER, SRC_FILE_NM, DOS_THRU_YYYYMM"/>
  </r>
  <r>
    <x v="2"/>
    <s v="SGOKMRCY_PE202512_REMAO004.TXT"/>
    <x v="70"/>
    <x v="7"/>
    <n v="2"/>
    <n v="111109"/>
    <n v="0"/>
    <s v="DQS_MAO04_FILE_000_B"/>
    <s v="RECORD COUNT by MBR_ID, DOS_THRU_DT, DX_CD Grain grouped by PAYER, SRC_FILE_NM, DOS_THRU_YYYYMM"/>
  </r>
  <r>
    <x v="2"/>
    <s v="SGOKMRCY_PE202512_REMAO004.TXT"/>
    <x v="71"/>
    <x v="7"/>
    <n v="26"/>
    <n v="111109"/>
    <n v="0.02"/>
    <s v="DQS_MAO04_FILE_000_B"/>
    <s v="RECORD COUNT by MBR_ID, DOS_THRU_DT, DX_CD Grain grouped by PAYER, SRC_FILE_NM, DOS_THRU_YYYYMM"/>
  </r>
  <r>
    <x v="2"/>
    <s v="SGOKMRCY_PE202512_REMAO004.TXT"/>
    <x v="72"/>
    <x v="7"/>
    <n v="1"/>
    <n v="111109"/>
    <n v="0"/>
    <s v="DQS_MAO04_FILE_000_B"/>
    <s v="RECORD COUNT by MBR_ID, DOS_THRU_DT, DX_CD Grain grouped by PAYER, SRC_FILE_NM, DOS_THRU_YYYYMM"/>
  </r>
  <r>
    <x v="2"/>
    <s v="SGOKMRCY_PE202512_REMAO004.TXT"/>
    <x v="75"/>
    <x v="7"/>
    <n v="1"/>
    <n v="111109"/>
    <n v="0"/>
    <s v="DQS_MAO04_FILE_000_B"/>
    <s v="RECORD COUNT by MBR_ID, DOS_THRU_DT, DX_CD Grain grouped by PAYER, SRC_FILE_NM, DOS_THRU_YYYYMM"/>
  </r>
  <r>
    <x v="2"/>
    <s v="SGOKMRCY_PE202512_REMAO004.TXT"/>
    <x v="79"/>
    <x v="8"/>
    <n v="5"/>
    <n v="111109"/>
    <n v="0"/>
    <s v="DQS_MAO04_FILE_000_B"/>
    <s v="RECORD COUNT by MBR_ID, DOS_THRU_DT, DX_CD Grain grouped by PAYER, SRC_FILE_NM, DOS_THRU_YYYYMM"/>
  </r>
  <r>
    <x v="2"/>
    <s v="SGOKMRCY_PE202512_REMAO004.TXT"/>
    <x v="82"/>
    <x v="8"/>
    <n v="1"/>
    <n v="111109"/>
    <n v="0"/>
    <s v="DQS_MAO04_FILE_000_B"/>
    <s v="RECORD COUNT by MBR_ID, DOS_THRU_DT, DX_CD Grain grouped by PAYER, SRC_FILE_NM, DOS_THRU_YYYYMM"/>
  </r>
  <r>
    <x v="2"/>
    <s v="SGOKMRCY_PE202512_REMAO004.TXT"/>
    <x v="83"/>
    <x v="8"/>
    <n v="6"/>
    <n v="111109"/>
    <n v="0.01"/>
    <s v="DQS_MAO04_FILE_000_B"/>
    <s v="RECORD COUNT by MBR_ID, DOS_THRU_DT, DX_CD Grain grouped by PAYER, SRC_FILE_NM, DOS_THRU_YYYYMM"/>
  </r>
  <r>
    <x v="2"/>
    <s v="SGOKMRCY_PE202512_REMAO004.TXT"/>
    <x v="85"/>
    <x v="8"/>
    <n v="44"/>
    <n v="111109"/>
    <n v="0.04"/>
    <s v="DQS_MAO04_FILE_000_B"/>
    <s v="RECORD COUNT by MBR_ID, DOS_THRU_DT, DX_CD Grain grouped by PAYER, SRC_FILE_NM, DOS_THRU_YYYYMM"/>
  </r>
  <r>
    <x v="2"/>
    <s v="SGOKMRCY_PE202512_REMAO004.TXT"/>
    <x v="86"/>
    <x v="8"/>
    <n v="8"/>
    <n v="111109"/>
    <n v="0.01"/>
    <s v="DQS_MAO04_FILE_000_B"/>
    <s v="RECORD COUNT by MBR_ID, DOS_THRU_DT, DX_CD Grain grouped by PAYER, SRC_FILE_NM, DOS_THRU_YYYYMM"/>
  </r>
  <r>
    <x v="2"/>
    <s v="SGOKMRCY_PE202512_REMAO004.TXT"/>
    <x v="87"/>
    <x v="8"/>
    <n v="25"/>
    <n v="111109"/>
    <n v="0.02"/>
    <s v="DQS_MAO04_FILE_000_B"/>
    <s v="RECORD COUNT by MBR_ID, DOS_THRU_DT, DX_CD Grain grouped by PAYER, SRC_FILE_NM, DOS_THRU_YYYYMM"/>
  </r>
  <r>
    <x v="2"/>
    <s v="SGOKMRCY_PE202512_REMAO004.TXT"/>
    <x v="88"/>
    <x v="8"/>
    <n v="22"/>
    <n v="111109"/>
    <n v="0.02"/>
    <s v="DQS_MAO04_FILE_000_B"/>
    <s v="RECORD COUNT by MBR_ID, DOS_THRU_DT, DX_CD Grain grouped by PAYER, SRC_FILE_NM, DOS_THRU_YYYYMM"/>
  </r>
  <r>
    <x v="2"/>
    <s v="SGOKMRCY_PE202512_REMAO004.TXT"/>
    <x v="89"/>
    <x v="9"/>
    <n v="47"/>
    <n v="111109"/>
    <n v="0.04"/>
    <s v="DQS_MAO04_FILE_000_B"/>
    <s v="RECORD COUNT by MBR_ID, DOS_THRU_DT, DX_CD Grain grouped by PAYER, SRC_FILE_NM, DOS_THRU_YYYYMM"/>
  </r>
  <r>
    <x v="2"/>
    <s v="SGOKMRCY_PE202512_REMAO004.TXT"/>
    <x v="97"/>
    <x v="9"/>
    <n v="84"/>
    <n v="111109"/>
    <n v="0.08"/>
    <s v="DQS_MAO04_FILE_000_B"/>
    <s v="RECORD COUNT by MBR_ID, DOS_THRU_DT, DX_CD Grain grouped by PAYER, SRC_FILE_NM, DOS_THRU_YYYYMM"/>
  </r>
  <r>
    <x v="2"/>
    <s v="SGOKMRCY_PE202512_REMAO004.TXT"/>
    <x v="98"/>
    <x v="9"/>
    <n v="74"/>
    <n v="111109"/>
    <n v="7.0000000000000007E-2"/>
    <s v="DQS_MAO04_FILE_000_B"/>
    <s v="RECORD COUNT by MBR_ID, DOS_THRU_DT, DX_CD Grain grouped by PAYER, SRC_FILE_NM, DOS_THRU_YYYYMM"/>
  </r>
  <r>
    <x v="2"/>
    <s v="SGOKMRCY_PE202512_REMAO004.TXT"/>
    <x v="99"/>
    <x v="9"/>
    <n v="132"/>
    <n v="111109"/>
    <n v="0.12"/>
    <s v="DQS_MAO04_FILE_000_B"/>
    <s v="RECORD COUNT by MBR_ID, DOS_THRU_DT, DX_CD Grain grouped by PAYER, SRC_FILE_NM, DOS_THRU_YYYYMM"/>
  </r>
  <r>
    <x v="2"/>
    <s v="SGOKMRCY_PE202512_REMAO004.TXT"/>
    <x v="100"/>
    <x v="9"/>
    <n v="96"/>
    <n v="111109"/>
    <n v="0.09"/>
    <s v="DQS_MAO04_FILE_000_B"/>
    <s v="RECORD COUNT by MBR_ID, DOS_THRU_DT, DX_CD Grain grouped by PAYER, SRC_FILE_NM, DOS_THRU_YYYYMM"/>
  </r>
  <r>
    <x v="2"/>
    <s v="SGOKMRCY_PE202512_REMAO004.TXT"/>
    <x v="102"/>
    <x v="9"/>
    <n v="161"/>
    <n v="111109"/>
    <n v="0.14000000000000001"/>
    <s v="DQS_MAO04_FILE_000_B"/>
    <s v="RECORD COUNT by MBR_ID, DOS_THRU_DT, DX_CD Grain grouped by PAYER, SRC_FILE_NM, DOS_THRU_YYYYMM"/>
  </r>
  <r>
    <x v="2"/>
    <s v="SGOKMRCY_PE202512_REMAO004.TXT"/>
    <x v="103"/>
    <x v="9"/>
    <n v="307"/>
    <n v="111109"/>
    <n v="0.28000000000000003"/>
    <s v="DQS_MAO04_FILE_000_B"/>
    <s v="RECORD COUNT by MBR_ID, DOS_THRU_DT, DX_CD Grain grouped by PAYER, SRC_FILE_NM, DOS_THRU_YYYYMM"/>
  </r>
  <r>
    <x v="2"/>
    <s v="SGOKMRCY_PE202512_REMAO004.TXT"/>
    <x v="105"/>
    <x v="9"/>
    <n v="367"/>
    <n v="111109"/>
    <n v="0.33"/>
    <s v="DQS_MAO04_FILE_000_B"/>
    <s v="RECORD COUNT by MBR_ID, DOS_THRU_DT, DX_CD Grain grouped by PAYER, SRC_FILE_NM, DOS_THRU_YYYYMM"/>
  </r>
  <r>
    <x v="2"/>
    <s v="SGOKMRCY_PE202512_REMAO004.TXT"/>
    <x v="106"/>
    <x v="9"/>
    <n v="184"/>
    <n v="111109"/>
    <n v="0.17"/>
    <s v="DQS_MAO04_FILE_000_B"/>
    <s v="RECORD COUNT by MBR_ID, DOS_THRU_DT, DX_CD Grain grouped by PAYER, SRC_FILE_NM, DOS_THRU_YYYYMM"/>
  </r>
  <r>
    <x v="2"/>
    <s v="SGOKMRCY_PE202512_REMAO004.TXT"/>
    <x v="107"/>
    <x v="9"/>
    <n v="415"/>
    <n v="111109"/>
    <n v="0.37"/>
    <s v="DQS_MAO04_FILE_000_B"/>
    <s v="RECORD COUNT by MBR_ID, DOS_THRU_DT, DX_CD Grain grouped by PAYER, SRC_FILE_NM, DOS_THRU_YYYYMM"/>
  </r>
  <r>
    <x v="2"/>
    <s v="SGOKMRCY_PE202512_REMAO004.TXT"/>
    <x v="108"/>
    <x v="9"/>
    <n v="331"/>
    <n v="111109"/>
    <n v="0.3"/>
    <s v="DQS_MAO04_FILE_000_B"/>
    <s v="RECORD COUNT by MBR_ID, DOS_THRU_DT, DX_CD Grain grouped by PAYER, SRC_FILE_NM, DOS_THRU_YYYYMM"/>
  </r>
  <r>
    <x v="2"/>
    <s v="SGOKMRCY_PE202512_REMAO004.TXT"/>
    <x v="109"/>
    <x v="9"/>
    <n v="759"/>
    <n v="111109"/>
    <n v="0.68"/>
    <s v="DQS_MAO04_FILE_000_B"/>
    <s v="RECORD COUNT by MBR_ID, DOS_THRU_DT, DX_CD Grain grouped by PAYER, SRC_FILE_NM, DOS_THRU_YYYYMM"/>
  </r>
  <r>
    <x v="2"/>
    <s v="SGOKMRCY_PE202512_REMAO004.TXT"/>
    <x v="110"/>
    <x v="11"/>
    <n v="3333"/>
    <n v="111109"/>
    <n v="3"/>
    <s v="DQS_MAO04_FILE_000_B"/>
    <s v="RECORD COUNT by MBR_ID, DOS_THRU_DT, DX_CD Grain grouped by PAYER, SRC_FILE_NM, DOS_THRU_YYYYMM"/>
  </r>
  <r>
    <x v="2"/>
    <s v="SGOKMRCY_PE202512_REMAO004.TXT"/>
    <x v="111"/>
    <x v="11"/>
    <n v="2866"/>
    <n v="111109"/>
    <n v="2.58"/>
    <s v="DQS_MAO04_FILE_000_B"/>
    <s v="RECORD COUNT by MBR_ID, DOS_THRU_DT, DX_CD Grain grouped by PAYER, SRC_FILE_NM, DOS_THRU_YYYYMM"/>
  </r>
  <r>
    <x v="2"/>
    <s v="SGOKMRCY_PE202512_REMAO004.TXT"/>
    <x v="112"/>
    <x v="11"/>
    <n v="3590"/>
    <n v="111109"/>
    <n v="3.23"/>
    <s v="DQS_MAO04_FILE_000_B"/>
    <s v="RECORD COUNT by MBR_ID, DOS_THRU_DT, DX_CD Grain grouped by PAYER, SRC_FILE_NM, DOS_THRU_YYYYMM"/>
  </r>
  <r>
    <x v="2"/>
    <s v="SGOKMRCY_PE202512_REMAO004.TXT"/>
    <x v="113"/>
    <x v="11"/>
    <n v="3711"/>
    <n v="111109"/>
    <n v="3.34"/>
    <s v="DQS_MAO04_FILE_000_B"/>
    <s v="RECORD COUNT by MBR_ID, DOS_THRU_DT, DX_CD Grain grouped by PAYER, SRC_FILE_NM, DOS_THRU_YYYYMM"/>
  </r>
  <r>
    <x v="2"/>
    <s v="SGOKMRCY_PE202512_REMAO004.TXT"/>
    <x v="114"/>
    <x v="11"/>
    <n v="4166"/>
    <n v="111109"/>
    <n v="3.75"/>
    <s v="DQS_MAO04_FILE_000_B"/>
    <s v="RECORD COUNT by MBR_ID, DOS_THRU_DT, DX_CD Grain grouped by PAYER, SRC_FILE_NM, DOS_THRU_YYYYMM"/>
  </r>
  <r>
    <x v="2"/>
    <s v="SGOKMRCY_PE202512_REMAO004.TXT"/>
    <x v="115"/>
    <x v="11"/>
    <n v="4486"/>
    <n v="111109"/>
    <n v="4.04"/>
    <s v="DQS_MAO04_FILE_000_B"/>
    <s v="RECORD COUNT by MBR_ID, DOS_THRU_DT, DX_CD Grain grouped by PAYER, SRC_FILE_NM, DOS_THRU_YYYYMM"/>
  </r>
  <r>
    <x v="2"/>
    <s v="SGOKMRCY_PE202512_REMAO004.TXT"/>
    <x v="116"/>
    <x v="11"/>
    <n v="6768"/>
    <n v="111109"/>
    <n v="6.09"/>
    <s v="DQS_MAO04_FILE_000_B"/>
    <s v="RECORD COUNT by MBR_ID, DOS_THRU_DT, DX_CD Grain grouped by PAYER, SRC_FILE_NM, DOS_THRU_YYYYMM"/>
  </r>
  <r>
    <x v="2"/>
    <s v="SGOKMRCY_PE202512_REMAO004.TXT"/>
    <x v="117"/>
    <x v="11"/>
    <n v="11682"/>
    <n v="111109"/>
    <n v="10.51"/>
    <s v="DQS_MAO04_FILE_000_B"/>
    <s v="RECORD COUNT by MBR_ID, DOS_THRU_DT, DX_CD Grain grouped by PAYER, SRC_FILE_NM, DOS_THRU_YYYYMM"/>
  </r>
  <r>
    <x v="2"/>
    <s v="SGOKMRCY_PE202512_REMAO004.TXT"/>
    <x v="118"/>
    <x v="11"/>
    <n v="41144"/>
    <n v="111109"/>
    <n v="37.03"/>
    <s v="DQS_MAO04_FILE_000_B"/>
    <s v="RECORD COUNT by MBR_ID, DOS_THRU_DT, DX_CD Grain grouped by PAYER, SRC_FILE_NM, DOS_THRU_YYYYMM"/>
  </r>
  <r>
    <x v="2"/>
    <s v="SGOKMRCY_PE202512_REMAO004.TXT"/>
    <x v="119"/>
    <x v="11"/>
    <n v="26263"/>
    <n v="111109"/>
    <n v="23.64"/>
    <s v="DQS_MAO04_FILE_000_B"/>
    <s v="RECORD COUNT by MBR_ID, DOS_THRU_DT, DX_CD Grain grouped by PAYER, SRC_FILE_NM, DOS_THRU_YYYYMM"/>
  </r>
  <r>
    <x v="2"/>
    <s v="SGOKMRCY_PE202601_REMAO004.TXT"/>
    <x v="70"/>
    <x v="7"/>
    <n v="1"/>
    <n v="95855"/>
    <n v="0"/>
    <s v="DQS_MAO04_FILE_000_B"/>
    <s v="RECORD COUNT by MBR_ID, DOS_THRU_DT, DX_CD Grain grouped by PAYER, SRC_FILE_NM, DOS_THRU_YYYYMM"/>
  </r>
  <r>
    <x v="2"/>
    <s v="SGOKMRCY_PE202601_REMAO004.TXT"/>
    <x v="72"/>
    <x v="7"/>
    <n v="1"/>
    <n v="95855"/>
    <n v="0"/>
    <s v="DQS_MAO04_FILE_000_B"/>
    <s v="RECORD COUNT by MBR_ID, DOS_THRU_DT, DX_CD Grain grouped by PAYER, SRC_FILE_NM, DOS_THRU_YYYYMM"/>
  </r>
  <r>
    <x v="2"/>
    <s v="SGOKMRCY_PE202601_REMAO004.TXT"/>
    <x v="74"/>
    <x v="7"/>
    <n v="7"/>
    <n v="95855"/>
    <n v="0.01"/>
    <s v="DQS_MAO04_FILE_000_B"/>
    <s v="RECORD COUNT by MBR_ID, DOS_THRU_DT, DX_CD Grain grouped by PAYER, SRC_FILE_NM, DOS_THRU_YYYYMM"/>
  </r>
  <r>
    <x v="2"/>
    <s v="SGOKMRCY_PE202601_REMAO004.TXT"/>
    <x v="78"/>
    <x v="8"/>
    <n v="9"/>
    <n v="95855"/>
    <n v="0.01"/>
    <s v="DQS_MAO04_FILE_000_B"/>
    <s v="RECORD COUNT by MBR_ID, DOS_THRU_DT, DX_CD Grain grouped by PAYER, SRC_FILE_NM, DOS_THRU_YYYYMM"/>
  </r>
  <r>
    <x v="2"/>
    <s v="SGOKMRCY_PE202601_REMAO004.TXT"/>
    <x v="82"/>
    <x v="8"/>
    <n v="4"/>
    <n v="95855"/>
    <n v="0"/>
    <s v="DQS_MAO04_FILE_000_B"/>
    <s v="RECORD COUNT by MBR_ID, DOS_THRU_DT, DX_CD Grain grouped by PAYER, SRC_FILE_NM, DOS_THRU_YYYYMM"/>
  </r>
  <r>
    <x v="2"/>
    <s v="SGOKMRCY_PE202601_REMAO004.TXT"/>
    <x v="83"/>
    <x v="8"/>
    <n v="3"/>
    <n v="95855"/>
    <n v="0"/>
    <s v="DQS_MAO04_FILE_000_B"/>
    <s v="RECORD COUNT by MBR_ID, DOS_THRU_DT, DX_CD Grain grouped by PAYER, SRC_FILE_NM, DOS_THRU_YYYYMM"/>
  </r>
  <r>
    <x v="2"/>
    <s v="SGOKMRCY_PE202601_REMAO004.TXT"/>
    <x v="84"/>
    <x v="8"/>
    <n v="4"/>
    <n v="95855"/>
    <n v="0"/>
    <s v="DQS_MAO04_FILE_000_B"/>
    <s v="RECORD COUNT by MBR_ID, DOS_THRU_DT, DX_CD Grain grouped by PAYER, SRC_FILE_NM, DOS_THRU_YYYYMM"/>
  </r>
  <r>
    <x v="2"/>
    <s v="SGOKMRCY_PE202601_REMAO004.TXT"/>
    <x v="85"/>
    <x v="8"/>
    <n v="12"/>
    <n v="95855"/>
    <n v="0.01"/>
    <s v="DQS_MAO04_FILE_000_B"/>
    <s v="RECORD COUNT by MBR_ID, DOS_THRU_DT, DX_CD Grain grouped by PAYER, SRC_FILE_NM, DOS_THRU_YYYYMM"/>
  </r>
  <r>
    <x v="2"/>
    <s v="SGOKMRCY_PE202601_REMAO004.TXT"/>
    <x v="86"/>
    <x v="8"/>
    <n v="18"/>
    <n v="95855"/>
    <n v="0.02"/>
    <s v="DQS_MAO04_FILE_000_B"/>
    <s v="RECORD COUNT by MBR_ID, DOS_THRU_DT, DX_CD Grain grouped by PAYER, SRC_FILE_NM, DOS_THRU_YYYYMM"/>
  </r>
  <r>
    <x v="2"/>
    <s v="SGOKMRCY_PE202601_REMAO004.TXT"/>
    <x v="87"/>
    <x v="8"/>
    <n v="39"/>
    <n v="95855"/>
    <n v="0.04"/>
    <s v="DQS_MAO04_FILE_000_B"/>
    <s v="RECORD COUNT by MBR_ID, DOS_THRU_DT, DX_CD Grain grouped by PAYER, SRC_FILE_NM, DOS_THRU_YYYYMM"/>
  </r>
  <r>
    <x v="2"/>
    <s v="SGOKMRCY_PE202601_REMAO004.TXT"/>
    <x v="89"/>
    <x v="9"/>
    <n v="52"/>
    <n v="95855"/>
    <n v="0.05"/>
    <s v="DQS_MAO04_FILE_000_B"/>
    <s v="RECORD COUNT by MBR_ID, DOS_THRU_DT, DX_CD Grain grouped by PAYER, SRC_FILE_NM, DOS_THRU_YYYYMM"/>
  </r>
  <r>
    <x v="2"/>
    <s v="SGOKMRCY_PE202601_REMAO004.TXT"/>
    <x v="97"/>
    <x v="9"/>
    <n v="70"/>
    <n v="95855"/>
    <n v="7.0000000000000007E-2"/>
    <s v="DQS_MAO04_FILE_000_B"/>
    <s v="RECORD COUNT by MBR_ID, DOS_THRU_DT, DX_CD Grain grouped by PAYER, SRC_FILE_NM, DOS_THRU_YYYYMM"/>
  </r>
  <r>
    <x v="2"/>
    <s v="SGOKMRCY_PE202601_REMAO004.TXT"/>
    <x v="98"/>
    <x v="9"/>
    <n v="157"/>
    <n v="95855"/>
    <n v="0.16"/>
    <s v="DQS_MAO04_FILE_000_B"/>
    <s v="RECORD COUNT by MBR_ID, DOS_THRU_DT, DX_CD Grain grouped by PAYER, SRC_FILE_NM, DOS_THRU_YYYYMM"/>
  </r>
  <r>
    <x v="2"/>
    <s v="SGOKMRCY_PE202601_REMAO004.TXT"/>
    <x v="99"/>
    <x v="9"/>
    <n v="103"/>
    <n v="95855"/>
    <n v="0.11"/>
    <s v="DQS_MAO04_FILE_000_B"/>
    <s v="RECORD COUNT by MBR_ID, DOS_THRU_DT, DX_CD Grain grouped by PAYER, SRC_FILE_NM, DOS_THRU_YYYYMM"/>
  </r>
  <r>
    <x v="2"/>
    <s v="SGOKMRCY_PE202601_REMAO004.TXT"/>
    <x v="100"/>
    <x v="9"/>
    <n v="234"/>
    <n v="95855"/>
    <n v="0.24"/>
    <s v="DQS_MAO04_FILE_000_B"/>
    <s v="RECORD COUNT by MBR_ID, DOS_THRU_DT, DX_CD Grain grouped by PAYER, SRC_FILE_NM, DOS_THRU_YYYYMM"/>
  </r>
  <r>
    <x v="2"/>
    <s v="SGOKMRCY_PE202601_REMAO004.TXT"/>
    <x v="102"/>
    <x v="9"/>
    <n v="252"/>
    <n v="95855"/>
    <n v="0.26"/>
    <s v="DQS_MAO04_FILE_000_B"/>
    <s v="RECORD COUNT by MBR_ID, DOS_THRU_DT, DX_CD Grain grouped by PAYER, SRC_FILE_NM, DOS_THRU_YYYYMM"/>
  </r>
  <r>
    <x v="2"/>
    <s v="SGOKMRCY_PE202601_REMAO004.TXT"/>
    <x v="103"/>
    <x v="9"/>
    <n v="151"/>
    <n v="95855"/>
    <n v="0.16"/>
    <s v="DQS_MAO04_FILE_000_B"/>
    <s v="RECORD COUNT by MBR_ID, DOS_THRU_DT, DX_CD Grain grouped by PAYER, SRC_FILE_NM, DOS_THRU_YYYYMM"/>
  </r>
  <r>
    <x v="2"/>
    <s v="SGOKMRCY_PE202601_REMAO004.TXT"/>
    <x v="105"/>
    <x v="9"/>
    <n v="227"/>
    <n v="95855"/>
    <n v="0.24"/>
    <s v="DQS_MAO04_FILE_000_B"/>
    <s v="RECORD COUNT by MBR_ID, DOS_THRU_DT, DX_CD Grain grouped by PAYER, SRC_FILE_NM, DOS_THRU_YYYYMM"/>
  </r>
  <r>
    <x v="2"/>
    <s v="SGOKMRCY_PE202601_REMAO004.TXT"/>
    <x v="106"/>
    <x v="9"/>
    <n v="243"/>
    <n v="95855"/>
    <n v="0.25"/>
    <s v="DQS_MAO04_FILE_000_B"/>
    <s v="RECORD COUNT by MBR_ID, DOS_THRU_DT, DX_CD Grain grouped by PAYER, SRC_FILE_NM, DOS_THRU_YYYYMM"/>
  </r>
  <r>
    <x v="2"/>
    <s v="SGOKMRCY_PE202601_REMAO004.TXT"/>
    <x v="107"/>
    <x v="9"/>
    <n v="323"/>
    <n v="95855"/>
    <n v="0.34"/>
    <s v="DQS_MAO04_FILE_000_B"/>
    <s v="RECORD COUNT by MBR_ID, DOS_THRU_DT, DX_CD Grain grouped by PAYER, SRC_FILE_NM, DOS_THRU_YYYYMM"/>
  </r>
  <r>
    <x v="2"/>
    <s v="SGOKMRCY_PE202601_REMAO004.TXT"/>
    <x v="108"/>
    <x v="9"/>
    <n v="255"/>
    <n v="95855"/>
    <n v="0.27"/>
    <s v="DQS_MAO04_FILE_000_B"/>
    <s v="RECORD COUNT by MBR_ID, DOS_THRU_DT, DX_CD Grain grouped by PAYER, SRC_FILE_NM, DOS_THRU_YYYYMM"/>
  </r>
  <r>
    <x v="2"/>
    <s v="SGOKMRCY_PE202601_REMAO004.TXT"/>
    <x v="109"/>
    <x v="9"/>
    <n v="319"/>
    <n v="95855"/>
    <n v="0.33"/>
    <s v="DQS_MAO04_FILE_000_B"/>
    <s v="RECORD COUNT by MBR_ID, DOS_THRU_DT, DX_CD Grain grouped by PAYER, SRC_FILE_NM, DOS_THRU_YYYYMM"/>
  </r>
  <r>
    <x v="2"/>
    <s v="SGOKMRCY_PE202601_REMAO004.TXT"/>
    <x v="110"/>
    <x v="11"/>
    <n v="380"/>
    <n v="95855"/>
    <n v="0.4"/>
    <s v="DQS_MAO04_FILE_000_B"/>
    <s v="RECORD COUNT by MBR_ID, DOS_THRU_DT, DX_CD Grain grouped by PAYER, SRC_FILE_NM, DOS_THRU_YYYYMM"/>
  </r>
  <r>
    <x v="2"/>
    <s v="SGOKMRCY_PE202601_REMAO004.TXT"/>
    <x v="111"/>
    <x v="11"/>
    <n v="389"/>
    <n v="95855"/>
    <n v="0.41"/>
    <s v="DQS_MAO04_FILE_000_B"/>
    <s v="RECORD COUNT by MBR_ID, DOS_THRU_DT, DX_CD Grain grouped by PAYER, SRC_FILE_NM, DOS_THRU_YYYYMM"/>
  </r>
  <r>
    <x v="2"/>
    <s v="SGOKMRCY_PE202601_REMAO004.TXT"/>
    <x v="112"/>
    <x v="11"/>
    <n v="648"/>
    <n v="95855"/>
    <n v="0.68"/>
    <s v="DQS_MAO04_FILE_000_B"/>
    <s v="RECORD COUNT by MBR_ID, DOS_THRU_DT, DX_CD Grain grouped by PAYER, SRC_FILE_NM, DOS_THRU_YYYYMM"/>
  </r>
  <r>
    <x v="2"/>
    <s v="SGOKMRCY_PE202601_REMAO004.TXT"/>
    <x v="113"/>
    <x v="11"/>
    <n v="1000"/>
    <n v="95855"/>
    <n v="1.04"/>
    <s v="DQS_MAO04_FILE_000_B"/>
    <s v="RECORD COUNT by MBR_ID, DOS_THRU_DT, DX_CD Grain grouped by PAYER, SRC_FILE_NM, DOS_THRU_YYYYMM"/>
  </r>
  <r>
    <x v="2"/>
    <s v="SGOKMRCY_PE202601_REMAO004.TXT"/>
    <x v="114"/>
    <x v="11"/>
    <n v="949"/>
    <n v="95855"/>
    <n v="0.99"/>
    <s v="DQS_MAO04_FILE_000_B"/>
    <s v="RECORD COUNT by MBR_ID, DOS_THRU_DT, DX_CD Grain grouped by PAYER, SRC_FILE_NM, DOS_THRU_YYYYMM"/>
  </r>
  <r>
    <x v="2"/>
    <s v="SGOKMRCY_PE202601_REMAO004.TXT"/>
    <x v="115"/>
    <x v="11"/>
    <n v="1253"/>
    <n v="95855"/>
    <n v="1.31"/>
    <s v="DQS_MAO04_FILE_000_B"/>
    <s v="RECORD COUNT by MBR_ID, DOS_THRU_DT, DX_CD Grain grouped by PAYER, SRC_FILE_NM, DOS_THRU_YYYYMM"/>
  </r>
  <r>
    <x v="2"/>
    <s v="SGOKMRCY_PE202601_REMAO004.TXT"/>
    <x v="116"/>
    <x v="11"/>
    <n v="2005"/>
    <n v="95855"/>
    <n v="2.09"/>
    <s v="DQS_MAO04_FILE_000_B"/>
    <s v="RECORD COUNT by MBR_ID, DOS_THRU_DT, DX_CD Grain grouped by PAYER, SRC_FILE_NM, DOS_THRU_YYYYMM"/>
  </r>
  <r>
    <x v="2"/>
    <s v="SGOKMRCY_PE202601_REMAO004.TXT"/>
    <x v="117"/>
    <x v="11"/>
    <n v="9088"/>
    <n v="95855"/>
    <n v="9.48"/>
    <s v="DQS_MAO04_FILE_000_B"/>
    <s v="RECORD COUNT by MBR_ID, DOS_THRU_DT, DX_CD Grain grouped by PAYER, SRC_FILE_NM, DOS_THRU_YYYYMM"/>
  </r>
  <r>
    <x v="2"/>
    <s v="SGOKMRCY_PE202601_REMAO004.TXT"/>
    <x v="118"/>
    <x v="11"/>
    <n v="5256"/>
    <n v="95855"/>
    <n v="5.48"/>
    <s v="DQS_MAO04_FILE_000_B"/>
    <s v="RECORD COUNT by MBR_ID, DOS_THRU_DT, DX_CD Grain grouped by PAYER, SRC_FILE_NM, DOS_THRU_YYYYMM"/>
  </r>
  <r>
    <x v="2"/>
    <s v="SGOKMRCY_PE202601_REMAO004.TXT"/>
    <x v="119"/>
    <x v="11"/>
    <n v="46165"/>
    <n v="95855"/>
    <n v="48.16"/>
    <s v="DQS_MAO04_FILE_000_B"/>
    <s v="RECORD COUNT by MBR_ID, DOS_THRU_DT, DX_CD Grain grouped by PAYER, SRC_FILE_NM, DOS_THRU_YYYYMM"/>
  </r>
  <r>
    <x v="2"/>
    <s v="SGOKMRCY_PE202601_REMAO004.TXT"/>
    <x v="120"/>
    <x v="11"/>
    <n v="26238"/>
    <n v="95855"/>
    <n v="27.37"/>
    <s v="DQS_MAO04_FILE_000_B"/>
    <s v="RECORD COUNT by MBR_ID, DOS_THRU_DT, DX_CD Grain grouped by PAYER, SRC_FILE_NM, DOS_THRU_YYYYMM"/>
  </r>
  <r>
    <x v="2"/>
    <s v="SGOKMRCY_PE202602_REMAO004.TXT"/>
    <x v="58"/>
    <x v="6"/>
    <n v="3"/>
    <n v="101801"/>
    <n v="0"/>
    <s v="DQS_MAO04_FILE_000_B"/>
    <s v="RECORD COUNT by MBR_ID, DOS_THRU_DT, DX_CD Grain grouped by PAYER, SRC_FILE_NM, DOS_THRU_YYYYMM"/>
  </r>
  <r>
    <x v="2"/>
    <s v="SGOKMRCY_PE202602_REMAO004.TXT"/>
    <x v="73"/>
    <x v="7"/>
    <n v="1"/>
    <n v="101801"/>
    <n v="0"/>
    <s v="DQS_MAO04_FILE_000_B"/>
    <s v="RECORD COUNT by MBR_ID, DOS_THRU_DT, DX_CD Grain grouped by PAYER, SRC_FILE_NM, DOS_THRU_YYYYMM"/>
  </r>
  <r>
    <x v="2"/>
    <s v="SGOKMRCY_PE202602_REMAO004.TXT"/>
    <x v="79"/>
    <x v="8"/>
    <n v="4"/>
    <n v="101801"/>
    <n v="0"/>
    <s v="DQS_MAO04_FILE_000_B"/>
    <s v="RECORD COUNT by MBR_ID, DOS_THRU_DT, DX_CD Grain grouped by PAYER, SRC_FILE_NM, DOS_THRU_YYYYMM"/>
  </r>
  <r>
    <x v="2"/>
    <s v="SGOKMRCY_PE202602_REMAO004.TXT"/>
    <x v="81"/>
    <x v="8"/>
    <n v="43"/>
    <n v="101801"/>
    <n v="0.04"/>
    <s v="DQS_MAO04_FILE_000_B"/>
    <s v="RECORD COUNT by MBR_ID, DOS_THRU_DT, DX_CD Grain grouped by PAYER, SRC_FILE_NM, DOS_THRU_YYYYMM"/>
  </r>
  <r>
    <x v="2"/>
    <s v="SGOKMRCY_PE202602_REMAO004.TXT"/>
    <x v="82"/>
    <x v="8"/>
    <n v="5"/>
    <n v="101801"/>
    <n v="0"/>
    <s v="DQS_MAO04_FILE_000_B"/>
    <s v="RECORD COUNT by MBR_ID, DOS_THRU_DT, DX_CD Grain grouped by PAYER, SRC_FILE_NM, DOS_THRU_YYYYMM"/>
  </r>
  <r>
    <x v="2"/>
    <s v="SGOKMRCY_PE202602_REMAO004.TXT"/>
    <x v="83"/>
    <x v="8"/>
    <n v="1"/>
    <n v="101801"/>
    <n v="0"/>
    <s v="DQS_MAO04_FILE_000_B"/>
    <s v="RECORD COUNT by MBR_ID, DOS_THRU_DT, DX_CD Grain grouped by PAYER, SRC_FILE_NM, DOS_THRU_YYYYMM"/>
  </r>
  <r>
    <x v="2"/>
    <s v="SGOKMRCY_PE202602_REMAO004.TXT"/>
    <x v="85"/>
    <x v="8"/>
    <n v="1"/>
    <n v="101801"/>
    <n v="0"/>
    <s v="DQS_MAO04_FILE_000_B"/>
    <s v="RECORD COUNT by MBR_ID, DOS_THRU_DT, DX_CD Grain grouped by PAYER, SRC_FILE_NM, DOS_THRU_YYYYMM"/>
  </r>
  <r>
    <x v="2"/>
    <s v="SGOKMRCY_PE202602_REMAO004.TXT"/>
    <x v="86"/>
    <x v="8"/>
    <n v="39"/>
    <n v="101801"/>
    <n v="0.04"/>
    <s v="DQS_MAO04_FILE_000_B"/>
    <s v="RECORD COUNT by MBR_ID, DOS_THRU_DT, DX_CD Grain grouped by PAYER, SRC_FILE_NM, DOS_THRU_YYYYMM"/>
  </r>
  <r>
    <x v="2"/>
    <s v="SGOKMRCY_PE202602_REMAO004.TXT"/>
    <x v="87"/>
    <x v="8"/>
    <n v="56"/>
    <n v="101801"/>
    <n v="0.06"/>
    <s v="DQS_MAO04_FILE_000_B"/>
    <s v="RECORD COUNT by MBR_ID, DOS_THRU_DT, DX_CD Grain grouped by PAYER, SRC_FILE_NM, DOS_THRU_YYYYMM"/>
  </r>
  <r>
    <x v="2"/>
    <s v="SGOKMRCY_PE202602_REMAO004.TXT"/>
    <x v="88"/>
    <x v="8"/>
    <n v="1"/>
    <n v="101801"/>
    <n v="0"/>
    <s v="DQS_MAO04_FILE_000_B"/>
    <s v="RECORD COUNT by MBR_ID, DOS_THRU_DT, DX_CD Grain grouped by PAYER, SRC_FILE_NM, DOS_THRU_YYYYMM"/>
  </r>
  <r>
    <x v="2"/>
    <s v="SGOKMRCY_PE202602_REMAO004.TXT"/>
    <x v="89"/>
    <x v="9"/>
    <n v="108"/>
    <n v="101801"/>
    <n v="0.11"/>
    <s v="DQS_MAO04_FILE_000_B"/>
    <s v="RECORD COUNT by MBR_ID, DOS_THRU_DT, DX_CD Grain grouped by PAYER, SRC_FILE_NM, DOS_THRU_YYYYMM"/>
  </r>
  <r>
    <x v="2"/>
    <s v="SGOKMRCY_PE202602_REMAO004.TXT"/>
    <x v="97"/>
    <x v="9"/>
    <n v="123"/>
    <n v="101801"/>
    <n v="0.12"/>
    <s v="DQS_MAO04_FILE_000_B"/>
    <s v="RECORD COUNT by MBR_ID, DOS_THRU_DT, DX_CD Grain grouped by PAYER, SRC_FILE_NM, DOS_THRU_YYYYMM"/>
  </r>
  <r>
    <x v="2"/>
    <s v="SGOKMRCY_PE202602_REMAO004.TXT"/>
    <x v="98"/>
    <x v="9"/>
    <n v="155"/>
    <n v="101801"/>
    <n v="0.15"/>
    <s v="DQS_MAO04_FILE_000_B"/>
    <s v="RECORD COUNT by MBR_ID, DOS_THRU_DT, DX_CD Grain grouped by PAYER, SRC_FILE_NM, DOS_THRU_YYYYMM"/>
  </r>
  <r>
    <x v="2"/>
    <s v="SGOKMRCY_PE202602_REMAO004.TXT"/>
    <x v="99"/>
    <x v="9"/>
    <n v="102"/>
    <n v="101801"/>
    <n v="0.1"/>
    <s v="DQS_MAO04_FILE_000_B"/>
    <s v="RECORD COUNT by MBR_ID, DOS_THRU_DT, DX_CD Grain grouped by PAYER, SRC_FILE_NM, DOS_THRU_YYYYMM"/>
  </r>
  <r>
    <x v="2"/>
    <s v="SGOKMRCY_PE202602_REMAO004.TXT"/>
    <x v="100"/>
    <x v="9"/>
    <n v="165"/>
    <n v="101801"/>
    <n v="0.16"/>
    <s v="DQS_MAO04_FILE_000_B"/>
    <s v="RECORD COUNT by MBR_ID, DOS_THRU_DT, DX_CD Grain grouped by PAYER, SRC_FILE_NM, DOS_THRU_YYYYMM"/>
  </r>
  <r>
    <x v="2"/>
    <s v="SGOKMRCY_PE202602_REMAO004.TXT"/>
    <x v="102"/>
    <x v="9"/>
    <n v="227"/>
    <n v="101801"/>
    <n v="0.22"/>
    <s v="DQS_MAO04_FILE_000_B"/>
    <s v="RECORD COUNT by MBR_ID, DOS_THRU_DT, DX_CD Grain grouped by PAYER, SRC_FILE_NM, DOS_THRU_YYYYMM"/>
  </r>
  <r>
    <x v="2"/>
    <s v="SGOKMRCY_PE202602_REMAO004.TXT"/>
    <x v="103"/>
    <x v="9"/>
    <n v="220"/>
    <n v="101801"/>
    <n v="0.22"/>
    <s v="DQS_MAO04_FILE_000_B"/>
    <s v="RECORD COUNT by MBR_ID, DOS_THRU_DT, DX_CD Grain grouped by PAYER, SRC_FILE_NM, DOS_THRU_YYYYMM"/>
  </r>
  <r>
    <x v="2"/>
    <s v="SGOKMRCY_PE202602_REMAO004.TXT"/>
    <x v="105"/>
    <x v="9"/>
    <n v="154"/>
    <n v="101801"/>
    <n v="0.15"/>
    <s v="DQS_MAO04_FILE_000_B"/>
    <s v="RECORD COUNT by MBR_ID, DOS_THRU_DT, DX_CD Grain grouped by PAYER, SRC_FILE_NM, DOS_THRU_YYYYMM"/>
  </r>
  <r>
    <x v="2"/>
    <s v="SGOKMRCY_PE202602_REMAO004.TXT"/>
    <x v="106"/>
    <x v="9"/>
    <n v="194"/>
    <n v="101801"/>
    <n v="0.19"/>
    <s v="DQS_MAO04_FILE_000_B"/>
    <s v="RECORD COUNT by MBR_ID, DOS_THRU_DT, DX_CD Grain grouped by PAYER, SRC_FILE_NM, DOS_THRU_YYYYMM"/>
  </r>
  <r>
    <x v="2"/>
    <s v="SGOKMRCY_PE202602_REMAO004.TXT"/>
    <x v="107"/>
    <x v="9"/>
    <n v="285"/>
    <n v="101801"/>
    <n v="0.28000000000000003"/>
    <s v="DQS_MAO04_FILE_000_B"/>
    <s v="RECORD COUNT by MBR_ID, DOS_THRU_DT, DX_CD Grain grouped by PAYER, SRC_FILE_NM, DOS_THRU_YYYYMM"/>
  </r>
  <r>
    <x v="2"/>
    <s v="SGOKMRCY_PE202602_REMAO004.TXT"/>
    <x v="108"/>
    <x v="9"/>
    <n v="266"/>
    <n v="101801"/>
    <n v="0.26"/>
    <s v="DQS_MAO04_FILE_000_B"/>
    <s v="RECORD COUNT by MBR_ID, DOS_THRU_DT, DX_CD Grain grouped by PAYER, SRC_FILE_NM, DOS_THRU_YYYYMM"/>
  </r>
  <r>
    <x v="2"/>
    <s v="SGOKMRCY_PE202602_REMAO004.TXT"/>
    <x v="109"/>
    <x v="9"/>
    <n v="291"/>
    <n v="101801"/>
    <n v="0.28999999999999998"/>
    <s v="DQS_MAO04_FILE_000_B"/>
    <s v="RECORD COUNT by MBR_ID, DOS_THRU_DT, DX_CD Grain grouped by PAYER, SRC_FILE_NM, DOS_THRU_YYYYMM"/>
  </r>
  <r>
    <x v="2"/>
    <s v="SGOKMRCY_PE202602_REMAO004.TXT"/>
    <x v="110"/>
    <x v="11"/>
    <n v="424"/>
    <n v="101801"/>
    <n v="0.42"/>
    <s v="DQS_MAO04_FILE_000_B"/>
    <s v="RECORD COUNT by MBR_ID, DOS_THRU_DT, DX_CD Grain grouped by PAYER, SRC_FILE_NM, DOS_THRU_YYYYMM"/>
  </r>
  <r>
    <x v="2"/>
    <s v="SGOKMRCY_PE202602_REMAO004.TXT"/>
    <x v="111"/>
    <x v="11"/>
    <n v="439"/>
    <n v="101801"/>
    <n v="0.43"/>
    <s v="DQS_MAO04_FILE_000_B"/>
    <s v="RECORD COUNT by MBR_ID, DOS_THRU_DT, DX_CD Grain grouped by PAYER, SRC_FILE_NM, DOS_THRU_YYYYMM"/>
  </r>
  <r>
    <x v="2"/>
    <s v="SGOKMRCY_PE202602_REMAO004.TXT"/>
    <x v="112"/>
    <x v="11"/>
    <n v="584"/>
    <n v="101801"/>
    <n v="0.56999999999999995"/>
    <s v="DQS_MAO04_FILE_000_B"/>
    <s v="RECORD COUNT by MBR_ID, DOS_THRU_DT, DX_CD Grain grouped by PAYER, SRC_FILE_NM, DOS_THRU_YYYYMM"/>
  </r>
  <r>
    <x v="2"/>
    <s v="SGOKMRCY_PE202602_REMAO004.TXT"/>
    <x v="113"/>
    <x v="11"/>
    <n v="1017"/>
    <n v="101801"/>
    <n v="1"/>
    <s v="DQS_MAO04_FILE_000_B"/>
    <s v="RECORD COUNT by MBR_ID, DOS_THRU_DT, DX_CD Grain grouped by PAYER, SRC_FILE_NM, DOS_THRU_YYYYMM"/>
  </r>
  <r>
    <x v="2"/>
    <s v="SGOKMRCY_PE202602_REMAO004.TXT"/>
    <x v="114"/>
    <x v="11"/>
    <n v="1047"/>
    <n v="101801"/>
    <n v="1.03"/>
    <s v="DQS_MAO04_FILE_000_B"/>
    <s v="RECORD COUNT by MBR_ID, DOS_THRU_DT, DX_CD Grain grouped by PAYER, SRC_FILE_NM, DOS_THRU_YYYYMM"/>
  </r>
  <r>
    <x v="2"/>
    <s v="SGOKMRCY_PE202602_REMAO004.TXT"/>
    <x v="115"/>
    <x v="11"/>
    <n v="1063"/>
    <n v="101801"/>
    <n v="1.04"/>
    <s v="DQS_MAO04_FILE_000_B"/>
    <s v="RECORD COUNT by MBR_ID, DOS_THRU_DT, DX_CD Grain grouped by PAYER, SRC_FILE_NM, DOS_THRU_YYYYMM"/>
  </r>
  <r>
    <x v="2"/>
    <s v="SGOKMRCY_PE202602_REMAO004.TXT"/>
    <x v="116"/>
    <x v="11"/>
    <n v="1650"/>
    <n v="101801"/>
    <n v="1.62"/>
    <s v="DQS_MAO04_FILE_000_B"/>
    <s v="RECORD COUNT by MBR_ID, DOS_THRU_DT, DX_CD Grain grouped by PAYER, SRC_FILE_NM, DOS_THRU_YYYYMM"/>
  </r>
  <r>
    <x v="2"/>
    <s v="SGOKMRCY_PE202602_REMAO004.TXT"/>
    <x v="117"/>
    <x v="11"/>
    <n v="2200"/>
    <n v="101801"/>
    <n v="2.16"/>
    <s v="DQS_MAO04_FILE_000_B"/>
    <s v="RECORD COUNT by MBR_ID, DOS_THRU_DT, DX_CD Grain grouped by PAYER, SRC_FILE_NM, DOS_THRU_YYYYMM"/>
  </r>
  <r>
    <x v="2"/>
    <s v="SGOKMRCY_PE202602_REMAO004.TXT"/>
    <x v="118"/>
    <x v="11"/>
    <n v="5527"/>
    <n v="101801"/>
    <n v="5.43"/>
    <s v="DQS_MAO04_FILE_000_B"/>
    <s v="RECORD COUNT by MBR_ID, DOS_THRU_DT, DX_CD Grain grouped by PAYER, SRC_FILE_NM, DOS_THRU_YYYYMM"/>
  </r>
  <r>
    <x v="2"/>
    <s v="SGOKMRCY_PE202602_REMAO004.TXT"/>
    <x v="119"/>
    <x v="11"/>
    <n v="11004"/>
    <n v="101801"/>
    <n v="10.81"/>
    <s v="DQS_MAO04_FILE_000_B"/>
    <s v="RECORD COUNT by MBR_ID, DOS_THRU_DT, DX_CD Grain grouped by PAYER, SRC_FILE_NM, DOS_THRU_YYYYMM"/>
  </r>
  <r>
    <x v="2"/>
    <s v="SGOKMRCY_PE202602_REMAO004.TXT"/>
    <x v="120"/>
    <x v="11"/>
    <n v="39686"/>
    <n v="101801"/>
    <n v="38.979999999999997"/>
    <s v="DQS_MAO04_FILE_000_B"/>
    <s v="RECORD COUNT by MBR_ID, DOS_THRU_DT, DX_CD Grain grouped by PAYER, SRC_FILE_NM, DOS_THRU_YYYYMM"/>
  </r>
  <r>
    <x v="2"/>
    <s v="SGOKMRCY_PE202602_REMAO004.TXT"/>
    <x v="121"/>
    <x v="11"/>
    <n v="34716"/>
    <n v="101801"/>
    <n v="34.1"/>
    <s v="DQS_MAO04_FILE_000_B"/>
    <s v="RECORD COUNT by MBR_ID, DOS_THRU_DT, DX_CD Grain grouped by PAYER, SRC_FILE_NM, DOS_THRU_YYYYMM"/>
  </r>
  <r>
    <x v="2"/>
    <s v="SGOKMRCY_PE202603_REMAO004.TXT"/>
    <x v="75"/>
    <x v="7"/>
    <n v="1"/>
    <n v="83784"/>
    <n v="0"/>
    <s v="DQS_MAO04_FILE_000_B"/>
    <s v="RECORD COUNT by MBR_ID, DOS_THRU_DT, DX_CD Grain grouped by PAYER, SRC_FILE_NM, DOS_THRU_YYYYMM"/>
  </r>
  <r>
    <x v="2"/>
    <s v="SGOKMRCY_PE202603_REMAO004.TXT"/>
    <x v="82"/>
    <x v="8"/>
    <n v="5"/>
    <n v="83784"/>
    <n v="0.01"/>
    <s v="DQS_MAO04_FILE_000_B"/>
    <s v="RECORD COUNT by MBR_ID, DOS_THRU_DT, DX_CD Grain grouped by PAYER, SRC_FILE_NM, DOS_THRU_YYYYMM"/>
  </r>
  <r>
    <x v="2"/>
    <s v="SGOKMRCY_PE202603_REMAO004.TXT"/>
    <x v="83"/>
    <x v="8"/>
    <n v="2"/>
    <n v="83784"/>
    <n v="0"/>
    <s v="DQS_MAO04_FILE_000_B"/>
    <s v="RECORD COUNT by MBR_ID, DOS_THRU_DT, DX_CD Grain grouped by PAYER, SRC_FILE_NM, DOS_THRU_YYYYMM"/>
  </r>
  <r>
    <x v="2"/>
    <s v="SGOKMRCY_PE202603_REMAO004.TXT"/>
    <x v="85"/>
    <x v="8"/>
    <n v="2"/>
    <n v="83784"/>
    <n v="0"/>
    <s v="DQS_MAO04_FILE_000_B"/>
    <s v="RECORD COUNT by MBR_ID, DOS_THRU_DT, DX_CD Grain grouped by PAYER, SRC_FILE_NM, DOS_THRU_YYYYMM"/>
  </r>
  <r>
    <x v="2"/>
    <s v="SGOKMRCY_PE202603_REMAO004.TXT"/>
    <x v="86"/>
    <x v="8"/>
    <n v="1"/>
    <n v="83784"/>
    <n v="0"/>
    <s v="DQS_MAO04_FILE_000_B"/>
    <s v="RECORD COUNT by MBR_ID, DOS_THRU_DT, DX_CD Grain grouped by PAYER, SRC_FILE_NM, DOS_THRU_YYYYMM"/>
  </r>
  <r>
    <x v="2"/>
    <s v="SGOKMRCY_PE202603_REMAO004.TXT"/>
    <x v="87"/>
    <x v="8"/>
    <n v="3"/>
    <n v="83784"/>
    <n v="0"/>
    <s v="DQS_MAO04_FILE_000_B"/>
    <s v="RECORD COUNT by MBR_ID, DOS_THRU_DT, DX_CD Grain grouped by PAYER, SRC_FILE_NM, DOS_THRU_YYYYMM"/>
  </r>
  <r>
    <x v="2"/>
    <s v="SGOKMRCY_PE202603_REMAO004.TXT"/>
    <x v="88"/>
    <x v="8"/>
    <n v="23"/>
    <n v="83784"/>
    <n v="0.03"/>
    <s v="DQS_MAO04_FILE_000_B"/>
    <s v="RECORD COUNT by MBR_ID, DOS_THRU_DT, DX_CD Grain grouped by PAYER, SRC_FILE_NM, DOS_THRU_YYYYMM"/>
  </r>
  <r>
    <x v="2"/>
    <s v="SGOKMRCY_PE202603_REMAO004.TXT"/>
    <x v="89"/>
    <x v="9"/>
    <n v="13"/>
    <n v="83784"/>
    <n v="0.02"/>
    <s v="DQS_MAO04_FILE_000_B"/>
    <s v="RECORD COUNT by MBR_ID, DOS_THRU_DT, DX_CD Grain grouped by PAYER, SRC_FILE_NM, DOS_THRU_YYYYMM"/>
  </r>
  <r>
    <x v="2"/>
    <s v="SGOKMRCY_PE202603_REMAO004.TXT"/>
    <x v="97"/>
    <x v="9"/>
    <n v="24"/>
    <n v="83784"/>
    <n v="0.03"/>
    <s v="DQS_MAO04_FILE_000_B"/>
    <s v="RECORD COUNT by MBR_ID, DOS_THRU_DT, DX_CD Grain grouped by PAYER, SRC_FILE_NM, DOS_THRU_YYYYMM"/>
  </r>
  <r>
    <x v="2"/>
    <s v="SGOKMRCY_PE202603_REMAO004.TXT"/>
    <x v="98"/>
    <x v="9"/>
    <n v="45"/>
    <n v="83784"/>
    <n v="0.05"/>
    <s v="DQS_MAO04_FILE_000_B"/>
    <s v="RECORD COUNT by MBR_ID, DOS_THRU_DT, DX_CD Grain grouped by PAYER, SRC_FILE_NM, DOS_THRU_YYYYMM"/>
  </r>
  <r>
    <x v="2"/>
    <s v="SGOKMRCY_PE202603_REMAO004.TXT"/>
    <x v="99"/>
    <x v="9"/>
    <n v="88"/>
    <n v="83784"/>
    <n v="0.11"/>
    <s v="DQS_MAO04_FILE_000_B"/>
    <s v="RECORD COUNT by MBR_ID, DOS_THRU_DT, DX_CD Grain grouped by PAYER, SRC_FILE_NM, DOS_THRU_YYYYMM"/>
  </r>
  <r>
    <x v="2"/>
    <s v="SGOKMRCY_PE202603_REMAO004.TXT"/>
    <x v="100"/>
    <x v="9"/>
    <n v="147"/>
    <n v="83784"/>
    <n v="0.18"/>
    <s v="DQS_MAO04_FILE_000_B"/>
    <s v="RECORD COUNT by MBR_ID, DOS_THRU_DT, DX_CD Grain grouped by PAYER, SRC_FILE_NM, DOS_THRU_YYYYMM"/>
  </r>
  <r>
    <x v="2"/>
    <s v="SGOKMRCY_PE202603_REMAO004.TXT"/>
    <x v="102"/>
    <x v="9"/>
    <n v="114"/>
    <n v="83784"/>
    <n v="0.14000000000000001"/>
    <s v="DQS_MAO04_FILE_000_B"/>
    <s v="RECORD COUNT by MBR_ID, DOS_THRU_DT, DX_CD Grain grouped by PAYER, SRC_FILE_NM, DOS_THRU_YYYYMM"/>
  </r>
  <r>
    <x v="2"/>
    <s v="SGOKMRCY_PE202603_REMAO004.TXT"/>
    <x v="103"/>
    <x v="9"/>
    <n v="104"/>
    <n v="83784"/>
    <n v="0.12"/>
    <s v="DQS_MAO04_FILE_000_B"/>
    <s v="RECORD COUNT by MBR_ID, DOS_THRU_DT, DX_CD Grain grouped by PAYER, SRC_FILE_NM, DOS_THRU_YYYYMM"/>
  </r>
  <r>
    <x v="2"/>
    <s v="SGOKMRCY_PE202603_REMAO004.TXT"/>
    <x v="105"/>
    <x v="9"/>
    <n v="193"/>
    <n v="83784"/>
    <n v="0.23"/>
    <s v="DQS_MAO04_FILE_000_B"/>
    <s v="RECORD COUNT by MBR_ID, DOS_THRU_DT, DX_CD Grain grouped by PAYER, SRC_FILE_NM, DOS_THRU_YYYYMM"/>
  </r>
  <r>
    <x v="2"/>
    <s v="SGOKMRCY_PE202603_REMAO004.TXT"/>
    <x v="106"/>
    <x v="9"/>
    <n v="162"/>
    <n v="83784"/>
    <n v="0.19"/>
    <s v="DQS_MAO04_FILE_000_B"/>
    <s v="RECORD COUNT by MBR_ID, DOS_THRU_DT, DX_CD Grain grouped by PAYER, SRC_FILE_NM, DOS_THRU_YYYYMM"/>
  </r>
  <r>
    <x v="2"/>
    <s v="SGOKMRCY_PE202603_REMAO004.TXT"/>
    <x v="107"/>
    <x v="9"/>
    <n v="142"/>
    <n v="83784"/>
    <n v="0.17"/>
    <s v="DQS_MAO04_FILE_000_B"/>
    <s v="RECORD COUNT by MBR_ID, DOS_THRU_DT, DX_CD Grain grouped by PAYER, SRC_FILE_NM, DOS_THRU_YYYYMM"/>
  </r>
  <r>
    <x v="2"/>
    <s v="SGOKMRCY_PE202603_REMAO004.TXT"/>
    <x v="108"/>
    <x v="9"/>
    <n v="193"/>
    <n v="83784"/>
    <n v="0.23"/>
    <s v="DQS_MAO04_FILE_000_B"/>
    <s v="RECORD COUNT by MBR_ID, DOS_THRU_DT, DX_CD Grain grouped by PAYER, SRC_FILE_NM, DOS_THRU_YYYYMM"/>
  </r>
  <r>
    <x v="2"/>
    <s v="SGOKMRCY_PE202603_REMAO004.TXT"/>
    <x v="109"/>
    <x v="9"/>
    <n v="267"/>
    <n v="83784"/>
    <n v="0.32"/>
    <s v="DQS_MAO04_FILE_000_B"/>
    <s v="RECORD COUNT by MBR_ID, DOS_THRU_DT, DX_CD Grain grouped by PAYER, SRC_FILE_NM, DOS_THRU_YYYYMM"/>
  </r>
  <r>
    <x v="2"/>
    <s v="SGOKMRCY_PE202603_REMAO004.TXT"/>
    <x v="110"/>
    <x v="11"/>
    <n v="435"/>
    <n v="83784"/>
    <n v="0.52"/>
    <s v="DQS_MAO04_FILE_000_B"/>
    <s v="RECORD COUNT by MBR_ID, DOS_THRU_DT, DX_CD Grain grouped by PAYER, SRC_FILE_NM, DOS_THRU_YYYYMM"/>
  </r>
  <r>
    <x v="2"/>
    <s v="SGOKMRCY_PE202603_REMAO004.TXT"/>
    <x v="111"/>
    <x v="11"/>
    <n v="357"/>
    <n v="83784"/>
    <n v="0.43"/>
    <s v="DQS_MAO04_FILE_000_B"/>
    <s v="RECORD COUNT by MBR_ID, DOS_THRU_DT, DX_CD Grain grouped by PAYER, SRC_FILE_NM, DOS_THRU_YYYYMM"/>
  </r>
  <r>
    <x v="2"/>
    <s v="SGOKMRCY_PE202603_REMAO004.TXT"/>
    <x v="112"/>
    <x v="11"/>
    <n v="543"/>
    <n v="83784"/>
    <n v="0.65"/>
    <s v="DQS_MAO04_FILE_000_B"/>
    <s v="RECORD COUNT by MBR_ID, DOS_THRU_DT, DX_CD Grain grouped by PAYER, SRC_FILE_NM, DOS_THRU_YYYYMM"/>
  </r>
  <r>
    <x v="2"/>
    <s v="SGOKMRCY_PE202603_REMAO004.TXT"/>
    <x v="113"/>
    <x v="11"/>
    <n v="477"/>
    <n v="83784"/>
    <n v="0.56999999999999995"/>
    <s v="DQS_MAO04_FILE_000_B"/>
    <s v="RECORD COUNT by MBR_ID, DOS_THRU_DT, DX_CD Grain grouped by PAYER, SRC_FILE_NM, DOS_THRU_YYYYMM"/>
  </r>
  <r>
    <x v="2"/>
    <s v="SGOKMRCY_PE202603_REMAO004.TXT"/>
    <x v="114"/>
    <x v="11"/>
    <n v="703"/>
    <n v="83784"/>
    <n v="0.84"/>
    <s v="DQS_MAO04_FILE_000_B"/>
    <s v="RECORD COUNT by MBR_ID, DOS_THRU_DT, DX_CD Grain grouped by PAYER, SRC_FILE_NM, DOS_THRU_YYYYMM"/>
  </r>
  <r>
    <x v="2"/>
    <s v="SGOKMRCY_PE202603_REMAO004.TXT"/>
    <x v="115"/>
    <x v="11"/>
    <n v="923"/>
    <n v="83784"/>
    <n v="1.1000000000000001"/>
    <s v="DQS_MAO04_FILE_000_B"/>
    <s v="RECORD COUNT by MBR_ID, DOS_THRU_DT, DX_CD Grain grouped by PAYER, SRC_FILE_NM, DOS_THRU_YYYYMM"/>
  </r>
  <r>
    <x v="2"/>
    <s v="SGOKMRCY_PE202603_REMAO004.TXT"/>
    <x v="116"/>
    <x v="11"/>
    <n v="844"/>
    <n v="83784"/>
    <n v="1.01"/>
    <s v="DQS_MAO04_FILE_000_B"/>
    <s v="RECORD COUNT by MBR_ID, DOS_THRU_DT, DX_CD Grain grouped by PAYER, SRC_FILE_NM, DOS_THRU_YYYYMM"/>
  </r>
  <r>
    <x v="2"/>
    <s v="SGOKMRCY_PE202603_REMAO004.TXT"/>
    <x v="117"/>
    <x v="11"/>
    <n v="728"/>
    <n v="83784"/>
    <n v="0.87"/>
    <s v="DQS_MAO04_FILE_000_B"/>
    <s v="RECORD COUNT by MBR_ID, DOS_THRU_DT, DX_CD Grain grouped by PAYER, SRC_FILE_NM, DOS_THRU_YYYYMM"/>
  </r>
  <r>
    <x v="2"/>
    <s v="SGOKMRCY_PE202603_REMAO004.TXT"/>
    <x v="118"/>
    <x v="11"/>
    <n v="2090"/>
    <n v="83784"/>
    <n v="2.4900000000000002"/>
    <s v="DQS_MAO04_FILE_000_B"/>
    <s v="RECORD COUNT by MBR_ID, DOS_THRU_DT, DX_CD Grain grouped by PAYER, SRC_FILE_NM, DOS_THRU_YYYYMM"/>
  </r>
  <r>
    <x v="2"/>
    <s v="SGOKMRCY_PE202603_REMAO004.TXT"/>
    <x v="119"/>
    <x v="11"/>
    <n v="3077"/>
    <n v="83784"/>
    <n v="3.67"/>
    <s v="DQS_MAO04_FILE_000_B"/>
    <s v="RECORD COUNT by MBR_ID, DOS_THRU_DT, DX_CD Grain grouped by PAYER, SRC_FILE_NM, DOS_THRU_YYYYMM"/>
  </r>
  <r>
    <x v="2"/>
    <s v="SGOKMRCY_PE202603_REMAO004.TXT"/>
    <x v="120"/>
    <x v="11"/>
    <n v="5284"/>
    <n v="83784"/>
    <n v="6.31"/>
    <s v="DQS_MAO04_FILE_000_B"/>
    <s v="RECORD COUNT by MBR_ID, DOS_THRU_DT, DX_CD Grain grouped by PAYER, SRC_FILE_NM, DOS_THRU_YYYYMM"/>
  </r>
  <r>
    <x v="2"/>
    <s v="SGOKMRCY_PE202603_REMAO004.TXT"/>
    <x v="121"/>
    <x v="11"/>
    <n v="33494"/>
    <n v="83784"/>
    <n v="39.979999999999997"/>
    <s v="DQS_MAO04_FILE_000_B"/>
    <s v="RECORD COUNT by MBR_ID, DOS_THRU_DT, DX_CD Grain grouped by PAYER, SRC_FILE_NM, DOS_THRU_YYYYMM"/>
  </r>
  <r>
    <x v="2"/>
    <s v="SGOKMRCY_PE202603_REMAO004.TXT"/>
    <x v="122"/>
    <x v="12"/>
    <n v="33300"/>
    <n v="83784"/>
    <n v="39.75"/>
    <s v="DQS_MAO04_FILE_000_B"/>
    <s v="RECORD COUNT by MBR_ID, DOS_THRU_DT, DX_CD Grain grouped by PAYER, SRC_FILE_NM, DOS_THRU_YYYYMM"/>
  </r>
  <r>
    <x v="2"/>
    <s v="SGOKMRCY_PE202604_REMAO004.TXT"/>
    <x v="80"/>
    <x v="8"/>
    <n v="1"/>
    <n v="79405"/>
    <n v="0"/>
    <s v="DQS_MAO04_FILE_000_B"/>
    <s v="RECORD COUNT by MBR_ID, DOS_THRU_DT, DX_CD Grain grouped by PAYER, SRC_FILE_NM, DOS_THRU_YYYYMM"/>
  </r>
  <r>
    <x v="2"/>
    <s v="SGOKMRCY_PE202604_REMAO004.TXT"/>
    <x v="81"/>
    <x v="8"/>
    <n v="28"/>
    <n v="79405"/>
    <n v="0.04"/>
    <s v="DQS_MAO04_FILE_000_B"/>
    <s v="RECORD COUNT by MBR_ID, DOS_THRU_DT, DX_CD Grain grouped by PAYER, SRC_FILE_NM, DOS_THRU_YYYYMM"/>
  </r>
  <r>
    <x v="2"/>
    <s v="SGOKMRCY_PE202604_REMAO004.TXT"/>
    <x v="82"/>
    <x v="8"/>
    <n v="8"/>
    <n v="79405"/>
    <n v="0.01"/>
    <s v="DQS_MAO04_FILE_000_B"/>
    <s v="RECORD COUNT by MBR_ID, DOS_THRU_DT, DX_CD Grain grouped by PAYER, SRC_FILE_NM, DOS_THRU_YYYYMM"/>
  </r>
  <r>
    <x v="2"/>
    <s v="SGOKMRCY_PE202604_REMAO004.TXT"/>
    <x v="83"/>
    <x v="8"/>
    <n v="9"/>
    <n v="79405"/>
    <n v="0.01"/>
    <s v="DQS_MAO04_FILE_000_B"/>
    <s v="RECORD COUNT by MBR_ID, DOS_THRU_DT, DX_CD Grain grouped by PAYER, SRC_FILE_NM, DOS_THRU_YYYYMM"/>
  </r>
  <r>
    <x v="2"/>
    <s v="SGOKMRCY_PE202604_REMAO004.TXT"/>
    <x v="84"/>
    <x v="8"/>
    <n v="33"/>
    <n v="79405"/>
    <n v="0.04"/>
    <s v="DQS_MAO04_FILE_000_B"/>
    <s v="RECORD COUNT by MBR_ID, DOS_THRU_DT, DX_CD Grain grouped by PAYER, SRC_FILE_NM, DOS_THRU_YYYYMM"/>
  </r>
  <r>
    <x v="2"/>
    <s v="SGOKMRCY_PE202604_REMAO004.TXT"/>
    <x v="85"/>
    <x v="8"/>
    <n v="11"/>
    <n v="79405"/>
    <n v="0.01"/>
    <s v="DQS_MAO04_FILE_000_B"/>
    <s v="RECORD COUNT by MBR_ID, DOS_THRU_DT, DX_CD Grain grouped by PAYER, SRC_FILE_NM, DOS_THRU_YYYYMM"/>
  </r>
  <r>
    <x v="2"/>
    <s v="SGOKMRCY_PE202604_REMAO004.TXT"/>
    <x v="86"/>
    <x v="8"/>
    <n v="22"/>
    <n v="79405"/>
    <n v="0.03"/>
    <s v="DQS_MAO04_FILE_000_B"/>
    <s v="RECORD COUNT by MBR_ID, DOS_THRU_DT, DX_CD Grain grouped by PAYER, SRC_FILE_NM, DOS_THRU_YYYYMM"/>
  </r>
  <r>
    <x v="2"/>
    <s v="SGOKMRCY_PE202604_REMAO004.TXT"/>
    <x v="87"/>
    <x v="8"/>
    <n v="14"/>
    <n v="79405"/>
    <n v="0.02"/>
    <s v="DQS_MAO04_FILE_000_B"/>
    <s v="RECORD COUNT by MBR_ID, DOS_THRU_DT, DX_CD Grain grouped by PAYER, SRC_FILE_NM, DOS_THRU_YYYYMM"/>
  </r>
  <r>
    <x v="2"/>
    <s v="SGOKMRCY_PE202604_REMAO004.TXT"/>
    <x v="88"/>
    <x v="8"/>
    <n v="9"/>
    <n v="79405"/>
    <n v="0.01"/>
    <s v="DQS_MAO04_FILE_000_B"/>
    <s v="RECORD COUNT by MBR_ID, DOS_THRU_DT, DX_CD Grain grouped by PAYER, SRC_FILE_NM, DOS_THRU_YYYYMM"/>
  </r>
  <r>
    <x v="2"/>
    <s v="SGOKMRCY_PE202604_REMAO004.TXT"/>
    <x v="89"/>
    <x v="9"/>
    <n v="5"/>
    <n v="79405"/>
    <n v="0.01"/>
    <s v="DQS_MAO04_FILE_000_B"/>
    <s v="RECORD COUNT by MBR_ID, DOS_THRU_DT, DX_CD Grain grouped by PAYER, SRC_FILE_NM, DOS_THRU_YYYYMM"/>
  </r>
  <r>
    <x v="2"/>
    <s v="SGOKMRCY_PE202604_REMAO004.TXT"/>
    <x v="97"/>
    <x v="9"/>
    <n v="16"/>
    <n v="79405"/>
    <n v="0.02"/>
    <s v="DQS_MAO04_FILE_000_B"/>
    <s v="RECORD COUNT by MBR_ID, DOS_THRU_DT, DX_CD Grain grouped by PAYER, SRC_FILE_NM, DOS_THRU_YYYYMM"/>
  </r>
  <r>
    <x v="2"/>
    <s v="SGOKMRCY_PE202604_REMAO004.TXT"/>
    <x v="98"/>
    <x v="9"/>
    <n v="24"/>
    <n v="79405"/>
    <n v="0.03"/>
    <s v="DQS_MAO04_FILE_000_B"/>
    <s v="RECORD COUNT by MBR_ID, DOS_THRU_DT, DX_CD Grain grouped by PAYER, SRC_FILE_NM, DOS_THRU_YYYYMM"/>
  </r>
  <r>
    <x v="2"/>
    <s v="SGOKMRCY_PE202604_REMAO004.TXT"/>
    <x v="99"/>
    <x v="9"/>
    <n v="37"/>
    <n v="79405"/>
    <n v="0.05"/>
    <s v="DQS_MAO04_FILE_000_B"/>
    <s v="RECORD COUNT by MBR_ID, DOS_THRU_DT, DX_CD Grain grouped by PAYER, SRC_FILE_NM, DOS_THRU_YYYYMM"/>
  </r>
  <r>
    <x v="2"/>
    <s v="SGOKMRCY_PE202604_REMAO004.TXT"/>
    <x v="100"/>
    <x v="9"/>
    <n v="17"/>
    <n v="79405"/>
    <n v="0.02"/>
    <s v="DQS_MAO04_FILE_000_B"/>
    <s v="RECORD COUNT by MBR_ID, DOS_THRU_DT, DX_CD Grain grouped by PAYER, SRC_FILE_NM, DOS_THRU_YYYYMM"/>
  </r>
  <r>
    <x v="2"/>
    <s v="SGOKMRCY_PE202604_REMAO004.TXT"/>
    <x v="102"/>
    <x v="9"/>
    <n v="53"/>
    <n v="79405"/>
    <n v="7.0000000000000007E-2"/>
    <s v="DQS_MAO04_FILE_000_B"/>
    <s v="RECORD COUNT by MBR_ID, DOS_THRU_DT, DX_CD Grain grouped by PAYER, SRC_FILE_NM, DOS_THRU_YYYYMM"/>
  </r>
  <r>
    <x v="2"/>
    <s v="SGOKMRCY_PE202604_REMAO004.TXT"/>
    <x v="103"/>
    <x v="9"/>
    <n v="58"/>
    <n v="79405"/>
    <n v="7.0000000000000007E-2"/>
    <s v="DQS_MAO04_FILE_000_B"/>
    <s v="RECORD COUNT by MBR_ID, DOS_THRU_DT, DX_CD Grain grouped by PAYER, SRC_FILE_NM, DOS_THRU_YYYYMM"/>
  </r>
  <r>
    <x v="2"/>
    <s v="SGOKMRCY_PE202604_REMAO004.TXT"/>
    <x v="105"/>
    <x v="9"/>
    <n v="46"/>
    <n v="79405"/>
    <n v="0.06"/>
    <s v="DQS_MAO04_FILE_000_B"/>
    <s v="RECORD COUNT by MBR_ID, DOS_THRU_DT, DX_CD Grain grouped by PAYER, SRC_FILE_NM, DOS_THRU_YYYYMM"/>
  </r>
  <r>
    <x v="2"/>
    <s v="SGOKMRCY_PE202604_REMAO004.TXT"/>
    <x v="106"/>
    <x v="9"/>
    <n v="75"/>
    <n v="79405"/>
    <n v="0.09"/>
    <s v="DQS_MAO04_FILE_000_B"/>
    <s v="RECORD COUNT by MBR_ID, DOS_THRU_DT, DX_CD Grain grouped by PAYER, SRC_FILE_NM, DOS_THRU_YYYYMM"/>
  </r>
  <r>
    <x v="2"/>
    <s v="SGOKMRCY_PE202604_REMAO004.TXT"/>
    <x v="107"/>
    <x v="9"/>
    <n v="73"/>
    <n v="79405"/>
    <n v="0.09"/>
    <s v="DQS_MAO04_FILE_000_B"/>
    <s v="RECORD COUNT by MBR_ID, DOS_THRU_DT, DX_CD Grain grouped by PAYER, SRC_FILE_NM, DOS_THRU_YYYYMM"/>
  </r>
  <r>
    <x v="2"/>
    <s v="SGOKMRCY_PE202604_REMAO004.TXT"/>
    <x v="108"/>
    <x v="9"/>
    <n v="36"/>
    <n v="79405"/>
    <n v="0.05"/>
    <s v="DQS_MAO04_FILE_000_B"/>
    <s v="RECORD COUNT by MBR_ID, DOS_THRU_DT, DX_CD Grain grouped by PAYER, SRC_FILE_NM, DOS_THRU_YYYYMM"/>
  </r>
  <r>
    <x v="2"/>
    <s v="SGOKMRCY_PE202604_REMAO004.TXT"/>
    <x v="109"/>
    <x v="9"/>
    <n v="68"/>
    <n v="79405"/>
    <n v="0.09"/>
    <s v="DQS_MAO04_FILE_000_B"/>
    <s v="RECORD COUNT by MBR_ID, DOS_THRU_DT, DX_CD Grain grouped by PAYER, SRC_FILE_NM, DOS_THRU_YYYYMM"/>
  </r>
  <r>
    <x v="2"/>
    <s v="SGOKMRCY_PE202604_REMAO004.TXT"/>
    <x v="110"/>
    <x v="11"/>
    <n v="200"/>
    <n v="79405"/>
    <n v="0.25"/>
    <s v="DQS_MAO04_FILE_000_B"/>
    <s v="RECORD COUNT by MBR_ID, DOS_THRU_DT, DX_CD Grain grouped by PAYER, SRC_FILE_NM, DOS_THRU_YYYYMM"/>
  </r>
  <r>
    <x v="2"/>
    <s v="SGOKMRCY_PE202604_REMAO004.TXT"/>
    <x v="111"/>
    <x v="11"/>
    <n v="304"/>
    <n v="79405"/>
    <n v="0.38"/>
    <s v="DQS_MAO04_FILE_000_B"/>
    <s v="RECORD COUNT by MBR_ID, DOS_THRU_DT, DX_CD Grain grouped by PAYER, SRC_FILE_NM, DOS_THRU_YYYYMM"/>
  </r>
  <r>
    <x v="2"/>
    <s v="SGOKMRCY_PE202604_REMAO004.TXT"/>
    <x v="112"/>
    <x v="11"/>
    <n v="447"/>
    <n v="79405"/>
    <n v="0.56000000000000005"/>
    <s v="DQS_MAO04_FILE_000_B"/>
    <s v="RECORD COUNT by MBR_ID, DOS_THRU_DT, DX_CD Grain grouped by PAYER, SRC_FILE_NM, DOS_THRU_YYYYMM"/>
  </r>
  <r>
    <x v="2"/>
    <s v="SGOKMRCY_PE202604_REMAO004.TXT"/>
    <x v="113"/>
    <x v="11"/>
    <n v="322"/>
    <n v="79405"/>
    <n v="0.41"/>
    <s v="DQS_MAO04_FILE_000_B"/>
    <s v="RECORD COUNT by MBR_ID, DOS_THRU_DT, DX_CD Grain grouped by PAYER, SRC_FILE_NM, DOS_THRU_YYYYMM"/>
  </r>
  <r>
    <x v="2"/>
    <s v="SGOKMRCY_PE202604_REMAO004.TXT"/>
    <x v="114"/>
    <x v="11"/>
    <n v="445"/>
    <n v="79405"/>
    <n v="0.56000000000000005"/>
    <s v="DQS_MAO04_FILE_000_B"/>
    <s v="RECORD COUNT by MBR_ID, DOS_THRU_DT, DX_CD Grain grouped by PAYER, SRC_FILE_NM, DOS_THRU_YYYYMM"/>
  </r>
  <r>
    <x v="2"/>
    <s v="SGOKMRCY_PE202604_REMAO004.TXT"/>
    <x v="115"/>
    <x v="11"/>
    <n v="521"/>
    <n v="79405"/>
    <n v="0.66"/>
    <s v="DQS_MAO04_FILE_000_B"/>
    <s v="RECORD COUNT by MBR_ID, DOS_THRU_DT, DX_CD Grain grouped by PAYER, SRC_FILE_NM, DOS_THRU_YYYYMM"/>
  </r>
  <r>
    <x v="2"/>
    <s v="SGOKMRCY_PE202604_REMAO004.TXT"/>
    <x v="116"/>
    <x v="11"/>
    <n v="463"/>
    <n v="79405"/>
    <n v="0.57999999999999996"/>
    <s v="DQS_MAO04_FILE_000_B"/>
    <s v="RECORD COUNT by MBR_ID, DOS_THRU_DT, DX_CD Grain grouped by PAYER, SRC_FILE_NM, DOS_THRU_YYYYMM"/>
  </r>
  <r>
    <x v="2"/>
    <s v="SGOKMRCY_PE202604_REMAO004.TXT"/>
    <x v="117"/>
    <x v="11"/>
    <n v="452"/>
    <n v="79405"/>
    <n v="0.56999999999999995"/>
    <s v="DQS_MAO04_FILE_000_B"/>
    <s v="RECORD COUNT by MBR_ID, DOS_THRU_DT, DX_CD Grain grouped by PAYER, SRC_FILE_NM, DOS_THRU_YYYYMM"/>
  </r>
  <r>
    <x v="2"/>
    <s v="SGOKMRCY_PE202604_REMAO004.TXT"/>
    <x v="118"/>
    <x v="11"/>
    <n v="686"/>
    <n v="79405"/>
    <n v="0.86"/>
    <s v="DQS_MAO04_FILE_000_B"/>
    <s v="RECORD COUNT by MBR_ID, DOS_THRU_DT, DX_CD Grain grouped by PAYER, SRC_FILE_NM, DOS_THRU_YYYYMM"/>
  </r>
  <r>
    <x v="2"/>
    <s v="SGOKMRCY_PE202604_REMAO004.TXT"/>
    <x v="119"/>
    <x v="11"/>
    <n v="940"/>
    <n v="79405"/>
    <n v="1.18"/>
    <s v="DQS_MAO04_FILE_000_B"/>
    <s v="RECORD COUNT by MBR_ID, DOS_THRU_DT, DX_CD Grain grouped by PAYER, SRC_FILE_NM, DOS_THRU_YYYYMM"/>
  </r>
  <r>
    <x v="2"/>
    <s v="SGOKMRCY_PE202604_REMAO004.TXT"/>
    <x v="120"/>
    <x v="11"/>
    <n v="1123"/>
    <n v="79405"/>
    <n v="1.41"/>
    <s v="DQS_MAO04_FILE_000_B"/>
    <s v="RECORD COUNT by MBR_ID, DOS_THRU_DT, DX_CD Grain grouped by PAYER, SRC_FILE_NM, DOS_THRU_YYYYMM"/>
  </r>
  <r>
    <x v="2"/>
    <s v="SGOKMRCY_PE202604_REMAO004.TXT"/>
    <x v="121"/>
    <x v="11"/>
    <n v="4061"/>
    <n v="79405"/>
    <n v="5.1100000000000003"/>
    <s v="DQS_MAO04_FILE_000_B"/>
    <s v="RECORD COUNT by MBR_ID, DOS_THRU_DT, DX_CD Grain grouped by PAYER, SRC_FILE_NM, DOS_THRU_YYYYMM"/>
  </r>
  <r>
    <x v="2"/>
    <s v="SGOKMRCY_PE202604_REMAO004.TXT"/>
    <x v="122"/>
    <x v="12"/>
    <n v="42975"/>
    <n v="79405"/>
    <n v="54.12"/>
    <s v="DQS_MAO04_FILE_000_B"/>
    <s v="RECORD COUNT by MBR_ID, DOS_THRU_DT, DX_CD Grain grouped by PAYER, SRC_FILE_NM, DOS_THRU_YYYYMM"/>
  </r>
  <r>
    <x v="2"/>
    <s v="SGOKMRCY_PE202604_REMAO004.TXT"/>
    <x v="123"/>
    <x v="12"/>
    <n v="25823"/>
    <n v="79405"/>
    <n v="32.520000000000003"/>
    <s v="DQS_MAO04_FILE_000_B"/>
    <s v="RECORD COUNT by MBR_ID, DOS_THRU_DT, DX_CD Grain grouped by PAYER, SRC_FILE_NM, DOS_THRU_YYYYMM"/>
  </r>
  <r>
    <x v="2"/>
    <s v="SGOKMRCY_PE202605_REMAO004.TXT"/>
    <x v="64"/>
    <x v="6"/>
    <n v="2"/>
    <n v="134437"/>
    <n v="0"/>
    <s v="DQS_MAO04_FILE_000_B"/>
    <s v="RECORD COUNT by MBR_ID, DOS_THRU_DT, DX_CD Grain grouped by PAYER, SRC_FILE_NM, DOS_THRU_YYYYMM"/>
  </r>
  <r>
    <x v="2"/>
    <s v="SGOKMRCY_PE202605_REMAO004.TXT"/>
    <x v="70"/>
    <x v="7"/>
    <n v="2"/>
    <n v="134437"/>
    <n v="0"/>
    <s v="DQS_MAO04_FILE_000_B"/>
    <s v="RECORD COUNT by MBR_ID, DOS_THRU_DT, DX_CD Grain grouped by PAYER, SRC_FILE_NM, DOS_THRU_YYYYMM"/>
  </r>
  <r>
    <x v="2"/>
    <s v="SGOKMRCY_PE202605_REMAO004.TXT"/>
    <x v="74"/>
    <x v="7"/>
    <n v="2"/>
    <n v="134437"/>
    <n v="0"/>
    <s v="DQS_MAO04_FILE_000_B"/>
    <s v="RECORD COUNT by MBR_ID, DOS_THRU_DT, DX_CD Grain grouped by PAYER, SRC_FILE_NM, DOS_THRU_YYYYMM"/>
  </r>
  <r>
    <x v="2"/>
    <s v="SGOKMRCY_PE202605_REMAO004.TXT"/>
    <x v="76"/>
    <x v="7"/>
    <n v="2"/>
    <n v="134437"/>
    <n v="0"/>
    <s v="DQS_MAO04_FILE_000_B"/>
    <s v="RECORD COUNT by MBR_ID, DOS_THRU_DT, DX_CD Grain grouped by PAYER, SRC_FILE_NM, DOS_THRU_YYYYMM"/>
  </r>
  <r>
    <x v="2"/>
    <s v="SGOKMRCY_PE202605_REMAO004.TXT"/>
    <x v="83"/>
    <x v="8"/>
    <n v="4"/>
    <n v="134437"/>
    <n v="0"/>
    <s v="DQS_MAO04_FILE_000_B"/>
    <s v="RECORD COUNT by MBR_ID, DOS_THRU_DT, DX_CD Grain grouped by PAYER, SRC_FILE_NM, DOS_THRU_YYYYMM"/>
  </r>
  <r>
    <x v="2"/>
    <s v="SGOKMRCY_PE202605_REMAO004.TXT"/>
    <x v="85"/>
    <x v="8"/>
    <n v="1"/>
    <n v="134437"/>
    <n v="0"/>
    <s v="DQS_MAO04_FILE_000_B"/>
    <s v="RECORD COUNT by MBR_ID, DOS_THRU_DT, DX_CD Grain grouped by PAYER, SRC_FILE_NM, DOS_THRU_YYYYMM"/>
  </r>
  <r>
    <x v="2"/>
    <s v="SGOKMRCY_PE202605_REMAO004.TXT"/>
    <x v="86"/>
    <x v="8"/>
    <n v="26"/>
    <n v="134437"/>
    <n v="0.02"/>
    <s v="DQS_MAO04_FILE_000_B"/>
    <s v="RECORD COUNT by MBR_ID, DOS_THRU_DT, DX_CD Grain grouped by PAYER, SRC_FILE_NM, DOS_THRU_YYYYMM"/>
  </r>
  <r>
    <x v="2"/>
    <s v="SGOKMRCY_PE202605_REMAO004.TXT"/>
    <x v="88"/>
    <x v="8"/>
    <n v="2"/>
    <n v="134437"/>
    <n v="0"/>
    <s v="DQS_MAO04_FILE_000_B"/>
    <s v="RECORD COUNT by MBR_ID, DOS_THRU_DT, DX_CD Grain grouped by PAYER, SRC_FILE_NM, DOS_THRU_YYYYMM"/>
  </r>
  <r>
    <x v="2"/>
    <s v="SGOKMRCY_PE202605_REMAO004.TXT"/>
    <x v="89"/>
    <x v="9"/>
    <n v="25"/>
    <n v="134437"/>
    <n v="0.02"/>
    <s v="DQS_MAO04_FILE_000_B"/>
    <s v="RECORD COUNT by MBR_ID, DOS_THRU_DT, DX_CD Grain grouped by PAYER, SRC_FILE_NM, DOS_THRU_YYYYMM"/>
  </r>
  <r>
    <x v="2"/>
    <s v="SGOKMRCY_PE202605_REMAO004.TXT"/>
    <x v="97"/>
    <x v="9"/>
    <n v="26"/>
    <n v="134437"/>
    <n v="0.02"/>
    <s v="DQS_MAO04_FILE_000_B"/>
    <s v="RECORD COUNT by MBR_ID, DOS_THRU_DT, DX_CD Grain grouped by PAYER, SRC_FILE_NM, DOS_THRU_YYYYMM"/>
  </r>
  <r>
    <x v="2"/>
    <s v="SGOKMRCY_PE202605_REMAO004.TXT"/>
    <x v="98"/>
    <x v="9"/>
    <n v="2"/>
    <n v="134437"/>
    <n v="0"/>
    <s v="DQS_MAO04_FILE_000_B"/>
    <s v="RECORD COUNT by MBR_ID, DOS_THRU_DT, DX_CD Grain grouped by PAYER, SRC_FILE_NM, DOS_THRU_YYYYMM"/>
  </r>
  <r>
    <x v="2"/>
    <s v="SGOKMRCY_PE202605_REMAO004.TXT"/>
    <x v="99"/>
    <x v="9"/>
    <n v="25"/>
    <n v="134437"/>
    <n v="0.02"/>
    <s v="DQS_MAO04_FILE_000_B"/>
    <s v="RECORD COUNT by MBR_ID, DOS_THRU_DT, DX_CD Grain grouped by PAYER, SRC_FILE_NM, DOS_THRU_YYYYMM"/>
  </r>
  <r>
    <x v="2"/>
    <s v="SGOKMRCY_PE202605_REMAO004.TXT"/>
    <x v="100"/>
    <x v="9"/>
    <n v="40"/>
    <n v="134437"/>
    <n v="0.03"/>
    <s v="DQS_MAO04_FILE_000_B"/>
    <s v="RECORD COUNT by MBR_ID, DOS_THRU_DT, DX_CD Grain grouped by PAYER, SRC_FILE_NM, DOS_THRU_YYYYMM"/>
  </r>
  <r>
    <x v="2"/>
    <s v="SGOKMRCY_PE202605_REMAO004.TXT"/>
    <x v="102"/>
    <x v="9"/>
    <n v="104"/>
    <n v="134437"/>
    <n v="0.08"/>
    <s v="DQS_MAO04_FILE_000_B"/>
    <s v="RECORD COUNT by MBR_ID, DOS_THRU_DT, DX_CD Grain grouped by PAYER, SRC_FILE_NM, DOS_THRU_YYYYMM"/>
  </r>
  <r>
    <x v="2"/>
    <s v="SGOKMRCY_PE202605_REMAO004.TXT"/>
    <x v="103"/>
    <x v="9"/>
    <n v="69"/>
    <n v="134437"/>
    <n v="0.05"/>
    <s v="DQS_MAO04_FILE_000_B"/>
    <s v="RECORD COUNT by MBR_ID, DOS_THRU_DT, DX_CD Grain grouped by PAYER, SRC_FILE_NM, DOS_THRU_YYYYMM"/>
  </r>
  <r>
    <x v="2"/>
    <s v="SGOKMRCY_PE202605_REMAO004.TXT"/>
    <x v="105"/>
    <x v="9"/>
    <n v="97"/>
    <n v="134437"/>
    <n v="7.0000000000000007E-2"/>
    <s v="DQS_MAO04_FILE_000_B"/>
    <s v="RECORD COUNT by MBR_ID, DOS_THRU_DT, DX_CD Grain grouped by PAYER, SRC_FILE_NM, DOS_THRU_YYYYMM"/>
  </r>
  <r>
    <x v="2"/>
    <s v="SGOKMRCY_PE202605_REMAO004.TXT"/>
    <x v="106"/>
    <x v="9"/>
    <n v="31"/>
    <n v="134437"/>
    <n v="0.02"/>
    <s v="DQS_MAO04_FILE_000_B"/>
    <s v="RECORD COUNT by MBR_ID, DOS_THRU_DT, DX_CD Grain grouped by PAYER, SRC_FILE_NM, DOS_THRU_YYYYMM"/>
  </r>
  <r>
    <x v="2"/>
    <s v="SGOKMRCY_PE202605_REMAO004.TXT"/>
    <x v="107"/>
    <x v="9"/>
    <n v="182"/>
    <n v="134437"/>
    <n v="0.14000000000000001"/>
    <s v="DQS_MAO04_FILE_000_B"/>
    <s v="RECORD COUNT by MBR_ID, DOS_THRU_DT, DX_CD Grain grouped by PAYER, SRC_FILE_NM, DOS_THRU_YYYYMM"/>
  </r>
  <r>
    <x v="2"/>
    <s v="SGOKMRCY_PE202605_REMAO004.TXT"/>
    <x v="108"/>
    <x v="9"/>
    <n v="86"/>
    <n v="134437"/>
    <n v="0.06"/>
    <s v="DQS_MAO04_FILE_000_B"/>
    <s v="RECORD COUNT by MBR_ID, DOS_THRU_DT, DX_CD Grain grouped by PAYER, SRC_FILE_NM, DOS_THRU_YYYYMM"/>
  </r>
  <r>
    <x v="2"/>
    <s v="SGOKMRCY_PE202605_REMAO004.TXT"/>
    <x v="109"/>
    <x v="9"/>
    <n v="184"/>
    <n v="134437"/>
    <n v="0.14000000000000001"/>
    <s v="DQS_MAO04_FILE_000_B"/>
    <s v="RECORD COUNT by MBR_ID, DOS_THRU_DT, DX_CD Grain grouped by PAYER, SRC_FILE_NM, DOS_THRU_YYYYMM"/>
  </r>
  <r>
    <x v="2"/>
    <s v="SGOKMRCY_PE202605_REMAO004.TXT"/>
    <x v="110"/>
    <x v="11"/>
    <n v="700"/>
    <n v="134437"/>
    <n v="0.52"/>
    <s v="DQS_MAO04_FILE_000_B"/>
    <s v="RECORD COUNT by MBR_ID, DOS_THRU_DT, DX_CD Grain grouped by PAYER, SRC_FILE_NM, DOS_THRU_YYYYMM"/>
  </r>
  <r>
    <x v="2"/>
    <s v="SGOKMRCY_PE202605_REMAO004.TXT"/>
    <x v="111"/>
    <x v="11"/>
    <n v="497"/>
    <n v="134437"/>
    <n v="0.37"/>
    <s v="DQS_MAO04_FILE_000_B"/>
    <s v="RECORD COUNT by MBR_ID, DOS_THRU_DT, DX_CD Grain grouped by PAYER, SRC_FILE_NM, DOS_THRU_YYYYMM"/>
  </r>
  <r>
    <x v="2"/>
    <s v="SGOKMRCY_PE202605_REMAO004.TXT"/>
    <x v="112"/>
    <x v="11"/>
    <n v="751"/>
    <n v="134437"/>
    <n v="0.56000000000000005"/>
    <s v="DQS_MAO04_FILE_000_B"/>
    <s v="RECORD COUNT by MBR_ID, DOS_THRU_DT, DX_CD Grain grouped by PAYER, SRC_FILE_NM, DOS_THRU_YYYYMM"/>
  </r>
  <r>
    <x v="2"/>
    <s v="SGOKMRCY_PE202605_REMAO004.TXT"/>
    <x v="113"/>
    <x v="11"/>
    <n v="721"/>
    <n v="134437"/>
    <n v="0.54"/>
    <s v="DQS_MAO04_FILE_000_B"/>
    <s v="RECORD COUNT by MBR_ID, DOS_THRU_DT, DX_CD Grain grouped by PAYER, SRC_FILE_NM, DOS_THRU_YYYYMM"/>
  </r>
  <r>
    <x v="2"/>
    <s v="SGOKMRCY_PE202605_REMAO004.TXT"/>
    <x v="114"/>
    <x v="11"/>
    <n v="819"/>
    <n v="134437"/>
    <n v="0.61"/>
    <s v="DQS_MAO04_FILE_000_B"/>
    <s v="RECORD COUNT by MBR_ID, DOS_THRU_DT, DX_CD Grain grouped by PAYER, SRC_FILE_NM, DOS_THRU_YYYYMM"/>
  </r>
  <r>
    <x v="2"/>
    <s v="SGOKMRCY_PE202605_REMAO004.TXT"/>
    <x v="115"/>
    <x v="11"/>
    <n v="846"/>
    <n v="134437"/>
    <n v="0.63"/>
    <s v="DQS_MAO04_FILE_000_B"/>
    <s v="RECORD COUNT by MBR_ID, DOS_THRU_DT, DX_CD Grain grouped by PAYER, SRC_FILE_NM, DOS_THRU_YYYYMM"/>
  </r>
  <r>
    <x v="2"/>
    <s v="SGOKMRCY_PE202605_REMAO004.TXT"/>
    <x v="116"/>
    <x v="11"/>
    <n v="924"/>
    <n v="134437"/>
    <n v="0.69"/>
    <s v="DQS_MAO04_FILE_000_B"/>
    <s v="RECORD COUNT by MBR_ID, DOS_THRU_DT, DX_CD Grain grouped by PAYER, SRC_FILE_NM, DOS_THRU_YYYYMM"/>
  </r>
  <r>
    <x v="2"/>
    <s v="SGOKMRCY_PE202605_REMAO004.TXT"/>
    <x v="117"/>
    <x v="11"/>
    <n v="679"/>
    <n v="134437"/>
    <n v="0.51"/>
    <s v="DQS_MAO04_FILE_000_B"/>
    <s v="RECORD COUNT by MBR_ID, DOS_THRU_DT, DX_CD Grain grouped by PAYER, SRC_FILE_NM, DOS_THRU_YYYYMM"/>
  </r>
  <r>
    <x v="2"/>
    <s v="SGOKMRCY_PE202605_REMAO004.TXT"/>
    <x v="118"/>
    <x v="11"/>
    <n v="1012"/>
    <n v="134437"/>
    <n v="0.75"/>
    <s v="DQS_MAO04_FILE_000_B"/>
    <s v="RECORD COUNT by MBR_ID, DOS_THRU_DT, DX_CD Grain grouped by PAYER, SRC_FILE_NM, DOS_THRU_YYYYMM"/>
  </r>
  <r>
    <x v="2"/>
    <s v="SGOKMRCY_PE202605_REMAO004.TXT"/>
    <x v="119"/>
    <x v="11"/>
    <n v="1435"/>
    <n v="134437"/>
    <n v="1.07"/>
    <s v="DQS_MAO04_FILE_000_B"/>
    <s v="RECORD COUNT by MBR_ID, DOS_THRU_DT, DX_CD Grain grouped by PAYER, SRC_FILE_NM, DOS_THRU_YYYYMM"/>
  </r>
  <r>
    <x v="2"/>
    <s v="SGOKMRCY_PE202605_REMAO004.TXT"/>
    <x v="120"/>
    <x v="11"/>
    <n v="1339"/>
    <n v="134437"/>
    <n v="1"/>
    <s v="DQS_MAO04_FILE_000_B"/>
    <s v="RECORD COUNT by MBR_ID, DOS_THRU_DT, DX_CD Grain grouped by PAYER, SRC_FILE_NM, DOS_THRU_YYYYMM"/>
  </r>
  <r>
    <x v="2"/>
    <s v="SGOKMRCY_PE202605_REMAO004.TXT"/>
    <x v="121"/>
    <x v="11"/>
    <n v="2691"/>
    <n v="134437"/>
    <n v="2"/>
    <s v="DQS_MAO04_FILE_000_B"/>
    <s v="RECORD COUNT by MBR_ID, DOS_THRU_DT, DX_CD Grain grouped by PAYER, SRC_FILE_NM, DOS_THRU_YYYYMM"/>
  </r>
  <r>
    <x v="2"/>
    <s v="SGOKMRCY_PE202605_REMAO004.TXT"/>
    <x v="122"/>
    <x v="12"/>
    <n v="14280"/>
    <n v="134437"/>
    <n v="10.62"/>
    <s v="DQS_MAO04_FILE_000_B"/>
    <s v="RECORD COUNT by MBR_ID, DOS_THRU_DT, DX_CD Grain grouped by PAYER, SRC_FILE_NM, DOS_THRU_YYYYMM"/>
  </r>
  <r>
    <x v="2"/>
    <s v="SGOKMRCY_PE202605_REMAO004.TXT"/>
    <x v="123"/>
    <x v="12"/>
    <n v="64662"/>
    <n v="134437"/>
    <n v="48.1"/>
    <s v="DQS_MAO04_FILE_000_B"/>
    <s v="RECORD COUNT by MBR_ID, DOS_THRU_DT, DX_CD Grain grouped by PAYER, SRC_FILE_NM, DOS_THRU_YYYYMM"/>
  </r>
  <r>
    <x v="2"/>
    <s v="SGOKMRCY_PE202605_REMAO004.TXT"/>
    <x v="124"/>
    <x v="12"/>
    <n v="42169"/>
    <n v="134437"/>
    <n v="31.37"/>
    <s v="DQS_MAO04_FILE_000_B"/>
    <s v="RECORD COUNT by MBR_ID, DOS_THRU_DT, DX_CD Grain grouped by PAYER, SRC_FILE_NM, DOS_THRU_YYYYMM"/>
  </r>
  <r>
    <x v="2"/>
    <s v="SGOKMRCY_PE202606_REMAO004.TXT"/>
    <x v="67"/>
    <x v="7"/>
    <n v="2"/>
    <n v="109955"/>
    <n v="0"/>
    <s v="DQS_MAO04_FILE_000_B"/>
    <s v="RECORD COUNT by MBR_ID, DOS_THRU_DT, DX_CD Grain grouped by PAYER, SRC_FILE_NM, DOS_THRU_YYYYMM"/>
  </r>
  <r>
    <x v="2"/>
    <s v="SGOKMRCY_PE202606_REMAO004.TXT"/>
    <x v="88"/>
    <x v="8"/>
    <n v="3"/>
    <n v="109955"/>
    <n v="0"/>
    <s v="DQS_MAO04_FILE_000_B"/>
    <s v="RECORD COUNT by MBR_ID, DOS_THRU_DT, DX_CD Grain grouped by PAYER, SRC_FILE_NM, DOS_THRU_YYYYMM"/>
  </r>
  <r>
    <x v="2"/>
    <s v="SGOKMRCY_PE202606_REMAO004.TXT"/>
    <x v="98"/>
    <x v="9"/>
    <n v="4"/>
    <n v="109955"/>
    <n v="0"/>
    <s v="DQS_MAO04_FILE_000_B"/>
    <s v="RECORD COUNT by MBR_ID, DOS_THRU_DT, DX_CD Grain grouped by PAYER, SRC_FILE_NM, DOS_THRU_YYYYMM"/>
  </r>
  <r>
    <x v="2"/>
    <s v="SGOKMRCY_PE202606_REMAO004.TXT"/>
    <x v="99"/>
    <x v="9"/>
    <n v="11"/>
    <n v="109955"/>
    <n v="0.01"/>
    <s v="DQS_MAO04_FILE_000_B"/>
    <s v="RECORD COUNT by MBR_ID, DOS_THRU_DT, DX_CD Grain grouped by PAYER, SRC_FILE_NM, DOS_THRU_YYYYMM"/>
  </r>
  <r>
    <x v="2"/>
    <s v="SGOKMRCY_PE202606_REMAO004.TXT"/>
    <x v="100"/>
    <x v="9"/>
    <n v="3"/>
    <n v="109955"/>
    <n v="0"/>
    <s v="DQS_MAO04_FILE_000_B"/>
    <s v="RECORD COUNT by MBR_ID, DOS_THRU_DT, DX_CD Grain grouped by PAYER, SRC_FILE_NM, DOS_THRU_YYYYMM"/>
  </r>
  <r>
    <x v="2"/>
    <s v="SGOKMRCY_PE202606_REMAO004.TXT"/>
    <x v="102"/>
    <x v="9"/>
    <n v="19"/>
    <n v="109955"/>
    <n v="0.02"/>
    <s v="DQS_MAO04_FILE_000_B"/>
    <s v="RECORD COUNT by MBR_ID, DOS_THRU_DT, DX_CD Grain grouped by PAYER, SRC_FILE_NM, DOS_THRU_YYYYMM"/>
  </r>
  <r>
    <x v="2"/>
    <s v="SGOKMRCY_PE202606_REMAO004.TXT"/>
    <x v="103"/>
    <x v="9"/>
    <n v="31"/>
    <n v="109955"/>
    <n v="0.03"/>
    <s v="DQS_MAO04_FILE_000_B"/>
    <s v="RECORD COUNT by MBR_ID, DOS_THRU_DT, DX_CD Grain grouped by PAYER, SRC_FILE_NM, DOS_THRU_YYYYMM"/>
  </r>
  <r>
    <x v="2"/>
    <s v="SGOKMRCY_PE202606_REMAO004.TXT"/>
    <x v="105"/>
    <x v="9"/>
    <n v="22"/>
    <n v="109955"/>
    <n v="0.02"/>
    <s v="DQS_MAO04_FILE_000_B"/>
    <s v="RECORD COUNT by MBR_ID, DOS_THRU_DT, DX_CD Grain grouped by PAYER, SRC_FILE_NM, DOS_THRU_YYYYMM"/>
  </r>
  <r>
    <x v="2"/>
    <s v="SGOKMRCY_PE202606_REMAO004.TXT"/>
    <x v="106"/>
    <x v="9"/>
    <n v="43"/>
    <n v="109955"/>
    <n v="0.04"/>
    <s v="DQS_MAO04_FILE_000_B"/>
    <s v="RECORD COUNT by MBR_ID, DOS_THRU_DT, DX_CD Grain grouped by PAYER, SRC_FILE_NM, DOS_THRU_YYYYMM"/>
  </r>
  <r>
    <x v="2"/>
    <s v="SGOKMRCY_PE202606_REMAO004.TXT"/>
    <x v="107"/>
    <x v="9"/>
    <n v="45"/>
    <n v="109955"/>
    <n v="0.04"/>
    <s v="DQS_MAO04_FILE_000_B"/>
    <s v="RECORD COUNT by MBR_ID, DOS_THRU_DT, DX_CD Grain grouped by PAYER, SRC_FILE_NM, DOS_THRU_YYYYMM"/>
  </r>
  <r>
    <x v="2"/>
    <s v="SGOKMRCY_PE202606_REMAO004.TXT"/>
    <x v="108"/>
    <x v="9"/>
    <n v="53"/>
    <n v="109955"/>
    <n v="0.05"/>
    <s v="DQS_MAO04_FILE_000_B"/>
    <s v="RECORD COUNT by MBR_ID, DOS_THRU_DT, DX_CD Grain grouped by PAYER, SRC_FILE_NM, DOS_THRU_YYYYMM"/>
  </r>
  <r>
    <x v="2"/>
    <s v="SGOKMRCY_PE202606_REMAO004.TXT"/>
    <x v="109"/>
    <x v="9"/>
    <n v="55"/>
    <n v="109955"/>
    <n v="0.05"/>
    <s v="DQS_MAO04_FILE_000_B"/>
    <s v="RECORD COUNT by MBR_ID, DOS_THRU_DT, DX_CD Grain grouped by PAYER, SRC_FILE_NM, DOS_THRU_YYYYMM"/>
  </r>
  <r>
    <x v="2"/>
    <s v="SGOKMRCY_PE202606_REMAO004.TXT"/>
    <x v="110"/>
    <x v="11"/>
    <n v="220"/>
    <n v="109955"/>
    <n v="0.2"/>
    <s v="DQS_MAO04_FILE_000_B"/>
    <s v="RECORD COUNT by MBR_ID, DOS_THRU_DT, DX_CD Grain grouped by PAYER, SRC_FILE_NM, DOS_THRU_YYYYMM"/>
  </r>
  <r>
    <x v="2"/>
    <s v="SGOKMRCY_PE202606_REMAO004.TXT"/>
    <x v="111"/>
    <x v="11"/>
    <n v="231"/>
    <n v="109955"/>
    <n v="0.21"/>
    <s v="DQS_MAO04_FILE_000_B"/>
    <s v="RECORD COUNT by MBR_ID, DOS_THRU_DT, DX_CD Grain grouped by PAYER, SRC_FILE_NM, DOS_THRU_YYYYMM"/>
  </r>
  <r>
    <x v="2"/>
    <s v="SGOKMRCY_PE202606_REMAO004.TXT"/>
    <x v="112"/>
    <x v="11"/>
    <n v="336"/>
    <n v="109955"/>
    <n v="0.31"/>
    <s v="DQS_MAO04_FILE_000_B"/>
    <s v="RECORD COUNT by MBR_ID, DOS_THRU_DT, DX_CD Grain grouped by PAYER, SRC_FILE_NM, DOS_THRU_YYYYMM"/>
  </r>
  <r>
    <x v="2"/>
    <s v="SGOKMRCY_PE202606_REMAO004.TXT"/>
    <x v="113"/>
    <x v="11"/>
    <n v="390"/>
    <n v="109955"/>
    <n v="0.35"/>
    <s v="DQS_MAO04_FILE_000_B"/>
    <s v="RECORD COUNT by MBR_ID, DOS_THRU_DT, DX_CD Grain grouped by PAYER, SRC_FILE_NM, DOS_THRU_YYYYMM"/>
  </r>
  <r>
    <x v="2"/>
    <s v="SGOKMRCY_PE202606_REMAO004.TXT"/>
    <x v="114"/>
    <x v="11"/>
    <n v="364"/>
    <n v="109955"/>
    <n v="0.33"/>
    <s v="DQS_MAO04_FILE_000_B"/>
    <s v="RECORD COUNT by MBR_ID, DOS_THRU_DT, DX_CD Grain grouped by PAYER, SRC_FILE_NM, DOS_THRU_YYYYMM"/>
  </r>
  <r>
    <x v="2"/>
    <s v="SGOKMRCY_PE202606_REMAO004.TXT"/>
    <x v="115"/>
    <x v="11"/>
    <n v="465"/>
    <n v="109955"/>
    <n v="0.42"/>
    <s v="DQS_MAO04_FILE_000_B"/>
    <s v="RECORD COUNT by MBR_ID, DOS_THRU_DT, DX_CD Grain grouped by PAYER, SRC_FILE_NM, DOS_THRU_YYYYMM"/>
  </r>
  <r>
    <x v="2"/>
    <s v="SGOKMRCY_PE202606_REMAO004.TXT"/>
    <x v="116"/>
    <x v="11"/>
    <n v="460"/>
    <n v="109955"/>
    <n v="0.42"/>
    <s v="DQS_MAO04_FILE_000_B"/>
    <s v="RECORD COUNT by MBR_ID, DOS_THRU_DT, DX_CD Grain grouped by PAYER, SRC_FILE_NM, DOS_THRU_YYYYMM"/>
  </r>
  <r>
    <x v="2"/>
    <s v="SGOKMRCY_PE202606_REMAO004.TXT"/>
    <x v="117"/>
    <x v="11"/>
    <n v="296"/>
    <n v="109955"/>
    <n v="0.27"/>
    <s v="DQS_MAO04_FILE_000_B"/>
    <s v="RECORD COUNT by MBR_ID, DOS_THRU_DT, DX_CD Grain grouped by PAYER, SRC_FILE_NM, DOS_THRU_YYYYMM"/>
  </r>
  <r>
    <x v="2"/>
    <s v="SGOKMRCY_PE202606_REMAO004.TXT"/>
    <x v="118"/>
    <x v="11"/>
    <n v="578"/>
    <n v="109955"/>
    <n v="0.53"/>
    <s v="DQS_MAO04_FILE_000_B"/>
    <s v="RECORD COUNT by MBR_ID, DOS_THRU_DT, DX_CD Grain grouped by PAYER, SRC_FILE_NM, DOS_THRU_YYYYMM"/>
  </r>
  <r>
    <x v="2"/>
    <s v="SGOKMRCY_PE202606_REMAO004.TXT"/>
    <x v="119"/>
    <x v="11"/>
    <n v="780"/>
    <n v="109955"/>
    <n v="0.71"/>
    <s v="DQS_MAO04_FILE_000_B"/>
    <s v="RECORD COUNT by MBR_ID, DOS_THRU_DT, DX_CD Grain grouped by PAYER, SRC_FILE_NM, DOS_THRU_YYYYMM"/>
  </r>
  <r>
    <x v="2"/>
    <s v="SGOKMRCY_PE202606_REMAO004.TXT"/>
    <x v="120"/>
    <x v="11"/>
    <n v="920"/>
    <n v="109955"/>
    <n v="0.84"/>
    <s v="DQS_MAO04_FILE_000_B"/>
    <s v="RECORD COUNT by MBR_ID, DOS_THRU_DT, DX_CD Grain grouped by PAYER, SRC_FILE_NM, DOS_THRU_YYYYMM"/>
  </r>
  <r>
    <x v="2"/>
    <s v="SGOKMRCY_PE202606_REMAO004.TXT"/>
    <x v="121"/>
    <x v="11"/>
    <n v="1587"/>
    <n v="109955"/>
    <n v="1.44"/>
    <s v="DQS_MAO04_FILE_000_B"/>
    <s v="RECORD COUNT by MBR_ID, DOS_THRU_DT, DX_CD Grain grouped by PAYER, SRC_FILE_NM, DOS_THRU_YYYYMM"/>
  </r>
  <r>
    <x v="2"/>
    <s v="SGOKMRCY_PE202606_REMAO004.TXT"/>
    <x v="122"/>
    <x v="12"/>
    <n v="3607"/>
    <n v="109955"/>
    <n v="3.28"/>
    <s v="DQS_MAO04_FILE_000_B"/>
    <s v="RECORD COUNT by MBR_ID, DOS_THRU_DT, DX_CD Grain grouped by PAYER, SRC_FILE_NM, DOS_THRU_YYYYMM"/>
  </r>
  <r>
    <x v="2"/>
    <s v="SGOKMRCY_PE202606_REMAO004.TXT"/>
    <x v="123"/>
    <x v="12"/>
    <n v="7160"/>
    <n v="109955"/>
    <n v="6.51"/>
    <s v="DQS_MAO04_FILE_000_B"/>
    <s v="RECORD COUNT by MBR_ID, DOS_THRU_DT, DX_CD Grain grouped by PAYER, SRC_FILE_NM, DOS_THRU_YYYYMM"/>
  </r>
  <r>
    <x v="2"/>
    <s v="SGOKMRCY_PE202606_REMAO004.TXT"/>
    <x v="124"/>
    <x v="12"/>
    <n v="55745"/>
    <n v="109955"/>
    <n v="50.7"/>
    <s v="DQS_MAO04_FILE_000_B"/>
    <s v="RECORD COUNT by MBR_ID, DOS_THRU_DT, DX_CD Grain grouped by PAYER, SRC_FILE_NM, DOS_THRU_YYYYMM"/>
  </r>
  <r>
    <x v="2"/>
    <s v="SGOKMRCY_PE202606_REMAO004.TXT"/>
    <x v="125"/>
    <x v="12"/>
    <n v="36525"/>
    <n v="109955"/>
    <n v="33.22"/>
    <s v="DQS_MAO04_FILE_000_B"/>
    <s v="RECORD COUNT by MBR_ID, DOS_THRU_DT, DX_CD Grain grouped by PAYER, SRC_FILE_NM, DOS_THRU_YYYYMM"/>
  </r>
  <r>
    <x v="3"/>
    <s v="MERCYAFFILIATES_MAO_YTD_THRU_Apr_2025_RUNOUT.txt"/>
    <x v="110"/>
    <x v="11"/>
    <n v="270713"/>
    <n v="3202203"/>
    <n v="8.4499999999999993"/>
    <s v="DQS_MAO04_FILE_000_B"/>
    <s v="RECORD COUNT by MBR_ID, DOS_THRU_DT, DX_CD Grain grouped by PAYER, SRC_FILE_NM, DOS_THRU_YYYYMM"/>
  </r>
  <r>
    <x v="3"/>
    <s v="MERCYAFFILIATES_MAO_YTD_THRU_Apr_2025_RUNOUT.txt"/>
    <x v="111"/>
    <x v="11"/>
    <n v="258805"/>
    <n v="3202203"/>
    <n v="8.08"/>
    <s v="DQS_MAO04_FILE_000_B"/>
    <s v="RECORD COUNT by MBR_ID, DOS_THRU_DT, DX_CD Grain grouped by PAYER, SRC_FILE_NM, DOS_THRU_YYYYMM"/>
  </r>
  <r>
    <x v="3"/>
    <s v="MERCYAFFILIATES_MAO_YTD_THRU_Apr_2025_RUNOUT.txt"/>
    <x v="112"/>
    <x v="11"/>
    <n v="293516"/>
    <n v="3202203"/>
    <n v="9.17"/>
    <s v="DQS_MAO04_FILE_000_B"/>
    <s v="RECORD COUNT by MBR_ID, DOS_THRU_DT, DX_CD Grain grouped by PAYER, SRC_FILE_NM, DOS_THRU_YYYYMM"/>
  </r>
  <r>
    <x v="3"/>
    <s v="MERCYAFFILIATES_MAO_YTD_THRU_Apr_2025_RUNOUT.txt"/>
    <x v="113"/>
    <x v="11"/>
    <n v="305743"/>
    <n v="3202203"/>
    <n v="9.5500000000000007"/>
    <s v="DQS_MAO04_FILE_000_B"/>
    <s v="RECORD COUNT by MBR_ID, DOS_THRU_DT, DX_CD Grain grouped by PAYER, SRC_FILE_NM, DOS_THRU_YYYYMM"/>
  </r>
  <r>
    <x v="3"/>
    <s v="MERCYAFFILIATES_MAO_YTD_THRU_Apr_2025_RUNOUT.txt"/>
    <x v="114"/>
    <x v="11"/>
    <n v="291155"/>
    <n v="3202203"/>
    <n v="9.09"/>
    <s v="DQS_MAO04_FILE_000_B"/>
    <s v="RECORD COUNT by MBR_ID, DOS_THRU_DT, DX_CD Grain grouped by PAYER, SRC_FILE_NM, DOS_THRU_YYYYMM"/>
  </r>
  <r>
    <x v="3"/>
    <s v="MERCYAFFILIATES_MAO_YTD_THRU_Apr_2025_RUNOUT.txt"/>
    <x v="115"/>
    <x v="11"/>
    <n v="277173"/>
    <n v="3202203"/>
    <n v="8.66"/>
    <s v="DQS_MAO04_FILE_000_B"/>
    <s v="RECORD COUNT by MBR_ID, DOS_THRU_DT, DX_CD Grain grouped by PAYER, SRC_FILE_NM, DOS_THRU_YYYYMM"/>
  </r>
  <r>
    <x v="3"/>
    <s v="MERCYAFFILIATES_MAO_YTD_THRU_Apr_2025_RUNOUT.txt"/>
    <x v="116"/>
    <x v="11"/>
    <n v="256973"/>
    <n v="3202203"/>
    <n v="8.02"/>
    <s v="DQS_MAO04_FILE_000_B"/>
    <s v="RECORD COUNT by MBR_ID, DOS_THRU_DT, DX_CD Grain grouped by PAYER, SRC_FILE_NM, DOS_THRU_YYYYMM"/>
  </r>
  <r>
    <x v="3"/>
    <s v="MERCYAFFILIATES_MAO_YTD_THRU_Apr_2025_RUNOUT.txt"/>
    <x v="117"/>
    <x v="11"/>
    <n v="242733"/>
    <n v="3202203"/>
    <n v="7.58"/>
    <s v="DQS_MAO04_FILE_000_B"/>
    <s v="RECORD COUNT by MBR_ID, DOS_THRU_DT, DX_CD Grain grouped by PAYER, SRC_FILE_NM, DOS_THRU_YYYYMM"/>
  </r>
  <r>
    <x v="3"/>
    <s v="MERCYAFFILIATES_MAO_YTD_THRU_Apr_2025_RUNOUT.txt"/>
    <x v="118"/>
    <x v="11"/>
    <n v="250615"/>
    <n v="3202203"/>
    <n v="7.83"/>
    <s v="DQS_MAO04_FILE_000_B"/>
    <s v="RECORD COUNT by MBR_ID, DOS_THRU_DT, DX_CD Grain grouped by PAYER, SRC_FILE_NM, DOS_THRU_YYYYMM"/>
  </r>
  <r>
    <x v="3"/>
    <s v="MERCYAFFILIATES_MAO_YTD_THRU_Apr_2025_RUNOUT.txt"/>
    <x v="119"/>
    <x v="11"/>
    <n v="280153"/>
    <n v="3202203"/>
    <n v="8.75"/>
    <s v="DQS_MAO04_FILE_000_B"/>
    <s v="RECORD COUNT by MBR_ID, DOS_THRU_DT, DX_CD Grain grouped by PAYER, SRC_FILE_NM, DOS_THRU_YYYYMM"/>
  </r>
  <r>
    <x v="3"/>
    <s v="MERCYAFFILIATES_MAO_YTD_THRU_Apr_2025_RUNOUT.txt"/>
    <x v="120"/>
    <x v="11"/>
    <n v="234310"/>
    <n v="3202203"/>
    <n v="7.32"/>
    <s v="DQS_MAO04_FILE_000_B"/>
    <s v="RECORD COUNT by MBR_ID, DOS_THRU_DT, DX_CD Grain grouped by PAYER, SRC_FILE_NM, DOS_THRU_YYYYMM"/>
  </r>
  <r>
    <x v="3"/>
    <s v="MERCYAFFILIATES_MAO_YTD_THRU_Apr_2025_RUNOUT.txt"/>
    <x v="121"/>
    <x v="11"/>
    <n v="240314"/>
    <n v="3202203"/>
    <n v="7.5"/>
    <s v="DQS_MAO04_FILE_000_B"/>
    <s v="RECORD COUNT by MBR_ID, DOS_THRU_DT, DX_CD Grain grouped by PAYER, SRC_FILE_NM, DOS_THRU_YYYYMM"/>
  </r>
  <r>
    <x v="3"/>
    <s v="MERCYAFFILIATES_MAO_YTD_THRU_Apr_2026.txt"/>
    <x v="122"/>
    <x v="12"/>
    <n v="181093"/>
    <n v="513368"/>
    <n v="35.28"/>
    <s v="DQS_MAO04_FILE_000_B"/>
    <s v="RECORD COUNT by MBR_ID, DOS_THRU_DT, DX_CD Grain grouped by PAYER, SRC_FILE_NM, DOS_THRU_YYYYMM"/>
  </r>
  <r>
    <x v="3"/>
    <s v="MERCYAFFILIATES_MAO_YTD_THRU_Apr_2026.txt"/>
    <x v="123"/>
    <x v="12"/>
    <n v="178486"/>
    <n v="513368"/>
    <n v="34.770000000000003"/>
    <s v="DQS_MAO04_FILE_000_B"/>
    <s v="RECORD COUNT by MBR_ID, DOS_THRU_DT, DX_CD Grain grouped by PAYER, SRC_FILE_NM, DOS_THRU_YYYYMM"/>
  </r>
  <r>
    <x v="3"/>
    <s v="MERCYAFFILIATES_MAO_YTD_THRU_Apr_2026.txt"/>
    <x v="124"/>
    <x v="12"/>
    <n v="153417"/>
    <n v="513368"/>
    <n v="29.88"/>
    <s v="DQS_MAO04_FILE_000_B"/>
    <s v="RECORD COUNT by MBR_ID, DOS_THRU_DT, DX_CD Grain grouped by PAYER, SRC_FILE_NM, DOS_THRU_YYYYMM"/>
  </r>
  <r>
    <x v="3"/>
    <s v="MERCYAFFILIATES_MAO_YTD_THRU_Apr_2026.txt"/>
    <x v="125"/>
    <x v="12"/>
    <n v="372"/>
    <n v="513368"/>
    <n v="7.0000000000000007E-2"/>
    <s v="DQS_MAO04_FILE_000_B"/>
    <s v="RECORD COUNT by MBR_ID, DOS_THRU_DT, DX_CD Grain grouped by PAYER, SRC_FILE_NM, DOS_THRU_YYYYMM"/>
  </r>
  <r>
    <x v="3"/>
    <s v="MERCYAFFILIATES_MAO_YTD_THRU_Aug_2025.txt"/>
    <x v="110"/>
    <x v="11"/>
    <n v="255841"/>
    <n v="1737885"/>
    <n v="14.72"/>
    <s v="DQS_MAO04_FILE_000_B"/>
    <s v="RECORD COUNT by MBR_ID, DOS_THRU_DT, DX_CD Grain grouped by PAYER, SRC_FILE_NM, DOS_THRU_YYYYMM"/>
  </r>
  <r>
    <x v="3"/>
    <s v="MERCYAFFILIATES_MAO_YTD_THRU_Aug_2025.txt"/>
    <x v="111"/>
    <x v="11"/>
    <n v="244635"/>
    <n v="1737885"/>
    <n v="14.08"/>
    <s v="DQS_MAO04_FILE_000_B"/>
    <s v="RECORD COUNT by MBR_ID, DOS_THRU_DT, DX_CD Grain grouped by PAYER, SRC_FILE_NM, DOS_THRU_YYYYMM"/>
  </r>
  <r>
    <x v="3"/>
    <s v="MERCYAFFILIATES_MAO_YTD_THRU_Aug_2025.txt"/>
    <x v="112"/>
    <x v="11"/>
    <n v="276219"/>
    <n v="1737885"/>
    <n v="15.89"/>
    <s v="DQS_MAO04_FILE_000_B"/>
    <s v="RECORD COUNT by MBR_ID, DOS_THRU_DT, DX_CD Grain grouped by PAYER, SRC_FILE_NM, DOS_THRU_YYYYMM"/>
  </r>
  <r>
    <x v="3"/>
    <s v="MERCYAFFILIATES_MAO_YTD_THRU_Aug_2025.txt"/>
    <x v="113"/>
    <x v="11"/>
    <n v="285606"/>
    <n v="1737885"/>
    <n v="16.43"/>
    <s v="DQS_MAO04_FILE_000_B"/>
    <s v="RECORD COUNT by MBR_ID, DOS_THRU_DT, DX_CD Grain grouped by PAYER, SRC_FILE_NM, DOS_THRU_YYYYMM"/>
  </r>
  <r>
    <x v="3"/>
    <s v="MERCYAFFILIATES_MAO_YTD_THRU_Aug_2025.txt"/>
    <x v="114"/>
    <x v="11"/>
    <n v="266780"/>
    <n v="1737885"/>
    <n v="15.35"/>
    <s v="DQS_MAO04_FILE_000_B"/>
    <s v="RECORD COUNT by MBR_ID, DOS_THRU_DT, DX_CD Grain grouped by PAYER, SRC_FILE_NM, DOS_THRU_YYYYMM"/>
  </r>
  <r>
    <x v="3"/>
    <s v="MERCYAFFILIATES_MAO_YTD_THRU_Aug_2025.txt"/>
    <x v="115"/>
    <x v="11"/>
    <n v="247621"/>
    <n v="1737885"/>
    <n v="14.25"/>
    <s v="DQS_MAO04_FILE_000_B"/>
    <s v="RECORD COUNT by MBR_ID, DOS_THRU_DT, DX_CD Grain grouped by PAYER, SRC_FILE_NM, DOS_THRU_YYYYMM"/>
  </r>
  <r>
    <x v="3"/>
    <s v="MERCYAFFILIATES_MAO_YTD_THRU_Aug_2025.txt"/>
    <x v="116"/>
    <x v="11"/>
    <n v="156108"/>
    <n v="1737885"/>
    <n v="8.98"/>
    <s v="DQS_MAO04_FILE_000_B"/>
    <s v="RECORD COUNT by MBR_ID, DOS_THRU_DT, DX_CD Grain grouped by PAYER, SRC_FILE_NM, DOS_THRU_YYYYMM"/>
  </r>
  <r>
    <x v="3"/>
    <s v="MERCYAFFILIATES_MAO_YTD_THRU_Aug_2025.txt"/>
    <x v="117"/>
    <x v="11"/>
    <n v="5075"/>
    <n v="1737885"/>
    <n v="0.28999999999999998"/>
    <s v="DQS_MAO04_FILE_000_B"/>
    <s v="RECORD COUNT by MBR_ID, DOS_THRU_DT, DX_CD Grain grouped by PAYER, SRC_FILE_NM, DOS_THRU_YYYYMM"/>
  </r>
  <r>
    <x v="3"/>
    <s v="MERCYAFFILIATES_MAO_YTD_THRU_Dec_2025.txt"/>
    <x v="110"/>
    <x v="11"/>
    <n v="265688"/>
    <n v="2795359"/>
    <n v="9.5"/>
    <s v="DQS_MAO04_FILE_000_B"/>
    <s v="RECORD COUNT by MBR_ID, DOS_THRU_DT, DX_CD Grain grouped by PAYER, SRC_FILE_NM, DOS_THRU_YYYYMM"/>
  </r>
  <r>
    <x v="3"/>
    <s v="MERCYAFFILIATES_MAO_YTD_THRU_Dec_2025.txt"/>
    <x v="111"/>
    <x v="11"/>
    <n v="254666"/>
    <n v="2795359"/>
    <n v="9.11"/>
    <s v="DQS_MAO04_FILE_000_B"/>
    <s v="RECORD COUNT by MBR_ID, DOS_THRU_DT, DX_CD Grain grouped by PAYER, SRC_FILE_NM, DOS_THRU_YYYYMM"/>
  </r>
  <r>
    <x v="3"/>
    <s v="MERCYAFFILIATES_MAO_YTD_THRU_Dec_2025.txt"/>
    <x v="112"/>
    <x v="11"/>
    <n v="289018"/>
    <n v="2795359"/>
    <n v="10.34"/>
    <s v="DQS_MAO04_FILE_000_B"/>
    <s v="RECORD COUNT by MBR_ID, DOS_THRU_DT, DX_CD Grain grouped by PAYER, SRC_FILE_NM, DOS_THRU_YYYYMM"/>
  </r>
  <r>
    <x v="3"/>
    <s v="MERCYAFFILIATES_MAO_YTD_THRU_Dec_2025.txt"/>
    <x v="113"/>
    <x v="11"/>
    <n v="299203"/>
    <n v="2795359"/>
    <n v="10.7"/>
    <s v="DQS_MAO04_FILE_000_B"/>
    <s v="RECORD COUNT by MBR_ID, DOS_THRU_DT, DX_CD Grain grouped by PAYER, SRC_FILE_NM, DOS_THRU_YYYYMM"/>
  </r>
  <r>
    <x v="3"/>
    <s v="MERCYAFFILIATES_MAO_YTD_THRU_Dec_2025.txt"/>
    <x v="114"/>
    <x v="11"/>
    <n v="286425"/>
    <n v="2795359"/>
    <n v="10.25"/>
    <s v="DQS_MAO04_FILE_000_B"/>
    <s v="RECORD COUNT by MBR_ID, DOS_THRU_DT, DX_CD Grain grouped by PAYER, SRC_FILE_NM, DOS_THRU_YYYYMM"/>
  </r>
  <r>
    <x v="3"/>
    <s v="MERCYAFFILIATES_MAO_YTD_THRU_Dec_2025.txt"/>
    <x v="115"/>
    <x v="11"/>
    <n v="273076"/>
    <n v="2795359"/>
    <n v="9.77"/>
    <s v="DQS_MAO04_FILE_000_B"/>
    <s v="RECORD COUNT by MBR_ID, DOS_THRU_DT, DX_CD Grain grouped by PAYER, SRC_FILE_NM, DOS_THRU_YYYYMM"/>
  </r>
  <r>
    <x v="3"/>
    <s v="MERCYAFFILIATES_MAO_YTD_THRU_Dec_2025.txt"/>
    <x v="116"/>
    <x v="11"/>
    <n v="246885"/>
    <n v="2795359"/>
    <n v="8.83"/>
    <s v="DQS_MAO04_FILE_000_B"/>
    <s v="RECORD COUNT by MBR_ID, DOS_THRU_DT, DX_CD Grain grouped by PAYER, SRC_FILE_NM, DOS_THRU_YYYYMM"/>
  </r>
  <r>
    <x v="3"/>
    <s v="MERCYAFFILIATES_MAO_YTD_THRU_Dec_2025.txt"/>
    <x v="117"/>
    <x v="11"/>
    <n v="234654"/>
    <n v="2795359"/>
    <n v="8.39"/>
    <s v="DQS_MAO04_FILE_000_B"/>
    <s v="RECORD COUNT by MBR_ID, DOS_THRU_DT, DX_CD Grain grouped by PAYER, SRC_FILE_NM, DOS_THRU_YYYYMM"/>
  </r>
  <r>
    <x v="3"/>
    <s v="MERCYAFFILIATES_MAO_YTD_THRU_Dec_2025.txt"/>
    <x v="118"/>
    <x v="11"/>
    <n v="241003"/>
    <n v="2795359"/>
    <n v="8.6199999999999992"/>
    <s v="DQS_MAO04_FILE_000_B"/>
    <s v="RECORD COUNT by MBR_ID, DOS_THRU_DT, DX_CD Grain grouped by PAYER, SRC_FILE_NM, DOS_THRU_YYYYMM"/>
  </r>
  <r>
    <x v="3"/>
    <s v="MERCYAFFILIATES_MAO_YTD_THRU_Dec_2025.txt"/>
    <x v="119"/>
    <x v="11"/>
    <n v="259113"/>
    <n v="2795359"/>
    <n v="9.27"/>
    <s v="DQS_MAO04_FILE_000_B"/>
    <s v="RECORD COUNT by MBR_ID, DOS_THRU_DT, DX_CD Grain grouped by PAYER, SRC_FILE_NM, DOS_THRU_YYYYMM"/>
  </r>
  <r>
    <x v="3"/>
    <s v="MERCYAFFILIATES_MAO_YTD_THRU_Dec_2025.txt"/>
    <x v="120"/>
    <x v="11"/>
    <n v="144082"/>
    <n v="2795359"/>
    <n v="5.15"/>
    <s v="DQS_MAO04_FILE_000_B"/>
    <s v="RECORD COUNT by MBR_ID, DOS_THRU_DT, DX_CD Grain grouped by PAYER, SRC_FILE_NM, DOS_THRU_YYYYMM"/>
  </r>
  <r>
    <x v="3"/>
    <s v="MERCYAFFILIATES_MAO_YTD_THRU_Dec_2025.txt"/>
    <x v="121"/>
    <x v="11"/>
    <n v="1546"/>
    <n v="2795359"/>
    <n v="0.06"/>
    <s v="DQS_MAO04_FILE_000_B"/>
    <s v="RECORD COUNT by MBR_ID, DOS_THRU_DT, DX_CD Grain grouped by PAYER, SRC_FILE_NM, DOS_THRU_YYYYMM"/>
  </r>
  <r>
    <x v="3"/>
    <s v="MERCYAFFILIATES_MAO_YTD_THRU_Feb_2025_RUNOUT.txt"/>
    <x v="110"/>
    <x v="11"/>
    <n v="271698"/>
    <n v="3154391"/>
    <n v="8.61"/>
    <s v="DQS_MAO04_FILE_000_B"/>
    <s v="RECORD COUNT by MBR_ID, DOS_THRU_DT, DX_CD Grain grouped by PAYER, SRC_FILE_NM, DOS_THRU_YYYYMM"/>
  </r>
  <r>
    <x v="3"/>
    <s v="MERCYAFFILIATES_MAO_YTD_THRU_Feb_2025_RUNOUT.txt"/>
    <x v="111"/>
    <x v="11"/>
    <n v="259756"/>
    <n v="3154391"/>
    <n v="8.23"/>
    <s v="DQS_MAO04_FILE_000_B"/>
    <s v="RECORD COUNT by MBR_ID, DOS_THRU_DT, DX_CD Grain grouped by PAYER, SRC_FILE_NM, DOS_THRU_YYYYMM"/>
  </r>
  <r>
    <x v="3"/>
    <s v="MERCYAFFILIATES_MAO_YTD_THRU_Feb_2025_RUNOUT.txt"/>
    <x v="112"/>
    <x v="11"/>
    <n v="290942"/>
    <n v="3154391"/>
    <n v="9.2200000000000006"/>
    <s v="DQS_MAO04_FILE_000_B"/>
    <s v="RECORD COUNT by MBR_ID, DOS_THRU_DT, DX_CD Grain grouped by PAYER, SRC_FILE_NM, DOS_THRU_YYYYMM"/>
  </r>
  <r>
    <x v="3"/>
    <s v="MERCYAFFILIATES_MAO_YTD_THRU_Feb_2025_RUNOUT.txt"/>
    <x v="113"/>
    <x v="11"/>
    <n v="299937"/>
    <n v="3154391"/>
    <n v="9.51"/>
    <s v="DQS_MAO04_FILE_000_B"/>
    <s v="RECORD COUNT by MBR_ID, DOS_THRU_DT, DX_CD Grain grouped by PAYER, SRC_FILE_NM, DOS_THRU_YYYYMM"/>
  </r>
  <r>
    <x v="3"/>
    <s v="MERCYAFFILIATES_MAO_YTD_THRU_Feb_2025_RUNOUT.txt"/>
    <x v="114"/>
    <x v="11"/>
    <n v="287107"/>
    <n v="3154391"/>
    <n v="9.1"/>
    <s v="DQS_MAO04_FILE_000_B"/>
    <s v="RECORD COUNT by MBR_ID, DOS_THRU_DT, DX_CD Grain grouped by PAYER, SRC_FILE_NM, DOS_THRU_YYYYMM"/>
  </r>
  <r>
    <x v="3"/>
    <s v="MERCYAFFILIATES_MAO_YTD_THRU_Feb_2025_RUNOUT.txt"/>
    <x v="115"/>
    <x v="11"/>
    <n v="273639"/>
    <n v="3154391"/>
    <n v="8.67"/>
    <s v="DQS_MAO04_FILE_000_B"/>
    <s v="RECORD COUNT by MBR_ID, DOS_THRU_DT, DX_CD Grain grouped by PAYER, SRC_FILE_NM, DOS_THRU_YYYYMM"/>
  </r>
  <r>
    <x v="3"/>
    <s v="MERCYAFFILIATES_MAO_YTD_THRU_Feb_2025_RUNOUT.txt"/>
    <x v="116"/>
    <x v="11"/>
    <n v="250606"/>
    <n v="3154391"/>
    <n v="7.94"/>
    <s v="DQS_MAO04_FILE_000_B"/>
    <s v="RECORD COUNT by MBR_ID, DOS_THRU_DT, DX_CD Grain grouped by PAYER, SRC_FILE_NM, DOS_THRU_YYYYMM"/>
  </r>
  <r>
    <x v="3"/>
    <s v="MERCYAFFILIATES_MAO_YTD_THRU_Feb_2025_RUNOUT.txt"/>
    <x v="117"/>
    <x v="11"/>
    <n v="238348"/>
    <n v="3154391"/>
    <n v="7.56"/>
    <s v="DQS_MAO04_FILE_000_B"/>
    <s v="RECORD COUNT by MBR_ID, DOS_THRU_DT, DX_CD Grain grouped by PAYER, SRC_FILE_NM, DOS_THRU_YYYYMM"/>
  </r>
  <r>
    <x v="3"/>
    <s v="MERCYAFFILIATES_MAO_YTD_THRU_Feb_2025_RUNOUT.txt"/>
    <x v="118"/>
    <x v="11"/>
    <n v="247019"/>
    <n v="3154391"/>
    <n v="7.83"/>
    <s v="DQS_MAO04_FILE_000_B"/>
    <s v="RECORD COUNT by MBR_ID, DOS_THRU_DT, DX_CD Grain grouped by PAYER, SRC_FILE_NM, DOS_THRU_YYYYMM"/>
  </r>
  <r>
    <x v="3"/>
    <s v="MERCYAFFILIATES_MAO_YTD_THRU_Feb_2025_RUNOUT.txt"/>
    <x v="119"/>
    <x v="11"/>
    <n v="272773"/>
    <n v="3154391"/>
    <n v="8.65"/>
    <s v="DQS_MAO04_FILE_000_B"/>
    <s v="RECORD COUNT by MBR_ID, DOS_THRU_DT, DX_CD Grain grouped by PAYER, SRC_FILE_NM, DOS_THRU_YYYYMM"/>
  </r>
  <r>
    <x v="3"/>
    <s v="MERCYAFFILIATES_MAO_YTD_THRU_Feb_2025_RUNOUT.txt"/>
    <x v="120"/>
    <x v="11"/>
    <n v="229065"/>
    <n v="3154391"/>
    <n v="7.26"/>
    <s v="DQS_MAO04_FILE_000_B"/>
    <s v="RECORD COUNT by MBR_ID, DOS_THRU_DT, DX_CD Grain grouped by PAYER, SRC_FILE_NM, DOS_THRU_YYYYMM"/>
  </r>
  <r>
    <x v="3"/>
    <s v="MERCYAFFILIATES_MAO_YTD_THRU_Feb_2025_RUNOUT.txt"/>
    <x v="121"/>
    <x v="11"/>
    <n v="233501"/>
    <n v="3154391"/>
    <n v="7.4"/>
    <s v="DQS_MAO04_FILE_000_B"/>
    <s v="RECORD COUNT by MBR_ID, DOS_THRU_DT, DX_CD Grain grouped by PAYER, SRC_FILE_NM, DOS_THRU_YYYYMM"/>
  </r>
  <r>
    <x v="3"/>
    <s v="MERCYAFFILIATES_MAO_YTD_THRU_Feb_2026.txt"/>
    <x v="122"/>
    <x v="12"/>
    <n v="106750"/>
    <n v="107125"/>
    <n v="99.65"/>
    <s v="DQS_MAO04_FILE_000_B"/>
    <s v="RECORD COUNT by MBR_ID, DOS_THRU_DT, DX_CD Grain grouped by PAYER, SRC_FILE_NM, DOS_THRU_YYYYMM"/>
  </r>
  <r>
    <x v="3"/>
    <s v="MERCYAFFILIATES_MAO_YTD_THRU_Feb_2026.txt"/>
    <x v="123"/>
    <x v="12"/>
    <n v="375"/>
    <n v="107125"/>
    <n v="0.35"/>
    <s v="DQS_MAO04_FILE_000_B"/>
    <s v="RECORD COUNT by MBR_ID, DOS_THRU_DT, DX_CD Grain grouped by PAYER, SRC_FILE_NM, DOS_THRU_YYYYMM"/>
  </r>
  <r>
    <x v="3"/>
    <s v="MERCYAFFILIATES_MAO_YTD_THRU_Jan_2025_RUNOUT.txt"/>
    <x v="110"/>
    <x v="11"/>
    <n v="265332"/>
    <n v="3038098"/>
    <n v="8.73"/>
    <s v="DQS_MAO04_FILE_000_B"/>
    <s v="RECORD COUNT by MBR_ID, DOS_THRU_DT, DX_CD Grain grouped by PAYER, SRC_FILE_NM, DOS_THRU_YYYYMM"/>
  </r>
  <r>
    <x v="3"/>
    <s v="MERCYAFFILIATES_MAO_YTD_THRU_Jan_2025_RUNOUT.txt"/>
    <x v="111"/>
    <x v="11"/>
    <n v="254460"/>
    <n v="3038098"/>
    <n v="8.3800000000000008"/>
    <s v="DQS_MAO04_FILE_000_B"/>
    <s v="RECORD COUNT by MBR_ID, DOS_THRU_DT, DX_CD Grain grouped by PAYER, SRC_FILE_NM, DOS_THRU_YYYYMM"/>
  </r>
  <r>
    <x v="3"/>
    <s v="MERCYAFFILIATES_MAO_YTD_THRU_Jan_2025_RUNOUT.txt"/>
    <x v="112"/>
    <x v="11"/>
    <n v="288832"/>
    <n v="3038098"/>
    <n v="9.51"/>
    <s v="DQS_MAO04_FILE_000_B"/>
    <s v="RECORD COUNT by MBR_ID, DOS_THRU_DT, DX_CD Grain grouped by PAYER, SRC_FILE_NM, DOS_THRU_YYYYMM"/>
  </r>
  <r>
    <x v="3"/>
    <s v="MERCYAFFILIATES_MAO_YTD_THRU_Jan_2025_RUNOUT.txt"/>
    <x v="113"/>
    <x v="11"/>
    <n v="299048"/>
    <n v="3038098"/>
    <n v="9.84"/>
    <s v="DQS_MAO04_FILE_000_B"/>
    <s v="RECORD COUNT by MBR_ID, DOS_THRU_DT, DX_CD Grain grouped by PAYER, SRC_FILE_NM, DOS_THRU_YYYYMM"/>
  </r>
  <r>
    <x v="3"/>
    <s v="MERCYAFFILIATES_MAO_YTD_THRU_Jan_2025_RUNOUT.txt"/>
    <x v="114"/>
    <x v="11"/>
    <n v="286455"/>
    <n v="3038098"/>
    <n v="9.43"/>
    <s v="DQS_MAO04_FILE_000_B"/>
    <s v="RECORD COUNT by MBR_ID, DOS_THRU_DT, DX_CD Grain grouped by PAYER, SRC_FILE_NM, DOS_THRU_YYYYMM"/>
  </r>
  <r>
    <x v="3"/>
    <s v="MERCYAFFILIATES_MAO_YTD_THRU_Jan_2025_RUNOUT.txt"/>
    <x v="115"/>
    <x v="11"/>
    <n v="273151"/>
    <n v="3038098"/>
    <n v="8.99"/>
    <s v="DQS_MAO04_FILE_000_B"/>
    <s v="RECORD COUNT by MBR_ID, DOS_THRU_DT, DX_CD Grain grouped by PAYER, SRC_FILE_NM, DOS_THRU_YYYYMM"/>
  </r>
  <r>
    <x v="3"/>
    <s v="MERCYAFFILIATES_MAO_YTD_THRU_Jan_2025_RUNOUT.txt"/>
    <x v="116"/>
    <x v="11"/>
    <n v="247005"/>
    <n v="3038098"/>
    <n v="8.1300000000000008"/>
    <s v="DQS_MAO04_FILE_000_B"/>
    <s v="RECORD COUNT by MBR_ID, DOS_THRU_DT, DX_CD Grain grouped by PAYER, SRC_FILE_NM, DOS_THRU_YYYYMM"/>
  </r>
  <r>
    <x v="3"/>
    <s v="MERCYAFFILIATES_MAO_YTD_THRU_Jan_2025_RUNOUT.txt"/>
    <x v="117"/>
    <x v="11"/>
    <n v="235090"/>
    <n v="3038098"/>
    <n v="7.74"/>
    <s v="DQS_MAO04_FILE_000_B"/>
    <s v="RECORD COUNT by MBR_ID, DOS_THRU_DT, DX_CD Grain grouped by PAYER, SRC_FILE_NM, DOS_THRU_YYYYMM"/>
  </r>
  <r>
    <x v="3"/>
    <s v="MERCYAFFILIATES_MAO_YTD_THRU_Jan_2025_RUNOUT.txt"/>
    <x v="118"/>
    <x v="11"/>
    <n v="242632"/>
    <n v="3038098"/>
    <n v="7.99"/>
    <s v="DQS_MAO04_FILE_000_B"/>
    <s v="RECORD COUNT by MBR_ID, DOS_THRU_DT, DX_CD Grain grouped by PAYER, SRC_FILE_NM, DOS_THRU_YYYYMM"/>
  </r>
  <r>
    <x v="3"/>
    <s v="MERCYAFFILIATES_MAO_YTD_THRU_Jan_2025_RUNOUT.txt"/>
    <x v="119"/>
    <x v="11"/>
    <n v="267316"/>
    <n v="3038098"/>
    <n v="8.8000000000000007"/>
    <s v="DQS_MAO04_FILE_000_B"/>
    <s v="RECORD COUNT by MBR_ID, DOS_THRU_DT, DX_CD Grain grouped by PAYER, SRC_FILE_NM, DOS_THRU_YYYYMM"/>
  </r>
  <r>
    <x v="3"/>
    <s v="MERCYAFFILIATES_MAO_YTD_THRU_Jan_2025_RUNOUT.txt"/>
    <x v="120"/>
    <x v="11"/>
    <n v="218916"/>
    <n v="3038098"/>
    <n v="7.21"/>
    <s v="DQS_MAO04_FILE_000_B"/>
    <s v="RECORD COUNT by MBR_ID, DOS_THRU_DT, DX_CD Grain grouped by PAYER, SRC_FILE_NM, DOS_THRU_YYYYMM"/>
  </r>
  <r>
    <x v="3"/>
    <s v="MERCYAFFILIATES_MAO_YTD_THRU_Jan_2025_RUNOUT.txt"/>
    <x v="121"/>
    <x v="11"/>
    <n v="159861"/>
    <n v="3038098"/>
    <n v="5.26"/>
    <s v="DQS_MAO04_FILE_000_B"/>
    <s v="RECORD COUNT by MBR_ID, DOS_THRU_DT, DX_CD Grain grouped by PAYER, SRC_FILE_NM, DOS_THRU_YYYYMM"/>
  </r>
  <r>
    <x v="3"/>
    <s v="MERCYAFFILIATES_MAO_YTD_THRU_Jan_2026.txt"/>
    <x v="122"/>
    <x v="12"/>
    <n v="187"/>
    <n v="187"/>
    <n v="100"/>
    <s v="DQS_MAO04_FILE_000_B"/>
    <s v="RECORD COUNT by MBR_ID, DOS_THRU_DT, DX_CD Grain grouped by PAYER, SRC_FILE_NM, DOS_THRU_YYYYMM"/>
  </r>
  <r>
    <x v="3"/>
    <s v="MERCYAFFILIATES_MAO_YTD_THRU_Jul_2025.txt"/>
    <x v="110"/>
    <x v="11"/>
    <n v="242574"/>
    <n v="1422219"/>
    <n v="17.059999999999999"/>
    <s v="DQS_MAO04_FILE_000_B"/>
    <s v="RECORD COUNT by MBR_ID, DOS_THRU_DT, DX_CD Grain grouped by PAYER, SRC_FILE_NM, DOS_THRU_YYYYMM"/>
  </r>
  <r>
    <x v="3"/>
    <s v="MERCYAFFILIATES_MAO_YTD_THRU_Jul_2025.txt"/>
    <x v="111"/>
    <x v="11"/>
    <n v="231418"/>
    <n v="1422219"/>
    <n v="16.27"/>
    <s v="DQS_MAO04_FILE_000_B"/>
    <s v="RECORD COUNT by MBR_ID, DOS_THRU_DT, DX_CD Grain grouped by PAYER, SRC_FILE_NM, DOS_THRU_YYYYMM"/>
  </r>
  <r>
    <x v="3"/>
    <s v="MERCYAFFILIATES_MAO_YTD_THRU_Jul_2025.txt"/>
    <x v="112"/>
    <x v="11"/>
    <n v="260631"/>
    <n v="1422219"/>
    <n v="18.329999999999998"/>
    <s v="DQS_MAO04_FILE_000_B"/>
    <s v="RECORD COUNT by MBR_ID, DOS_THRU_DT, DX_CD Grain grouped by PAYER, SRC_FILE_NM, DOS_THRU_YYYYMM"/>
  </r>
  <r>
    <x v="3"/>
    <s v="MERCYAFFILIATES_MAO_YTD_THRU_Jul_2025.txt"/>
    <x v="113"/>
    <x v="11"/>
    <n v="262496"/>
    <n v="1422219"/>
    <n v="18.46"/>
    <s v="DQS_MAO04_FILE_000_B"/>
    <s v="RECORD COUNT by MBR_ID, DOS_THRU_DT, DX_CD Grain grouped by PAYER, SRC_FILE_NM, DOS_THRU_YYYYMM"/>
  </r>
  <r>
    <x v="3"/>
    <s v="MERCYAFFILIATES_MAO_YTD_THRU_Jul_2025.txt"/>
    <x v="114"/>
    <x v="11"/>
    <n v="246322"/>
    <n v="1422219"/>
    <n v="17.32"/>
    <s v="DQS_MAO04_FILE_000_B"/>
    <s v="RECORD COUNT by MBR_ID, DOS_THRU_DT, DX_CD Grain grouped by PAYER, SRC_FILE_NM, DOS_THRU_YYYYMM"/>
  </r>
  <r>
    <x v="3"/>
    <s v="MERCYAFFILIATES_MAO_YTD_THRU_Jul_2025.txt"/>
    <x v="115"/>
    <x v="11"/>
    <n v="169192"/>
    <n v="1422219"/>
    <n v="11.9"/>
    <s v="DQS_MAO04_FILE_000_B"/>
    <s v="RECORD COUNT by MBR_ID, DOS_THRU_DT, DX_CD Grain grouped by PAYER, SRC_FILE_NM, DOS_THRU_YYYYMM"/>
  </r>
  <r>
    <x v="3"/>
    <s v="MERCYAFFILIATES_MAO_YTD_THRU_Jul_2025.txt"/>
    <x v="116"/>
    <x v="11"/>
    <n v="9586"/>
    <n v="1422219"/>
    <n v="0.67"/>
    <s v="DQS_MAO04_FILE_000_B"/>
    <s v="RECORD COUNT by MBR_ID, DOS_THRU_DT, DX_CD Grain grouped by PAYER, SRC_FILE_NM, DOS_THRU_YYYYMM"/>
  </r>
  <r>
    <x v="3"/>
    <s v="MERCYAFFILIATES_MAO_YTD_THRU_Jun_2025.txt"/>
    <x v="110"/>
    <x v="11"/>
    <n v="234587"/>
    <n v="1100977"/>
    <n v="21.31"/>
    <s v="DQS_MAO04_FILE_000_B"/>
    <s v="RECORD COUNT by MBR_ID, DOS_THRU_DT, DX_CD Grain grouped by PAYER, SRC_FILE_NM, DOS_THRU_YYYYMM"/>
  </r>
  <r>
    <x v="3"/>
    <s v="MERCYAFFILIATES_MAO_YTD_THRU_Jun_2025.txt"/>
    <x v="111"/>
    <x v="11"/>
    <n v="223285"/>
    <n v="1100977"/>
    <n v="20.28"/>
    <s v="DQS_MAO04_FILE_000_B"/>
    <s v="RECORD COUNT by MBR_ID, DOS_THRU_DT, DX_CD Grain grouped by PAYER, SRC_FILE_NM, DOS_THRU_YYYYMM"/>
  </r>
  <r>
    <x v="3"/>
    <s v="MERCYAFFILIATES_MAO_YTD_THRU_Jun_2025.txt"/>
    <x v="112"/>
    <x v="11"/>
    <n v="243573"/>
    <n v="1100977"/>
    <n v="22.12"/>
    <s v="DQS_MAO04_FILE_000_B"/>
    <s v="RECORD COUNT by MBR_ID, DOS_THRU_DT, DX_CD Grain grouped by PAYER, SRC_FILE_NM, DOS_THRU_YYYYMM"/>
  </r>
  <r>
    <x v="3"/>
    <s v="MERCYAFFILIATES_MAO_YTD_THRU_Jun_2025.txt"/>
    <x v="113"/>
    <x v="11"/>
    <n v="246715"/>
    <n v="1100977"/>
    <n v="22.41"/>
    <s v="DQS_MAO04_FILE_000_B"/>
    <s v="RECORD COUNT by MBR_ID, DOS_THRU_DT, DX_CD Grain grouped by PAYER, SRC_FILE_NM, DOS_THRU_YYYYMM"/>
  </r>
  <r>
    <x v="3"/>
    <s v="MERCYAFFILIATES_MAO_YTD_THRU_Jun_2025.txt"/>
    <x v="114"/>
    <x v="11"/>
    <n v="147126"/>
    <n v="1100977"/>
    <n v="13.36"/>
    <s v="DQS_MAO04_FILE_000_B"/>
    <s v="RECORD COUNT by MBR_ID, DOS_THRU_DT, DX_CD Grain grouped by PAYER, SRC_FILE_NM, DOS_THRU_YYYYMM"/>
  </r>
  <r>
    <x v="3"/>
    <s v="MERCYAFFILIATES_MAO_YTD_THRU_Jun_2025.txt"/>
    <x v="115"/>
    <x v="11"/>
    <n v="5691"/>
    <n v="1100977"/>
    <n v="0.52"/>
    <s v="DQS_MAO04_FILE_000_B"/>
    <s v="RECORD COUNT by MBR_ID, DOS_THRU_DT, DX_CD Grain grouped by PAYER, SRC_FILE_NM, DOS_THRU_YYYYMM"/>
  </r>
  <r>
    <x v="3"/>
    <s v="MERCYAFFILIATES_MAO_YTD_THRU_Mar_2025_RUNOUT.txt"/>
    <x v="110"/>
    <x v="11"/>
    <n v="272004"/>
    <n v="3187201"/>
    <n v="8.5299999999999994"/>
    <s v="DQS_MAO04_FILE_000_B"/>
    <s v="RECORD COUNT by MBR_ID, DOS_THRU_DT, DX_CD Grain grouped by PAYER, SRC_FILE_NM, DOS_THRU_YYYYMM"/>
  </r>
  <r>
    <x v="3"/>
    <s v="MERCYAFFILIATES_MAO_YTD_THRU_Mar_2025_RUNOUT.txt"/>
    <x v="111"/>
    <x v="11"/>
    <n v="259996"/>
    <n v="3187201"/>
    <n v="8.16"/>
    <s v="DQS_MAO04_FILE_000_B"/>
    <s v="RECORD COUNT by MBR_ID, DOS_THRU_DT, DX_CD Grain grouped by PAYER, SRC_FILE_NM, DOS_THRU_YYYYMM"/>
  </r>
  <r>
    <x v="3"/>
    <s v="MERCYAFFILIATES_MAO_YTD_THRU_Mar_2025_RUNOUT.txt"/>
    <x v="112"/>
    <x v="11"/>
    <n v="294691"/>
    <n v="3187201"/>
    <n v="9.25"/>
    <s v="DQS_MAO04_FILE_000_B"/>
    <s v="RECORD COUNT by MBR_ID, DOS_THRU_DT, DX_CD Grain grouped by PAYER, SRC_FILE_NM, DOS_THRU_YYYYMM"/>
  </r>
  <r>
    <x v="3"/>
    <s v="MERCYAFFILIATES_MAO_YTD_THRU_Mar_2025_RUNOUT.txt"/>
    <x v="113"/>
    <x v="11"/>
    <n v="306997"/>
    <n v="3187201"/>
    <n v="9.6300000000000008"/>
    <s v="DQS_MAO04_FILE_000_B"/>
    <s v="RECORD COUNT by MBR_ID, DOS_THRU_DT, DX_CD Grain grouped by PAYER, SRC_FILE_NM, DOS_THRU_YYYYMM"/>
  </r>
  <r>
    <x v="3"/>
    <s v="MERCYAFFILIATES_MAO_YTD_THRU_Mar_2025_RUNOUT.txt"/>
    <x v="114"/>
    <x v="11"/>
    <n v="292568"/>
    <n v="3187201"/>
    <n v="9.18"/>
    <s v="DQS_MAO04_FILE_000_B"/>
    <s v="RECORD COUNT by MBR_ID, DOS_THRU_DT, DX_CD Grain grouped by PAYER, SRC_FILE_NM, DOS_THRU_YYYYMM"/>
  </r>
  <r>
    <x v="3"/>
    <s v="MERCYAFFILIATES_MAO_YTD_THRU_Mar_2025_RUNOUT.txt"/>
    <x v="115"/>
    <x v="11"/>
    <n v="278205"/>
    <n v="3187201"/>
    <n v="8.73"/>
    <s v="DQS_MAO04_FILE_000_B"/>
    <s v="RECORD COUNT by MBR_ID, DOS_THRU_DT, DX_CD Grain grouped by PAYER, SRC_FILE_NM, DOS_THRU_YYYYMM"/>
  </r>
  <r>
    <x v="3"/>
    <s v="MERCYAFFILIATES_MAO_YTD_THRU_Mar_2025_RUNOUT.txt"/>
    <x v="116"/>
    <x v="11"/>
    <n v="252776"/>
    <n v="3187201"/>
    <n v="7.93"/>
    <s v="DQS_MAO04_FILE_000_B"/>
    <s v="RECORD COUNT by MBR_ID, DOS_THRU_DT, DX_CD Grain grouped by PAYER, SRC_FILE_NM, DOS_THRU_YYYYMM"/>
  </r>
  <r>
    <x v="3"/>
    <s v="MERCYAFFILIATES_MAO_YTD_THRU_Mar_2025_RUNOUT.txt"/>
    <x v="117"/>
    <x v="11"/>
    <n v="238496"/>
    <n v="3187201"/>
    <n v="7.48"/>
    <s v="DQS_MAO04_FILE_000_B"/>
    <s v="RECORD COUNT by MBR_ID, DOS_THRU_DT, DX_CD Grain grouped by PAYER, SRC_FILE_NM, DOS_THRU_YYYYMM"/>
  </r>
  <r>
    <x v="3"/>
    <s v="MERCYAFFILIATES_MAO_YTD_THRU_Mar_2025_RUNOUT.txt"/>
    <x v="118"/>
    <x v="11"/>
    <n v="247187"/>
    <n v="3187201"/>
    <n v="7.76"/>
    <s v="DQS_MAO04_FILE_000_B"/>
    <s v="RECORD COUNT by MBR_ID, DOS_THRU_DT, DX_CD Grain grouped by PAYER, SRC_FILE_NM, DOS_THRU_YYYYMM"/>
  </r>
  <r>
    <x v="3"/>
    <s v="MERCYAFFILIATES_MAO_YTD_THRU_Mar_2025_RUNOUT.txt"/>
    <x v="119"/>
    <x v="11"/>
    <n v="273491"/>
    <n v="3187201"/>
    <n v="8.58"/>
    <s v="DQS_MAO04_FILE_000_B"/>
    <s v="RECORD COUNT by MBR_ID, DOS_THRU_DT, DX_CD Grain grouped by PAYER, SRC_FILE_NM, DOS_THRU_YYYYMM"/>
  </r>
  <r>
    <x v="3"/>
    <s v="MERCYAFFILIATES_MAO_YTD_THRU_Mar_2025_RUNOUT.txt"/>
    <x v="120"/>
    <x v="11"/>
    <n v="230735"/>
    <n v="3187201"/>
    <n v="7.24"/>
    <s v="DQS_MAO04_FILE_000_B"/>
    <s v="RECORD COUNT by MBR_ID, DOS_THRU_DT, DX_CD Grain grouped by PAYER, SRC_FILE_NM, DOS_THRU_YYYYMM"/>
  </r>
  <r>
    <x v="3"/>
    <s v="MERCYAFFILIATES_MAO_YTD_THRU_Mar_2025_RUNOUT.txt"/>
    <x v="121"/>
    <x v="11"/>
    <n v="240055"/>
    <n v="3187201"/>
    <n v="7.53"/>
    <s v="DQS_MAO04_FILE_000_B"/>
    <s v="RECORD COUNT by MBR_ID, DOS_THRU_DT, DX_CD Grain grouped by PAYER, SRC_FILE_NM, DOS_THRU_YYYYMM"/>
  </r>
  <r>
    <x v="3"/>
    <s v="MERCYAFFILIATES_MAO_YTD_THRU_Mar_2026.txt"/>
    <x v="122"/>
    <x v="12"/>
    <n v="177711"/>
    <n v="292824"/>
    <n v="60.69"/>
    <s v="DQS_MAO04_FILE_000_B"/>
    <s v="RECORD COUNT by MBR_ID, DOS_THRU_DT, DX_CD Grain grouped by PAYER, SRC_FILE_NM, DOS_THRU_YYYYMM"/>
  </r>
  <r>
    <x v="3"/>
    <s v="MERCYAFFILIATES_MAO_YTD_THRU_Mar_2026.txt"/>
    <x v="123"/>
    <x v="12"/>
    <n v="114497"/>
    <n v="292824"/>
    <n v="39.1"/>
    <s v="DQS_MAO04_FILE_000_B"/>
    <s v="RECORD COUNT by MBR_ID, DOS_THRU_DT, DX_CD Grain grouped by PAYER, SRC_FILE_NM, DOS_THRU_YYYYMM"/>
  </r>
  <r>
    <x v="3"/>
    <s v="MERCYAFFILIATES_MAO_YTD_THRU_Mar_2026.txt"/>
    <x v="124"/>
    <x v="12"/>
    <n v="616"/>
    <n v="292824"/>
    <n v="0.21"/>
    <s v="DQS_MAO04_FILE_000_B"/>
    <s v="RECORD COUNT by MBR_ID, DOS_THRU_DT, DX_CD Grain grouped by PAYER, SRC_FILE_NM, DOS_THRU_YYYYMM"/>
  </r>
  <r>
    <x v="3"/>
    <s v="MERCYAFFILIATES_MAO_YTD_THRU_Nov_2025.txt"/>
    <x v="110"/>
    <x v="11"/>
    <n v="265553"/>
    <n v="2526478"/>
    <n v="10.51"/>
    <s v="DQS_MAO04_FILE_000_B"/>
    <s v="RECORD COUNT by MBR_ID, DOS_THRU_DT, DX_CD Grain grouped by PAYER, SRC_FILE_NM, DOS_THRU_YYYYMM"/>
  </r>
  <r>
    <x v="3"/>
    <s v="MERCYAFFILIATES_MAO_YTD_THRU_Nov_2025.txt"/>
    <x v="111"/>
    <x v="11"/>
    <n v="254488"/>
    <n v="2526478"/>
    <n v="10.07"/>
    <s v="DQS_MAO04_FILE_000_B"/>
    <s v="RECORD COUNT by MBR_ID, DOS_THRU_DT, DX_CD Grain grouped by PAYER, SRC_FILE_NM, DOS_THRU_YYYYMM"/>
  </r>
  <r>
    <x v="3"/>
    <s v="MERCYAFFILIATES_MAO_YTD_THRU_Nov_2025.txt"/>
    <x v="112"/>
    <x v="11"/>
    <n v="288935"/>
    <n v="2526478"/>
    <n v="11.44"/>
    <s v="DQS_MAO04_FILE_000_B"/>
    <s v="RECORD COUNT by MBR_ID, DOS_THRU_DT, DX_CD Grain grouped by PAYER, SRC_FILE_NM, DOS_THRU_YYYYMM"/>
  </r>
  <r>
    <x v="3"/>
    <s v="MERCYAFFILIATES_MAO_YTD_THRU_Nov_2025.txt"/>
    <x v="113"/>
    <x v="11"/>
    <n v="299060"/>
    <n v="2526478"/>
    <n v="11.84"/>
    <s v="DQS_MAO04_FILE_000_B"/>
    <s v="RECORD COUNT by MBR_ID, DOS_THRU_DT, DX_CD Grain grouped by PAYER, SRC_FILE_NM, DOS_THRU_YYYYMM"/>
  </r>
  <r>
    <x v="3"/>
    <s v="MERCYAFFILIATES_MAO_YTD_THRU_Nov_2025.txt"/>
    <x v="114"/>
    <x v="11"/>
    <n v="286299"/>
    <n v="2526478"/>
    <n v="11.33"/>
    <s v="DQS_MAO04_FILE_000_B"/>
    <s v="RECORD COUNT by MBR_ID, DOS_THRU_DT, DX_CD Grain grouped by PAYER, SRC_FILE_NM, DOS_THRU_YYYYMM"/>
  </r>
  <r>
    <x v="3"/>
    <s v="MERCYAFFILIATES_MAO_YTD_THRU_Nov_2025.txt"/>
    <x v="115"/>
    <x v="11"/>
    <n v="272858"/>
    <n v="2526478"/>
    <n v="10.8"/>
    <s v="DQS_MAO04_FILE_000_B"/>
    <s v="RECORD COUNT by MBR_ID, DOS_THRU_DT, DX_CD Grain grouped by PAYER, SRC_FILE_NM, DOS_THRU_YYYYMM"/>
  </r>
  <r>
    <x v="3"/>
    <s v="MERCYAFFILIATES_MAO_YTD_THRU_Nov_2025.txt"/>
    <x v="116"/>
    <x v="11"/>
    <n v="246359"/>
    <n v="2526478"/>
    <n v="9.75"/>
    <s v="DQS_MAO04_FILE_000_B"/>
    <s v="RECORD COUNT by MBR_ID, DOS_THRU_DT, DX_CD Grain grouped by PAYER, SRC_FILE_NM, DOS_THRU_YYYYMM"/>
  </r>
  <r>
    <x v="3"/>
    <s v="MERCYAFFILIATES_MAO_YTD_THRU_Nov_2025.txt"/>
    <x v="117"/>
    <x v="11"/>
    <n v="229397"/>
    <n v="2526478"/>
    <n v="9.08"/>
    <s v="DQS_MAO04_FILE_000_B"/>
    <s v="RECORD COUNT by MBR_ID, DOS_THRU_DT, DX_CD Grain grouped by PAYER, SRC_FILE_NM, DOS_THRU_YYYYMM"/>
  </r>
  <r>
    <x v="3"/>
    <s v="MERCYAFFILIATES_MAO_YTD_THRU_Nov_2025.txt"/>
    <x v="118"/>
    <x v="11"/>
    <n v="234936"/>
    <n v="2526478"/>
    <n v="9.3000000000000007"/>
    <s v="DQS_MAO04_FILE_000_B"/>
    <s v="RECORD COUNT by MBR_ID, DOS_THRU_DT, DX_CD Grain grouped by PAYER, SRC_FILE_NM, DOS_THRU_YYYYMM"/>
  </r>
  <r>
    <x v="3"/>
    <s v="MERCYAFFILIATES_MAO_YTD_THRU_Nov_2025.txt"/>
    <x v="119"/>
    <x v="11"/>
    <n v="144271"/>
    <n v="2526478"/>
    <n v="5.71"/>
    <s v="DQS_MAO04_FILE_000_B"/>
    <s v="RECORD COUNT by MBR_ID, DOS_THRU_DT, DX_CD Grain grouped by PAYER, SRC_FILE_NM, DOS_THRU_YYYYMM"/>
  </r>
  <r>
    <x v="3"/>
    <s v="MERCYAFFILIATES_MAO_YTD_THRU_Nov_2025.txt"/>
    <x v="120"/>
    <x v="11"/>
    <n v="4322"/>
    <n v="2526478"/>
    <n v="0.17"/>
    <s v="DQS_MAO04_FILE_000_B"/>
    <s v="RECORD COUNT by MBR_ID, DOS_THRU_DT, DX_CD Grain grouped by PAYER, SRC_FILE_NM, DOS_THRU_YYYYMM"/>
  </r>
  <r>
    <x v="3"/>
    <s v="MERCYAFFILIATES_MAO_YTD_THRU_Oct_2025.txt"/>
    <x v="110"/>
    <x v="11"/>
    <n v="265351"/>
    <n v="2301328"/>
    <n v="11.53"/>
    <s v="DQS_MAO04_FILE_000_B"/>
    <s v="RECORD COUNT by MBR_ID, DOS_THRU_DT, DX_CD Grain grouped by PAYER, SRC_FILE_NM, DOS_THRU_YYYYMM"/>
  </r>
  <r>
    <x v="3"/>
    <s v="MERCYAFFILIATES_MAO_YTD_THRU_Oct_2025.txt"/>
    <x v="111"/>
    <x v="11"/>
    <n v="254423"/>
    <n v="2301328"/>
    <n v="11.06"/>
    <s v="DQS_MAO04_FILE_000_B"/>
    <s v="RECORD COUNT by MBR_ID, DOS_THRU_DT, DX_CD Grain grouped by PAYER, SRC_FILE_NM, DOS_THRU_YYYYMM"/>
  </r>
  <r>
    <x v="3"/>
    <s v="MERCYAFFILIATES_MAO_YTD_THRU_Oct_2025.txt"/>
    <x v="112"/>
    <x v="11"/>
    <n v="288815"/>
    <n v="2301328"/>
    <n v="12.55"/>
    <s v="DQS_MAO04_FILE_000_B"/>
    <s v="RECORD COUNT by MBR_ID, DOS_THRU_DT, DX_CD Grain grouped by PAYER, SRC_FILE_NM, DOS_THRU_YYYYMM"/>
  </r>
  <r>
    <x v="3"/>
    <s v="MERCYAFFILIATES_MAO_YTD_THRU_Oct_2025.txt"/>
    <x v="113"/>
    <x v="11"/>
    <n v="298915"/>
    <n v="2301328"/>
    <n v="12.99"/>
    <s v="DQS_MAO04_FILE_000_B"/>
    <s v="RECORD COUNT by MBR_ID, DOS_THRU_DT, DX_CD Grain grouped by PAYER, SRC_FILE_NM, DOS_THRU_YYYYMM"/>
  </r>
  <r>
    <x v="3"/>
    <s v="MERCYAFFILIATES_MAO_YTD_THRU_Oct_2025.txt"/>
    <x v="114"/>
    <x v="11"/>
    <n v="285989"/>
    <n v="2301328"/>
    <n v="12.43"/>
    <s v="DQS_MAO04_FILE_000_B"/>
    <s v="RECORD COUNT by MBR_ID, DOS_THRU_DT, DX_CD Grain grouped by PAYER, SRC_FILE_NM, DOS_THRU_YYYYMM"/>
  </r>
  <r>
    <x v="3"/>
    <s v="MERCYAFFILIATES_MAO_YTD_THRU_Oct_2025.txt"/>
    <x v="115"/>
    <x v="11"/>
    <n v="272337"/>
    <n v="2301328"/>
    <n v="11.83"/>
    <s v="DQS_MAO04_FILE_000_B"/>
    <s v="RECORD COUNT by MBR_ID, DOS_THRU_DT, DX_CD Grain grouped by PAYER, SRC_FILE_NM, DOS_THRU_YYYYMM"/>
  </r>
  <r>
    <x v="3"/>
    <s v="MERCYAFFILIATES_MAO_YTD_THRU_Oct_2025.txt"/>
    <x v="116"/>
    <x v="11"/>
    <n v="240687"/>
    <n v="2301328"/>
    <n v="10.46"/>
    <s v="DQS_MAO04_FILE_000_B"/>
    <s v="RECORD COUNT by MBR_ID, DOS_THRU_DT, DX_CD Grain grouped by PAYER, SRC_FILE_NM, DOS_THRU_YYYYMM"/>
  </r>
  <r>
    <x v="3"/>
    <s v="MERCYAFFILIATES_MAO_YTD_THRU_Oct_2025.txt"/>
    <x v="117"/>
    <x v="11"/>
    <n v="224147"/>
    <n v="2301328"/>
    <n v="9.74"/>
    <s v="DQS_MAO04_FILE_000_B"/>
    <s v="RECORD COUNT by MBR_ID, DOS_THRU_DT, DX_CD Grain grouped by PAYER, SRC_FILE_NM, DOS_THRU_YYYYMM"/>
  </r>
  <r>
    <x v="3"/>
    <s v="MERCYAFFILIATES_MAO_YTD_THRU_Oct_2025.txt"/>
    <x v="118"/>
    <x v="11"/>
    <n v="161909"/>
    <n v="2301328"/>
    <n v="7.04"/>
    <s v="DQS_MAO04_FILE_000_B"/>
    <s v="RECORD COUNT by MBR_ID, DOS_THRU_DT, DX_CD Grain grouped by PAYER, SRC_FILE_NM, DOS_THRU_YYYYMM"/>
  </r>
  <r>
    <x v="3"/>
    <s v="MERCYAFFILIATES_MAO_YTD_THRU_Oct_2025.txt"/>
    <x v="119"/>
    <x v="11"/>
    <n v="8755"/>
    <n v="2301328"/>
    <n v="0.38"/>
    <s v="DQS_MAO04_FILE_000_B"/>
    <s v="RECORD COUNT by MBR_ID, DOS_THRU_DT, DX_CD Grain grouped by PAYER, SRC_FILE_NM, DOS_THRU_YYYYMM"/>
  </r>
  <r>
    <x v="3"/>
    <s v="MERCYAFFILIATES_MAO_YTD_THRU_Sep_2024_RUNOUT.txt"/>
    <x v="89"/>
    <x v="9"/>
    <n v="229486"/>
    <n v="2897157"/>
    <n v="7.92"/>
    <s v="DQS_MAO04_FILE_000_B"/>
    <s v="RECORD COUNT by MBR_ID, DOS_THRU_DT, DX_CD Grain grouped by PAYER, SRC_FILE_NM, DOS_THRU_YYYYMM"/>
  </r>
  <r>
    <x v="3"/>
    <s v="MERCYAFFILIATES_MAO_YTD_THRU_Sep_2024_RUNOUT.txt"/>
    <x v="97"/>
    <x v="9"/>
    <n v="224390"/>
    <n v="2897157"/>
    <n v="7.75"/>
    <s v="DQS_MAO04_FILE_000_B"/>
    <s v="RECORD COUNT by MBR_ID, DOS_THRU_DT, DX_CD Grain grouped by PAYER, SRC_FILE_NM, DOS_THRU_YYYYMM"/>
  </r>
  <r>
    <x v="3"/>
    <s v="MERCYAFFILIATES_MAO_YTD_THRU_Sep_2024_RUNOUT.txt"/>
    <x v="98"/>
    <x v="9"/>
    <n v="229886"/>
    <n v="2897157"/>
    <n v="7.93"/>
    <s v="DQS_MAO04_FILE_000_B"/>
    <s v="RECORD COUNT by MBR_ID, DOS_THRU_DT, DX_CD Grain grouped by PAYER, SRC_FILE_NM, DOS_THRU_YYYYMM"/>
  </r>
  <r>
    <x v="3"/>
    <s v="MERCYAFFILIATES_MAO_YTD_THRU_Sep_2024_RUNOUT.txt"/>
    <x v="99"/>
    <x v="9"/>
    <n v="249757"/>
    <n v="2897157"/>
    <n v="8.6199999999999992"/>
    <s v="DQS_MAO04_FILE_000_B"/>
    <s v="RECORD COUNT by MBR_ID, DOS_THRU_DT, DX_CD Grain grouped by PAYER, SRC_FILE_NM, DOS_THRU_YYYYMM"/>
  </r>
  <r>
    <x v="3"/>
    <s v="MERCYAFFILIATES_MAO_YTD_THRU_Sep_2024_RUNOUT.txt"/>
    <x v="100"/>
    <x v="9"/>
    <n v="233403"/>
    <n v="2897157"/>
    <n v="8.06"/>
    <s v="DQS_MAO04_FILE_000_B"/>
    <s v="RECORD COUNT by MBR_ID, DOS_THRU_DT, DX_CD Grain grouped by PAYER, SRC_FILE_NM, DOS_THRU_YYYYMM"/>
  </r>
  <r>
    <x v="3"/>
    <s v="MERCYAFFILIATES_MAO_YTD_THRU_Sep_2024_RUNOUT.txt"/>
    <x v="102"/>
    <x v="9"/>
    <n v="211008"/>
    <n v="2897157"/>
    <n v="7.28"/>
    <s v="DQS_MAO04_FILE_000_B"/>
    <s v="RECORD COUNT by MBR_ID, DOS_THRU_DT, DX_CD Grain grouped by PAYER, SRC_FILE_NM, DOS_THRU_YYYYMM"/>
  </r>
  <r>
    <x v="3"/>
    <s v="MERCYAFFILIATES_MAO_YTD_THRU_Sep_2024_RUNOUT.txt"/>
    <x v="103"/>
    <x v="9"/>
    <n v="264012"/>
    <n v="2897157"/>
    <n v="9.11"/>
    <s v="DQS_MAO04_FILE_000_B"/>
    <s v="RECORD COUNT by MBR_ID, DOS_THRU_DT, DX_CD Grain grouped by PAYER, SRC_FILE_NM, DOS_THRU_YYYYMM"/>
  </r>
  <r>
    <x v="3"/>
    <s v="MERCYAFFILIATES_MAO_YTD_THRU_Sep_2024_RUNOUT.txt"/>
    <x v="105"/>
    <x v="9"/>
    <n v="256938"/>
    <n v="2897157"/>
    <n v="8.8699999999999992"/>
    <s v="DQS_MAO04_FILE_000_B"/>
    <s v="RECORD COUNT by MBR_ID, DOS_THRU_DT, DX_CD Grain grouped by PAYER, SRC_FILE_NM, DOS_THRU_YYYYMM"/>
  </r>
  <r>
    <x v="3"/>
    <s v="MERCYAFFILIATES_MAO_YTD_THRU_Sep_2024_RUNOUT.txt"/>
    <x v="106"/>
    <x v="9"/>
    <n v="243859"/>
    <n v="2897157"/>
    <n v="8.42"/>
    <s v="DQS_MAO04_FILE_000_B"/>
    <s v="RECORD COUNT by MBR_ID, DOS_THRU_DT, DX_CD Grain grouped by PAYER, SRC_FILE_NM, DOS_THRU_YYYYMM"/>
  </r>
  <r>
    <x v="3"/>
    <s v="MERCYAFFILIATES_MAO_YTD_THRU_Sep_2024_RUNOUT.txt"/>
    <x v="107"/>
    <x v="9"/>
    <n v="277727"/>
    <n v="2897157"/>
    <n v="9.59"/>
    <s v="DQS_MAO04_FILE_000_B"/>
    <s v="RECORD COUNT by MBR_ID, DOS_THRU_DT, DX_CD Grain grouped by PAYER, SRC_FILE_NM, DOS_THRU_YYYYMM"/>
  </r>
  <r>
    <x v="3"/>
    <s v="MERCYAFFILIATES_MAO_YTD_THRU_Sep_2024_RUNOUT.txt"/>
    <x v="108"/>
    <x v="9"/>
    <n v="236945"/>
    <n v="2897157"/>
    <n v="8.18"/>
    <s v="DQS_MAO04_FILE_000_B"/>
    <s v="RECORD COUNT by MBR_ID, DOS_THRU_DT, DX_CD Grain grouped by PAYER, SRC_FILE_NM, DOS_THRU_YYYYMM"/>
  </r>
  <r>
    <x v="3"/>
    <s v="MERCYAFFILIATES_MAO_YTD_THRU_Sep_2024_RUNOUT.txt"/>
    <x v="109"/>
    <x v="9"/>
    <n v="239746"/>
    <n v="2897157"/>
    <n v="8.2799999999999994"/>
    <s v="DQS_MAO04_FILE_000_B"/>
    <s v="RECORD COUNT by MBR_ID, DOS_THRU_DT, DX_CD Grain grouped by PAYER, SRC_FILE_NM, DOS_THRU_YYYYMM"/>
  </r>
  <r>
    <x v="3"/>
    <s v="MERCYAFFILIATES_MAO_YTD_THRU_Sep_2025.txt"/>
    <x v="110"/>
    <x v="11"/>
    <n v="260730"/>
    <n v="2034901"/>
    <n v="12.81"/>
    <s v="DQS_MAO04_FILE_000_B"/>
    <s v="RECORD COUNT by MBR_ID, DOS_THRU_DT, DX_CD Grain grouped by PAYER, SRC_FILE_NM, DOS_THRU_YYYYMM"/>
  </r>
  <r>
    <x v="3"/>
    <s v="MERCYAFFILIATES_MAO_YTD_THRU_Sep_2025.txt"/>
    <x v="111"/>
    <x v="11"/>
    <n v="250236"/>
    <n v="2034901"/>
    <n v="12.3"/>
    <s v="DQS_MAO04_FILE_000_B"/>
    <s v="RECORD COUNT by MBR_ID, DOS_THRU_DT, DX_CD Grain grouped by PAYER, SRC_FILE_NM, DOS_THRU_YYYYMM"/>
  </r>
  <r>
    <x v="3"/>
    <s v="MERCYAFFILIATES_MAO_YTD_THRU_Sep_2025.txt"/>
    <x v="112"/>
    <x v="11"/>
    <n v="283297"/>
    <n v="2034901"/>
    <n v="13.92"/>
    <s v="DQS_MAO04_FILE_000_B"/>
    <s v="RECORD COUNT by MBR_ID, DOS_THRU_DT, DX_CD Grain grouped by PAYER, SRC_FILE_NM, DOS_THRU_YYYYMM"/>
  </r>
  <r>
    <x v="3"/>
    <s v="MERCYAFFILIATES_MAO_YTD_THRU_Sep_2025.txt"/>
    <x v="113"/>
    <x v="11"/>
    <n v="293530"/>
    <n v="2034901"/>
    <n v="14.42"/>
    <s v="DQS_MAO04_FILE_000_B"/>
    <s v="RECORD COUNT by MBR_ID, DOS_THRU_DT, DX_CD Grain grouped by PAYER, SRC_FILE_NM, DOS_THRU_YYYYMM"/>
  </r>
  <r>
    <x v="3"/>
    <s v="MERCYAFFILIATES_MAO_YTD_THRU_Sep_2025.txt"/>
    <x v="114"/>
    <x v="11"/>
    <n v="280450"/>
    <n v="2034901"/>
    <n v="13.78"/>
    <s v="DQS_MAO04_FILE_000_B"/>
    <s v="RECORD COUNT by MBR_ID, DOS_THRU_DT, DX_CD Grain grouped by PAYER, SRC_FILE_NM, DOS_THRU_YYYYMM"/>
  </r>
  <r>
    <x v="3"/>
    <s v="MERCYAFFILIATES_MAO_YTD_THRU_Sep_2025.txt"/>
    <x v="115"/>
    <x v="11"/>
    <n v="261793"/>
    <n v="2034901"/>
    <n v="12.87"/>
    <s v="DQS_MAO04_FILE_000_B"/>
    <s v="RECORD COUNT by MBR_ID, DOS_THRU_DT, DX_CD Grain grouped by PAYER, SRC_FILE_NM, DOS_THRU_YYYYMM"/>
  </r>
  <r>
    <x v="3"/>
    <s v="MERCYAFFILIATES_MAO_YTD_THRU_Sep_2025.txt"/>
    <x v="116"/>
    <x v="11"/>
    <n v="235453"/>
    <n v="2034901"/>
    <n v="11.57"/>
    <s v="DQS_MAO04_FILE_000_B"/>
    <s v="RECORD COUNT by MBR_ID, DOS_THRU_DT, DX_CD Grain grouped by PAYER, SRC_FILE_NM, DOS_THRU_YYYYMM"/>
  </r>
  <r>
    <x v="3"/>
    <s v="MERCYAFFILIATES_MAO_YTD_THRU_Sep_2025.txt"/>
    <x v="117"/>
    <x v="11"/>
    <n v="163594"/>
    <n v="2034901"/>
    <n v="8.0399999999999991"/>
    <s v="DQS_MAO04_FILE_000_B"/>
    <s v="RECORD COUNT by MBR_ID, DOS_THRU_DT, DX_CD Grain grouped by PAYER, SRC_FILE_NM, DOS_THRU_YYYYMM"/>
  </r>
  <r>
    <x v="3"/>
    <s v="MERCYAFFILIATES_MAO_YTD_THRU_Sep_2025.txt"/>
    <x v="118"/>
    <x v="11"/>
    <n v="5818"/>
    <n v="2034901"/>
    <n v="0.28999999999999998"/>
    <s v="DQS_MAO04_FILE_000_B"/>
    <s v="RECORD COUNT by MBR_ID, DOS_THRU_DT, DX_CD Grain grouped by PAYER, SRC_FILE_NM, DOS_THRU_YYYYMM"/>
  </r>
  <r>
    <x v="3"/>
    <s v="MERCYOKPHYS_MAO_YTD_THRU_Apr_2025_RUNOUT.txt"/>
    <x v="110"/>
    <x v="11"/>
    <n v="96644"/>
    <n v="1166257"/>
    <n v="8.2899999999999991"/>
    <s v="DQS_MAO04_FILE_000_B"/>
    <s v="RECORD COUNT by MBR_ID, DOS_THRU_DT, DX_CD Grain grouped by PAYER, SRC_FILE_NM, DOS_THRU_YYYYMM"/>
  </r>
  <r>
    <x v="3"/>
    <s v="MERCYOKPHYS_MAO_YTD_THRU_Apr_2025_RUNOUT.txt"/>
    <x v="111"/>
    <x v="11"/>
    <n v="86195"/>
    <n v="1166257"/>
    <n v="7.39"/>
    <s v="DQS_MAO04_FILE_000_B"/>
    <s v="RECORD COUNT by MBR_ID, DOS_THRU_DT, DX_CD Grain grouped by PAYER, SRC_FILE_NM, DOS_THRU_YYYYMM"/>
  </r>
  <r>
    <x v="3"/>
    <s v="MERCYOKPHYS_MAO_YTD_THRU_Apr_2025_RUNOUT.txt"/>
    <x v="112"/>
    <x v="11"/>
    <n v="99563"/>
    <n v="1166257"/>
    <n v="8.5399999999999991"/>
    <s v="DQS_MAO04_FILE_000_B"/>
    <s v="RECORD COUNT by MBR_ID, DOS_THRU_DT, DX_CD Grain grouped by PAYER, SRC_FILE_NM, DOS_THRU_YYYYMM"/>
  </r>
  <r>
    <x v="3"/>
    <s v="MERCYOKPHYS_MAO_YTD_THRU_Apr_2025_RUNOUT.txt"/>
    <x v="113"/>
    <x v="11"/>
    <n v="103077"/>
    <n v="1166257"/>
    <n v="8.84"/>
    <s v="DQS_MAO04_FILE_000_B"/>
    <s v="RECORD COUNT by MBR_ID, DOS_THRU_DT, DX_CD Grain grouped by PAYER, SRC_FILE_NM, DOS_THRU_YYYYMM"/>
  </r>
  <r>
    <x v="3"/>
    <s v="MERCYOKPHYS_MAO_YTD_THRU_Apr_2025_RUNOUT.txt"/>
    <x v="114"/>
    <x v="11"/>
    <n v="98915"/>
    <n v="1166257"/>
    <n v="8.48"/>
    <s v="DQS_MAO04_FILE_000_B"/>
    <s v="RECORD COUNT by MBR_ID, DOS_THRU_DT, DX_CD Grain grouped by PAYER, SRC_FILE_NM, DOS_THRU_YYYYMM"/>
  </r>
  <r>
    <x v="3"/>
    <s v="MERCYOKPHYS_MAO_YTD_THRU_Apr_2025_RUNOUT.txt"/>
    <x v="115"/>
    <x v="11"/>
    <n v="94555"/>
    <n v="1166257"/>
    <n v="8.11"/>
    <s v="DQS_MAO04_FILE_000_B"/>
    <s v="RECORD COUNT by MBR_ID, DOS_THRU_DT, DX_CD Grain grouped by PAYER, SRC_FILE_NM, DOS_THRU_YYYYMM"/>
  </r>
  <r>
    <x v="3"/>
    <s v="MERCYOKPHYS_MAO_YTD_THRU_Apr_2025_RUNOUT.txt"/>
    <x v="116"/>
    <x v="11"/>
    <n v="100900"/>
    <n v="1166257"/>
    <n v="8.65"/>
    <s v="DQS_MAO04_FILE_000_B"/>
    <s v="RECORD COUNT by MBR_ID, DOS_THRU_DT, DX_CD Grain grouped by PAYER, SRC_FILE_NM, DOS_THRU_YYYYMM"/>
  </r>
  <r>
    <x v="3"/>
    <s v="MERCYOKPHYS_MAO_YTD_THRU_Apr_2025_RUNOUT.txt"/>
    <x v="117"/>
    <x v="11"/>
    <n v="94631"/>
    <n v="1166257"/>
    <n v="8.11"/>
    <s v="DQS_MAO04_FILE_000_B"/>
    <s v="RECORD COUNT by MBR_ID, DOS_THRU_DT, DX_CD Grain grouped by PAYER, SRC_FILE_NM, DOS_THRU_YYYYMM"/>
  </r>
  <r>
    <x v="3"/>
    <s v="MERCYOKPHYS_MAO_YTD_THRU_Apr_2025_RUNOUT.txt"/>
    <x v="118"/>
    <x v="11"/>
    <n v="97229"/>
    <n v="1166257"/>
    <n v="8.34"/>
    <s v="DQS_MAO04_FILE_000_B"/>
    <s v="RECORD COUNT by MBR_ID, DOS_THRU_DT, DX_CD Grain grouped by PAYER, SRC_FILE_NM, DOS_THRU_YYYYMM"/>
  </r>
  <r>
    <x v="3"/>
    <s v="MERCYOKPHYS_MAO_YTD_THRU_Apr_2025_RUNOUT.txt"/>
    <x v="119"/>
    <x v="11"/>
    <n v="105844"/>
    <n v="1166257"/>
    <n v="9.08"/>
    <s v="DQS_MAO04_FILE_000_B"/>
    <s v="RECORD COUNT by MBR_ID, DOS_THRU_DT, DX_CD Grain grouped by PAYER, SRC_FILE_NM, DOS_THRU_YYYYMM"/>
  </r>
  <r>
    <x v="3"/>
    <s v="MERCYOKPHYS_MAO_YTD_THRU_Apr_2025_RUNOUT.txt"/>
    <x v="120"/>
    <x v="11"/>
    <n v="90133"/>
    <n v="1166257"/>
    <n v="7.73"/>
    <s v="DQS_MAO04_FILE_000_B"/>
    <s v="RECORD COUNT by MBR_ID, DOS_THRU_DT, DX_CD Grain grouped by PAYER, SRC_FILE_NM, DOS_THRU_YYYYMM"/>
  </r>
  <r>
    <x v="3"/>
    <s v="MERCYOKPHYS_MAO_YTD_THRU_Apr_2025_RUNOUT.txt"/>
    <x v="121"/>
    <x v="11"/>
    <n v="98571"/>
    <n v="1166257"/>
    <n v="8.4499999999999993"/>
    <s v="DQS_MAO04_FILE_000_B"/>
    <s v="RECORD COUNT by MBR_ID, DOS_THRU_DT, DX_CD Grain grouped by PAYER, SRC_FILE_NM, DOS_THRU_YYYYMM"/>
  </r>
  <r>
    <x v="3"/>
    <s v="MERCYOKPHYS_MAO_YTD_THRU_Apr_2026.txt"/>
    <x v="122"/>
    <x v="12"/>
    <n v="71369"/>
    <n v="195216"/>
    <n v="36.56"/>
    <s v="DQS_MAO04_FILE_000_B"/>
    <s v="RECORD COUNT by MBR_ID, DOS_THRU_DT, DX_CD Grain grouped by PAYER, SRC_FILE_NM, DOS_THRU_YYYYMM"/>
  </r>
  <r>
    <x v="3"/>
    <s v="MERCYOKPHYS_MAO_YTD_THRU_Apr_2026.txt"/>
    <x v="123"/>
    <x v="12"/>
    <n v="69139"/>
    <n v="195216"/>
    <n v="35.42"/>
    <s v="DQS_MAO04_FILE_000_B"/>
    <s v="RECORD COUNT by MBR_ID, DOS_THRU_DT, DX_CD Grain grouped by PAYER, SRC_FILE_NM, DOS_THRU_YYYYMM"/>
  </r>
  <r>
    <x v="3"/>
    <s v="MERCYOKPHYS_MAO_YTD_THRU_Apr_2026.txt"/>
    <x v="124"/>
    <x v="12"/>
    <n v="54468"/>
    <n v="195216"/>
    <n v="27.9"/>
    <s v="DQS_MAO04_FILE_000_B"/>
    <s v="RECORD COUNT by MBR_ID, DOS_THRU_DT, DX_CD Grain grouped by PAYER, SRC_FILE_NM, DOS_THRU_YYYYMM"/>
  </r>
  <r>
    <x v="3"/>
    <s v="MERCYOKPHYS_MAO_YTD_THRU_Apr_2026.txt"/>
    <x v="125"/>
    <x v="12"/>
    <n v="240"/>
    <n v="195216"/>
    <n v="0.12"/>
    <s v="DQS_MAO04_FILE_000_B"/>
    <s v="RECORD COUNT by MBR_ID, DOS_THRU_DT, DX_CD Grain grouped by PAYER, SRC_FILE_NM, DOS_THRU_YYYYMM"/>
  </r>
  <r>
    <x v="3"/>
    <s v="MERCYOKPHYS_MAO_YTD_THRU_Aug_2025.txt"/>
    <x v="110"/>
    <x v="11"/>
    <n v="92702"/>
    <n v="606039"/>
    <n v="15.3"/>
    <s v="DQS_MAO04_FILE_000_B"/>
    <s v="RECORD COUNT by MBR_ID, DOS_THRU_DT, DX_CD Grain grouped by PAYER, SRC_FILE_NM, DOS_THRU_YYYYMM"/>
  </r>
  <r>
    <x v="3"/>
    <s v="MERCYOKPHYS_MAO_YTD_THRU_Aug_2025.txt"/>
    <x v="111"/>
    <x v="11"/>
    <n v="82651"/>
    <n v="606039"/>
    <n v="13.64"/>
    <s v="DQS_MAO04_FILE_000_B"/>
    <s v="RECORD COUNT by MBR_ID, DOS_THRU_DT, DX_CD Grain grouped by PAYER, SRC_FILE_NM, DOS_THRU_YYYYMM"/>
  </r>
  <r>
    <x v="3"/>
    <s v="MERCYOKPHYS_MAO_YTD_THRU_Aug_2025.txt"/>
    <x v="112"/>
    <x v="11"/>
    <n v="95140"/>
    <n v="606039"/>
    <n v="15.7"/>
    <s v="DQS_MAO04_FILE_000_B"/>
    <s v="RECORD COUNT by MBR_ID, DOS_THRU_DT, DX_CD Grain grouped by PAYER, SRC_FILE_NM, DOS_THRU_YYYYMM"/>
  </r>
  <r>
    <x v="3"/>
    <s v="MERCYOKPHYS_MAO_YTD_THRU_Aug_2025.txt"/>
    <x v="113"/>
    <x v="11"/>
    <n v="97500"/>
    <n v="606039"/>
    <n v="16.09"/>
    <s v="DQS_MAO04_FILE_000_B"/>
    <s v="RECORD COUNT by MBR_ID, DOS_THRU_DT, DX_CD Grain grouped by PAYER, SRC_FILE_NM, DOS_THRU_YYYYMM"/>
  </r>
  <r>
    <x v="3"/>
    <s v="MERCYOKPHYS_MAO_YTD_THRU_Aug_2025.txt"/>
    <x v="114"/>
    <x v="11"/>
    <n v="92234"/>
    <n v="606039"/>
    <n v="15.22"/>
    <s v="DQS_MAO04_FILE_000_B"/>
    <s v="RECORD COUNT by MBR_ID, DOS_THRU_DT, DX_CD Grain grouped by PAYER, SRC_FILE_NM, DOS_THRU_YYYYMM"/>
  </r>
  <r>
    <x v="3"/>
    <s v="MERCYOKPHYS_MAO_YTD_THRU_Aug_2025.txt"/>
    <x v="115"/>
    <x v="11"/>
    <n v="86796"/>
    <n v="606039"/>
    <n v="14.32"/>
    <s v="DQS_MAO04_FILE_000_B"/>
    <s v="RECORD COUNT by MBR_ID, DOS_THRU_DT, DX_CD Grain grouped by PAYER, SRC_FILE_NM, DOS_THRU_YYYYMM"/>
  </r>
  <r>
    <x v="3"/>
    <s v="MERCYOKPHYS_MAO_YTD_THRU_Aug_2025.txt"/>
    <x v="116"/>
    <x v="11"/>
    <n v="57983"/>
    <n v="606039"/>
    <n v="9.57"/>
    <s v="DQS_MAO04_FILE_000_B"/>
    <s v="RECORD COUNT by MBR_ID, DOS_THRU_DT, DX_CD Grain grouped by PAYER, SRC_FILE_NM, DOS_THRU_YYYYMM"/>
  </r>
  <r>
    <x v="3"/>
    <s v="MERCYOKPHYS_MAO_YTD_THRU_Aug_2025.txt"/>
    <x v="117"/>
    <x v="11"/>
    <n v="1033"/>
    <n v="606039"/>
    <n v="0.17"/>
    <s v="DQS_MAO04_FILE_000_B"/>
    <s v="RECORD COUNT by MBR_ID, DOS_THRU_DT, DX_CD Grain grouped by PAYER, SRC_FILE_NM, DOS_THRU_YYYYMM"/>
  </r>
  <r>
    <x v="3"/>
    <s v="MERCYOKPHYS_MAO_YTD_THRU_Dec_2025.txt"/>
    <x v="110"/>
    <x v="11"/>
    <n v="93715"/>
    <n v="995875"/>
    <n v="9.41"/>
    <s v="DQS_MAO04_FILE_000_B"/>
    <s v="RECORD COUNT by MBR_ID, DOS_THRU_DT, DX_CD Grain grouped by PAYER, SRC_FILE_NM, DOS_THRU_YYYYMM"/>
  </r>
  <r>
    <x v="3"/>
    <s v="MERCYOKPHYS_MAO_YTD_THRU_Dec_2025.txt"/>
    <x v="111"/>
    <x v="11"/>
    <n v="83881"/>
    <n v="995875"/>
    <n v="8.42"/>
    <s v="DQS_MAO04_FILE_000_B"/>
    <s v="RECORD COUNT by MBR_ID, DOS_THRU_DT, DX_CD Grain grouped by PAYER, SRC_FILE_NM, DOS_THRU_YYYYMM"/>
  </r>
  <r>
    <x v="3"/>
    <s v="MERCYOKPHYS_MAO_YTD_THRU_Dec_2025.txt"/>
    <x v="112"/>
    <x v="11"/>
    <n v="96947"/>
    <n v="995875"/>
    <n v="9.73"/>
    <s v="DQS_MAO04_FILE_000_B"/>
    <s v="RECORD COUNT by MBR_ID, DOS_THRU_DT, DX_CD Grain grouped by PAYER, SRC_FILE_NM, DOS_THRU_YYYYMM"/>
  </r>
  <r>
    <x v="3"/>
    <s v="MERCYOKPHYS_MAO_YTD_THRU_Dec_2025.txt"/>
    <x v="113"/>
    <x v="11"/>
    <n v="99511"/>
    <n v="995875"/>
    <n v="9.99"/>
    <s v="DQS_MAO04_FILE_000_B"/>
    <s v="RECORD COUNT by MBR_ID, DOS_THRU_DT, DX_CD Grain grouped by PAYER, SRC_FILE_NM, DOS_THRU_YYYYMM"/>
  </r>
  <r>
    <x v="3"/>
    <s v="MERCYOKPHYS_MAO_YTD_THRU_Dec_2025.txt"/>
    <x v="114"/>
    <x v="11"/>
    <n v="96031"/>
    <n v="995875"/>
    <n v="9.64"/>
    <s v="DQS_MAO04_FILE_000_B"/>
    <s v="RECORD COUNT by MBR_ID, DOS_THRU_DT, DX_CD Grain grouped by PAYER, SRC_FILE_NM, DOS_THRU_YYYYMM"/>
  </r>
  <r>
    <x v="3"/>
    <s v="MERCYOKPHYS_MAO_YTD_THRU_Dec_2025.txt"/>
    <x v="115"/>
    <x v="11"/>
    <n v="92114"/>
    <n v="995875"/>
    <n v="9.25"/>
    <s v="DQS_MAO04_FILE_000_B"/>
    <s v="RECORD COUNT by MBR_ID, DOS_THRU_DT, DX_CD Grain grouped by PAYER, SRC_FILE_NM, DOS_THRU_YYYYMM"/>
  </r>
  <r>
    <x v="3"/>
    <s v="MERCYOKPHYS_MAO_YTD_THRU_Dec_2025.txt"/>
    <x v="116"/>
    <x v="11"/>
    <n v="96125"/>
    <n v="995875"/>
    <n v="9.65"/>
    <s v="DQS_MAO04_FILE_000_B"/>
    <s v="RECORD COUNT by MBR_ID, DOS_THRU_DT, DX_CD Grain grouped by PAYER, SRC_FILE_NM, DOS_THRU_YYYYMM"/>
  </r>
  <r>
    <x v="3"/>
    <s v="MERCYOKPHYS_MAO_YTD_THRU_Dec_2025.txt"/>
    <x v="117"/>
    <x v="11"/>
    <n v="90926"/>
    <n v="995875"/>
    <n v="9.1300000000000008"/>
    <s v="DQS_MAO04_FILE_000_B"/>
    <s v="RECORD COUNT by MBR_ID, DOS_THRU_DT, DX_CD Grain grouped by PAYER, SRC_FILE_NM, DOS_THRU_YYYYMM"/>
  </r>
  <r>
    <x v="3"/>
    <s v="MERCYOKPHYS_MAO_YTD_THRU_Dec_2025.txt"/>
    <x v="118"/>
    <x v="11"/>
    <n v="92722"/>
    <n v="995875"/>
    <n v="9.31"/>
    <s v="DQS_MAO04_FILE_000_B"/>
    <s v="RECORD COUNT by MBR_ID, DOS_THRU_DT, DX_CD Grain grouped by PAYER, SRC_FILE_NM, DOS_THRU_YYYYMM"/>
  </r>
  <r>
    <x v="3"/>
    <s v="MERCYOKPHYS_MAO_YTD_THRU_Dec_2025.txt"/>
    <x v="119"/>
    <x v="11"/>
    <n v="96269"/>
    <n v="995875"/>
    <n v="9.67"/>
    <s v="DQS_MAO04_FILE_000_B"/>
    <s v="RECORD COUNT by MBR_ID, DOS_THRU_DT, DX_CD Grain grouped by PAYER, SRC_FILE_NM, DOS_THRU_YYYYMM"/>
  </r>
  <r>
    <x v="3"/>
    <s v="MERCYOKPHYS_MAO_YTD_THRU_Dec_2025.txt"/>
    <x v="120"/>
    <x v="11"/>
    <n v="56139"/>
    <n v="995875"/>
    <n v="5.64"/>
    <s v="DQS_MAO04_FILE_000_B"/>
    <s v="RECORD COUNT by MBR_ID, DOS_THRU_DT, DX_CD Grain grouped by PAYER, SRC_FILE_NM, DOS_THRU_YYYYMM"/>
  </r>
  <r>
    <x v="3"/>
    <s v="MERCYOKPHYS_MAO_YTD_THRU_Dec_2025.txt"/>
    <x v="121"/>
    <x v="11"/>
    <n v="1495"/>
    <n v="995875"/>
    <n v="0.15"/>
    <s v="DQS_MAO04_FILE_000_B"/>
    <s v="RECORD COUNT by MBR_ID, DOS_THRU_DT, DX_CD Grain grouped by PAYER, SRC_FILE_NM, DOS_THRU_YYYYMM"/>
  </r>
  <r>
    <x v="3"/>
    <s v="MERCYOKPHYS_MAO_YTD_THRU_Feb_2025_RUNOUT.txt"/>
    <x v="110"/>
    <x v="11"/>
    <n v="96142"/>
    <n v="1133318"/>
    <n v="8.48"/>
    <s v="DQS_MAO04_FILE_000_B"/>
    <s v="RECORD COUNT by MBR_ID, DOS_THRU_DT, DX_CD Grain grouped by PAYER, SRC_FILE_NM, DOS_THRU_YYYYMM"/>
  </r>
  <r>
    <x v="3"/>
    <s v="MERCYOKPHYS_MAO_YTD_THRU_Feb_2025_RUNOUT.txt"/>
    <x v="111"/>
    <x v="11"/>
    <n v="85614"/>
    <n v="1133318"/>
    <n v="7.55"/>
    <s v="DQS_MAO04_FILE_000_B"/>
    <s v="RECORD COUNT by MBR_ID, DOS_THRU_DT, DX_CD Grain grouped by PAYER, SRC_FILE_NM, DOS_THRU_YYYYMM"/>
  </r>
  <r>
    <x v="3"/>
    <s v="MERCYOKPHYS_MAO_YTD_THRU_Feb_2025_RUNOUT.txt"/>
    <x v="112"/>
    <x v="11"/>
    <n v="97548"/>
    <n v="1133318"/>
    <n v="8.61"/>
    <s v="DQS_MAO04_FILE_000_B"/>
    <s v="RECORD COUNT by MBR_ID, DOS_THRU_DT, DX_CD Grain grouped by PAYER, SRC_FILE_NM, DOS_THRU_YYYYMM"/>
  </r>
  <r>
    <x v="3"/>
    <s v="MERCYOKPHYS_MAO_YTD_THRU_Feb_2025_RUNOUT.txt"/>
    <x v="113"/>
    <x v="11"/>
    <n v="99578"/>
    <n v="1133318"/>
    <n v="8.7899999999999991"/>
    <s v="DQS_MAO04_FILE_000_B"/>
    <s v="RECORD COUNT by MBR_ID, DOS_THRU_DT, DX_CD Grain grouped by PAYER, SRC_FILE_NM, DOS_THRU_YYYYMM"/>
  </r>
  <r>
    <x v="3"/>
    <s v="MERCYOKPHYS_MAO_YTD_THRU_Feb_2025_RUNOUT.txt"/>
    <x v="114"/>
    <x v="11"/>
    <n v="96086"/>
    <n v="1133318"/>
    <n v="8.48"/>
    <s v="DQS_MAO04_FILE_000_B"/>
    <s v="RECORD COUNT by MBR_ID, DOS_THRU_DT, DX_CD Grain grouped by PAYER, SRC_FILE_NM, DOS_THRU_YYYYMM"/>
  </r>
  <r>
    <x v="3"/>
    <s v="MERCYOKPHYS_MAO_YTD_THRU_Feb_2025_RUNOUT.txt"/>
    <x v="115"/>
    <x v="11"/>
    <n v="92173"/>
    <n v="1133318"/>
    <n v="8.1300000000000008"/>
    <s v="DQS_MAO04_FILE_000_B"/>
    <s v="RECORD COUNT by MBR_ID, DOS_THRU_DT, DX_CD Grain grouped by PAYER, SRC_FILE_NM, DOS_THRU_YYYYMM"/>
  </r>
  <r>
    <x v="3"/>
    <s v="MERCYOKPHYS_MAO_YTD_THRU_Feb_2025_RUNOUT.txt"/>
    <x v="116"/>
    <x v="11"/>
    <n v="97297"/>
    <n v="1133318"/>
    <n v="8.59"/>
    <s v="DQS_MAO04_FILE_000_B"/>
    <s v="RECORD COUNT by MBR_ID, DOS_THRU_DT, DX_CD Grain grouped by PAYER, SRC_FILE_NM, DOS_THRU_YYYYMM"/>
  </r>
  <r>
    <x v="3"/>
    <s v="MERCYOKPHYS_MAO_YTD_THRU_Feb_2025_RUNOUT.txt"/>
    <x v="117"/>
    <x v="11"/>
    <n v="92027"/>
    <n v="1133318"/>
    <n v="8.1199999999999992"/>
    <s v="DQS_MAO04_FILE_000_B"/>
    <s v="RECORD COUNT by MBR_ID, DOS_THRU_DT, DX_CD Grain grouped by PAYER, SRC_FILE_NM, DOS_THRU_YYYYMM"/>
  </r>
  <r>
    <x v="3"/>
    <s v="MERCYOKPHYS_MAO_YTD_THRU_Feb_2025_RUNOUT.txt"/>
    <x v="118"/>
    <x v="11"/>
    <n v="94357"/>
    <n v="1133318"/>
    <n v="8.33"/>
    <s v="DQS_MAO04_FILE_000_B"/>
    <s v="RECORD COUNT by MBR_ID, DOS_THRU_DT, DX_CD Grain grouped by PAYER, SRC_FILE_NM, DOS_THRU_YYYYMM"/>
  </r>
  <r>
    <x v="3"/>
    <s v="MERCYOKPHYS_MAO_YTD_THRU_Feb_2025_RUNOUT.txt"/>
    <x v="119"/>
    <x v="11"/>
    <n v="101526"/>
    <n v="1133318"/>
    <n v="8.9600000000000009"/>
    <s v="DQS_MAO04_FILE_000_B"/>
    <s v="RECORD COUNT by MBR_ID, DOS_THRU_DT, DX_CD Grain grouped by PAYER, SRC_FILE_NM, DOS_THRU_YYYYMM"/>
  </r>
  <r>
    <x v="3"/>
    <s v="MERCYOKPHYS_MAO_YTD_THRU_Feb_2025_RUNOUT.txt"/>
    <x v="120"/>
    <x v="11"/>
    <n v="86858"/>
    <n v="1133318"/>
    <n v="7.66"/>
    <s v="DQS_MAO04_FILE_000_B"/>
    <s v="RECORD COUNT by MBR_ID, DOS_THRU_DT, DX_CD Grain grouped by PAYER, SRC_FILE_NM, DOS_THRU_YYYYMM"/>
  </r>
  <r>
    <x v="3"/>
    <s v="MERCYOKPHYS_MAO_YTD_THRU_Feb_2025_RUNOUT.txt"/>
    <x v="121"/>
    <x v="11"/>
    <n v="94112"/>
    <n v="1133318"/>
    <n v="8.3000000000000007"/>
    <s v="DQS_MAO04_FILE_000_B"/>
    <s v="RECORD COUNT by MBR_ID, DOS_THRU_DT, DX_CD Grain grouped by PAYER, SRC_FILE_NM, DOS_THRU_YYYYMM"/>
  </r>
  <r>
    <x v="3"/>
    <s v="MERCYOKPHYS_MAO_YTD_THRU_Feb_2026.txt"/>
    <x v="122"/>
    <x v="12"/>
    <n v="39668"/>
    <n v="39779"/>
    <n v="99.72"/>
    <s v="DQS_MAO04_FILE_000_B"/>
    <s v="RECORD COUNT by MBR_ID, DOS_THRU_DT, DX_CD Grain grouped by PAYER, SRC_FILE_NM, DOS_THRU_YYYYMM"/>
  </r>
  <r>
    <x v="3"/>
    <s v="MERCYOKPHYS_MAO_YTD_THRU_Feb_2026.txt"/>
    <x v="123"/>
    <x v="12"/>
    <n v="111"/>
    <n v="39779"/>
    <n v="0.28000000000000003"/>
    <s v="DQS_MAO04_FILE_000_B"/>
    <s v="RECORD COUNT by MBR_ID, DOS_THRU_DT, DX_CD Grain grouped by PAYER, SRC_FILE_NM, DOS_THRU_YYYYMM"/>
  </r>
  <r>
    <x v="3"/>
    <s v="MERCYOKPHYS_MAO_YTD_THRU_Jan_2025_RUNOUT.txt"/>
    <x v="110"/>
    <x v="11"/>
    <n v="93762"/>
    <n v="1091885"/>
    <n v="8.59"/>
    <s v="DQS_MAO04_FILE_000_B"/>
    <s v="RECORD COUNT by MBR_ID, DOS_THRU_DT, DX_CD Grain grouped by PAYER, SRC_FILE_NM, DOS_THRU_YYYYMM"/>
  </r>
  <r>
    <x v="3"/>
    <s v="MERCYOKPHYS_MAO_YTD_THRU_Jan_2025_RUNOUT.txt"/>
    <x v="111"/>
    <x v="11"/>
    <n v="83943"/>
    <n v="1091885"/>
    <n v="7.69"/>
    <s v="DQS_MAO04_FILE_000_B"/>
    <s v="RECORD COUNT by MBR_ID, DOS_THRU_DT, DX_CD Grain grouped by PAYER, SRC_FILE_NM, DOS_THRU_YYYYMM"/>
  </r>
  <r>
    <x v="3"/>
    <s v="MERCYOKPHYS_MAO_YTD_THRU_Jan_2025_RUNOUT.txt"/>
    <x v="112"/>
    <x v="11"/>
    <n v="97042"/>
    <n v="1091885"/>
    <n v="8.89"/>
    <s v="DQS_MAO04_FILE_000_B"/>
    <s v="RECORD COUNT by MBR_ID, DOS_THRU_DT, DX_CD Grain grouped by PAYER, SRC_FILE_NM, DOS_THRU_YYYYMM"/>
  </r>
  <r>
    <x v="3"/>
    <s v="MERCYOKPHYS_MAO_YTD_THRU_Jan_2025_RUNOUT.txt"/>
    <x v="113"/>
    <x v="11"/>
    <n v="99558"/>
    <n v="1091885"/>
    <n v="9.1199999999999992"/>
    <s v="DQS_MAO04_FILE_000_B"/>
    <s v="RECORD COUNT by MBR_ID, DOS_THRU_DT, DX_CD Grain grouped by PAYER, SRC_FILE_NM, DOS_THRU_YYYYMM"/>
  </r>
  <r>
    <x v="3"/>
    <s v="MERCYOKPHYS_MAO_YTD_THRU_Jan_2025_RUNOUT.txt"/>
    <x v="114"/>
    <x v="11"/>
    <n v="96085"/>
    <n v="1091885"/>
    <n v="8.8000000000000007"/>
    <s v="DQS_MAO04_FILE_000_B"/>
    <s v="RECORD COUNT by MBR_ID, DOS_THRU_DT, DX_CD Grain grouped by PAYER, SRC_FILE_NM, DOS_THRU_YYYYMM"/>
  </r>
  <r>
    <x v="3"/>
    <s v="MERCYOKPHYS_MAO_YTD_THRU_Jan_2025_RUNOUT.txt"/>
    <x v="115"/>
    <x v="11"/>
    <n v="92184"/>
    <n v="1091885"/>
    <n v="8.44"/>
    <s v="DQS_MAO04_FILE_000_B"/>
    <s v="RECORD COUNT by MBR_ID, DOS_THRU_DT, DX_CD Grain grouped by PAYER, SRC_FILE_NM, DOS_THRU_YYYYMM"/>
  </r>
  <r>
    <x v="3"/>
    <s v="MERCYOKPHYS_MAO_YTD_THRU_Jan_2025_RUNOUT.txt"/>
    <x v="116"/>
    <x v="11"/>
    <n v="96305"/>
    <n v="1091885"/>
    <n v="8.82"/>
    <s v="DQS_MAO04_FILE_000_B"/>
    <s v="RECORD COUNT by MBR_ID, DOS_THRU_DT, DX_CD Grain grouped by PAYER, SRC_FILE_NM, DOS_THRU_YYYYMM"/>
  </r>
  <r>
    <x v="3"/>
    <s v="MERCYOKPHYS_MAO_YTD_THRU_Jan_2025_RUNOUT.txt"/>
    <x v="117"/>
    <x v="11"/>
    <n v="91164"/>
    <n v="1091885"/>
    <n v="8.35"/>
    <s v="DQS_MAO04_FILE_000_B"/>
    <s v="RECORD COUNT by MBR_ID, DOS_THRU_DT, DX_CD Grain grouped by PAYER, SRC_FILE_NM, DOS_THRU_YYYYMM"/>
  </r>
  <r>
    <x v="3"/>
    <s v="MERCYOKPHYS_MAO_YTD_THRU_Jan_2025_RUNOUT.txt"/>
    <x v="118"/>
    <x v="11"/>
    <n v="93479"/>
    <n v="1091885"/>
    <n v="8.56"/>
    <s v="DQS_MAO04_FILE_000_B"/>
    <s v="RECORD COUNT by MBR_ID, DOS_THRU_DT, DX_CD Grain grouped by PAYER, SRC_FILE_NM, DOS_THRU_YYYYMM"/>
  </r>
  <r>
    <x v="3"/>
    <s v="MERCYOKPHYS_MAO_YTD_THRU_Jan_2025_RUNOUT.txt"/>
    <x v="119"/>
    <x v="11"/>
    <n v="100465"/>
    <n v="1091885"/>
    <n v="9.1999999999999993"/>
    <s v="DQS_MAO04_FILE_000_B"/>
    <s v="RECORD COUNT by MBR_ID, DOS_THRU_DT, DX_CD Grain grouped by PAYER, SRC_FILE_NM, DOS_THRU_YYYYMM"/>
  </r>
  <r>
    <x v="3"/>
    <s v="MERCYOKPHYS_MAO_YTD_THRU_Jan_2025_RUNOUT.txt"/>
    <x v="120"/>
    <x v="11"/>
    <n v="84179"/>
    <n v="1091885"/>
    <n v="7.71"/>
    <s v="DQS_MAO04_FILE_000_B"/>
    <s v="RECORD COUNT by MBR_ID, DOS_THRU_DT, DX_CD Grain grouped by PAYER, SRC_FILE_NM, DOS_THRU_YYYYMM"/>
  </r>
  <r>
    <x v="3"/>
    <s v="MERCYOKPHYS_MAO_YTD_THRU_Jan_2025_RUNOUT.txt"/>
    <x v="121"/>
    <x v="11"/>
    <n v="63719"/>
    <n v="1091885"/>
    <n v="5.84"/>
    <s v="DQS_MAO04_FILE_000_B"/>
    <s v="RECORD COUNT by MBR_ID, DOS_THRU_DT, DX_CD Grain grouped by PAYER, SRC_FILE_NM, DOS_THRU_YYYYMM"/>
  </r>
  <r>
    <x v="3"/>
    <s v="MERCYOKPHYS_MAO_YTD_THRU_Jan_2026.txt"/>
    <x v="122"/>
    <x v="12"/>
    <n v="111"/>
    <n v="111"/>
    <n v="100"/>
    <s v="DQS_MAO04_FILE_000_B"/>
    <s v="RECORD COUNT by MBR_ID, DOS_THRU_DT, DX_CD Grain grouped by PAYER, SRC_FILE_NM, DOS_THRU_YYYYMM"/>
  </r>
  <r>
    <x v="3"/>
    <s v="MERCYOKPHYS_MAO_YTD_THRU_Jul_2025.txt"/>
    <x v="110"/>
    <x v="11"/>
    <n v="92718"/>
    <n v="514042"/>
    <n v="18.04"/>
    <s v="DQS_MAO04_FILE_000_B"/>
    <s v="RECORD COUNT by MBR_ID, DOS_THRU_DT, DX_CD Grain grouped by PAYER, SRC_FILE_NM, DOS_THRU_YYYYMM"/>
  </r>
  <r>
    <x v="3"/>
    <s v="MERCYOKPHYS_MAO_YTD_THRU_Jul_2025.txt"/>
    <x v="111"/>
    <x v="11"/>
    <n v="81834"/>
    <n v="514042"/>
    <n v="15.92"/>
    <s v="DQS_MAO04_FILE_000_B"/>
    <s v="RECORD COUNT by MBR_ID, DOS_THRU_DT, DX_CD Grain grouped by PAYER, SRC_FILE_NM, DOS_THRU_YYYYMM"/>
  </r>
  <r>
    <x v="3"/>
    <s v="MERCYOKPHYS_MAO_YTD_THRU_Jul_2025.txt"/>
    <x v="112"/>
    <x v="11"/>
    <n v="93921"/>
    <n v="514042"/>
    <n v="18.27"/>
    <s v="DQS_MAO04_FILE_000_B"/>
    <s v="RECORD COUNT by MBR_ID, DOS_THRU_DT, DX_CD Grain grouped by PAYER, SRC_FILE_NM, DOS_THRU_YYYYMM"/>
  </r>
  <r>
    <x v="3"/>
    <s v="MERCYOKPHYS_MAO_YTD_THRU_Jul_2025.txt"/>
    <x v="113"/>
    <x v="11"/>
    <n v="94118"/>
    <n v="514042"/>
    <n v="18.309999999999999"/>
    <s v="DQS_MAO04_FILE_000_B"/>
    <s v="RECORD COUNT by MBR_ID, DOS_THRU_DT, DX_CD Grain grouped by PAYER, SRC_FILE_NM, DOS_THRU_YYYYMM"/>
  </r>
  <r>
    <x v="3"/>
    <s v="MERCYOKPHYS_MAO_YTD_THRU_Jul_2025.txt"/>
    <x v="114"/>
    <x v="11"/>
    <n v="89035"/>
    <n v="514042"/>
    <n v="17.32"/>
    <s v="DQS_MAO04_FILE_000_B"/>
    <s v="RECORD COUNT by MBR_ID, DOS_THRU_DT, DX_CD Grain grouped by PAYER, SRC_FILE_NM, DOS_THRU_YYYYMM"/>
  </r>
  <r>
    <x v="3"/>
    <s v="MERCYOKPHYS_MAO_YTD_THRU_Jul_2025.txt"/>
    <x v="115"/>
    <x v="11"/>
    <n v="60415"/>
    <n v="514042"/>
    <n v="11.75"/>
    <s v="DQS_MAO04_FILE_000_B"/>
    <s v="RECORD COUNT by MBR_ID, DOS_THRU_DT, DX_CD Grain grouped by PAYER, SRC_FILE_NM, DOS_THRU_YYYYMM"/>
  </r>
  <r>
    <x v="3"/>
    <s v="MERCYOKPHYS_MAO_YTD_THRU_Jul_2025.txt"/>
    <x v="116"/>
    <x v="11"/>
    <n v="2001"/>
    <n v="514042"/>
    <n v="0.39"/>
    <s v="DQS_MAO04_FILE_000_B"/>
    <s v="RECORD COUNT by MBR_ID, DOS_THRU_DT, DX_CD Grain grouped by PAYER, SRC_FILE_NM, DOS_THRU_YYYYMM"/>
  </r>
  <r>
    <x v="3"/>
    <s v="MERCYOKPHYS_MAO_YTD_THRU_Jun_2025.txt"/>
    <x v="110"/>
    <x v="11"/>
    <n v="92378"/>
    <n v="414583"/>
    <n v="22.28"/>
    <s v="DQS_MAO04_FILE_000_B"/>
    <s v="RECORD COUNT by MBR_ID, DOS_THRU_DT, DX_CD Grain grouped by PAYER, SRC_FILE_NM, DOS_THRU_YYYYMM"/>
  </r>
  <r>
    <x v="3"/>
    <s v="MERCYOKPHYS_MAO_YTD_THRU_Jun_2025.txt"/>
    <x v="111"/>
    <x v="11"/>
    <n v="81136"/>
    <n v="414583"/>
    <n v="19.57"/>
    <s v="DQS_MAO04_FILE_000_B"/>
    <s v="RECORD COUNT by MBR_ID, DOS_THRU_DT, DX_CD Grain grouped by PAYER, SRC_FILE_NM, DOS_THRU_YYYYMM"/>
  </r>
  <r>
    <x v="3"/>
    <s v="MERCYOKPHYS_MAO_YTD_THRU_Jun_2025.txt"/>
    <x v="112"/>
    <x v="11"/>
    <n v="91984"/>
    <n v="414583"/>
    <n v="22.19"/>
    <s v="DQS_MAO04_FILE_000_B"/>
    <s v="RECORD COUNT by MBR_ID, DOS_THRU_DT, DX_CD Grain grouped by PAYER, SRC_FILE_NM, DOS_THRU_YYYYMM"/>
  </r>
  <r>
    <x v="3"/>
    <s v="MERCYOKPHYS_MAO_YTD_THRU_Jun_2025.txt"/>
    <x v="113"/>
    <x v="11"/>
    <n v="91306"/>
    <n v="414583"/>
    <n v="22.02"/>
    <s v="DQS_MAO04_FILE_000_B"/>
    <s v="RECORD COUNT by MBR_ID, DOS_THRU_DT, DX_CD Grain grouped by PAYER, SRC_FILE_NM, DOS_THRU_YYYYMM"/>
  </r>
  <r>
    <x v="3"/>
    <s v="MERCYOKPHYS_MAO_YTD_THRU_Jun_2025.txt"/>
    <x v="114"/>
    <x v="11"/>
    <n v="56645"/>
    <n v="414583"/>
    <n v="13.66"/>
    <s v="DQS_MAO04_FILE_000_B"/>
    <s v="RECORD COUNT by MBR_ID, DOS_THRU_DT, DX_CD Grain grouped by PAYER, SRC_FILE_NM, DOS_THRU_YYYYMM"/>
  </r>
  <r>
    <x v="3"/>
    <s v="MERCYOKPHYS_MAO_YTD_THRU_Jun_2025.txt"/>
    <x v="115"/>
    <x v="11"/>
    <n v="1134"/>
    <n v="414583"/>
    <n v="0.27"/>
    <s v="DQS_MAO04_FILE_000_B"/>
    <s v="RECORD COUNT by MBR_ID, DOS_THRU_DT, DX_CD Grain grouped by PAYER, SRC_FILE_NM, DOS_THRU_YYYYMM"/>
  </r>
  <r>
    <x v="3"/>
    <s v="MERCYOKPHYS_MAO_YTD_THRU_Mar_2025_RUNOUT.txt"/>
    <x v="110"/>
    <x v="11"/>
    <n v="96410"/>
    <n v="1148702"/>
    <n v="8.39"/>
    <s v="DQS_MAO04_FILE_000_B"/>
    <s v="RECORD COUNT by MBR_ID, DOS_THRU_DT, DX_CD Grain grouped by PAYER, SRC_FILE_NM, DOS_THRU_YYYYMM"/>
  </r>
  <r>
    <x v="3"/>
    <s v="MERCYOKPHYS_MAO_YTD_THRU_Mar_2025_RUNOUT.txt"/>
    <x v="111"/>
    <x v="11"/>
    <n v="85800"/>
    <n v="1148702"/>
    <n v="7.47"/>
    <s v="DQS_MAO04_FILE_000_B"/>
    <s v="RECORD COUNT by MBR_ID, DOS_THRU_DT, DX_CD Grain grouped by PAYER, SRC_FILE_NM, DOS_THRU_YYYYMM"/>
  </r>
  <r>
    <x v="3"/>
    <s v="MERCYOKPHYS_MAO_YTD_THRU_Mar_2025_RUNOUT.txt"/>
    <x v="112"/>
    <x v="11"/>
    <n v="99164"/>
    <n v="1148702"/>
    <n v="8.6300000000000008"/>
    <s v="DQS_MAO04_FILE_000_B"/>
    <s v="RECORD COUNT by MBR_ID, DOS_THRU_DT, DX_CD Grain grouped by PAYER, SRC_FILE_NM, DOS_THRU_YYYYMM"/>
  </r>
  <r>
    <x v="3"/>
    <s v="MERCYOKPHYS_MAO_YTD_THRU_Mar_2025_RUNOUT.txt"/>
    <x v="113"/>
    <x v="11"/>
    <n v="102522"/>
    <n v="1148702"/>
    <n v="8.93"/>
    <s v="DQS_MAO04_FILE_000_B"/>
    <s v="RECORD COUNT by MBR_ID, DOS_THRU_DT, DX_CD Grain grouped by PAYER, SRC_FILE_NM, DOS_THRU_YYYYMM"/>
  </r>
  <r>
    <x v="3"/>
    <s v="MERCYOKPHYS_MAO_YTD_THRU_Mar_2025_RUNOUT.txt"/>
    <x v="114"/>
    <x v="11"/>
    <n v="98352"/>
    <n v="1148702"/>
    <n v="8.56"/>
    <s v="DQS_MAO04_FILE_000_B"/>
    <s v="RECORD COUNT by MBR_ID, DOS_THRU_DT, DX_CD Grain grouped by PAYER, SRC_FILE_NM, DOS_THRU_YYYYMM"/>
  </r>
  <r>
    <x v="3"/>
    <s v="MERCYOKPHYS_MAO_YTD_THRU_Mar_2025_RUNOUT.txt"/>
    <x v="115"/>
    <x v="11"/>
    <n v="94072"/>
    <n v="1148702"/>
    <n v="8.19"/>
    <s v="DQS_MAO04_FILE_000_B"/>
    <s v="RECORD COUNT by MBR_ID, DOS_THRU_DT, DX_CD Grain grouped by PAYER, SRC_FILE_NM, DOS_THRU_YYYYMM"/>
  </r>
  <r>
    <x v="3"/>
    <s v="MERCYOKPHYS_MAO_YTD_THRU_Mar_2025_RUNOUT.txt"/>
    <x v="116"/>
    <x v="11"/>
    <n v="98275"/>
    <n v="1148702"/>
    <n v="8.56"/>
    <s v="DQS_MAO04_FILE_000_B"/>
    <s v="RECORD COUNT by MBR_ID, DOS_THRU_DT, DX_CD Grain grouped by PAYER, SRC_FILE_NM, DOS_THRU_YYYYMM"/>
  </r>
  <r>
    <x v="3"/>
    <s v="MERCYOKPHYS_MAO_YTD_THRU_Mar_2025_RUNOUT.txt"/>
    <x v="117"/>
    <x v="11"/>
    <n v="92227"/>
    <n v="1148702"/>
    <n v="8.0299999999999994"/>
    <s v="DQS_MAO04_FILE_000_B"/>
    <s v="RECORD COUNT by MBR_ID, DOS_THRU_DT, DX_CD Grain grouped by PAYER, SRC_FILE_NM, DOS_THRU_YYYYMM"/>
  </r>
  <r>
    <x v="3"/>
    <s v="MERCYOKPHYS_MAO_YTD_THRU_Mar_2025_RUNOUT.txt"/>
    <x v="118"/>
    <x v="11"/>
    <n v="94633"/>
    <n v="1148702"/>
    <n v="8.24"/>
    <s v="DQS_MAO04_FILE_000_B"/>
    <s v="RECORD COUNT by MBR_ID, DOS_THRU_DT, DX_CD Grain grouped by PAYER, SRC_FILE_NM, DOS_THRU_YYYYMM"/>
  </r>
  <r>
    <x v="3"/>
    <s v="MERCYOKPHYS_MAO_YTD_THRU_Mar_2025_RUNOUT.txt"/>
    <x v="119"/>
    <x v="11"/>
    <n v="102046"/>
    <n v="1148702"/>
    <n v="8.8800000000000008"/>
    <s v="DQS_MAO04_FILE_000_B"/>
    <s v="RECORD COUNT by MBR_ID, DOS_THRU_DT, DX_CD Grain grouped by PAYER, SRC_FILE_NM, DOS_THRU_YYYYMM"/>
  </r>
  <r>
    <x v="3"/>
    <s v="MERCYOKPHYS_MAO_YTD_THRU_Mar_2025_RUNOUT.txt"/>
    <x v="120"/>
    <x v="11"/>
    <n v="87637"/>
    <n v="1148702"/>
    <n v="7.63"/>
    <s v="DQS_MAO04_FILE_000_B"/>
    <s v="RECORD COUNT by MBR_ID, DOS_THRU_DT, DX_CD Grain grouped by PAYER, SRC_FILE_NM, DOS_THRU_YYYYMM"/>
  </r>
  <r>
    <x v="3"/>
    <s v="MERCYOKPHYS_MAO_YTD_THRU_Mar_2025_RUNOUT.txt"/>
    <x v="121"/>
    <x v="11"/>
    <n v="97564"/>
    <n v="1148702"/>
    <n v="8.49"/>
    <s v="DQS_MAO04_FILE_000_B"/>
    <s v="RECORD COUNT by MBR_ID, DOS_THRU_DT, DX_CD Grain grouped by PAYER, SRC_FILE_NM, DOS_THRU_YYYYMM"/>
  </r>
  <r>
    <x v="3"/>
    <s v="MERCYOKPHYS_MAO_YTD_THRU_Mar_2026.txt"/>
    <x v="122"/>
    <x v="12"/>
    <n v="68796"/>
    <n v="112544"/>
    <n v="61.13"/>
    <s v="DQS_MAO04_FILE_000_B"/>
    <s v="RECORD COUNT by MBR_ID, DOS_THRU_DT, DX_CD Grain grouped by PAYER, SRC_FILE_NM, DOS_THRU_YYYYMM"/>
  </r>
  <r>
    <x v="3"/>
    <s v="MERCYOKPHYS_MAO_YTD_THRU_Mar_2026.txt"/>
    <x v="123"/>
    <x v="12"/>
    <n v="43629"/>
    <n v="112544"/>
    <n v="38.770000000000003"/>
    <s v="DQS_MAO04_FILE_000_B"/>
    <s v="RECORD COUNT by MBR_ID, DOS_THRU_DT, DX_CD Grain grouped by PAYER, SRC_FILE_NM, DOS_THRU_YYYYMM"/>
  </r>
  <r>
    <x v="3"/>
    <s v="MERCYOKPHYS_MAO_YTD_THRU_Mar_2026.txt"/>
    <x v="124"/>
    <x v="12"/>
    <n v="119"/>
    <n v="112544"/>
    <n v="0.11"/>
    <s v="DQS_MAO04_FILE_000_B"/>
    <s v="RECORD COUNT by MBR_ID, DOS_THRU_DT, DX_CD Grain grouped by PAYER, SRC_FILE_NM, DOS_THRU_YYYYMM"/>
  </r>
  <r>
    <x v="3"/>
    <s v="MERCYOKPHYS_MAO_YTD_THRU_Nov_2025.txt"/>
    <x v="110"/>
    <x v="11"/>
    <n v="93681"/>
    <n v="891322"/>
    <n v="10.51"/>
    <s v="DQS_MAO04_FILE_000_B"/>
    <s v="RECORD COUNT by MBR_ID, DOS_THRU_DT, DX_CD Grain grouped by PAYER, SRC_FILE_NM, DOS_THRU_YYYYMM"/>
  </r>
  <r>
    <x v="3"/>
    <s v="MERCYOKPHYS_MAO_YTD_THRU_Nov_2025.txt"/>
    <x v="111"/>
    <x v="11"/>
    <n v="83818"/>
    <n v="891322"/>
    <n v="9.4"/>
    <s v="DQS_MAO04_FILE_000_B"/>
    <s v="RECORD COUNT by MBR_ID, DOS_THRU_DT, DX_CD Grain grouped by PAYER, SRC_FILE_NM, DOS_THRU_YYYYMM"/>
  </r>
  <r>
    <x v="3"/>
    <s v="MERCYOKPHYS_MAO_YTD_THRU_Nov_2025.txt"/>
    <x v="112"/>
    <x v="11"/>
    <n v="96831"/>
    <n v="891322"/>
    <n v="10.86"/>
    <s v="DQS_MAO04_FILE_000_B"/>
    <s v="RECORD COUNT by MBR_ID, DOS_THRU_DT, DX_CD Grain grouped by PAYER, SRC_FILE_NM, DOS_THRU_YYYYMM"/>
  </r>
  <r>
    <x v="3"/>
    <s v="MERCYOKPHYS_MAO_YTD_THRU_Nov_2025.txt"/>
    <x v="113"/>
    <x v="11"/>
    <n v="99415"/>
    <n v="891322"/>
    <n v="11.15"/>
    <s v="DQS_MAO04_FILE_000_B"/>
    <s v="RECORD COUNT by MBR_ID, DOS_THRU_DT, DX_CD Grain grouped by PAYER, SRC_FILE_NM, DOS_THRU_YYYYMM"/>
  </r>
  <r>
    <x v="3"/>
    <s v="MERCYOKPHYS_MAO_YTD_THRU_Nov_2025.txt"/>
    <x v="114"/>
    <x v="11"/>
    <n v="95940"/>
    <n v="891322"/>
    <n v="10.76"/>
    <s v="DQS_MAO04_FILE_000_B"/>
    <s v="RECORD COUNT by MBR_ID, DOS_THRU_DT, DX_CD Grain grouped by PAYER, SRC_FILE_NM, DOS_THRU_YYYYMM"/>
  </r>
  <r>
    <x v="3"/>
    <s v="MERCYOKPHYS_MAO_YTD_THRU_Nov_2025.txt"/>
    <x v="115"/>
    <x v="11"/>
    <n v="91952"/>
    <n v="891322"/>
    <n v="10.32"/>
    <s v="DQS_MAO04_FILE_000_B"/>
    <s v="RECORD COUNT by MBR_ID, DOS_THRU_DT, DX_CD Grain grouped by PAYER, SRC_FILE_NM, DOS_THRU_YYYYMM"/>
  </r>
  <r>
    <x v="3"/>
    <s v="MERCYOKPHYS_MAO_YTD_THRU_Nov_2025.txt"/>
    <x v="116"/>
    <x v="11"/>
    <n v="95817"/>
    <n v="891322"/>
    <n v="10.75"/>
    <s v="DQS_MAO04_FILE_000_B"/>
    <s v="RECORD COUNT by MBR_ID, DOS_THRU_DT, DX_CD Grain grouped by PAYER, SRC_FILE_NM, DOS_THRU_YYYYMM"/>
  </r>
  <r>
    <x v="3"/>
    <s v="MERCYOKPHYS_MAO_YTD_THRU_Nov_2025.txt"/>
    <x v="117"/>
    <x v="11"/>
    <n v="89081"/>
    <n v="891322"/>
    <n v="9.99"/>
    <s v="DQS_MAO04_FILE_000_B"/>
    <s v="RECORD COUNT by MBR_ID, DOS_THRU_DT, DX_CD Grain grouped by PAYER, SRC_FILE_NM, DOS_THRU_YYYYMM"/>
  </r>
  <r>
    <x v="3"/>
    <s v="MERCYOKPHYS_MAO_YTD_THRU_Nov_2025.txt"/>
    <x v="118"/>
    <x v="11"/>
    <n v="89780"/>
    <n v="891322"/>
    <n v="10.07"/>
    <s v="DQS_MAO04_FILE_000_B"/>
    <s v="RECORD COUNT by MBR_ID, DOS_THRU_DT, DX_CD Grain grouped by PAYER, SRC_FILE_NM, DOS_THRU_YYYYMM"/>
  </r>
  <r>
    <x v="3"/>
    <s v="MERCYOKPHYS_MAO_YTD_THRU_Nov_2025.txt"/>
    <x v="119"/>
    <x v="11"/>
    <n v="54032"/>
    <n v="891322"/>
    <n v="6.06"/>
    <s v="DQS_MAO04_FILE_000_B"/>
    <s v="RECORD COUNT by MBR_ID, DOS_THRU_DT, DX_CD Grain grouped by PAYER, SRC_FILE_NM, DOS_THRU_YYYYMM"/>
  </r>
  <r>
    <x v="3"/>
    <s v="MERCYOKPHYS_MAO_YTD_THRU_Nov_2025.txt"/>
    <x v="120"/>
    <x v="11"/>
    <n v="975"/>
    <n v="891322"/>
    <n v="0.11"/>
    <s v="DQS_MAO04_FILE_000_B"/>
    <s v="RECORD COUNT by MBR_ID, DOS_THRU_DT, DX_CD Grain grouped by PAYER, SRC_FILE_NM, DOS_THRU_YYYYMM"/>
  </r>
  <r>
    <x v="3"/>
    <s v="MERCYOKPHYS_MAO_YTD_THRU_Oct_2025.txt"/>
    <x v="110"/>
    <x v="11"/>
    <n v="93583"/>
    <n v="804385"/>
    <n v="11.63"/>
    <s v="DQS_MAO04_FILE_000_B"/>
    <s v="RECORD COUNT by MBR_ID, DOS_THRU_DT, DX_CD Grain grouped by PAYER, SRC_FILE_NM, DOS_THRU_YYYYMM"/>
  </r>
  <r>
    <x v="3"/>
    <s v="MERCYOKPHYS_MAO_YTD_THRU_Oct_2025.txt"/>
    <x v="111"/>
    <x v="11"/>
    <n v="83752"/>
    <n v="804385"/>
    <n v="10.41"/>
    <s v="DQS_MAO04_FILE_000_B"/>
    <s v="RECORD COUNT by MBR_ID, DOS_THRU_DT, DX_CD Grain grouped by PAYER, SRC_FILE_NM, DOS_THRU_YYYYMM"/>
  </r>
  <r>
    <x v="3"/>
    <s v="MERCYOKPHYS_MAO_YTD_THRU_Oct_2025.txt"/>
    <x v="112"/>
    <x v="11"/>
    <n v="96743"/>
    <n v="804385"/>
    <n v="12.03"/>
    <s v="DQS_MAO04_FILE_000_B"/>
    <s v="RECORD COUNT by MBR_ID, DOS_THRU_DT, DX_CD Grain grouped by PAYER, SRC_FILE_NM, DOS_THRU_YYYYMM"/>
  </r>
  <r>
    <x v="3"/>
    <s v="MERCYOKPHYS_MAO_YTD_THRU_Oct_2025.txt"/>
    <x v="113"/>
    <x v="11"/>
    <n v="99331"/>
    <n v="804385"/>
    <n v="12.35"/>
    <s v="DQS_MAO04_FILE_000_B"/>
    <s v="RECORD COUNT by MBR_ID, DOS_THRU_DT, DX_CD Grain grouped by PAYER, SRC_FILE_NM, DOS_THRU_YYYYMM"/>
  </r>
  <r>
    <x v="3"/>
    <s v="MERCYOKPHYS_MAO_YTD_THRU_Oct_2025.txt"/>
    <x v="114"/>
    <x v="11"/>
    <n v="95852"/>
    <n v="804385"/>
    <n v="11.92"/>
    <s v="DQS_MAO04_FILE_000_B"/>
    <s v="RECORD COUNT by MBR_ID, DOS_THRU_DT, DX_CD Grain grouped by PAYER, SRC_FILE_NM, DOS_THRU_YYYYMM"/>
  </r>
  <r>
    <x v="3"/>
    <s v="MERCYOKPHYS_MAO_YTD_THRU_Oct_2025.txt"/>
    <x v="115"/>
    <x v="11"/>
    <n v="91772"/>
    <n v="804385"/>
    <n v="11.41"/>
    <s v="DQS_MAO04_FILE_000_B"/>
    <s v="RECORD COUNT by MBR_ID, DOS_THRU_DT, DX_CD Grain grouped by PAYER, SRC_FILE_NM, DOS_THRU_YYYYMM"/>
  </r>
  <r>
    <x v="3"/>
    <s v="MERCYOKPHYS_MAO_YTD_THRU_Oct_2025.txt"/>
    <x v="116"/>
    <x v="11"/>
    <n v="93993"/>
    <n v="804385"/>
    <n v="11.69"/>
    <s v="DQS_MAO04_FILE_000_B"/>
    <s v="RECORD COUNT by MBR_ID, DOS_THRU_DT, DX_CD Grain grouped by PAYER, SRC_FILE_NM, DOS_THRU_YYYYMM"/>
  </r>
  <r>
    <x v="3"/>
    <s v="MERCYOKPHYS_MAO_YTD_THRU_Oct_2025.txt"/>
    <x v="117"/>
    <x v="11"/>
    <n v="86293"/>
    <n v="804385"/>
    <n v="10.73"/>
    <s v="DQS_MAO04_FILE_000_B"/>
    <s v="RECORD COUNT by MBR_ID, DOS_THRU_DT, DX_CD Grain grouped by PAYER, SRC_FILE_NM, DOS_THRU_YYYYMM"/>
  </r>
  <r>
    <x v="3"/>
    <s v="MERCYOKPHYS_MAO_YTD_THRU_Oct_2025.txt"/>
    <x v="118"/>
    <x v="11"/>
    <n v="61025"/>
    <n v="804385"/>
    <n v="7.59"/>
    <s v="DQS_MAO04_FILE_000_B"/>
    <s v="RECORD COUNT by MBR_ID, DOS_THRU_DT, DX_CD Grain grouped by PAYER, SRC_FILE_NM, DOS_THRU_YYYYMM"/>
  </r>
  <r>
    <x v="3"/>
    <s v="MERCYOKPHYS_MAO_YTD_THRU_Oct_2025.txt"/>
    <x v="119"/>
    <x v="11"/>
    <n v="2041"/>
    <n v="804385"/>
    <n v="0.25"/>
    <s v="DQS_MAO04_FILE_000_B"/>
    <s v="RECORD COUNT by MBR_ID, DOS_THRU_DT, DX_CD Grain grouped by PAYER, SRC_FILE_NM, DOS_THRU_YYYYMM"/>
  </r>
  <r>
    <x v="3"/>
    <s v="MERCYOKPHYS_MAO_YTD_THRU_Sep_2025.txt"/>
    <x v="110"/>
    <x v="11"/>
    <n v="93504"/>
    <n v="711678"/>
    <n v="13.14"/>
    <s v="DQS_MAO04_FILE_000_B"/>
    <s v="RECORD COUNT by MBR_ID, DOS_THRU_DT, DX_CD Grain grouped by PAYER, SRC_FILE_NM, DOS_THRU_YYYYMM"/>
  </r>
  <r>
    <x v="3"/>
    <s v="MERCYOKPHYS_MAO_YTD_THRU_Sep_2025.txt"/>
    <x v="111"/>
    <x v="11"/>
    <n v="83623"/>
    <n v="711678"/>
    <n v="11.75"/>
    <s v="DQS_MAO04_FILE_000_B"/>
    <s v="RECORD COUNT by MBR_ID, DOS_THRU_DT, DX_CD Grain grouped by PAYER, SRC_FILE_NM, DOS_THRU_YYYYMM"/>
  </r>
  <r>
    <x v="3"/>
    <s v="MERCYOKPHYS_MAO_YTD_THRU_Sep_2025.txt"/>
    <x v="112"/>
    <x v="11"/>
    <n v="96605"/>
    <n v="711678"/>
    <n v="13.57"/>
    <s v="DQS_MAO04_FILE_000_B"/>
    <s v="RECORD COUNT by MBR_ID, DOS_THRU_DT, DX_CD Grain grouped by PAYER, SRC_FILE_NM, DOS_THRU_YYYYMM"/>
  </r>
  <r>
    <x v="3"/>
    <s v="MERCYOKPHYS_MAO_YTD_THRU_Sep_2025.txt"/>
    <x v="113"/>
    <x v="11"/>
    <n v="99177"/>
    <n v="711678"/>
    <n v="13.94"/>
    <s v="DQS_MAO04_FILE_000_B"/>
    <s v="RECORD COUNT by MBR_ID, DOS_THRU_DT, DX_CD Grain grouped by PAYER, SRC_FILE_NM, DOS_THRU_YYYYMM"/>
  </r>
  <r>
    <x v="3"/>
    <s v="MERCYOKPHYS_MAO_YTD_THRU_Sep_2025.txt"/>
    <x v="114"/>
    <x v="11"/>
    <n v="95562"/>
    <n v="711678"/>
    <n v="13.43"/>
    <s v="DQS_MAO04_FILE_000_B"/>
    <s v="RECORD COUNT by MBR_ID, DOS_THRU_DT, DX_CD Grain grouped by PAYER, SRC_FILE_NM, DOS_THRU_YYYYMM"/>
  </r>
  <r>
    <x v="3"/>
    <s v="MERCYOKPHYS_MAO_YTD_THRU_Sep_2025.txt"/>
    <x v="115"/>
    <x v="11"/>
    <n v="90099"/>
    <n v="711678"/>
    <n v="12.66"/>
    <s v="DQS_MAO04_FILE_000_B"/>
    <s v="RECORD COUNT by MBR_ID, DOS_THRU_DT, DX_CD Grain grouped by PAYER, SRC_FILE_NM, DOS_THRU_YYYYMM"/>
  </r>
  <r>
    <x v="3"/>
    <s v="MERCYOKPHYS_MAO_YTD_THRU_Sep_2025.txt"/>
    <x v="116"/>
    <x v="11"/>
    <n v="91550"/>
    <n v="711678"/>
    <n v="12.86"/>
    <s v="DQS_MAO04_FILE_000_B"/>
    <s v="RECORD COUNT by MBR_ID, DOS_THRU_DT, DX_CD Grain grouped by PAYER, SRC_FILE_NM, DOS_THRU_YYYYMM"/>
  </r>
  <r>
    <x v="3"/>
    <s v="MERCYOKPHYS_MAO_YTD_THRU_Sep_2025.txt"/>
    <x v="117"/>
    <x v="11"/>
    <n v="60340"/>
    <n v="711678"/>
    <n v="8.48"/>
    <s v="DQS_MAO04_FILE_000_B"/>
    <s v="RECORD COUNT by MBR_ID, DOS_THRU_DT, DX_CD Grain grouped by PAYER, SRC_FILE_NM, DOS_THRU_YYYYMM"/>
  </r>
  <r>
    <x v="3"/>
    <s v="MERCYOKPHYS_MAO_YTD_THRU_Sep_2025.txt"/>
    <x v="118"/>
    <x v="11"/>
    <n v="1218"/>
    <n v="711678"/>
    <n v="0.17"/>
    <s v="DQS_MAO04_FILE_000_B"/>
    <s v="RECORD COUNT by MBR_ID, DOS_THRU_DT, DX_CD Grain grouped by PAYER, SRC_FILE_NM, DOS_THRU_YYYYMM"/>
  </r>
  <r>
    <x v="3"/>
    <s v="MERCYSPRINGFIELD_MAO_YTD_THRU_Apr_2025_RUNOUT.txt"/>
    <x v="110"/>
    <x v="11"/>
    <n v="65450"/>
    <n v="742079"/>
    <n v="8.82"/>
    <s v="DQS_MAO04_FILE_000_B"/>
    <s v="RECORD COUNT by MBR_ID, DOS_THRU_DT, DX_CD Grain grouped by PAYER, SRC_FILE_NM, DOS_THRU_YYYYMM"/>
  </r>
  <r>
    <x v="3"/>
    <s v="MERCYSPRINGFIELD_MAO_YTD_THRU_Apr_2025_RUNOUT.txt"/>
    <x v="111"/>
    <x v="11"/>
    <n v="56705"/>
    <n v="742079"/>
    <n v="7.64"/>
    <s v="DQS_MAO04_FILE_000_B"/>
    <s v="RECORD COUNT by MBR_ID, DOS_THRU_DT, DX_CD Grain grouped by PAYER, SRC_FILE_NM, DOS_THRU_YYYYMM"/>
  </r>
  <r>
    <x v="3"/>
    <s v="MERCYSPRINGFIELD_MAO_YTD_THRU_Apr_2025_RUNOUT.txt"/>
    <x v="112"/>
    <x v="11"/>
    <n v="65424"/>
    <n v="742079"/>
    <n v="8.82"/>
    <s v="DQS_MAO04_FILE_000_B"/>
    <s v="RECORD COUNT by MBR_ID, DOS_THRU_DT, DX_CD Grain grouped by PAYER, SRC_FILE_NM, DOS_THRU_YYYYMM"/>
  </r>
  <r>
    <x v="3"/>
    <s v="MERCYSPRINGFIELD_MAO_YTD_THRU_Apr_2025_RUNOUT.txt"/>
    <x v="113"/>
    <x v="11"/>
    <n v="67414"/>
    <n v="742079"/>
    <n v="9.08"/>
    <s v="DQS_MAO04_FILE_000_B"/>
    <s v="RECORD COUNT by MBR_ID, DOS_THRU_DT, DX_CD Grain grouped by PAYER, SRC_FILE_NM, DOS_THRU_YYYYMM"/>
  </r>
  <r>
    <x v="3"/>
    <s v="MERCYSPRINGFIELD_MAO_YTD_THRU_Apr_2025_RUNOUT.txt"/>
    <x v="114"/>
    <x v="11"/>
    <n v="62702"/>
    <n v="742079"/>
    <n v="8.4499999999999993"/>
    <s v="DQS_MAO04_FILE_000_B"/>
    <s v="RECORD COUNT by MBR_ID, DOS_THRU_DT, DX_CD Grain grouped by PAYER, SRC_FILE_NM, DOS_THRU_YYYYMM"/>
  </r>
  <r>
    <x v="3"/>
    <s v="MERCYSPRINGFIELD_MAO_YTD_THRU_Apr_2025_RUNOUT.txt"/>
    <x v="115"/>
    <x v="11"/>
    <n v="61968"/>
    <n v="742079"/>
    <n v="8.35"/>
    <s v="DQS_MAO04_FILE_000_B"/>
    <s v="RECORD COUNT by MBR_ID, DOS_THRU_DT, DX_CD Grain grouped by PAYER, SRC_FILE_NM, DOS_THRU_YYYYMM"/>
  </r>
  <r>
    <x v="3"/>
    <s v="MERCYSPRINGFIELD_MAO_YTD_THRU_Apr_2025_RUNOUT.txt"/>
    <x v="116"/>
    <x v="11"/>
    <n v="65932"/>
    <n v="742079"/>
    <n v="8.8800000000000008"/>
    <s v="DQS_MAO04_FILE_000_B"/>
    <s v="RECORD COUNT by MBR_ID, DOS_THRU_DT, DX_CD Grain grouped by PAYER, SRC_FILE_NM, DOS_THRU_YYYYMM"/>
  </r>
  <r>
    <x v="3"/>
    <s v="MERCYSPRINGFIELD_MAO_YTD_THRU_Apr_2025_RUNOUT.txt"/>
    <x v="117"/>
    <x v="11"/>
    <n v="57962"/>
    <n v="742079"/>
    <n v="7.81"/>
    <s v="DQS_MAO04_FILE_000_B"/>
    <s v="RECORD COUNT by MBR_ID, DOS_THRU_DT, DX_CD Grain grouped by PAYER, SRC_FILE_NM, DOS_THRU_YYYYMM"/>
  </r>
  <r>
    <x v="3"/>
    <s v="MERCYSPRINGFIELD_MAO_YTD_THRU_Apr_2025_RUNOUT.txt"/>
    <x v="118"/>
    <x v="11"/>
    <n v="59780"/>
    <n v="742079"/>
    <n v="8.06"/>
    <s v="DQS_MAO04_FILE_000_B"/>
    <s v="RECORD COUNT by MBR_ID, DOS_THRU_DT, DX_CD Grain grouped by PAYER, SRC_FILE_NM, DOS_THRU_YYYYMM"/>
  </r>
  <r>
    <x v="3"/>
    <s v="MERCYSPRINGFIELD_MAO_YTD_THRU_Apr_2025_RUNOUT.txt"/>
    <x v="119"/>
    <x v="11"/>
    <n v="65217"/>
    <n v="742079"/>
    <n v="8.7899999999999991"/>
    <s v="DQS_MAO04_FILE_000_B"/>
    <s v="RECORD COUNT by MBR_ID, DOS_THRU_DT, DX_CD Grain grouped by PAYER, SRC_FILE_NM, DOS_THRU_YYYYMM"/>
  </r>
  <r>
    <x v="3"/>
    <s v="MERCYSPRINGFIELD_MAO_YTD_THRU_Apr_2025_RUNOUT.txt"/>
    <x v="120"/>
    <x v="11"/>
    <n v="54503"/>
    <n v="742079"/>
    <n v="7.34"/>
    <s v="DQS_MAO04_FILE_000_B"/>
    <s v="RECORD COUNT by MBR_ID, DOS_THRU_DT, DX_CD Grain grouped by PAYER, SRC_FILE_NM, DOS_THRU_YYYYMM"/>
  </r>
  <r>
    <x v="3"/>
    <s v="MERCYSPRINGFIELD_MAO_YTD_THRU_Apr_2025_RUNOUT.txt"/>
    <x v="121"/>
    <x v="11"/>
    <n v="59022"/>
    <n v="742079"/>
    <n v="7.95"/>
    <s v="DQS_MAO04_FILE_000_B"/>
    <s v="RECORD COUNT by MBR_ID, DOS_THRU_DT, DX_CD Grain grouped by PAYER, SRC_FILE_NM, DOS_THRU_YYYYMM"/>
  </r>
  <r>
    <x v="3"/>
    <s v="MERCYSPRINGFIELD_MAO_YTD_THRU_Apr_2026.txt"/>
    <x v="122"/>
    <x v="12"/>
    <n v="54573"/>
    <n v="156053"/>
    <n v="34.97"/>
    <s v="DQS_MAO04_FILE_000_B"/>
    <s v="RECORD COUNT by MBR_ID, DOS_THRU_DT, DX_CD Grain grouped by PAYER, SRC_FILE_NM, DOS_THRU_YYYYMM"/>
  </r>
  <r>
    <x v="3"/>
    <s v="MERCYSPRINGFIELD_MAO_YTD_THRU_Apr_2026.txt"/>
    <x v="123"/>
    <x v="12"/>
    <n v="54833"/>
    <n v="156053"/>
    <n v="35.14"/>
    <s v="DQS_MAO04_FILE_000_B"/>
    <s v="RECORD COUNT by MBR_ID, DOS_THRU_DT, DX_CD Grain grouped by PAYER, SRC_FILE_NM, DOS_THRU_YYYYMM"/>
  </r>
  <r>
    <x v="3"/>
    <s v="MERCYSPRINGFIELD_MAO_YTD_THRU_Apr_2026.txt"/>
    <x v="124"/>
    <x v="12"/>
    <n v="46455"/>
    <n v="156053"/>
    <n v="29.77"/>
    <s v="DQS_MAO04_FILE_000_B"/>
    <s v="RECORD COUNT by MBR_ID, DOS_THRU_DT, DX_CD Grain grouped by PAYER, SRC_FILE_NM, DOS_THRU_YYYYMM"/>
  </r>
  <r>
    <x v="3"/>
    <s v="MERCYSPRINGFIELD_MAO_YTD_THRU_Apr_2026.txt"/>
    <x v="125"/>
    <x v="12"/>
    <n v="192"/>
    <n v="156053"/>
    <n v="0.12"/>
    <s v="DQS_MAO04_FILE_000_B"/>
    <s v="RECORD COUNT by MBR_ID, DOS_THRU_DT, DX_CD Grain grouped by PAYER, SRC_FILE_NM, DOS_THRU_YYYYMM"/>
  </r>
  <r>
    <x v="3"/>
    <s v="MERCYSPRINGFIELD_MAO_YTD_THRU_Aug_2025.txt"/>
    <x v="110"/>
    <x v="11"/>
    <n v="62231"/>
    <n v="391321"/>
    <n v="15.9"/>
    <s v="DQS_MAO04_FILE_000_B"/>
    <s v="RECORD COUNT by MBR_ID, DOS_THRU_DT, DX_CD Grain grouped by PAYER, SRC_FILE_NM, DOS_THRU_YYYYMM"/>
  </r>
  <r>
    <x v="3"/>
    <s v="MERCYSPRINGFIELD_MAO_YTD_THRU_Aug_2025.txt"/>
    <x v="111"/>
    <x v="11"/>
    <n v="53887"/>
    <n v="391321"/>
    <n v="13.77"/>
    <s v="DQS_MAO04_FILE_000_B"/>
    <s v="RECORD COUNT by MBR_ID, DOS_THRU_DT, DX_CD Grain grouped by PAYER, SRC_FILE_NM, DOS_THRU_YYYYMM"/>
  </r>
  <r>
    <x v="3"/>
    <s v="MERCYSPRINGFIELD_MAO_YTD_THRU_Aug_2025.txt"/>
    <x v="112"/>
    <x v="11"/>
    <n v="61918"/>
    <n v="391321"/>
    <n v="15.82"/>
    <s v="DQS_MAO04_FILE_000_B"/>
    <s v="RECORD COUNT by MBR_ID, DOS_THRU_DT, DX_CD Grain grouped by PAYER, SRC_FILE_NM, DOS_THRU_YYYYMM"/>
  </r>
  <r>
    <x v="3"/>
    <s v="MERCYSPRINGFIELD_MAO_YTD_THRU_Aug_2025.txt"/>
    <x v="113"/>
    <x v="11"/>
    <n v="63070"/>
    <n v="391321"/>
    <n v="16.12"/>
    <s v="DQS_MAO04_FILE_000_B"/>
    <s v="RECORD COUNT by MBR_ID, DOS_THRU_DT, DX_CD Grain grouped by PAYER, SRC_FILE_NM, DOS_THRU_YYYYMM"/>
  </r>
  <r>
    <x v="3"/>
    <s v="MERCYSPRINGFIELD_MAO_YTD_THRU_Aug_2025.txt"/>
    <x v="114"/>
    <x v="11"/>
    <n v="57724"/>
    <n v="391321"/>
    <n v="14.75"/>
    <s v="DQS_MAO04_FILE_000_B"/>
    <s v="RECORD COUNT by MBR_ID, DOS_THRU_DT, DX_CD Grain grouped by PAYER, SRC_FILE_NM, DOS_THRU_YYYYMM"/>
  </r>
  <r>
    <x v="3"/>
    <s v="MERCYSPRINGFIELD_MAO_YTD_THRU_Aug_2025.txt"/>
    <x v="115"/>
    <x v="11"/>
    <n v="54044"/>
    <n v="391321"/>
    <n v="13.81"/>
    <s v="DQS_MAO04_FILE_000_B"/>
    <s v="RECORD COUNT by MBR_ID, DOS_THRU_DT, DX_CD Grain grouped by PAYER, SRC_FILE_NM, DOS_THRU_YYYYMM"/>
  </r>
  <r>
    <x v="3"/>
    <s v="MERCYSPRINGFIELD_MAO_YTD_THRU_Aug_2025.txt"/>
    <x v="116"/>
    <x v="11"/>
    <n v="37792"/>
    <n v="391321"/>
    <n v="9.66"/>
    <s v="DQS_MAO04_FILE_000_B"/>
    <s v="RECORD COUNT by MBR_ID, DOS_THRU_DT, DX_CD Grain grouped by PAYER, SRC_FILE_NM, DOS_THRU_YYYYMM"/>
  </r>
  <r>
    <x v="3"/>
    <s v="MERCYSPRINGFIELD_MAO_YTD_THRU_Aug_2025.txt"/>
    <x v="117"/>
    <x v="11"/>
    <n v="655"/>
    <n v="391321"/>
    <n v="0.17"/>
    <s v="DQS_MAO04_FILE_000_B"/>
    <s v="RECORD COUNT by MBR_ID, DOS_THRU_DT, DX_CD Grain grouped by PAYER, SRC_FILE_NM, DOS_THRU_YYYYMM"/>
  </r>
  <r>
    <x v="3"/>
    <s v="MERCYSPRINGFIELD_MAO_YTD_THRU_Dec_2025.txt"/>
    <x v="110"/>
    <x v="11"/>
    <n v="63013"/>
    <n v="627259"/>
    <n v="10.050000000000001"/>
    <s v="DQS_MAO04_FILE_000_B"/>
    <s v="RECORD COUNT by MBR_ID, DOS_THRU_DT, DX_CD Grain grouped by PAYER, SRC_FILE_NM, DOS_THRU_YYYYMM"/>
  </r>
  <r>
    <x v="3"/>
    <s v="MERCYSPRINGFIELD_MAO_YTD_THRU_Dec_2025.txt"/>
    <x v="111"/>
    <x v="11"/>
    <n v="54814"/>
    <n v="627259"/>
    <n v="8.74"/>
    <s v="DQS_MAO04_FILE_000_B"/>
    <s v="RECORD COUNT by MBR_ID, DOS_THRU_DT, DX_CD Grain grouped by PAYER, SRC_FILE_NM, DOS_THRU_YYYYMM"/>
  </r>
  <r>
    <x v="3"/>
    <s v="MERCYSPRINGFIELD_MAO_YTD_THRU_Dec_2025.txt"/>
    <x v="112"/>
    <x v="11"/>
    <n v="63207"/>
    <n v="627259"/>
    <n v="10.08"/>
    <s v="DQS_MAO04_FILE_000_B"/>
    <s v="RECORD COUNT by MBR_ID, DOS_THRU_DT, DX_CD Grain grouped by PAYER, SRC_FILE_NM, DOS_THRU_YYYYMM"/>
  </r>
  <r>
    <x v="3"/>
    <s v="MERCYSPRINGFIELD_MAO_YTD_THRU_Dec_2025.txt"/>
    <x v="113"/>
    <x v="11"/>
    <n v="64547"/>
    <n v="627259"/>
    <n v="10.29"/>
    <s v="DQS_MAO04_FILE_000_B"/>
    <s v="RECORD COUNT by MBR_ID, DOS_THRU_DT, DX_CD Grain grouped by PAYER, SRC_FILE_NM, DOS_THRU_YYYYMM"/>
  </r>
  <r>
    <x v="3"/>
    <s v="MERCYSPRINGFIELD_MAO_YTD_THRU_Dec_2025.txt"/>
    <x v="114"/>
    <x v="11"/>
    <n v="60543"/>
    <n v="627259"/>
    <n v="9.65"/>
    <s v="DQS_MAO04_FILE_000_B"/>
    <s v="RECORD COUNT by MBR_ID, DOS_THRU_DT, DX_CD Grain grouped by PAYER, SRC_FILE_NM, DOS_THRU_YYYYMM"/>
  </r>
  <r>
    <x v="3"/>
    <s v="MERCYSPRINGFIELD_MAO_YTD_THRU_Dec_2025.txt"/>
    <x v="115"/>
    <x v="11"/>
    <n v="59679"/>
    <n v="627259"/>
    <n v="9.51"/>
    <s v="DQS_MAO04_FILE_000_B"/>
    <s v="RECORD COUNT by MBR_ID, DOS_THRU_DT, DX_CD Grain grouped by PAYER, SRC_FILE_NM, DOS_THRU_YYYYMM"/>
  </r>
  <r>
    <x v="3"/>
    <s v="MERCYSPRINGFIELD_MAO_YTD_THRU_Dec_2025.txt"/>
    <x v="116"/>
    <x v="11"/>
    <n v="61396"/>
    <n v="627259"/>
    <n v="9.7899999999999991"/>
    <s v="DQS_MAO04_FILE_000_B"/>
    <s v="RECORD COUNT by MBR_ID, DOS_THRU_DT, DX_CD Grain grouped by PAYER, SRC_FILE_NM, DOS_THRU_YYYYMM"/>
  </r>
  <r>
    <x v="3"/>
    <s v="MERCYSPRINGFIELD_MAO_YTD_THRU_Dec_2025.txt"/>
    <x v="117"/>
    <x v="11"/>
    <n v="53214"/>
    <n v="627259"/>
    <n v="8.48"/>
    <s v="DQS_MAO04_FILE_000_B"/>
    <s v="RECORD COUNT by MBR_ID, DOS_THRU_DT, DX_CD Grain grouped by PAYER, SRC_FILE_NM, DOS_THRU_YYYYMM"/>
  </r>
  <r>
    <x v="3"/>
    <s v="MERCYSPRINGFIELD_MAO_YTD_THRU_Dec_2025.txt"/>
    <x v="118"/>
    <x v="11"/>
    <n v="54907"/>
    <n v="627259"/>
    <n v="8.75"/>
    <s v="DQS_MAO04_FILE_000_B"/>
    <s v="RECORD COUNT by MBR_ID, DOS_THRU_DT, DX_CD Grain grouped by PAYER, SRC_FILE_NM, DOS_THRU_YYYYMM"/>
  </r>
  <r>
    <x v="3"/>
    <s v="MERCYSPRINGFIELD_MAO_YTD_THRU_Dec_2025.txt"/>
    <x v="119"/>
    <x v="11"/>
    <n v="58113"/>
    <n v="627259"/>
    <n v="9.26"/>
    <s v="DQS_MAO04_FILE_000_B"/>
    <s v="RECORD COUNT by MBR_ID, DOS_THRU_DT, DX_CD Grain grouped by PAYER, SRC_FILE_NM, DOS_THRU_YYYYMM"/>
  </r>
  <r>
    <x v="3"/>
    <s v="MERCYSPRINGFIELD_MAO_YTD_THRU_Dec_2025.txt"/>
    <x v="120"/>
    <x v="11"/>
    <n v="33531"/>
    <n v="627259"/>
    <n v="5.35"/>
    <s v="DQS_MAO04_FILE_000_B"/>
    <s v="RECORD COUNT by MBR_ID, DOS_THRU_DT, DX_CD Grain grouped by PAYER, SRC_FILE_NM, DOS_THRU_YYYYMM"/>
  </r>
  <r>
    <x v="3"/>
    <s v="MERCYSPRINGFIELD_MAO_YTD_THRU_Dec_2025.txt"/>
    <x v="121"/>
    <x v="11"/>
    <n v="295"/>
    <n v="627259"/>
    <n v="0.05"/>
    <s v="DQS_MAO04_FILE_000_B"/>
    <s v="RECORD COUNT by MBR_ID, DOS_THRU_DT, DX_CD Grain grouped by PAYER, SRC_FILE_NM, DOS_THRU_YYYYMM"/>
  </r>
  <r>
    <x v="3"/>
    <s v="MERCYSPRINGFIELD_MAO_YTD_THRU_Feb_2025_RUNOUT.txt"/>
    <x v="110"/>
    <x v="11"/>
    <n v="64762"/>
    <n v="715182"/>
    <n v="9.06"/>
    <s v="DQS_MAO04_FILE_000_B"/>
    <s v="RECORD COUNT by MBR_ID, DOS_THRU_DT, DX_CD Grain grouped by PAYER, SRC_FILE_NM, DOS_THRU_YYYYMM"/>
  </r>
  <r>
    <x v="3"/>
    <s v="MERCYSPRINGFIELD_MAO_YTD_THRU_Feb_2025_RUNOUT.txt"/>
    <x v="111"/>
    <x v="11"/>
    <n v="56003"/>
    <n v="715182"/>
    <n v="7.83"/>
    <s v="DQS_MAO04_FILE_000_B"/>
    <s v="RECORD COUNT by MBR_ID, DOS_THRU_DT, DX_CD Grain grouped by PAYER, SRC_FILE_NM, DOS_THRU_YYYYMM"/>
  </r>
  <r>
    <x v="3"/>
    <s v="MERCYSPRINGFIELD_MAO_YTD_THRU_Feb_2025_RUNOUT.txt"/>
    <x v="112"/>
    <x v="11"/>
    <n v="63551"/>
    <n v="715182"/>
    <n v="8.89"/>
    <s v="DQS_MAO04_FILE_000_B"/>
    <s v="RECORD COUNT by MBR_ID, DOS_THRU_DT, DX_CD Grain grouped by PAYER, SRC_FILE_NM, DOS_THRU_YYYYMM"/>
  </r>
  <r>
    <x v="3"/>
    <s v="MERCYSPRINGFIELD_MAO_YTD_THRU_Feb_2025_RUNOUT.txt"/>
    <x v="113"/>
    <x v="11"/>
    <n v="64515"/>
    <n v="715182"/>
    <n v="9.02"/>
    <s v="DQS_MAO04_FILE_000_B"/>
    <s v="RECORD COUNT by MBR_ID, DOS_THRU_DT, DX_CD Grain grouped by PAYER, SRC_FILE_NM, DOS_THRU_YYYYMM"/>
  </r>
  <r>
    <x v="3"/>
    <s v="MERCYSPRINGFIELD_MAO_YTD_THRU_Feb_2025_RUNOUT.txt"/>
    <x v="114"/>
    <x v="11"/>
    <n v="60566"/>
    <n v="715182"/>
    <n v="8.4700000000000006"/>
    <s v="DQS_MAO04_FILE_000_B"/>
    <s v="RECORD COUNT by MBR_ID, DOS_THRU_DT, DX_CD Grain grouped by PAYER, SRC_FILE_NM, DOS_THRU_YYYYMM"/>
  </r>
  <r>
    <x v="3"/>
    <s v="MERCYSPRINGFIELD_MAO_YTD_THRU_Feb_2025_RUNOUT.txt"/>
    <x v="115"/>
    <x v="11"/>
    <n v="60073"/>
    <n v="715182"/>
    <n v="8.4"/>
    <s v="DQS_MAO04_FILE_000_B"/>
    <s v="RECORD COUNT by MBR_ID, DOS_THRU_DT, DX_CD Grain grouped by PAYER, SRC_FILE_NM, DOS_THRU_YYYYMM"/>
  </r>
  <r>
    <x v="3"/>
    <s v="MERCYSPRINGFIELD_MAO_YTD_THRU_Feb_2025_RUNOUT.txt"/>
    <x v="116"/>
    <x v="11"/>
    <n v="62857"/>
    <n v="715182"/>
    <n v="8.7899999999999991"/>
    <s v="DQS_MAO04_FILE_000_B"/>
    <s v="RECORD COUNT by MBR_ID, DOS_THRU_DT, DX_CD Grain grouped by PAYER, SRC_FILE_NM, DOS_THRU_YYYYMM"/>
  </r>
  <r>
    <x v="3"/>
    <s v="MERCYSPRINGFIELD_MAO_YTD_THRU_Feb_2025_RUNOUT.txt"/>
    <x v="117"/>
    <x v="11"/>
    <n v="55238"/>
    <n v="715182"/>
    <n v="7.72"/>
    <s v="DQS_MAO04_FILE_000_B"/>
    <s v="RECORD COUNT by MBR_ID, DOS_THRU_DT, DX_CD Grain grouped by PAYER, SRC_FILE_NM, DOS_THRU_YYYYMM"/>
  </r>
  <r>
    <x v="3"/>
    <s v="MERCYSPRINGFIELD_MAO_YTD_THRU_Feb_2025_RUNOUT.txt"/>
    <x v="118"/>
    <x v="11"/>
    <n v="57097"/>
    <n v="715182"/>
    <n v="7.98"/>
    <s v="DQS_MAO04_FILE_000_B"/>
    <s v="RECORD COUNT by MBR_ID, DOS_THRU_DT, DX_CD Grain grouped by PAYER, SRC_FILE_NM, DOS_THRU_YYYYMM"/>
  </r>
  <r>
    <x v="3"/>
    <s v="MERCYSPRINGFIELD_MAO_YTD_THRU_Feb_2025_RUNOUT.txt"/>
    <x v="119"/>
    <x v="11"/>
    <n v="61622"/>
    <n v="715182"/>
    <n v="8.6199999999999992"/>
    <s v="DQS_MAO04_FILE_000_B"/>
    <s v="RECORD COUNT by MBR_ID, DOS_THRU_DT, DX_CD Grain grouped by PAYER, SRC_FILE_NM, DOS_THRU_YYYYMM"/>
  </r>
  <r>
    <x v="3"/>
    <s v="MERCYSPRINGFIELD_MAO_YTD_THRU_Feb_2025_RUNOUT.txt"/>
    <x v="120"/>
    <x v="11"/>
    <n v="52298"/>
    <n v="715182"/>
    <n v="7.31"/>
    <s v="DQS_MAO04_FILE_000_B"/>
    <s v="RECORD COUNT by MBR_ID, DOS_THRU_DT, DX_CD Grain grouped by PAYER, SRC_FILE_NM, DOS_THRU_YYYYMM"/>
  </r>
  <r>
    <x v="3"/>
    <s v="MERCYSPRINGFIELD_MAO_YTD_THRU_Feb_2025_RUNOUT.txt"/>
    <x v="121"/>
    <x v="11"/>
    <n v="56600"/>
    <n v="715182"/>
    <n v="7.91"/>
    <s v="DQS_MAO04_FILE_000_B"/>
    <s v="RECORD COUNT by MBR_ID, DOS_THRU_DT, DX_CD Grain grouped by PAYER, SRC_FILE_NM, DOS_THRU_YYYYMM"/>
  </r>
  <r>
    <x v="3"/>
    <s v="MERCYSPRINGFIELD_MAO_YTD_THRU_Feb_2026.txt"/>
    <x v="122"/>
    <x v="12"/>
    <n v="31235"/>
    <n v="31453"/>
    <n v="99.31"/>
    <s v="DQS_MAO04_FILE_000_B"/>
    <s v="RECORD COUNT by MBR_ID, DOS_THRU_DT, DX_CD Grain grouped by PAYER, SRC_FILE_NM, DOS_THRU_YYYYMM"/>
  </r>
  <r>
    <x v="3"/>
    <s v="MERCYSPRINGFIELD_MAO_YTD_THRU_Feb_2026.txt"/>
    <x v="123"/>
    <x v="12"/>
    <n v="218"/>
    <n v="31453"/>
    <n v="0.69"/>
    <s v="DQS_MAO04_FILE_000_B"/>
    <s v="RECORD COUNT by MBR_ID, DOS_THRU_DT, DX_CD Grain grouped by PAYER, SRC_FILE_NM, DOS_THRU_YYYYMM"/>
  </r>
  <r>
    <x v="3"/>
    <s v="MERCYSPRINGFIELD_MAO_YTD_THRU_Jan_2025_RUNOUT.txt"/>
    <x v="110"/>
    <x v="11"/>
    <n v="63021"/>
    <n v="688266"/>
    <n v="9.16"/>
    <s v="DQS_MAO04_FILE_000_B"/>
    <s v="RECORD COUNT by MBR_ID, DOS_THRU_DT, DX_CD Grain grouped by PAYER, SRC_FILE_NM, DOS_THRU_YYYYMM"/>
  </r>
  <r>
    <x v="3"/>
    <s v="MERCYSPRINGFIELD_MAO_YTD_THRU_Jan_2025_RUNOUT.txt"/>
    <x v="111"/>
    <x v="11"/>
    <n v="54827"/>
    <n v="688266"/>
    <n v="7.97"/>
    <s v="DQS_MAO04_FILE_000_B"/>
    <s v="RECORD COUNT by MBR_ID, DOS_THRU_DT, DX_CD Grain grouped by PAYER, SRC_FILE_NM, DOS_THRU_YYYYMM"/>
  </r>
  <r>
    <x v="3"/>
    <s v="MERCYSPRINGFIELD_MAO_YTD_THRU_Jan_2025_RUNOUT.txt"/>
    <x v="112"/>
    <x v="11"/>
    <n v="63246"/>
    <n v="688266"/>
    <n v="9.19"/>
    <s v="DQS_MAO04_FILE_000_B"/>
    <s v="RECORD COUNT by MBR_ID, DOS_THRU_DT, DX_CD Grain grouped by PAYER, SRC_FILE_NM, DOS_THRU_YYYYMM"/>
  </r>
  <r>
    <x v="3"/>
    <s v="MERCYSPRINGFIELD_MAO_YTD_THRU_Jan_2025_RUNOUT.txt"/>
    <x v="113"/>
    <x v="11"/>
    <n v="64585"/>
    <n v="688266"/>
    <n v="9.3800000000000008"/>
    <s v="DQS_MAO04_FILE_000_B"/>
    <s v="RECORD COUNT by MBR_ID, DOS_THRU_DT, DX_CD Grain grouped by PAYER, SRC_FILE_NM, DOS_THRU_YYYYMM"/>
  </r>
  <r>
    <x v="3"/>
    <s v="MERCYSPRINGFIELD_MAO_YTD_THRU_Jan_2025_RUNOUT.txt"/>
    <x v="114"/>
    <x v="11"/>
    <n v="60577"/>
    <n v="688266"/>
    <n v="8.8000000000000007"/>
    <s v="DQS_MAO04_FILE_000_B"/>
    <s v="RECORD COUNT by MBR_ID, DOS_THRU_DT, DX_CD Grain grouped by PAYER, SRC_FILE_NM, DOS_THRU_YYYYMM"/>
  </r>
  <r>
    <x v="3"/>
    <s v="MERCYSPRINGFIELD_MAO_YTD_THRU_Jan_2025_RUNOUT.txt"/>
    <x v="115"/>
    <x v="11"/>
    <n v="59882"/>
    <n v="688266"/>
    <n v="8.6999999999999993"/>
    <s v="DQS_MAO04_FILE_000_B"/>
    <s v="RECORD COUNT by MBR_ID, DOS_THRU_DT, DX_CD Grain grouped by PAYER, SRC_FILE_NM, DOS_THRU_YYYYMM"/>
  </r>
  <r>
    <x v="3"/>
    <s v="MERCYSPRINGFIELD_MAO_YTD_THRU_Jan_2025_RUNOUT.txt"/>
    <x v="116"/>
    <x v="11"/>
    <n v="61796"/>
    <n v="688266"/>
    <n v="8.98"/>
    <s v="DQS_MAO04_FILE_000_B"/>
    <s v="RECORD COUNT by MBR_ID, DOS_THRU_DT, DX_CD Grain grouped by PAYER, SRC_FILE_NM, DOS_THRU_YYYYMM"/>
  </r>
  <r>
    <x v="3"/>
    <s v="MERCYSPRINGFIELD_MAO_YTD_THRU_Jan_2025_RUNOUT.txt"/>
    <x v="117"/>
    <x v="11"/>
    <n v="54000"/>
    <n v="688266"/>
    <n v="7.85"/>
    <s v="DQS_MAO04_FILE_000_B"/>
    <s v="RECORD COUNT by MBR_ID, DOS_THRU_DT, DX_CD Grain grouped by PAYER, SRC_FILE_NM, DOS_THRU_YYYYMM"/>
  </r>
  <r>
    <x v="3"/>
    <s v="MERCYSPRINGFIELD_MAO_YTD_THRU_Jan_2025_RUNOUT.txt"/>
    <x v="118"/>
    <x v="11"/>
    <n v="55884"/>
    <n v="688266"/>
    <n v="8.1199999999999992"/>
    <s v="DQS_MAO04_FILE_000_B"/>
    <s v="RECORD COUNT by MBR_ID, DOS_THRU_DT, DX_CD Grain grouped by PAYER, SRC_FILE_NM, DOS_THRU_YYYYMM"/>
  </r>
  <r>
    <x v="3"/>
    <s v="MERCYSPRINGFIELD_MAO_YTD_THRU_Jan_2025_RUNOUT.txt"/>
    <x v="119"/>
    <x v="11"/>
    <n v="60416"/>
    <n v="688266"/>
    <n v="8.7799999999999994"/>
    <s v="DQS_MAO04_FILE_000_B"/>
    <s v="RECORD COUNT by MBR_ID, DOS_THRU_DT, DX_CD Grain grouped by PAYER, SRC_FILE_NM, DOS_THRU_YYYYMM"/>
  </r>
  <r>
    <x v="3"/>
    <s v="MERCYSPRINGFIELD_MAO_YTD_THRU_Jan_2025_RUNOUT.txt"/>
    <x v="120"/>
    <x v="11"/>
    <n v="50364"/>
    <n v="688266"/>
    <n v="7.32"/>
    <s v="DQS_MAO04_FILE_000_B"/>
    <s v="RECORD COUNT by MBR_ID, DOS_THRU_DT, DX_CD Grain grouped by PAYER, SRC_FILE_NM, DOS_THRU_YYYYMM"/>
  </r>
  <r>
    <x v="3"/>
    <s v="MERCYSPRINGFIELD_MAO_YTD_THRU_Jan_2025_RUNOUT.txt"/>
    <x v="121"/>
    <x v="11"/>
    <n v="39668"/>
    <n v="688266"/>
    <n v="5.76"/>
    <s v="DQS_MAO04_FILE_000_B"/>
    <s v="RECORD COUNT by MBR_ID, DOS_THRU_DT, DX_CD Grain grouped by PAYER, SRC_FILE_NM, DOS_THRU_YYYYMM"/>
  </r>
  <r>
    <x v="3"/>
    <s v="MERCYSPRINGFIELD_MAO_YTD_THRU_Jan_2026.txt"/>
    <x v="122"/>
    <x v="12"/>
    <n v="32"/>
    <n v="32"/>
    <n v="100"/>
    <s v="DQS_MAO04_FILE_000_B"/>
    <s v="RECORD COUNT by MBR_ID, DOS_THRU_DT, DX_CD Grain grouped by PAYER, SRC_FILE_NM, DOS_THRU_YYYYMM"/>
  </r>
  <r>
    <x v="3"/>
    <s v="MERCYSPRINGFIELD_MAO_YTD_THRU_Jul_2025.txt"/>
    <x v="110"/>
    <x v="11"/>
    <n v="60982"/>
    <n v="329221"/>
    <n v="18.52"/>
    <s v="DQS_MAO04_FILE_000_B"/>
    <s v="RECORD COUNT by MBR_ID, DOS_THRU_DT, DX_CD Grain grouped by PAYER, SRC_FILE_NM, DOS_THRU_YYYYMM"/>
  </r>
  <r>
    <x v="3"/>
    <s v="MERCYSPRINGFIELD_MAO_YTD_THRU_Jul_2025.txt"/>
    <x v="111"/>
    <x v="11"/>
    <n v="52845"/>
    <n v="329221"/>
    <n v="16.05"/>
    <s v="DQS_MAO04_FILE_000_B"/>
    <s v="RECORD COUNT by MBR_ID, DOS_THRU_DT, DX_CD Grain grouped by PAYER, SRC_FILE_NM, DOS_THRU_YYYYMM"/>
  </r>
  <r>
    <x v="3"/>
    <s v="MERCYSPRINGFIELD_MAO_YTD_THRU_Jul_2025.txt"/>
    <x v="112"/>
    <x v="11"/>
    <n v="60559"/>
    <n v="329221"/>
    <n v="18.39"/>
    <s v="DQS_MAO04_FILE_000_B"/>
    <s v="RECORD COUNT by MBR_ID, DOS_THRU_DT, DX_CD Grain grouped by PAYER, SRC_FILE_NM, DOS_THRU_YYYYMM"/>
  </r>
  <r>
    <x v="3"/>
    <s v="MERCYSPRINGFIELD_MAO_YTD_THRU_Jul_2025.txt"/>
    <x v="113"/>
    <x v="11"/>
    <n v="60702"/>
    <n v="329221"/>
    <n v="18.440000000000001"/>
    <s v="DQS_MAO04_FILE_000_B"/>
    <s v="RECORD COUNT by MBR_ID, DOS_THRU_DT, DX_CD Grain grouped by PAYER, SRC_FILE_NM, DOS_THRU_YYYYMM"/>
  </r>
  <r>
    <x v="3"/>
    <s v="MERCYSPRINGFIELD_MAO_YTD_THRU_Jul_2025.txt"/>
    <x v="114"/>
    <x v="11"/>
    <n v="55582"/>
    <n v="329221"/>
    <n v="16.88"/>
    <s v="DQS_MAO04_FILE_000_B"/>
    <s v="RECORD COUNT by MBR_ID, DOS_THRU_DT, DX_CD Grain grouped by PAYER, SRC_FILE_NM, DOS_THRU_YYYYMM"/>
  </r>
  <r>
    <x v="3"/>
    <s v="MERCYSPRINGFIELD_MAO_YTD_THRU_Jul_2025.txt"/>
    <x v="115"/>
    <x v="11"/>
    <n v="37213"/>
    <n v="329221"/>
    <n v="11.3"/>
    <s v="DQS_MAO04_FILE_000_B"/>
    <s v="RECORD COUNT by MBR_ID, DOS_THRU_DT, DX_CD Grain grouped by PAYER, SRC_FILE_NM, DOS_THRU_YYYYMM"/>
  </r>
  <r>
    <x v="3"/>
    <s v="MERCYSPRINGFIELD_MAO_YTD_THRU_Jul_2025.txt"/>
    <x v="116"/>
    <x v="11"/>
    <n v="1338"/>
    <n v="329221"/>
    <n v="0.41"/>
    <s v="DQS_MAO04_FILE_000_B"/>
    <s v="RECORD COUNT by MBR_ID, DOS_THRU_DT, DX_CD Grain grouped by PAYER, SRC_FILE_NM, DOS_THRU_YYYYMM"/>
  </r>
  <r>
    <x v="3"/>
    <s v="MERCYSPRINGFIELD_MAO_YTD_THRU_Jun_2025.txt"/>
    <x v="110"/>
    <x v="11"/>
    <n v="60785"/>
    <n v="267926"/>
    <n v="22.69"/>
    <s v="DQS_MAO04_FILE_000_B"/>
    <s v="RECORD COUNT by MBR_ID, DOS_THRU_DT, DX_CD Grain grouped by PAYER, SRC_FILE_NM, DOS_THRU_YYYYMM"/>
  </r>
  <r>
    <x v="3"/>
    <s v="MERCYSPRINGFIELD_MAO_YTD_THRU_Jun_2025.txt"/>
    <x v="111"/>
    <x v="11"/>
    <n v="52667"/>
    <n v="267926"/>
    <n v="19.66"/>
    <s v="DQS_MAO04_FILE_000_B"/>
    <s v="RECORD COUNT by MBR_ID, DOS_THRU_DT, DX_CD Grain grouped by PAYER, SRC_FILE_NM, DOS_THRU_YYYYMM"/>
  </r>
  <r>
    <x v="3"/>
    <s v="MERCYSPRINGFIELD_MAO_YTD_THRU_Jun_2025.txt"/>
    <x v="112"/>
    <x v="11"/>
    <n v="59466"/>
    <n v="267926"/>
    <n v="22.19"/>
    <s v="DQS_MAO04_FILE_000_B"/>
    <s v="RECORD COUNT by MBR_ID, DOS_THRU_DT, DX_CD Grain grouped by PAYER, SRC_FILE_NM, DOS_THRU_YYYYMM"/>
  </r>
  <r>
    <x v="3"/>
    <s v="MERCYSPRINGFIELD_MAO_YTD_THRU_Jun_2025.txt"/>
    <x v="113"/>
    <x v="11"/>
    <n v="59441"/>
    <n v="267926"/>
    <n v="22.19"/>
    <s v="DQS_MAO04_FILE_000_B"/>
    <s v="RECORD COUNT by MBR_ID, DOS_THRU_DT, DX_CD Grain grouped by PAYER, SRC_FILE_NM, DOS_THRU_YYYYMM"/>
  </r>
  <r>
    <x v="3"/>
    <s v="MERCYSPRINGFIELD_MAO_YTD_THRU_Jun_2025.txt"/>
    <x v="114"/>
    <x v="11"/>
    <n v="34927"/>
    <n v="267926"/>
    <n v="13.04"/>
    <s v="DQS_MAO04_FILE_000_B"/>
    <s v="RECORD COUNT by MBR_ID, DOS_THRU_DT, DX_CD Grain grouped by PAYER, SRC_FILE_NM, DOS_THRU_YYYYMM"/>
  </r>
  <r>
    <x v="3"/>
    <s v="MERCYSPRINGFIELD_MAO_YTD_THRU_Jun_2025.txt"/>
    <x v="115"/>
    <x v="11"/>
    <n v="640"/>
    <n v="267926"/>
    <n v="0.24"/>
    <s v="DQS_MAO04_FILE_000_B"/>
    <s v="RECORD COUNT by MBR_ID, DOS_THRU_DT, DX_CD Grain grouped by PAYER, SRC_FILE_NM, DOS_THRU_YYYYMM"/>
  </r>
  <r>
    <x v="3"/>
    <s v="MERCYSPRINGFIELD_MAO_YTD_THRU_Mar_2025_RUNOUT.txt"/>
    <x v="110"/>
    <x v="11"/>
    <n v="64959"/>
    <n v="726677"/>
    <n v="8.94"/>
    <s v="DQS_MAO04_FILE_000_B"/>
    <s v="RECORD COUNT by MBR_ID, DOS_THRU_DT, DX_CD Grain grouped by PAYER, SRC_FILE_NM, DOS_THRU_YYYYMM"/>
  </r>
  <r>
    <x v="3"/>
    <s v="MERCYSPRINGFIELD_MAO_YTD_THRU_Mar_2025_RUNOUT.txt"/>
    <x v="111"/>
    <x v="11"/>
    <n v="56267"/>
    <n v="726677"/>
    <n v="7.74"/>
    <s v="DQS_MAO04_FILE_000_B"/>
    <s v="RECORD COUNT by MBR_ID, DOS_THRU_DT, DX_CD Grain grouped by PAYER, SRC_FILE_NM, DOS_THRU_YYYYMM"/>
  </r>
  <r>
    <x v="3"/>
    <s v="MERCYSPRINGFIELD_MAO_YTD_THRU_Mar_2025_RUNOUT.txt"/>
    <x v="112"/>
    <x v="11"/>
    <n v="64876"/>
    <n v="726677"/>
    <n v="8.93"/>
    <s v="DQS_MAO04_FILE_000_B"/>
    <s v="RECORD COUNT by MBR_ID, DOS_THRU_DT, DX_CD Grain grouped by PAYER, SRC_FILE_NM, DOS_THRU_YYYYMM"/>
  </r>
  <r>
    <x v="3"/>
    <s v="MERCYSPRINGFIELD_MAO_YTD_THRU_Mar_2025_RUNOUT.txt"/>
    <x v="113"/>
    <x v="11"/>
    <n v="66794"/>
    <n v="726677"/>
    <n v="9.19"/>
    <s v="DQS_MAO04_FILE_000_B"/>
    <s v="RECORD COUNT by MBR_ID, DOS_THRU_DT, DX_CD Grain grouped by PAYER, SRC_FILE_NM, DOS_THRU_YYYYMM"/>
  </r>
  <r>
    <x v="3"/>
    <s v="MERCYSPRINGFIELD_MAO_YTD_THRU_Mar_2025_RUNOUT.txt"/>
    <x v="114"/>
    <x v="11"/>
    <n v="62218"/>
    <n v="726677"/>
    <n v="8.56"/>
    <s v="DQS_MAO04_FILE_000_B"/>
    <s v="RECORD COUNT by MBR_ID, DOS_THRU_DT, DX_CD Grain grouped by PAYER, SRC_FILE_NM, DOS_THRU_YYYYMM"/>
  </r>
  <r>
    <x v="3"/>
    <s v="MERCYSPRINGFIELD_MAO_YTD_THRU_Mar_2025_RUNOUT.txt"/>
    <x v="115"/>
    <x v="11"/>
    <n v="61401"/>
    <n v="726677"/>
    <n v="8.4499999999999993"/>
    <s v="DQS_MAO04_FILE_000_B"/>
    <s v="RECORD COUNT by MBR_ID, DOS_THRU_DT, DX_CD Grain grouped by PAYER, SRC_FILE_NM, DOS_THRU_YYYYMM"/>
  </r>
  <r>
    <x v="3"/>
    <s v="MERCYSPRINGFIELD_MAO_YTD_THRU_Mar_2025_RUNOUT.txt"/>
    <x v="116"/>
    <x v="11"/>
    <n v="63786"/>
    <n v="726677"/>
    <n v="8.7799999999999994"/>
    <s v="DQS_MAO04_FILE_000_B"/>
    <s v="RECORD COUNT by MBR_ID, DOS_THRU_DT, DX_CD Grain grouped by PAYER, SRC_FILE_NM, DOS_THRU_YYYYMM"/>
  </r>
  <r>
    <x v="3"/>
    <s v="MERCYSPRINGFIELD_MAO_YTD_THRU_Mar_2025_RUNOUT.txt"/>
    <x v="117"/>
    <x v="11"/>
    <n v="55758"/>
    <n v="726677"/>
    <n v="7.67"/>
    <s v="DQS_MAO04_FILE_000_B"/>
    <s v="RECORD COUNT by MBR_ID, DOS_THRU_DT, DX_CD Grain grouped by PAYER, SRC_FILE_NM, DOS_THRU_YYYYMM"/>
  </r>
  <r>
    <x v="3"/>
    <s v="MERCYSPRINGFIELD_MAO_YTD_THRU_Mar_2025_RUNOUT.txt"/>
    <x v="118"/>
    <x v="11"/>
    <n v="57709"/>
    <n v="726677"/>
    <n v="7.94"/>
    <s v="DQS_MAO04_FILE_000_B"/>
    <s v="RECORD COUNT by MBR_ID, DOS_THRU_DT, DX_CD Grain grouped by PAYER, SRC_FILE_NM, DOS_THRU_YYYYMM"/>
  </r>
  <r>
    <x v="3"/>
    <s v="MERCYSPRINGFIELD_MAO_YTD_THRU_Mar_2025_RUNOUT.txt"/>
    <x v="119"/>
    <x v="11"/>
    <n v="62076"/>
    <n v="726677"/>
    <n v="8.5399999999999991"/>
    <s v="DQS_MAO04_FILE_000_B"/>
    <s v="RECORD COUNT by MBR_ID, DOS_THRU_DT, DX_CD Grain grouped by PAYER, SRC_FILE_NM, DOS_THRU_YYYYMM"/>
  </r>
  <r>
    <x v="3"/>
    <s v="MERCYSPRINGFIELD_MAO_YTD_THRU_Mar_2025_RUNOUT.txt"/>
    <x v="120"/>
    <x v="11"/>
    <n v="52696"/>
    <n v="726677"/>
    <n v="7.25"/>
    <s v="DQS_MAO04_FILE_000_B"/>
    <s v="RECORD COUNT by MBR_ID, DOS_THRU_DT, DX_CD Grain grouped by PAYER, SRC_FILE_NM, DOS_THRU_YYYYMM"/>
  </r>
  <r>
    <x v="3"/>
    <s v="MERCYSPRINGFIELD_MAO_YTD_THRU_Mar_2025_RUNOUT.txt"/>
    <x v="121"/>
    <x v="11"/>
    <n v="58137"/>
    <n v="726677"/>
    <n v="8"/>
    <s v="DQS_MAO04_FILE_000_B"/>
    <s v="RECORD COUNT by MBR_ID, DOS_THRU_DT, DX_CD Grain grouped by PAYER, SRC_FILE_NM, DOS_THRU_YYYYMM"/>
  </r>
  <r>
    <x v="3"/>
    <s v="MERCYSPRINGFIELD_MAO_YTD_THRU_Mar_2026.txt"/>
    <x v="122"/>
    <x v="12"/>
    <n v="52738"/>
    <n v="88132"/>
    <n v="59.84"/>
    <s v="DQS_MAO04_FILE_000_B"/>
    <s v="RECORD COUNT by MBR_ID, DOS_THRU_DT, DX_CD Grain grouped by PAYER, SRC_FILE_NM, DOS_THRU_YYYYMM"/>
  </r>
  <r>
    <x v="3"/>
    <s v="MERCYSPRINGFIELD_MAO_YTD_THRU_Mar_2026.txt"/>
    <x v="123"/>
    <x v="12"/>
    <n v="35135"/>
    <n v="88132"/>
    <n v="39.869999999999997"/>
    <s v="DQS_MAO04_FILE_000_B"/>
    <s v="RECORD COUNT by MBR_ID, DOS_THRU_DT, DX_CD Grain grouped by PAYER, SRC_FILE_NM, DOS_THRU_YYYYMM"/>
  </r>
  <r>
    <x v="3"/>
    <s v="MERCYSPRINGFIELD_MAO_YTD_THRU_Mar_2026.txt"/>
    <x v="124"/>
    <x v="12"/>
    <n v="259"/>
    <n v="88132"/>
    <n v="0.28999999999999998"/>
    <s v="DQS_MAO04_FILE_000_B"/>
    <s v="RECORD COUNT by MBR_ID, DOS_THRU_DT, DX_CD Grain grouped by PAYER, SRC_FILE_NM, DOS_THRU_YYYYMM"/>
  </r>
  <r>
    <x v="3"/>
    <s v="MERCYSPRINGFIELD_MAO_YTD_THRU_Nov_2025.txt"/>
    <x v="110"/>
    <x v="11"/>
    <n v="62969"/>
    <n v="561827"/>
    <n v="11.21"/>
    <s v="DQS_MAO04_FILE_000_B"/>
    <s v="RECORD COUNT by MBR_ID, DOS_THRU_DT, DX_CD Grain grouped by PAYER, SRC_FILE_NM, DOS_THRU_YYYYMM"/>
  </r>
  <r>
    <x v="3"/>
    <s v="MERCYSPRINGFIELD_MAO_YTD_THRU_Nov_2025.txt"/>
    <x v="111"/>
    <x v="11"/>
    <n v="54790"/>
    <n v="561827"/>
    <n v="9.75"/>
    <s v="DQS_MAO04_FILE_000_B"/>
    <s v="RECORD COUNT by MBR_ID, DOS_THRU_DT, DX_CD Grain grouped by PAYER, SRC_FILE_NM, DOS_THRU_YYYYMM"/>
  </r>
  <r>
    <x v="3"/>
    <s v="MERCYSPRINGFIELD_MAO_YTD_THRU_Nov_2025.txt"/>
    <x v="112"/>
    <x v="11"/>
    <n v="63178"/>
    <n v="561827"/>
    <n v="11.25"/>
    <s v="DQS_MAO04_FILE_000_B"/>
    <s v="RECORD COUNT by MBR_ID, DOS_THRU_DT, DX_CD Grain grouped by PAYER, SRC_FILE_NM, DOS_THRU_YYYYMM"/>
  </r>
  <r>
    <x v="3"/>
    <s v="MERCYSPRINGFIELD_MAO_YTD_THRU_Nov_2025.txt"/>
    <x v="113"/>
    <x v="11"/>
    <n v="64522"/>
    <n v="561827"/>
    <n v="11.48"/>
    <s v="DQS_MAO04_FILE_000_B"/>
    <s v="RECORD COUNT by MBR_ID, DOS_THRU_DT, DX_CD Grain grouped by PAYER, SRC_FILE_NM, DOS_THRU_YYYYMM"/>
  </r>
  <r>
    <x v="3"/>
    <s v="MERCYSPRINGFIELD_MAO_YTD_THRU_Nov_2025.txt"/>
    <x v="114"/>
    <x v="11"/>
    <n v="60467"/>
    <n v="561827"/>
    <n v="10.76"/>
    <s v="DQS_MAO04_FILE_000_B"/>
    <s v="RECORD COUNT by MBR_ID, DOS_THRU_DT, DX_CD Grain grouped by PAYER, SRC_FILE_NM, DOS_THRU_YYYYMM"/>
  </r>
  <r>
    <x v="3"/>
    <s v="MERCYSPRINGFIELD_MAO_YTD_THRU_Nov_2025.txt"/>
    <x v="115"/>
    <x v="11"/>
    <n v="59395"/>
    <n v="561827"/>
    <n v="10.57"/>
    <s v="DQS_MAO04_FILE_000_B"/>
    <s v="RECORD COUNT by MBR_ID, DOS_THRU_DT, DX_CD Grain grouped by PAYER, SRC_FILE_NM, DOS_THRU_YYYYMM"/>
  </r>
  <r>
    <x v="3"/>
    <s v="MERCYSPRINGFIELD_MAO_YTD_THRU_Nov_2025.txt"/>
    <x v="116"/>
    <x v="11"/>
    <n v="60592"/>
    <n v="561827"/>
    <n v="10.78"/>
    <s v="DQS_MAO04_FILE_000_B"/>
    <s v="RECORD COUNT by MBR_ID, DOS_THRU_DT, DX_CD Grain grouped by PAYER, SRC_FILE_NM, DOS_THRU_YYYYMM"/>
  </r>
  <r>
    <x v="3"/>
    <s v="MERCYSPRINGFIELD_MAO_YTD_THRU_Nov_2025.txt"/>
    <x v="117"/>
    <x v="11"/>
    <n v="51332"/>
    <n v="561827"/>
    <n v="9.14"/>
    <s v="DQS_MAO04_FILE_000_B"/>
    <s v="RECORD COUNT by MBR_ID, DOS_THRU_DT, DX_CD Grain grouped by PAYER, SRC_FILE_NM, DOS_THRU_YYYYMM"/>
  </r>
  <r>
    <x v="3"/>
    <s v="MERCYSPRINGFIELD_MAO_YTD_THRU_Nov_2025.txt"/>
    <x v="118"/>
    <x v="11"/>
    <n v="52459"/>
    <n v="561827"/>
    <n v="9.34"/>
    <s v="DQS_MAO04_FILE_000_B"/>
    <s v="RECORD COUNT by MBR_ID, DOS_THRU_DT, DX_CD Grain grouped by PAYER, SRC_FILE_NM, DOS_THRU_YYYYMM"/>
  </r>
  <r>
    <x v="3"/>
    <s v="MERCYSPRINGFIELD_MAO_YTD_THRU_Nov_2025.txt"/>
    <x v="119"/>
    <x v="11"/>
    <n v="31639"/>
    <n v="561827"/>
    <n v="5.63"/>
    <s v="DQS_MAO04_FILE_000_B"/>
    <s v="RECORD COUNT by MBR_ID, DOS_THRU_DT, DX_CD Grain grouped by PAYER, SRC_FILE_NM, DOS_THRU_YYYYMM"/>
  </r>
  <r>
    <x v="3"/>
    <s v="MERCYSPRINGFIELD_MAO_YTD_THRU_Nov_2025.txt"/>
    <x v="120"/>
    <x v="11"/>
    <n v="484"/>
    <n v="561827"/>
    <n v="0.09"/>
    <s v="DQS_MAO04_FILE_000_B"/>
    <s v="RECORD COUNT by MBR_ID, DOS_THRU_DT, DX_CD Grain grouped by PAYER, SRC_FILE_NM, DOS_THRU_YYYYMM"/>
  </r>
  <r>
    <x v="3"/>
    <s v="MERCYSPRINGFIELD_MAO_YTD_THRU_Oct_2025.txt"/>
    <x v="110"/>
    <x v="11"/>
    <n v="62997"/>
    <n v="509248"/>
    <n v="12.37"/>
    <s v="DQS_MAO04_FILE_000_B"/>
    <s v="RECORD COUNT by MBR_ID, DOS_THRU_DT, DX_CD Grain grouped by PAYER, SRC_FILE_NM, DOS_THRU_YYYYMM"/>
  </r>
  <r>
    <x v="3"/>
    <s v="MERCYSPRINGFIELD_MAO_YTD_THRU_Oct_2025.txt"/>
    <x v="111"/>
    <x v="11"/>
    <n v="54822"/>
    <n v="509248"/>
    <n v="10.77"/>
    <s v="DQS_MAO04_FILE_000_B"/>
    <s v="RECORD COUNT by MBR_ID, DOS_THRU_DT, DX_CD Grain grouped by PAYER, SRC_FILE_NM, DOS_THRU_YYYYMM"/>
  </r>
  <r>
    <x v="3"/>
    <s v="MERCYSPRINGFIELD_MAO_YTD_THRU_Oct_2025.txt"/>
    <x v="112"/>
    <x v="11"/>
    <n v="63195"/>
    <n v="509248"/>
    <n v="12.41"/>
    <s v="DQS_MAO04_FILE_000_B"/>
    <s v="RECORD COUNT by MBR_ID, DOS_THRU_DT, DX_CD Grain grouped by PAYER, SRC_FILE_NM, DOS_THRU_YYYYMM"/>
  </r>
  <r>
    <x v="3"/>
    <s v="MERCYSPRINGFIELD_MAO_YTD_THRU_Oct_2025.txt"/>
    <x v="113"/>
    <x v="11"/>
    <n v="64469"/>
    <n v="509248"/>
    <n v="12.66"/>
    <s v="DQS_MAO04_FILE_000_B"/>
    <s v="RECORD COUNT by MBR_ID, DOS_THRU_DT, DX_CD Grain grouped by PAYER, SRC_FILE_NM, DOS_THRU_YYYYMM"/>
  </r>
  <r>
    <x v="3"/>
    <s v="MERCYSPRINGFIELD_MAO_YTD_THRU_Oct_2025.txt"/>
    <x v="114"/>
    <x v="11"/>
    <n v="60414"/>
    <n v="509248"/>
    <n v="11.86"/>
    <s v="DQS_MAO04_FILE_000_B"/>
    <s v="RECORD COUNT by MBR_ID, DOS_THRU_DT, DX_CD Grain grouped by PAYER, SRC_FILE_NM, DOS_THRU_YYYYMM"/>
  </r>
  <r>
    <x v="3"/>
    <s v="MERCYSPRINGFIELD_MAO_YTD_THRU_Oct_2025.txt"/>
    <x v="115"/>
    <x v="11"/>
    <n v="59189"/>
    <n v="509248"/>
    <n v="11.62"/>
    <s v="DQS_MAO04_FILE_000_B"/>
    <s v="RECORD COUNT by MBR_ID, DOS_THRU_DT, DX_CD Grain grouped by PAYER, SRC_FILE_NM, DOS_THRU_YYYYMM"/>
  </r>
  <r>
    <x v="3"/>
    <s v="MERCYSPRINGFIELD_MAO_YTD_THRU_Oct_2025.txt"/>
    <x v="116"/>
    <x v="11"/>
    <n v="59460"/>
    <n v="509248"/>
    <n v="11.68"/>
    <s v="DQS_MAO04_FILE_000_B"/>
    <s v="RECORD COUNT by MBR_ID, DOS_THRU_DT, DX_CD Grain grouped by PAYER, SRC_FILE_NM, DOS_THRU_YYYYMM"/>
  </r>
  <r>
    <x v="3"/>
    <s v="MERCYSPRINGFIELD_MAO_YTD_THRU_Oct_2025.txt"/>
    <x v="117"/>
    <x v="11"/>
    <n v="49234"/>
    <n v="509248"/>
    <n v="9.67"/>
    <s v="DQS_MAO04_FILE_000_B"/>
    <s v="RECORD COUNT by MBR_ID, DOS_THRU_DT, DX_CD Grain grouped by PAYER, SRC_FILE_NM, DOS_THRU_YYYYMM"/>
  </r>
  <r>
    <x v="3"/>
    <s v="MERCYSPRINGFIELD_MAO_YTD_THRU_Oct_2025.txt"/>
    <x v="118"/>
    <x v="11"/>
    <n v="34258"/>
    <n v="509248"/>
    <n v="6.73"/>
    <s v="DQS_MAO04_FILE_000_B"/>
    <s v="RECORD COUNT by MBR_ID, DOS_THRU_DT, DX_CD Grain grouped by PAYER, SRC_FILE_NM, DOS_THRU_YYYYMM"/>
  </r>
  <r>
    <x v="3"/>
    <s v="MERCYSPRINGFIELD_MAO_YTD_THRU_Oct_2025.txt"/>
    <x v="119"/>
    <x v="11"/>
    <n v="1210"/>
    <n v="509248"/>
    <n v="0.24"/>
    <s v="DQS_MAO04_FILE_000_B"/>
    <s v="RECORD COUNT by MBR_ID, DOS_THRU_DT, DX_CD Grain grouped by PAYER, SRC_FILE_NM, DOS_THRU_YYYYMM"/>
  </r>
  <r>
    <x v="3"/>
    <s v="MERCYSPRINGFIELD_MAO_YTD_THRU_Sep_2025.txt"/>
    <x v="110"/>
    <x v="11"/>
    <n v="62927"/>
    <n v="454939"/>
    <n v="13.83"/>
    <s v="DQS_MAO04_FILE_000_B"/>
    <s v="RECORD COUNT by MBR_ID, DOS_THRU_DT, DX_CD Grain grouped by PAYER, SRC_FILE_NM, DOS_THRU_YYYYMM"/>
  </r>
  <r>
    <x v="3"/>
    <s v="MERCYSPRINGFIELD_MAO_YTD_THRU_Sep_2025.txt"/>
    <x v="111"/>
    <x v="11"/>
    <n v="54784"/>
    <n v="454939"/>
    <n v="12.04"/>
    <s v="DQS_MAO04_FILE_000_B"/>
    <s v="RECORD COUNT by MBR_ID, DOS_THRU_DT, DX_CD Grain grouped by PAYER, SRC_FILE_NM, DOS_THRU_YYYYMM"/>
  </r>
  <r>
    <x v="3"/>
    <s v="MERCYSPRINGFIELD_MAO_YTD_THRU_Sep_2025.txt"/>
    <x v="112"/>
    <x v="11"/>
    <n v="63125"/>
    <n v="454939"/>
    <n v="13.88"/>
    <s v="DQS_MAO04_FILE_000_B"/>
    <s v="RECORD COUNT by MBR_ID, DOS_THRU_DT, DX_CD Grain grouped by PAYER, SRC_FILE_NM, DOS_THRU_YYYYMM"/>
  </r>
  <r>
    <x v="3"/>
    <s v="MERCYSPRINGFIELD_MAO_YTD_THRU_Sep_2025.txt"/>
    <x v="113"/>
    <x v="11"/>
    <n v="64372"/>
    <n v="454939"/>
    <n v="14.15"/>
    <s v="DQS_MAO04_FILE_000_B"/>
    <s v="RECORD COUNT by MBR_ID, DOS_THRU_DT, DX_CD Grain grouped by PAYER, SRC_FILE_NM, DOS_THRU_YYYYMM"/>
  </r>
  <r>
    <x v="3"/>
    <s v="MERCYSPRINGFIELD_MAO_YTD_THRU_Sep_2025.txt"/>
    <x v="114"/>
    <x v="11"/>
    <n v="60169"/>
    <n v="454939"/>
    <n v="13.23"/>
    <s v="DQS_MAO04_FILE_000_B"/>
    <s v="RECORD COUNT by MBR_ID, DOS_THRU_DT, DX_CD Grain grouped by PAYER, SRC_FILE_NM, DOS_THRU_YYYYMM"/>
  </r>
  <r>
    <x v="3"/>
    <s v="MERCYSPRINGFIELD_MAO_YTD_THRU_Sep_2025.txt"/>
    <x v="115"/>
    <x v="11"/>
    <n v="57280"/>
    <n v="454939"/>
    <n v="12.59"/>
    <s v="DQS_MAO04_FILE_000_B"/>
    <s v="RECORD COUNT by MBR_ID, DOS_THRU_DT, DX_CD Grain grouped by PAYER, SRC_FILE_NM, DOS_THRU_YYYYMM"/>
  </r>
  <r>
    <x v="3"/>
    <s v="MERCYSPRINGFIELD_MAO_YTD_THRU_Sep_2025.txt"/>
    <x v="116"/>
    <x v="11"/>
    <n v="57744"/>
    <n v="454939"/>
    <n v="12.69"/>
    <s v="DQS_MAO04_FILE_000_B"/>
    <s v="RECORD COUNT by MBR_ID, DOS_THRU_DT, DX_CD Grain grouped by PAYER, SRC_FILE_NM, DOS_THRU_YYYYMM"/>
  </r>
  <r>
    <x v="3"/>
    <s v="MERCYSPRINGFIELD_MAO_YTD_THRU_Sep_2025.txt"/>
    <x v="117"/>
    <x v="11"/>
    <n v="33832"/>
    <n v="454939"/>
    <n v="7.44"/>
    <s v="DQS_MAO04_FILE_000_B"/>
    <s v="RECORD COUNT by MBR_ID, DOS_THRU_DT, DX_CD Grain grouped by PAYER, SRC_FILE_NM, DOS_THRU_YYYYMM"/>
  </r>
  <r>
    <x v="3"/>
    <s v="MERCYSPRINGFIELD_MAO_YTD_THRU_Sep_2025.txt"/>
    <x v="118"/>
    <x v="11"/>
    <n v="706"/>
    <n v="454939"/>
    <n v="0.16"/>
    <s v="DQS_MAO04_FILE_000_B"/>
    <s v="RECORD COUNT by MBR_ID, DOS_THRU_DT, DX_CD Grain grouped by PAYER, SRC_FILE_NM, DOS_THRU_YYYYM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5D4E3-B8E7-415A-93C8-48BDCC1B382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1" firstHeaderRow="1" firstDataRow="2" firstDataCol="1" rowPageCount="1" colPageCount="1"/>
  <pivotFields count="9"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34">
        <item x="131"/>
        <item x="90"/>
        <item x="101"/>
        <item x="104"/>
        <item x="91"/>
        <item x="92"/>
        <item x="93"/>
        <item x="94"/>
        <item x="95"/>
        <item x="96"/>
        <item x="0"/>
        <item x="1"/>
        <item x="128"/>
        <item x="126"/>
        <item x="129"/>
        <item x="2"/>
        <item x="3"/>
        <item x="4"/>
        <item x="5"/>
        <item x="132"/>
        <item x="127"/>
        <item x="130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7"/>
        <item x="98"/>
        <item x="99"/>
        <item x="100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axis="axisPage" multipleItemSelectionAllowed="1" showAll="0">
      <items count="14">
        <item h="1" x="10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1"/>
        <item x="1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17"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Sum of RECORD_CNT" fld="4" baseField="0" baseItem="0"/>
  </dataFields>
  <formats count="1">
    <format dxfId="0">
      <pivotArea outline="0" collapsedLevelsAreSubtotals="1" fieldPosition="0">
        <references count="1">
          <reference field="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419B-A945-4DA1-B5A8-BEF9CCFE7813}">
  <dimension ref="A1:F21"/>
  <sheetViews>
    <sheetView workbookViewId="0">
      <selection activeCell="A4" sqref="A4:E20"/>
    </sheetView>
  </sheetViews>
  <sheetFormatPr defaultRowHeight="15" x14ac:dyDescent="0.25"/>
  <cols>
    <col min="1" max="1" width="20.7109375" bestFit="1" customWidth="1"/>
    <col min="2" max="2" width="25.5703125" customWidth="1"/>
    <col min="3" max="3" width="17.42578125" customWidth="1"/>
    <col min="4" max="4" width="19.28515625" customWidth="1"/>
    <col min="5" max="5" width="20.28515625" customWidth="1"/>
    <col min="6" max="6" width="11.28515625" bestFit="1" customWidth="1"/>
  </cols>
  <sheetData>
    <row r="1" spans="1:6" x14ac:dyDescent="0.25">
      <c r="A1" s="3" t="s">
        <v>263</v>
      </c>
      <c r="B1" t="s">
        <v>264</v>
      </c>
    </row>
    <row r="3" spans="1:6" x14ac:dyDescent="0.25">
      <c r="A3" s="3" t="s">
        <v>262</v>
      </c>
      <c r="B3" s="3" t="s">
        <v>261</v>
      </c>
    </row>
    <row r="4" spans="1:6" x14ac:dyDescent="0.25">
      <c r="A4" s="3" t="s">
        <v>259</v>
      </c>
      <c r="B4" t="s">
        <v>8</v>
      </c>
      <c r="C4" t="s">
        <v>24</v>
      </c>
      <c r="D4" t="s">
        <v>17</v>
      </c>
      <c r="E4" t="s">
        <v>22</v>
      </c>
      <c r="F4" t="s">
        <v>260</v>
      </c>
    </row>
    <row r="5" spans="1:6" x14ac:dyDescent="0.25">
      <c r="A5" s="4">
        <v>202501</v>
      </c>
      <c r="B5" s="6">
        <v>7187426</v>
      </c>
      <c r="C5" s="6">
        <v>81928</v>
      </c>
      <c r="D5" s="6">
        <v>472486</v>
      </c>
      <c r="E5" s="6">
        <v>4599406</v>
      </c>
      <c r="F5">
        <v>12341246</v>
      </c>
    </row>
    <row r="6" spans="1:6" x14ac:dyDescent="0.25">
      <c r="A6" s="4">
        <v>202502</v>
      </c>
      <c r="B6" s="6">
        <v>6287471</v>
      </c>
      <c r="C6" s="6">
        <v>73199</v>
      </c>
      <c r="D6" s="6">
        <v>413869</v>
      </c>
      <c r="E6" s="6">
        <v>4270826</v>
      </c>
      <c r="F6">
        <v>11045365</v>
      </c>
    </row>
    <row r="7" spans="1:6" x14ac:dyDescent="0.25">
      <c r="A7" s="4">
        <v>202503</v>
      </c>
      <c r="B7" s="6">
        <v>6719831</v>
      </c>
      <c r="C7" s="6">
        <v>75182</v>
      </c>
      <c r="D7" s="6">
        <v>445694</v>
      </c>
      <c r="E7" s="6">
        <v>4851702</v>
      </c>
      <c r="F7">
        <v>12092409</v>
      </c>
    </row>
    <row r="8" spans="1:6" x14ac:dyDescent="0.25">
      <c r="A8" s="4">
        <v>202504</v>
      </c>
      <c r="B8" s="6">
        <v>5887284</v>
      </c>
      <c r="C8" s="6">
        <v>63806</v>
      </c>
      <c r="D8" s="6">
        <v>463983</v>
      </c>
      <c r="E8" s="6">
        <v>4986774</v>
      </c>
      <c r="F8">
        <v>11401847</v>
      </c>
    </row>
    <row r="9" spans="1:6" x14ac:dyDescent="0.25">
      <c r="A9" s="4">
        <v>202505</v>
      </c>
      <c r="B9" s="6">
        <v>4965924</v>
      </c>
      <c r="C9" s="6">
        <v>60794</v>
      </c>
      <c r="D9" s="6">
        <v>432587</v>
      </c>
      <c r="E9" s="6">
        <v>4603302</v>
      </c>
      <c r="F9">
        <v>10062607</v>
      </c>
    </row>
    <row r="10" spans="1:6" x14ac:dyDescent="0.25">
      <c r="A10" s="4">
        <v>202506</v>
      </c>
      <c r="B10" s="6">
        <v>4592454</v>
      </c>
      <c r="C10" s="6">
        <v>50546</v>
      </c>
      <c r="D10" s="6">
        <v>406076</v>
      </c>
      <c r="E10" s="6">
        <v>4062766</v>
      </c>
      <c r="F10">
        <v>9111842</v>
      </c>
    </row>
    <row r="11" spans="1:6" x14ac:dyDescent="0.25">
      <c r="A11" s="4">
        <v>202507</v>
      </c>
      <c r="B11" s="6">
        <v>3896400</v>
      </c>
      <c r="C11" s="6">
        <v>50976</v>
      </c>
      <c r="D11" s="6">
        <v>435630</v>
      </c>
      <c r="E11" s="6">
        <v>3505377</v>
      </c>
      <c r="F11">
        <v>7888383</v>
      </c>
    </row>
    <row r="12" spans="1:6" x14ac:dyDescent="0.25">
      <c r="A12" s="4">
        <v>202508</v>
      </c>
      <c r="B12" s="6">
        <v>3296742</v>
      </c>
      <c r="C12" s="6">
        <v>43064</v>
      </c>
      <c r="D12" s="6">
        <v>422607</v>
      </c>
      <c r="E12" s="6">
        <v>2920481</v>
      </c>
      <c r="F12">
        <v>6682894</v>
      </c>
    </row>
    <row r="13" spans="1:6" x14ac:dyDescent="0.25">
      <c r="A13" s="4">
        <v>202509</v>
      </c>
      <c r="B13" s="6">
        <v>3078234</v>
      </c>
      <c r="C13" s="6">
        <v>40581</v>
      </c>
      <c r="D13" s="6">
        <v>408952</v>
      </c>
      <c r="E13" s="6">
        <v>2628362</v>
      </c>
      <c r="F13">
        <v>6156129</v>
      </c>
    </row>
    <row r="14" spans="1:6" x14ac:dyDescent="0.25">
      <c r="A14" s="4">
        <v>202510</v>
      </c>
      <c r="B14" s="6">
        <v>2773340</v>
      </c>
      <c r="C14" s="6">
        <v>39668</v>
      </c>
      <c r="D14" s="6">
        <v>454919</v>
      </c>
      <c r="E14" s="6">
        <v>2408388</v>
      </c>
      <c r="F14">
        <v>5676315</v>
      </c>
    </row>
    <row r="15" spans="1:6" x14ac:dyDescent="0.25">
      <c r="A15" s="4">
        <v>202511</v>
      </c>
      <c r="B15" s="6">
        <v>2093294</v>
      </c>
      <c r="C15" s="6">
        <v>28659</v>
      </c>
      <c r="D15" s="6">
        <v>375165</v>
      </c>
      <c r="E15" s="6">
        <v>1711227</v>
      </c>
      <c r="F15">
        <v>4208345</v>
      </c>
    </row>
    <row r="16" spans="1:6" x14ac:dyDescent="0.25">
      <c r="A16" s="4">
        <v>202512</v>
      </c>
      <c r="B16" s="6">
        <v>1739450</v>
      </c>
      <c r="C16" s="6">
        <v>24707</v>
      </c>
      <c r="D16" s="6">
        <v>388190</v>
      </c>
      <c r="E16" s="6">
        <v>1444460</v>
      </c>
      <c r="F16">
        <v>3596807</v>
      </c>
    </row>
    <row r="17" spans="1:6" x14ac:dyDescent="0.25">
      <c r="A17" s="4">
        <v>202601</v>
      </c>
      <c r="B17" s="6">
        <v>932963</v>
      </c>
      <c r="C17" s="6">
        <v>15689</v>
      </c>
      <c r="D17" s="6">
        <v>508591</v>
      </c>
      <c r="E17" s="6">
        <v>784263</v>
      </c>
      <c r="F17">
        <v>2241506</v>
      </c>
    </row>
    <row r="18" spans="1:6" x14ac:dyDescent="0.25">
      <c r="A18" s="4">
        <v>202602</v>
      </c>
      <c r="B18" s="6">
        <v>646124</v>
      </c>
      <c r="C18" s="6">
        <v>12135</v>
      </c>
      <c r="D18" s="6">
        <v>499458</v>
      </c>
      <c r="E18" s="6">
        <v>496423</v>
      </c>
      <c r="F18">
        <v>1654140</v>
      </c>
    </row>
    <row r="19" spans="1:6" x14ac:dyDescent="0.25">
      <c r="A19" s="4">
        <v>202603</v>
      </c>
      <c r="B19" s="6">
        <v>318968</v>
      </c>
      <c r="C19" s="6">
        <v>7050</v>
      </c>
      <c r="D19" s="6">
        <v>501563</v>
      </c>
      <c r="E19" s="6">
        <v>255334</v>
      </c>
      <c r="F19">
        <v>1082915</v>
      </c>
    </row>
    <row r="20" spans="1:6" x14ac:dyDescent="0.25">
      <c r="A20" s="4">
        <v>202604</v>
      </c>
      <c r="B20" s="6">
        <v>41592</v>
      </c>
      <c r="C20" s="6">
        <v>243</v>
      </c>
      <c r="D20" s="6">
        <v>198650</v>
      </c>
      <c r="E20" s="6">
        <v>804</v>
      </c>
      <c r="F20">
        <v>241289</v>
      </c>
    </row>
    <row r="21" spans="1:6" x14ac:dyDescent="0.25">
      <c r="A21" s="4" t="s">
        <v>260</v>
      </c>
      <c r="B21" s="6">
        <v>54457497</v>
      </c>
      <c r="C21" s="6">
        <v>668227</v>
      </c>
      <c r="D21" s="6">
        <v>6828420</v>
      </c>
      <c r="E21" s="6">
        <v>43529895</v>
      </c>
      <c r="F21">
        <v>105484039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6487-0944-4AA9-BE90-3137CA609E2E}">
  <dimension ref="B1:P38"/>
  <sheetViews>
    <sheetView showGridLines="0" tabSelected="1" zoomScale="85" zoomScaleNormal="85" workbookViewId="0">
      <selection activeCell="T23" sqref="T23"/>
    </sheetView>
  </sheetViews>
  <sheetFormatPr defaultRowHeight="15" x14ac:dyDescent="0.25"/>
  <cols>
    <col min="1" max="1" width="1.42578125" customWidth="1"/>
    <col min="2" max="2" width="17.7109375" bestFit="1" customWidth="1"/>
    <col min="3" max="4" width="12.28515625" bestFit="1" customWidth="1"/>
    <col min="5" max="5" width="9" bestFit="1" customWidth="1"/>
    <col min="6" max="6" width="10.5703125" bestFit="1" customWidth="1"/>
    <col min="7" max="7" width="1.5703125" customWidth="1"/>
    <col min="9" max="9" width="15.5703125" bestFit="1" customWidth="1"/>
    <col min="10" max="10" width="24.140625" bestFit="1" customWidth="1"/>
    <col min="11" max="11" width="16.28515625" bestFit="1" customWidth="1"/>
    <col min="12" max="12" width="1.7109375" customWidth="1"/>
    <col min="13" max="13" width="11.140625" bestFit="1" customWidth="1"/>
    <col min="14" max="14" width="15.5703125" bestFit="1" customWidth="1"/>
    <col min="15" max="15" width="24.140625" bestFit="1" customWidth="1"/>
    <col min="16" max="16" width="16.28515625" bestFit="1" customWidth="1"/>
    <col min="17" max="17" width="2.140625" customWidth="1"/>
    <col min="19" max="19" width="10.85546875" bestFit="1" customWidth="1"/>
    <col min="20" max="20" width="24.140625" bestFit="1" customWidth="1"/>
    <col min="21" max="21" width="16.28515625" bestFit="1" customWidth="1"/>
  </cols>
  <sheetData>
    <row r="1" spans="2:16" ht="15.75" thickBot="1" x14ac:dyDescent="0.3"/>
    <row r="2" spans="2:16" ht="15.75" thickBot="1" x14ac:dyDescent="0.3">
      <c r="B2" s="29" t="s">
        <v>280</v>
      </c>
      <c r="C2" s="30"/>
      <c r="D2" s="30"/>
      <c r="E2" s="30"/>
      <c r="F2" s="31"/>
      <c r="H2" s="29" t="s">
        <v>8</v>
      </c>
      <c r="I2" s="30"/>
      <c r="J2" s="30"/>
      <c r="K2" s="31"/>
      <c r="M2" s="29" t="s">
        <v>17</v>
      </c>
      <c r="N2" s="30"/>
      <c r="O2" s="30"/>
      <c r="P2" s="31"/>
    </row>
    <row r="3" spans="2:16" x14ac:dyDescent="0.25">
      <c r="B3" s="17" t="s">
        <v>259</v>
      </c>
      <c r="C3" s="5" t="s">
        <v>8</v>
      </c>
      <c r="D3" s="5" t="s">
        <v>24</v>
      </c>
      <c r="E3" s="5" t="s">
        <v>17</v>
      </c>
      <c r="F3" s="27" t="s">
        <v>276</v>
      </c>
      <c r="H3" s="17" t="s">
        <v>259</v>
      </c>
      <c r="I3" s="5" t="s">
        <v>272</v>
      </c>
      <c r="J3" s="14" t="s">
        <v>274</v>
      </c>
      <c r="K3" s="23" t="s">
        <v>275</v>
      </c>
      <c r="M3" s="17" t="s">
        <v>259</v>
      </c>
      <c r="N3" s="5" t="s">
        <v>272</v>
      </c>
      <c r="O3" s="14" t="s">
        <v>274</v>
      </c>
      <c r="P3" s="23" t="s">
        <v>275</v>
      </c>
    </row>
    <row r="4" spans="2:16" x14ac:dyDescent="0.25">
      <c r="B4" s="18">
        <v>202501</v>
      </c>
      <c r="C4" s="6">
        <v>7187426</v>
      </c>
      <c r="D4" s="6">
        <v>81928</v>
      </c>
      <c r="E4" s="6">
        <v>472486</v>
      </c>
      <c r="F4" s="19">
        <v>4599406</v>
      </c>
      <c r="H4" s="18">
        <v>202501</v>
      </c>
      <c r="I4" s="6">
        <v>7187426</v>
      </c>
      <c r="J4" s="13">
        <f t="shared" ref="J4:J15" si="0">$C$23</f>
        <v>53737</v>
      </c>
      <c r="K4" s="24">
        <f t="shared" ref="K4:K19" si="1">I4/J4</f>
        <v>133.75190278579007</v>
      </c>
      <c r="M4" s="18">
        <v>202501</v>
      </c>
      <c r="N4" s="6">
        <v>472486</v>
      </c>
      <c r="O4" s="13">
        <f>$C$28</f>
        <v>38640</v>
      </c>
      <c r="P4" s="24">
        <f>N4/O4</f>
        <v>12.227898550724637</v>
      </c>
    </row>
    <row r="5" spans="2:16" x14ac:dyDescent="0.25">
      <c r="B5" s="18">
        <v>202502</v>
      </c>
      <c r="C5" s="6">
        <v>6287471</v>
      </c>
      <c r="D5" s="6">
        <v>73199</v>
      </c>
      <c r="E5" s="6">
        <v>413869</v>
      </c>
      <c r="F5" s="19">
        <v>4270826</v>
      </c>
      <c r="H5" s="18">
        <v>202502</v>
      </c>
      <c r="I5" s="6">
        <v>6287471</v>
      </c>
      <c r="J5" s="13">
        <f t="shared" si="0"/>
        <v>53737</v>
      </c>
      <c r="K5" s="24">
        <f t="shared" si="1"/>
        <v>117.00450341477939</v>
      </c>
      <c r="M5" s="18">
        <v>202502</v>
      </c>
      <c r="N5" s="6">
        <v>413869</v>
      </c>
      <c r="O5" s="13">
        <f t="shared" ref="O5:O15" si="2">$C$28</f>
        <v>38640</v>
      </c>
      <c r="P5" s="24">
        <f t="shared" ref="P5:P19" si="3">N5/O5</f>
        <v>10.710895445134575</v>
      </c>
    </row>
    <row r="6" spans="2:16" x14ac:dyDescent="0.25">
      <c r="B6" s="18">
        <v>202503</v>
      </c>
      <c r="C6" s="6">
        <v>6719831</v>
      </c>
      <c r="D6" s="6">
        <v>75182</v>
      </c>
      <c r="E6" s="6">
        <v>445694</v>
      </c>
      <c r="F6" s="19">
        <v>4851702</v>
      </c>
      <c r="H6" s="18">
        <v>202503</v>
      </c>
      <c r="I6" s="6">
        <v>6719831</v>
      </c>
      <c r="J6" s="13">
        <f t="shared" si="0"/>
        <v>53737</v>
      </c>
      <c r="K6" s="24">
        <f t="shared" si="1"/>
        <v>125.05035636526044</v>
      </c>
      <c r="M6" s="18">
        <v>202503</v>
      </c>
      <c r="N6" s="6">
        <v>445694</v>
      </c>
      <c r="O6" s="13">
        <f t="shared" si="2"/>
        <v>38640</v>
      </c>
      <c r="P6" s="24">
        <f t="shared" si="3"/>
        <v>11.53452380952381</v>
      </c>
    </row>
    <row r="7" spans="2:16" x14ac:dyDescent="0.25">
      <c r="B7" s="18">
        <v>202504</v>
      </c>
      <c r="C7" s="6">
        <v>5887284</v>
      </c>
      <c r="D7" s="6">
        <v>63806</v>
      </c>
      <c r="E7" s="6">
        <v>463983</v>
      </c>
      <c r="F7" s="19">
        <v>4986774</v>
      </c>
      <c r="H7" s="18">
        <v>202504</v>
      </c>
      <c r="I7" s="6">
        <v>5887284</v>
      </c>
      <c r="J7" s="13">
        <f t="shared" si="0"/>
        <v>53737</v>
      </c>
      <c r="K7" s="24">
        <f t="shared" si="1"/>
        <v>109.55736271098127</v>
      </c>
      <c r="M7" s="18">
        <v>202504</v>
      </c>
      <c r="N7" s="6">
        <v>463983</v>
      </c>
      <c r="O7" s="13">
        <f t="shared" si="2"/>
        <v>38640</v>
      </c>
      <c r="P7" s="24">
        <f t="shared" si="3"/>
        <v>12.007841614906832</v>
      </c>
    </row>
    <row r="8" spans="2:16" x14ac:dyDescent="0.25">
      <c r="B8" s="18">
        <v>202505</v>
      </c>
      <c r="C8" s="6">
        <v>4965924</v>
      </c>
      <c r="D8" s="6">
        <v>60794</v>
      </c>
      <c r="E8" s="6">
        <v>432587</v>
      </c>
      <c r="F8" s="19">
        <v>4603302</v>
      </c>
      <c r="H8" s="18">
        <v>202505</v>
      </c>
      <c r="I8" s="6">
        <v>4965924</v>
      </c>
      <c r="J8" s="13">
        <f t="shared" si="0"/>
        <v>53737</v>
      </c>
      <c r="K8" s="24">
        <f t="shared" si="1"/>
        <v>92.411634441818492</v>
      </c>
      <c r="M8" s="18">
        <v>202505</v>
      </c>
      <c r="N8" s="6">
        <v>432587</v>
      </c>
      <c r="O8" s="13">
        <f t="shared" si="2"/>
        <v>38640</v>
      </c>
      <c r="P8" s="24">
        <f t="shared" si="3"/>
        <v>11.195315734989649</v>
      </c>
    </row>
    <row r="9" spans="2:16" x14ac:dyDescent="0.25">
      <c r="B9" s="18">
        <v>202506</v>
      </c>
      <c r="C9" s="6">
        <v>4592454</v>
      </c>
      <c r="D9" s="6">
        <v>50546</v>
      </c>
      <c r="E9" s="6">
        <v>406076</v>
      </c>
      <c r="F9" s="19">
        <v>4062766</v>
      </c>
      <c r="H9" s="18">
        <v>202506</v>
      </c>
      <c r="I9" s="6">
        <v>4592454</v>
      </c>
      <c r="J9" s="13">
        <f t="shared" si="0"/>
        <v>53737</v>
      </c>
      <c r="K9" s="24">
        <f t="shared" si="1"/>
        <v>85.461674451495242</v>
      </c>
      <c r="M9" s="18">
        <v>202506</v>
      </c>
      <c r="N9" s="6">
        <v>406076</v>
      </c>
      <c r="O9" s="13">
        <f t="shared" si="2"/>
        <v>38640</v>
      </c>
      <c r="P9" s="24">
        <f t="shared" si="3"/>
        <v>10.509213250517599</v>
      </c>
    </row>
    <row r="10" spans="2:16" x14ac:dyDescent="0.25">
      <c r="B10" s="18">
        <v>202507</v>
      </c>
      <c r="C10" s="6">
        <v>3896400</v>
      </c>
      <c r="D10" s="6">
        <v>50976</v>
      </c>
      <c r="E10" s="6">
        <v>435630</v>
      </c>
      <c r="F10" s="19">
        <v>3505377</v>
      </c>
      <c r="H10" s="18">
        <v>202507</v>
      </c>
      <c r="I10" s="6">
        <v>3896400</v>
      </c>
      <c r="J10" s="13">
        <f t="shared" si="0"/>
        <v>53737</v>
      </c>
      <c r="K10" s="24">
        <f t="shared" si="1"/>
        <v>72.50869977855109</v>
      </c>
      <c r="M10" s="18">
        <v>202507</v>
      </c>
      <c r="N10" s="6">
        <v>435630</v>
      </c>
      <c r="O10" s="13">
        <f t="shared" si="2"/>
        <v>38640</v>
      </c>
      <c r="P10" s="24">
        <f t="shared" si="3"/>
        <v>11.274068322981366</v>
      </c>
    </row>
    <row r="11" spans="2:16" x14ac:dyDescent="0.25">
      <c r="B11" s="18">
        <v>202508</v>
      </c>
      <c r="C11" s="6">
        <v>3296742</v>
      </c>
      <c r="D11" s="6">
        <v>43064</v>
      </c>
      <c r="E11" s="6">
        <v>422607</v>
      </c>
      <c r="F11" s="19">
        <v>2920481</v>
      </c>
      <c r="H11" s="18">
        <v>202508</v>
      </c>
      <c r="I11" s="6">
        <v>3296742</v>
      </c>
      <c r="J11" s="13">
        <f t="shared" si="0"/>
        <v>53737</v>
      </c>
      <c r="K11" s="24">
        <f t="shared" si="1"/>
        <v>61.349572919962036</v>
      </c>
      <c r="M11" s="18">
        <v>202508</v>
      </c>
      <c r="N11" s="6">
        <v>422607</v>
      </c>
      <c r="O11" s="13">
        <f t="shared" si="2"/>
        <v>38640</v>
      </c>
      <c r="P11" s="24">
        <f t="shared" si="3"/>
        <v>10.937034161490683</v>
      </c>
    </row>
    <row r="12" spans="2:16" x14ac:dyDescent="0.25">
      <c r="B12" s="18">
        <v>202509</v>
      </c>
      <c r="C12" s="6">
        <v>3078234</v>
      </c>
      <c r="D12" s="6">
        <v>40581</v>
      </c>
      <c r="E12" s="6">
        <v>408952</v>
      </c>
      <c r="F12" s="19">
        <v>2628362</v>
      </c>
      <c r="H12" s="18">
        <v>202509</v>
      </c>
      <c r="I12" s="6">
        <v>3078234</v>
      </c>
      <c r="J12" s="13">
        <f t="shared" si="0"/>
        <v>53737</v>
      </c>
      <c r="K12" s="24">
        <f t="shared" si="1"/>
        <v>57.283324338909878</v>
      </c>
      <c r="M12" s="18">
        <v>202509</v>
      </c>
      <c r="N12" s="6">
        <v>408952</v>
      </c>
      <c r="O12" s="13">
        <f t="shared" si="2"/>
        <v>38640</v>
      </c>
      <c r="P12" s="24">
        <f t="shared" si="3"/>
        <v>10.583643892339545</v>
      </c>
    </row>
    <row r="13" spans="2:16" x14ac:dyDescent="0.25">
      <c r="B13" s="18">
        <v>202510</v>
      </c>
      <c r="C13" s="6">
        <v>2773340</v>
      </c>
      <c r="D13" s="6">
        <v>39668</v>
      </c>
      <c r="E13" s="6">
        <v>454919</v>
      </c>
      <c r="F13" s="19">
        <v>2408388</v>
      </c>
      <c r="H13" s="18">
        <v>202510</v>
      </c>
      <c r="I13" s="6">
        <v>2773340</v>
      </c>
      <c r="J13" s="13">
        <f t="shared" si="0"/>
        <v>53737</v>
      </c>
      <c r="K13" s="24">
        <f t="shared" si="1"/>
        <v>51.60950555483187</v>
      </c>
      <c r="M13" s="18">
        <v>202510</v>
      </c>
      <c r="N13" s="6">
        <v>454919</v>
      </c>
      <c r="O13" s="13">
        <f t="shared" si="2"/>
        <v>38640</v>
      </c>
      <c r="P13" s="24">
        <f t="shared" si="3"/>
        <v>11.773266045548654</v>
      </c>
    </row>
    <row r="14" spans="2:16" x14ac:dyDescent="0.25">
      <c r="B14" s="18">
        <v>202511</v>
      </c>
      <c r="C14" s="6">
        <v>2093294</v>
      </c>
      <c r="D14" s="6">
        <v>28659</v>
      </c>
      <c r="E14" s="6">
        <v>375165</v>
      </c>
      <c r="F14" s="19">
        <v>1711227</v>
      </c>
      <c r="H14" s="18">
        <v>202511</v>
      </c>
      <c r="I14" s="6">
        <v>2093294</v>
      </c>
      <c r="J14" s="13">
        <f t="shared" si="0"/>
        <v>53737</v>
      </c>
      <c r="K14" s="24">
        <f t="shared" si="1"/>
        <v>38.954426186798671</v>
      </c>
      <c r="M14" s="18">
        <v>202511</v>
      </c>
      <c r="N14" s="6">
        <v>375165</v>
      </c>
      <c r="O14" s="13">
        <f t="shared" si="2"/>
        <v>38640</v>
      </c>
      <c r="P14" s="24">
        <f t="shared" si="3"/>
        <v>9.7092391304347831</v>
      </c>
    </row>
    <row r="15" spans="2:16" x14ac:dyDescent="0.25">
      <c r="B15" s="18">
        <v>202512</v>
      </c>
      <c r="C15" s="6">
        <v>1739450</v>
      </c>
      <c r="D15" s="6">
        <v>24707</v>
      </c>
      <c r="E15" s="6">
        <v>388190</v>
      </c>
      <c r="F15" s="19">
        <v>1444460</v>
      </c>
      <c r="H15" s="18">
        <v>202512</v>
      </c>
      <c r="I15" s="6">
        <v>1739450</v>
      </c>
      <c r="J15" s="13">
        <f t="shared" si="0"/>
        <v>53737</v>
      </c>
      <c r="K15" s="24">
        <f t="shared" si="1"/>
        <v>32.36968941325344</v>
      </c>
      <c r="M15" s="18">
        <v>202512</v>
      </c>
      <c r="N15" s="6">
        <v>388190</v>
      </c>
      <c r="O15" s="13">
        <f t="shared" si="2"/>
        <v>38640</v>
      </c>
      <c r="P15" s="24">
        <f t="shared" si="3"/>
        <v>10.046325051759835</v>
      </c>
    </row>
    <row r="16" spans="2:16" x14ac:dyDescent="0.25">
      <c r="B16" s="18">
        <v>202601</v>
      </c>
      <c r="C16" s="6">
        <v>932963</v>
      </c>
      <c r="D16" s="6">
        <v>15689</v>
      </c>
      <c r="E16" s="6">
        <v>508591</v>
      </c>
      <c r="F16" s="19">
        <v>784263</v>
      </c>
      <c r="H16" s="18">
        <v>202601</v>
      </c>
      <c r="I16" s="6">
        <v>932963</v>
      </c>
      <c r="J16" s="13">
        <f>$D$23</f>
        <v>57741</v>
      </c>
      <c r="K16" s="24">
        <f t="shared" si="1"/>
        <v>16.157721549678737</v>
      </c>
      <c r="M16" s="18">
        <v>202601</v>
      </c>
      <c r="N16" s="6">
        <v>508591</v>
      </c>
      <c r="O16" s="13">
        <f>$D$28</f>
        <v>49987</v>
      </c>
      <c r="P16" s="24">
        <f t="shared" si="3"/>
        <v>10.174465360993858</v>
      </c>
    </row>
    <row r="17" spans="2:16" x14ac:dyDescent="0.25">
      <c r="B17" s="18">
        <v>202602</v>
      </c>
      <c r="C17" s="6">
        <v>646124</v>
      </c>
      <c r="D17" s="6">
        <v>12135</v>
      </c>
      <c r="E17" s="6">
        <v>499458</v>
      </c>
      <c r="F17" s="19">
        <v>496423</v>
      </c>
      <c r="H17" s="18">
        <v>202602</v>
      </c>
      <c r="I17" s="6">
        <v>646124</v>
      </c>
      <c r="J17" s="13">
        <f t="shared" ref="J17:J19" si="4">$D$23</f>
        <v>57741</v>
      </c>
      <c r="K17" s="24">
        <f t="shared" si="1"/>
        <v>11.190038274363104</v>
      </c>
      <c r="M17" s="18">
        <v>202602</v>
      </c>
      <c r="N17" s="6">
        <v>499458</v>
      </c>
      <c r="O17" s="13">
        <f t="shared" ref="O17:O19" si="5">$D$28</f>
        <v>49987</v>
      </c>
      <c r="P17" s="24">
        <f t="shared" si="3"/>
        <v>9.9917578570428311</v>
      </c>
    </row>
    <row r="18" spans="2:16" x14ac:dyDescent="0.25">
      <c r="B18" s="18">
        <v>202603</v>
      </c>
      <c r="C18" s="6">
        <v>318968</v>
      </c>
      <c r="D18" s="6">
        <v>7050</v>
      </c>
      <c r="E18" s="6">
        <v>501563</v>
      </c>
      <c r="F18" s="19">
        <v>255334</v>
      </c>
      <c r="H18" s="18">
        <v>202603</v>
      </c>
      <c r="I18" s="6">
        <v>318968</v>
      </c>
      <c r="J18" s="13">
        <f t="shared" si="4"/>
        <v>57741</v>
      </c>
      <c r="K18" s="24">
        <f t="shared" si="1"/>
        <v>5.5241163124989177</v>
      </c>
      <c r="M18" s="18">
        <v>202603</v>
      </c>
      <c r="N18" s="6">
        <v>501563</v>
      </c>
      <c r="O18" s="13">
        <f t="shared" si="5"/>
        <v>49987</v>
      </c>
      <c r="P18" s="24">
        <f t="shared" si="3"/>
        <v>10.033868805889531</v>
      </c>
    </row>
    <row r="19" spans="2:16" ht="15.75" thickBot="1" x14ac:dyDescent="0.3">
      <c r="B19" s="20">
        <v>202604</v>
      </c>
      <c r="C19" s="21">
        <v>41592</v>
      </c>
      <c r="D19" s="21">
        <v>243</v>
      </c>
      <c r="E19" s="21">
        <v>198650</v>
      </c>
      <c r="F19" s="22">
        <v>804</v>
      </c>
      <c r="H19" s="20">
        <v>202604</v>
      </c>
      <c r="I19" s="21">
        <v>41592</v>
      </c>
      <c r="J19" s="25">
        <f t="shared" si="4"/>
        <v>57741</v>
      </c>
      <c r="K19" s="26">
        <f t="shared" si="1"/>
        <v>0.7203200498779031</v>
      </c>
      <c r="M19" s="20">
        <v>202604</v>
      </c>
      <c r="N19" s="21">
        <v>198650</v>
      </c>
      <c r="O19" s="25">
        <f t="shared" si="5"/>
        <v>49987</v>
      </c>
      <c r="P19" s="26">
        <f t="shared" si="3"/>
        <v>3.9740332486446475</v>
      </c>
    </row>
    <row r="20" spans="2:16" ht="4.5" customHeight="1" thickBot="1" x14ac:dyDescent="0.3"/>
    <row r="21" spans="2:16" ht="15.75" thickBot="1" x14ac:dyDescent="0.3">
      <c r="H21" s="29" t="s">
        <v>279</v>
      </c>
      <c r="I21" s="30"/>
      <c r="J21" s="30"/>
      <c r="K21" s="31"/>
      <c r="M21" s="29" t="s">
        <v>276</v>
      </c>
      <c r="N21" s="30"/>
      <c r="O21" s="30"/>
      <c r="P21" s="31"/>
    </row>
    <row r="22" spans="2:16" x14ac:dyDescent="0.25">
      <c r="B22" s="15" t="s">
        <v>278</v>
      </c>
      <c r="C22" s="28">
        <v>45992</v>
      </c>
      <c r="D22" s="16" t="s">
        <v>277</v>
      </c>
      <c r="H22" s="17" t="s">
        <v>259</v>
      </c>
      <c r="I22" s="5" t="s">
        <v>272</v>
      </c>
      <c r="J22" s="14" t="s">
        <v>274</v>
      </c>
      <c r="K22" s="23" t="s">
        <v>275</v>
      </c>
      <c r="M22" s="17" t="s">
        <v>259</v>
      </c>
      <c r="N22" s="5" t="s">
        <v>272</v>
      </c>
      <c r="O22" s="14" t="s">
        <v>274</v>
      </c>
      <c r="P22" s="23" t="s">
        <v>275</v>
      </c>
    </row>
    <row r="23" spans="2:16" ht="15.75" x14ac:dyDescent="0.25">
      <c r="B23" s="7" t="s">
        <v>8</v>
      </c>
      <c r="C23" s="8">
        <v>53737</v>
      </c>
      <c r="D23" s="8">
        <v>57741</v>
      </c>
      <c r="H23" s="18">
        <v>202501</v>
      </c>
      <c r="I23" s="6">
        <v>81928</v>
      </c>
      <c r="J23" s="13">
        <f>$D$25</f>
        <v>687</v>
      </c>
      <c r="K23" s="24">
        <f>I23/J23</f>
        <v>119.25473071324599</v>
      </c>
      <c r="M23" s="18">
        <v>202501</v>
      </c>
      <c r="N23" s="6">
        <v>4599406</v>
      </c>
      <c r="O23" s="13">
        <f>$C$29</f>
        <v>50060</v>
      </c>
      <c r="P23" s="24">
        <f>N23/O23</f>
        <v>91.877866560127842</v>
      </c>
    </row>
    <row r="24" spans="2:16" ht="15.75" x14ac:dyDescent="0.25">
      <c r="B24" s="7" t="s">
        <v>265</v>
      </c>
      <c r="C24" s="8">
        <v>2169</v>
      </c>
      <c r="D24" s="8">
        <v>2162</v>
      </c>
      <c r="H24" s="18">
        <v>202502</v>
      </c>
      <c r="I24" s="6">
        <v>73199</v>
      </c>
      <c r="J24" s="13">
        <f t="shared" ref="J24:J38" si="6">$D$25</f>
        <v>687</v>
      </c>
      <c r="K24" s="24">
        <f t="shared" ref="K24:K38" si="7">I24/J24</f>
        <v>106.54876273653566</v>
      </c>
      <c r="M24" s="18">
        <v>202502</v>
      </c>
      <c r="N24" s="6">
        <v>4270826</v>
      </c>
      <c r="O24" s="13">
        <f t="shared" ref="O24:O38" si="8">$C$29</f>
        <v>50060</v>
      </c>
      <c r="P24" s="24">
        <f t="shared" ref="P24:P38" si="9">N24/O24</f>
        <v>85.314143028365962</v>
      </c>
    </row>
    <row r="25" spans="2:16" ht="15.75" x14ac:dyDescent="0.25">
      <c r="B25" s="11" t="s">
        <v>269</v>
      </c>
      <c r="C25">
        <v>0</v>
      </c>
      <c r="D25" s="8">
        <v>687</v>
      </c>
      <c r="H25" s="18">
        <v>202503</v>
      </c>
      <c r="I25" s="6">
        <v>75182</v>
      </c>
      <c r="J25" s="13">
        <f t="shared" si="6"/>
        <v>687</v>
      </c>
      <c r="K25" s="24">
        <f t="shared" si="7"/>
        <v>109.43522561863173</v>
      </c>
      <c r="M25" s="18">
        <v>202503</v>
      </c>
      <c r="N25" s="6">
        <v>4851702</v>
      </c>
      <c r="O25" s="13">
        <f t="shared" si="8"/>
        <v>50060</v>
      </c>
      <c r="P25" s="24">
        <f t="shared" si="9"/>
        <v>96.917738713543741</v>
      </c>
    </row>
    <row r="26" spans="2:16" ht="15.75" x14ac:dyDescent="0.25">
      <c r="B26" s="7" t="s">
        <v>266</v>
      </c>
      <c r="C26" s="8">
        <v>9641</v>
      </c>
      <c r="D26" s="8">
        <v>11707</v>
      </c>
      <c r="H26" s="18">
        <v>202504</v>
      </c>
      <c r="I26" s="6">
        <v>63806</v>
      </c>
      <c r="J26" s="13">
        <f t="shared" si="6"/>
        <v>687</v>
      </c>
      <c r="K26" s="24">
        <f t="shared" si="7"/>
        <v>92.87627365356623</v>
      </c>
      <c r="M26" s="18">
        <v>202504</v>
      </c>
      <c r="N26" s="6">
        <v>4986774</v>
      </c>
      <c r="O26" s="13">
        <f t="shared" si="8"/>
        <v>50060</v>
      </c>
      <c r="P26" s="24">
        <f t="shared" si="9"/>
        <v>99.615940870954859</v>
      </c>
    </row>
    <row r="27" spans="2:16" ht="15.75" x14ac:dyDescent="0.25">
      <c r="B27" s="7" t="s">
        <v>267</v>
      </c>
      <c r="C27" s="8">
        <v>2057</v>
      </c>
      <c r="D27" s="8">
        <v>2503</v>
      </c>
      <c r="H27" s="18">
        <v>202505</v>
      </c>
      <c r="I27" s="6">
        <v>60794</v>
      </c>
      <c r="J27" s="13">
        <f t="shared" si="6"/>
        <v>687</v>
      </c>
      <c r="K27" s="24">
        <f t="shared" si="7"/>
        <v>88.491994177583692</v>
      </c>
      <c r="M27" s="18">
        <v>202505</v>
      </c>
      <c r="N27" s="6">
        <v>4603302</v>
      </c>
      <c r="O27" s="13">
        <f t="shared" si="8"/>
        <v>50060</v>
      </c>
      <c r="P27" s="24">
        <f t="shared" si="9"/>
        <v>91.955693168198167</v>
      </c>
    </row>
    <row r="28" spans="2:16" ht="15.75" x14ac:dyDescent="0.25">
      <c r="B28" s="7" t="s">
        <v>17</v>
      </c>
      <c r="C28" s="8">
        <v>38640</v>
      </c>
      <c r="D28" s="8">
        <v>49987</v>
      </c>
      <c r="H28" s="18">
        <v>202506</v>
      </c>
      <c r="I28" s="6">
        <v>50546</v>
      </c>
      <c r="J28" s="13">
        <f t="shared" si="6"/>
        <v>687</v>
      </c>
      <c r="K28" s="24">
        <f t="shared" si="7"/>
        <v>73.574963609898106</v>
      </c>
      <c r="M28" s="18">
        <v>202506</v>
      </c>
      <c r="N28" s="6">
        <v>4062766</v>
      </c>
      <c r="O28" s="13">
        <f t="shared" si="8"/>
        <v>50060</v>
      </c>
      <c r="P28" s="24">
        <f t="shared" si="9"/>
        <v>81.157930483419889</v>
      </c>
    </row>
    <row r="29" spans="2:16" ht="15.75" x14ac:dyDescent="0.25">
      <c r="B29" s="7" t="s">
        <v>22</v>
      </c>
      <c r="C29" s="8">
        <v>50060</v>
      </c>
      <c r="D29" s="8">
        <v>50060</v>
      </c>
      <c r="H29" s="18">
        <v>202507</v>
      </c>
      <c r="I29" s="6">
        <v>50976</v>
      </c>
      <c r="J29" s="13">
        <f t="shared" si="6"/>
        <v>687</v>
      </c>
      <c r="K29" s="24">
        <f t="shared" si="7"/>
        <v>74.200873362445421</v>
      </c>
      <c r="M29" s="18">
        <v>202507</v>
      </c>
      <c r="N29" s="6">
        <v>3505377</v>
      </c>
      <c r="O29" s="13">
        <f t="shared" si="8"/>
        <v>50060</v>
      </c>
      <c r="P29" s="24">
        <f t="shared" si="9"/>
        <v>70.023511785856968</v>
      </c>
    </row>
    <row r="30" spans="2:16" x14ac:dyDescent="0.25">
      <c r="H30" s="18">
        <v>202508</v>
      </c>
      <c r="I30" s="6">
        <v>43064</v>
      </c>
      <c r="J30" s="13">
        <f t="shared" si="6"/>
        <v>687</v>
      </c>
      <c r="K30" s="24">
        <f t="shared" si="7"/>
        <v>62.684133915574961</v>
      </c>
      <c r="M30" s="18">
        <v>202508</v>
      </c>
      <c r="N30" s="6">
        <v>2920481</v>
      </c>
      <c r="O30" s="13">
        <f t="shared" si="8"/>
        <v>50060</v>
      </c>
      <c r="P30" s="24">
        <f t="shared" si="9"/>
        <v>58.339612465041952</v>
      </c>
    </row>
    <row r="31" spans="2:16" x14ac:dyDescent="0.25">
      <c r="H31" s="18">
        <v>202509</v>
      </c>
      <c r="I31" s="6">
        <v>40581</v>
      </c>
      <c r="J31" s="13">
        <f t="shared" si="6"/>
        <v>687</v>
      </c>
      <c r="K31" s="24">
        <f t="shared" si="7"/>
        <v>59.069868995633186</v>
      </c>
      <c r="M31" s="18">
        <v>202509</v>
      </c>
      <c r="N31" s="6">
        <v>2628362</v>
      </c>
      <c r="O31" s="13">
        <f t="shared" si="8"/>
        <v>50060</v>
      </c>
      <c r="P31" s="24">
        <f t="shared" si="9"/>
        <v>52.504234918098284</v>
      </c>
    </row>
    <row r="32" spans="2:16" x14ac:dyDescent="0.25">
      <c r="H32" s="18">
        <v>202510</v>
      </c>
      <c r="I32" s="6">
        <v>39668</v>
      </c>
      <c r="J32" s="13">
        <f t="shared" si="6"/>
        <v>687</v>
      </c>
      <c r="K32" s="24">
        <f t="shared" si="7"/>
        <v>57.740902474526926</v>
      </c>
      <c r="M32" s="18">
        <v>202510</v>
      </c>
      <c r="N32" s="6">
        <v>2408388</v>
      </c>
      <c r="O32" s="13">
        <f t="shared" si="8"/>
        <v>50060</v>
      </c>
      <c r="P32" s="24">
        <f t="shared" si="9"/>
        <v>48.110027966440271</v>
      </c>
    </row>
    <row r="33" spans="8:16" x14ac:dyDescent="0.25">
      <c r="H33" s="18">
        <v>202511</v>
      </c>
      <c r="I33" s="6">
        <v>28659</v>
      </c>
      <c r="J33" s="13">
        <f t="shared" si="6"/>
        <v>687</v>
      </c>
      <c r="K33" s="24">
        <f t="shared" si="7"/>
        <v>41.716157205240172</v>
      </c>
      <c r="M33" s="18">
        <v>202511</v>
      </c>
      <c r="N33" s="6">
        <v>1711227</v>
      </c>
      <c r="O33" s="13">
        <f t="shared" si="8"/>
        <v>50060</v>
      </c>
      <c r="P33" s="24">
        <f t="shared" si="9"/>
        <v>34.183519776268476</v>
      </c>
    </row>
    <row r="34" spans="8:16" x14ac:dyDescent="0.25">
      <c r="H34" s="18">
        <v>202512</v>
      </c>
      <c r="I34" s="6">
        <v>24707</v>
      </c>
      <c r="J34" s="13">
        <f t="shared" si="6"/>
        <v>687</v>
      </c>
      <c r="K34" s="24">
        <f t="shared" si="7"/>
        <v>35.963609898107713</v>
      </c>
      <c r="M34" s="18">
        <v>202512</v>
      </c>
      <c r="N34" s="6">
        <v>1444460</v>
      </c>
      <c r="O34" s="13">
        <f t="shared" si="8"/>
        <v>50060</v>
      </c>
      <c r="P34" s="24">
        <f t="shared" si="9"/>
        <v>28.854574510587295</v>
      </c>
    </row>
    <row r="35" spans="8:16" x14ac:dyDescent="0.25">
      <c r="H35" s="18">
        <v>202601</v>
      </c>
      <c r="I35" s="6">
        <v>15689</v>
      </c>
      <c r="J35" s="13">
        <f t="shared" si="6"/>
        <v>687</v>
      </c>
      <c r="K35" s="24">
        <f t="shared" si="7"/>
        <v>22.836972343522561</v>
      </c>
      <c r="M35" s="18">
        <v>202601</v>
      </c>
      <c r="N35" s="6">
        <v>784263</v>
      </c>
      <c r="O35" s="13">
        <f t="shared" si="8"/>
        <v>50060</v>
      </c>
      <c r="P35" s="24">
        <f t="shared" si="9"/>
        <v>15.666460247702757</v>
      </c>
    </row>
    <row r="36" spans="8:16" x14ac:dyDescent="0.25">
      <c r="H36" s="18">
        <v>202602</v>
      </c>
      <c r="I36" s="6">
        <v>12135</v>
      </c>
      <c r="J36" s="13">
        <f t="shared" si="6"/>
        <v>687</v>
      </c>
      <c r="K36" s="24">
        <f t="shared" si="7"/>
        <v>17.663755458515283</v>
      </c>
      <c r="M36" s="18">
        <v>202602</v>
      </c>
      <c r="N36" s="6">
        <v>496423</v>
      </c>
      <c r="O36" s="13">
        <f t="shared" si="8"/>
        <v>50060</v>
      </c>
      <c r="P36" s="24">
        <f t="shared" si="9"/>
        <v>9.9165601278465836</v>
      </c>
    </row>
    <row r="37" spans="8:16" x14ac:dyDescent="0.25">
      <c r="H37" s="18">
        <v>202603</v>
      </c>
      <c r="I37" s="6">
        <v>7050</v>
      </c>
      <c r="J37" s="13">
        <f t="shared" si="6"/>
        <v>687</v>
      </c>
      <c r="K37" s="24">
        <f t="shared" si="7"/>
        <v>10.262008733624453</v>
      </c>
      <c r="M37" s="18">
        <v>202603</v>
      </c>
      <c r="N37" s="6">
        <v>255334</v>
      </c>
      <c r="O37" s="13">
        <f t="shared" si="8"/>
        <v>50060</v>
      </c>
      <c r="P37" s="24">
        <f t="shared" si="9"/>
        <v>5.1005593288054332</v>
      </c>
    </row>
    <row r="38" spans="8:16" ht="15.75" thickBot="1" x14ac:dyDescent="0.3">
      <c r="H38" s="20">
        <v>202604</v>
      </c>
      <c r="I38" s="21">
        <v>243</v>
      </c>
      <c r="J38" s="25">
        <f t="shared" si="6"/>
        <v>687</v>
      </c>
      <c r="K38" s="26">
        <f t="shared" si="7"/>
        <v>0.35371179039301309</v>
      </c>
      <c r="M38" s="20">
        <v>202604</v>
      </c>
      <c r="N38" s="21">
        <v>804</v>
      </c>
      <c r="O38" s="25">
        <f t="shared" si="8"/>
        <v>50060</v>
      </c>
      <c r="P38" s="26">
        <f t="shared" si="9"/>
        <v>1.6060727127447064E-2</v>
      </c>
    </row>
  </sheetData>
  <mergeCells count="5">
    <mergeCell ref="B2:F2"/>
    <mergeCell ref="H2:K2"/>
    <mergeCell ref="M2:P2"/>
    <mergeCell ref="M21:P21"/>
    <mergeCell ref="H21:K21"/>
  </mergeCells>
  <conditionalFormatting sqref="K4:K19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{AE5A9A9D-3F8E-4E0E-8D1A-9B73A277FE07}</x14:id>
        </ext>
      </extLst>
    </cfRule>
  </conditionalFormatting>
  <conditionalFormatting sqref="K23:K38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{6587C454-3795-498B-8252-B7556676A2C6}</x14:id>
        </ext>
      </extLst>
    </cfRule>
  </conditionalFormatting>
  <conditionalFormatting sqref="P4:P1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{DB87CAEF-FE71-4191-84C3-765C56072279}</x14:id>
        </ext>
      </extLst>
    </cfRule>
  </conditionalFormatting>
  <conditionalFormatting sqref="P23:P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{397F21B3-AB4F-4F96-8B34-8A3B2CD15445}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5A9A9D-3F8E-4E0E-8D1A-9B73A277FE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K4:K19</xm:sqref>
        </x14:conditionalFormatting>
        <x14:conditionalFormatting xmlns:xm="http://schemas.microsoft.com/office/excel/2006/main">
          <x14:cfRule type="dataBar" id="{6587C454-3795-498B-8252-B7556676A2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K23:K38</xm:sqref>
        </x14:conditionalFormatting>
        <x14:conditionalFormatting xmlns:xm="http://schemas.microsoft.com/office/excel/2006/main">
          <x14:cfRule type="dataBar" id="{DB87CAEF-FE71-4191-84C3-765C560722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P4:P19</xm:sqref>
        </x14:conditionalFormatting>
        <x14:conditionalFormatting xmlns:xm="http://schemas.microsoft.com/office/excel/2006/main">
          <x14:cfRule type="dataBar" id="{397F21B3-AB4F-4F96-8B34-8A3B2CD15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P23:P38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AE76-2D6A-45A2-800A-8D36B0D53E64}">
  <dimension ref="B1:L34"/>
  <sheetViews>
    <sheetView workbookViewId="0">
      <selection activeCell="B2" sqref="B2:D9"/>
    </sheetView>
  </sheetViews>
  <sheetFormatPr defaultRowHeight="15" x14ac:dyDescent="0.25"/>
  <cols>
    <col min="2" max="2" width="17.7109375" bestFit="1" customWidth="1"/>
    <col min="3" max="3" width="21.7109375" bestFit="1" customWidth="1"/>
    <col min="4" max="4" width="18.5703125" bestFit="1" customWidth="1"/>
    <col min="8" max="8" width="11.140625" bestFit="1" customWidth="1"/>
    <col min="9" max="9" width="11.140625" customWidth="1"/>
    <col min="10" max="10" width="10.5703125" bestFit="1" customWidth="1"/>
    <col min="11" max="11" width="17" bestFit="1" customWidth="1"/>
    <col min="12" max="12" width="11.7109375" customWidth="1"/>
    <col min="13" max="13" width="17" bestFit="1" customWidth="1"/>
  </cols>
  <sheetData>
    <row r="1" spans="2:12" x14ac:dyDescent="0.25">
      <c r="J1" s="10"/>
    </row>
    <row r="2" spans="2:12" ht="30" x14ac:dyDescent="0.25">
      <c r="B2" s="9" t="s">
        <v>0</v>
      </c>
      <c r="C2" s="7" t="s">
        <v>268</v>
      </c>
      <c r="D2" t="s">
        <v>270</v>
      </c>
      <c r="H2" s="5" t="s">
        <v>259</v>
      </c>
      <c r="I2" s="5" t="s">
        <v>273</v>
      </c>
      <c r="J2" s="12" t="s">
        <v>272</v>
      </c>
      <c r="K2" s="12" t="s">
        <v>271</v>
      </c>
      <c r="L2" s="12" t="s">
        <v>272</v>
      </c>
    </row>
    <row r="3" spans="2:12" ht="15.75" x14ac:dyDescent="0.25">
      <c r="B3" s="7" t="s">
        <v>8</v>
      </c>
      <c r="C3" s="8">
        <v>53737</v>
      </c>
      <c r="D3" s="8">
        <v>57741</v>
      </c>
      <c r="H3" s="4">
        <v>202501</v>
      </c>
      <c r="I3" s="4" t="s">
        <v>8</v>
      </c>
      <c r="J3" s="6">
        <v>7187426</v>
      </c>
      <c r="K3" s="13">
        <f>D5</f>
        <v>687</v>
      </c>
      <c r="L3" s="6">
        <v>81928</v>
      </c>
    </row>
    <row r="4" spans="2:12" ht="15.75" x14ac:dyDescent="0.25">
      <c r="B4" s="7" t="s">
        <v>265</v>
      </c>
      <c r="C4" s="8">
        <v>2169</v>
      </c>
      <c r="D4" s="8">
        <v>2162</v>
      </c>
      <c r="H4" s="4">
        <v>202502</v>
      </c>
      <c r="I4" s="4" t="s">
        <v>8</v>
      </c>
      <c r="J4" s="6">
        <v>6287471</v>
      </c>
      <c r="K4" s="13">
        <f t="shared" ref="K4:K16" si="0">D6</f>
        <v>11707</v>
      </c>
      <c r="L4" s="6">
        <v>73199</v>
      </c>
    </row>
    <row r="5" spans="2:12" ht="15.75" x14ac:dyDescent="0.25">
      <c r="B5" s="11" t="s">
        <v>269</v>
      </c>
      <c r="C5">
        <v>0</v>
      </c>
      <c r="D5" s="8">
        <v>687</v>
      </c>
      <c r="H5" s="4">
        <v>202503</v>
      </c>
      <c r="I5" s="4" t="s">
        <v>8</v>
      </c>
      <c r="J5" s="6">
        <v>6719831</v>
      </c>
      <c r="K5" s="13">
        <f t="shared" si="0"/>
        <v>2503</v>
      </c>
      <c r="L5" s="6">
        <v>75182</v>
      </c>
    </row>
    <row r="6" spans="2:12" ht="15.75" x14ac:dyDescent="0.25">
      <c r="B6" s="7" t="s">
        <v>266</v>
      </c>
      <c r="C6" s="8">
        <v>9641</v>
      </c>
      <c r="D6" s="8">
        <v>11707</v>
      </c>
      <c r="H6" s="4">
        <v>202504</v>
      </c>
      <c r="I6" s="4" t="s">
        <v>8</v>
      </c>
      <c r="J6" s="6">
        <v>5887284</v>
      </c>
      <c r="K6" s="13">
        <f t="shared" si="0"/>
        <v>49987</v>
      </c>
      <c r="L6" s="6">
        <v>63806</v>
      </c>
    </row>
    <row r="7" spans="2:12" ht="15.75" x14ac:dyDescent="0.25">
      <c r="B7" s="7" t="s">
        <v>267</v>
      </c>
      <c r="C7" s="8">
        <v>2057</v>
      </c>
      <c r="D7" s="8">
        <v>2503</v>
      </c>
      <c r="H7" s="4">
        <v>202505</v>
      </c>
      <c r="I7" s="4" t="s">
        <v>8</v>
      </c>
      <c r="J7" s="6">
        <v>4965924</v>
      </c>
      <c r="K7" s="13">
        <f t="shared" si="0"/>
        <v>50060</v>
      </c>
      <c r="L7" s="6">
        <v>60794</v>
      </c>
    </row>
    <row r="8" spans="2:12" ht="15.75" x14ac:dyDescent="0.25">
      <c r="B8" s="7" t="s">
        <v>17</v>
      </c>
      <c r="C8" s="8">
        <v>38640</v>
      </c>
      <c r="D8" s="8">
        <v>49987</v>
      </c>
      <c r="H8" s="4">
        <v>202506</v>
      </c>
      <c r="I8" s="4" t="s">
        <v>8</v>
      </c>
      <c r="J8" s="6">
        <v>4592454</v>
      </c>
      <c r="K8" s="13">
        <f t="shared" si="0"/>
        <v>0</v>
      </c>
      <c r="L8" s="6">
        <v>50546</v>
      </c>
    </row>
    <row r="9" spans="2:12" ht="15.75" x14ac:dyDescent="0.25">
      <c r="B9" s="7" t="s">
        <v>22</v>
      </c>
      <c r="C9" s="8">
        <v>50060</v>
      </c>
      <c r="D9" s="8">
        <v>50060</v>
      </c>
      <c r="H9" s="4">
        <v>202507</v>
      </c>
      <c r="I9" s="4" t="s">
        <v>8</v>
      </c>
      <c r="J9" s="6">
        <v>3896400</v>
      </c>
      <c r="K9" s="13">
        <f t="shared" si="0"/>
        <v>0</v>
      </c>
      <c r="L9" s="6">
        <v>50976</v>
      </c>
    </row>
    <row r="10" spans="2:12" x14ac:dyDescent="0.25">
      <c r="H10" s="4">
        <v>202508</v>
      </c>
      <c r="I10" s="4" t="s">
        <v>8</v>
      </c>
      <c r="J10" s="6">
        <v>3296742</v>
      </c>
      <c r="K10" s="13">
        <f t="shared" si="0"/>
        <v>0</v>
      </c>
      <c r="L10" s="6">
        <v>43064</v>
      </c>
    </row>
    <row r="11" spans="2:12" x14ac:dyDescent="0.25">
      <c r="H11" s="4">
        <v>202509</v>
      </c>
      <c r="I11" s="4" t="s">
        <v>8</v>
      </c>
      <c r="J11" s="6">
        <v>3078234</v>
      </c>
      <c r="K11" s="13">
        <f t="shared" si="0"/>
        <v>0</v>
      </c>
      <c r="L11" s="6">
        <v>40581</v>
      </c>
    </row>
    <row r="12" spans="2:12" x14ac:dyDescent="0.25">
      <c r="H12" s="4">
        <v>202510</v>
      </c>
      <c r="I12" s="4" t="s">
        <v>8</v>
      </c>
      <c r="J12" s="6">
        <v>2773340</v>
      </c>
      <c r="K12" s="13">
        <f t="shared" si="0"/>
        <v>0</v>
      </c>
      <c r="L12" s="6">
        <v>39668</v>
      </c>
    </row>
    <row r="13" spans="2:12" x14ac:dyDescent="0.25">
      <c r="H13" s="4">
        <v>202511</v>
      </c>
      <c r="I13" s="4" t="s">
        <v>8</v>
      </c>
      <c r="J13" s="6">
        <v>2093294</v>
      </c>
      <c r="K13" s="13">
        <f t="shared" si="0"/>
        <v>0</v>
      </c>
      <c r="L13" s="6">
        <v>28659</v>
      </c>
    </row>
    <row r="14" spans="2:12" x14ac:dyDescent="0.25">
      <c r="H14" s="4">
        <v>202512</v>
      </c>
      <c r="I14" s="4" t="s">
        <v>8</v>
      </c>
      <c r="J14" s="6">
        <v>1739450</v>
      </c>
      <c r="K14" s="13">
        <f t="shared" si="0"/>
        <v>0</v>
      </c>
      <c r="L14" s="6">
        <v>24707</v>
      </c>
    </row>
    <row r="15" spans="2:12" x14ac:dyDescent="0.25">
      <c r="H15" s="4">
        <v>202601</v>
      </c>
      <c r="I15" s="4" t="s">
        <v>8</v>
      </c>
      <c r="J15" s="6">
        <v>932963</v>
      </c>
      <c r="K15" s="13">
        <f t="shared" si="0"/>
        <v>0</v>
      </c>
      <c r="L15" s="6">
        <v>15689</v>
      </c>
    </row>
    <row r="16" spans="2:12" x14ac:dyDescent="0.25">
      <c r="H16" s="4">
        <v>202602</v>
      </c>
      <c r="I16" s="4" t="s">
        <v>8</v>
      </c>
      <c r="J16" s="6">
        <v>646124</v>
      </c>
      <c r="K16" s="13">
        <f t="shared" si="0"/>
        <v>0</v>
      </c>
      <c r="L16" s="6">
        <v>12135</v>
      </c>
    </row>
    <row r="17" spans="8:12" x14ac:dyDescent="0.25">
      <c r="H17" s="4">
        <v>202603</v>
      </c>
      <c r="I17" s="4" t="s">
        <v>8</v>
      </c>
      <c r="J17" s="6">
        <v>318968</v>
      </c>
      <c r="K17" s="13" t="e">
        <f>#REF!</f>
        <v>#REF!</v>
      </c>
      <c r="L17" s="6">
        <v>7050</v>
      </c>
    </row>
    <row r="18" spans="8:12" x14ac:dyDescent="0.25">
      <c r="H18" s="4">
        <v>202604</v>
      </c>
      <c r="I18" s="4" t="s">
        <v>8</v>
      </c>
      <c r="J18" s="6">
        <v>41592</v>
      </c>
      <c r="K18" s="13">
        <f>D19</f>
        <v>0</v>
      </c>
      <c r="L18" s="6">
        <v>243</v>
      </c>
    </row>
    <row r="19" spans="8:12" x14ac:dyDescent="0.25">
      <c r="K19" s="6"/>
    </row>
    <row r="20" spans="8:12" x14ac:dyDescent="0.25">
      <c r="K20" s="6"/>
    </row>
    <row r="21" spans="8:12" x14ac:dyDescent="0.25">
      <c r="K21" s="6"/>
    </row>
    <row r="22" spans="8:12" x14ac:dyDescent="0.25">
      <c r="K22" s="6"/>
    </row>
    <row r="23" spans="8:12" x14ac:dyDescent="0.25">
      <c r="K23" s="6"/>
    </row>
    <row r="24" spans="8:12" x14ac:dyDescent="0.25">
      <c r="K24" s="6"/>
    </row>
    <row r="25" spans="8:12" x14ac:dyDescent="0.25">
      <c r="K25" s="6"/>
    </row>
    <row r="26" spans="8:12" x14ac:dyDescent="0.25">
      <c r="K26" s="6"/>
    </row>
    <row r="27" spans="8:12" x14ac:dyDescent="0.25">
      <c r="K27" s="6"/>
    </row>
    <row r="28" spans="8:12" x14ac:dyDescent="0.25">
      <c r="K28" s="6"/>
    </row>
    <row r="29" spans="8:12" x14ac:dyDescent="0.25">
      <c r="K29" s="6"/>
    </row>
    <row r="30" spans="8:12" x14ac:dyDescent="0.25">
      <c r="K30" s="6"/>
    </row>
    <row r="31" spans="8:12" x14ac:dyDescent="0.25">
      <c r="K31" s="6"/>
    </row>
    <row r="32" spans="8:12" x14ac:dyDescent="0.25">
      <c r="K32" s="6"/>
    </row>
    <row r="33" spans="11:11" x14ac:dyDescent="0.25">
      <c r="K33" s="6"/>
    </row>
    <row r="34" spans="11:11" x14ac:dyDescent="0.25">
      <c r="K3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89E8-A9E9-4B13-AED7-981C04DE7A5F}">
  <sheetPr filterMode="1"/>
  <dimension ref="A1:I8105"/>
  <sheetViews>
    <sheetView workbookViewId="0">
      <selection activeCell="D1" sqref="D1"/>
    </sheetView>
  </sheetViews>
  <sheetFormatPr defaultRowHeight="15" x14ac:dyDescent="0.25"/>
  <cols>
    <col min="1" max="1" width="16.42578125" bestFit="1" customWidth="1"/>
    <col min="2" max="2" width="55.42578125" bestFit="1" customWidth="1"/>
    <col min="3" max="3" width="18.5703125" bestFit="1" customWidth="1"/>
    <col min="4" max="4" width="18.5703125" customWidth="1"/>
    <col min="5" max="5" width="12.5703125" bestFit="1" customWidth="1"/>
    <col min="6" max="6" width="21.140625" bestFit="1" customWidth="1"/>
    <col min="7" max="7" width="12.28515625" bestFit="1" customWidth="1"/>
    <col min="8" max="8" width="22.28515625" bestFit="1" customWidth="1"/>
    <col min="9" max="9" width="9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263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idden="1" x14ac:dyDescent="0.25">
      <c r="A2" t="s">
        <v>8</v>
      </c>
      <c r="B2" t="s">
        <v>34</v>
      </c>
      <c r="C2">
        <v>201510</v>
      </c>
      <c r="D2" t="str">
        <f>LEFT(C2,4)</f>
        <v>2015</v>
      </c>
      <c r="E2">
        <v>8</v>
      </c>
      <c r="F2">
        <v>9589535</v>
      </c>
      <c r="G2">
        <v>0</v>
      </c>
      <c r="H2" t="s">
        <v>10</v>
      </c>
      <c r="I2" t="s">
        <v>11</v>
      </c>
    </row>
    <row r="3" spans="1:9" hidden="1" x14ac:dyDescent="0.25">
      <c r="A3" t="s">
        <v>8</v>
      </c>
      <c r="B3" t="s">
        <v>34</v>
      </c>
      <c r="C3">
        <v>201511</v>
      </c>
      <c r="D3" t="str">
        <f t="shared" ref="D3:D66" si="0">LEFT(C3,4)</f>
        <v>2015</v>
      </c>
      <c r="E3">
        <v>8</v>
      </c>
      <c r="F3">
        <v>9589535</v>
      </c>
      <c r="G3">
        <v>0</v>
      </c>
      <c r="H3" t="s">
        <v>10</v>
      </c>
      <c r="I3" t="s">
        <v>11</v>
      </c>
    </row>
    <row r="4" spans="1:9" hidden="1" x14ac:dyDescent="0.25">
      <c r="A4" t="s">
        <v>8</v>
      </c>
      <c r="B4" t="s">
        <v>34</v>
      </c>
      <c r="C4">
        <v>201607</v>
      </c>
      <c r="D4" t="str">
        <f t="shared" si="0"/>
        <v>2016</v>
      </c>
      <c r="E4">
        <v>2</v>
      </c>
      <c r="F4">
        <v>9589535</v>
      </c>
      <c r="G4">
        <v>0</v>
      </c>
      <c r="H4" t="s">
        <v>10</v>
      </c>
      <c r="I4" t="s">
        <v>11</v>
      </c>
    </row>
    <row r="5" spans="1:9" hidden="1" x14ac:dyDescent="0.25">
      <c r="A5" t="s">
        <v>8</v>
      </c>
      <c r="B5" t="s">
        <v>34</v>
      </c>
      <c r="C5">
        <v>201608</v>
      </c>
      <c r="D5" t="str">
        <f t="shared" si="0"/>
        <v>2016</v>
      </c>
      <c r="E5">
        <v>15</v>
      </c>
      <c r="F5">
        <v>9589535</v>
      </c>
      <c r="G5">
        <v>0</v>
      </c>
      <c r="H5" t="s">
        <v>10</v>
      </c>
      <c r="I5" t="s">
        <v>11</v>
      </c>
    </row>
    <row r="6" spans="1:9" hidden="1" x14ac:dyDescent="0.25">
      <c r="A6" t="s">
        <v>8</v>
      </c>
      <c r="B6" t="s">
        <v>34</v>
      </c>
      <c r="C6">
        <v>201609</v>
      </c>
      <c r="D6" t="str">
        <f t="shared" si="0"/>
        <v>2016</v>
      </c>
      <c r="E6">
        <v>12</v>
      </c>
      <c r="F6">
        <v>9589535</v>
      </c>
      <c r="G6">
        <v>0</v>
      </c>
      <c r="H6" t="s">
        <v>10</v>
      </c>
      <c r="I6" t="s">
        <v>11</v>
      </c>
    </row>
    <row r="7" spans="1:9" hidden="1" x14ac:dyDescent="0.25">
      <c r="A7" t="s">
        <v>8</v>
      </c>
      <c r="B7" t="s">
        <v>34</v>
      </c>
      <c r="C7">
        <v>201610</v>
      </c>
      <c r="D7" t="str">
        <f t="shared" si="0"/>
        <v>2016</v>
      </c>
      <c r="E7">
        <v>32</v>
      </c>
      <c r="F7">
        <v>9589535</v>
      </c>
      <c r="G7">
        <v>0</v>
      </c>
      <c r="H7" t="s">
        <v>10</v>
      </c>
      <c r="I7" t="s">
        <v>11</v>
      </c>
    </row>
    <row r="8" spans="1:9" hidden="1" x14ac:dyDescent="0.25">
      <c r="A8" t="s">
        <v>8</v>
      </c>
      <c r="B8" t="s">
        <v>34</v>
      </c>
      <c r="C8">
        <v>201702</v>
      </c>
      <c r="D8" t="str">
        <f t="shared" si="0"/>
        <v>2017</v>
      </c>
      <c r="E8">
        <v>7</v>
      </c>
      <c r="F8">
        <v>9589535</v>
      </c>
      <c r="G8">
        <v>0</v>
      </c>
      <c r="H8" t="s">
        <v>10</v>
      </c>
      <c r="I8" t="s">
        <v>11</v>
      </c>
    </row>
    <row r="9" spans="1:9" hidden="1" x14ac:dyDescent="0.25">
      <c r="A9" t="s">
        <v>8</v>
      </c>
      <c r="B9" t="s">
        <v>34</v>
      </c>
      <c r="C9">
        <v>201703</v>
      </c>
      <c r="D9" t="str">
        <f t="shared" si="0"/>
        <v>2017</v>
      </c>
      <c r="E9">
        <v>34</v>
      </c>
      <c r="F9">
        <v>9589535</v>
      </c>
      <c r="G9">
        <v>0</v>
      </c>
      <c r="H9" t="s">
        <v>10</v>
      </c>
      <c r="I9" t="s">
        <v>11</v>
      </c>
    </row>
    <row r="10" spans="1:9" hidden="1" x14ac:dyDescent="0.25">
      <c r="A10" t="s">
        <v>8</v>
      </c>
      <c r="B10" t="s">
        <v>34</v>
      </c>
      <c r="C10">
        <v>201704</v>
      </c>
      <c r="D10" t="str">
        <f t="shared" si="0"/>
        <v>2017</v>
      </c>
      <c r="E10">
        <v>13</v>
      </c>
      <c r="F10">
        <v>9589535</v>
      </c>
      <c r="G10">
        <v>0</v>
      </c>
      <c r="H10" t="s">
        <v>10</v>
      </c>
      <c r="I10" t="s">
        <v>11</v>
      </c>
    </row>
    <row r="11" spans="1:9" hidden="1" x14ac:dyDescent="0.25">
      <c r="A11" t="s">
        <v>8</v>
      </c>
      <c r="B11" t="s">
        <v>34</v>
      </c>
      <c r="C11">
        <v>201705</v>
      </c>
      <c r="D11" t="str">
        <f t="shared" si="0"/>
        <v>2017</v>
      </c>
      <c r="E11">
        <v>4</v>
      </c>
      <c r="F11">
        <v>9589535</v>
      </c>
      <c r="G11">
        <v>0</v>
      </c>
      <c r="H11" t="s">
        <v>10</v>
      </c>
      <c r="I11" t="s">
        <v>11</v>
      </c>
    </row>
    <row r="12" spans="1:9" hidden="1" x14ac:dyDescent="0.25">
      <c r="A12" t="s">
        <v>8</v>
      </c>
      <c r="B12" t="s">
        <v>34</v>
      </c>
      <c r="C12">
        <v>201706</v>
      </c>
      <c r="D12" t="str">
        <f t="shared" si="0"/>
        <v>2017</v>
      </c>
      <c r="E12">
        <v>10</v>
      </c>
      <c r="F12">
        <v>9589535</v>
      </c>
      <c r="G12">
        <v>0</v>
      </c>
      <c r="H12" t="s">
        <v>10</v>
      </c>
      <c r="I12" t="s">
        <v>11</v>
      </c>
    </row>
    <row r="13" spans="1:9" hidden="1" x14ac:dyDescent="0.25">
      <c r="A13" t="s">
        <v>8</v>
      </c>
      <c r="B13" t="s">
        <v>34</v>
      </c>
      <c r="C13">
        <v>201707</v>
      </c>
      <c r="D13" t="str">
        <f t="shared" si="0"/>
        <v>2017</v>
      </c>
      <c r="E13">
        <v>39</v>
      </c>
      <c r="F13">
        <v>9589535</v>
      </c>
      <c r="G13">
        <v>0</v>
      </c>
      <c r="H13" t="s">
        <v>10</v>
      </c>
      <c r="I13" t="s">
        <v>11</v>
      </c>
    </row>
    <row r="14" spans="1:9" hidden="1" x14ac:dyDescent="0.25">
      <c r="A14" t="s">
        <v>8</v>
      </c>
      <c r="B14" t="s">
        <v>34</v>
      </c>
      <c r="C14">
        <v>201708</v>
      </c>
      <c r="D14" t="str">
        <f t="shared" si="0"/>
        <v>2017</v>
      </c>
      <c r="E14">
        <v>52</v>
      </c>
      <c r="F14">
        <v>9589535</v>
      </c>
      <c r="G14">
        <v>0</v>
      </c>
      <c r="H14" t="s">
        <v>10</v>
      </c>
      <c r="I14" t="s">
        <v>11</v>
      </c>
    </row>
    <row r="15" spans="1:9" hidden="1" x14ac:dyDescent="0.25">
      <c r="A15" t="s">
        <v>8</v>
      </c>
      <c r="B15" t="s">
        <v>34</v>
      </c>
      <c r="C15">
        <v>201709</v>
      </c>
      <c r="D15" t="str">
        <f t="shared" si="0"/>
        <v>2017</v>
      </c>
      <c r="E15">
        <v>44</v>
      </c>
      <c r="F15">
        <v>9589535</v>
      </c>
      <c r="G15">
        <v>0</v>
      </c>
      <c r="H15" t="s">
        <v>10</v>
      </c>
      <c r="I15" t="s">
        <v>11</v>
      </c>
    </row>
    <row r="16" spans="1:9" hidden="1" x14ac:dyDescent="0.25">
      <c r="A16" t="s">
        <v>8</v>
      </c>
      <c r="B16" t="s">
        <v>34</v>
      </c>
      <c r="C16">
        <v>201710</v>
      </c>
      <c r="D16" t="str">
        <f t="shared" si="0"/>
        <v>2017</v>
      </c>
      <c r="E16">
        <v>45</v>
      </c>
      <c r="F16">
        <v>9589535</v>
      </c>
      <c r="G16">
        <v>0</v>
      </c>
      <c r="H16" t="s">
        <v>10</v>
      </c>
      <c r="I16" t="s">
        <v>11</v>
      </c>
    </row>
    <row r="17" spans="1:9" hidden="1" x14ac:dyDescent="0.25">
      <c r="A17" t="s">
        <v>8</v>
      </c>
      <c r="B17" t="s">
        <v>34</v>
      </c>
      <c r="C17">
        <v>201711</v>
      </c>
      <c r="D17" t="str">
        <f t="shared" si="0"/>
        <v>2017</v>
      </c>
      <c r="E17">
        <v>50</v>
      </c>
      <c r="F17">
        <v>9589535</v>
      </c>
      <c r="G17">
        <v>0</v>
      </c>
      <c r="H17" t="s">
        <v>10</v>
      </c>
      <c r="I17" t="s">
        <v>11</v>
      </c>
    </row>
    <row r="18" spans="1:9" hidden="1" x14ac:dyDescent="0.25">
      <c r="A18" t="s">
        <v>8</v>
      </c>
      <c r="B18" t="s">
        <v>34</v>
      </c>
      <c r="C18">
        <v>201712</v>
      </c>
      <c r="D18" t="str">
        <f t="shared" si="0"/>
        <v>2017</v>
      </c>
      <c r="E18">
        <v>33</v>
      </c>
      <c r="F18">
        <v>9589535</v>
      </c>
      <c r="G18">
        <v>0</v>
      </c>
      <c r="H18" t="s">
        <v>10</v>
      </c>
      <c r="I18" t="s">
        <v>11</v>
      </c>
    </row>
    <row r="19" spans="1:9" hidden="1" x14ac:dyDescent="0.25">
      <c r="A19" t="s">
        <v>8</v>
      </c>
      <c r="B19" t="s">
        <v>34</v>
      </c>
      <c r="C19">
        <v>201801</v>
      </c>
      <c r="D19" t="str">
        <f t="shared" si="0"/>
        <v>2018</v>
      </c>
      <c r="E19">
        <v>387</v>
      </c>
      <c r="F19">
        <v>9589535</v>
      </c>
      <c r="G19">
        <v>0</v>
      </c>
      <c r="H19" t="s">
        <v>10</v>
      </c>
      <c r="I19" t="s">
        <v>11</v>
      </c>
    </row>
    <row r="20" spans="1:9" hidden="1" x14ac:dyDescent="0.25">
      <c r="A20" t="s">
        <v>8</v>
      </c>
      <c r="B20" t="s">
        <v>34</v>
      </c>
      <c r="C20">
        <v>201802</v>
      </c>
      <c r="D20" t="str">
        <f t="shared" si="0"/>
        <v>2018</v>
      </c>
      <c r="E20">
        <v>285</v>
      </c>
      <c r="F20">
        <v>9589535</v>
      </c>
      <c r="G20">
        <v>0</v>
      </c>
      <c r="H20" t="s">
        <v>10</v>
      </c>
      <c r="I20" t="s">
        <v>11</v>
      </c>
    </row>
    <row r="21" spans="1:9" hidden="1" x14ac:dyDescent="0.25">
      <c r="A21" t="s">
        <v>8</v>
      </c>
      <c r="B21" t="s">
        <v>34</v>
      </c>
      <c r="C21">
        <v>201803</v>
      </c>
      <c r="D21" t="str">
        <f t="shared" si="0"/>
        <v>2018</v>
      </c>
      <c r="E21">
        <v>403</v>
      </c>
      <c r="F21">
        <v>9589535</v>
      </c>
      <c r="G21">
        <v>0</v>
      </c>
      <c r="H21" t="s">
        <v>10</v>
      </c>
      <c r="I21" t="s">
        <v>11</v>
      </c>
    </row>
    <row r="22" spans="1:9" hidden="1" x14ac:dyDescent="0.25">
      <c r="A22" t="s">
        <v>8</v>
      </c>
      <c r="B22" t="s">
        <v>34</v>
      </c>
      <c r="C22">
        <v>201804</v>
      </c>
      <c r="D22" t="str">
        <f t="shared" si="0"/>
        <v>2018</v>
      </c>
      <c r="E22">
        <v>385</v>
      </c>
      <c r="F22">
        <v>9589535</v>
      </c>
      <c r="G22">
        <v>0</v>
      </c>
      <c r="H22" t="s">
        <v>10</v>
      </c>
      <c r="I22" t="s">
        <v>11</v>
      </c>
    </row>
    <row r="23" spans="1:9" hidden="1" x14ac:dyDescent="0.25">
      <c r="A23" t="s">
        <v>8</v>
      </c>
      <c r="B23" t="s">
        <v>34</v>
      </c>
      <c r="C23">
        <v>201805</v>
      </c>
      <c r="D23" t="str">
        <f t="shared" si="0"/>
        <v>2018</v>
      </c>
      <c r="E23">
        <v>476</v>
      </c>
      <c r="F23">
        <v>9589535</v>
      </c>
      <c r="G23">
        <v>0</v>
      </c>
      <c r="H23" t="s">
        <v>10</v>
      </c>
      <c r="I23" t="s">
        <v>11</v>
      </c>
    </row>
    <row r="24" spans="1:9" hidden="1" x14ac:dyDescent="0.25">
      <c r="A24" t="s">
        <v>8</v>
      </c>
      <c r="B24" t="s">
        <v>34</v>
      </c>
      <c r="C24">
        <v>201806</v>
      </c>
      <c r="D24" t="str">
        <f t="shared" si="0"/>
        <v>2018</v>
      </c>
      <c r="E24">
        <v>384</v>
      </c>
      <c r="F24">
        <v>9589535</v>
      </c>
      <c r="G24">
        <v>0</v>
      </c>
      <c r="H24" t="s">
        <v>10</v>
      </c>
      <c r="I24" t="s">
        <v>11</v>
      </c>
    </row>
    <row r="25" spans="1:9" hidden="1" x14ac:dyDescent="0.25">
      <c r="A25" t="s">
        <v>8</v>
      </c>
      <c r="B25" t="s">
        <v>34</v>
      </c>
      <c r="C25">
        <v>201807</v>
      </c>
      <c r="D25" t="str">
        <f t="shared" si="0"/>
        <v>2018</v>
      </c>
      <c r="E25">
        <v>368</v>
      </c>
      <c r="F25">
        <v>9589535</v>
      </c>
      <c r="G25">
        <v>0</v>
      </c>
      <c r="H25" t="s">
        <v>10</v>
      </c>
      <c r="I25" t="s">
        <v>11</v>
      </c>
    </row>
    <row r="26" spans="1:9" hidden="1" x14ac:dyDescent="0.25">
      <c r="A26" t="s">
        <v>8</v>
      </c>
      <c r="B26" t="s">
        <v>34</v>
      </c>
      <c r="C26">
        <v>201808</v>
      </c>
      <c r="D26" t="str">
        <f t="shared" si="0"/>
        <v>2018</v>
      </c>
      <c r="E26">
        <v>709</v>
      </c>
      <c r="F26">
        <v>9589535</v>
      </c>
      <c r="G26">
        <v>0.01</v>
      </c>
      <c r="H26" t="s">
        <v>10</v>
      </c>
      <c r="I26" t="s">
        <v>11</v>
      </c>
    </row>
    <row r="27" spans="1:9" hidden="1" x14ac:dyDescent="0.25">
      <c r="A27" t="s">
        <v>8</v>
      </c>
      <c r="B27" t="s">
        <v>34</v>
      </c>
      <c r="C27">
        <v>201809</v>
      </c>
      <c r="D27" t="str">
        <f t="shared" si="0"/>
        <v>2018</v>
      </c>
      <c r="E27">
        <v>464</v>
      </c>
      <c r="F27">
        <v>9589535</v>
      </c>
      <c r="G27">
        <v>0</v>
      </c>
      <c r="H27" t="s">
        <v>10</v>
      </c>
      <c r="I27" t="s">
        <v>11</v>
      </c>
    </row>
    <row r="28" spans="1:9" hidden="1" x14ac:dyDescent="0.25">
      <c r="A28" t="s">
        <v>8</v>
      </c>
      <c r="B28" t="s">
        <v>34</v>
      </c>
      <c r="C28">
        <v>201810</v>
      </c>
      <c r="D28" t="str">
        <f t="shared" si="0"/>
        <v>2018</v>
      </c>
      <c r="E28">
        <v>813</v>
      </c>
      <c r="F28">
        <v>9589535</v>
      </c>
      <c r="G28">
        <v>0.01</v>
      </c>
      <c r="H28" t="s">
        <v>10</v>
      </c>
      <c r="I28" t="s">
        <v>11</v>
      </c>
    </row>
    <row r="29" spans="1:9" hidden="1" x14ac:dyDescent="0.25">
      <c r="A29" t="s">
        <v>8</v>
      </c>
      <c r="B29" t="s">
        <v>34</v>
      </c>
      <c r="C29">
        <v>201811</v>
      </c>
      <c r="D29" t="str">
        <f t="shared" si="0"/>
        <v>2018</v>
      </c>
      <c r="E29">
        <v>590</v>
      </c>
      <c r="F29">
        <v>9589535</v>
      </c>
      <c r="G29">
        <v>0.01</v>
      </c>
      <c r="H29" t="s">
        <v>10</v>
      </c>
      <c r="I29" t="s">
        <v>11</v>
      </c>
    </row>
    <row r="30" spans="1:9" hidden="1" x14ac:dyDescent="0.25">
      <c r="A30" t="s">
        <v>8</v>
      </c>
      <c r="B30" t="s">
        <v>34</v>
      </c>
      <c r="C30">
        <v>201812</v>
      </c>
      <c r="D30" t="str">
        <f t="shared" si="0"/>
        <v>2018</v>
      </c>
      <c r="E30">
        <v>779</v>
      </c>
      <c r="F30">
        <v>9589535</v>
      </c>
      <c r="G30">
        <v>0.01</v>
      </c>
      <c r="H30" t="s">
        <v>10</v>
      </c>
      <c r="I30" t="s">
        <v>11</v>
      </c>
    </row>
    <row r="31" spans="1:9" hidden="1" x14ac:dyDescent="0.25">
      <c r="A31" t="s">
        <v>8</v>
      </c>
      <c r="B31" t="s">
        <v>34</v>
      </c>
      <c r="C31">
        <v>201901</v>
      </c>
      <c r="D31" t="str">
        <f t="shared" si="0"/>
        <v>2019</v>
      </c>
      <c r="E31">
        <v>23186</v>
      </c>
      <c r="F31">
        <v>9589535</v>
      </c>
      <c r="G31">
        <v>0.24</v>
      </c>
      <c r="H31" t="s">
        <v>10</v>
      </c>
      <c r="I31" t="s">
        <v>11</v>
      </c>
    </row>
    <row r="32" spans="1:9" hidden="1" x14ac:dyDescent="0.25">
      <c r="A32" t="s">
        <v>8</v>
      </c>
      <c r="B32" t="s">
        <v>34</v>
      </c>
      <c r="C32">
        <v>201902</v>
      </c>
      <c r="D32" t="str">
        <f t="shared" si="0"/>
        <v>2019</v>
      </c>
      <c r="E32">
        <v>21915</v>
      </c>
      <c r="F32">
        <v>9589535</v>
      </c>
      <c r="G32">
        <v>0.23</v>
      </c>
      <c r="H32" t="s">
        <v>10</v>
      </c>
      <c r="I32" t="s">
        <v>11</v>
      </c>
    </row>
    <row r="33" spans="1:9" hidden="1" x14ac:dyDescent="0.25">
      <c r="A33" t="s">
        <v>8</v>
      </c>
      <c r="B33" t="s">
        <v>34</v>
      </c>
      <c r="C33">
        <v>201903</v>
      </c>
      <c r="D33" t="str">
        <f t="shared" si="0"/>
        <v>2019</v>
      </c>
      <c r="E33">
        <v>25159</v>
      </c>
      <c r="F33">
        <v>9589535</v>
      </c>
      <c r="G33">
        <v>0.26</v>
      </c>
      <c r="H33" t="s">
        <v>10</v>
      </c>
      <c r="I33" t="s">
        <v>11</v>
      </c>
    </row>
    <row r="34" spans="1:9" hidden="1" x14ac:dyDescent="0.25">
      <c r="A34" t="s">
        <v>8</v>
      </c>
      <c r="B34" t="s">
        <v>34</v>
      </c>
      <c r="C34">
        <v>201904</v>
      </c>
      <c r="D34" t="str">
        <f t="shared" si="0"/>
        <v>2019</v>
      </c>
      <c r="E34">
        <v>26127</v>
      </c>
      <c r="F34">
        <v>9589535</v>
      </c>
      <c r="G34">
        <v>0.27</v>
      </c>
      <c r="H34" t="s">
        <v>10</v>
      </c>
      <c r="I34" t="s">
        <v>11</v>
      </c>
    </row>
    <row r="35" spans="1:9" hidden="1" x14ac:dyDescent="0.25">
      <c r="A35" t="s">
        <v>8</v>
      </c>
      <c r="B35" t="s">
        <v>34</v>
      </c>
      <c r="C35">
        <v>201905</v>
      </c>
      <c r="D35" t="str">
        <f t="shared" si="0"/>
        <v>2019</v>
      </c>
      <c r="E35">
        <v>25629</v>
      </c>
      <c r="F35">
        <v>9589535</v>
      </c>
      <c r="G35">
        <v>0.27</v>
      </c>
      <c r="H35" t="s">
        <v>10</v>
      </c>
      <c r="I35" t="s">
        <v>11</v>
      </c>
    </row>
    <row r="36" spans="1:9" hidden="1" x14ac:dyDescent="0.25">
      <c r="A36" t="s">
        <v>8</v>
      </c>
      <c r="B36" t="s">
        <v>34</v>
      </c>
      <c r="C36">
        <v>201906</v>
      </c>
      <c r="D36" t="str">
        <f t="shared" si="0"/>
        <v>2019</v>
      </c>
      <c r="E36">
        <v>24569</v>
      </c>
      <c r="F36">
        <v>9589535</v>
      </c>
      <c r="G36">
        <v>0.26</v>
      </c>
      <c r="H36" t="s">
        <v>10</v>
      </c>
      <c r="I36" t="s">
        <v>11</v>
      </c>
    </row>
    <row r="37" spans="1:9" hidden="1" x14ac:dyDescent="0.25">
      <c r="A37" t="s">
        <v>8</v>
      </c>
      <c r="B37" t="s">
        <v>34</v>
      </c>
      <c r="C37">
        <v>201907</v>
      </c>
      <c r="D37" t="str">
        <f t="shared" si="0"/>
        <v>2019</v>
      </c>
      <c r="E37">
        <v>25747</v>
      </c>
      <c r="F37">
        <v>9589535</v>
      </c>
      <c r="G37">
        <v>0.27</v>
      </c>
      <c r="H37" t="s">
        <v>10</v>
      </c>
      <c r="I37" t="s">
        <v>11</v>
      </c>
    </row>
    <row r="38" spans="1:9" hidden="1" x14ac:dyDescent="0.25">
      <c r="A38" t="s">
        <v>8</v>
      </c>
      <c r="B38" t="s">
        <v>34</v>
      </c>
      <c r="C38">
        <v>201908</v>
      </c>
      <c r="D38" t="str">
        <f t="shared" si="0"/>
        <v>2019</v>
      </c>
      <c r="E38">
        <v>25947</v>
      </c>
      <c r="F38">
        <v>9589535</v>
      </c>
      <c r="G38">
        <v>0.27</v>
      </c>
      <c r="H38" t="s">
        <v>10</v>
      </c>
      <c r="I38" t="s">
        <v>11</v>
      </c>
    </row>
    <row r="39" spans="1:9" hidden="1" x14ac:dyDescent="0.25">
      <c r="A39" t="s">
        <v>8</v>
      </c>
      <c r="B39" t="s">
        <v>34</v>
      </c>
      <c r="C39">
        <v>201909</v>
      </c>
      <c r="D39" t="str">
        <f t="shared" si="0"/>
        <v>2019</v>
      </c>
      <c r="E39">
        <v>25373</v>
      </c>
      <c r="F39">
        <v>9589535</v>
      </c>
      <c r="G39">
        <v>0.26</v>
      </c>
      <c r="H39" t="s">
        <v>10</v>
      </c>
      <c r="I39" t="s">
        <v>11</v>
      </c>
    </row>
    <row r="40" spans="1:9" hidden="1" x14ac:dyDescent="0.25">
      <c r="A40" t="s">
        <v>8</v>
      </c>
      <c r="B40" t="s">
        <v>34</v>
      </c>
      <c r="C40">
        <v>201910</v>
      </c>
      <c r="D40" t="str">
        <f t="shared" si="0"/>
        <v>2019</v>
      </c>
      <c r="E40">
        <v>31364</v>
      </c>
      <c r="F40">
        <v>9589535</v>
      </c>
      <c r="G40">
        <v>0.33</v>
      </c>
      <c r="H40" t="s">
        <v>10</v>
      </c>
      <c r="I40" t="s">
        <v>11</v>
      </c>
    </row>
    <row r="41" spans="1:9" hidden="1" x14ac:dyDescent="0.25">
      <c r="A41" t="s">
        <v>8</v>
      </c>
      <c r="B41" t="s">
        <v>34</v>
      </c>
      <c r="C41">
        <v>201911</v>
      </c>
      <c r="D41" t="str">
        <f t="shared" si="0"/>
        <v>2019</v>
      </c>
      <c r="E41">
        <v>24612</v>
      </c>
      <c r="F41">
        <v>9589535</v>
      </c>
      <c r="G41">
        <v>0.26</v>
      </c>
      <c r="H41" t="s">
        <v>10</v>
      </c>
      <c r="I41" t="s">
        <v>11</v>
      </c>
    </row>
    <row r="42" spans="1:9" hidden="1" x14ac:dyDescent="0.25">
      <c r="A42" t="s">
        <v>8</v>
      </c>
      <c r="B42" t="s">
        <v>34</v>
      </c>
      <c r="C42">
        <v>201912</v>
      </c>
      <c r="D42" t="str">
        <f t="shared" si="0"/>
        <v>2019</v>
      </c>
      <c r="E42">
        <v>24631</v>
      </c>
      <c r="F42">
        <v>9589535</v>
      </c>
      <c r="G42">
        <v>0.26</v>
      </c>
      <c r="H42" t="s">
        <v>10</v>
      </c>
      <c r="I42" t="s">
        <v>11</v>
      </c>
    </row>
    <row r="43" spans="1:9" hidden="1" x14ac:dyDescent="0.25">
      <c r="A43" t="s">
        <v>8</v>
      </c>
      <c r="B43" t="s">
        <v>34</v>
      </c>
      <c r="C43">
        <v>202001</v>
      </c>
      <c r="D43" t="str">
        <f t="shared" si="0"/>
        <v>2020</v>
      </c>
      <c r="E43">
        <v>94406</v>
      </c>
      <c r="F43">
        <v>9589535</v>
      </c>
      <c r="G43">
        <v>0.98</v>
      </c>
      <c r="H43" t="s">
        <v>10</v>
      </c>
      <c r="I43" t="s">
        <v>11</v>
      </c>
    </row>
    <row r="44" spans="1:9" hidden="1" x14ac:dyDescent="0.25">
      <c r="A44" t="s">
        <v>8</v>
      </c>
      <c r="B44" t="s">
        <v>34</v>
      </c>
      <c r="C44">
        <v>202002</v>
      </c>
      <c r="D44" t="str">
        <f t="shared" si="0"/>
        <v>2020</v>
      </c>
      <c r="E44">
        <v>88080</v>
      </c>
      <c r="F44">
        <v>9589535</v>
      </c>
      <c r="G44">
        <v>0.92</v>
      </c>
      <c r="H44" t="s">
        <v>10</v>
      </c>
      <c r="I44" t="s">
        <v>11</v>
      </c>
    </row>
    <row r="45" spans="1:9" hidden="1" x14ac:dyDescent="0.25">
      <c r="A45" t="s">
        <v>8</v>
      </c>
      <c r="B45" t="s">
        <v>34</v>
      </c>
      <c r="C45">
        <v>202003</v>
      </c>
      <c r="D45" t="str">
        <f t="shared" si="0"/>
        <v>2020</v>
      </c>
      <c r="E45">
        <v>71443</v>
      </c>
      <c r="F45">
        <v>9589535</v>
      </c>
      <c r="G45">
        <v>0.75</v>
      </c>
      <c r="H45" t="s">
        <v>10</v>
      </c>
      <c r="I45" t="s">
        <v>11</v>
      </c>
    </row>
    <row r="46" spans="1:9" hidden="1" x14ac:dyDescent="0.25">
      <c r="A46" t="s">
        <v>8</v>
      </c>
      <c r="B46" t="s">
        <v>34</v>
      </c>
      <c r="C46">
        <v>202004</v>
      </c>
      <c r="D46" t="str">
        <f t="shared" si="0"/>
        <v>2020</v>
      </c>
      <c r="E46">
        <v>41779</v>
      </c>
      <c r="F46">
        <v>9589535</v>
      </c>
      <c r="G46">
        <v>0.44</v>
      </c>
      <c r="H46" t="s">
        <v>10</v>
      </c>
      <c r="I46" t="s">
        <v>11</v>
      </c>
    </row>
    <row r="47" spans="1:9" hidden="1" x14ac:dyDescent="0.25">
      <c r="A47" t="s">
        <v>8</v>
      </c>
      <c r="B47" t="s">
        <v>34</v>
      </c>
      <c r="C47">
        <v>202005</v>
      </c>
      <c r="D47" t="str">
        <f t="shared" si="0"/>
        <v>2020</v>
      </c>
      <c r="E47">
        <v>71228</v>
      </c>
      <c r="F47">
        <v>9589535</v>
      </c>
      <c r="G47">
        <v>0.74</v>
      </c>
      <c r="H47" t="s">
        <v>10</v>
      </c>
      <c r="I47" t="s">
        <v>11</v>
      </c>
    </row>
    <row r="48" spans="1:9" hidden="1" x14ac:dyDescent="0.25">
      <c r="A48" t="s">
        <v>8</v>
      </c>
      <c r="B48" t="s">
        <v>34</v>
      </c>
      <c r="C48">
        <v>202006</v>
      </c>
      <c r="D48" t="str">
        <f t="shared" si="0"/>
        <v>2020</v>
      </c>
      <c r="E48">
        <v>91901</v>
      </c>
      <c r="F48">
        <v>9589535</v>
      </c>
      <c r="G48">
        <v>0.96</v>
      </c>
      <c r="H48" t="s">
        <v>10</v>
      </c>
      <c r="I48" t="s">
        <v>11</v>
      </c>
    </row>
    <row r="49" spans="1:9" hidden="1" x14ac:dyDescent="0.25">
      <c r="A49" t="s">
        <v>8</v>
      </c>
      <c r="B49" t="s">
        <v>34</v>
      </c>
      <c r="C49">
        <v>202007</v>
      </c>
      <c r="D49" t="str">
        <f t="shared" si="0"/>
        <v>2020</v>
      </c>
      <c r="E49">
        <v>80730</v>
      </c>
      <c r="F49">
        <v>9589535</v>
      </c>
      <c r="G49">
        <v>0.84</v>
      </c>
      <c r="H49" t="s">
        <v>10</v>
      </c>
      <c r="I49" t="s">
        <v>11</v>
      </c>
    </row>
    <row r="50" spans="1:9" hidden="1" x14ac:dyDescent="0.25">
      <c r="A50" t="s">
        <v>8</v>
      </c>
      <c r="B50" t="s">
        <v>34</v>
      </c>
      <c r="C50">
        <v>202008</v>
      </c>
      <c r="D50" t="str">
        <f t="shared" si="0"/>
        <v>2020</v>
      </c>
      <c r="E50">
        <v>83698</v>
      </c>
      <c r="F50">
        <v>9589535</v>
      </c>
      <c r="G50">
        <v>0.87</v>
      </c>
      <c r="H50" t="s">
        <v>10</v>
      </c>
      <c r="I50" t="s">
        <v>11</v>
      </c>
    </row>
    <row r="51" spans="1:9" hidden="1" x14ac:dyDescent="0.25">
      <c r="A51" t="s">
        <v>8</v>
      </c>
      <c r="B51" t="s">
        <v>34</v>
      </c>
      <c r="C51">
        <v>202009</v>
      </c>
      <c r="D51" t="str">
        <f t="shared" si="0"/>
        <v>2020</v>
      </c>
      <c r="E51">
        <v>108801</v>
      </c>
      <c r="F51">
        <v>9589535</v>
      </c>
      <c r="G51">
        <v>1.1299999999999999</v>
      </c>
      <c r="H51" t="s">
        <v>10</v>
      </c>
      <c r="I51" t="s">
        <v>11</v>
      </c>
    </row>
    <row r="52" spans="1:9" hidden="1" x14ac:dyDescent="0.25">
      <c r="A52" t="s">
        <v>8</v>
      </c>
      <c r="B52" t="s">
        <v>34</v>
      </c>
      <c r="C52">
        <v>202010</v>
      </c>
      <c r="D52" t="str">
        <f t="shared" si="0"/>
        <v>2020</v>
      </c>
      <c r="E52">
        <v>137932</v>
      </c>
      <c r="F52">
        <v>9589535</v>
      </c>
      <c r="G52">
        <v>1.44</v>
      </c>
      <c r="H52" t="s">
        <v>10</v>
      </c>
      <c r="I52" t="s">
        <v>11</v>
      </c>
    </row>
    <row r="53" spans="1:9" hidden="1" x14ac:dyDescent="0.25">
      <c r="A53" t="s">
        <v>8</v>
      </c>
      <c r="B53" t="s">
        <v>34</v>
      </c>
      <c r="C53">
        <v>202011</v>
      </c>
      <c r="D53" t="str">
        <f t="shared" si="0"/>
        <v>2020</v>
      </c>
      <c r="E53">
        <v>99257</v>
      </c>
      <c r="F53">
        <v>9589535</v>
      </c>
      <c r="G53">
        <v>1.04</v>
      </c>
      <c r="H53" t="s">
        <v>10</v>
      </c>
      <c r="I53" t="s">
        <v>11</v>
      </c>
    </row>
    <row r="54" spans="1:9" hidden="1" x14ac:dyDescent="0.25">
      <c r="A54" t="s">
        <v>8</v>
      </c>
      <c r="B54" t="s">
        <v>34</v>
      </c>
      <c r="C54">
        <v>202012</v>
      </c>
      <c r="D54" t="str">
        <f t="shared" si="0"/>
        <v>2020</v>
      </c>
      <c r="E54">
        <v>110872</v>
      </c>
      <c r="F54">
        <v>9589535</v>
      </c>
      <c r="G54">
        <v>1.1599999999999999</v>
      </c>
      <c r="H54" t="s">
        <v>10</v>
      </c>
      <c r="I54" t="s">
        <v>11</v>
      </c>
    </row>
    <row r="55" spans="1:9" hidden="1" x14ac:dyDescent="0.25">
      <c r="A55" t="s">
        <v>8</v>
      </c>
      <c r="B55" t="s">
        <v>34</v>
      </c>
      <c r="C55">
        <v>202101</v>
      </c>
      <c r="D55" t="str">
        <f t="shared" si="0"/>
        <v>2021</v>
      </c>
      <c r="E55">
        <v>197125</v>
      </c>
      <c r="F55">
        <v>9589535</v>
      </c>
      <c r="G55">
        <v>2.06</v>
      </c>
      <c r="H55" t="s">
        <v>10</v>
      </c>
      <c r="I55" t="s">
        <v>11</v>
      </c>
    </row>
    <row r="56" spans="1:9" hidden="1" x14ac:dyDescent="0.25">
      <c r="A56" t="s">
        <v>8</v>
      </c>
      <c r="B56" t="s">
        <v>34</v>
      </c>
      <c r="C56">
        <v>202102</v>
      </c>
      <c r="D56" t="str">
        <f t="shared" si="0"/>
        <v>2021</v>
      </c>
      <c r="E56">
        <v>219262</v>
      </c>
      <c r="F56">
        <v>9589535</v>
      </c>
      <c r="G56">
        <v>2.29</v>
      </c>
      <c r="H56" t="s">
        <v>10</v>
      </c>
      <c r="I56" t="s">
        <v>11</v>
      </c>
    </row>
    <row r="57" spans="1:9" hidden="1" x14ac:dyDescent="0.25">
      <c r="A57" t="s">
        <v>8</v>
      </c>
      <c r="B57" t="s">
        <v>34</v>
      </c>
      <c r="C57">
        <v>202103</v>
      </c>
      <c r="D57" t="str">
        <f t="shared" si="0"/>
        <v>2021</v>
      </c>
      <c r="E57">
        <v>297373</v>
      </c>
      <c r="F57">
        <v>9589535</v>
      </c>
      <c r="G57">
        <v>3.1</v>
      </c>
      <c r="H57" t="s">
        <v>10</v>
      </c>
      <c r="I57" t="s">
        <v>11</v>
      </c>
    </row>
    <row r="58" spans="1:9" hidden="1" x14ac:dyDescent="0.25">
      <c r="A58" t="s">
        <v>8</v>
      </c>
      <c r="B58" t="s">
        <v>34</v>
      </c>
      <c r="C58">
        <v>202104</v>
      </c>
      <c r="D58" t="str">
        <f t="shared" si="0"/>
        <v>2021</v>
      </c>
      <c r="E58">
        <v>281835</v>
      </c>
      <c r="F58">
        <v>9589535</v>
      </c>
      <c r="G58">
        <v>2.94</v>
      </c>
      <c r="H58" t="s">
        <v>10</v>
      </c>
      <c r="I58" t="s">
        <v>11</v>
      </c>
    </row>
    <row r="59" spans="1:9" hidden="1" x14ac:dyDescent="0.25">
      <c r="A59" t="s">
        <v>8</v>
      </c>
      <c r="B59" t="s">
        <v>34</v>
      </c>
      <c r="C59">
        <v>202105</v>
      </c>
      <c r="D59" t="str">
        <f t="shared" si="0"/>
        <v>2021</v>
      </c>
      <c r="E59">
        <v>265854</v>
      </c>
      <c r="F59">
        <v>9589535</v>
      </c>
      <c r="G59">
        <v>2.77</v>
      </c>
      <c r="H59" t="s">
        <v>10</v>
      </c>
      <c r="I59" t="s">
        <v>11</v>
      </c>
    </row>
    <row r="60" spans="1:9" hidden="1" x14ac:dyDescent="0.25">
      <c r="A60" t="s">
        <v>8</v>
      </c>
      <c r="B60" t="s">
        <v>34</v>
      </c>
      <c r="C60">
        <v>202106</v>
      </c>
      <c r="D60" t="str">
        <f t="shared" si="0"/>
        <v>2021</v>
      </c>
      <c r="E60">
        <v>294380</v>
      </c>
      <c r="F60">
        <v>9589535</v>
      </c>
      <c r="G60">
        <v>3.07</v>
      </c>
      <c r="H60" t="s">
        <v>10</v>
      </c>
      <c r="I60" t="s">
        <v>11</v>
      </c>
    </row>
    <row r="61" spans="1:9" hidden="1" x14ac:dyDescent="0.25">
      <c r="A61" t="s">
        <v>8</v>
      </c>
      <c r="B61" t="s">
        <v>34</v>
      </c>
      <c r="C61">
        <v>202107</v>
      </c>
      <c r="D61" t="str">
        <f t="shared" si="0"/>
        <v>2021</v>
      </c>
      <c r="E61">
        <v>311794</v>
      </c>
      <c r="F61">
        <v>9589535</v>
      </c>
      <c r="G61">
        <v>3.25</v>
      </c>
      <c r="H61" t="s">
        <v>10</v>
      </c>
      <c r="I61" t="s">
        <v>11</v>
      </c>
    </row>
    <row r="62" spans="1:9" hidden="1" x14ac:dyDescent="0.25">
      <c r="A62" t="s">
        <v>8</v>
      </c>
      <c r="B62" t="s">
        <v>34</v>
      </c>
      <c r="C62">
        <v>202108</v>
      </c>
      <c r="D62" t="str">
        <f t="shared" si="0"/>
        <v>2021</v>
      </c>
      <c r="E62">
        <v>307457</v>
      </c>
      <c r="F62">
        <v>9589535</v>
      </c>
      <c r="G62">
        <v>3.21</v>
      </c>
      <c r="H62" t="s">
        <v>10</v>
      </c>
      <c r="I62" t="s">
        <v>11</v>
      </c>
    </row>
    <row r="63" spans="1:9" hidden="1" x14ac:dyDescent="0.25">
      <c r="A63" t="s">
        <v>8</v>
      </c>
      <c r="B63" t="s">
        <v>34</v>
      </c>
      <c r="C63">
        <v>202109</v>
      </c>
      <c r="D63" t="str">
        <f t="shared" si="0"/>
        <v>2021</v>
      </c>
      <c r="E63">
        <v>306365</v>
      </c>
      <c r="F63">
        <v>9589535</v>
      </c>
      <c r="G63">
        <v>3.19</v>
      </c>
      <c r="H63" t="s">
        <v>10</v>
      </c>
      <c r="I63" t="s">
        <v>11</v>
      </c>
    </row>
    <row r="64" spans="1:9" hidden="1" x14ac:dyDescent="0.25">
      <c r="A64" t="s">
        <v>8</v>
      </c>
      <c r="B64" t="s">
        <v>34</v>
      </c>
      <c r="C64">
        <v>202110</v>
      </c>
      <c r="D64" t="str">
        <f t="shared" si="0"/>
        <v>2021</v>
      </c>
      <c r="E64">
        <v>293489</v>
      </c>
      <c r="F64">
        <v>9589535</v>
      </c>
      <c r="G64">
        <v>3.06</v>
      </c>
      <c r="H64" t="s">
        <v>10</v>
      </c>
      <c r="I64" t="s">
        <v>11</v>
      </c>
    </row>
    <row r="65" spans="1:9" hidden="1" x14ac:dyDescent="0.25">
      <c r="A65" t="s">
        <v>8</v>
      </c>
      <c r="B65" t="s">
        <v>34</v>
      </c>
      <c r="C65">
        <v>202111</v>
      </c>
      <c r="D65" t="str">
        <f t="shared" si="0"/>
        <v>2021</v>
      </c>
      <c r="E65">
        <v>289336</v>
      </c>
      <c r="F65">
        <v>9589535</v>
      </c>
      <c r="G65">
        <v>3.02</v>
      </c>
      <c r="H65" t="s">
        <v>10</v>
      </c>
      <c r="I65" t="s">
        <v>11</v>
      </c>
    </row>
    <row r="66" spans="1:9" hidden="1" x14ac:dyDescent="0.25">
      <c r="A66" t="s">
        <v>8</v>
      </c>
      <c r="B66" t="s">
        <v>34</v>
      </c>
      <c r="C66">
        <v>202112</v>
      </c>
      <c r="D66" t="str">
        <f t="shared" si="0"/>
        <v>2021</v>
      </c>
      <c r="E66">
        <v>289656</v>
      </c>
      <c r="F66">
        <v>9589535</v>
      </c>
      <c r="G66">
        <v>3.02</v>
      </c>
      <c r="H66" t="s">
        <v>10</v>
      </c>
      <c r="I66" t="s">
        <v>11</v>
      </c>
    </row>
    <row r="67" spans="1:9" hidden="1" x14ac:dyDescent="0.25">
      <c r="A67" t="s">
        <v>8</v>
      </c>
      <c r="B67" t="s">
        <v>34</v>
      </c>
      <c r="C67">
        <v>202201</v>
      </c>
      <c r="D67" t="str">
        <f t="shared" ref="D67:D130" si="1">LEFT(C67,4)</f>
        <v>2022</v>
      </c>
      <c r="E67">
        <v>225243</v>
      </c>
      <c r="F67">
        <v>9589535</v>
      </c>
      <c r="G67">
        <v>2.35</v>
      </c>
      <c r="H67" t="s">
        <v>10</v>
      </c>
      <c r="I67" t="s">
        <v>11</v>
      </c>
    </row>
    <row r="68" spans="1:9" hidden="1" x14ac:dyDescent="0.25">
      <c r="A68" t="s">
        <v>8</v>
      </c>
      <c r="B68" t="s">
        <v>34</v>
      </c>
      <c r="C68">
        <v>202202</v>
      </c>
      <c r="D68" t="str">
        <f t="shared" si="1"/>
        <v>2022</v>
      </c>
      <c r="E68">
        <v>195266</v>
      </c>
      <c r="F68">
        <v>9589535</v>
      </c>
      <c r="G68">
        <v>2.04</v>
      </c>
      <c r="H68" t="s">
        <v>10</v>
      </c>
      <c r="I68" t="s">
        <v>11</v>
      </c>
    </row>
    <row r="69" spans="1:9" hidden="1" x14ac:dyDescent="0.25">
      <c r="A69" t="s">
        <v>8</v>
      </c>
      <c r="B69" t="s">
        <v>34</v>
      </c>
      <c r="C69">
        <v>202203</v>
      </c>
      <c r="D69" t="str">
        <f t="shared" si="1"/>
        <v>2022</v>
      </c>
      <c r="E69">
        <v>249374</v>
      </c>
      <c r="F69">
        <v>9589535</v>
      </c>
      <c r="G69">
        <v>2.6</v>
      </c>
      <c r="H69" t="s">
        <v>10</v>
      </c>
      <c r="I69" t="s">
        <v>11</v>
      </c>
    </row>
    <row r="70" spans="1:9" hidden="1" x14ac:dyDescent="0.25">
      <c r="A70" t="s">
        <v>8</v>
      </c>
      <c r="B70" t="s">
        <v>34</v>
      </c>
      <c r="C70">
        <v>202204</v>
      </c>
      <c r="D70" t="str">
        <f t="shared" si="1"/>
        <v>2022</v>
      </c>
      <c r="E70">
        <v>218839</v>
      </c>
      <c r="F70">
        <v>9589535</v>
      </c>
      <c r="G70">
        <v>2.2799999999999998</v>
      </c>
      <c r="H70" t="s">
        <v>10</v>
      </c>
      <c r="I70" t="s">
        <v>11</v>
      </c>
    </row>
    <row r="71" spans="1:9" hidden="1" x14ac:dyDescent="0.25">
      <c r="A71" t="s">
        <v>8</v>
      </c>
      <c r="B71" t="s">
        <v>34</v>
      </c>
      <c r="C71">
        <v>202205</v>
      </c>
      <c r="D71" t="str">
        <f t="shared" si="1"/>
        <v>2022</v>
      </c>
      <c r="E71">
        <v>222039</v>
      </c>
      <c r="F71">
        <v>9589535</v>
      </c>
      <c r="G71">
        <v>2.3199999999999998</v>
      </c>
      <c r="H71" t="s">
        <v>10</v>
      </c>
      <c r="I71" t="s">
        <v>11</v>
      </c>
    </row>
    <row r="72" spans="1:9" hidden="1" x14ac:dyDescent="0.25">
      <c r="A72" t="s">
        <v>8</v>
      </c>
      <c r="B72" t="s">
        <v>34</v>
      </c>
      <c r="C72">
        <v>202206</v>
      </c>
      <c r="D72" t="str">
        <f t="shared" si="1"/>
        <v>2022</v>
      </c>
      <c r="E72">
        <v>230884</v>
      </c>
      <c r="F72">
        <v>9589535</v>
      </c>
      <c r="G72">
        <v>2.41</v>
      </c>
      <c r="H72" t="s">
        <v>10</v>
      </c>
      <c r="I72" t="s">
        <v>11</v>
      </c>
    </row>
    <row r="73" spans="1:9" hidden="1" x14ac:dyDescent="0.25">
      <c r="A73" t="s">
        <v>8</v>
      </c>
      <c r="B73" t="s">
        <v>34</v>
      </c>
      <c r="C73">
        <v>202207</v>
      </c>
      <c r="D73" t="str">
        <f t="shared" si="1"/>
        <v>2022</v>
      </c>
      <c r="E73">
        <v>212614</v>
      </c>
      <c r="F73">
        <v>9589535</v>
      </c>
      <c r="G73">
        <v>2.2200000000000002</v>
      </c>
      <c r="H73" t="s">
        <v>10</v>
      </c>
      <c r="I73" t="s">
        <v>11</v>
      </c>
    </row>
    <row r="74" spans="1:9" hidden="1" x14ac:dyDescent="0.25">
      <c r="A74" t="s">
        <v>8</v>
      </c>
      <c r="B74" t="s">
        <v>34</v>
      </c>
      <c r="C74">
        <v>202208</v>
      </c>
      <c r="D74" t="str">
        <f t="shared" si="1"/>
        <v>2022</v>
      </c>
      <c r="E74">
        <v>236289</v>
      </c>
      <c r="F74">
        <v>9589535</v>
      </c>
      <c r="G74">
        <v>2.46</v>
      </c>
      <c r="H74" t="s">
        <v>10</v>
      </c>
      <c r="I74" t="s">
        <v>11</v>
      </c>
    </row>
    <row r="75" spans="1:9" hidden="1" x14ac:dyDescent="0.25">
      <c r="A75" t="s">
        <v>8</v>
      </c>
      <c r="B75" t="s">
        <v>34</v>
      </c>
      <c r="C75">
        <v>202209</v>
      </c>
      <c r="D75" t="str">
        <f t="shared" si="1"/>
        <v>2022</v>
      </c>
      <c r="E75">
        <v>218838</v>
      </c>
      <c r="F75">
        <v>9589535</v>
      </c>
      <c r="G75">
        <v>2.2799999999999998</v>
      </c>
      <c r="H75" t="s">
        <v>10</v>
      </c>
      <c r="I75" t="s">
        <v>11</v>
      </c>
    </row>
    <row r="76" spans="1:9" hidden="1" x14ac:dyDescent="0.25">
      <c r="A76" t="s">
        <v>8</v>
      </c>
      <c r="B76" t="s">
        <v>34</v>
      </c>
      <c r="C76">
        <v>202210</v>
      </c>
      <c r="D76" t="str">
        <f t="shared" si="1"/>
        <v>2022</v>
      </c>
      <c r="E76">
        <v>222632</v>
      </c>
      <c r="F76">
        <v>9589535</v>
      </c>
      <c r="G76">
        <v>2.3199999999999998</v>
      </c>
      <c r="H76" t="s">
        <v>10</v>
      </c>
      <c r="I76" t="s">
        <v>11</v>
      </c>
    </row>
    <row r="77" spans="1:9" hidden="1" x14ac:dyDescent="0.25">
      <c r="A77" t="s">
        <v>8</v>
      </c>
      <c r="B77" t="s">
        <v>34</v>
      </c>
      <c r="C77">
        <v>202211</v>
      </c>
      <c r="D77" t="str">
        <f t="shared" si="1"/>
        <v>2022</v>
      </c>
      <c r="E77">
        <v>218187</v>
      </c>
      <c r="F77">
        <v>9589535</v>
      </c>
      <c r="G77">
        <v>2.2799999999999998</v>
      </c>
      <c r="H77" t="s">
        <v>10</v>
      </c>
      <c r="I77" t="s">
        <v>11</v>
      </c>
    </row>
    <row r="78" spans="1:9" hidden="1" x14ac:dyDescent="0.25">
      <c r="A78" t="s">
        <v>8</v>
      </c>
      <c r="B78" t="s">
        <v>34</v>
      </c>
      <c r="C78">
        <v>202212</v>
      </c>
      <c r="D78" t="str">
        <f t="shared" si="1"/>
        <v>2022</v>
      </c>
      <c r="E78">
        <v>206419</v>
      </c>
      <c r="F78">
        <v>9589535</v>
      </c>
      <c r="G78">
        <v>2.15</v>
      </c>
      <c r="H78" t="s">
        <v>10</v>
      </c>
      <c r="I78" t="s">
        <v>11</v>
      </c>
    </row>
    <row r="79" spans="1:9" hidden="1" x14ac:dyDescent="0.25">
      <c r="A79" t="s">
        <v>8</v>
      </c>
      <c r="B79" t="s">
        <v>34</v>
      </c>
      <c r="C79">
        <v>202301</v>
      </c>
      <c r="D79" t="str">
        <f t="shared" si="1"/>
        <v>2023</v>
      </c>
      <c r="E79">
        <v>212709</v>
      </c>
      <c r="F79">
        <v>9589535</v>
      </c>
      <c r="G79">
        <v>2.2200000000000002</v>
      </c>
      <c r="H79" t="s">
        <v>10</v>
      </c>
      <c r="I79" t="s">
        <v>11</v>
      </c>
    </row>
    <row r="80" spans="1:9" hidden="1" x14ac:dyDescent="0.25">
      <c r="A80" t="s">
        <v>8</v>
      </c>
      <c r="B80" t="s">
        <v>34</v>
      </c>
      <c r="C80">
        <v>202302</v>
      </c>
      <c r="D80" t="str">
        <f t="shared" si="1"/>
        <v>2023</v>
      </c>
      <c r="E80">
        <v>201084</v>
      </c>
      <c r="F80">
        <v>9589535</v>
      </c>
      <c r="G80">
        <v>2.1</v>
      </c>
      <c r="H80" t="s">
        <v>10</v>
      </c>
      <c r="I80" t="s">
        <v>11</v>
      </c>
    </row>
    <row r="81" spans="1:9" hidden="1" x14ac:dyDescent="0.25">
      <c r="A81" t="s">
        <v>8</v>
      </c>
      <c r="B81" t="s">
        <v>34</v>
      </c>
      <c r="C81">
        <v>202303</v>
      </c>
      <c r="D81" t="str">
        <f t="shared" si="1"/>
        <v>2023</v>
      </c>
      <c r="E81">
        <v>218978</v>
      </c>
      <c r="F81">
        <v>9589535</v>
      </c>
      <c r="G81">
        <v>2.2799999999999998</v>
      </c>
      <c r="H81" t="s">
        <v>10</v>
      </c>
      <c r="I81" t="s">
        <v>11</v>
      </c>
    </row>
    <row r="82" spans="1:9" hidden="1" x14ac:dyDescent="0.25">
      <c r="A82" t="s">
        <v>8</v>
      </c>
      <c r="B82" t="s">
        <v>34</v>
      </c>
      <c r="C82">
        <v>202304</v>
      </c>
      <c r="D82" t="str">
        <f t="shared" si="1"/>
        <v>2023</v>
      </c>
      <c r="E82">
        <v>193787</v>
      </c>
      <c r="F82">
        <v>9589535</v>
      </c>
      <c r="G82">
        <v>2.02</v>
      </c>
      <c r="H82" t="s">
        <v>10</v>
      </c>
      <c r="I82" t="s">
        <v>11</v>
      </c>
    </row>
    <row r="83" spans="1:9" hidden="1" x14ac:dyDescent="0.25">
      <c r="A83" t="s">
        <v>8</v>
      </c>
      <c r="B83" t="s">
        <v>34</v>
      </c>
      <c r="C83">
        <v>202305</v>
      </c>
      <c r="D83" t="str">
        <f t="shared" si="1"/>
        <v>2023</v>
      </c>
      <c r="E83">
        <v>206016</v>
      </c>
      <c r="F83">
        <v>9589535</v>
      </c>
      <c r="G83">
        <v>2.15</v>
      </c>
      <c r="H83" t="s">
        <v>10</v>
      </c>
      <c r="I83" t="s">
        <v>11</v>
      </c>
    </row>
    <row r="84" spans="1:9" hidden="1" x14ac:dyDescent="0.25">
      <c r="A84" t="s">
        <v>8</v>
      </c>
      <c r="B84" t="s">
        <v>34</v>
      </c>
      <c r="C84">
        <v>202306</v>
      </c>
      <c r="D84" t="str">
        <f t="shared" si="1"/>
        <v>2023</v>
      </c>
      <c r="E84">
        <v>200094</v>
      </c>
      <c r="F84">
        <v>9589535</v>
      </c>
      <c r="G84">
        <v>2.09</v>
      </c>
      <c r="H84" t="s">
        <v>10</v>
      </c>
      <c r="I84" t="s">
        <v>11</v>
      </c>
    </row>
    <row r="85" spans="1:9" hidden="1" x14ac:dyDescent="0.25">
      <c r="A85" t="s">
        <v>8</v>
      </c>
      <c r="B85" t="s">
        <v>34</v>
      </c>
      <c r="C85">
        <v>202307</v>
      </c>
      <c r="D85" t="str">
        <f t="shared" si="1"/>
        <v>2023</v>
      </c>
      <c r="E85">
        <v>179197</v>
      </c>
      <c r="F85">
        <v>9589535</v>
      </c>
      <c r="G85">
        <v>1.87</v>
      </c>
      <c r="H85" t="s">
        <v>10</v>
      </c>
      <c r="I85" t="s">
        <v>11</v>
      </c>
    </row>
    <row r="86" spans="1:9" hidden="1" x14ac:dyDescent="0.25">
      <c r="A86" t="s">
        <v>8</v>
      </c>
      <c r="B86" t="s">
        <v>34</v>
      </c>
      <c r="C86">
        <v>202308</v>
      </c>
      <c r="D86" t="str">
        <f t="shared" si="1"/>
        <v>2023</v>
      </c>
      <c r="E86">
        <v>197343</v>
      </c>
      <c r="F86">
        <v>9589535</v>
      </c>
      <c r="G86">
        <v>2.06</v>
      </c>
      <c r="H86" t="s">
        <v>10</v>
      </c>
      <c r="I86" t="s">
        <v>11</v>
      </c>
    </row>
    <row r="87" spans="1:9" hidden="1" x14ac:dyDescent="0.25">
      <c r="A87" t="s">
        <v>8</v>
      </c>
      <c r="B87" t="s">
        <v>34</v>
      </c>
      <c r="C87">
        <v>202309</v>
      </c>
      <c r="D87" t="str">
        <f t="shared" si="1"/>
        <v>2023</v>
      </c>
      <c r="E87">
        <v>184748</v>
      </c>
      <c r="F87">
        <v>9589535</v>
      </c>
      <c r="G87">
        <v>1.93</v>
      </c>
      <c r="H87" t="s">
        <v>10</v>
      </c>
      <c r="I87" t="s">
        <v>11</v>
      </c>
    </row>
    <row r="88" spans="1:9" hidden="1" x14ac:dyDescent="0.25">
      <c r="A88" t="s">
        <v>8</v>
      </c>
      <c r="B88" t="s">
        <v>34</v>
      </c>
      <c r="C88">
        <v>202310</v>
      </c>
      <c r="D88" t="str">
        <f t="shared" si="1"/>
        <v>2023</v>
      </c>
      <c r="E88">
        <v>201605</v>
      </c>
      <c r="F88">
        <v>9589535</v>
      </c>
      <c r="G88">
        <v>2.1</v>
      </c>
      <c r="H88" t="s">
        <v>10</v>
      </c>
      <c r="I88" t="s">
        <v>11</v>
      </c>
    </row>
    <row r="89" spans="1:9" hidden="1" x14ac:dyDescent="0.25">
      <c r="A89" t="s">
        <v>8</v>
      </c>
      <c r="B89" t="s">
        <v>34</v>
      </c>
      <c r="C89">
        <v>202311</v>
      </c>
      <c r="D89" t="str">
        <f t="shared" si="1"/>
        <v>2023</v>
      </c>
      <c r="E89">
        <v>170341</v>
      </c>
      <c r="F89">
        <v>9589535</v>
      </c>
      <c r="G89">
        <v>1.78</v>
      </c>
      <c r="H89" t="s">
        <v>10</v>
      </c>
      <c r="I89" t="s">
        <v>11</v>
      </c>
    </row>
    <row r="90" spans="1:9" hidden="1" x14ac:dyDescent="0.25">
      <c r="A90" t="s">
        <v>8</v>
      </c>
      <c r="B90" t="s">
        <v>34</v>
      </c>
      <c r="C90">
        <v>202312</v>
      </c>
      <c r="D90" t="str">
        <f t="shared" si="1"/>
        <v>2023</v>
      </c>
      <c r="E90">
        <v>22246</v>
      </c>
      <c r="F90">
        <v>9589535</v>
      </c>
      <c r="G90">
        <v>0.23</v>
      </c>
      <c r="H90" t="s">
        <v>10</v>
      </c>
      <c r="I90" t="s">
        <v>11</v>
      </c>
    </row>
    <row r="91" spans="1:9" hidden="1" x14ac:dyDescent="0.25">
      <c r="A91" t="s">
        <v>8</v>
      </c>
      <c r="B91" t="s">
        <v>93</v>
      </c>
      <c r="C91">
        <v>201510</v>
      </c>
      <c r="D91" t="str">
        <f t="shared" si="1"/>
        <v>2015</v>
      </c>
      <c r="E91">
        <v>8</v>
      </c>
      <c r="F91">
        <v>12488985</v>
      </c>
      <c r="G91">
        <v>0</v>
      </c>
      <c r="H91" t="s">
        <v>10</v>
      </c>
      <c r="I91" t="s">
        <v>11</v>
      </c>
    </row>
    <row r="92" spans="1:9" hidden="1" x14ac:dyDescent="0.25">
      <c r="A92" t="s">
        <v>8</v>
      </c>
      <c r="B92" t="s">
        <v>93</v>
      </c>
      <c r="C92">
        <v>201511</v>
      </c>
      <c r="D92" t="str">
        <f t="shared" si="1"/>
        <v>2015</v>
      </c>
      <c r="E92">
        <v>8</v>
      </c>
      <c r="F92">
        <v>12488985</v>
      </c>
      <c r="G92">
        <v>0</v>
      </c>
      <c r="H92" t="s">
        <v>10</v>
      </c>
      <c r="I92" t="s">
        <v>11</v>
      </c>
    </row>
    <row r="93" spans="1:9" hidden="1" x14ac:dyDescent="0.25">
      <c r="A93" t="s">
        <v>8</v>
      </c>
      <c r="B93" t="s">
        <v>93</v>
      </c>
      <c r="C93">
        <v>201607</v>
      </c>
      <c r="D93" t="str">
        <f t="shared" si="1"/>
        <v>2016</v>
      </c>
      <c r="E93">
        <v>2</v>
      </c>
      <c r="F93">
        <v>12488985</v>
      </c>
      <c r="G93">
        <v>0</v>
      </c>
      <c r="H93" t="s">
        <v>10</v>
      </c>
      <c r="I93" t="s">
        <v>11</v>
      </c>
    </row>
    <row r="94" spans="1:9" hidden="1" x14ac:dyDescent="0.25">
      <c r="A94" t="s">
        <v>8</v>
      </c>
      <c r="B94" t="s">
        <v>93</v>
      </c>
      <c r="C94">
        <v>201608</v>
      </c>
      <c r="D94" t="str">
        <f t="shared" si="1"/>
        <v>2016</v>
      </c>
      <c r="E94">
        <v>15</v>
      </c>
      <c r="F94">
        <v>12488985</v>
      </c>
      <c r="G94">
        <v>0</v>
      </c>
      <c r="H94" t="s">
        <v>10</v>
      </c>
      <c r="I94" t="s">
        <v>11</v>
      </c>
    </row>
    <row r="95" spans="1:9" hidden="1" x14ac:dyDescent="0.25">
      <c r="A95" t="s">
        <v>8</v>
      </c>
      <c r="B95" t="s">
        <v>93</v>
      </c>
      <c r="C95">
        <v>201609</v>
      </c>
      <c r="D95" t="str">
        <f t="shared" si="1"/>
        <v>2016</v>
      </c>
      <c r="E95">
        <v>12</v>
      </c>
      <c r="F95">
        <v>12488985</v>
      </c>
      <c r="G95">
        <v>0</v>
      </c>
      <c r="H95" t="s">
        <v>10</v>
      </c>
      <c r="I95" t="s">
        <v>11</v>
      </c>
    </row>
    <row r="96" spans="1:9" hidden="1" x14ac:dyDescent="0.25">
      <c r="A96" t="s">
        <v>8</v>
      </c>
      <c r="B96" t="s">
        <v>93</v>
      </c>
      <c r="C96">
        <v>201610</v>
      </c>
      <c r="D96" t="str">
        <f t="shared" si="1"/>
        <v>2016</v>
      </c>
      <c r="E96">
        <v>32</v>
      </c>
      <c r="F96">
        <v>12488985</v>
      </c>
      <c r="G96">
        <v>0</v>
      </c>
      <c r="H96" t="s">
        <v>10</v>
      </c>
      <c r="I96" t="s">
        <v>11</v>
      </c>
    </row>
    <row r="97" spans="1:9" hidden="1" x14ac:dyDescent="0.25">
      <c r="A97" t="s">
        <v>8</v>
      </c>
      <c r="B97" t="s">
        <v>93</v>
      </c>
      <c r="C97">
        <v>201702</v>
      </c>
      <c r="D97" t="str">
        <f t="shared" si="1"/>
        <v>2017</v>
      </c>
      <c r="E97">
        <v>12</v>
      </c>
      <c r="F97">
        <v>12488985</v>
      </c>
      <c r="G97">
        <v>0</v>
      </c>
      <c r="H97" t="s">
        <v>10</v>
      </c>
      <c r="I97" t="s">
        <v>11</v>
      </c>
    </row>
    <row r="98" spans="1:9" hidden="1" x14ac:dyDescent="0.25">
      <c r="A98" t="s">
        <v>8</v>
      </c>
      <c r="B98" t="s">
        <v>93</v>
      </c>
      <c r="C98">
        <v>201703</v>
      </c>
      <c r="D98" t="str">
        <f t="shared" si="1"/>
        <v>2017</v>
      </c>
      <c r="E98">
        <v>34</v>
      </c>
      <c r="F98">
        <v>12488985</v>
      </c>
      <c r="G98">
        <v>0</v>
      </c>
      <c r="H98" t="s">
        <v>10</v>
      </c>
      <c r="I98" t="s">
        <v>11</v>
      </c>
    </row>
    <row r="99" spans="1:9" hidden="1" x14ac:dyDescent="0.25">
      <c r="A99" t="s">
        <v>8</v>
      </c>
      <c r="B99" t="s">
        <v>93</v>
      </c>
      <c r="C99">
        <v>201704</v>
      </c>
      <c r="D99" t="str">
        <f t="shared" si="1"/>
        <v>2017</v>
      </c>
      <c r="E99">
        <v>13</v>
      </c>
      <c r="F99">
        <v>12488985</v>
      </c>
      <c r="G99">
        <v>0</v>
      </c>
      <c r="H99" t="s">
        <v>10</v>
      </c>
      <c r="I99" t="s">
        <v>11</v>
      </c>
    </row>
    <row r="100" spans="1:9" hidden="1" x14ac:dyDescent="0.25">
      <c r="A100" t="s">
        <v>8</v>
      </c>
      <c r="B100" t="s">
        <v>93</v>
      </c>
      <c r="C100">
        <v>201705</v>
      </c>
      <c r="D100" t="str">
        <f t="shared" si="1"/>
        <v>2017</v>
      </c>
      <c r="E100">
        <v>4</v>
      </c>
      <c r="F100">
        <v>12488985</v>
      </c>
      <c r="G100">
        <v>0</v>
      </c>
      <c r="H100" t="s">
        <v>10</v>
      </c>
      <c r="I100" t="s">
        <v>11</v>
      </c>
    </row>
    <row r="101" spans="1:9" hidden="1" x14ac:dyDescent="0.25">
      <c r="A101" t="s">
        <v>8</v>
      </c>
      <c r="B101" t="s">
        <v>93</v>
      </c>
      <c r="C101">
        <v>201706</v>
      </c>
      <c r="D101" t="str">
        <f t="shared" si="1"/>
        <v>2017</v>
      </c>
      <c r="E101">
        <v>10</v>
      </c>
      <c r="F101">
        <v>12488985</v>
      </c>
      <c r="G101">
        <v>0</v>
      </c>
      <c r="H101" t="s">
        <v>10</v>
      </c>
      <c r="I101" t="s">
        <v>11</v>
      </c>
    </row>
    <row r="102" spans="1:9" hidden="1" x14ac:dyDescent="0.25">
      <c r="A102" t="s">
        <v>8</v>
      </c>
      <c r="B102" t="s">
        <v>93</v>
      </c>
      <c r="C102">
        <v>201707</v>
      </c>
      <c r="D102" t="str">
        <f t="shared" si="1"/>
        <v>2017</v>
      </c>
      <c r="E102">
        <v>39</v>
      </c>
      <c r="F102">
        <v>12488985</v>
      </c>
      <c r="G102">
        <v>0</v>
      </c>
      <c r="H102" t="s">
        <v>10</v>
      </c>
      <c r="I102" t="s">
        <v>11</v>
      </c>
    </row>
    <row r="103" spans="1:9" hidden="1" x14ac:dyDescent="0.25">
      <c r="A103" t="s">
        <v>8</v>
      </c>
      <c r="B103" t="s">
        <v>93</v>
      </c>
      <c r="C103">
        <v>201708</v>
      </c>
      <c r="D103" t="str">
        <f t="shared" si="1"/>
        <v>2017</v>
      </c>
      <c r="E103">
        <v>52</v>
      </c>
      <c r="F103">
        <v>12488985</v>
      </c>
      <c r="G103">
        <v>0</v>
      </c>
      <c r="H103" t="s">
        <v>10</v>
      </c>
      <c r="I103" t="s">
        <v>11</v>
      </c>
    </row>
    <row r="104" spans="1:9" hidden="1" x14ac:dyDescent="0.25">
      <c r="A104" t="s">
        <v>8</v>
      </c>
      <c r="B104" t="s">
        <v>93</v>
      </c>
      <c r="C104">
        <v>201709</v>
      </c>
      <c r="D104" t="str">
        <f t="shared" si="1"/>
        <v>2017</v>
      </c>
      <c r="E104">
        <v>44</v>
      </c>
      <c r="F104">
        <v>12488985</v>
      </c>
      <c r="G104">
        <v>0</v>
      </c>
      <c r="H104" t="s">
        <v>10</v>
      </c>
      <c r="I104" t="s">
        <v>11</v>
      </c>
    </row>
    <row r="105" spans="1:9" hidden="1" x14ac:dyDescent="0.25">
      <c r="A105" t="s">
        <v>8</v>
      </c>
      <c r="B105" t="s">
        <v>93</v>
      </c>
      <c r="C105">
        <v>201710</v>
      </c>
      <c r="D105" t="str">
        <f t="shared" si="1"/>
        <v>2017</v>
      </c>
      <c r="E105">
        <v>47</v>
      </c>
      <c r="F105">
        <v>12488985</v>
      </c>
      <c r="G105">
        <v>0</v>
      </c>
      <c r="H105" t="s">
        <v>10</v>
      </c>
      <c r="I105" t="s">
        <v>11</v>
      </c>
    </row>
    <row r="106" spans="1:9" hidden="1" x14ac:dyDescent="0.25">
      <c r="A106" t="s">
        <v>8</v>
      </c>
      <c r="B106" t="s">
        <v>93</v>
      </c>
      <c r="C106">
        <v>201711</v>
      </c>
      <c r="D106" t="str">
        <f t="shared" si="1"/>
        <v>2017</v>
      </c>
      <c r="E106">
        <v>50</v>
      </c>
      <c r="F106">
        <v>12488985</v>
      </c>
      <c r="G106">
        <v>0</v>
      </c>
      <c r="H106" t="s">
        <v>10</v>
      </c>
      <c r="I106" t="s">
        <v>11</v>
      </c>
    </row>
    <row r="107" spans="1:9" hidden="1" x14ac:dyDescent="0.25">
      <c r="A107" t="s">
        <v>8</v>
      </c>
      <c r="B107" t="s">
        <v>93</v>
      </c>
      <c r="C107">
        <v>201712</v>
      </c>
      <c r="D107" t="str">
        <f t="shared" si="1"/>
        <v>2017</v>
      </c>
      <c r="E107">
        <v>33</v>
      </c>
      <c r="F107">
        <v>12488985</v>
      </c>
      <c r="G107">
        <v>0</v>
      </c>
      <c r="H107" t="s">
        <v>10</v>
      </c>
      <c r="I107" t="s">
        <v>11</v>
      </c>
    </row>
    <row r="108" spans="1:9" hidden="1" x14ac:dyDescent="0.25">
      <c r="A108" t="s">
        <v>8</v>
      </c>
      <c r="B108" t="s">
        <v>93</v>
      </c>
      <c r="C108">
        <v>201801</v>
      </c>
      <c r="D108" t="str">
        <f t="shared" si="1"/>
        <v>2018</v>
      </c>
      <c r="E108">
        <v>540</v>
      </c>
      <c r="F108">
        <v>12488985</v>
      </c>
      <c r="G108">
        <v>0</v>
      </c>
      <c r="H108" t="s">
        <v>10</v>
      </c>
      <c r="I108" t="s">
        <v>11</v>
      </c>
    </row>
    <row r="109" spans="1:9" hidden="1" x14ac:dyDescent="0.25">
      <c r="A109" t="s">
        <v>8</v>
      </c>
      <c r="B109" t="s">
        <v>93</v>
      </c>
      <c r="C109">
        <v>201802</v>
      </c>
      <c r="D109" t="str">
        <f t="shared" si="1"/>
        <v>2018</v>
      </c>
      <c r="E109">
        <v>353</v>
      </c>
      <c r="F109">
        <v>12488985</v>
      </c>
      <c r="G109">
        <v>0</v>
      </c>
      <c r="H109" t="s">
        <v>10</v>
      </c>
      <c r="I109" t="s">
        <v>11</v>
      </c>
    </row>
    <row r="110" spans="1:9" hidden="1" x14ac:dyDescent="0.25">
      <c r="A110" t="s">
        <v>8</v>
      </c>
      <c r="B110" t="s">
        <v>93</v>
      </c>
      <c r="C110">
        <v>201803</v>
      </c>
      <c r="D110" t="str">
        <f t="shared" si="1"/>
        <v>2018</v>
      </c>
      <c r="E110">
        <v>469</v>
      </c>
      <c r="F110">
        <v>12488985</v>
      </c>
      <c r="G110">
        <v>0</v>
      </c>
      <c r="H110" t="s">
        <v>10</v>
      </c>
      <c r="I110" t="s">
        <v>11</v>
      </c>
    </row>
    <row r="111" spans="1:9" hidden="1" x14ac:dyDescent="0.25">
      <c r="A111" t="s">
        <v>8</v>
      </c>
      <c r="B111" t="s">
        <v>93</v>
      </c>
      <c r="C111">
        <v>201804</v>
      </c>
      <c r="D111" t="str">
        <f t="shared" si="1"/>
        <v>2018</v>
      </c>
      <c r="E111">
        <v>492</v>
      </c>
      <c r="F111">
        <v>12488985</v>
      </c>
      <c r="G111">
        <v>0</v>
      </c>
      <c r="H111" t="s">
        <v>10</v>
      </c>
      <c r="I111" t="s">
        <v>11</v>
      </c>
    </row>
    <row r="112" spans="1:9" hidden="1" x14ac:dyDescent="0.25">
      <c r="A112" t="s">
        <v>8</v>
      </c>
      <c r="B112" t="s">
        <v>93</v>
      </c>
      <c r="C112">
        <v>201805</v>
      </c>
      <c r="D112" t="str">
        <f t="shared" si="1"/>
        <v>2018</v>
      </c>
      <c r="E112">
        <v>541</v>
      </c>
      <c r="F112">
        <v>12488985</v>
      </c>
      <c r="G112">
        <v>0</v>
      </c>
      <c r="H112" t="s">
        <v>10</v>
      </c>
      <c r="I112" t="s">
        <v>11</v>
      </c>
    </row>
    <row r="113" spans="1:9" hidden="1" x14ac:dyDescent="0.25">
      <c r="A113" t="s">
        <v>8</v>
      </c>
      <c r="B113" t="s">
        <v>93</v>
      </c>
      <c r="C113">
        <v>201806</v>
      </c>
      <c r="D113" t="str">
        <f t="shared" si="1"/>
        <v>2018</v>
      </c>
      <c r="E113">
        <v>534</v>
      </c>
      <c r="F113">
        <v>12488985</v>
      </c>
      <c r="G113">
        <v>0</v>
      </c>
      <c r="H113" t="s">
        <v>10</v>
      </c>
      <c r="I113" t="s">
        <v>11</v>
      </c>
    </row>
    <row r="114" spans="1:9" hidden="1" x14ac:dyDescent="0.25">
      <c r="A114" t="s">
        <v>8</v>
      </c>
      <c r="B114" t="s">
        <v>93</v>
      </c>
      <c r="C114">
        <v>201807</v>
      </c>
      <c r="D114" t="str">
        <f t="shared" si="1"/>
        <v>2018</v>
      </c>
      <c r="E114">
        <v>500</v>
      </c>
      <c r="F114">
        <v>12488985</v>
      </c>
      <c r="G114">
        <v>0</v>
      </c>
      <c r="H114" t="s">
        <v>10</v>
      </c>
      <c r="I114" t="s">
        <v>11</v>
      </c>
    </row>
    <row r="115" spans="1:9" hidden="1" x14ac:dyDescent="0.25">
      <c r="A115" t="s">
        <v>8</v>
      </c>
      <c r="B115" t="s">
        <v>93</v>
      </c>
      <c r="C115">
        <v>201808</v>
      </c>
      <c r="D115" t="str">
        <f t="shared" si="1"/>
        <v>2018</v>
      </c>
      <c r="E115">
        <v>829</v>
      </c>
      <c r="F115">
        <v>12488985</v>
      </c>
      <c r="G115">
        <v>0.01</v>
      </c>
      <c r="H115" t="s">
        <v>10</v>
      </c>
      <c r="I115" t="s">
        <v>11</v>
      </c>
    </row>
    <row r="116" spans="1:9" hidden="1" x14ac:dyDescent="0.25">
      <c r="A116" t="s">
        <v>8</v>
      </c>
      <c r="B116" t="s">
        <v>93</v>
      </c>
      <c r="C116">
        <v>201809</v>
      </c>
      <c r="D116" t="str">
        <f t="shared" si="1"/>
        <v>2018</v>
      </c>
      <c r="E116">
        <v>488</v>
      </c>
      <c r="F116">
        <v>12488985</v>
      </c>
      <c r="G116">
        <v>0</v>
      </c>
      <c r="H116" t="s">
        <v>10</v>
      </c>
      <c r="I116" t="s">
        <v>11</v>
      </c>
    </row>
    <row r="117" spans="1:9" hidden="1" x14ac:dyDescent="0.25">
      <c r="A117" t="s">
        <v>8</v>
      </c>
      <c r="B117" t="s">
        <v>93</v>
      </c>
      <c r="C117">
        <v>201810</v>
      </c>
      <c r="D117" t="str">
        <f t="shared" si="1"/>
        <v>2018</v>
      </c>
      <c r="E117">
        <v>885</v>
      </c>
      <c r="F117">
        <v>12488985</v>
      </c>
      <c r="G117">
        <v>0.01</v>
      </c>
      <c r="H117" t="s">
        <v>10</v>
      </c>
      <c r="I117" t="s">
        <v>11</v>
      </c>
    </row>
    <row r="118" spans="1:9" hidden="1" x14ac:dyDescent="0.25">
      <c r="A118" t="s">
        <v>8</v>
      </c>
      <c r="B118" t="s">
        <v>93</v>
      </c>
      <c r="C118">
        <v>201811</v>
      </c>
      <c r="D118" t="str">
        <f t="shared" si="1"/>
        <v>2018</v>
      </c>
      <c r="E118">
        <v>680</v>
      </c>
      <c r="F118">
        <v>12488985</v>
      </c>
      <c r="G118">
        <v>0.01</v>
      </c>
      <c r="H118" t="s">
        <v>10</v>
      </c>
      <c r="I118" t="s">
        <v>11</v>
      </c>
    </row>
    <row r="119" spans="1:9" hidden="1" x14ac:dyDescent="0.25">
      <c r="A119" t="s">
        <v>8</v>
      </c>
      <c r="B119" t="s">
        <v>93</v>
      </c>
      <c r="C119">
        <v>201812</v>
      </c>
      <c r="D119" t="str">
        <f t="shared" si="1"/>
        <v>2018</v>
      </c>
      <c r="E119">
        <v>814</v>
      </c>
      <c r="F119">
        <v>12488985</v>
      </c>
      <c r="G119">
        <v>0.01</v>
      </c>
      <c r="H119" t="s">
        <v>10</v>
      </c>
      <c r="I119" t="s">
        <v>11</v>
      </c>
    </row>
    <row r="120" spans="1:9" hidden="1" x14ac:dyDescent="0.25">
      <c r="A120" t="s">
        <v>8</v>
      </c>
      <c r="B120" t="s">
        <v>93</v>
      </c>
      <c r="C120">
        <v>201901</v>
      </c>
      <c r="D120" t="str">
        <f t="shared" si="1"/>
        <v>2019</v>
      </c>
      <c r="E120">
        <v>25145</v>
      </c>
      <c r="F120">
        <v>12488985</v>
      </c>
      <c r="G120">
        <v>0.2</v>
      </c>
      <c r="H120" t="s">
        <v>10</v>
      </c>
      <c r="I120" t="s">
        <v>11</v>
      </c>
    </row>
    <row r="121" spans="1:9" hidden="1" x14ac:dyDescent="0.25">
      <c r="A121" t="s">
        <v>8</v>
      </c>
      <c r="B121" t="s">
        <v>93</v>
      </c>
      <c r="C121">
        <v>201902</v>
      </c>
      <c r="D121" t="str">
        <f t="shared" si="1"/>
        <v>2019</v>
      </c>
      <c r="E121">
        <v>22937</v>
      </c>
      <c r="F121">
        <v>12488985</v>
      </c>
      <c r="G121">
        <v>0.18</v>
      </c>
      <c r="H121" t="s">
        <v>10</v>
      </c>
      <c r="I121" t="s">
        <v>11</v>
      </c>
    </row>
    <row r="122" spans="1:9" hidden="1" x14ac:dyDescent="0.25">
      <c r="A122" t="s">
        <v>8</v>
      </c>
      <c r="B122" t="s">
        <v>93</v>
      </c>
      <c r="C122">
        <v>201903</v>
      </c>
      <c r="D122" t="str">
        <f t="shared" si="1"/>
        <v>2019</v>
      </c>
      <c r="E122">
        <v>25786</v>
      </c>
      <c r="F122">
        <v>12488985</v>
      </c>
      <c r="G122">
        <v>0.21</v>
      </c>
      <c r="H122" t="s">
        <v>10</v>
      </c>
      <c r="I122" t="s">
        <v>11</v>
      </c>
    </row>
    <row r="123" spans="1:9" hidden="1" x14ac:dyDescent="0.25">
      <c r="A123" t="s">
        <v>8</v>
      </c>
      <c r="B123" t="s">
        <v>93</v>
      </c>
      <c r="C123">
        <v>201904</v>
      </c>
      <c r="D123" t="str">
        <f t="shared" si="1"/>
        <v>2019</v>
      </c>
      <c r="E123">
        <v>27781</v>
      </c>
      <c r="F123">
        <v>12488985</v>
      </c>
      <c r="G123">
        <v>0.22</v>
      </c>
      <c r="H123" t="s">
        <v>10</v>
      </c>
      <c r="I123" t="s">
        <v>11</v>
      </c>
    </row>
    <row r="124" spans="1:9" hidden="1" x14ac:dyDescent="0.25">
      <c r="A124" t="s">
        <v>8</v>
      </c>
      <c r="B124" t="s">
        <v>93</v>
      </c>
      <c r="C124">
        <v>201905</v>
      </c>
      <c r="D124" t="str">
        <f t="shared" si="1"/>
        <v>2019</v>
      </c>
      <c r="E124">
        <v>26571</v>
      </c>
      <c r="F124">
        <v>12488985</v>
      </c>
      <c r="G124">
        <v>0.21</v>
      </c>
      <c r="H124" t="s">
        <v>10</v>
      </c>
      <c r="I124" t="s">
        <v>11</v>
      </c>
    </row>
    <row r="125" spans="1:9" hidden="1" x14ac:dyDescent="0.25">
      <c r="A125" t="s">
        <v>8</v>
      </c>
      <c r="B125" t="s">
        <v>93</v>
      </c>
      <c r="C125">
        <v>201906</v>
      </c>
      <c r="D125" t="str">
        <f t="shared" si="1"/>
        <v>2019</v>
      </c>
      <c r="E125">
        <v>26034</v>
      </c>
      <c r="F125">
        <v>12488985</v>
      </c>
      <c r="G125">
        <v>0.21</v>
      </c>
      <c r="H125" t="s">
        <v>10</v>
      </c>
      <c r="I125" t="s">
        <v>11</v>
      </c>
    </row>
    <row r="126" spans="1:9" hidden="1" x14ac:dyDescent="0.25">
      <c r="A126" t="s">
        <v>8</v>
      </c>
      <c r="B126" t="s">
        <v>93</v>
      </c>
      <c r="C126">
        <v>201907</v>
      </c>
      <c r="D126" t="str">
        <f t="shared" si="1"/>
        <v>2019</v>
      </c>
      <c r="E126">
        <v>27545</v>
      </c>
      <c r="F126">
        <v>12488985</v>
      </c>
      <c r="G126">
        <v>0.22</v>
      </c>
      <c r="H126" t="s">
        <v>10</v>
      </c>
      <c r="I126" t="s">
        <v>11</v>
      </c>
    </row>
    <row r="127" spans="1:9" hidden="1" x14ac:dyDescent="0.25">
      <c r="A127" t="s">
        <v>8</v>
      </c>
      <c r="B127" t="s">
        <v>93</v>
      </c>
      <c r="C127">
        <v>201908</v>
      </c>
      <c r="D127" t="str">
        <f t="shared" si="1"/>
        <v>2019</v>
      </c>
      <c r="E127">
        <v>27814</v>
      </c>
      <c r="F127">
        <v>12488985</v>
      </c>
      <c r="G127">
        <v>0.22</v>
      </c>
      <c r="H127" t="s">
        <v>10</v>
      </c>
      <c r="I127" t="s">
        <v>11</v>
      </c>
    </row>
    <row r="128" spans="1:9" hidden="1" x14ac:dyDescent="0.25">
      <c r="A128" t="s">
        <v>8</v>
      </c>
      <c r="B128" t="s">
        <v>93</v>
      </c>
      <c r="C128">
        <v>201909</v>
      </c>
      <c r="D128" t="str">
        <f t="shared" si="1"/>
        <v>2019</v>
      </c>
      <c r="E128">
        <v>26309</v>
      </c>
      <c r="F128">
        <v>12488985</v>
      </c>
      <c r="G128">
        <v>0.21</v>
      </c>
      <c r="H128" t="s">
        <v>10</v>
      </c>
      <c r="I128" t="s">
        <v>11</v>
      </c>
    </row>
    <row r="129" spans="1:9" hidden="1" x14ac:dyDescent="0.25">
      <c r="A129" t="s">
        <v>8</v>
      </c>
      <c r="B129" t="s">
        <v>93</v>
      </c>
      <c r="C129">
        <v>201910</v>
      </c>
      <c r="D129" t="str">
        <f t="shared" si="1"/>
        <v>2019</v>
      </c>
      <c r="E129">
        <v>31808</v>
      </c>
      <c r="F129">
        <v>12488985</v>
      </c>
      <c r="G129">
        <v>0.25</v>
      </c>
      <c r="H129" t="s">
        <v>10</v>
      </c>
      <c r="I129" t="s">
        <v>11</v>
      </c>
    </row>
    <row r="130" spans="1:9" hidden="1" x14ac:dyDescent="0.25">
      <c r="A130" t="s">
        <v>8</v>
      </c>
      <c r="B130" t="s">
        <v>93</v>
      </c>
      <c r="C130">
        <v>201911</v>
      </c>
      <c r="D130" t="str">
        <f t="shared" si="1"/>
        <v>2019</v>
      </c>
      <c r="E130">
        <v>25616</v>
      </c>
      <c r="F130">
        <v>12488985</v>
      </c>
      <c r="G130">
        <v>0.21</v>
      </c>
      <c r="H130" t="s">
        <v>10</v>
      </c>
      <c r="I130" t="s">
        <v>11</v>
      </c>
    </row>
    <row r="131" spans="1:9" hidden="1" x14ac:dyDescent="0.25">
      <c r="A131" t="s">
        <v>8</v>
      </c>
      <c r="B131" t="s">
        <v>93</v>
      </c>
      <c r="C131">
        <v>201912</v>
      </c>
      <c r="D131" t="str">
        <f t="shared" ref="D131:D194" si="2">LEFT(C131,4)</f>
        <v>2019</v>
      </c>
      <c r="E131">
        <v>25502</v>
      </c>
      <c r="F131">
        <v>12488985</v>
      </c>
      <c r="G131">
        <v>0.2</v>
      </c>
      <c r="H131" t="s">
        <v>10</v>
      </c>
      <c r="I131" t="s">
        <v>11</v>
      </c>
    </row>
    <row r="132" spans="1:9" hidden="1" x14ac:dyDescent="0.25">
      <c r="A132" t="s">
        <v>8</v>
      </c>
      <c r="B132" t="s">
        <v>93</v>
      </c>
      <c r="C132">
        <v>202001</v>
      </c>
      <c r="D132" t="str">
        <f t="shared" si="2"/>
        <v>2020</v>
      </c>
      <c r="E132">
        <v>96061</v>
      </c>
      <c r="F132">
        <v>12488985</v>
      </c>
      <c r="G132">
        <v>0.77</v>
      </c>
      <c r="H132" t="s">
        <v>10</v>
      </c>
      <c r="I132" t="s">
        <v>11</v>
      </c>
    </row>
    <row r="133" spans="1:9" hidden="1" x14ac:dyDescent="0.25">
      <c r="A133" t="s">
        <v>8</v>
      </c>
      <c r="B133" t="s">
        <v>93</v>
      </c>
      <c r="C133">
        <v>202002</v>
      </c>
      <c r="D133" t="str">
        <f t="shared" si="2"/>
        <v>2020</v>
      </c>
      <c r="E133">
        <v>89822</v>
      </c>
      <c r="F133">
        <v>12488985</v>
      </c>
      <c r="G133">
        <v>0.72</v>
      </c>
      <c r="H133" t="s">
        <v>10</v>
      </c>
      <c r="I133" t="s">
        <v>11</v>
      </c>
    </row>
    <row r="134" spans="1:9" hidden="1" x14ac:dyDescent="0.25">
      <c r="A134" t="s">
        <v>8</v>
      </c>
      <c r="B134" t="s">
        <v>93</v>
      </c>
      <c r="C134">
        <v>202003</v>
      </c>
      <c r="D134" t="str">
        <f t="shared" si="2"/>
        <v>2020</v>
      </c>
      <c r="E134">
        <v>78153</v>
      </c>
      <c r="F134">
        <v>12488985</v>
      </c>
      <c r="G134">
        <v>0.63</v>
      </c>
      <c r="H134" t="s">
        <v>10</v>
      </c>
      <c r="I134" t="s">
        <v>11</v>
      </c>
    </row>
    <row r="135" spans="1:9" hidden="1" x14ac:dyDescent="0.25">
      <c r="A135" t="s">
        <v>8</v>
      </c>
      <c r="B135" t="s">
        <v>93</v>
      </c>
      <c r="C135">
        <v>202004</v>
      </c>
      <c r="D135" t="str">
        <f t="shared" si="2"/>
        <v>2020</v>
      </c>
      <c r="E135">
        <v>44261</v>
      </c>
      <c r="F135">
        <v>12488985</v>
      </c>
      <c r="G135">
        <v>0.35</v>
      </c>
      <c r="H135" t="s">
        <v>10</v>
      </c>
      <c r="I135" t="s">
        <v>11</v>
      </c>
    </row>
    <row r="136" spans="1:9" hidden="1" x14ac:dyDescent="0.25">
      <c r="A136" t="s">
        <v>8</v>
      </c>
      <c r="B136" t="s">
        <v>93</v>
      </c>
      <c r="C136">
        <v>202005</v>
      </c>
      <c r="D136" t="str">
        <f t="shared" si="2"/>
        <v>2020</v>
      </c>
      <c r="E136">
        <v>76438</v>
      </c>
      <c r="F136">
        <v>12488985</v>
      </c>
      <c r="G136">
        <v>0.61</v>
      </c>
      <c r="H136" t="s">
        <v>10</v>
      </c>
      <c r="I136" t="s">
        <v>11</v>
      </c>
    </row>
    <row r="137" spans="1:9" hidden="1" x14ac:dyDescent="0.25">
      <c r="A137" t="s">
        <v>8</v>
      </c>
      <c r="B137" t="s">
        <v>93</v>
      </c>
      <c r="C137">
        <v>202006</v>
      </c>
      <c r="D137" t="str">
        <f t="shared" si="2"/>
        <v>2020</v>
      </c>
      <c r="E137">
        <v>100074</v>
      </c>
      <c r="F137">
        <v>12488985</v>
      </c>
      <c r="G137">
        <v>0.8</v>
      </c>
      <c r="H137" t="s">
        <v>10</v>
      </c>
      <c r="I137" t="s">
        <v>11</v>
      </c>
    </row>
    <row r="138" spans="1:9" hidden="1" x14ac:dyDescent="0.25">
      <c r="A138" t="s">
        <v>8</v>
      </c>
      <c r="B138" t="s">
        <v>93</v>
      </c>
      <c r="C138">
        <v>202007</v>
      </c>
      <c r="D138" t="str">
        <f t="shared" si="2"/>
        <v>2020</v>
      </c>
      <c r="E138">
        <v>87411</v>
      </c>
      <c r="F138">
        <v>12488985</v>
      </c>
      <c r="G138">
        <v>0.7</v>
      </c>
      <c r="H138" t="s">
        <v>10</v>
      </c>
      <c r="I138" t="s">
        <v>11</v>
      </c>
    </row>
    <row r="139" spans="1:9" hidden="1" x14ac:dyDescent="0.25">
      <c r="A139" t="s">
        <v>8</v>
      </c>
      <c r="B139" t="s">
        <v>93</v>
      </c>
      <c r="C139">
        <v>202008</v>
      </c>
      <c r="D139" t="str">
        <f t="shared" si="2"/>
        <v>2020</v>
      </c>
      <c r="E139">
        <v>88856</v>
      </c>
      <c r="F139">
        <v>12488985</v>
      </c>
      <c r="G139">
        <v>0.71</v>
      </c>
      <c r="H139" t="s">
        <v>10</v>
      </c>
      <c r="I139" t="s">
        <v>11</v>
      </c>
    </row>
    <row r="140" spans="1:9" hidden="1" x14ac:dyDescent="0.25">
      <c r="A140" t="s">
        <v>8</v>
      </c>
      <c r="B140" t="s">
        <v>93</v>
      </c>
      <c r="C140">
        <v>202009</v>
      </c>
      <c r="D140" t="str">
        <f t="shared" si="2"/>
        <v>2020</v>
      </c>
      <c r="E140">
        <v>103213</v>
      </c>
      <c r="F140">
        <v>12488985</v>
      </c>
      <c r="G140">
        <v>0.83</v>
      </c>
      <c r="H140" t="s">
        <v>10</v>
      </c>
      <c r="I140" t="s">
        <v>11</v>
      </c>
    </row>
    <row r="141" spans="1:9" hidden="1" x14ac:dyDescent="0.25">
      <c r="A141" t="s">
        <v>8</v>
      </c>
      <c r="B141" t="s">
        <v>93</v>
      </c>
      <c r="C141">
        <v>202010</v>
      </c>
      <c r="D141" t="str">
        <f t="shared" si="2"/>
        <v>2020</v>
      </c>
      <c r="E141">
        <v>135351</v>
      </c>
      <c r="F141">
        <v>12488985</v>
      </c>
      <c r="G141">
        <v>1.08</v>
      </c>
      <c r="H141" t="s">
        <v>10</v>
      </c>
      <c r="I141" t="s">
        <v>11</v>
      </c>
    </row>
    <row r="142" spans="1:9" hidden="1" x14ac:dyDescent="0.25">
      <c r="A142" t="s">
        <v>8</v>
      </c>
      <c r="B142" t="s">
        <v>93</v>
      </c>
      <c r="C142">
        <v>202011</v>
      </c>
      <c r="D142" t="str">
        <f t="shared" si="2"/>
        <v>2020</v>
      </c>
      <c r="E142">
        <v>95147</v>
      </c>
      <c r="F142">
        <v>12488985</v>
      </c>
      <c r="G142">
        <v>0.76</v>
      </c>
      <c r="H142" t="s">
        <v>10</v>
      </c>
      <c r="I142" t="s">
        <v>11</v>
      </c>
    </row>
    <row r="143" spans="1:9" hidden="1" x14ac:dyDescent="0.25">
      <c r="A143" t="s">
        <v>8</v>
      </c>
      <c r="B143" t="s">
        <v>93</v>
      </c>
      <c r="C143">
        <v>202012</v>
      </c>
      <c r="D143" t="str">
        <f t="shared" si="2"/>
        <v>2020</v>
      </c>
      <c r="E143">
        <v>102051</v>
      </c>
      <c r="F143">
        <v>12488985</v>
      </c>
      <c r="G143">
        <v>0.82</v>
      </c>
      <c r="H143" t="s">
        <v>10</v>
      </c>
      <c r="I143" t="s">
        <v>11</v>
      </c>
    </row>
    <row r="144" spans="1:9" hidden="1" x14ac:dyDescent="0.25">
      <c r="A144" t="s">
        <v>8</v>
      </c>
      <c r="B144" t="s">
        <v>93</v>
      </c>
      <c r="C144">
        <v>202101</v>
      </c>
      <c r="D144" t="str">
        <f t="shared" si="2"/>
        <v>2021</v>
      </c>
      <c r="E144">
        <v>154964</v>
      </c>
      <c r="F144">
        <v>12488985</v>
      </c>
      <c r="G144">
        <v>1.24</v>
      </c>
      <c r="H144" t="s">
        <v>10</v>
      </c>
      <c r="I144" t="s">
        <v>11</v>
      </c>
    </row>
    <row r="145" spans="1:9" hidden="1" x14ac:dyDescent="0.25">
      <c r="A145" t="s">
        <v>8</v>
      </c>
      <c r="B145" t="s">
        <v>93</v>
      </c>
      <c r="C145">
        <v>202102</v>
      </c>
      <c r="D145" t="str">
        <f t="shared" si="2"/>
        <v>2021</v>
      </c>
      <c r="E145">
        <v>132477</v>
      </c>
      <c r="F145">
        <v>12488985</v>
      </c>
      <c r="G145">
        <v>1.06</v>
      </c>
      <c r="H145" t="s">
        <v>10</v>
      </c>
      <c r="I145" t="s">
        <v>11</v>
      </c>
    </row>
    <row r="146" spans="1:9" hidden="1" x14ac:dyDescent="0.25">
      <c r="A146" t="s">
        <v>8</v>
      </c>
      <c r="B146" t="s">
        <v>93</v>
      </c>
      <c r="C146">
        <v>202103</v>
      </c>
      <c r="D146" t="str">
        <f t="shared" si="2"/>
        <v>2021</v>
      </c>
      <c r="E146">
        <v>179822</v>
      </c>
      <c r="F146">
        <v>12488985</v>
      </c>
      <c r="G146">
        <v>1.44</v>
      </c>
      <c r="H146" t="s">
        <v>10</v>
      </c>
      <c r="I146" t="s">
        <v>11</v>
      </c>
    </row>
    <row r="147" spans="1:9" hidden="1" x14ac:dyDescent="0.25">
      <c r="A147" t="s">
        <v>8</v>
      </c>
      <c r="B147" t="s">
        <v>93</v>
      </c>
      <c r="C147">
        <v>202104</v>
      </c>
      <c r="D147" t="str">
        <f t="shared" si="2"/>
        <v>2021</v>
      </c>
      <c r="E147">
        <v>307464</v>
      </c>
      <c r="F147">
        <v>12488985</v>
      </c>
      <c r="G147">
        <v>2.46</v>
      </c>
      <c r="H147" t="s">
        <v>10</v>
      </c>
      <c r="I147" t="s">
        <v>11</v>
      </c>
    </row>
    <row r="148" spans="1:9" hidden="1" x14ac:dyDescent="0.25">
      <c r="A148" t="s">
        <v>8</v>
      </c>
      <c r="B148" t="s">
        <v>93</v>
      </c>
      <c r="C148">
        <v>202105</v>
      </c>
      <c r="D148" t="str">
        <f t="shared" si="2"/>
        <v>2021</v>
      </c>
      <c r="E148">
        <v>330612</v>
      </c>
      <c r="F148">
        <v>12488985</v>
      </c>
      <c r="G148">
        <v>2.65</v>
      </c>
      <c r="H148" t="s">
        <v>10</v>
      </c>
      <c r="I148" t="s">
        <v>11</v>
      </c>
    </row>
    <row r="149" spans="1:9" hidden="1" x14ac:dyDescent="0.25">
      <c r="A149" t="s">
        <v>8</v>
      </c>
      <c r="B149" t="s">
        <v>93</v>
      </c>
      <c r="C149">
        <v>202106</v>
      </c>
      <c r="D149" t="str">
        <f t="shared" si="2"/>
        <v>2021</v>
      </c>
      <c r="E149">
        <v>368512</v>
      </c>
      <c r="F149">
        <v>12488985</v>
      </c>
      <c r="G149">
        <v>2.95</v>
      </c>
      <c r="H149" t="s">
        <v>10</v>
      </c>
      <c r="I149" t="s">
        <v>11</v>
      </c>
    </row>
    <row r="150" spans="1:9" hidden="1" x14ac:dyDescent="0.25">
      <c r="A150" t="s">
        <v>8</v>
      </c>
      <c r="B150" t="s">
        <v>93</v>
      </c>
      <c r="C150">
        <v>202107</v>
      </c>
      <c r="D150" t="str">
        <f t="shared" si="2"/>
        <v>2021</v>
      </c>
      <c r="E150">
        <v>386156</v>
      </c>
      <c r="F150">
        <v>12488985</v>
      </c>
      <c r="G150">
        <v>3.09</v>
      </c>
      <c r="H150" t="s">
        <v>10</v>
      </c>
      <c r="I150" t="s">
        <v>11</v>
      </c>
    </row>
    <row r="151" spans="1:9" hidden="1" x14ac:dyDescent="0.25">
      <c r="A151" t="s">
        <v>8</v>
      </c>
      <c r="B151" t="s">
        <v>93</v>
      </c>
      <c r="C151">
        <v>202108</v>
      </c>
      <c r="D151" t="str">
        <f t="shared" si="2"/>
        <v>2021</v>
      </c>
      <c r="E151">
        <v>385632</v>
      </c>
      <c r="F151">
        <v>12488985</v>
      </c>
      <c r="G151">
        <v>3.09</v>
      </c>
      <c r="H151" t="s">
        <v>10</v>
      </c>
      <c r="I151" t="s">
        <v>11</v>
      </c>
    </row>
    <row r="152" spans="1:9" hidden="1" x14ac:dyDescent="0.25">
      <c r="A152" t="s">
        <v>8</v>
      </c>
      <c r="B152" t="s">
        <v>93</v>
      </c>
      <c r="C152">
        <v>202109</v>
      </c>
      <c r="D152" t="str">
        <f t="shared" si="2"/>
        <v>2021</v>
      </c>
      <c r="E152">
        <v>384098</v>
      </c>
      <c r="F152">
        <v>12488985</v>
      </c>
      <c r="G152">
        <v>3.08</v>
      </c>
      <c r="H152" t="s">
        <v>10</v>
      </c>
      <c r="I152" t="s">
        <v>11</v>
      </c>
    </row>
    <row r="153" spans="1:9" hidden="1" x14ac:dyDescent="0.25">
      <c r="A153" t="s">
        <v>8</v>
      </c>
      <c r="B153" t="s">
        <v>93</v>
      </c>
      <c r="C153">
        <v>202110</v>
      </c>
      <c r="D153" t="str">
        <f t="shared" si="2"/>
        <v>2021</v>
      </c>
      <c r="E153">
        <v>369545</v>
      </c>
      <c r="F153">
        <v>12488985</v>
      </c>
      <c r="G153">
        <v>2.96</v>
      </c>
      <c r="H153" t="s">
        <v>10</v>
      </c>
      <c r="I153" t="s">
        <v>11</v>
      </c>
    </row>
    <row r="154" spans="1:9" hidden="1" x14ac:dyDescent="0.25">
      <c r="A154" t="s">
        <v>8</v>
      </c>
      <c r="B154" t="s">
        <v>93</v>
      </c>
      <c r="C154">
        <v>202111</v>
      </c>
      <c r="D154" t="str">
        <f t="shared" si="2"/>
        <v>2021</v>
      </c>
      <c r="E154">
        <v>366340</v>
      </c>
      <c r="F154">
        <v>12488985</v>
      </c>
      <c r="G154">
        <v>2.93</v>
      </c>
      <c r="H154" t="s">
        <v>10</v>
      </c>
      <c r="I154" t="s">
        <v>11</v>
      </c>
    </row>
    <row r="155" spans="1:9" hidden="1" x14ac:dyDescent="0.25">
      <c r="A155" t="s">
        <v>8</v>
      </c>
      <c r="B155" t="s">
        <v>93</v>
      </c>
      <c r="C155">
        <v>202112</v>
      </c>
      <c r="D155" t="str">
        <f t="shared" si="2"/>
        <v>2021</v>
      </c>
      <c r="E155">
        <v>367683</v>
      </c>
      <c r="F155">
        <v>12488985</v>
      </c>
      <c r="G155">
        <v>2.94</v>
      </c>
      <c r="H155" t="s">
        <v>10</v>
      </c>
      <c r="I155" t="s">
        <v>11</v>
      </c>
    </row>
    <row r="156" spans="1:9" hidden="1" x14ac:dyDescent="0.25">
      <c r="A156" t="s">
        <v>8</v>
      </c>
      <c r="B156" t="s">
        <v>93</v>
      </c>
      <c r="C156">
        <v>202201</v>
      </c>
      <c r="D156" t="str">
        <f t="shared" si="2"/>
        <v>2022</v>
      </c>
      <c r="E156">
        <v>299189</v>
      </c>
      <c r="F156">
        <v>12488985</v>
      </c>
      <c r="G156">
        <v>2.4</v>
      </c>
      <c r="H156" t="s">
        <v>10</v>
      </c>
      <c r="I156" t="s">
        <v>11</v>
      </c>
    </row>
    <row r="157" spans="1:9" hidden="1" x14ac:dyDescent="0.25">
      <c r="A157" t="s">
        <v>8</v>
      </c>
      <c r="B157" t="s">
        <v>93</v>
      </c>
      <c r="C157">
        <v>202202</v>
      </c>
      <c r="D157" t="str">
        <f t="shared" si="2"/>
        <v>2022</v>
      </c>
      <c r="E157">
        <v>259457</v>
      </c>
      <c r="F157">
        <v>12488985</v>
      </c>
      <c r="G157">
        <v>2.08</v>
      </c>
      <c r="H157" t="s">
        <v>10</v>
      </c>
      <c r="I157" t="s">
        <v>11</v>
      </c>
    </row>
    <row r="158" spans="1:9" hidden="1" x14ac:dyDescent="0.25">
      <c r="A158" t="s">
        <v>8</v>
      </c>
      <c r="B158" t="s">
        <v>93</v>
      </c>
      <c r="C158">
        <v>202203</v>
      </c>
      <c r="D158" t="str">
        <f t="shared" si="2"/>
        <v>2022</v>
      </c>
      <c r="E158">
        <v>332070</v>
      </c>
      <c r="F158">
        <v>12488985</v>
      </c>
      <c r="G158">
        <v>2.66</v>
      </c>
      <c r="H158" t="s">
        <v>10</v>
      </c>
      <c r="I158" t="s">
        <v>11</v>
      </c>
    </row>
    <row r="159" spans="1:9" hidden="1" x14ac:dyDescent="0.25">
      <c r="A159" t="s">
        <v>8</v>
      </c>
      <c r="B159" t="s">
        <v>93</v>
      </c>
      <c r="C159">
        <v>202204</v>
      </c>
      <c r="D159" t="str">
        <f t="shared" si="2"/>
        <v>2022</v>
      </c>
      <c r="E159">
        <v>293532</v>
      </c>
      <c r="F159">
        <v>12488985</v>
      </c>
      <c r="G159">
        <v>2.35</v>
      </c>
      <c r="H159" t="s">
        <v>10</v>
      </c>
      <c r="I159" t="s">
        <v>11</v>
      </c>
    </row>
    <row r="160" spans="1:9" hidden="1" x14ac:dyDescent="0.25">
      <c r="A160" t="s">
        <v>8</v>
      </c>
      <c r="B160" t="s">
        <v>93</v>
      </c>
      <c r="C160">
        <v>202205</v>
      </c>
      <c r="D160" t="str">
        <f t="shared" si="2"/>
        <v>2022</v>
      </c>
      <c r="E160">
        <v>298712</v>
      </c>
      <c r="F160">
        <v>12488985</v>
      </c>
      <c r="G160">
        <v>2.39</v>
      </c>
      <c r="H160" t="s">
        <v>10</v>
      </c>
      <c r="I160" t="s">
        <v>11</v>
      </c>
    </row>
    <row r="161" spans="1:9" hidden="1" x14ac:dyDescent="0.25">
      <c r="A161" t="s">
        <v>8</v>
      </c>
      <c r="B161" t="s">
        <v>93</v>
      </c>
      <c r="C161">
        <v>202206</v>
      </c>
      <c r="D161" t="str">
        <f t="shared" si="2"/>
        <v>2022</v>
      </c>
      <c r="E161">
        <v>309844</v>
      </c>
      <c r="F161">
        <v>12488985</v>
      </c>
      <c r="G161">
        <v>2.48</v>
      </c>
      <c r="H161" t="s">
        <v>10</v>
      </c>
      <c r="I161" t="s">
        <v>11</v>
      </c>
    </row>
    <row r="162" spans="1:9" hidden="1" x14ac:dyDescent="0.25">
      <c r="A162" t="s">
        <v>8</v>
      </c>
      <c r="B162" t="s">
        <v>93</v>
      </c>
      <c r="C162">
        <v>202207</v>
      </c>
      <c r="D162" t="str">
        <f t="shared" si="2"/>
        <v>2022</v>
      </c>
      <c r="E162">
        <v>288134</v>
      </c>
      <c r="F162">
        <v>12488985</v>
      </c>
      <c r="G162">
        <v>2.31</v>
      </c>
      <c r="H162" t="s">
        <v>10</v>
      </c>
      <c r="I162" t="s">
        <v>11</v>
      </c>
    </row>
    <row r="163" spans="1:9" hidden="1" x14ac:dyDescent="0.25">
      <c r="A163" t="s">
        <v>8</v>
      </c>
      <c r="B163" t="s">
        <v>93</v>
      </c>
      <c r="C163">
        <v>202208</v>
      </c>
      <c r="D163" t="str">
        <f t="shared" si="2"/>
        <v>2022</v>
      </c>
      <c r="E163">
        <v>321782</v>
      </c>
      <c r="F163">
        <v>12488985</v>
      </c>
      <c r="G163">
        <v>2.58</v>
      </c>
      <c r="H163" t="s">
        <v>10</v>
      </c>
      <c r="I163" t="s">
        <v>11</v>
      </c>
    </row>
    <row r="164" spans="1:9" hidden="1" x14ac:dyDescent="0.25">
      <c r="A164" t="s">
        <v>8</v>
      </c>
      <c r="B164" t="s">
        <v>93</v>
      </c>
      <c r="C164">
        <v>202209</v>
      </c>
      <c r="D164" t="str">
        <f t="shared" si="2"/>
        <v>2022</v>
      </c>
      <c r="E164">
        <v>301945</v>
      </c>
      <c r="F164">
        <v>12488985</v>
      </c>
      <c r="G164">
        <v>2.42</v>
      </c>
      <c r="H164" t="s">
        <v>10</v>
      </c>
      <c r="I164" t="s">
        <v>11</v>
      </c>
    </row>
    <row r="165" spans="1:9" hidden="1" x14ac:dyDescent="0.25">
      <c r="A165" t="s">
        <v>8</v>
      </c>
      <c r="B165" t="s">
        <v>93</v>
      </c>
      <c r="C165">
        <v>202210</v>
      </c>
      <c r="D165" t="str">
        <f t="shared" si="2"/>
        <v>2022</v>
      </c>
      <c r="E165">
        <v>307791</v>
      </c>
      <c r="F165">
        <v>12488985</v>
      </c>
      <c r="G165">
        <v>2.46</v>
      </c>
      <c r="H165" t="s">
        <v>10</v>
      </c>
      <c r="I165" t="s">
        <v>11</v>
      </c>
    </row>
    <row r="166" spans="1:9" hidden="1" x14ac:dyDescent="0.25">
      <c r="A166" t="s">
        <v>8</v>
      </c>
      <c r="B166" t="s">
        <v>93</v>
      </c>
      <c r="C166">
        <v>202211</v>
      </c>
      <c r="D166" t="str">
        <f t="shared" si="2"/>
        <v>2022</v>
      </c>
      <c r="E166">
        <v>301448</v>
      </c>
      <c r="F166">
        <v>12488985</v>
      </c>
      <c r="G166">
        <v>2.41</v>
      </c>
      <c r="H166" t="s">
        <v>10</v>
      </c>
      <c r="I166" t="s">
        <v>11</v>
      </c>
    </row>
    <row r="167" spans="1:9" hidden="1" x14ac:dyDescent="0.25">
      <c r="A167" t="s">
        <v>8</v>
      </c>
      <c r="B167" t="s">
        <v>93</v>
      </c>
      <c r="C167">
        <v>202212</v>
      </c>
      <c r="D167" t="str">
        <f t="shared" si="2"/>
        <v>2022</v>
      </c>
      <c r="E167">
        <v>282471</v>
      </c>
      <c r="F167">
        <v>12488985</v>
      </c>
      <c r="G167">
        <v>2.2599999999999998</v>
      </c>
      <c r="H167" t="s">
        <v>10</v>
      </c>
      <c r="I167" t="s">
        <v>11</v>
      </c>
    </row>
    <row r="168" spans="1:9" hidden="1" x14ac:dyDescent="0.25">
      <c r="A168" t="s">
        <v>8</v>
      </c>
      <c r="B168" t="s">
        <v>93</v>
      </c>
      <c r="C168">
        <v>202301</v>
      </c>
      <c r="D168" t="str">
        <f t="shared" si="2"/>
        <v>2023</v>
      </c>
      <c r="E168">
        <v>305562</v>
      </c>
      <c r="F168">
        <v>12488985</v>
      </c>
      <c r="G168">
        <v>2.4500000000000002</v>
      </c>
      <c r="H168" t="s">
        <v>10</v>
      </c>
      <c r="I168" t="s">
        <v>11</v>
      </c>
    </row>
    <row r="169" spans="1:9" hidden="1" x14ac:dyDescent="0.25">
      <c r="A169" t="s">
        <v>8</v>
      </c>
      <c r="B169" t="s">
        <v>93</v>
      </c>
      <c r="C169">
        <v>202302</v>
      </c>
      <c r="D169" t="str">
        <f t="shared" si="2"/>
        <v>2023</v>
      </c>
      <c r="E169">
        <v>297720</v>
      </c>
      <c r="F169">
        <v>12488985</v>
      </c>
      <c r="G169">
        <v>2.38</v>
      </c>
      <c r="H169" t="s">
        <v>10</v>
      </c>
      <c r="I169" t="s">
        <v>11</v>
      </c>
    </row>
    <row r="170" spans="1:9" hidden="1" x14ac:dyDescent="0.25">
      <c r="A170" t="s">
        <v>8</v>
      </c>
      <c r="B170" t="s">
        <v>93</v>
      </c>
      <c r="C170">
        <v>202303</v>
      </c>
      <c r="D170" t="str">
        <f t="shared" si="2"/>
        <v>2023</v>
      </c>
      <c r="E170">
        <v>329363</v>
      </c>
      <c r="F170">
        <v>12488985</v>
      </c>
      <c r="G170">
        <v>2.64</v>
      </c>
      <c r="H170" t="s">
        <v>10</v>
      </c>
      <c r="I170" t="s">
        <v>11</v>
      </c>
    </row>
    <row r="171" spans="1:9" hidden="1" x14ac:dyDescent="0.25">
      <c r="A171" t="s">
        <v>8</v>
      </c>
      <c r="B171" t="s">
        <v>93</v>
      </c>
      <c r="C171">
        <v>202304</v>
      </c>
      <c r="D171" t="str">
        <f t="shared" si="2"/>
        <v>2023</v>
      </c>
      <c r="E171">
        <v>297655</v>
      </c>
      <c r="F171">
        <v>12488985</v>
      </c>
      <c r="G171">
        <v>2.38</v>
      </c>
      <c r="H171" t="s">
        <v>10</v>
      </c>
      <c r="I171" t="s">
        <v>11</v>
      </c>
    </row>
    <row r="172" spans="1:9" hidden="1" x14ac:dyDescent="0.25">
      <c r="A172" t="s">
        <v>8</v>
      </c>
      <c r="B172" t="s">
        <v>93</v>
      </c>
      <c r="C172">
        <v>202305</v>
      </c>
      <c r="D172" t="str">
        <f t="shared" si="2"/>
        <v>2023</v>
      </c>
      <c r="E172">
        <v>314067</v>
      </c>
      <c r="F172">
        <v>12488985</v>
      </c>
      <c r="G172">
        <v>2.5099999999999998</v>
      </c>
      <c r="H172" t="s">
        <v>10</v>
      </c>
      <c r="I172" t="s">
        <v>11</v>
      </c>
    </row>
    <row r="173" spans="1:9" hidden="1" x14ac:dyDescent="0.25">
      <c r="A173" t="s">
        <v>8</v>
      </c>
      <c r="B173" t="s">
        <v>93</v>
      </c>
      <c r="C173">
        <v>202306</v>
      </c>
      <c r="D173" t="str">
        <f t="shared" si="2"/>
        <v>2023</v>
      </c>
      <c r="E173">
        <v>306816</v>
      </c>
      <c r="F173">
        <v>12488985</v>
      </c>
      <c r="G173">
        <v>2.46</v>
      </c>
      <c r="H173" t="s">
        <v>10</v>
      </c>
      <c r="I173" t="s">
        <v>11</v>
      </c>
    </row>
    <row r="174" spans="1:9" hidden="1" x14ac:dyDescent="0.25">
      <c r="A174" t="s">
        <v>8</v>
      </c>
      <c r="B174" t="s">
        <v>93</v>
      </c>
      <c r="C174">
        <v>202307</v>
      </c>
      <c r="D174" t="str">
        <f t="shared" si="2"/>
        <v>2023</v>
      </c>
      <c r="E174">
        <v>273816</v>
      </c>
      <c r="F174">
        <v>12488985</v>
      </c>
      <c r="G174">
        <v>2.19</v>
      </c>
      <c r="H174" t="s">
        <v>10</v>
      </c>
      <c r="I174" t="s">
        <v>11</v>
      </c>
    </row>
    <row r="175" spans="1:9" hidden="1" x14ac:dyDescent="0.25">
      <c r="A175" t="s">
        <v>8</v>
      </c>
      <c r="B175" t="s">
        <v>93</v>
      </c>
      <c r="C175">
        <v>202308</v>
      </c>
      <c r="D175" t="str">
        <f t="shared" si="2"/>
        <v>2023</v>
      </c>
      <c r="E175">
        <v>307178</v>
      </c>
      <c r="F175">
        <v>12488985</v>
      </c>
      <c r="G175">
        <v>2.46</v>
      </c>
      <c r="H175" t="s">
        <v>10</v>
      </c>
      <c r="I175" t="s">
        <v>11</v>
      </c>
    </row>
    <row r="176" spans="1:9" hidden="1" x14ac:dyDescent="0.25">
      <c r="A176" t="s">
        <v>8</v>
      </c>
      <c r="B176" t="s">
        <v>93</v>
      </c>
      <c r="C176">
        <v>202309</v>
      </c>
      <c r="D176" t="str">
        <f t="shared" si="2"/>
        <v>2023</v>
      </c>
      <c r="E176">
        <v>287674</v>
      </c>
      <c r="F176">
        <v>12488985</v>
      </c>
      <c r="G176">
        <v>2.2999999999999998</v>
      </c>
      <c r="H176" t="s">
        <v>10</v>
      </c>
      <c r="I176" t="s">
        <v>11</v>
      </c>
    </row>
    <row r="177" spans="1:9" hidden="1" x14ac:dyDescent="0.25">
      <c r="A177" t="s">
        <v>8</v>
      </c>
      <c r="B177" t="s">
        <v>93</v>
      </c>
      <c r="C177">
        <v>202310</v>
      </c>
      <c r="D177" t="str">
        <f t="shared" si="2"/>
        <v>2023</v>
      </c>
      <c r="E177">
        <v>311092</v>
      </c>
      <c r="F177">
        <v>12488985</v>
      </c>
      <c r="G177">
        <v>2.4900000000000002</v>
      </c>
      <c r="H177" t="s">
        <v>10</v>
      </c>
      <c r="I177" t="s">
        <v>11</v>
      </c>
    </row>
    <row r="178" spans="1:9" hidden="1" x14ac:dyDescent="0.25">
      <c r="A178" t="s">
        <v>8</v>
      </c>
      <c r="B178" t="s">
        <v>93</v>
      </c>
      <c r="C178">
        <v>202311</v>
      </c>
      <c r="D178" t="str">
        <f t="shared" si="2"/>
        <v>2023</v>
      </c>
      <c r="E178">
        <v>292303</v>
      </c>
      <c r="F178">
        <v>12488985</v>
      </c>
      <c r="G178">
        <v>2.34</v>
      </c>
      <c r="H178" t="s">
        <v>10</v>
      </c>
      <c r="I178" t="s">
        <v>11</v>
      </c>
    </row>
    <row r="179" spans="1:9" hidden="1" x14ac:dyDescent="0.25">
      <c r="A179" t="s">
        <v>8</v>
      </c>
      <c r="B179" t="s">
        <v>93</v>
      </c>
      <c r="C179">
        <v>202312</v>
      </c>
      <c r="D179" t="str">
        <f t="shared" si="2"/>
        <v>2023</v>
      </c>
      <c r="E179">
        <v>273705</v>
      </c>
      <c r="F179">
        <v>12488985</v>
      </c>
      <c r="G179">
        <v>2.19</v>
      </c>
      <c r="H179" t="s">
        <v>10</v>
      </c>
      <c r="I179" t="s">
        <v>11</v>
      </c>
    </row>
    <row r="180" spans="1:9" hidden="1" x14ac:dyDescent="0.25">
      <c r="A180" t="s">
        <v>8</v>
      </c>
      <c r="B180" t="s">
        <v>93</v>
      </c>
      <c r="C180">
        <v>202401</v>
      </c>
      <c r="D180" t="str">
        <f t="shared" si="2"/>
        <v>2024</v>
      </c>
      <c r="E180">
        <v>139128</v>
      </c>
      <c r="F180">
        <v>12488985</v>
      </c>
      <c r="G180">
        <v>1.1100000000000001</v>
      </c>
      <c r="H180" t="s">
        <v>10</v>
      </c>
      <c r="I180" t="s">
        <v>11</v>
      </c>
    </row>
    <row r="181" spans="1:9" hidden="1" x14ac:dyDescent="0.25">
      <c r="A181" t="s">
        <v>8</v>
      </c>
      <c r="B181" t="s">
        <v>54</v>
      </c>
      <c r="C181">
        <v>201510</v>
      </c>
      <c r="D181" t="str">
        <f t="shared" si="2"/>
        <v>2015</v>
      </c>
      <c r="E181">
        <v>8</v>
      </c>
      <c r="F181">
        <v>12488985</v>
      </c>
      <c r="G181">
        <v>0</v>
      </c>
      <c r="H181" t="s">
        <v>10</v>
      </c>
      <c r="I181" t="s">
        <v>11</v>
      </c>
    </row>
    <row r="182" spans="1:9" hidden="1" x14ac:dyDescent="0.25">
      <c r="A182" t="s">
        <v>8</v>
      </c>
      <c r="B182" t="s">
        <v>54</v>
      </c>
      <c r="C182">
        <v>201511</v>
      </c>
      <c r="D182" t="str">
        <f t="shared" si="2"/>
        <v>2015</v>
      </c>
      <c r="E182">
        <v>8</v>
      </c>
      <c r="F182">
        <v>12488985</v>
      </c>
      <c r="G182">
        <v>0</v>
      </c>
      <c r="H182" t="s">
        <v>10</v>
      </c>
      <c r="I182" t="s">
        <v>11</v>
      </c>
    </row>
    <row r="183" spans="1:9" hidden="1" x14ac:dyDescent="0.25">
      <c r="A183" t="s">
        <v>8</v>
      </c>
      <c r="B183" t="s">
        <v>54</v>
      </c>
      <c r="C183">
        <v>201607</v>
      </c>
      <c r="D183" t="str">
        <f t="shared" si="2"/>
        <v>2016</v>
      </c>
      <c r="E183">
        <v>2</v>
      </c>
      <c r="F183">
        <v>12488985</v>
      </c>
      <c r="G183">
        <v>0</v>
      </c>
      <c r="H183" t="s">
        <v>10</v>
      </c>
      <c r="I183" t="s">
        <v>11</v>
      </c>
    </row>
    <row r="184" spans="1:9" hidden="1" x14ac:dyDescent="0.25">
      <c r="A184" t="s">
        <v>8</v>
      </c>
      <c r="B184" t="s">
        <v>54</v>
      </c>
      <c r="C184">
        <v>201608</v>
      </c>
      <c r="D184" t="str">
        <f t="shared" si="2"/>
        <v>2016</v>
      </c>
      <c r="E184">
        <v>15</v>
      </c>
      <c r="F184">
        <v>12488985</v>
      </c>
      <c r="G184">
        <v>0</v>
      </c>
      <c r="H184" t="s">
        <v>10</v>
      </c>
      <c r="I184" t="s">
        <v>11</v>
      </c>
    </row>
    <row r="185" spans="1:9" hidden="1" x14ac:dyDescent="0.25">
      <c r="A185" t="s">
        <v>8</v>
      </c>
      <c r="B185" t="s">
        <v>54</v>
      </c>
      <c r="C185">
        <v>201609</v>
      </c>
      <c r="D185" t="str">
        <f t="shared" si="2"/>
        <v>2016</v>
      </c>
      <c r="E185">
        <v>12</v>
      </c>
      <c r="F185">
        <v>12488985</v>
      </c>
      <c r="G185">
        <v>0</v>
      </c>
      <c r="H185" t="s">
        <v>10</v>
      </c>
      <c r="I185" t="s">
        <v>11</v>
      </c>
    </row>
    <row r="186" spans="1:9" hidden="1" x14ac:dyDescent="0.25">
      <c r="A186" t="s">
        <v>8</v>
      </c>
      <c r="B186" t="s">
        <v>54</v>
      </c>
      <c r="C186">
        <v>201610</v>
      </c>
      <c r="D186" t="str">
        <f t="shared" si="2"/>
        <v>2016</v>
      </c>
      <c r="E186">
        <v>32</v>
      </c>
      <c r="F186">
        <v>12488985</v>
      </c>
      <c r="G186">
        <v>0</v>
      </c>
      <c r="H186" t="s">
        <v>10</v>
      </c>
      <c r="I186" t="s">
        <v>11</v>
      </c>
    </row>
    <row r="187" spans="1:9" hidden="1" x14ac:dyDescent="0.25">
      <c r="A187" t="s">
        <v>8</v>
      </c>
      <c r="B187" t="s">
        <v>54</v>
      </c>
      <c r="C187">
        <v>201702</v>
      </c>
      <c r="D187" t="str">
        <f t="shared" si="2"/>
        <v>2017</v>
      </c>
      <c r="E187">
        <v>12</v>
      </c>
      <c r="F187">
        <v>12488985</v>
      </c>
      <c r="G187">
        <v>0</v>
      </c>
      <c r="H187" t="s">
        <v>10</v>
      </c>
      <c r="I187" t="s">
        <v>11</v>
      </c>
    </row>
    <row r="188" spans="1:9" hidden="1" x14ac:dyDescent="0.25">
      <c r="A188" t="s">
        <v>8</v>
      </c>
      <c r="B188" t="s">
        <v>54</v>
      </c>
      <c r="C188">
        <v>201703</v>
      </c>
      <c r="D188" t="str">
        <f t="shared" si="2"/>
        <v>2017</v>
      </c>
      <c r="E188">
        <v>34</v>
      </c>
      <c r="F188">
        <v>12488985</v>
      </c>
      <c r="G188">
        <v>0</v>
      </c>
      <c r="H188" t="s">
        <v>10</v>
      </c>
      <c r="I188" t="s">
        <v>11</v>
      </c>
    </row>
    <row r="189" spans="1:9" hidden="1" x14ac:dyDescent="0.25">
      <c r="A189" t="s">
        <v>8</v>
      </c>
      <c r="B189" t="s">
        <v>54</v>
      </c>
      <c r="C189">
        <v>201704</v>
      </c>
      <c r="D189" t="str">
        <f t="shared" si="2"/>
        <v>2017</v>
      </c>
      <c r="E189">
        <v>13</v>
      </c>
      <c r="F189">
        <v>12488985</v>
      </c>
      <c r="G189">
        <v>0</v>
      </c>
      <c r="H189" t="s">
        <v>10</v>
      </c>
      <c r="I189" t="s">
        <v>11</v>
      </c>
    </row>
    <row r="190" spans="1:9" hidden="1" x14ac:dyDescent="0.25">
      <c r="A190" t="s">
        <v>8</v>
      </c>
      <c r="B190" t="s">
        <v>54</v>
      </c>
      <c r="C190">
        <v>201705</v>
      </c>
      <c r="D190" t="str">
        <f t="shared" si="2"/>
        <v>2017</v>
      </c>
      <c r="E190">
        <v>4</v>
      </c>
      <c r="F190">
        <v>12488985</v>
      </c>
      <c r="G190">
        <v>0</v>
      </c>
      <c r="H190" t="s">
        <v>10</v>
      </c>
      <c r="I190" t="s">
        <v>11</v>
      </c>
    </row>
    <row r="191" spans="1:9" hidden="1" x14ac:dyDescent="0.25">
      <c r="A191" t="s">
        <v>8</v>
      </c>
      <c r="B191" t="s">
        <v>54</v>
      </c>
      <c r="C191">
        <v>201706</v>
      </c>
      <c r="D191" t="str">
        <f t="shared" si="2"/>
        <v>2017</v>
      </c>
      <c r="E191">
        <v>10</v>
      </c>
      <c r="F191">
        <v>12488985</v>
      </c>
      <c r="G191">
        <v>0</v>
      </c>
      <c r="H191" t="s">
        <v>10</v>
      </c>
      <c r="I191" t="s">
        <v>11</v>
      </c>
    </row>
    <row r="192" spans="1:9" hidden="1" x14ac:dyDescent="0.25">
      <c r="A192" t="s">
        <v>8</v>
      </c>
      <c r="B192" t="s">
        <v>54</v>
      </c>
      <c r="C192">
        <v>201707</v>
      </c>
      <c r="D192" t="str">
        <f t="shared" si="2"/>
        <v>2017</v>
      </c>
      <c r="E192">
        <v>39</v>
      </c>
      <c r="F192">
        <v>12488985</v>
      </c>
      <c r="G192">
        <v>0</v>
      </c>
      <c r="H192" t="s">
        <v>10</v>
      </c>
      <c r="I192" t="s">
        <v>11</v>
      </c>
    </row>
    <row r="193" spans="1:9" hidden="1" x14ac:dyDescent="0.25">
      <c r="A193" t="s">
        <v>8</v>
      </c>
      <c r="B193" t="s">
        <v>54</v>
      </c>
      <c r="C193">
        <v>201708</v>
      </c>
      <c r="D193" t="str">
        <f t="shared" si="2"/>
        <v>2017</v>
      </c>
      <c r="E193">
        <v>52</v>
      </c>
      <c r="F193">
        <v>12488985</v>
      </c>
      <c r="G193">
        <v>0</v>
      </c>
      <c r="H193" t="s">
        <v>10</v>
      </c>
      <c r="I193" t="s">
        <v>11</v>
      </c>
    </row>
    <row r="194" spans="1:9" hidden="1" x14ac:dyDescent="0.25">
      <c r="A194" t="s">
        <v>8</v>
      </c>
      <c r="B194" t="s">
        <v>54</v>
      </c>
      <c r="C194">
        <v>201709</v>
      </c>
      <c r="D194" t="str">
        <f t="shared" si="2"/>
        <v>2017</v>
      </c>
      <c r="E194">
        <v>44</v>
      </c>
      <c r="F194">
        <v>12488985</v>
      </c>
      <c r="G194">
        <v>0</v>
      </c>
      <c r="H194" t="s">
        <v>10</v>
      </c>
      <c r="I194" t="s">
        <v>11</v>
      </c>
    </row>
    <row r="195" spans="1:9" hidden="1" x14ac:dyDescent="0.25">
      <c r="A195" t="s">
        <v>8</v>
      </c>
      <c r="B195" t="s">
        <v>54</v>
      </c>
      <c r="C195">
        <v>201710</v>
      </c>
      <c r="D195" t="str">
        <f t="shared" ref="D195:D258" si="3">LEFT(C195,4)</f>
        <v>2017</v>
      </c>
      <c r="E195">
        <v>47</v>
      </c>
      <c r="F195">
        <v>12488985</v>
      </c>
      <c r="G195">
        <v>0</v>
      </c>
      <c r="H195" t="s">
        <v>10</v>
      </c>
      <c r="I195" t="s">
        <v>11</v>
      </c>
    </row>
    <row r="196" spans="1:9" hidden="1" x14ac:dyDescent="0.25">
      <c r="A196" t="s">
        <v>8</v>
      </c>
      <c r="B196" t="s">
        <v>54</v>
      </c>
      <c r="C196">
        <v>201711</v>
      </c>
      <c r="D196" t="str">
        <f t="shared" si="3"/>
        <v>2017</v>
      </c>
      <c r="E196">
        <v>50</v>
      </c>
      <c r="F196">
        <v>12488985</v>
      </c>
      <c r="G196">
        <v>0</v>
      </c>
      <c r="H196" t="s">
        <v>10</v>
      </c>
      <c r="I196" t="s">
        <v>11</v>
      </c>
    </row>
    <row r="197" spans="1:9" hidden="1" x14ac:dyDescent="0.25">
      <c r="A197" t="s">
        <v>8</v>
      </c>
      <c r="B197" t="s">
        <v>54</v>
      </c>
      <c r="C197">
        <v>201712</v>
      </c>
      <c r="D197" t="str">
        <f t="shared" si="3"/>
        <v>2017</v>
      </c>
      <c r="E197">
        <v>33</v>
      </c>
      <c r="F197">
        <v>12488985</v>
      </c>
      <c r="G197">
        <v>0</v>
      </c>
      <c r="H197" t="s">
        <v>10</v>
      </c>
      <c r="I197" t="s">
        <v>11</v>
      </c>
    </row>
    <row r="198" spans="1:9" hidden="1" x14ac:dyDescent="0.25">
      <c r="A198" t="s">
        <v>8</v>
      </c>
      <c r="B198" t="s">
        <v>54</v>
      </c>
      <c r="C198">
        <v>201801</v>
      </c>
      <c r="D198" t="str">
        <f t="shared" si="3"/>
        <v>2018</v>
      </c>
      <c r="E198">
        <v>540</v>
      </c>
      <c r="F198">
        <v>12488985</v>
      </c>
      <c r="G198">
        <v>0</v>
      </c>
      <c r="H198" t="s">
        <v>10</v>
      </c>
      <c r="I198" t="s">
        <v>11</v>
      </c>
    </row>
    <row r="199" spans="1:9" hidden="1" x14ac:dyDescent="0.25">
      <c r="A199" t="s">
        <v>8</v>
      </c>
      <c r="B199" t="s">
        <v>54</v>
      </c>
      <c r="C199">
        <v>201802</v>
      </c>
      <c r="D199" t="str">
        <f t="shared" si="3"/>
        <v>2018</v>
      </c>
      <c r="E199">
        <v>353</v>
      </c>
      <c r="F199">
        <v>12488985</v>
      </c>
      <c r="G199">
        <v>0</v>
      </c>
      <c r="H199" t="s">
        <v>10</v>
      </c>
      <c r="I199" t="s">
        <v>11</v>
      </c>
    </row>
    <row r="200" spans="1:9" hidden="1" x14ac:dyDescent="0.25">
      <c r="A200" t="s">
        <v>8</v>
      </c>
      <c r="B200" t="s">
        <v>54</v>
      </c>
      <c r="C200">
        <v>201803</v>
      </c>
      <c r="D200" t="str">
        <f t="shared" si="3"/>
        <v>2018</v>
      </c>
      <c r="E200">
        <v>469</v>
      </c>
      <c r="F200">
        <v>12488985</v>
      </c>
      <c r="G200">
        <v>0</v>
      </c>
      <c r="H200" t="s">
        <v>10</v>
      </c>
      <c r="I200" t="s">
        <v>11</v>
      </c>
    </row>
    <row r="201" spans="1:9" hidden="1" x14ac:dyDescent="0.25">
      <c r="A201" t="s">
        <v>8</v>
      </c>
      <c r="B201" t="s">
        <v>54</v>
      </c>
      <c r="C201">
        <v>201804</v>
      </c>
      <c r="D201" t="str">
        <f t="shared" si="3"/>
        <v>2018</v>
      </c>
      <c r="E201">
        <v>492</v>
      </c>
      <c r="F201">
        <v>12488985</v>
      </c>
      <c r="G201">
        <v>0</v>
      </c>
      <c r="H201" t="s">
        <v>10</v>
      </c>
      <c r="I201" t="s">
        <v>11</v>
      </c>
    </row>
    <row r="202" spans="1:9" hidden="1" x14ac:dyDescent="0.25">
      <c r="A202" t="s">
        <v>8</v>
      </c>
      <c r="B202" t="s">
        <v>54</v>
      </c>
      <c r="C202">
        <v>201805</v>
      </c>
      <c r="D202" t="str">
        <f t="shared" si="3"/>
        <v>2018</v>
      </c>
      <c r="E202">
        <v>541</v>
      </c>
      <c r="F202">
        <v>12488985</v>
      </c>
      <c r="G202">
        <v>0</v>
      </c>
      <c r="H202" t="s">
        <v>10</v>
      </c>
      <c r="I202" t="s">
        <v>11</v>
      </c>
    </row>
    <row r="203" spans="1:9" hidden="1" x14ac:dyDescent="0.25">
      <c r="A203" t="s">
        <v>8</v>
      </c>
      <c r="B203" t="s">
        <v>54</v>
      </c>
      <c r="C203">
        <v>201806</v>
      </c>
      <c r="D203" t="str">
        <f t="shared" si="3"/>
        <v>2018</v>
      </c>
      <c r="E203">
        <v>534</v>
      </c>
      <c r="F203">
        <v>12488985</v>
      </c>
      <c r="G203">
        <v>0</v>
      </c>
      <c r="H203" t="s">
        <v>10</v>
      </c>
      <c r="I203" t="s">
        <v>11</v>
      </c>
    </row>
    <row r="204" spans="1:9" hidden="1" x14ac:dyDescent="0.25">
      <c r="A204" t="s">
        <v>8</v>
      </c>
      <c r="B204" t="s">
        <v>54</v>
      </c>
      <c r="C204">
        <v>201807</v>
      </c>
      <c r="D204" t="str">
        <f t="shared" si="3"/>
        <v>2018</v>
      </c>
      <c r="E204">
        <v>500</v>
      </c>
      <c r="F204">
        <v>12488985</v>
      </c>
      <c r="G204">
        <v>0</v>
      </c>
      <c r="H204" t="s">
        <v>10</v>
      </c>
      <c r="I204" t="s">
        <v>11</v>
      </c>
    </row>
    <row r="205" spans="1:9" hidden="1" x14ac:dyDescent="0.25">
      <c r="A205" t="s">
        <v>8</v>
      </c>
      <c r="B205" t="s">
        <v>54</v>
      </c>
      <c r="C205">
        <v>201808</v>
      </c>
      <c r="D205" t="str">
        <f t="shared" si="3"/>
        <v>2018</v>
      </c>
      <c r="E205">
        <v>829</v>
      </c>
      <c r="F205">
        <v>12488985</v>
      </c>
      <c r="G205">
        <v>0.01</v>
      </c>
      <c r="H205" t="s">
        <v>10</v>
      </c>
      <c r="I205" t="s">
        <v>11</v>
      </c>
    </row>
    <row r="206" spans="1:9" hidden="1" x14ac:dyDescent="0.25">
      <c r="A206" t="s">
        <v>8</v>
      </c>
      <c r="B206" t="s">
        <v>54</v>
      </c>
      <c r="C206">
        <v>201809</v>
      </c>
      <c r="D206" t="str">
        <f t="shared" si="3"/>
        <v>2018</v>
      </c>
      <c r="E206">
        <v>488</v>
      </c>
      <c r="F206">
        <v>12488985</v>
      </c>
      <c r="G206">
        <v>0</v>
      </c>
      <c r="H206" t="s">
        <v>10</v>
      </c>
      <c r="I206" t="s">
        <v>11</v>
      </c>
    </row>
    <row r="207" spans="1:9" hidden="1" x14ac:dyDescent="0.25">
      <c r="A207" t="s">
        <v>8</v>
      </c>
      <c r="B207" t="s">
        <v>54</v>
      </c>
      <c r="C207">
        <v>201810</v>
      </c>
      <c r="D207" t="str">
        <f t="shared" si="3"/>
        <v>2018</v>
      </c>
      <c r="E207">
        <v>885</v>
      </c>
      <c r="F207">
        <v>12488985</v>
      </c>
      <c r="G207">
        <v>0.01</v>
      </c>
      <c r="H207" t="s">
        <v>10</v>
      </c>
      <c r="I207" t="s">
        <v>11</v>
      </c>
    </row>
    <row r="208" spans="1:9" hidden="1" x14ac:dyDescent="0.25">
      <c r="A208" t="s">
        <v>8</v>
      </c>
      <c r="B208" t="s">
        <v>54</v>
      </c>
      <c r="C208">
        <v>201811</v>
      </c>
      <c r="D208" t="str">
        <f t="shared" si="3"/>
        <v>2018</v>
      </c>
      <c r="E208">
        <v>680</v>
      </c>
      <c r="F208">
        <v>12488985</v>
      </c>
      <c r="G208">
        <v>0.01</v>
      </c>
      <c r="H208" t="s">
        <v>10</v>
      </c>
      <c r="I208" t="s">
        <v>11</v>
      </c>
    </row>
    <row r="209" spans="1:9" hidden="1" x14ac:dyDescent="0.25">
      <c r="A209" t="s">
        <v>8</v>
      </c>
      <c r="B209" t="s">
        <v>54</v>
      </c>
      <c r="C209">
        <v>201812</v>
      </c>
      <c r="D209" t="str">
        <f t="shared" si="3"/>
        <v>2018</v>
      </c>
      <c r="E209">
        <v>814</v>
      </c>
      <c r="F209">
        <v>12488985</v>
      </c>
      <c r="G209">
        <v>0.01</v>
      </c>
      <c r="H209" t="s">
        <v>10</v>
      </c>
      <c r="I209" t="s">
        <v>11</v>
      </c>
    </row>
    <row r="210" spans="1:9" hidden="1" x14ac:dyDescent="0.25">
      <c r="A210" t="s">
        <v>8</v>
      </c>
      <c r="B210" t="s">
        <v>54</v>
      </c>
      <c r="C210">
        <v>201901</v>
      </c>
      <c r="D210" t="str">
        <f t="shared" si="3"/>
        <v>2019</v>
      </c>
      <c r="E210">
        <v>25145</v>
      </c>
      <c r="F210">
        <v>12488985</v>
      </c>
      <c r="G210">
        <v>0.2</v>
      </c>
      <c r="H210" t="s">
        <v>10</v>
      </c>
      <c r="I210" t="s">
        <v>11</v>
      </c>
    </row>
    <row r="211" spans="1:9" hidden="1" x14ac:dyDescent="0.25">
      <c r="A211" t="s">
        <v>8</v>
      </c>
      <c r="B211" t="s">
        <v>54</v>
      </c>
      <c r="C211">
        <v>201902</v>
      </c>
      <c r="D211" t="str">
        <f t="shared" si="3"/>
        <v>2019</v>
      </c>
      <c r="E211">
        <v>22937</v>
      </c>
      <c r="F211">
        <v>12488985</v>
      </c>
      <c r="G211">
        <v>0.18</v>
      </c>
      <c r="H211" t="s">
        <v>10</v>
      </c>
      <c r="I211" t="s">
        <v>11</v>
      </c>
    </row>
    <row r="212" spans="1:9" hidden="1" x14ac:dyDescent="0.25">
      <c r="A212" t="s">
        <v>8</v>
      </c>
      <c r="B212" t="s">
        <v>54</v>
      </c>
      <c r="C212">
        <v>201903</v>
      </c>
      <c r="D212" t="str">
        <f t="shared" si="3"/>
        <v>2019</v>
      </c>
      <c r="E212">
        <v>25786</v>
      </c>
      <c r="F212">
        <v>12488985</v>
      </c>
      <c r="G212">
        <v>0.21</v>
      </c>
      <c r="H212" t="s">
        <v>10</v>
      </c>
      <c r="I212" t="s">
        <v>11</v>
      </c>
    </row>
    <row r="213" spans="1:9" hidden="1" x14ac:dyDescent="0.25">
      <c r="A213" t="s">
        <v>8</v>
      </c>
      <c r="B213" t="s">
        <v>54</v>
      </c>
      <c r="C213">
        <v>201904</v>
      </c>
      <c r="D213" t="str">
        <f t="shared" si="3"/>
        <v>2019</v>
      </c>
      <c r="E213">
        <v>27781</v>
      </c>
      <c r="F213">
        <v>12488985</v>
      </c>
      <c r="G213">
        <v>0.22</v>
      </c>
      <c r="H213" t="s">
        <v>10</v>
      </c>
      <c r="I213" t="s">
        <v>11</v>
      </c>
    </row>
    <row r="214" spans="1:9" hidden="1" x14ac:dyDescent="0.25">
      <c r="A214" t="s">
        <v>8</v>
      </c>
      <c r="B214" t="s">
        <v>54</v>
      </c>
      <c r="C214">
        <v>201905</v>
      </c>
      <c r="D214" t="str">
        <f t="shared" si="3"/>
        <v>2019</v>
      </c>
      <c r="E214">
        <v>26571</v>
      </c>
      <c r="F214">
        <v>12488985</v>
      </c>
      <c r="G214">
        <v>0.21</v>
      </c>
      <c r="H214" t="s">
        <v>10</v>
      </c>
      <c r="I214" t="s">
        <v>11</v>
      </c>
    </row>
    <row r="215" spans="1:9" hidden="1" x14ac:dyDescent="0.25">
      <c r="A215" t="s">
        <v>8</v>
      </c>
      <c r="B215" t="s">
        <v>54</v>
      </c>
      <c r="C215">
        <v>201906</v>
      </c>
      <c r="D215" t="str">
        <f t="shared" si="3"/>
        <v>2019</v>
      </c>
      <c r="E215">
        <v>26034</v>
      </c>
      <c r="F215">
        <v>12488985</v>
      </c>
      <c r="G215">
        <v>0.21</v>
      </c>
      <c r="H215" t="s">
        <v>10</v>
      </c>
      <c r="I215" t="s">
        <v>11</v>
      </c>
    </row>
    <row r="216" spans="1:9" hidden="1" x14ac:dyDescent="0.25">
      <c r="A216" t="s">
        <v>8</v>
      </c>
      <c r="B216" t="s">
        <v>54</v>
      </c>
      <c r="C216">
        <v>201907</v>
      </c>
      <c r="D216" t="str">
        <f t="shared" si="3"/>
        <v>2019</v>
      </c>
      <c r="E216">
        <v>27545</v>
      </c>
      <c r="F216">
        <v>12488985</v>
      </c>
      <c r="G216">
        <v>0.22</v>
      </c>
      <c r="H216" t="s">
        <v>10</v>
      </c>
      <c r="I216" t="s">
        <v>11</v>
      </c>
    </row>
    <row r="217" spans="1:9" hidden="1" x14ac:dyDescent="0.25">
      <c r="A217" t="s">
        <v>8</v>
      </c>
      <c r="B217" t="s">
        <v>54</v>
      </c>
      <c r="C217">
        <v>201908</v>
      </c>
      <c r="D217" t="str">
        <f t="shared" si="3"/>
        <v>2019</v>
      </c>
      <c r="E217">
        <v>27814</v>
      </c>
      <c r="F217">
        <v>12488985</v>
      </c>
      <c r="G217">
        <v>0.22</v>
      </c>
      <c r="H217" t="s">
        <v>10</v>
      </c>
      <c r="I217" t="s">
        <v>11</v>
      </c>
    </row>
    <row r="218" spans="1:9" hidden="1" x14ac:dyDescent="0.25">
      <c r="A218" t="s">
        <v>8</v>
      </c>
      <c r="B218" t="s">
        <v>54</v>
      </c>
      <c r="C218">
        <v>201909</v>
      </c>
      <c r="D218" t="str">
        <f t="shared" si="3"/>
        <v>2019</v>
      </c>
      <c r="E218">
        <v>26309</v>
      </c>
      <c r="F218">
        <v>12488985</v>
      </c>
      <c r="G218">
        <v>0.21</v>
      </c>
      <c r="H218" t="s">
        <v>10</v>
      </c>
      <c r="I218" t="s">
        <v>11</v>
      </c>
    </row>
    <row r="219" spans="1:9" hidden="1" x14ac:dyDescent="0.25">
      <c r="A219" t="s">
        <v>8</v>
      </c>
      <c r="B219" t="s">
        <v>54</v>
      </c>
      <c r="C219">
        <v>201910</v>
      </c>
      <c r="D219" t="str">
        <f t="shared" si="3"/>
        <v>2019</v>
      </c>
      <c r="E219">
        <v>31808</v>
      </c>
      <c r="F219">
        <v>12488985</v>
      </c>
      <c r="G219">
        <v>0.25</v>
      </c>
      <c r="H219" t="s">
        <v>10</v>
      </c>
      <c r="I219" t="s">
        <v>11</v>
      </c>
    </row>
    <row r="220" spans="1:9" hidden="1" x14ac:dyDescent="0.25">
      <c r="A220" t="s">
        <v>8</v>
      </c>
      <c r="B220" t="s">
        <v>54</v>
      </c>
      <c r="C220">
        <v>201911</v>
      </c>
      <c r="D220" t="str">
        <f t="shared" si="3"/>
        <v>2019</v>
      </c>
      <c r="E220">
        <v>25616</v>
      </c>
      <c r="F220">
        <v>12488985</v>
      </c>
      <c r="G220">
        <v>0.21</v>
      </c>
      <c r="H220" t="s">
        <v>10</v>
      </c>
      <c r="I220" t="s">
        <v>11</v>
      </c>
    </row>
    <row r="221" spans="1:9" hidden="1" x14ac:dyDescent="0.25">
      <c r="A221" t="s">
        <v>8</v>
      </c>
      <c r="B221" t="s">
        <v>54</v>
      </c>
      <c r="C221">
        <v>201912</v>
      </c>
      <c r="D221" t="str">
        <f t="shared" si="3"/>
        <v>2019</v>
      </c>
      <c r="E221">
        <v>25502</v>
      </c>
      <c r="F221">
        <v>12488985</v>
      </c>
      <c r="G221">
        <v>0.2</v>
      </c>
      <c r="H221" t="s">
        <v>10</v>
      </c>
      <c r="I221" t="s">
        <v>11</v>
      </c>
    </row>
    <row r="222" spans="1:9" hidden="1" x14ac:dyDescent="0.25">
      <c r="A222" t="s">
        <v>8</v>
      </c>
      <c r="B222" t="s">
        <v>54</v>
      </c>
      <c r="C222">
        <v>202001</v>
      </c>
      <c r="D222" t="str">
        <f t="shared" si="3"/>
        <v>2020</v>
      </c>
      <c r="E222">
        <v>96061</v>
      </c>
      <c r="F222">
        <v>12488985</v>
      </c>
      <c r="G222">
        <v>0.77</v>
      </c>
      <c r="H222" t="s">
        <v>10</v>
      </c>
      <c r="I222" t="s">
        <v>11</v>
      </c>
    </row>
    <row r="223" spans="1:9" hidden="1" x14ac:dyDescent="0.25">
      <c r="A223" t="s">
        <v>8</v>
      </c>
      <c r="B223" t="s">
        <v>54</v>
      </c>
      <c r="C223">
        <v>202002</v>
      </c>
      <c r="D223" t="str">
        <f t="shared" si="3"/>
        <v>2020</v>
      </c>
      <c r="E223">
        <v>89822</v>
      </c>
      <c r="F223">
        <v>12488985</v>
      </c>
      <c r="G223">
        <v>0.72</v>
      </c>
      <c r="H223" t="s">
        <v>10</v>
      </c>
      <c r="I223" t="s">
        <v>11</v>
      </c>
    </row>
    <row r="224" spans="1:9" hidden="1" x14ac:dyDescent="0.25">
      <c r="A224" t="s">
        <v>8</v>
      </c>
      <c r="B224" t="s">
        <v>54</v>
      </c>
      <c r="C224">
        <v>202003</v>
      </c>
      <c r="D224" t="str">
        <f t="shared" si="3"/>
        <v>2020</v>
      </c>
      <c r="E224">
        <v>78153</v>
      </c>
      <c r="F224">
        <v>12488985</v>
      </c>
      <c r="G224">
        <v>0.63</v>
      </c>
      <c r="H224" t="s">
        <v>10</v>
      </c>
      <c r="I224" t="s">
        <v>11</v>
      </c>
    </row>
    <row r="225" spans="1:9" hidden="1" x14ac:dyDescent="0.25">
      <c r="A225" t="s">
        <v>8</v>
      </c>
      <c r="B225" t="s">
        <v>54</v>
      </c>
      <c r="C225">
        <v>202004</v>
      </c>
      <c r="D225" t="str">
        <f t="shared" si="3"/>
        <v>2020</v>
      </c>
      <c r="E225">
        <v>44261</v>
      </c>
      <c r="F225">
        <v>12488985</v>
      </c>
      <c r="G225">
        <v>0.35</v>
      </c>
      <c r="H225" t="s">
        <v>10</v>
      </c>
      <c r="I225" t="s">
        <v>11</v>
      </c>
    </row>
    <row r="226" spans="1:9" hidden="1" x14ac:dyDescent="0.25">
      <c r="A226" t="s">
        <v>8</v>
      </c>
      <c r="B226" t="s">
        <v>54</v>
      </c>
      <c r="C226">
        <v>202005</v>
      </c>
      <c r="D226" t="str">
        <f t="shared" si="3"/>
        <v>2020</v>
      </c>
      <c r="E226">
        <v>76438</v>
      </c>
      <c r="F226">
        <v>12488985</v>
      </c>
      <c r="G226">
        <v>0.61</v>
      </c>
      <c r="H226" t="s">
        <v>10</v>
      </c>
      <c r="I226" t="s">
        <v>11</v>
      </c>
    </row>
    <row r="227" spans="1:9" hidden="1" x14ac:dyDescent="0.25">
      <c r="A227" t="s">
        <v>8</v>
      </c>
      <c r="B227" t="s">
        <v>54</v>
      </c>
      <c r="C227">
        <v>202006</v>
      </c>
      <c r="D227" t="str">
        <f t="shared" si="3"/>
        <v>2020</v>
      </c>
      <c r="E227">
        <v>100074</v>
      </c>
      <c r="F227">
        <v>12488985</v>
      </c>
      <c r="G227">
        <v>0.8</v>
      </c>
      <c r="H227" t="s">
        <v>10</v>
      </c>
      <c r="I227" t="s">
        <v>11</v>
      </c>
    </row>
    <row r="228" spans="1:9" hidden="1" x14ac:dyDescent="0.25">
      <c r="A228" t="s">
        <v>8</v>
      </c>
      <c r="B228" t="s">
        <v>54</v>
      </c>
      <c r="C228">
        <v>202007</v>
      </c>
      <c r="D228" t="str">
        <f t="shared" si="3"/>
        <v>2020</v>
      </c>
      <c r="E228">
        <v>87411</v>
      </c>
      <c r="F228">
        <v>12488985</v>
      </c>
      <c r="G228">
        <v>0.7</v>
      </c>
      <c r="H228" t="s">
        <v>10</v>
      </c>
      <c r="I228" t="s">
        <v>11</v>
      </c>
    </row>
    <row r="229" spans="1:9" hidden="1" x14ac:dyDescent="0.25">
      <c r="A229" t="s">
        <v>8</v>
      </c>
      <c r="B229" t="s">
        <v>54</v>
      </c>
      <c r="C229">
        <v>202008</v>
      </c>
      <c r="D229" t="str">
        <f t="shared" si="3"/>
        <v>2020</v>
      </c>
      <c r="E229">
        <v>88856</v>
      </c>
      <c r="F229">
        <v>12488985</v>
      </c>
      <c r="G229">
        <v>0.71</v>
      </c>
      <c r="H229" t="s">
        <v>10</v>
      </c>
      <c r="I229" t="s">
        <v>11</v>
      </c>
    </row>
    <row r="230" spans="1:9" hidden="1" x14ac:dyDescent="0.25">
      <c r="A230" t="s">
        <v>8</v>
      </c>
      <c r="B230" t="s">
        <v>54</v>
      </c>
      <c r="C230">
        <v>202009</v>
      </c>
      <c r="D230" t="str">
        <f t="shared" si="3"/>
        <v>2020</v>
      </c>
      <c r="E230">
        <v>103213</v>
      </c>
      <c r="F230">
        <v>12488985</v>
      </c>
      <c r="G230">
        <v>0.83</v>
      </c>
      <c r="H230" t="s">
        <v>10</v>
      </c>
      <c r="I230" t="s">
        <v>11</v>
      </c>
    </row>
    <row r="231" spans="1:9" hidden="1" x14ac:dyDescent="0.25">
      <c r="A231" t="s">
        <v>8</v>
      </c>
      <c r="B231" t="s">
        <v>54</v>
      </c>
      <c r="C231">
        <v>202010</v>
      </c>
      <c r="D231" t="str">
        <f t="shared" si="3"/>
        <v>2020</v>
      </c>
      <c r="E231">
        <v>135351</v>
      </c>
      <c r="F231">
        <v>12488985</v>
      </c>
      <c r="G231">
        <v>1.08</v>
      </c>
      <c r="H231" t="s">
        <v>10</v>
      </c>
      <c r="I231" t="s">
        <v>11</v>
      </c>
    </row>
    <row r="232" spans="1:9" hidden="1" x14ac:dyDescent="0.25">
      <c r="A232" t="s">
        <v>8</v>
      </c>
      <c r="B232" t="s">
        <v>54</v>
      </c>
      <c r="C232">
        <v>202011</v>
      </c>
      <c r="D232" t="str">
        <f t="shared" si="3"/>
        <v>2020</v>
      </c>
      <c r="E232">
        <v>95147</v>
      </c>
      <c r="F232">
        <v>12488985</v>
      </c>
      <c r="G232">
        <v>0.76</v>
      </c>
      <c r="H232" t="s">
        <v>10</v>
      </c>
      <c r="I232" t="s">
        <v>11</v>
      </c>
    </row>
    <row r="233" spans="1:9" hidden="1" x14ac:dyDescent="0.25">
      <c r="A233" t="s">
        <v>8</v>
      </c>
      <c r="B233" t="s">
        <v>54</v>
      </c>
      <c r="C233">
        <v>202012</v>
      </c>
      <c r="D233" t="str">
        <f t="shared" si="3"/>
        <v>2020</v>
      </c>
      <c r="E233">
        <v>102051</v>
      </c>
      <c r="F233">
        <v>12488985</v>
      </c>
      <c r="G233">
        <v>0.82</v>
      </c>
      <c r="H233" t="s">
        <v>10</v>
      </c>
      <c r="I233" t="s">
        <v>11</v>
      </c>
    </row>
    <row r="234" spans="1:9" hidden="1" x14ac:dyDescent="0.25">
      <c r="A234" t="s">
        <v>8</v>
      </c>
      <c r="B234" t="s">
        <v>54</v>
      </c>
      <c r="C234">
        <v>202101</v>
      </c>
      <c r="D234" t="str">
        <f t="shared" si="3"/>
        <v>2021</v>
      </c>
      <c r="E234">
        <v>154964</v>
      </c>
      <c r="F234">
        <v>12488985</v>
      </c>
      <c r="G234">
        <v>1.24</v>
      </c>
      <c r="H234" t="s">
        <v>10</v>
      </c>
      <c r="I234" t="s">
        <v>11</v>
      </c>
    </row>
    <row r="235" spans="1:9" hidden="1" x14ac:dyDescent="0.25">
      <c r="A235" t="s">
        <v>8</v>
      </c>
      <c r="B235" t="s">
        <v>54</v>
      </c>
      <c r="C235">
        <v>202102</v>
      </c>
      <c r="D235" t="str">
        <f t="shared" si="3"/>
        <v>2021</v>
      </c>
      <c r="E235">
        <v>132477</v>
      </c>
      <c r="F235">
        <v>12488985</v>
      </c>
      <c r="G235">
        <v>1.06</v>
      </c>
      <c r="H235" t="s">
        <v>10</v>
      </c>
      <c r="I235" t="s">
        <v>11</v>
      </c>
    </row>
    <row r="236" spans="1:9" hidden="1" x14ac:dyDescent="0.25">
      <c r="A236" t="s">
        <v>8</v>
      </c>
      <c r="B236" t="s">
        <v>54</v>
      </c>
      <c r="C236">
        <v>202103</v>
      </c>
      <c r="D236" t="str">
        <f t="shared" si="3"/>
        <v>2021</v>
      </c>
      <c r="E236">
        <v>179822</v>
      </c>
      <c r="F236">
        <v>12488985</v>
      </c>
      <c r="G236">
        <v>1.44</v>
      </c>
      <c r="H236" t="s">
        <v>10</v>
      </c>
      <c r="I236" t="s">
        <v>11</v>
      </c>
    </row>
    <row r="237" spans="1:9" hidden="1" x14ac:dyDescent="0.25">
      <c r="A237" t="s">
        <v>8</v>
      </c>
      <c r="B237" t="s">
        <v>54</v>
      </c>
      <c r="C237">
        <v>202104</v>
      </c>
      <c r="D237" t="str">
        <f t="shared" si="3"/>
        <v>2021</v>
      </c>
      <c r="E237">
        <v>307464</v>
      </c>
      <c r="F237">
        <v>12488985</v>
      </c>
      <c r="G237">
        <v>2.46</v>
      </c>
      <c r="H237" t="s">
        <v>10</v>
      </c>
      <c r="I237" t="s">
        <v>11</v>
      </c>
    </row>
    <row r="238" spans="1:9" hidden="1" x14ac:dyDescent="0.25">
      <c r="A238" t="s">
        <v>8</v>
      </c>
      <c r="B238" t="s">
        <v>54</v>
      </c>
      <c r="C238">
        <v>202105</v>
      </c>
      <c r="D238" t="str">
        <f t="shared" si="3"/>
        <v>2021</v>
      </c>
      <c r="E238">
        <v>330612</v>
      </c>
      <c r="F238">
        <v>12488985</v>
      </c>
      <c r="G238">
        <v>2.65</v>
      </c>
      <c r="H238" t="s">
        <v>10</v>
      </c>
      <c r="I238" t="s">
        <v>11</v>
      </c>
    </row>
    <row r="239" spans="1:9" hidden="1" x14ac:dyDescent="0.25">
      <c r="A239" t="s">
        <v>8</v>
      </c>
      <c r="B239" t="s">
        <v>54</v>
      </c>
      <c r="C239">
        <v>202106</v>
      </c>
      <c r="D239" t="str">
        <f t="shared" si="3"/>
        <v>2021</v>
      </c>
      <c r="E239">
        <v>368512</v>
      </c>
      <c r="F239">
        <v>12488985</v>
      </c>
      <c r="G239">
        <v>2.95</v>
      </c>
      <c r="H239" t="s">
        <v>10</v>
      </c>
      <c r="I239" t="s">
        <v>11</v>
      </c>
    </row>
    <row r="240" spans="1:9" hidden="1" x14ac:dyDescent="0.25">
      <c r="A240" t="s">
        <v>8</v>
      </c>
      <c r="B240" t="s">
        <v>54</v>
      </c>
      <c r="C240">
        <v>202107</v>
      </c>
      <c r="D240" t="str">
        <f t="shared" si="3"/>
        <v>2021</v>
      </c>
      <c r="E240">
        <v>386156</v>
      </c>
      <c r="F240">
        <v>12488985</v>
      </c>
      <c r="G240">
        <v>3.09</v>
      </c>
      <c r="H240" t="s">
        <v>10</v>
      </c>
      <c r="I240" t="s">
        <v>11</v>
      </c>
    </row>
    <row r="241" spans="1:9" hidden="1" x14ac:dyDescent="0.25">
      <c r="A241" t="s">
        <v>8</v>
      </c>
      <c r="B241" t="s">
        <v>54</v>
      </c>
      <c r="C241">
        <v>202108</v>
      </c>
      <c r="D241" t="str">
        <f t="shared" si="3"/>
        <v>2021</v>
      </c>
      <c r="E241">
        <v>385632</v>
      </c>
      <c r="F241">
        <v>12488985</v>
      </c>
      <c r="G241">
        <v>3.09</v>
      </c>
      <c r="H241" t="s">
        <v>10</v>
      </c>
      <c r="I241" t="s">
        <v>11</v>
      </c>
    </row>
    <row r="242" spans="1:9" hidden="1" x14ac:dyDescent="0.25">
      <c r="A242" t="s">
        <v>8</v>
      </c>
      <c r="B242" t="s">
        <v>54</v>
      </c>
      <c r="C242">
        <v>202109</v>
      </c>
      <c r="D242" t="str">
        <f t="shared" si="3"/>
        <v>2021</v>
      </c>
      <c r="E242">
        <v>384098</v>
      </c>
      <c r="F242">
        <v>12488985</v>
      </c>
      <c r="G242">
        <v>3.08</v>
      </c>
      <c r="H242" t="s">
        <v>10</v>
      </c>
      <c r="I242" t="s">
        <v>11</v>
      </c>
    </row>
    <row r="243" spans="1:9" hidden="1" x14ac:dyDescent="0.25">
      <c r="A243" t="s">
        <v>8</v>
      </c>
      <c r="B243" t="s">
        <v>54</v>
      </c>
      <c r="C243">
        <v>202110</v>
      </c>
      <c r="D243" t="str">
        <f t="shared" si="3"/>
        <v>2021</v>
      </c>
      <c r="E243">
        <v>369545</v>
      </c>
      <c r="F243">
        <v>12488985</v>
      </c>
      <c r="G243">
        <v>2.96</v>
      </c>
      <c r="H243" t="s">
        <v>10</v>
      </c>
      <c r="I243" t="s">
        <v>11</v>
      </c>
    </row>
    <row r="244" spans="1:9" hidden="1" x14ac:dyDescent="0.25">
      <c r="A244" t="s">
        <v>8</v>
      </c>
      <c r="B244" t="s">
        <v>54</v>
      </c>
      <c r="C244">
        <v>202111</v>
      </c>
      <c r="D244" t="str">
        <f t="shared" si="3"/>
        <v>2021</v>
      </c>
      <c r="E244">
        <v>366340</v>
      </c>
      <c r="F244">
        <v>12488985</v>
      </c>
      <c r="G244">
        <v>2.93</v>
      </c>
      <c r="H244" t="s">
        <v>10</v>
      </c>
      <c r="I244" t="s">
        <v>11</v>
      </c>
    </row>
    <row r="245" spans="1:9" hidden="1" x14ac:dyDescent="0.25">
      <c r="A245" t="s">
        <v>8</v>
      </c>
      <c r="B245" t="s">
        <v>54</v>
      </c>
      <c r="C245">
        <v>202112</v>
      </c>
      <c r="D245" t="str">
        <f t="shared" si="3"/>
        <v>2021</v>
      </c>
      <c r="E245">
        <v>367683</v>
      </c>
      <c r="F245">
        <v>12488985</v>
      </c>
      <c r="G245">
        <v>2.94</v>
      </c>
      <c r="H245" t="s">
        <v>10</v>
      </c>
      <c r="I245" t="s">
        <v>11</v>
      </c>
    </row>
    <row r="246" spans="1:9" hidden="1" x14ac:dyDescent="0.25">
      <c r="A246" t="s">
        <v>8</v>
      </c>
      <c r="B246" t="s">
        <v>54</v>
      </c>
      <c r="C246">
        <v>202201</v>
      </c>
      <c r="D246" t="str">
        <f t="shared" si="3"/>
        <v>2022</v>
      </c>
      <c r="E246">
        <v>299189</v>
      </c>
      <c r="F246">
        <v>12488985</v>
      </c>
      <c r="G246">
        <v>2.4</v>
      </c>
      <c r="H246" t="s">
        <v>10</v>
      </c>
      <c r="I246" t="s">
        <v>11</v>
      </c>
    </row>
    <row r="247" spans="1:9" hidden="1" x14ac:dyDescent="0.25">
      <c r="A247" t="s">
        <v>8</v>
      </c>
      <c r="B247" t="s">
        <v>54</v>
      </c>
      <c r="C247">
        <v>202202</v>
      </c>
      <c r="D247" t="str">
        <f t="shared" si="3"/>
        <v>2022</v>
      </c>
      <c r="E247">
        <v>259457</v>
      </c>
      <c r="F247">
        <v>12488985</v>
      </c>
      <c r="G247">
        <v>2.08</v>
      </c>
      <c r="H247" t="s">
        <v>10</v>
      </c>
      <c r="I247" t="s">
        <v>11</v>
      </c>
    </row>
    <row r="248" spans="1:9" hidden="1" x14ac:dyDescent="0.25">
      <c r="A248" t="s">
        <v>8</v>
      </c>
      <c r="B248" t="s">
        <v>54</v>
      </c>
      <c r="C248">
        <v>202203</v>
      </c>
      <c r="D248" t="str">
        <f t="shared" si="3"/>
        <v>2022</v>
      </c>
      <c r="E248">
        <v>332070</v>
      </c>
      <c r="F248">
        <v>12488985</v>
      </c>
      <c r="G248">
        <v>2.66</v>
      </c>
      <c r="H248" t="s">
        <v>10</v>
      </c>
      <c r="I248" t="s">
        <v>11</v>
      </c>
    </row>
    <row r="249" spans="1:9" hidden="1" x14ac:dyDescent="0.25">
      <c r="A249" t="s">
        <v>8</v>
      </c>
      <c r="B249" t="s">
        <v>54</v>
      </c>
      <c r="C249">
        <v>202204</v>
      </c>
      <c r="D249" t="str">
        <f t="shared" si="3"/>
        <v>2022</v>
      </c>
      <c r="E249">
        <v>293532</v>
      </c>
      <c r="F249">
        <v>12488985</v>
      </c>
      <c r="G249">
        <v>2.35</v>
      </c>
      <c r="H249" t="s">
        <v>10</v>
      </c>
      <c r="I249" t="s">
        <v>11</v>
      </c>
    </row>
    <row r="250" spans="1:9" hidden="1" x14ac:dyDescent="0.25">
      <c r="A250" t="s">
        <v>8</v>
      </c>
      <c r="B250" t="s">
        <v>54</v>
      </c>
      <c r="C250">
        <v>202205</v>
      </c>
      <c r="D250" t="str">
        <f t="shared" si="3"/>
        <v>2022</v>
      </c>
      <c r="E250">
        <v>298712</v>
      </c>
      <c r="F250">
        <v>12488985</v>
      </c>
      <c r="G250">
        <v>2.39</v>
      </c>
      <c r="H250" t="s">
        <v>10</v>
      </c>
      <c r="I250" t="s">
        <v>11</v>
      </c>
    </row>
    <row r="251" spans="1:9" hidden="1" x14ac:dyDescent="0.25">
      <c r="A251" t="s">
        <v>8</v>
      </c>
      <c r="B251" t="s">
        <v>54</v>
      </c>
      <c r="C251">
        <v>202206</v>
      </c>
      <c r="D251" t="str">
        <f t="shared" si="3"/>
        <v>2022</v>
      </c>
      <c r="E251">
        <v>309844</v>
      </c>
      <c r="F251">
        <v>12488985</v>
      </c>
      <c r="G251">
        <v>2.48</v>
      </c>
      <c r="H251" t="s">
        <v>10</v>
      </c>
      <c r="I251" t="s">
        <v>11</v>
      </c>
    </row>
    <row r="252" spans="1:9" hidden="1" x14ac:dyDescent="0.25">
      <c r="A252" t="s">
        <v>8</v>
      </c>
      <c r="B252" t="s">
        <v>54</v>
      </c>
      <c r="C252">
        <v>202207</v>
      </c>
      <c r="D252" t="str">
        <f t="shared" si="3"/>
        <v>2022</v>
      </c>
      <c r="E252">
        <v>288134</v>
      </c>
      <c r="F252">
        <v>12488985</v>
      </c>
      <c r="G252">
        <v>2.31</v>
      </c>
      <c r="H252" t="s">
        <v>10</v>
      </c>
      <c r="I252" t="s">
        <v>11</v>
      </c>
    </row>
    <row r="253" spans="1:9" hidden="1" x14ac:dyDescent="0.25">
      <c r="A253" t="s">
        <v>8</v>
      </c>
      <c r="B253" t="s">
        <v>54</v>
      </c>
      <c r="C253">
        <v>202208</v>
      </c>
      <c r="D253" t="str">
        <f t="shared" si="3"/>
        <v>2022</v>
      </c>
      <c r="E253">
        <v>321782</v>
      </c>
      <c r="F253">
        <v>12488985</v>
      </c>
      <c r="G253">
        <v>2.58</v>
      </c>
      <c r="H253" t="s">
        <v>10</v>
      </c>
      <c r="I253" t="s">
        <v>11</v>
      </c>
    </row>
    <row r="254" spans="1:9" hidden="1" x14ac:dyDescent="0.25">
      <c r="A254" t="s">
        <v>8</v>
      </c>
      <c r="B254" t="s">
        <v>54</v>
      </c>
      <c r="C254">
        <v>202209</v>
      </c>
      <c r="D254" t="str">
        <f t="shared" si="3"/>
        <v>2022</v>
      </c>
      <c r="E254">
        <v>301945</v>
      </c>
      <c r="F254">
        <v>12488985</v>
      </c>
      <c r="G254">
        <v>2.42</v>
      </c>
      <c r="H254" t="s">
        <v>10</v>
      </c>
      <c r="I254" t="s">
        <v>11</v>
      </c>
    </row>
    <row r="255" spans="1:9" hidden="1" x14ac:dyDescent="0.25">
      <c r="A255" t="s">
        <v>8</v>
      </c>
      <c r="B255" t="s">
        <v>54</v>
      </c>
      <c r="C255">
        <v>202210</v>
      </c>
      <c r="D255" t="str">
        <f t="shared" si="3"/>
        <v>2022</v>
      </c>
      <c r="E255">
        <v>307791</v>
      </c>
      <c r="F255">
        <v>12488985</v>
      </c>
      <c r="G255">
        <v>2.46</v>
      </c>
      <c r="H255" t="s">
        <v>10</v>
      </c>
      <c r="I255" t="s">
        <v>11</v>
      </c>
    </row>
    <row r="256" spans="1:9" hidden="1" x14ac:dyDescent="0.25">
      <c r="A256" t="s">
        <v>8</v>
      </c>
      <c r="B256" t="s">
        <v>54</v>
      </c>
      <c r="C256">
        <v>202211</v>
      </c>
      <c r="D256" t="str">
        <f t="shared" si="3"/>
        <v>2022</v>
      </c>
      <c r="E256">
        <v>301448</v>
      </c>
      <c r="F256">
        <v>12488985</v>
      </c>
      <c r="G256">
        <v>2.41</v>
      </c>
      <c r="H256" t="s">
        <v>10</v>
      </c>
      <c r="I256" t="s">
        <v>11</v>
      </c>
    </row>
    <row r="257" spans="1:9" hidden="1" x14ac:dyDescent="0.25">
      <c r="A257" t="s">
        <v>8</v>
      </c>
      <c r="B257" t="s">
        <v>54</v>
      </c>
      <c r="C257">
        <v>202212</v>
      </c>
      <c r="D257" t="str">
        <f t="shared" si="3"/>
        <v>2022</v>
      </c>
      <c r="E257">
        <v>282471</v>
      </c>
      <c r="F257">
        <v>12488985</v>
      </c>
      <c r="G257">
        <v>2.2599999999999998</v>
      </c>
      <c r="H257" t="s">
        <v>10</v>
      </c>
      <c r="I257" t="s">
        <v>11</v>
      </c>
    </row>
    <row r="258" spans="1:9" hidden="1" x14ac:dyDescent="0.25">
      <c r="A258" t="s">
        <v>8</v>
      </c>
      <c r="B258" t="s">
        <v>54</v>
      </c>
      <c r="C258">
        <v>202301</v>
      </c>
      <c r="D258" t="str">
        <f t="shared" si="3"/>
        <v>2023</v>
      </c>
      <c r="E258">
        <v>305562</v>
      </c>
      <c r="F258">
        <v>12488985</v>
      </c>
      <c r="G258">
        <v>2.4500000000000002</v>
      </c>
      <c r="H258" t="s">
        <v>10</v>
      </c>
      <c r="I258" t="s">
        <v>11</v>
      </c>
    </row>
    <row r="259" spans="1:9" hidden="1" x14ac:dyDescent="0.25">
      <c r="A259" t="s">
        <v>8</v>
      </c>
      <c r="B259" t="s">
        <v>54</v>
      </c>
      <c r="C259">
        <v>202302</v>
      </c>
      <c r="D259" t="str">
        <f t="shared" ref="D259:D322" si="4">LEFT(C259,4)</f>
        <v>2023</v>
      </c>
      <c r="E259">
        <v>297720</v>
      </c>
      <c r="F259">
        <v>12488985</v>
      </c>
      <c r="G259">
        <v>2.38</v>
      </c>
      <c r="H259" t="s">
        <v>10</v>
      </c>
      <c r="I259" t="s">
        <v>11</v>
      </c>
    </row>
    <row r="260" spans="1:9" hidden="1" x14ac:dyDescent="0.25">
      <c r="A260" t="s">
        <v>8</v>
      </c>
      <c r="B260" t="s">
        <v>54</v>
      </c>
      <c r="C260">
        <v>202303</v>
      </c>
      <c r="D260" t="str">
        <f t="shared" si="4"/>
        <v>2023</v>
      </c>
      <c r="E260">
        <v>329363</v>
      </c>
      <c r="F260">
        <v>12488985</v>
      </c>
      <c r="G260">
        <v>2.64</v>
      </c>
      <c r="H260" t="s">
        <v>10</v>
      </c>
      <c r="I260" t="s">
        <v>11</v>
      </c>
    </row>
    <row r="261" spans="1:9" hidden="1" x14ac:dyDescent="0.25">
      <c r="A261" t="s">
        <v>8</v>
      </c>
      <c r="B261" t="s">
        <v>54</v>
      </c>
      <c r="C261">
        <v>202304</v>
      </c>
      <c r="D261" t="str">
        <f t="shared" si="4"/>
        <v>2023</v>
      </c>
      <c r="E261">
        <v>297655</v>
      </c>
      <c r="F261">
        <v>12488985</v>
      </c>
      <c r="G261">
        <v>2.38</v>
      </c>
      <c r="H261" t="s">
        <v>10</v>
      </c>
      <c r="I261" t="s">
        <v>11</v>
      </c>
    </row>
    <row r="262" spans="1:9" hidden="1" x14ac:dyDescent="0.25">
      <c r="A262" t="s">
        <v>8</v>
      </c>
      <c r="B262" t="s">
        <v>54</v>
      </c>
      <c r="C262">
        <v>202305</v>
      </c>
      <c r="D262" t="str">
        <f t="shared" si="4"/>
        <v>2023</v>
      </c>
      <c r="E262">
        <v>314067</v>
      </c>
      <c r="F262">
        <v>12488985</v>
      </c>
      <c r="G262">
        <v>2.5099999999999998</v>
      </c>
      <c r="H262" t="s">
        <v>10</v>
      </c>
      <c r="I262" t="s">
        <v>11</v>
      </c>
    </row>
    <row r="263" spans="1:9" hidden="1" x14ac:dyDescent="0.25">
      <c r="A263" t="s">
        <v>8</v>
      </c>
      <c r="B263" t="s">
        <v>54</v>
      </c>
      <c r="C263">
        <v>202306</v>
      </c>
      <c r="D263" t="str">
        <f t="shared" si="4"/>
        <v>2023</v>
      </c>
      <c r="E263">
        <v>306816</v>
      </c>
      <c r="F263">
        <v>12488985</v>
      </c>
      <c r="G263">
        <v>2.46</v>
      </c>
      <c r="H263" t="s">
        <v>10</v>
      </c>
      <c r="I263" t="s">
        <v>11</v>
      </c>
    </row>
    <row r="264" spans="1:9" hidden="1" x14ac:dyDescent="0.25">
      <c r="A264" t="s">
        <v>8</v>
      </c>
      <c r="B264" t="s">
        <v>54</v>
      </c>
      <c r="C264">
        <v>202307</v>
      </c>
      <c r="D264" t="str">
        <f t="shared" si="4"/>
        <v>2023</v>
      </c>
      <c r="E264">
        <v>273816</v>
      </c>
      <c r="F264">
        <v>12488985</v>
      </c>
      <c r="G264">
        <v>2.19</v>
      </c>
      <c r="H264" t="s">
        <v>10</v>
      </c>
      <c r="I264" t="s">
        <v>11</v>
      </c>
    </row>
    <row r="265" spans="1:9" hidden="1" x14ac:dyDescent="0.25">
      <c r="A265" t="s">
        <v>8</v>
      </c>
      <c r="B265" t="s">
        <v>54</v>
      </c>
      <c r="C265">
        <v>202308</v>
      </c>
      <c r="D265" t="str">
        <f t="shared" si="4"/>
        <v>2023</v>
      </c>
      <c r="E265">
        <v>307178</v>
      </c>
      <c r="F265">
        <v>12488985</v>
      </c>
      <c r="G265">
        <v>2.46</v>
      </c>
      <c r="H265" t="s">
        <v>10</v>
      </c>
      <c r="I265" t="s">
        <v>11</v>
      </c>
    </row>
    <row r="266" spans="1:9" hidden="1" x14ac:dyDescent="0.25">
      <c r="A266" t="s">
        <v>8</v>
      </c>
      <c r="B266" t="s">
        <v>54</v>
      </c>
      <c r="C266">
        <v>202309</v>
      </c>
      <c r="D266" t="str">
        <f t="shared" si="4"/>
        <v>2023</v>
      </c>
      <c r="E266">
        <v>287674</v>
      </c>
      <c r="F266">
        <v>12488985</v>
      </c>
      <c r="G266">
        <v>2.2999999999999998</v>
      </c>
      <c r="H266" t="s">
        <v>10</v>
      </c>
      <c r="I266" t="s">
        <v>11</v>
      </c>
    </row>
    <row r="267" spans="1:9" hidden="1" x14ac:dyDescent="0.25">
      <c r="A267" t="s">
        <v>8</v>
      </c>
      <c r="B267" t="s">
        <v>54</v>
      </c>
      <c r="C267">
        <v>202310</v>
      </c>
      <c r="D267" t="str">
        <f t="shared" si="4"/>
        <v>2023</v>
      </c>
      <c r="E267">
        <v>311092</v>
      </c>
      <c r="F267">
        <v>12488985</v>
      </c>
      <c r="G267">
        <v>2.4900000000000002</v>
      </c>
      <c r="H267" t="s">
        <v>10</v>
      </c>
      <c r="I267" t="s">
        <v>11</v>
      </c>
    </row>
    <row r="268" spans="1:9" hidden="1" x14ac:dyDescent="0.25">
      <c r="A268" t="s">
        <v>8</v>
      </c>
      <c r="B268" t="s">
        <v>54</v>
      </c>
      <c r="C268">
        <v>202311</v>
      </c>
      <c r="D268" t="str">
        <f t="shared" si="4"/>
        <v>2023</v>
      </c>
      <c r="E268">
        <v>292303</v>
      </c>
      <c r="F268">
        <v>12488985</v>
      </c>
      <c r="G268">
        <v>2.34</v>
      </c>
      <c r="H268" t="s">
        <v>10</v>
      </c>
      <c r="I268" t="s">
        <v>11</v>
      </c>
    </row>
    <row r="269" spans="1:9" hidden="1" x14ac:dyDescent="0.25">
      <c r="A269" t="s">
        <v>8</v>
      </c>
      <c r="B269" t="s">
        <v>54</v>
      </c>
      <c r="C269">
        <v>202312</v>
      </c>
      <c r="D269" t="str">
        <f t="shared" si="4"/>
        <v>2023</v>
      </c>
      <c r="E269">
        <v>273705</v>
      </c>
      <c r="F269">
        <v>12488985</v>
      </c>
      <c r="G269">
        <v>2.19</v>
      </c>
      <c r="H269" t="s">
        <v>10</v>
      </c>
      <c r="I269" t="s">
        <v>11</v>
      </c>
    </row>
    <row r="270" spans="1:9" hidden="1" x14ac:dyDescent="0.25">
      <c r="A270" t="s">
        <v>8</v>
      </c>
      <c r="B270" t="s">
        <v>54</v>
      </c>
      <c r="C270">
        <v>202401</v>
      </c>
      <c r="D270" t="str">
        <f t="shared" si="4"/>
        <v>2024</v>
      </c>
      <c r="E270">
        <v>139128</v>
      </c>
      <c r="F270">
        <v>12488985</v>
      </c>
      <c r="G270">
        <v>1.1100000000000001</v>
      </c>
      <c r="H270" t="s">
        <v>10</v>
      </c>
      <c r="I270" t="s">
        <v>11</v>
      </c>
    </row>
    <row r="271" spans="1:9" hidden="1" x14ac:dyDescent="0.25">
      <c r="A271" t="s">
        <v>8</v>
      </c>
      <c r="B271" t="s">
        <v>9</v>
      </c>
      <c r="C271">
        <v>201412</v>
      </c>
      <c r="D271" t="str">
        <f t="shared" si="4"/>
        <v>2014</v>
      </c>
      <c r="E271">
        <v>6</v>
      </c>
      <c r="F271">
        <v>7061428</v>
      </c>
      <c r="G271">
        <v>0</v>
      </c>
      <c r="H271" t="s">
        <v>10</v>
      </c>
      <c r="I271" t="s">
        <v>11</v>
      </c>
    </row>
    <row r="272" spans="1:9" hidden="1" x14ac:dyDescent="0.25">
      <c r="A272" t="s">
        <v>8</v>
      </c>
      <c r="B272" t="s">
        <v>9</v>
      </c>
      <c r="C272">
        <v>201503</v>
      </c>
      <c r="D272" t="str">
        <f t="shared" si="4"/>
        <v>2015</v>
      </c>
      <c r="E272">
        <v>2</v>
      </c>
      <c r="F272">
        <v>7061428</v>
      </c>
      <c r="G272">
        <v>0</v>
      </c>
      <c r="H272" t="s">
        <v>10</v>
      </c>
      <c r="I272" t="s">
        <v>11</v>
      </c>
    </row>
    <row r="273" spans="1:9" hidden="1" x14ac:dyDescent="0.25">
      <c r="A273" t="s">
        <v>8</v>
      </c>
      <c r="B273" t="s">
        <v>9</v>
      </c>
      <c r="C273">
        <v>201504</v>
      </c>
      <c r="D273" t="str">
        <f t="shared" si="4"/>
        <v>2015</v>
      </c>
      <c r="E273">
        <v>3</v>
      </c>
      <c r="F273">
        <v>7061428</v>
      </c>
      <c r="G273">
        <v>0</v>
      </c>
      <c r="H273" t="s">
        <v>10</v>
      </c>
      <c r="I273" t="s">
        <v>11</v>
      </c>
    </row>
    <row r="274" spans="1:9" hidden="1" x14ac:dyDescent="0.25">
      <c r="A274" t="s">
        <v>8</v>
      </c>
      <c r="B274" t="s">
        <v>9</v>
      </c>
      <c r="C274">
        <v>201505</v>
      </c>
      <c r="D274" t="str">
        <f t="shared" si="4"/>
        <v>2015</v>
      </c>
      <c r="E274">
        <v>8</v>
      </c>
      <c r="F274">
        <v>7061428</v>
      </c>
      <c r="G274">
        <v>0</v>
      </c>
      <c r="H274" t="s">
        <v>10</v>
      </c>
      <c r="I274" t="s">
        <v>11</v>
      </c>
    </row>
    <row r="275" spans="1:9" hidden="1" x14ac:dyDescent="0.25">
      <c r="A275" t="s">
        <v>8</v>
      </c>
      <c r="B275" t="s">
        <v>9</v>
      </c>
      <c r="C275">
        <v>201506</v>
      </c>
      <c r="D275" t="str">
        <f t="shared" si="4"/>
        <v>2015</v>
      </c>
      <c r="E275">
        <v>1</v>
      </c>
      <c r="F275">
        <v>7061428</v>
      </c>
      <c r="G275">
        <v>0</v>
      </c>
      <c r="H275" t="s">
        <v>10</v>
      </c>
      <c r="I275" t="s">
        <v>11</v>
      </c>
    </row>
    <row r="276" spans="1:9" hidden="1" x14ac:dyDescent="0.25">
      <c r="A276" t="s">
        <v>8</v>
      </c>
      <c r="B276" t="s">
        <v>9</v>
      </c>
      <c r="C276">
        <v>201508</v>
      </c>
      <c r="D276" t="str">
        <f t="shared" si="4"/>
        <v>2015</v>
      </c>
      <c r="E276">
        <v>8</v>
      </c>
      <c r="F276">
        <v>7061428</v>
      </c>
      <c r="G276">
        <v>0</v>
      </c>
      <c r="H276" t="s">
        <v>10</v>
      </c>
      <c r="I276" t="s">
        <v>11</v>
      </c>
    </row>
    <row r="277" spans="1:9" hidden="1" x14ac:dyDescent="0.25">
      <c r="A277" t="s">
        <v>8</v>
      </c>
      <c r="B277" t="s">
        <v>9</v>
      </c>
      <c r="C277">
        <v>201509</v>
      </c>
      <c r="D277" t="str">
        <f t="shared" si="4"/>
        <v>2015</v>
      </c>
      <c r="E277">
        <v>1</v>
      </c>
      <c r="F277">
        <v>7061428</v>
      </c>
      <c r="G277">
        <v>0</v>
      </c>
      <c r="H277" t="s">
        <v>10</v>
      </c>
      <c r="I277" t="s">
        <v>11</v>
      </c>
    </row>
    <row r="278" spans="1:9" hidden="1" x14ac:dyDescent="0.25">
      <c r="A278" t="s">
        <v>8</v>
      </c>
      <c r="B278" t="s">
        <v>9</v>
      </c>
      <c r="C278">
        <v>201510</v>
      </c>
      <c r="D278" t="str">
        <f t="shared" si="4"/>
        <v>2015</v>
      </c>
      <c r="E278">
        <v>7</v>
      </c>
      <c r="F278">
        <v>7061428</v>
      </c>
      <c r="G278">
        <v>0</v>
      </c>
      <c r="H278" t="s">
        <v>10</v>
      </c>
      <c r="I278" t="s">
        <v>11</v>
      </c>
    </row>
    <row r="279" spans="1:9" hidden="1" x14ac:dyDescent="0.25">
      <c r="A279" t="s">
        <v>8</v>
      </c>
      <c r="B279" t="s">
        <v>9</v>
      </c>
      <c r="C279">
        <v>201511</v>
      </c>
      <c r="D279" t="str">
        <f t="shared" si="4"/>
        <v>2015</v>
      </c>
      <c r="E279">
        <v>7</v>
      </c>
      <c r="F279">
        <v>7061428</v>
      </c>
      <c r="G279">
        <v>0</v>
      </c>
      <c r="H279" t="s">
        <v>10</v>
      </c>
      <c r="I279" t="s">
        <v>11</v>
      </c>
    </row>
    <row r="280" spans="1:9" hidden="1" x14ac:dyDescent="0.25">
      <c r="A280" t="s">
        <v>8</v>
      </c>
      <c r="B280" t="s">
        <v>9</v>
      </c>
      <c r="C280">
        <v>201608</v>
      </c>
      <c r="D280" t="str">
        <f t="shared" si="4"/>
        <v>2016</v>
      </c>
      <c r="E280">
        <v>6</v>
      </c>
      <c r="F280">
        <v>7061428</v>
      </c>
      <c r="G280">
        <v>0</v>
      </c>
      <c r="H280" t="s">
        <v>10</v>
      </c>
      <c r="I280" t="s">
        <v>11</v>
      </c>
    </row>
    <row r="281" spans="1:9" hidden="1" x14ac:dyDescent="0.25">
      <c r="A281" t="s">
        <v>8</v>
      </c>
      <c r="B281" t="s">
        <v>9</v>
      </c>
      <c r="C281">
        <v>201609</v>
      </c>
      <c r="D281" t="str">
        <f t="shared" si="4"/>
        <v>2016</v>
      </c>
      <c r="E281">
        <v>5</v>
      </c>
      <c r="F281">
        <v>7061428</v>
      </c>
      <c r="G281">
        <v>0</v>
      </c>
      <c r="H281" t="s">
        <v>10</v>
      </c>
      <c r="I281" t="s">
        <v>11</v>
      </c>
    </row>
    <row r="282" spans="1:9" hidden="1" x14ac:dyDescent="0.25">
      <c r="A282" t="s">
        <v>8</v>
      </c>
      <c r="B282" t="s">
        <v>9</v>
      </c>
      <c r="C282">
        <v>201610</v>
      </c>
      <c r="D282" t="str">
        <f t="shared" si="4"/>
        <v>2016</v>
      </c>
      <c r="E282">
        <v>11</v>
      </c>
      <c r="F282">
        <v>7061428</v>
      </c>
      <c r="G282">
        <v>0</v>
      </c>
      <c r="H282" t="s">
        <v>10</v>
      </c>
      <c r="I282" t="s">
        <v>11</v>
      </c>
    </row>
    <row r="283" spans="1:9" hidden="1" x14ac:dyDescent="0.25">
      <c r="A283" t="s">
        <v>8</v>
      </c>
      <c r="B283" t="s">
        <v>9</v>
      </c>
      <c r="C283">
        <v>201702</v>
      </c>
      <c r="D283" t="str">
        <f t="shared" si="4"/>
        <v>2017</v>
      </c>
      <c r="E283">
        <v>6</v>
      </c>
      <c r="F283">
        <v>7061428</v>
      </c>
      <c r="G283">
        <v>0</v>
      </c>
      <c r="H283" t="s">
        <v>10</v>
      </c>
      <c r="I283" t="s">
        <v>11</v>
      </c>
    </row>
    <row r="284" spans="1:9" hidden="1" x14ac:dyDescent="0.25">
      <c r="A284" t="s">
        <v>8</v>
      </c>
      <c r="B284" t="s">
        <v>9</v>
      </c>
      <c r="C284">
        <v>201703</v>
      </c>
      <c r="D284" t="str">
        <f t="shared" si="4"/>
        <v>2017</v>
      </c>
      <c r="E284">
        <v>8</v>
      </c>
      <c r="F284">
        <v>7061428</v>
      </c>
      <c r="G284">
        <v>0</v>
      </c>
      <c r="H284" t="s">
        <v>10</v>
      </c>
      <c r="I284" t="s">
        <v>11</v>
      </c>
    </row>
    <row r="285" spans="1:9" hidden="1" x14ac:dyDescent="0.25">
      <c r="A285" t="s">
        <v>8</v>
      </c>
      <c r="B285" t="s">
        <v>9</v>
      </c>
      <c r="C285">
        <v>201704</v>
      </c>
      <c r="D285" t="str">
        <f t="shared" si="4"/>
        <v>2017</v>
      </c>
      <c r="E285">
        <v>6</v>
      </c>
      <c r="F285">
        <v>7061428</v>
      </c>
      <c r="G285">
        <v>0</v>
      </c>
      <c r="H285" t="s">
        <v>10</v>
      </c>
      <c r="I285" t="s">
        <v>11</v>
      </c>
    </row>
    <row r="286" spans="1:9" hidden="1" x14ac:dyDescent="0.25">
      <c r="A286" t="s">
        <v>8</v>
      </c>
      <c r="B286" t="s">
        <v>9</v>
      </c>
      <c r="C286">
        <v>201705</v>
      </c>
      <c r="D286" t="str">
        <f t="shared" si="4"/>
        <v>2017</v>
      </c>
      <c r="E286">
        <v>3</v>
      </c>
      <c r="F286">
        <v>7061428</v>
      </c>
      <c r="G286">
        <v>0</v>
      </c>
      <c r="H286" t="s">
        <v>10</v>
      </c>
      <c r="I286" t="s">
        <v>11</v>
      </c>
    </row>
    <row r="287" spans="1:9" hidden="1" x14ac:dyDescent="0.25">
      <c r="A287" t="s">
        <v>8</v>
      </c>
      <c r="B287" t="s">
        <v>9</v>
      </c>
      <c r="C287">
        <v>201706</v>
      </c>
      <c r="D287" t="str">
        <f t="shared" si="4"/>
        <v>2017</v>
      </c>
      <c r="E287">
        <v>5</v>
      </c>
      <c r="F287">
        <v>7061428</v>
      </c>
      <c r="G287">
        <v>0</v>
      </c>
      <c r="H287" t="s">
        <v>10</v>
      </c>
      <c r="I287" t="s">
        <v>11</v>
      </c>
    </row>
    <row r="288" spans="1:9" hidden="1" x14ac:dyDescent="0.25">
      <c r="A288" t="s">
        <v>8</v>
      </c>
      <c r="B288" t="s">
        <v>9</v>
      </c>
      <c r="C288">
        <v>201707</v>
      </c>
      <c r="D288" t="str">
        <f t="shared" si="4"/>
        <v>2017</v>
      </c>
      <c r="E288">
        <v>27</v>
      </c>
      <c r="F288">
        <v>7061428</v>
      </c>
      <c r="G288">
        <v>0</v>
      </c>
      <c r="H288" t="s">
        <v>10</v>
      </c>
      <c r="I288" t="s">
        <v>11</v>
      </c>
    </row>
    <row r="289" spans="1:9" hidden="1" x14ac:dyDescent="0.25">
      <c r="A289" t="s">
        <v>8</v>
      </c>
      <c r="B289" t="s">
        <v>9</v>
      </c>
      <c r="C289">
        <v>201708</v>
      </c>
      <c r="D289" t="str">
        <f t="shared" si="4"/>
        <v>2017</v>
      </c>
      <c r="E289">
        <v>14</v>
      </c>
      <c r="F289">
        <v>7061428</v>
      </c>
      <c r="G289">
        <v>0</v>
      </c>
      <c r="H289" t="s">
        <v>10</v>
      </c>
      <c r="I289" t="s">
        <v>11</v>
      </c>
    </row>
    <row r="290" spans="1:9" hidden="1" x14ac:dyDescent="0.25">
      <c r="A290" t="s">
        <v>8</v>
      </c>
      <c r="B290" t="s">
        <v>9</v>
      </c>
      <c r="C290">
        <v>201709</v>
      </c>
      <c r="D290" t="str">
        <f t="shared" si="4"/>
        <v>2017</v>
      </c>
      <c r="E290">
        <v>25</v>
      </c>
      <c r="F290">
        <v>7061428</v>
      </c>
      <c r="G290">
        <v>0</v>
      </c>
      <c r="H290" t="s">
        <v>10</v>
      </c>
      <c r="I290" t="s">
        <v>11</v>
      </c>
    </row>
    <row r="291" spans="1:9" hidden="1" x14ac:dyDescent="0.25">
      <c r="A291" t="s">
        <v>8</v>
      </c>
      <c r="B291" t="s">
        <v>9</v>
      </c>
      <c r="C291">
        <v>201710</v>
      </c>
      <c r="D291" t="str">
        <f t="shared" si="4"/>
        <v>2017</v>
      </c>
      <c r="E291">
        <v>22</v>
      </c>
      <c r="F291">
        <v>7061428</v>
      </c>
      <c r="G291">
        <v>0</v>
      </c>
      <c r="H291" t="s">
        <v>10</v>
      </c>
      <c r="I291" t="s">
        <v>11</v>
      </c>
    </row>
    <row r="292" spans="1:9" hidden="1" x14ac:dyDescent="0.25">
      <c r="A292" t="s">
        <v>8</v>
      </c>
      <c r="B292" t="s">
        <v>9</v>
      </c>
      <c r="C292">
        <v>201711</v>
      </c>
      <c r="D292" t="str">
        <f t="shared" si="4"/>
        <v>2017</v>
      </c>
      <c r="E292">
        <v>25</v>
      </c>
      <c r="F292">
        <v>7061428</v>
      </c>
      <c r="G292">
        <v>0</v>
      </c>
      <c r="H292" t="s">
        <v>10</v>
      </c>
      <c r="I292" t="s">
        <v>11</v>
      </c>
    </row>
    <row r="293" spans="1:9" hidden="1" x14ac:dyDescent="0.25">
      <c r="A293" t="s">
        <v>8</v>
      </c>
      <c r="B293" t="s">
        <v>9</v>
      </c>
      <c r="C293">
        <v>201712</v>
      </c>
      <c r="D293" t="str">
        <f t="shared" si="4"/>
        <v>2017</v>
      </c>
      <c r="E293">
        <v>25</v>
      </c>
      <c r="F293">
        <v>7061428</v>
      </c>
      <c r="G293">
        <v>0</v>
      </c>
      <c r="H293" t="s">
        <v>10</v>
      </c>
      <c r="I293" t="s">
        <v>11</v>
      </c>
    </row>
    <row r="294" spans="1:9" hidden="1" x14ac:dyDescent="0.25">
      <c r="A294" t="s">
        <v>8</v>
      </c>
      <c r="B294" t="s">
        <v>9</v>
      </c>
      <c r="C294">
        <v>201801</v>
      </c>
      <c r="D294" t="str">
        <f t="shared" si="4"/>
        <v>2018</v>
      </c>
      <c r="E294">
        <v>260</v>
      </c>
      <c r="F294">
        <v>7061428</v>
      </c>
      <c r="G294">
        <v>0</v>
      </c>
      <c r="H294" t="s">
        <v>10</v>
      </c>
      <c r="I294" t="s">
        <v>11</v>
      </c>
    </row>
    <row r="295" spans="1:9" hidden="1" x14ac:dyDescent="0.25">
      <c r="A295" t="s">
        <v>8</v>
      </c>
      <c r="B295" t="s">
        <v>9</v>
      </c>
      <c r="C295">
        <v>201802</v>
      </c>
      <c r="D295" t="str">
        <f t="shared" si="4"/>
        <v>2018</v>
      </c>
      <c r="E295">
        <v>218</v>
      </c>
      <c r="F295">
        <v>7061428</v>
      </c>
      <c r="G295">
        <v>0</v>
      </c>
      <c r="H295" t="s">
        <v>10</v>
      </c>
      <c r="I295" t="s">
        <v>11</v>
      </c>
    </row>
    <row r="296" spans="1:9" hidden="1" x14ac:dyDescent="0.25">
      <c r="A296" t="s">
        <v>8</v>
      </c>
      <c r="B296" t="s">
        <v>9</v>
      </c>
      <c r="C296">
        <v>201803</v>
      </c>
      <c r="D296" t="str">
        <f t="shared" si="4"/>
        <v>2018</v>
      </c>
      <c r="E296">
        <v>213</v>
      </c>
      <c r="F296">
        <v>7061428</v>
      </c>
      <c r="G296">
        <v>0</v>
      </c>
      <c r="H296" t="s">
        <v>10</v>
      </c>
      <c r="I296" t="s">
        <v>11</v>
      </c>
    </row>
    <row r="297" spans="1:9" hidden="1" x14ac:dyDescent="0.25">
      <c r="A297" t="s">
        <v>8</v>
      </c>
      <c r="B297" t="s">
        <v>9</v>
      </c>
      <c r="C297">
        <v>201804</v>
      </c>
      <c r="D297" t="str">
        <f t="shared" si="4"/>
        <v>2018</v>
      </c>
      <c r="E297">
        <v>258</v>
      </c>
      <c r="F297">
        <v>7061428</v>
      </c>
      <c r="G297">
        <v>0</v>
      </c>
      <c r="H297" t="s">
        <v>10</v>
      </c>
      <c r="I297" t="s">
        <v>11</v>
      </c>
    </row>
    <row r="298" spans="1:9" hidden="1" x14ac:dyDescent="0.25">
      <c r="A298" t="s">
        <v>8</v>
      </c>
      <c r="B298" t="s">
        <v>9</v>
      </c>
      <c r="C298">
        <v>201805</v>
      </c>
      <c r="D298" t="str">
        <f t="shared" si="4"/>
        <v>2018</v>
      </c>
      <c r="E298">
        <v>240</v>
      </c>
      <c r="F298">
        <v>7061428</v>
      </c>
      <c r="G298">
        <v>0</v>
      </c>
      <c r="H298" t="s">
        <v>10</v>
      </c>
      <c r="I298" t="s">
        <v>11</v>
      </c>
    </row>
    <row r="299" spans="1:9" hidden="1" x14ac:dyDescent="0.25">
      <c r="A299" t="s">
        <v>8</v>
      </c>
      <c r="B299" t="s">
        <v>9</v>
      </c>
      <c r="C299">
        <v>201806</v>
      </c>
      <c r="D299" t="str">
        <f t="shared" si="4"/>
        <v>2018</v>
      </c>
      <c r="E299">
        <v>296</v>
      </c>
      <c r="F299">
        <v>7061428</v>
      </c>
      <c r="G299">
        <v>0</v>
      </c>
      <c r="H299" t="s">
        <v>10</v>
      </c>
      <c r="I299" t="s">
        <v>11</v>
      </c>
    </row>
    <row r="300" spans="1:9" hidden="1" x14ac:dyDescent="0.25">
      <c r="A300" t="s">
        <v>8</v>
      </c>
      <c r="B300" t="s">
        <v>9</v>
      </c>
      <c r="C300">
        <v>201807</v>
      </c>
      <c r="D300" t="str">
        <f t="shared" si="4"/>
        <v>2018</v>
      </c>
      <c r="E300">
        <v>224</v>
      </c>
      <c r="F300">
        <v>7061428</v>
      </c>
      <c r="G300">
        <v>0</v>
      </c>
      <c r="H300" t="s">
        <v>10</v>
      </c>
      <c r="I300" t="s">
        <v>11</v>
      </c>
    </row>
    <row r="301" spans="1:9" hidden="1" x14ac:dyDescent="0.25">
      <c r="A301" t="s">
        <v>8</v>
      </c>
      <c r="B301" t="s">
        <v>9</v>
      </c>
      <c r="C301">
        <v>201808</v>
      </c>
      <c r="D301" t="str">
        <f t="shared" si="4"/>
        <v>2018</v>
      </c>
      <c r="E301">
        <v>463</v>
      </c>
      <c r="F301">
        <v>7061428</v>
      </c>
      <c r="G301">
        <v>0.01</v>
      </c>
      <c r="H301" t="s">
        <v>10</v>
      </c>
      <c r="I301" t="s">
        <v>11</v>
      </c>
    </row>
    <row r="302" spans="1:9" hidden="1" x14ac:dyDescent="0.25">
      <c r="A302" t="s">
        <v>8</v>
      </c>
      <c r="B302" t="s">
        <v>9</v>
      </c>
      <c r="C302">
        <v>201809</v>
      </c>
      <c r="D302" t="str">
        <f t="shared" si="4"/>
        <v>2018</v>
      </c>
      <c r="E302">
        <v>266</v>
      </c>
      <c r="F302">
        <v>7061428</v>
      </c>
      <c r="G302">
        <v>0</v>
      </c>
      <c r="H302" t="s">
        <v>10</v>
      </c>
      <c r="I302" t="s">
        <v>11</v>
      </c>
    </row>
    <row r="303" spans="1:9" hidden="1" x14ac:dyDescent="0.25">
      <c r="A303" t="s">
        <v>8</v>
      </c>
      <c r="B303" t="s">
        <v>9</v>
      </c>
      <c r="C303">
        <v>201810</v>
      </c>
      <c r="D303" t="str">
        <f t="shared" si="4"/>
        <v>2018</v>
      </c>
      <c r="E303">
        <v>512</v>
      </c>
      <c r="F303">
        <v>7061428</v>
      </c>
      <c r="G303">
        <v>0.01</v>
      </c>
      <c r="H303" t="s">
        <v>10</v>
      </c>
      <c r="I303" t="s">
        <v>11</v>
      </c>
    </row>
    <row r="304" spans="1:9" hidden="1" x14ac:dyDescent="0.25">
      <c r="A304" t="s">
        <v>8</v>
      </c>
      <c r="B304" t="s">
        <v>9</v>
      </c>
      <c r="C304">
        <v>201811</v>
      </c>
      <c r="D304" t="str">
        <f t="shared" si="4"/>
        <v>2018</v>
      </c>
      <c r="E304">
        <v>372</v>
      </c>
      <c r="F304">
        <v>7061428</v>
      </c>
      <c r="G304">
        <v>0.01</v>
      </c>
      <c r="H304" t="s">
        <v>10</v>
      </c>
      <c r="I304" t="s">
        <v>11</v>
      </c>
    </row>
    <row r="305" spans="1:9" hidden="1" x14ac:dyDescent="0.25">
      <c r="A305" t="s">
        <v>8</v>
      </c>
      <c r="B305" t="s">
        <v>9</v>
      </c>
      <c r="C305">
        <v>201812</v>
      </c>
      <c r="D305" t="str">
        <f t="shared" si="4"/>
        <v>2018</v>
      </c>
      <c r="E305">
        <v>385</v>
      </c>
      <c r="F305">
        <v>7061428</v>
      </c>
      <c r="G305">
        <v>0.01</v>
      </c>
      <c r="H305" t="s">
        <v>10</v>
      </c>
      <c r="I305" t="s">
        <v>11</v>
      </c>
    </row>
    <row r="306" spans="1:9" hidden="1" x14ac:dyDescent="0.25">
      <c r="A306" t="s">
        <v>8</v>
      </c>
      <c r="B306" t="s">
        <v>9</v>
      </c>
      <c r="C306">
        <v>201901</v>
      </c>
      <c r="D306" t="str">
        <f t="shared" si="4"/>
        <v>2019</v>
      </c>
      <c r="E306">
        <v>12412</v>
      </c>
      <c r="F306">
        <v>7061428</v>
      </c>
      <c r="G306">
        <v>0.18</v>
      </c>
      <c r="H306" t="s">
        <v>10</v>
      </c>
      <c r="I306" t="s">
        <v>11</v>
      </c>
    </row>
    <row r="307" spans="1:9" hidden="1" x14ac:dyDescent="0.25">
      <c r="A307" t="s">
        <v>8</v>
      </c>
      <c r="B307" t="s">
        <v>9</v>
      </c>
      <c r="C307">
        <v>201902</v>
      </c>
      <c r="D307" t="str">
        <f t="shared" si="4"/>
        <v>2019</v>
      </c>
      <c r="E307">
        <v>10653</v>
      </c>
      <c r="F307">
        <v>7061428</v>
      </c>
      <c r="G307">
        <v>0.15</v>
      </c>
      <c r="H307" t="s">
        <v>10</v>
      </c>
      <c r="I307" t="s">
        <v>11</v>
      </c>
    </row>
    <row r="308" spans="1:9" hidden="1" x14ac:dyDescent="0.25">
      <c r="A308" t="s">
        <v>8</v>
      </c>
      <c r="B308" t="s">
        <v>9</v>
      </c>
      <c r="C308">
        <v>201903</v>
      </c>
      <c r="D308" t="str">
        <f t="shared" si="4"/>
        <v>2019</v>
      </c>
      <c r="E308">
        <v>12527</v>
      </c>
      <c r="F308">
        <v>7061428</v>
      </c>
      <c r="G308">
        <v>0.18</v>
      </c>
      <c r="H308" t="s">
        <v>10</v>
      </c>
      <c r="I308" t="s">
        <v>11</v>
      </c>
    </row>
    <row r="309" spans="1:9" hidden="1" x14ac:dyDescent="0.25">
      <c r="A309" t="s">
        <v>8</v>
      </c>
      <c r="B309" t="s">
        <v>9</v>
      </c>
      <c r="C309">
        <v>201904</v>
      </c>
      <c r="D309" t="str">
        <f t="shared" si="4"/>
        <v>2019</v>
      </c>
      <c r="E309">
        <v>13858</v>
      </c>
      <c r="F309">
        <v>7061428</v>
      </c>
      <c r="G309">
        <v>0.2</v>
      </c>
      <c r="H309" t="s">
        <v>10</v>
      </c>
      <c r="I309" t="s">
        <v>11</v>
      </c>
    </row>
    <row r="310" spans="1:9" hidden="1" x14ac:dyDescent="0.25">
      <c r="A310" t="s">
        <v>8</v>
      </c>
      <c r="B310" t="s">
        <v>9</v>
      </c>
      <c r="C310">
        <v>201905</v>
      </c>
      <c r="D310" t="str">
        <f t="shared" si="4"/>
        <v>2019</v>
      </c>
      <c r="E310">
        <v>12623</v>
      </c>
      <c r="F310">
        <v>7061428</v>
      </c>
      <c r="G310">
        <v>0.18</v>
      </c>
      <c r="H310" t="s">
        <v>10</v>
      </c>
      <c r="I310" t="s">
        <v>11</v>
      </c>
    </row>
    <row r="311" spans="1:9" hidden="1" x14ac:dyDescent="0.25">
      <c r="A311" t="s">
        <v>8</v>
      </c>
      <c r="B311" t="s">
        <v>9</v>
      </c>
      <c r="C311">
        <v>201906</v>
      </c>
      <c r="D311" t="str">
        <f t="shared" si="4"/>
        <v>2019</v>
      </c>
      <c r="E311">
        <v>12637</v>
      </c>
      <c r="F311">
        <v>7061428</v>
      </c>
      <c r="G311">
        <v>0.18</v>
      </c>
      <c r="H311" t="s">
        <v>10</v>
      </c>
      <c r="I311" t="s">
        <v>11</v>
      </c>
    </row>
    <row r="312" spans="1:9" hidden="1" x14ac:dyDescent="0.25">
      <c r="A312" t="s">
        <v>8</v>
      </c>
      <c r="B312" t="s">
        <v>9</v>
      </c>
      <c r="C312">
        <v>201907</v>
      </c>
      <c r="D312" t="str">
        <f t="shared" si="4"/>
        <v>2019</v>
      </c>
      <c r="E312">
        <v>13331</v>
      </c>
      <c r="F312">
        <v>7061428</v>
      </c>
      <c r="G312">
        <v>0.19</v>
      </c>
      <c r="H312" t="s">
        <v>10</v>
      </c>
      <c r="I312" t="s">
        <v>11</v>
      </c>
    </row>
    <row r="313" spans="1:9" hidden="1" x14ac:dyDescent="0.25">
      <c r="A313" t="s">
        <v>8</v>
      </c>
      <c r="B313" t="s">
        <v>9</v>
      </c>
      <c r="C313">
        <v>201908</v>
      </c>
      <c r="D313" t="str">
        <f t="shared" si="4"/>
        <v>2019</v>
      </c>
      <c r="E313">
        <v>13569</v>
      </c>
      <c r="F313">
        <v>7061428</v>
      </c>
      <c r="G313">
        <v>0.19</v>
      </c>
      <c r="H313" t="s">
        <v>10</v>
      </c>
      <c r="I313" t="s">
        <v>11</v>
      </c>
    </row>
    <row r="314" spans="1:9" hidden="1" x14ac:dyDescent="0.25">
      <c r="A314" t="s">
        <v>8</v>
      </c>
      <c r="B314" t="s">
        <v>9</v>
      </c>
      <c r="C314">
        <v>201909</v>
      </c>
      <c r="D314" t="str">
        <f t="shared" si="4"/>
        <v>2019</v>
      </c>
      <c r="E314">
        <v>12547</v>
      </c>
      <c r="F314">
        <v>7061428</v>
      </c>
      <c r="G314">
        <v>0.18</v>
      </c>
      <c r="H314" t="s">
        <v>10</v>
      </c>
      <c r="I314" t="s">
        <v>11</v>
      </c>
    </row>
    <row r="315" spans="1:9" hidden="1" x14ac:dyDescent="0.25">
      <c r="A315" t="s">
        <v>8</v>
      </c>
      <c r="B315" t="s">
        <v>9</v>
      </c>
      <c r="C315">
        <v>201910</v>
      </c>
      <c r="D315" t="str">
        <f t="shared" si="4"/>
        <v>2019</v>
      </c>
      <c r="E315">
        <v>15233</v>
      </c>
      <c r="F315">
        <v>7061428</v>
      </c>
      <c r="G315">
        <v>0.22</v>
      </c>
      <c r="H315" t="s">
        <v>10</v>
      </c>
      <c r="I315" t="s">
        <v>11</v>
      </c>
    </row>
    <row r="316" spans="1:9" hidden="1" x14ac:dyDescent="0.25">
      <c r="A316" t="s">
        <v>8</v>
      </c>
      <c r="B316" t="s">
        <v>9</v>
      </c>
      <c r="C316">
        <v>201911</v>
      </c>
      <c r="D316" t="str">
        <f t="shared" si="4"/>
        <v>2019</v>
      </c>
      <c r="E316">
        <v>12244</v>
      </c>
      <c r="F316">
        <v>7061428</v>
      </c>
      <c r="G316">
        <v>0.17</v>
      </c>
      <c r="H316" t="s">
        <v>10</v>
      </c>
      <c r="I316" t="s">
        <v>11</v>
      </c>
    </row>
    <row r="317" spans="1:9" hidden="1" x14ac:dyDescent="0.25">
      <c r="A317" t="s">
        <v>8</v>
      </c>
      <c r="B317" t="s">
        <v>9</v>
      </c>
      <c r="C317">
        <v>201912</v>
      </c>
      <c r="D317" t="str">
        <f t="shared" si="4"/>
        <v>2019</v>
      </c>
      <c r="E317">
        <v>11648</v>
      </c>
      <c r="F317">
        <v>7061428</v>
      </c>
      <c r="G317">
        <v>0.16</v>
      </c>
      <c r="H317" t="s">
        <v>10</v>
      </c>
      <c r="I317" t="s">
        <v>11</v>
      </c>
    </row>
    <row r="318" spans="1:9" hidden="1" x14ac:dyDescent="0.25">
      <c r="A318" t="s">
        <v>8</v>
      </c>
      <c r="B318" t="s">
        <v>9</v>
      </c>
      <c r="C318">
        <v>202001</v>
      </c>
      <c r="D318" t="str">
        <f t="shared" si="4"/>
        <v>2020</v>
      </c>
      <c r="E318">
        <v>46672</v>
      </c>
      <c r="F318">
        <v>7061428</v>
      </c>
      <c r="G318">
        <v>0.66</v>
      </c>
      <c r="H318" t="s">
        <v>10</v>
      </c>
      <c r="I318" t="s">
        <v>11</v>
      </c>
    </row>
    <row r="319" spans="1:9" hidden="1" x14ac:dyDescent="0.25">
      <c r="A319" t="s">
        <v>8</v>
      </c>
      <c r="B319" t="s">
        <v>9</v>
      </c>
      <c r="C319">
        <v>202002</v>
      </c>
      <c r="D319" t="str">
        <f t="shared" si="4"/>
        <v>2020</v>
      </c>
      <c r="E319">
        <v>44579</v>
      </c>
      <c r="F319">
        <v>7061428</v>
      </c>
      <c r="G319">
        <v>0.63</v>
      </c>
      <c r="H319" t="s">
        <v>10</v>
      </c>
      <c r="I319" t="s">
        <v>11</v>
      </c>
    </row>
    <row r="320" spans="1:9" hidden="1" x14ac:dyDescent="0.25">
      <c r="A320" t="s">
        <v>8</v>
      </c>
      <c r="B320" t="s">
        <v>9</v>
      </c>
      <c r="C320">
        <v>202003</v>
      </c>
      <c r="D320" t="str">
        <f t="shared" si="4"/>
        <v>2020</v>
      </c>
      <c r="E320">
        <v>39935</v>
      </c>
      <c r="F320">
        <v>7061428</v>
      </c>
      <c r="G320">
        <v>0.56999999999999995</v>
      </c>
      <c r="H320" t="s">
        <v>10</v>
      </c>
      <c r="I320" t="s">
        <v>11</v>
      </c>
    </row>
    <row r="321" spans="1:9" hidden="1" x14ac:dyDescent="0.25">
      <c r="A321" t="s">
        <v>8</v>
      </c>
      <c r="B321" t="s">
        <v>9</v>
      </c>
      <c r="C321">
        <v>202004</v>
      </c>
      <c r="D321" t="str">
        <f t="shared" si="4"/>
        <v>2020</v>
      </c>
      <c r="E321">
        <v>23107</v>
      </c>
      <c r="F321">
        <v>7061428</v>
      </c>
      <c r="G321">
        <v>0.33</v>
      </c>
      <c r="H321" t="s">
        <v>10</v>
      </c>
      <c r="I321" t="s">
        <v>11</v>
      </c>
    </row>
    <row r="322" spans="1:9" hidden="1" x14ac:dyDescent="0.25">
      <c r="A322" t="s">
        <v>8</v>
      </c>
      <c r="B322" t="s">
        <v>9</v>
      </c>
      <c r="C322">
        <v>202005</v>
      </c>
      <c r="D322" t="str">
        <f t="shared" si="4"/>
        <v>2020</v>
      </c>
      <c r="E322">
        <v>41657</v>
      </c>
      <c r="F322">
        <v>7061428</v>
      </c>
      <c r="G322">
        <v>0.59</v>
      </c>
      <c r="H322" t="s">
        <v>10</v>
      </c>
      <c r="I322" t="s">
        <v>11</v>
      </c>
    </row>
    <row r="323" spans="1:9" hidden="1" x14ac:dyDescent="0.25">
      <c r="A323" t="s">
        <v>8</v>
      </c>
      <c r="B323" t="s">
        <v>9</v>
      </c>
      <c r="C323">
        <v>202006</v>
      </c>
      <c r="D323" t="str">
        <f t="shared" ref="D323:D386" si="5">LEFT(C323,4)</f>
        <v>2020</v>
      </c>
      <c r="E323">
        <v>52149</v>
      </c>
      <c r="F323">
        <v>7061428</v>
      </c>
      <c r="G323">
        <v>0.74</v>
      </c>
      <c r="H323" t="s">
        <v>10</v>
      </c>
      <c r="I323" t="s">
        <v>11</v>
      </c>
    </row>
    <row r="324" spans="1:9" hidden="1" x14ac:dyDescent="0.25">
      <c r="A324" t="s">
        <v>8</v>
      </c>
      <c r="B324" t="s">
        <v>9</v>
      </c>
      <c r="C324">
        <v>202007</v>
      </c>
      <c r="D324" t="str">
        <f t="shared" si="5"/>
        <v>2020</v>
      </c>
      <c r="E324">
        <v>42545</v>
      </c>
      <c r="F324">
        <v>7061428</v>
      </c>
      <c r="G324">
        <v>0.6</v>
      </c>
      <c r="H324" t="s">
        <v>10</v>
      </c>
      <c r="I324" t="s">
        <v>11</v>
      </c>
    </row>
    <row r="325" spans="1:9" hidden="1" x14ac:dyDescent="0.25">
      <c r="A325" t="s">
        <v>8</v>
      </c>
      <c r="B325" t="s">
        <v>9</v>
      </c>
      <c r="C325">
        <v>202008</v>
      </c>
      <c r="D325" t="str">
        <f t="shared" si="5"/>
        <v>2020</v>
      </c>
      <c r="E325">
        <v>44035</v>
      </c>
      <c r="F325">
        <v>7061428</v>
      </c>
      <c r="G325">
        <v>0.62</v>
      </c>
      <c r="H325" t="s">
        <v>10</v>
      </c>
      <c r="I325" t="s">
        <v>11</v>
      </c>
    </row>
    <row r="326" spans="1:9" hidden="1" x14ac:dyDescent="0.25">
      <c r="A326" t="s">
        <v>8</v>
      </c>
      <c r="B326" t="s">
        <v>9</v>
      </c>
      <c r="C326">
        <v>202009</v>
      </c>
      <c r="D326" t="str">
        <f t="shared" si="5"/>
        <v>2020</v>
      </c>
      <c r="E326">
        <v>51439</v>
      </c>
      <c r="F326">
        <v>7061428</v>
      </c>
      <c r="G326">
        <v>0.73</v>
      </c>
      <c r="H326" t="s">
        <v>10</v>
      </c>
      <c r="I326" t="s">
        <v>11</v>
      </c>
    </row>
    <row r="327" spans="1:9" hidden="1" x14ac:dyDescent="0.25">
      <c r="A327" t="s">
        <v>8</v>
      </c>
      <c r="B327" t="s">
        <v>9</v>
      </c>
      <c r="C327">
        <v>202010</v>
      </c>
      <c r="D327" t="str">
        <f t="shared" si="5"/>
        <v>2020</v>
      </c>
      <c r="E327">
        <v>69049</v>
      </c>
      <c r="F327">
        <v>7061428</v>
      </c>
      <c r="G327">
        <v>0.98</v>
      </c>
      <c r="H327" t="s">
        <v>10</v>
      </c>
      <c r="I327" t="s">
        <v>11</v>
      </c>
    </row>
    <row r="328" spans="1:9" hidden="1" x14ac:dyDescent="0.25">
      <c r="A328" t="s">
        <v>8</v>
      </c>
      <c r="B328" t="s">
        <v>9</v>
      </c>
      <c r="C328">
        <v>202011</v>
      </c>
      <c r="D328" t="str">
        <f t="shared" si="5"/>
        <v>2020</v>
      </c>
      <c r="E328">
        <v>47985</v>
      </c>
      <c r="F328">
        <v>7061428</v>
      </c>
      <c r="G328">
        <v>0.68</v>
      </c>
      <c r="H328" t="s">
        <v>10</v>
      </c>
      <c r="I328" t="s">
        <v>11</v>
      </c>
    </row>
    <row r="329" spans="1:9" hidden="1" x14ac:dyDescent="0.25">
      <c r="A329" t="s">
        <v>8</v>
      </c>
      <c r="B329" t="s">
        <v>9</v>
      </c>
      <c r="C329">
        <v>202012</v>
      </c>
      <c r="D329" t="str">
        <f t="shared" si="5"/>
        <v>2020</v>
      </c>
      <c r="E329">
        <v>53793</v>
      </c>
      <c r="F329">
        <v>7061428</v>
      </c>
      <c r="G329">
        <v>0.76</v>
      </c>
      <c r="H329" t="s">
        <v>10</v>
      </c>
      <c r="I329" t="s">
        <v>11</v>
      </c>
    </row>
    <row r="330" spans="1:9" hidden="1" x14ac:dyDescent="0.25">
      <c r="A330" t="s">
        <v>8</v>
      </c>
      <c r="B330" t="s">
        <v>9</v>
      </c>
      <c r="C330">
        <v>202101</v>
      </c>
      <c r="D330" t="str">
        <f t="shared" si="5"/>
        <v>2021</v>
      </c>
      <c r="E330">
        <v>84563</v>
      </c>
      <c r="F330">
        <v>7061428</v>
      </c>
      <c r="G330">
        <v>1.2</v>
      </c>
      <c r="H330" t="s">
        <v>10</v>
      </c>
      <c r="I330" t="s">
        <v>11</v>
      </c>
    </row>
    <row r="331" spans="1:9" hidden="1" x14ac:dyDescent="0.25">
      <c r="A331" t="s">
        <v>8</v>
      </c>
      <c r="B331" t="s">
        <v>9</v>
      </c>
      <c r="C331">
        <v>202102</v>
      </c>
      <c r="D331" t="str">
        <f t="shared" si="5"/>
        <v>2021</v>
      </c>
      <c r="E331">
        <v>70858</v>
      </c>
      <c r="F331">
        <v>7061428</v>
      </c>
      <c r="G331">
        <v>1</v>
      </c>
      <c r="H331" t="s">
        <v>10</v>
      </c>
      <c r="I331" t="s">
        <v>11</v>
      </c>
    </row>
    <row r="332" spans="1:9" hidden="1" x14ac:dyDescent="0.25">
      <c r="A332" t="s">
        <v>8</v>
      </c>
      <c r="B332" t="s">
        <v>9</v>
      </c>
      <c r="C332">
        <v>202103</v>
      </c>
      <c r="D332" t="str">
        <f t="shared" si="5"/>
        <v>2021</v>
      </c>
      <c r="E332">
        <v>88469</v>
      </c>
      <c r="F332">
        <v>7061428</v>
      </c>
      <c r="G332">
        <v>1.25</v>
      </c>
      <c r="H332" t="s">
        <v>10</v>
      </c>
      <c r="I332" t="s">
        <v>11</v>
      </c>
    </row>
    <row r="333" spans="1:9" hidden="1" x14ac:dyDescent="0.25">
      <c r="A333" t="s">
        <v>8</v>
      </c>
      <c r="B333" t="s">
        <v>9</v>
      </c>
      <c r="C333">
        <v>202104</v>
      </c>
      <c r="D333" t="str">
        <f t="shared" si="5"/>
        <v>2021</v>
      </c>
      <c r="E333">
        <v>99191</v>
      </c>
      <c r="F333">
        <v>7061428</v>
      </c>
      <c r="G333">
        <v>1.4</v>
      </c>
      <c r="H333" t="s">
        <v>10</v>
      </c>
      <c r="I333" t="s">
        <v>11</v>
      </c>
    </row>
    <row r="334" spans="1:9" hidden="1" x14ac:dyDescent="0.25">
      <c r="A334" t="s">
        <v>8</v>
      </c>
      <c r="B334" t="s">
        <v>9</v>
      </c>
      <c r="C334">
        <v>202105</v>
      </c>
      <c r="D334" t="str">
        <f t="shared" si="5"/>
        <v>2021</v>
      </c>
      <c r="E334">
        <v>187509</v>
      </c>
      <c r="F334">
        <v>7061428</v>
      </c>
      <c r="G334">
        <v>2.66</v>
      </c>
      <c r="H334" t="s">
        <v>10</v>
      </c>
      <c r="I334" t="s">
        <v>11</v>
      </c>
    </row>
    <row r="335" spans="1:9" hidden="1" x14ac:dyDescent="0.25">
      <c r="A335" t="s">
        <v>8</v>
      </c>
      <c r="B335" t="s">
        <v>9</v>
      </c>
      <c r="C335">
        <v>202106</v>
      </c>
      <c r="D335" t="str">
        <f t="shared" si="5"/>
        <v>2021</v>
      </c>
      <c r="E335">
        <v>217516</v>
      </c>
      <c r="F335">
        <v>7061428</v>
      </c>
      <c r="G335">
        <v>3.08</v>
      </c>
      <c r="H335" t="s">
        <v>10</v>
      </c>
      <c r="I335" t="s">
        <v>11</v>
      </c>
    </row>
    <row r="336" spans="1:9" hidden="1" x14ac:dyDescent="0.25">
      <c r="A336" t="s">
        <v>8</v>
      </c>
      <c r="B336" t="s">
        <v>9</v>
      </c>
      <c r="C336">
        <v>202107</v>
      </c>
      <c r="D336" t="str">
        <f t="shared" si="5"/>
        <v>2021</v>
      </c>
      <c r="E336">
        <v>236189</v>
      </c>
      <c r="F336">
        <v>7061428</v>
      </c>
      <c r="G336">
        <v>3.34</v>
      </c>
      <c r="H336" t="s">
        <v>10</v>
      </c>
      <c r="I336" t="s">
        <v>11</v>
      </c>
    </row>
    <row r="337" spans="1:9" hidden="1" x14ac:dyDescent="0.25">
      <c r="A337" t="s">
        <v>8</v>
      </c>
      <c r="B337" t="s">
        <v>9</v>
      </c>
      <c r="C337">
        <v>202108</v>
      </c>
      <c r="D337" t="str">
        <f t="shared" si="5"/>
        <v>2021</v>
      </c>
      <c r="E337">
        <v>233931</v>
      </c>
      <c r="F337">
        <v>7061428</v>
      </c>
      <c r="G337">
        <v>3.31</v>
      </c>
      <c r="H337" t="s">
        <v>10</v>
      </c>
      <c r="I337" t="s">
        <v>11</v>
      </c>
    </row>
    <row r="338" spans="1:9" hidden="1" x14ac:dyDescent="0.25">
      <c r="A338" t="s">
        <v>8</v>
      </c>
      <c r="B338" t="s">
        <v>9</v>
      </c>
      <c r="C338">
        <v>202109</v>
      </c>
      <c r="D338" t="str">
        <f t="shared" si="5"/>
        <v>2021</v>
      </c>
      <c r="E338">
        <v>233913</v>
      </c>
      <c r="F338">
        <v>7061428</v>
      </c>
      <c r="G338">
        <v>3.31</v>
      </c>
      <c r="H338" t="s">
        <v>10</v>
      </c>
      <c r="I338" t="s">
        <v>11</v>
      </c>
    </row>
    <row r="339" spans="1:9" hidden="1" x14ac:dyDescent="0.25">
      <c r="A339" t="s">
        <v>8</v>
      </c>
      <c r="B339" t="s">
        <v>9</v>
      </c>
      <c r="C339">
        <v>202110</v>
      </c>
      <c r="D339" t="str">
        <f t="shared" si="5"/>
        <v>2021</v>
      </c>
      <c r="E339">
        <v>221440</v>
      </c>
      <c r="F339">
        <v>7061428</v>
      </c>
      <c r="G339">
        <v>3.14</v>
      </c>
      <c r="H339" t="s">
        <v>10</v>
      </c>
      <c r="I339" t="s">
        <v>11</v>
      </c>
    </row>
    <row r="340" spans="1:9" hidden="1" x14ac:dyDescent="0.25">
      <c r="A340" t="s">
        <v>8</v>
      </c>
      <c r="B340" t="s">
        <v>9</v>
      </c>
      <c r="C340">
        <v>202111</v>
      </c>
      <c r="D340" t="str">
        <f t="shared" si="5"/>
        <v>2021</v>
      </c>
      <c r="E340">
        <v>222374</v>
      </c>
      <c r="F340">
        <v>7061428</v>
      </c>
      <c r="G340">
        <v>3.15</v>
      </c>
      <c r="H340" t="s">
        <v>10</v>
      </c>
      <c r="I340" t="s">
        <v>11</v>
      </c>
    </row>
    <row r="341" spans="1:9" hidden="1" x14ac:dyDescent="0.25">
      <c r="A341" t="s">
        <v>8</v>
      </c>
      <c r="B341" t="s">
        <v>9</v>
      </c>
      <c r="C341">
        <v>202112</v>
      </c>
      <c r="D341" t="str">
        <f t="shared" si="5"/>
        <v>2021</v>
      </c>
      <c r="E341">
        <v>222169</v>
      </c>
      <c r="F341">
        <v>7061428</v>
      </c>
      <c r="G341">
        <v>3.15</v>
      </c>
      <c r="H341" t="s">
        <v>10</v>
      </c>
      <c r="I341" t="s">
        <v>11</v>
      </c>
    </row>
    <row r="342" spans="1:9" hidden="1" x14ac:dyDescent="0.25">
      <c r="A342" t="s">
        <v>8</v>
      </c>
      <c r="B342" t="s">
        <v>9</v>
      </c>
      <c r="C342">
        <v>202201</v>
      </c>
      <c r="D342" t="str">
        <f t="shared" si="5"/>
        <v>2022</v>
      </c>
      <c r="E342">
        <v>178899</v>
      </c>
      <c r="F342">
        <v>7061428</v>
      </c>
      <c r="G342">
        <v>2.5299999999999998</v>
      </c>
      <c r="H342" t="s">
        <v>10</v>
      </c>
      <c r="I342" t="s">
        <v>11</v>
      </c>
    </row>
    <row r="343" spans="1:9" hidden="1" x14ac:dyDescent="0.25">
      <c r="A343" t="s">
        <v>8</v>
      </c>
      <c r="B343" t="s">
        <v>9</v>
      </c>
      <c r="C343">
        <v>202202</v>
      </c>
      <c r="D343" t="str">
        <f t="shared" si="5"/>
        <v>2022</v>
      </c>
      <c r="E343">
        <v>154840</v>
      </c>
      <c r="F343">
        <v>7061428</v>
      </c>
      <c r="G343">
        <v>2.19</v>
      </c>
      <c r="H343" t="s">
        <v>10</v>
      </c>
      <c r="I343" t="s">
        <v>11</v>
      </c>
    </row>
    <row r="344" spans="1:9" hidden="1" x14ac:dyDescent="0.25">
      <c r="A344" t="s">
        <v>8</v>
      </c>
      <c r="B344" t="s">
        <v>9</v>
      </c>
      <c r="C344">
        <v>202203</v>
      </c>
      <c r="D344" t="str">
        <f t="shared" si="5"/>
        <v>2022</v>
      </c>
      <c r="E344">
        <v>197442</v>
      </c>
      <c r="F344">
        <v>7061428</v>
      </c>
      <c r="G344">
        <v>2.8</v>
      </c>
      <c r="H344" t="s">
        <v>10</v>
      </c>
      <c r="I344" t="s">
        <v>11</v>
      </c>
    </row>
    <row r="345" spans="1:9" hidden="1" x14ac:dyDescent="0.25">
      <c r="A345" t="s">
        <v>8</v>
      </c>
      <c r="B345" t="s">
        <v>9</v>
      </c>
      <c r="C345">
        <v>202204</v>
      </c>
      <c r="D345" t="str">
        <f t="shared" si="5"/>
        <v>2022</v>
      </c>
      <c r="E345">
        <v>170764</v>
      </c>
      <c r="F345">
        <v>7061428</v>
      </c>
      <c r="G345">
        <v>2.42</v>
      </c>
      <c r="H345" t="s">
        <v>10</v>
      </c>
      <c r="I345" t="s">
        <v>11</v>
      </c>
    </row>
    <row r="346" spans="1:9" hidden="1" x14ac:dyDescent="0.25">
      <c r="A346" t="s">
        <v>8</v>
      </c>
      <c r="B346" t="s">
        <v>9</v>
      </c>
      <c r="C346">
        <v>202205</v>
      </c>
      <c r="D346" t="str">
        <f t="shared" si="5"/>
        <v>2022</v>
      </c>
      <c r="E346">
        <v>175415</v>
      </c>
      <c r="F346">
        <v>7061428</v>
      </c>
      <c r="G346">
        <v>2.48</v>
      </c>
      <c r="H346" t="s">
        <v>10</v>
      </c>
      <c r="I346" t="s">
        <v>11</v>
      </c>
    </row>
    <row r="347" spans="1:9" hidden="1" x14ac:dyDescent="0.25">
      <c r="A347" t="s">
        <v>8</v>
      </c>
      <c r="B347" t="s">
        <v>9</v>
      </c>
      <c r="C347">
        <v>202206</v>
      </c>
      <c r="D347" t="str">
        <f t="shared" si="5"/>
        <v>2022</v>
      </c>
      <c r="E347">
        <v>177377</v>
      </c>
      <c r="F347">
        <v>7061428</v>
      </c>
      <c r="G347">
        <v>2.5099999999999998</v>
      </c>
      <c r="H347" t="s">
        <v>10</v>
      </c>
      <c r="I347" t="s">
        <v>11</v>
      </c>
    </row>
    <row r="348" spans="1:9" hidden="1" x14ac:dyDescent="0.25">
      <c r="A348" t="s">
        <v>8</v>
      </c>
      <c r="B348" t="s">
        <v>9</v>
      </c>
      <c r="C348">
        <v>202207</v>
      </c>
      <c r="D348" t="str">
        <f t="shared" si="5"/>
        <v>2022</v>
      </c>
      <c r="E348">
        <v>164207</v>
      </c>
      <c r="F348">
        <v>7061428</v>
      </c>
      <c r="G348">
        <v>2.33</v>
      </c>
      <c r="H348" t="s">
        <v>10</v>
      </c>
      <c r="I348" t="s">
        <v>11</v>
      </c>
    </row>
    <row r="349" spans="1:9" hidden="1" x14ac:dyDescent="0.25">
      <c r="A349" t="s">
        <v>8</v>
      </c>
      <c r="B349" t="s">
        <v>9</v>
      </c>
      <c r="C349">
        <v>202208</v>
      </c>
      <c r="D349" t="str">
        <f t="shared" si="5"/>
        <v>2022</v>
      </c>
      <c r="E349">
        <v>182585</v>
      </c>
      <c r="F349">
        <v>7061428</v>
      </c>
      <c r="G349">
        <v>2.59</v>
      </c>
      <c r="H349" t="s">
        <v>10</v>
      </c>
      <c r="I349" t="s">
        <v>11</v>
      </c>
    </row>
    <row r="350" spans="1:9" hidden="1" x14ac:dyDescent="0.25">
      <c r="A350" t="s">
        <v>8</v>
      </c>
      <c r="B350" t="s">
        <v>9</v>
      </c>
      <c r="C350">
        <v>202209</v>
      </c>
      <c r="D350" t="str">
        <f t="shared" si="5"/>
        <v>2022</v>
      </c>
      <c r="E350">
        <v>170947</v>
      </c>
      <c r="F350">
        <v>7061428</v>
      </c>
      <c r="G350">
        <v>2.42</v>
      </c>
      <c r="H350" t="s">
        <v>10</v>
      </c>
      <c r="I350" t="s">
        <v>11</v>
      </c>
    </row>
    <row r="351" spans="1:9" hidden="1" x14ac:dyDescent="0.25">
      <c r="A351" t="s">
        <v>8</v>
      </c>
      <c r="B351" t="s">
        <v>9</v>
      </c>
      <c r="C351">
        <v>202210</v>
      </c>
      <c r="D351" t="str">
        <f t="shared" si="5"/>
        <v>2022</v>
      </c>
      <c r="E351">
        <v>175260</v>
      </c>
      <c r="F351">
        <v>7061428</v>
      </c>
      <c r="G351">
        <v>2.48</v>
      </c>
      <c r="H351" t="s">
        <v>10</v>
      </c>
      <c r="I351" t="s">
        <v>11</v>
      </c>
    </row>
    <row r="352" spans="1:9" hidden="1" x14ac:dyDescent="0.25">
      <c r="A352" t="s">
        <v>8</v>
      </c>
      <c r="B352" t="s">
        <v>9</v>
      </c>
      <c r="C352">
        <v>202211</v>
      </c>
      <c r="D352" t="str">
        <f t="shared" si="5"/>
        <v>2022</v>
      </c>
      <c r="E352">
        <v>171684</v>
      </c>
      <c r="F352">
        <v>7061428</v>
      </c>
      <c r="G352">
        <v>2.4300000000000002</v>
      </c>
      <c r="H352" t="s">
        <v>10</v>
      </c>
      <c r="I352" t="s">
        <v>11</v>
      </c>
    </row>
    <row r="353" spans="1:9" hidden="1" x14ac:dyDescent="0.25">
      <c r="A353" t="s">
        <v>8</v>
      </c>
      <c r="B353" t="s">
        <v>9</v>
      </c>
      <c r="C353">
        <v>202212</v>
      </c>
      <c r="D353" t="str">
        <f t="shared" si="5"/>
        <v>2022</v>
      </c>
      <c r="E353">
        <v>159365</v>
      </c>
      <c r="F353">
        <v>7061428</v>
      </c>
      <c r="G353">
        <v>2.2599999999999998</v>
      </c>
      <c r="H353" t="s">
        <v>10</v>
      </c>
      <c r="I353" t="s">
        <v>11</v>
      </c>
    </row>
    <row r="354" spans="1:9" hidden="1" x14ac:dyDescent="0.25">
      <c r="A354" t="s">
        <v>8</v>
      </c>
      <c r="B354" t="s">
        <v>9</v>
      </c>
      <c r="C354">
        <v>202301</v>
      </c>
      <c r="D354" t="str">
        <f t="shared" si="5"/>
        <v>2023</v>
      </c>
      <c r="E354">
        <v>179639</v>
      </c>
      <c r="F354">
        <v>7061428</v>
      </c>
      <c r="G354">
        <v>2.54</v>
      </c>
      <c r="H354" t="s">
        <v>10</v>
      </c>
      <c r="I354" t="s">
        <v>11</v>
      </c>
    </row>
    <row r="355" spans="1:9" hidden="1" x14ac:dyDescent="0.25">
      <c r="A355" t="s">
        <v>8</v>
      </c>
      <c r="B355" t="s">
        <v>9</v>
      </c>
      <c r="C355">
        <v>202302</v>
      </c>
      <c r="D355" t="str">
        <f t="shared" si="5"/>
        <v>2023</v>
      </c>
      <c r="E355">
        <v>174737</v>
      </c>
      <c r="F355">
        <v>7061428</v>
      </c>
      <c r="G355">
        <v>2.4700000000000002</v>
      </c>
      <c r="H355" t="s">
        <v>10</v>
      </c>
      <c r="I355" t="s">
        <v>11</v>
      </c>
    </row>
    <row r="356" spans="1:9" hidden="1" x14ac:dyDescent="0.25">
      <c r="A356" t="s">
        <v>8</v>
      </c>
      <c r="B356" t="s">
        <v>9</v>
      </c>
      <c r="C356">
        <v>202303</v>
      </c>
      <c r="D356" t="str">
        <f t="shared" si="5"/>
        <v>2023</v>
      </c>
      <c r="E356">
        <v>192071</v>
      </c>
      <c r="F356">
        <v>7061428</v>
      </c>
      <c r="G356">
        <v>2.72</v>
      </c>
      <c r="H356" t="s">
        <v>10</v>
      </c>
      <c r="I356" t="s">
        <v>11</v>
      </c>
    </row>
    <row r="357" spans="1:9" hidden="1" x14ac:dyDescent="0.25">
      <c r="A357" t="s">
        <v>8</v>
      </c>
      <c r="B357" t="s">
        <v>9</v>
      </c>
      <c r="C357">
        <v>202304</v>
      </c>
      <c r="D357" t="str">
        <f t="shared" si="5"/>
        <v>2023</v>
      </c>
      <c r="E357">
        <v>170969</v>
      </c>
      <c r="F357">
        <v>7061428</v>
      </c>
      <c r="G357">
        <v>2.42</v>
      </c>
      <c r="H357" t="s">
        <v>10</v>
      </c>
      <c r="I357" t="s">
        <v>11</v>
      </c>
    </row>
    <row r="358" spans="1:9" hidden="1" x14ac:dyDescent="0.25">
      <c r="A358" t="s">
        <v>8</v>
      </c>
      <c r="B358" t="s">
        <v>9</v>
      </c>
      <c r="C358">
        <v>202305</v>
      </c>
      <c r="D358" t="str">
        <f t="shared" si="5"/>
        <v>2023</v>
      </c>
      <c r="E358">
        <v>178886</v>
      </c>
      <c r="F358">
        <v>7061428</v>
      </c>
      <c r="G358">
        <v>2.5299999999999998</v>
      </c>
      <c r="H358" t="s">
        <v>10</v>
      </c>
      <c r="I358" t="s">
        <v>11</v>
      </c>
    </row>
    <row r="359" spans="1:9" hidden="1" x14ac:dyDescent="0.25">
      <c r="A359" t="s">
        <v>8</v>
      </c>
      <c r="B359" t="s">
        <v>9</v>
      </c>
      <c r="C359">
        <v>202306</v>
      </c>
      <c r="D359" t="str">
        <f t="shared" si="5"/>
        <v>2023</v>
      </c>
      <c r="E359">
        <v>174949</v>
      </c>
      <c r="F359">
        <v>7061428</v>
      </c>
      <c r="G359">
        <v>2.48</v>
      </c>
      <c r="H359" t="s">
        <v>10</v>
      </c>
      <c r="I359" t="s">
        <v>11</v>
      </c>
    </row>
    <row r="360" spans="1:9" hidden="1" x14ac:dyDescent="0.25">
      <c r="A360" t="s">
        <v>8</v>
      </c>
      <c r="B360" t="s">
        <v>9</v>
      </c>
      <c r="C360">
        <v>202307</v>
      </c>
      <c r="D360" t="str">
        <f t="shared" si="5"/>
        <v>2023</v>
      </c>
      <c r="E360">
        <v>153130</v>
      </c>
      <c r="F360">
        <v>7061428</v>
      </c>
      <c r="G360">
        <v>2.17</v>
      </c>
      <c r="H360" t="s">
        <v>10</v>
      </c>
      <c r="I360" t="s">
        <v>11</v>
      </c>
    </row>
    <row r="361" spans="1:9" hidden="1" x14ac:dyDescent="0.25">
      <c r="A361" t="s">
        <v>8</v>
      </c>
      <c r="B361" t="s">
        <v>9</v>
      </c>
      <c r="C361">
        <v>202308</v>
      </c>
      <c r="D361" t="str">
        <f t="shared" si="5"/>
        <v>2023</v>
      </c>
      <c r="E361">
        <v>170192</v>
      </c>
      <c r="F361">
        <v>7061428</v>
      </c>
      <c r="G361">
        <v>2.41</v>
      </c>
      <c r="H361" t="s">
        <v>10</v>
      </c>
      <c r="I361" t="s">
        <v>11</v>
      </c>
    </row>
    <row r="362" spans="1:9" hidden="1" x14ac:dyDescent="0.25">
      <c r="A362" t="s">
        <v>8</v>
      </c>
      <c r="B362" t="s">
        <v>9</v>
      </c>
      <c r="C362">
        <v>202309</v>
      </c>
      <c r="D362" t="str">
        <f t="shared" si="5"/>
        <v>2023</v>
      </c>
      <c r="E362">
        <v>158983</v>
      </c>
      <c r="F362">
        <v>7061428</v>
      </c>
      <c r="G362">
        <v>2.25</v>
      </c>
      <c r="H362" t="s">
        <v>10</v>
      </c>
      <c r="I362" t="s">
        <v>11</v>
      </c>
    </row>
    <row r="363" spans="1:9" hidden="1" x14ac:dyDescent="0.25">
      <c r="A363" t="s">
        <v>8</v>
      </c>
      <c r="B363" t="s">
        <v>9</v>
      </c>
      <c r="C363">
        <v>202310</v>
      </c>
      <c r="D363" t="str">
        <f t="shared" si="5"/>
        <v>2023</v>
      </c>
      <c r="E363">
        <v>172497</v>
      </c>
      <c r="F363">
        <v>7061428</v>
      </c>
      <c r="G363">
        <v>2.44</v>
      </c>
      <c r="H363" t="s">
        <v>10</v>
      </c>
      <c r="I363" t="s">
        <v>11</v>
      </c>
    </row>
    <row r="364" spans="1:9" hidden="1" x14ac:dyDescent="0.25">
      <c r="A364" t="s">
        <v>8</v>
      </c>
      <c r="B364" t="s">
        <v>9</v>
      </c>
      <c r="C364">
        <v>202311</v>
      </c>
      <c r="D364" t="str">
        <f t="shared" si="5"/>
        <v>2023</v>
      </c>
      <c r="E364">
        <v>159180</v>
      </c>
      <c r="F364">
        <v>7061428</v>
      </c>
      <c r="G364">
        <v>2.25</v>
      </c>
      <c r="H364" t="s">
        <v>10</v>
      </c>
      <c r="I364" t="s">
        <v>11</v>
      </c>
    </row>
    <row r="365" spans="1:9" hidden="1" x14ac:dyDescent="0.25">
      <c r="A365" t="s">
        <v>8</v>
      </c>
      <c r="B365" t="s">
        <v>9</v>
      </c>
      <c r="C365">
        <v>202312</v>
      </c>
      <c r="D365" t="str">
        <f t="shared" si="5"/>
        <v>2023</v>
      </c>
      <c r="E365">
        <v>150527</v>
      </c>
      <c r="F365">
        <v>7061428</v>
      </c>
      <c r="G365">
        <v>2.13</v>
      </c>
      <c r="H365" t="s">
        <v>10</v>
      </c>
      <c r="I365" t="s">
        <v>11</v>
      </c>
    </row>
    <row r="366" spans="1:9" hidden="1" x14ac:dyDescent="0.25">
      <c r="A366" t="s">
        <v>8</v>
      </c>
      <c r="B366" t="s">
        <v>9</v>
      </c>
      <c r="C366">
        <v>202401</v>
      </c>
      <c r="D366" t="str">
        <f t="shared" si="5"/>
        <v>2024</v>
      </c>
      <c r="E366">
        <v>114596</v>
      </c>
      <c r="F366">
        <v>7061428</v>
      </c>
      <c r="G366">
        <v>1.62</v>
      </c>
      <c r="H366" t="s">
        <v>10</v>
      </c>
      <c r="I366" t="s">
        <v>11</v>
      </c>
    </row>
    <row r="367" spans="1:9" hidden="1" x14ac:dyDescent="0.25">
      <c r="A367" t="s">
        <v>8</v>
      </c>
      <c r="B367" t="s">
        <v>12</v>
      </c>
      <c r="C367">
        <v>201412</v>
      </c>
      <c r="D367" t="str">
        <f t="shared" si="5"/>
        <v>2014</v>
      </c>
      <c r="E367">
        <v>4</v>
      </c>
      <c r="F367">
        <v>7514101</v>
      </c>
      <c r="G367">
        <v>0</v>
      </c>
      <c r="H367" t="s">
        <v>10</v>
      </c>
      <c r="I367" t="s">
        <v>11</v>
      </c>
    </row>
    <row r="368" spans="1:9" hidden="1" x14ac:dyDescent="0.25">
      <c r="A368" t="s">
        <v>8</v>
      </c>
      <c r="B368" t="s">
        <v>12</v>
      </c>
      <c r="C368">
        <v>201503</v>
      </c>
      <c r="D368" t="str">
        <f t="shared" si="5"/>
        <v>2015</v>
      </c>
      <c r="E368">
        <v>2</v>
      </c>
      <c r="F368">
        <v>7514101</v>
      </c>
      <c r="G368">
        <v>0</v>
      </c>
      <c r="H368" t="s">
        <v>10</v>
      </c>
      <c r="I368" t="s">
        <v>11</v>
      </c>
    </row>
    <row r="369" spans="1:9" hidden="1" x14ac:dyDescent="0.25">
      <c r="A369" t="s">
        <v>8</v>
      </c>
      <c r="B369" t="s">
        <v>12</v>
      </c>
      <c r="C369">
        <v>201505</v>
      </c>
      <c r="D369" t="str">
        <f t="shared" si="5"/>
        <v>2015</v>
      </c>
      <c r="E369">
        <v>8</v>
      </c>
      <c r="F369">
        <v>7514101</v>
      </c>
      <c r="G369">
        <v>0</v>
      </c>
      <c r="H369" t="s">
        <v>10</v>
      </c>
      <c r="I369" t="s">
        <v>11</v>
      </c>
    </row>
    <row r="370" spans="1:9" hidden="1" x14ac:dyDescent="0.25">
      <c r="A370" t="s">
        <v>8</v>
      </c>
      <c r="B370" t="s">
        <v>12</v>
      </c>
      <c r="C370">
        <v>201506</v>
      </c>
      <c r="D370" t="str">
        <f t="shared" si="5"/>
        <v>2015</v>
      </c>
      <c r="E370">
        <v>1</v>
      </c>
      <c r="F370">
        <v>7514101</v>
      </c>
      <c r="G370">
        <v>0</v>
      </c>
      <c r="H370" t="s">
        <v>10</v>
      </c>
      <c r="I370" t="s">
        <v>11</v>
      </c>
    </row>
    <row r="371" spans="1:9" hidden="1" x14ac:dyDescent="0.25">
      <c r="A371" t="s">
        <v>8</v>
      </c>
      <c r="B371" t="s">
        <v>12</v>
      </c>
      <c r="C371">
        <v>201508</v>
      </c>
      <c r="D371" t="str">
        <f t="shared" si="5"/>
        <v>2015</v>
      </c>
      <c r="E371">
        <v>5</v>
      </c>
      <c r="F371">
        <v>7514101</v>
      </c>
      <c r="G371">
        <v>0</v>
      </c>
      <c r="H371" t="s">
        <v>10</v>
      </c>
      <c r="I371" t="s">
        <v>11</v>
      </c>
    </row>
    <row r="372" spans="1:9" hidden="1" x14ac:dyDescent="0.25">
      <c r="A372" t="s">
        <v>8</v>
      </c>
      <c r="B372" t="s">
        <v>12</v>
      </c>
      <c r="C372">
        <v>201509</v>
      </c>
      <c r="D372" t="str">
        <f t="shared" si="5"/>
        <v>2015</v>
      </c>
      <c r="E372">
        <v>1</v>
      </c>
      <c r="F372">
        <v>7514101</v>
      </c>
      <c r="G372">
        <v>0</v>
      </c>
      <c r="H372" t="s">
        <v>10</v>
      </c>
      <c r="I372" t="s">
        <v>11</v>
      </c>
    </row>
    <row r="373" spans="1:9" hidden="1" x14ac:dyDescent="0.25">
      <c r="A373" t="s">
        <v>8</v>
      </c>
      <c r="B373" t="s">
        <v>12</v>
      </c>
      <c r="C373">
        <v>201510</v>
      </c>
      <c r="D373" t="str">
        <f t="shared" si="5"/>
        <v>2015</v>
      </c>
      <c r="E373">
        <v>4</v>
      </c>
      <c r="F373">
        <v>7514101</v>
      </c>
      <c r="G373">
        <v>0</v>
      </c>
      <c r="H373" t="s">
        <v>10</v>
      </c>
      <c r="I373" t="s">
        <v>11</v>
      </c>
    </row>
    <row r="374" spans="1:9" hidden="1" x14ac:dyDescent="0.25">
      <c r="A374" t="s">
        <v>8</v>
      </c>
      <c r="B374" t="s">
        <v>12</v>
      </c>
      <c r="C374">
        <v>201608</v>
      </c>
      <c r="D374" t="str">
        <f t="shared" si="5"/>
        <v>2016</v>
      </c>
      <c r="E374">
        <v>9</v>
      </c>
      <c r="F374">
        <v>7514101</v>
      </c>
      <c r="G374">
        <v>0</v>
      </c>
      <c r="H374" t="s">
        <v>10</v>
      </c>
      <c r="I374" t="s">
        <v>11</v>
      </c>
    </row>
    <row r="375" spans="1:9" hidden="1" x14ac:dyDescent="0.25">
      <c r="A375" t="s">
        <v>8</v>
      </c>
      <c r="B375" t="s">
        <v>12</v>
      </c>
      <c r="C375">
        <v>201609</v>
      </c>
      <c r="D375" t="str">
        <f t="shared" si="5"/>
        <v>2016</v>
      </c>
      <c r="E375">
        <v>10</v>
      </c>
      <c r="F375">
        <v>7514101</v>
      </c>
      <c r="G375">
        <v>0</v>
      </c>
      <c r="H375" t="s">
        <v>10</v>
      </c>
      <c r="I375" t="s">
        <v>11</v>
      </c>
    </row>
    <row r="376" spans="1:9" hidden="1" x14ac:dyDescent="0.25">
      <c r="A376" t="s">
        <v>8</v>
      </c>
      <c r="B376" t="s">
        <v>12</v>
      </c>
      <c r="C376">
        <v>201610</v>
      </c>
      <c r="D376" t="str">
        <f t="shared" si="5"/>
        <v>2016</v>
      </c>
      <c r="E376">
        <v>6</v>
      </c>
      <c r="F376">
        <v>7514101</v>
      </c>
      <c r="G376">
        <v>0</v>
      </c>
      <c r="H376" t="s">
        <v>10</v>
      </c>
      <c r="I376" t="s">
        <v>11</v>
      </c>
    </row>
    <row r="377" spans="1:9" hidden="1" x14ac:dyDescent="0.25">
      <c r="A377" t="s">
        <v>8</v>
      </c>
      <c r="B377" t="s">
        <v>12</v>
      </c>
      <c r="C377">
        <v>201703</v>
      </c>
      <c r="D377" t="str">
        <f t="shared" si="5"/>
        <v>2017</v>
      </c>
      <c r="E377">
        <v>14</v>
      </c>
      <c r="F377">
        <v>7514101</v>
      </c>
      <c r="G377">
        <v>0</v>
      </c>
      <c r="H377" t="s">
        <v>10</v>
      </c>
      <c r="I377" t="s">
        <v>11</v>
      </c>
    </row>
    <row r="378" spans="1:9" hidden="1" x14ac:dyDescent="0.25">
      <c r="A378" t="s">
        <v>8</v>
      </c>
      <c r="B378" t="s">
        <v>12</v>
      </c>
      <c r="C378">
        <v>201704</v>
      </c>
      <c r="D378" t="str">
        <f t="shared" si="5"/>
        <v>2017</v>
      </c>
      <c r="E378">
        <v>5</v>
      </c>
      <c r="F378">
        <v>7514101</v>
      </c>
      <c r="G378">
        <v>0</v>
      </c>
      <c r="H378" t="s">
        <v>10</v>
      </c>
      <c r="I378" t="s">
        <v>11</v>
      </c>
    </row>
    <row r="379" spans="1:9" hidden="1" x14ac:dyDescent="0.25">
      <c r="A379" t="s">
        <v>8</v>
      </c>
      <c r="B379" t="s">
        <v>12</v>
      </c>
      <c r="C379">
        <v>201705</v>
      </c>
      <c r="D379" t="str">
        <f t="shared" si="5"/>
        <v>2017</v>
      </c>
      <c r="E379">
        <v>3</v>
      </c>
      <c r="F379">
        <v>7514101</v>
      </c>
      <c r="G379">
        <v>0</v>
      </c>
      <c r="H379" t="s">
        <v>10</v>
      </c>
      <c r="I379" t="s">
        <v>11</v>
      </c>
    </row>
    <row r="380" spans="1:9" hidden="1" x14ac:dyDescent="0.25">
      <c r="A380" t="s">
        <v>8</v>
      </c>
      <c r="B380" t="s">
        <v>12</v>
      </c>
      <c r="C380">
        <v>201706</v>
      </c>
      <c r="D380" t="str">
        <f t="shared" si="5"/>
        <v>2017</v>
      </c>
      <c r="E380">
        <v>4</v>
      </c>
      <c r="F380">
        <v>7514101</v>
      </c>
      <c r="G380">
        <v>0</v>
      </c>
      <c r="H380" t="s">
        <v>10</v>
      </c>
      <c r="I380" t="s">
        <v>11</v>
      </c>
    </row>
    <row r="381" spans="1:9" hidden="1" x14ac:dyDescent="0.25">
      <c r="A381" t="s">
        <v>8</v>
      </c>
      <c r="B381" t="s">
        <v>12</v>
      </c>
      <c r="C381">
        <v>201707</v>
      </c>
      <c r="D381" t="str">
        <f t="shared" si="5"/>
        <v>2017</v>
      </c>
      <c r="E381">
        <v>34</v>
      </c>
      <c r="F381">
        <v>7514101</v>
      </c>
      <c r="G381">
        <v>0</v>
      </c>
      <c r="H381" t="s">
        <v>10</v>
      </c>
      <c r="I381" t="s">
        <v>11</v>
      </c>
    </row>
    <row r="382" spans="1:9" hidden="1" x14ac:dyDescent="0.25">
      <c r="A382" t="s">
        <v>8</v>
      </c>
      <c r="B382" t="s">
        <v>12</v>
      </c>
      <c r="C382">
        <v>201708</v>
      </c>
      <c r="D382" t="str">
        <f t="shared" si="5"/>
        <v>2017</v>
      </c>
      <c r="E382">
        <v>16</v>
      </c>
      <c r="F382">
        <v>7514101</v>
      </c>
      <c r="G382">
        <v>0</v>
      </c>
      <c r="H382" t="s">
        <v>10</v>
      </c>
      <c r="I382" t="s">
        <v>11</v>
      </c>
    </row>
    <row r="383" spans="1:9" hidden="1" x14ac:dyDescent="0.25">
      <c r="A383" t="s">
        <v>8</v>
      </c>
      <c r="B383" t="s">
        <v>12</v>
      </c>
      <c r="C383">
        <v>201709</v>
      </c>
      <c r="D383" t="str">
        <f t="shared" si="5"/>
        <v>2017</v>
      </c>
      <c r="E383">
        <v>26</v>
      </c>
      <c r="F383">
        <v>7514101</v>
      </c>
      <c r="G383">
        <v>0</v>
      </c>
      <c r="H383" t="s">
        <v>10</v>
      </c>
      <c r="I383" t="s">
        <v>11</v>
      </c>
    </row>
    <row r="384" spans="1:9" hidden="1" x14ac:dyDescent="0.25">
      <c r="A384" t="s">
        <v>8</v>
      </c>
      <c r="B384" t="s">
        <v>12</v>
      </c>
      <c r="C384">
        <v>201710</v>
      </c>
      <c r="D384" t="str">
        <f t="shared" si="5"/>
        <v>2017</v>
      </c>
      <c r="E384">
        <v>13</v>
      </c>
      <c r="F384">
        <v>7514101</v>
      </c>
      <c r="G384">
        <v>0</v>
      </c>
      <c r="H384" t="s">
        <v>10</v>
      </c>
      <c r="I384" t="s">
        <v>11</v>
      </c>
    </row>
    <row r="385" spans="1:9" hidden="1" x14ac:dyDescent="0.25">
      <c r="A385" t="s">
        <v>8</v>
      </c>
      <c r="B385" t="s">
        <v>12</v>
      </c>
      <c r="C385">
        <v>201711</v>
      </c>
      <c r="D385" t="str">
        <f t="shared" si="5"/>
        <v>2017</v>
      </c>
      <c r="E385">
        <v>26</v>
      </c>
      <c r="F385">
        <v>7514101</v>
      </c>
      <c r="G385">
        <v>0</v>
      </c>
      <c r="H385" t="s">
        <v>10</v>
      </c>
      <c r="I385" t="s">
        <v>11</v>
      </c>
    </row>
    <row r="386" spans="1:9" hidden="1" x14ac:dyDescent="0.25">
      <c r="A386" t="s">
        <v>8</v>
      </c>
      <c r="B386" t="s">
        <v>12</v>
      </c>
      <c r="C386">
        <v>201712</v>
      </c>
      <c r="D386" t="str">
        <f t="shared" si="5"/>
        <v>2017</v>
      </c>
      <c r="E386">
        <v>22</v>
      </c>
      <c r="F386">
        <v>7514101</v>
      </c>
      <c r="G386">
        <v>0</v>
      </c>
      <c r="H386" t="s">
        <v>10</v>
      </c>
      <c r="I386" t="s">
        <v>11</v>
      </c>
    </row>
    <row r="387" spans="1:9" hidden="1" x14ac:dyDescent="0.25">
      <c r="A387" t="s">
        <v>8</v>
      </c>
      <c r="B387" t="s">
        <v>12</v>
      </c>
      <c r="C387">
        <v>201801</v>
      </c>
      <c r="D387" t="str">
        <f t="shared" ref="D387:D450" si="6">LEFT(C387,4)</f>
        <v>2018</v>
      </c>
      <c r="E387">
        <v>295</v>
      </c>
      <c r="F387">
        <v>7514101</v>
      </c>
      <c r="G387">
        <v>0</v>
      </c>
      <c r="H387" t="s">
        <v>10</v>
      </c>
      <c r="I387" t="s">
        <v>11</v>
      </c>
    </row>
    <row r="388" spans="1:9" hidden="1" x14ac:dyDescent="0.25">
      <c r="A388" t="s">
        <v>8</v>
      </c>
      <c r="B388" t="s">
        <v>12</v>
      </c>
      <c r="C388">
        <v>201802</v>
      </c>
      <c r="D388" t="str">
        <f t="shared" si="6"/>
        <v>2018</v>
      </c>
      <c r="E388">
        <v>153</v>
      </c>
      <c r="F388">
        <v>7514101</v>
      </c>
      <c r="G388">
        <v>0</v>
      </c>
      <c r="H388" t="s">
        <v>10</v>
      </c>
      <c r="I388" t="s">
        <v>11</v>
      </c>
    </row>
    <row r="389" spans="1:9" hidden="1" x14ac:dyDescent="0.25">
      <c r="A389" t="s">
        <v>8</v>
      </c>
      <c r="B389" t="s">
        <v>12</v>
      </c>
      <c r="C389">
        <v>201803</v>
      </c>
      <c r="D389" t="str">
        <f t="shared" si="6"/>
        <v>2018</v>
      </c>
      <c r="E389">
        <v>233</v>
      </c>
      <c r="F389">
        <v>7514101</v>
      </c>
      <c r="G389">
        <v>0</v>
      </c>
      <c r="H389" t="s">
        <v>10</v>
      </c>
      <c r="I389" t="s">
        <v>11</v>
      </c>
    </row>
    <row r="390" spans="1:9" hidden="1" x14ac:dyDescent="0.25">
      <c r="A390" t="s">
        <v>8</v>
      </c>
      <c r="B390" t="s">
        <v>12</v>
      </c>
      <c r="C390">
        <v>201804</v>
      </c>
      <c r="D390" t="str">
        <f t="shared" si="6"/>
        <v>2018</v>
      </c>
      <c r="E390">
        <v>228</v>
      </c>
      <c r="F390">
        <v>7514101</v>
      </c>
      <c r="G390">
        <v>0</v>
      </c>
      <c r="H390" t="s">
        <v>10</v>
      </c>
      <c r="I390" t="s">
        <v>11</v>
      </c>
    </row>
    <row r="391" spans="1:9" hidden="1" x14ac:dyDescent="0.25">
      <c r="A391" t="s">
        <v>8</v>
      </c>
      <c r="B391" t="s">
        <v>12</v>
      </c>
      <c r="C391">
        <v>201805</v>
      </c>
      <c r="D391" t="str">
        <f t="shared" si="6"/>
        <v>2018</v>
      </c>
      <c r="E391">
        <v>309</v>
      </c>
      <c r="F391">
        <v>7514101</v>
      </c>
      <c r="G391">
        <v>0</v>
      </c>
      <c r="H391" t="s">
        <v>10</v>
      </c>
      <c r="I391" t="s">
        <v>11</v>
      </c>
    </row>
    <row r="392" spans="1:9" hidden="1" x14ac:dyDescent="0.25">
      <c r="A392" t="s">
        <v>8</v>
      </c>
      <c r="B392" t="s">
        <v>12</v>
      </c>
      <c r="C392">
        <v>201806</v>
      </c>
      <c r="D392" t="str">
        <f t="shared" si="6"/>
        <v>2018</v>
      </c>
      <c r="E392">
        <v>261</v>
      </c>
      <c r="F392">
        <v>7514101</v>
      </c>
      <c r="G392">
        <v>0</v>
      </c>
      <c r="H392" t="s">
        <v>10</v>
      </c>
      <c r="I392" t="s">
        <v>11</v>
      </c>
    </row>
    <row r="393" spans="1:9" hidden="1" x14ac:dyDescent="0.25">
      <c r="A393" t="s">
        <v>8</v>
      </c>
      <c r="B393" t="s">
        <v>12</v>
      </c>
      <c r="C393">
        <v>201807</v>
      </c>
      <c r="D393" t="str">
        <f t="shared" si="6"/>
        <v>2018</v>
      </c>
      <c r="E393">
        <v>253</v>
      </c>
      <c r="F393">
        <v>7514101</v>
      </c>
      <c r="G393">
        <v>0</v>
      </c>
      <c r="H393" t="s">
        <v>10</v>
      </c>
      <c r="I393" t="s">
        <v>11</v>
      </c>
    </row>
    <row r="394" spans="1:9" hidden="1" x14ac:dyDescent="0.25">
      <c r="A394" t="s">
        <v>8</v>
      </c>
      <c r="B394" t="s">
        <v>12</v>
      </c>
      <c r="C394">
        <v>201808</v>
      </c>
      <c r="D394" t="str">
        <f t="shared" si="6"/>
        <v>2018</v>
      </c>
      <c r="E394">
        <v>465</v>
      </c>
      <c r="F394">
        <v>7514101</v>
      </c>
      <c r="G394">
        <v>0.01</v>
      </c>
      <c r="H394" t="s">
        <v>10</v>
      </c>
      <c r="I394" t="s">
        <v>11</v>
      </c>
    </row>
    <row r="395" spans="1:9" hidden="1" x14ac:dyDescent="0.25">
      <c r="A395" t="s">
        <v>8</v>
      </c>
      <c r="B395" t="s">
        <v>12</v>
      </c>
      <c r="C395">
        <v>201809</v>
      </c>
      <c r="D395" t="str">
        <f t="shared" si="6"/>
        <v>2018</v>
      </c>
      <c r="E395">
        <v>262</v>
      </c>
      <c r="F395">
        <v>7514101</v>
      </c>
      <c r="G395">
        <v>0</v>
      </c>
      <c r="H395" t="s">
        <v>10</v>
      </c>
      <c r="I395" t="s">
        <v>11</v>
      </c>
    </row>
    <row r="396" spans="1:9" hidden="1" x14ac:dyDescent="0.25">
      <c r="A396" t="s">
        <v>8</v>
      </c>
      <c r="B396" t="s">
        <v>12</v>
      </c>
      <c r="C396">
        <v>201810</v>
      </c>
      <c r="D396" t="str">
        <f t="shared" si="6"/>
        <v>2018</v>
      </c>
      <c r="E396">
        <v>537</v>
      </c>
      <c r="F396">
        <v>7514101</v>
      </c>
      <c r="G396">
        <v>0.01</v>
      </c>
      <c r="H396" t="s">
        <v>10</v>
      </c>
      <c r="I396" t="s">
        <v>11</v>
      </c>
    </row>
    <row r="397" spans="1:9" hidden="1" x14ac:dyDescent="0.25">
      <c r="A397" t="s">
        <v>8</v>
      </c>
      <c r="B397" t="s">
        <v>12</v>
      </c>
      <c r="C397">
        <v>201811</v>
      </c>
      <c r="D397" t="str">
        <f t="shared" si="6"/>
        <v>2018</v>
      </c>
      <c r="E397">
        <v>334</v>
      </c>
      <c r="F397">
        <v>7514101</v>
      </c>
      <c r="G397">
        <v>0</v>
      </c>
      <c r="H397" t="s">
        <v>10</v>
      </c>
      <c r="I397" t="s">
        <v>11</v>
      </c>
    </row>
    <row r="398" spans="1:9" hidden="1" x14ac:dyDescent="0.25">
      <c r="A398" t="s">
        <v>8</v>
      </c>
      <c r="B398" t="s">
        <v>12</v>
      </c>
      <c r="C398">
        <v>201812</v>
      </c>
      <c r="D398" t="str">
        <f t="shared" si="6"/>
        <v>2018</v>
      </c>
      <c r="E398">
        <v>457</v>
      </c>
      <c r="F398">
        <v>7514101</v>
      </c>
      <c r="G398">
        <v>0.01</v>
      </c>
      <c r="H398" t="s">
        <v>10</v>
      </c>
      <c r="I398" t="s">
        <v>11</v>
      </c>
    </row>
    <row r="399" spans="1:9" hidden="1" x14ac:dyDescent="0.25">
      <c r="A399" t="s">
        <v>8</v>
      </c>
      <c r="B399" t="s">
        <v>12</v>
      </c>
      <c r="C399">
        <v>201901</v>
      </c>
      <c r="D399" t="str">
        <f t="shared" si="6"/>
        <v>2019</v>
      </c>
      <c r="E399">
        <v>12450</v>
      </c>
      <c r="F399">
        <v>7514101</v>
      </c>
      <c r="G399">
        <v>0.17</v>
      </c>
      <c r="H399" t="s">
        <v>10</v>
      </c>
      <c r="I399" t="s">
        <v>11</v>
      </c>
    </row>
    <row r="400" spans="1:9" hidden="1" x14ac:dyDescent="0.25">
      <c r="A400" t="s">
        <v>8</v>
      </c>
      <c r="B400" t="s">
        <v>12</v>
      </c>
      <c r="C400">
        <v>201902</v>
      </c>
      <c r="D400" t="str">
        <f t="shared" si="6"/>
        <v>2019</v>
      </c>
      <c r="E400">
        <v>10821</v>
      </c>
      <c r="F400">
        <v>7514101</v>
      </c>
      <c r="G400">
        <v>0.14000000000000001</v>
      </c>
      <c r="H400" t="s">
        <v>10</v>
      </c>
      <c r="I400" t="s">
        <v>11</v>
      </c>
    </row>
    <row r="401" spans="1:9" hidden="1" x14ac:dyDescent="0.25">
      <c r="A401" t="s">
        <v>8</v>
      </c>
      <c r="B401" t="s">
        <v>12</v>
      </c>
      <c r="C401">
        <v>201903</v>
      </c>
      <c r="D401" t="str">
        <f t="shared" si="6"/>
        <v>2019</v>
      </c>
      <c r="E401">
        <v>12659</v>
      </c>
      <c r="F401">
        <v>7514101</v>
      </c>
      <c r="G401">
        <v>0.17</v>
      </c>
      <c r="H401" t="s">
        <v>10</v>
      </c>
      <c r="I401" t="s">
        <v>11</v>
      </c>
    </row>
    <row r="402" spans="1:9" hidden="1" x14ac:dyDescent="0.25">
      <c r="A402" t="s">
        <v>8</v>
      </c>
      <c r="B402" t="s">
        <v>12</v>
      </c>
      <c r="C402">
        <v>201904</v>
      </c>
      <c r="D402" t="str">
        <f t="shared" si="6"/>
        <v>2019</v>
      </c>
      <c r="E402">
        <v>14150</v>
      </c>
      <c r="F402">
        <v>7514101</v>
      </c>
      <c r="G402">
        <v>0.19</v>
      </c>
      <c r="H402" t="s">
        <v>10</v>
      </c>
      <c r="I402" t="s">
        <v>11</v>
      </c>
    </row>
    <row r="403" spans="1:9" hidden="1" x14ac:dyDescent="0.25">
      <c r="A403" t="s">
        <v>8</v>
      </c>
      <c r="B403" t="s">
        <v>12</v>
      </c>
      <c r="C403">
        <v>201905</v>
      </c>
      <c r="D403" t="str">
        <f t="shared" si="6"/>
        <v>2019</v>
      </c>
      <c r="E403">
        <v>12863</v>
      </c>
      <c r="F403">
        <v>7514101</v>
      </c>
      <c r="G403">
        <v>0.17</v>
      </c>
      <c r="H403" t="s">
        <v>10</v>
      </c>
      <c r="I403" t="s">
        <v>11</v>
      </c>
    </row>
    <row r="404" spans="1:9" hidden="1" x14ac:dyDescent="0.25">
      <c r="A404" t="s">
        <v>8</v>
      </c>
      <c r="B404" t="s">
        <v>12</v>
      </c>
      <c r="C404">
        <v>201906</v>
      </c>
      <c r="D404" t="str">
        <f t="shared" si="6"/>
        <v>2019</v>
      </c>
      <c r="E404">
        <v>13365</v>
      </c>
      <c r="F404">
        <v>7514101</v>
      </c>
      <c r="G404">
        <v>0.18</v>
      </c>
      <c r="H404" t="s">
        <v>10</v>
      </c>
      <c r="I404" t="s">
        <v>11</v>
      </c>
    </row>
    <row r="405" spans="1:9" hidden="1" x14ac:dyDescent="0.25">
      <c r="A405" t="s">
        <v>8</v>
      </c>
      <c r="B405" t="s">
        <v>12</v>
      </c>
      <c r="C405">
        <v>201907</v>
      </c>
      <c r="D405" t="str">
        <f t="shared" si="6"/>
        <v>2019</v>
      </c>
      <c r="E405">
        <v>13504</v>
      </c>
      <c r="F405">
        <v>7514101</v>
      </c>
      <c r="G405">
        <v>0.18</v>
      </c>
      <c r="H405" t="s">
        <v>10</v>
      </c>
      <c r="I405" t="s">
        <v>11</v>
      </c>
    </row>
    <row r="406" spans="1:9" hidden="1" x14ac:dyDescent="0.25">
      <c r="A406" t="s">
        <v>8</v>
      </c>
      <c r="B406" t="s">
        <v>12</v>
      </c>
      <c r="C406">
        <v>201908</v>
      </c>
      <c r="D406" t="str">
        <f t="shared" si="6"/>
        <v>2019</v>
      </c>
      <c r="E406">
        <v>14163</v>
      </c>
      <c r="F406">
        <v>7514101</v>
      </c>
      <c r="G406">
        <v>0.19</v>
      </c>
      <c r="H406" t="s">
        <v>10</v>
      </c>
      <c r="I406" t="s">
        <v>11</v>
      </c>
    </row>
    <row r="407" spans="1:9" hidden="1" x14ac:dyDescent="0.25">
      <c r="A407" t="s">
        <v>8</v>
      </c>
      <c r="B407" t="s">
        <v>12</v>
      </c>
      <c r="C407">
        <v>201909</v>
      </c>
      <c r="D407" t="str">
        <f t="shared" si="6"/>
        <v>2019</v>
      </c>
      <c r="E407">
        <v>12961</v>
      </c>
      <c r="F407">
        <v>7514101</v>
      </c>
      <c r="G407">
        <v>0.17</v>
      </c>
      <c r="H407" t="s">
        <v>10</v>
      </c>
      <c r="I407" t="s">
        <v>11</v>
      </c>
    </row>
    <row r="408" spans="1:9" hidden="1" x14ac:dyDescent="0.25">
      <c r="A408" t="s">
        <v>8</v>
      </c>
      <c r="B408" t="s">
        <v>12</v>
      </c>
      <c r="C408">
        <v>201910</v>
      </c>
      <c r="D408" t="str">
        <f t="shared" si="6"/>
        <v>2019</v>
      </c>
      <c r="E408">
        <v>15571</v>
      </c>
      <c r="F408">
        <v>7514101</v>
      </c>
      <c r="G408">
        <v>0.21</v>
      </c>
      <c r="H408" t="s">
        <v>10</v>
      </c>
      <c r="I408" t="s">
        <v>11</v>
      </c>
    </row>
    <row r="409" spans="1:9" hidden="1" x14ac:dyDescent="0.25">
      <c r="A409" t="s">
        <v>8</v>
      </c>
      <c r="B409" t="s">
        <v>12</v>
      </c>
      <c r="C409">
        <v>201911</v>
      </c>
      <c r="D409" t="str">
        <f t="shared" si="6"/>
        <v>2019</v>
      </c>
      <c r="E409">
        <v>12113</v>
      </c>
      <c r="F409">
        <v>7514101</v>
      </c>
      <c r="G409">
        <v>0.16</v>
      </c>
      <c r="H409" t="s">
        <v>10</v>
      </c>
      <c r="I409" t="s">
        <v>11</v>
      </c>
    </row>
    <row r="410" spans="1:9" hidden="1" x14ac:dyDescent="0.25">
      <c r="A410" t="s">
        <v>8</v>
      </c>
      <c r="B410" t="s">
        <v>12</v>
      </c>
      <c r="C410">
        <v>201912</v>
      </c>
      <c r="D410" t="str">
        <f t="shared" si="6"/>
        <v>2019</v>
      </c>
      <c r="E410">
        <v>11801</v>
      </c>
      <c r="F410">
        <v>7514101</v>
      </c>
      <c r="G410">
        <v>0.16</v>
      </c>
      <c r="H410" t="s">
        <v>10</v>
      </c>
      <c r="I410" t="s">
        <v>11</v>
      </c>
    </row>
    <row r="411" spans="1:9" hidden="1" x14ac:dyDescent="0.25">
      <c r="A411" t="s">
        <v>8</v>
      </c>
      <c r="B411" t="s">
        <v>12</v>
      </c>
      <c r="C411">
        <v>202001</v>
      </c>
      <c r="D411" t="str">
        <f t="shared" si="6"/>
        <v>2020</v>
      </c>
      <c r="E411">
        <v>48132</v>
      </c>
      <c r="F411">
        <v>7514101</v>
      </c>
      <c r="G411">
        <v>0.64</v>
      </c>
      <c r="H411" t="s">
        <v>10</v>
      </c>
      <c r="I411" t="s">
        <v>11</v>
      </c>
    </row>
    <row r="412" spans="1:9" hidden="1" x14ac:dyDescent="0.25">
      <c r="A412" t="s">
        <v>8</v>
      </c>
      <c r="B412" t="s">
        <v>12</v>
      </c>
      <c r="C412">
        <v>202002</v>
      </c>
      <c r="D412" t="str">
        <f t="shared" si="6"/>
        <v>2020</v>
      </c>
      <c r="E412">
        <v>44979</v>
      </c>
      <c r="F412">
        <v>7514101</v>
      </c>
      <c r="G412">
        <v>0.6</v>
      </c>
      <c r="H412" t="s">
        <v>10</v>
      </c>
      <c r="I412" t="s">
        <v>11</v>
      </c>
    </row>
    <row r="413" spans="1:9" hidden="1" x14ac:dyDescent="0.25">
      <c r="A413" t="s">
        <v>8</v>
      </c>
      <c r="B413" t="s">
        <v>12</v>
      </c>
      <c r="C413">
        <v>202003</v>
      </c>
      <c r="D413" t="str">
        <f t="shared" si="6"/>
        <v>2020</v>
      </c>
      <c r="E413">
        <v>40828</v>
      </c>
      <c r="F413">
        <v>7514101</v>
      </c>
      <c r="G413">
        <v>0.54</v>
      </c>
      <c r="H413" t="s">
        <v>10</v>
      </c>
      <c r="I413" t="s">
        <v>11</v>
      </c>
    </row>
    <row r="414" spans="1:9" hidden="1" x14ac:dyDescent="0.25">
      <c r="A414" t="s">
        <v>8</v>
      </c>
      <c r="B414" t="s">
        <v>12</v>
      </c>
      <c r="C414">
        <v>202004</v>
      </c>
      <c r="D414" t="str">
        <f t="shared" si="6"/>
        <v>2020</v>
      </c>
      <c r="E414">
        <v>23199</v>
      </c>
      <c r="F414">
        <v>7514101</v>
      </c>
      <c r="G414">
        <v>0.31</v>
      </c>
      <c r="H414" t="s">
        <v>10</v>
      </c>
      <c r="I414" t="s">
        <v>11</v>
      </c>
    </row>
    <row r="415" spans="1:9" hidden="1" x14ac:dyDescent="0.25">
      <c r="A415" t="s">
        <v>8</v>
      </c>
      <c r="B415" t="s">
        <v>12</v>
      </c>
      <c r="C415">
        <v>202005</v>
      </c>
      <c r="D415" t="str">
        <f t="shared" si="6"/>
        <v>2020</v>
      </c>
      <c r="E415">
        <v>43177</v>
      </c>
      <c r="F415">
        <v>7514101</v>
      </c>
      <c r="G415">
        <v>0.56999999999999995</v>
      </c>
      <c r="H415" t="s">
        <v>10</v>
      </c>
      <c r="I415" t="s">
        <v>11</v>
      </c>
    </row>
    <row r="416" spans="1:9" hidden="1" x14ac:dyDescent="0.25">
      <c r="A416" t="s">
        <v>8</v>
      </c>
      <c r="B416" t="s">
        <v>12</v>
      </c>
      <c r="C416">
        <v>202006</v>
      </c>
      <c r="D416" t="str">
        <f t="shared" si="6"/>
        <v>2020</v>
      </c>
      <c r="E416">
        <v>53879</v>
      </c>
      <c r="F416">
        <v>7514101</v>
      </c>
      <c r="G416">
        <v>0.72</v>
      </c>
      <c r="H416" t="s">
        <v>10</v>
      </c>
      <c r="I416" t="s">
        <v>11</v>
      </c>
    </row>
    <row r="417" spans="1:9" hidden="1" x14ac:dyDescent="0.25">
      <c r="A417" t="s">
        <v>8</v>
      </c>
      <c r="B417" t="s">
        <v>12</v>
      </c>
      <c r="C417">
        <v>202007</v>
      </c>
      <c r="D417" t="str">
        <f t="shared" si="6"/>
        <v>2020</v>
      </c>
      <c r="E417">
        <v>43898</v>
      </c>
      <c r="F417">
        <v>7514101</v>
      </c>
      <c r="G417">
        <v>0.57999999999999996</v>
      </c>
      <c r="H417" t="s">
        <v>10</v>
      </c>
      <c r="I417" t="s">
        <v>11</v>
      </c>
    </row>
    <row r="418" spans="1:9" hidden="1" x14ac:dyDescent="0.25">
      <c r="A418" t="s">
        <v>8</v>
      </c>
      <c r="B418" t="s">
        <v>12</v>
      </c>
      <c r="C418">
        <v>202008</v>
      </c>
      <c r="D418" t="str">
        <f t="shared" si="6"/>
        <v>2020</v>
      </c>
      <c r="E418">
        <v>45352</v>
      </c>
      <c r="F418">
        <v>7514101</v>
      </c>
      <c r="G418">
        <v>0.6</v>
      </c>
      <c r="H418" t="s">
        <v>10</v>
      </c>
      <c r="I418" t="s">
        <v>11</v>
      </c>
    </row>
    <row r="419" spans="1:9" hidden="1" x14ac:dyDescent="0.25">
      <c r="A419" t="s">
        <v>8</v>
      </c>
      <c r="B419" t="s">
        <v>12</v>
      </c>
      <c r="C419">
        <v>202009</v>
      </c>
      <c r="D419" t="str">
        <f t="shared" si="6"/>
        <v>2020</v>
      </c>
      <c r="E419">
        <v>52547</v>
      </c>
      <c r="F419">
        <v>7514101</v>
      </c>
      <c r="G419">
        <v>0.7</v>
      </c>
      <c r="H419" t="s">
        <v>10</v>
      </c>
      <c r="I419" t="s">
        <v>11</v>
      </c>
    </row>
    <row r="420" spans="1:9" hidden="1" x14ac:dyDescent="0.25">
      <c r="A420" t="s">
        <v>8</v>
      </c>
      <c r="B420" t="s">
        <v>12</v>
      </c>
      <c r="C420">
        <v>202010</v>
      </c>
      <c r="D420" t="str">
        <f t="shared" si="6"/>
        <v>2020</v>
      </c>
      <c r="E420">
        <v>70920</v>
      </c>
      <c r="F420">
        <v>7514101</v>
      </c>
      <c r="G420">
        <v>0.94</v>
      </c>
      <c r="H420" t="s">
        <v>10</v>
      </c>
      <c r="I420" t="s">
        <v>11</v>
      </c>
    </row>
    <row r="421" spans="1:9" hidden="1" x14ac:dyDescent="0.25">
      <c r="A421" t="s">
        <v>8</v>
      </c>
      <c r="B421" t="s">
        <v>12</v>
      </c>
      <c r="C421">
        <v>202011</v>
      </c>
      <c r="D421" t="str">
        <f t="shared" si="6"/>
        <v>2020</v>
      </c>
      <c r="E421">
        <v>49130</v>
      </c>
      <c r="F421">
        <v>7514101</v>
      </c>
      <c r="G421">
        <v>0.65</v>
      </c>
      <c r="H421" t="s">
        <v>10</v>
      </c>
      <c r="I421" t="s">
        <v>11</v>
      </c>
    </row>
    <row r="422" spans="1:9" hidden="1" x14ac:dyDescent="0.25">
      <c r="A422" t="s">
        <v>8</v>
      </c>
      <c r="B422" t="s">
        <v>12</v>
      </c>
      <c r="C422">
        <v>202012</v>
      </c>
      <c r="D422" t="str">
        <f t="shared" si="6"/>
        <v>2020</v>
      </c>
      <c r="E422">
        <v>54656</v>
      </c>
      <c r="F422">
        <v>7514101</v>
      </c>
      <c r="G422">
        <v>0.73</v>
      </c>
      <c r="H422" t="s">
        <v>10</v>
      </c>
      <c r="I422" t="s">
        <v>11</v>
      </c>
    </row>
    <row r="423" spans="1:9" hidden="1" x14ac:dyDescent="0.25">
      <c r="A423" t="s">
        <v>8</v>
      </c>
      <c r="B423" t="s">
        <v>12</v>
      </c>
      <c r="C423">
        <v>202101</v>
      </c>
      <c r="D423" t="str">
        <f t="shared" si="6"/>
        <v>2021</v>
      </c>
      <c r="E423">
        <v>88082</v>
      </c>
      <c r="F423">
        <v>7514101</v>
      </c>
      <c r="G423">
        <v>1.17</v>
      </c>
      <c r="H423" t="s">
        <v>10</v>
      </c>
      <c r="I423" t="s">
        <v>11</v>
      </c>
    </row>
    <row r="424" spans="1:9" hidden="1" x14ac:dyDescent="0.25">
      <c r="A424" t="s">
        <v>8</v>
      </c>
      <c r="B424" t="s">
        <v>12</v>
      </c>
      <c r="C424">
        <v>202102</v>
      </c>
      <c r="D424" t="str">
        <f t="shared" si="6"/>
        <v>2021</v>
      </c>
      <c r="E424">
        <v>71732</v>
      </c>
      <c r="F424">
        <v>7514101</v>
      </c>
      <c r="G424">
        <v>0.95</v>
      </c>
      <c r="H424" t="s">
        <v>10</v>
      </c>
      <c r="I424" t="s">
        <v>11</v>
      </c>
    </row>
    <row r="425" spans="1:9" hidden="1" x14ac:dyDescent="0.25">
      <c r="A425" t="s">
        <v>8</v>
      </c>
      <c r="B425" t="s">
        <v>12</v>
      </c>
      <c r="C425">
        <v>202103</v>
      </c>
      <c r="D425" t="str">
        <f t="shared" si="6"/>
        <v>2021</v>
      </c>
      <c r="E425">
        <v>87186</v>
      </c>
      <c r="F425">
        <v>7514101</v>
      </c>
      <c r="G425">
        <v>1.1599999999999999</v>
      </c>
      <c r="H425" t="s">
        <v>10</v>
      </c>
      <c r="I425" t="s">
        <v>11</v>
      </c>
    </row>
    <row r="426" spans="1:9" hidden="1" x14ac:dyDescent="0.25">
      <c r="A426" t="s">
        <v>8</v>
      </c>
      <c r="B426" t="s">
        <v>12</v>
      </c>
      <c r="C426">
        <v>202104</v>
      </c>
      <c r="D426" t="str">
        <f t="shared" si="6"/>
        <v>2021</v>
      </c>
      <c r="E426">
        <v>84823</v>
      </c>
      <c r="F426">
        <v>7514101</v>
      </c>
      <c r="G426">
        <v>1.1299999999999999</v>
      </c>
      <c r="H426" t="s">
        <v>10</v>
      </c>
      <c r="I426" t="s">
        <v>11</v>
      </c>
    </row>
    <row r="427" spans="1:9" hidden="1" x14ac:dyDescent="0.25">
      <c r="A427" t="s">
        <v>8</v>
      </c>
      <c r="B427" t="s">
        <v>12</v>
      </c>
      <c r="C427">
        <v>202105</v>
      </c>
      <c r="D427" t="str">
        <f t="shared" si="6"/>
        <v>2021</v>
      </c>
      <c r="E427">
        <v>93093</v>
      </c>
      <c r="F427">
        <v>7514101</v>
      </c>
      <c r="G427">
        <v>1.24</v>
      </c>
      <c r="H427" t="s">
        <v>10</v>
      </c>
      <c r="I427" t="s">
        <v>11</v>
      </c>
    </row>
    <row r="428" spans="1:9" hidden="1" x14ac:dyDescent="0.25">
      <c r="A428" t="s">
        <v>8</v>
      </c>
      <c r="B428" t="s">
        <v>12</v>
      </c>
      <c r="C428">
        <v>202106</v>
      </c>
      <c r="D428" t="str">
        <f t="shared" si="6"/>
        <v>2021</v>
      </c>
      <c r="E428">
        <v>205418</v>
      </c>
      <c r="F428">
        <v>7514101</v>
      </c>
      <c r="G428">
        <v>2.73</v>
      </c>
      <c r="H428" t="s">
        <v>10</v>
      </c>
      <c r="I428" t="s">
        <v>11</v>
      </c>
    </row>
    <row r="429" spans="1:9" hidden="1" x14ac:dyDescent="0.25">
      <c r="A429" t="s">
        <v>8</v>
      </c>
      <c r="B429" t="s">
        <v>12</v>
      </c>
      <c r="C429">
        <v>202107</v>
      </c>
      <c r="D429" t="str">
        <f t="shared" si="6"/>
        <v>2021</v>
      </c>
      <c r="E429">
        <v>245802</v>
      </c>
      <c r="F429">
        <v>7514101</v>
      </c>
      <c r="G429">
        <v>3.27</v>
      </c>
      <c r="H429" t="s">
        <v>10</v>
      </c>
      <c r="I429" t="s">
        <v>11</v>
      </c>
    </row>
    <row r="430" spans="1:9" hidden="1" x14ac:dyDescent="0.25">
      <c r="A430" t="s">
        <v>8</v>
      </c>
      <c r="B430" t="s">
        <v>12</v>
      </c>
      <c r="C430">
        <v>202108</v>
      </c>
      <c r="D430" t="str">
        <f t="shared" si="6"/>
        <v>2021</v>
      </c>
      <c r="E430">
        <v>243043</v>
      </c>
      <c r="F430">
        <v>7514101</v>
      </c>
      <c r="G430">
        <v>3.23</v>
      </c>
      <c r="H430" t="s">
        <v>10</v>
      </c>
      <c r="I430" t="s">
        <v>11</v>
      </c>
    </row>
    <row r="431" spans="1:9" hidden="1" x14ac:dyDescent="0.25">
      <c r="A431" t="s">
        <v>8</v>
      </c>
      <c r="B431" t="s">
        <v>12</v>
      </c>
      <c r="C431">
        <v>202109</v>
      </c>
      <c r="D431" t="str">
        <f t="shared" si="6"/>
        <v>2021</v>
      </c>
      <c r="E431">
        <v>243040</v>
      </c>
      <c r="F431">
        <v>7514101</v>
      </c>
      <c r="G431">
        <v>3.23</v>
      </c>
      <c r="H431" t="s">
        <v>10</v>
      </c>
      <c r="I431" t="s">
        <v>11</v>
      </c>
    </row>
    <row r="432" spans="1:9" hidden="1" x14ac:dyDescent="0.25">
      <c r="A432" t="s">
        <v>8</v>
      </c>
      <c r="B432" t="s">
        <v>12</v>
      </c>
      <c r="C432">
        <v>202110</v>
      </c>
      <c r="D432" t="str">
        <f t="shared" si="6"/>
        <v>2021</v>
      </c>
      <c r="E432">
        <v>230723</v>
      </c>
      <c r="F432">
        <v>7514101</v>
      </c>
      <c r="G432">
        <v>3.07</v>
      </c>
      <c r="H432" t="s">
        <v>10</v>
      </c>
      <c r="I432" t="s">
        <v>11</v>
      </c>
    </row>
    <row r="433" spans="1:9" hidden="1" x14ac:dyDescent="0.25">
      <c r="A433" t="s">
        <v>8</v>
      </c>
      <c r="B433" t="s">
        <v>12</v>
      </c>
      <c r="C433">
        <v>202111</v>
      </c>
      <c r="D433" t="str">
        <f t="shared" si="6"/>
        <v>2021</v>
      </c>
      <c r="E433">
        <v>231531</v>
      </c>
      <c r="F433">
        <v>7514101</v>
      </c>
      <c r="G433">
        <v>3.08</v>
      </c>
      <c r="H433" t="s">
        <v>10</v>
      </c>
      <c r="I433" t="s">
        <v>11</v>
      </c>
    </row>
    <row r="434" spans="1:9" hidden="1" x14ac:dyDescent="0.25">
      <c r="A434" t="s">
        <v>8</v>
      </c>
      <c r="B434" t="s">
        <v>12</v>
      </c>
      <c r="C434">
        <v>202112</v>
      </c>
      <c r="D434" t="str">
        <f t="shared" si="6"/>
        <v>2021</v>
      </c>
      <c r="E434">
        <v>230939</v>
      </c>
      <c r="F434">
        <v>7514101</v>
      </c>
      <c r="G434">
        <v>3.07</v>
      </c>
      <c r="H434" t="s">
        <v>10</v>
      </c>
      <c r="I434" t="s">
        <v>11</v>
      </c>
    </row>
    <row r="435" spans="1:9" hidden="1" x14ac:dyDescent="0.25">
      <c r="A435" t="s">
        <v>8</v>
      </c>
      <c r="B435" t="s">
        <v>12</v>
      </c>
      <c r="C435">
        <v>202201</v>
      </c>
      <c r="D435" t="str">
        <f t="shared" si="6"/>
        <v>2022</v>
      </c>
      <c r="E435">
        <v>185052</v>
      </c>
      <c r="F435">
        <v>7514101</v>
      </c>
      <c r="G435">
        <v>2.46</v>
      </c>
      <c r="H435" t="s">
        <v>10</v>
      </c>
      <c r="I435" t="s">
        <v>11</v>
      </c>
    </row>
    <row r="436" spans="1:9" hidden="1" x14ac:dyDescent="0.25">
      <c r="A436" t="s">
        <v>8</v>
      </c>
      <c r="B436" t="s">
        <v>12</v>
      </c>
      <c r="C436">
        <v>202202</v>
      </c>
      <c r="D436" t="str">
        <f t="shared" si="6"/>
        <v>2022</v>
      </c>
      <c r="E436">
        <v>159547</v>
      </c>
      <c r="F436">
        <v>7514101</v>
      </c>
      <c r="G436">
        <v>2.12</v>
      </c>
      <c r="H436" t="s">
        <v>10</v>
      </c>
      <c r="I436" t="s">
        <v>11</v>
      </c>
    </row>
    <row r="437" spans="1:9" hidden="1" x14ac:dyDescent="0.25">
      <c r="A437" t="s">
        <v>8</v>
      </c>
      <c r="B437" t="s">
        <v>12</v>
      </c>
      <c r="C437">
        <v>202203</v>
      </c>
      <c r="D437" t="str">
        <f t="shared" si="6"/>
        <v>2022</v>
      </c>
      <c r="E437">
        <v>203505</v>
      </c>
      <c r="F437">
        <v>7514101</v>
      </c>
      <c r="G437">
        <v>2.71</v>
      </c>
      <c r="H437" t="s">
        <v>10</v>
      </c>
      <c r="I437" t="s">
        <v>11</v>
      </c>
    </row>
    <row r="438" spans="1:9" hidden="1" x14ac:dyDescent="0.25">
      <c r="A438" t="s">
        <v>8</v>
      </c>
      <c r="B438" t="s">
        <v>12</v>
      </c>
      <c r="C438">
        <v>202204</v>
      </c>
      <c r="D438" t="str">
        <f t="shared" si="6"/>
        <v>2022</v>
      </c>
      <c r="E438">
        <v>177005</v>
      </c>
      <c r="F438">
        <v>7514101</v>
      </c>
      <c r="G438">
        <v>2.36</v>
      </c>
      <c r="H438" t="s">
        <v>10</v>
      </c>
      <c r="I438" t="s">
        <v>11</v>
      </c>
    </row>
    <row r="439" spans="1:9" hidden="1" x14ac:dyDescent="0.25">
      <c r="A439" t="s">
        <v>8</v>
      </c>
      <c r="B439" t="s">
        <v>12</v>
      </c>
      <c r="C439">
        <v>202205</v>
      </c>
      <c r="D439" t="str">
        <f t="shared" si="6"/>
        <v>2022</v>
      </c>
      <c r="E439">
        <v>180682</v>
      </c>
      <c r="F439">
        <v>7514101</v>
      </c>
      <c r="G439">
        <v>2.4</v>
      </c>
      <c r="H439" t="s">
        <v>10</v>
      </c>
      <c r="I439" t="s">
        <v>11</v>
      </c>
    </row>
    <row r="440" spans="1:9" hidden="1" x14ac:dyDescent="0.25">
      <c r="A440" t="s">
        <v>8</v>
      </c>
      <c r="B440" t="s">
        <v>12</v>
      </c>
      <c r="C440">
        <v>202206</v>
      </c>
      <c r="D440" t="str">
        <f t="shared" si="6"/>
        <v>2022</v>
      </c>
      <c r="E440">
        <v>183897</v>
      </c>
      <c r="F440">
        <v>7514101</v>
      </c>
      <c r="G440">
        <v>2.4500000000000002</v>
      </c>
      <c r="H440" t="s">
        <v>10</v>
      </c>
      <c r="I440" t="s">
        <v>11</v>
      </c>
    </row>
    <row r="441" spans="1:9" hidden="1" x14ac:dyDescent="0.25">
      <c r="A441" t="s">
        <v>8</v>
      </c>
      <c r="B441" t="s">
        <v>12</v>
      </c>
      <c r="C441">
        <v>202207</v>
      </c>
      <c r="D441" t="str">
        <f t="shared" si="6"/>
        <v>2022</v>
      </c>
      <c r="E441">
        <v>170265</v>
      </c>
      <c r="F441">
        <v>7514101</v>
      </c>
      <c r="G441">
        <v>2.27</v>
      </c>
      <c r="H441" t="s">
        <v>10</v>
      </c>
      <c r="I441" t="s">
        <v>11</v>
      </c>
    </row>
    <row r="442" spans="1:9" hidden="1" x14ac:dyDescent="0.25">
      <c r="A442" t="s">
        <v>8</v>
      </c>
      <c r="B442" t="s">
        <v>12</v>
      </c>
      <c r="C442">
        <v>202208</v>
      </c>
      <c r="D442" t="str">
        <f t="shared" si="6"/>
        <v>2022</v>
      </c>
      <c r="E442">
        <v>188765</v>
      </c>
      <c r="F442">
        <v>7514101</v>
      </c>
      <c r="G442">
        <v>2.5099999999999998</v>
      </c>
      <c r="H442" t="s">
        <v>10</v>
      </c>
      <c r="I442" t="s">
        <v>11</v>
      </c>
    </row>
    <row r="443" spans="1:9" hidden="1" x14ac:dyDescent="0.25">
      <c r="A443" t="s">
        <v>8</v>
      </c>
      <c r="B443" t="s">
        <v>12</v>
      </c>
      <c r="C443">
        <v>202209</v>
      </c>
      <c r="D443" t="str">
        <f t="shared" si="6"/>
        <v>2022</v>
      </c>
      <c r="E443">
        <v>176283</v>
      </c>
      <c r="F443">
        <v>7514101</v>
      </c>
      <c r="G443">
        <v>2.35</v>
      </c>
      <c r="H443" t="s">
        <v>10</v>
      </c>
      <c r="I443" t="s">
        <v>11</v>
      </c>
    </row>
    <row r="444" spans="1:9" hidden="1" x14ac:dyDescent="0.25">
      <c r="A444" t="s">
        <v>8</v>
      </c>
      <c r="B444" t="s">
        <v>12</v>
      </c>
      <c r="C444">
        <v>202210</v>
      </c>
      <c r="D444" t="str">
        <f t="shared" si="6"/>
        <v>2022</v>
      </c>
      <c r="E444">
        <v>182261</v>
      </c>
      <c r="F444">
        <v>7514101</v>
      </c>
      <c r="G444">
        <v>2.4300000000000002</v>
      </c>
      <c r="H444" t="s">
        <v>10</v>
      </c>
      <c r="I444" t="s">
        <v>11</v>
      </c>
    </row>
    <row r="445" spans="1:9" hidden="1" x14ac:dyDescent="0.25">
      <c r="A445" t="s">
        <v>8</v>
      </c>
      <c r="B445" t="s">
        <v>12</v>
      </c>
      <c r="C445">
        <v>202211</v>
      </c>
      <c r="D445" t="str">
        <f t="shared" si="6"/>
        <v>2022</v>
      </c>
      <c r="E445">
        <v>177576</v>
      </c>
      <c r="F445">
        <v>7514101</v>
      </c>
      <c r="G445">
        <v>2.36</v>
      </c>
      <c r="H445" t="s">
        <v>10</v>
      </c>
      <c r="I445" t="s">
        <v>11</v>
      </c>
    </row>
    <row r="446" spans="1:9" hidden="1" x14ac:dyDescent="0.25">
      <c r="A446" t="s">
        <v>8</v>
      </c>
      <c r="B446" t="s">
        <v>12</v>
      </c>
      <c r="C446">
        <v>202212</v>
      </c>
      <c r="D446" t="str">
        <f t="shared" si="6"/>
        <v>2022</v>
      </c>
      <c r="E446">
        <v>165403</v>
      </c>
      <c r="F446">
        <v>7514101</v>
      </c>
      <c r="G446">
        <v>2.2000000000000002</v>
      </c>
      <c r="H446" t="s">
        <v>10</v>
      </c>
      <c r="I446" t="s">
        <v>11</v>
      </c>
    </row>
    <row r="447" spans="1:9" hidden="1" x14ac:dyDescent="0.25">
      <c r="A447" t="s">
        <v>8</v>
      </c>
      <c r="B447" t="s">
        <v>12</v>
      </c>
      <c r="C447">
        <v>202301</v>
      </c>
      <c r="D447" t="str">
        <f t="shared" si="6"/>
        <v>2023</v>
      </c>
      <c r="E447">
        <v>186953</v>
      </c>
      <c r="F447">
        <v>7514101</v>
      </c>
      <c r="G447">
        <v>2.4900000000000002</v>
      </c>
      <c r="H447" t="s">
        <v>10</v>
      </c>
      <c r="I447" t="s">
        <v>11</v>
      </c>
    </row>
    <row r="448" spans="1:9" hidden="1" x14ac:dyDescent="0.25">
      <c r="A448" t="s">
        <v>8</v>
      </c>
      <c r="B448" t="s">
        <v>12</v>
      </c>
      <c r="C448">
        <v>202302</v>
      </c>
      <c r="D448" t="str">
        <f t="shared" si="6"/>
        <v>2023</v>
      </c>
      <c r="E448">
        <v>179987</v>
      </c>
      <c r="F448">
        <v>7514101</v>
      </c>
      <c r="G448">
        <v>2.4</v>
      </c>
      <c r="H448" t="s">
        <v>10</v>
      </c>
      <c r="I448" t="s">
        <v>11</v>
      </c>
    </row>
    <row r="449" spans="1:9" hidden="1" x14ac:dyDescent="0.25">
      <c r="A449" t="s">
        <v>8</v>
      </c>
      <c r="B449" t="s">
        <v>12</v>
      </c>
      <c r="C449">
        <v>202303</v>
      </c>
      <c r="D449" t="str">
        <f t="shared" si="6"/>
        <v>2023</v>
      </c>
      <c r="E449">
        <v>197049</v>
      </c>
      <c r="F449">
        <v>7514101</v>
      </c>
      <c r="G449">
        <v>2.62</v>
      </c>
      <c r="H449" t="s">
        <v>10</v>
      </c>
      <c r="I449" t="s">
        <v>11</v>
      </c>
    </row>
    <row r="450" spans="1:9" hidden="1" x14ac:dyDescent="0.25">
      <c r="A450" t="s">
        <v>8</v>
      </c>
      <c r="B450" t="s">
        <v>12</v>
      </c>
      <c r="C450">
        <v>202304</v>
      </c>
      <c r="D450" t="str">
        <f t="shared" si="6"/>
        <v>2023</v>
      </c>
      <c r="E450">
        <v>177100</v>
      </c>
      <c r="F450">
        <v>7514101</v>
      </c>
      <c r="G450">
        <v>2.36</v>
      </c>
      <c r="H450" t="s">
        <v>10</v>
      </c>
      <c r="I450" t="s">
        <v>11</v>
      </c>
    </row>
    <row r="451" spans="1:9" hidden="1" x14ac:dyDescent="0.25">
      <c r="A451" t="s">
        <v>8</v>
      </c>
      <c r="B451" t="s">
        <v>12</v>
      </c>
      <c r="C451">
        <v>202305</v>
      </c>
      <c r="D451" t="str">
        <f t="shared" ref="D451:D514" si="7">LEFT(C451,4)</f>
        <v>2023</v>
      </c>
      <c r="E451">
        <v>184856</v>
      </c>
      <c r="F451">
        <v>7514101</v>
      </c>
      <c r="G451">
        <v>2.46</v>
      </c>
      <c r="H451" t="s">
        <v>10</v>
      </c>
      <c r="I451" t="s">
        <v>11</v>
      </c>
    </row>
    <row r="452" spans="1:9" hidden="1" x14ac:dyDescent="0.25">
      <c r="A452" t="s">
        <v>8</v>
      </c>
      <c r="B452" t="s">
        <v>12</v>
      </c>
      <c r="C452">
        <v>202306</v>
      </c>
      <c r="D452" t="str">
        <f t="shared" si="7"/>
        <v>2023</v>
      </c>
      <c r="E452">
        <v>181504</v>
      </c>
      <c r="F452">
        <v>7514101</v>
      </c>
      <c r="G452">
        <v>2.42</v>
      </c>
      <c r="H452" t="s">
        <v>10</v>
      </c>
      <c r="I452" t="s">
        <v>11</v>
      </c>
    </row>
    <row r="453" spans="1:9" hidden="1" x14ac:dyDescent="0.25">
      <c r="A453" t="s">
        <v>8</v>
      </c>
      <c r="B453" t="s">
        <v>12</v>
      </c>
      <c r="C453">
        <v>202307</v>
      </c>
      <c r="D453" t="str">
        <f t="shared" si="7"/>
        <v>2023</v>
      </c>
      <c r="E453">
        <v>158935</v>
      </c>
      <c r="F453">
        <v>7514101</v>
      </c>
      <c r="G453">
        <v>2.12</v>
      </c>
      <c r="H453" t="s">
        <v>10</v>
      </c>
      <c r="I453" t="s">
        <v>11</v>
      </c>
    </row>
    <row r="454" spans="1:9" hidden="1" x14ac:dyDescent="0.25">
      <c r="A454" t="s">
        <v>8</v>
      </c>
      <c r="B454" t="s">
        <v>12</v>
      </c>
      <c r="C454">
        <v>202308</v>
      </c>
      <c r="D454" t="str">
        <f t="shared" si="7"/>
        <v>2023</v>
      </c>
      <c r="E454">
        <v>176209</v>
      </c>
      <c r="F454">
        <v>7514101</v>
      </c>
      <c r="G454">
        <v>2.35</v>
      </c>
      <c r="H454" t="s">
        <v>10</v>
      </c>
      <c r="I454" t="s">
        <v>11</v>
      </c>
    </row>
    <row r="455" spans="1:9" hidden="1" x14ac:dyDescent="0.25">
      <c r="A455" t="s">
        <v>8</v>
      </c>
      <c r="B455" t="s">
        <v>12</v>
      </c>
      <c r="C455">
        <v>202309</v>
      </c>
      <c r="D455" t="str">
        <f t="shared" si="7"/>
        <v>2023</v>
      </c>
      <c r="E455">
        <v>165754</v>
      </c>
      <c r="F455">
        <v>7514101</v>
      </c>
      <c r="G455">
        <v>2.21</v>
      </c>
      <c r="H455" t="s">
        <v>10</v>
      </c>
      <c r="I455" t="s">
        <v>11</v>
      </c>
    </row>
    <row r="456" spans="1:9" hidden="1" x14ac:dyDescent="0.25">
      <c r="A456" t="s">
        <v>8</v>
      </c>
      <c r="B456" t="s">
        <v>12</v>
      </c>
      <c r="C456">
        <v>202310</v>
      </c>
      <c r="D456" t="str">
        <f t="shared" si="7"/>
        <v>2023</v>
      </c>
      <c r="E456">
        <v>178858</v>
      </c>
      <c r="F456">
        <v>7514101</v>
      </c>
      <c r="G456">
        <v>2.38</v>
      </c>
      <c r="H456" t="s">
        <v>10</v>
      </c>
      <c r="I456" t="s">
        <v>11</v>
      </c>
    </row>
    <row r="457" spans="1:9" hidden="1" x14ac:dyDescent="0.25">
      <c r="A457" t="s">
        <v>8</v>
      </c>
      <c r="B457" t="s">
        <v>12</v>
      </c>
      <c r="C457">
        <v>202311</v>
      </c>
      <c r="D457" t="str">
        <f t="shared" si="7"/>
        <v>2023</v>
      </c>
      <c r="E457">
        <v>165416</v>
      </c>
      <c r="F457">
        <v>7514101</v>
      </c>
      <c r="G457">
        <v>2.2000000000000002</v>
      </c>
      <c r="H457" t="s">
        <v>10</v>
      </c>
      <c r="I457" t="s">
        <v>11</v>
      </c>
    </row>
    <row r="458" spans="1:9" hidden="1" x14ac:dyDescent="0.25">
      <c r="A458" t="s">
        <v>8</v>
      </c>
      <c r="B458" t="s">
        <v>12</v>
      </c>
      <c r="C458">
        <v>202312</v>
      </c>
      <c r="D458" t="str">
        <f t="shared" si="7"/>
        <v>2023</v>
      </c>
      <c r="E458">
        <v>157588</v>
      </c>
      <c r="F458">
        <v>7514101</v>
      </c>
      <c r="G458">
        <v>2.1</v>
      </c>
      <c r="H458" t="s">
        <v>10</v>
      </c>
      <c r="I458" t="s">
        <v>11</v>
      </c>
    </row>
    <row r="459" spans="1:9" hidden="1" x14ac:dyDescent="0.25">
      <c r="A459" t="s">
        <v>8</v>
      </c>
      <c r="B459" t="s">
        <v>12</v>
      </c>
      <c r="C459">
        <v>202401</v>
      </c>
      <c r="D459" t="str">
        <f t="shared" si="7"/>
        <v>2024</v>
      </c>
      <c r="E459">
        <v>224326</v>
      </c>
      <c r="F459">
        <v>7514101</v>
      </c>
      <c r="G459">
        <v>2.99</v>
      </c>
      <c r="H459" t="s">
        <v>10</v>
      </c>
      <c r="I459" t="s">
        <v>11</v>
      </c>
    </row>
    <row r="460" spans="1:9" hidden="1" x14ac:dyDescent="0.25">
      <c r="A460" t="s">
        <v>8</v>
      </c>
      <c r="B460" t="s">
        <v>12</v>
      </c>
      <c r="C460">
        <v>202402</v>
      </c>
      <c r="D460" t="str">
        <f t="shared" si="7"/>
        <v>2024</v>
      </c>
      <c r="E460">
        <v>202645</v>
      </c>
      <c r="F460">
        <v>7514101</v>
      </c>
      <c r="G460">
        <v>2.7</v>
      </c>
      <c r="H460" t="s">
        <v>10</v>
      </c>
      <c r="I460" t="s">
        <v>11</v>
      </c>
    </row>
    <row r="461" spans="1:9" hidden="1" x14ac:dyDescent="0.25">
      <c r="A461" t="s">
        <v>8</v>
      </c>
      <c r="B461" t="s">
        <v>12</v>
      </c>
      <c r="C461">
        <v>202403</v>
      </c>
      <c r="D461" t="str">
        <f t="shared" si="7"/>
        <v>2024</v>
      </c>
      <c r="E461">
        <v>40150</v>
      </c>
      <c r="F461">
        <v>7514101</v>
      </c>
      <c r="G461">
        <v>0.53</v>
      </c>
      <c r="H461" t="s">
        <v>10</v>
      </c>
      <c r="I461" t="s">
        <v>11</v>
      </c>
    </row>
    <row r="462" spans="1:9" hidden="1" x14ac:dyDescent="0.25">
      <c r="A462" t="s">
        <v>8</v>
      </c>
      <c r="B462" t="s">
        <v>55</v>
      </c>
      <c r="C462">
        <v>201412</v>
      </c>
      <c r="D462" t="str">
        <f t="shared" si="7"/>
        <v>2014</v>
      </c>
      <c r="E462">
        <v>4</v>
      </c>
      <c r="F462">
        <v>7148578</v>
      </c>
      <c r="G462">
        <v>0</v>
      </c>
      <c r="H462" t="s">
        <v>10</v>
      </c>
      <c r="I462" t="s">
        <v>11</v>
      </c>
    </row>
    <row r="463" spans="1:9" hidden="1" x14ac:dyDescent="0.25">
      <c r="A463" t="s">
        <v>8</v>
      </c>
      <c r="B463" t="s">
        <v>55</v>
      </c>
      <c r="C463">
        <v>201504</v>
      </c>
      <c r="D463" t="str">
        <f t="shared" si="7"/>
        <v>2015</v>
      </c>
      <c r="E463">
        <v>3</v>
      </c>
      <c r="F463">
        <v>7148578</v>
      </c>
      <c r="G463">
        <v>0</v>
      </c>
      <c r="H463" t="s">
        <v>10</v>
      </c>
      <c r="I463" t="s">
        <v>11</v>
      </c>
    </row>
    <row r="464" spans="1:9" hidden="1" x14ac:dyDescent="0.25">
      <c r="A464" t="s">
        <v>8</v>
      </c>
      <c r="B464" t="s">
        <v>55</v>
      </c>
      <c r="C464">
        <v>201505</v>
      </c>
      <c r="D464" t="str">
        <f t="shared" si="7"/>
        <v>2015</v>
      </c>
      <c r="E464">
        <v>2</v>
      </c>
      <c r="F464">
        <v>7148578</v>
      </c>
      <c r="G464">
        <v>0</v>
      </c>
      <c r="H464" t="s">
        <v>10</v>
      </c>
      <c r="I464" t="s">
        <v>11</v>
      </c>
    </row>
    <row r="465" spans="1:9" hidden="1" x14ac:dyDescent="0.25">
      <c r="A465" t="s">
        <v>8</v>
      </c>
      <c r="B465" t="s">
        <v>55</v>
      </c>
      <c r="C465">
        <v>201508</v>
      </c>
      <c r="D465" t="str">
        <f t="shared" si="7"/>
        <v>2015</v>
      </c>
      <c r="E465">
        <v>4</v>
      </c>
      <c r="F465">
        <v>7148578</v>
      </c>
      <c r="G465">
        <v>0</v>
      </c>
      <c r="H465" t="s">
        <v>10</v>
      </c>
      <c r="I465" t="s">
        <v>11</v>
      </c>
    </row>
    <row r="466" spans="1:9" hidden="1" x14ac:dyDescent="0.25">
      <c r="A466" t="s">
        <v>8</v>
      </c>
      <c r="B466" t="s">
        <v>55</v>
      </c>
      <c r="C466">
        <v>201510</v>
      </c>
      <c r="D466" t="str">
        <f t="shared" si="7"/>
        <v>2015</v>
      </c>
      <c r="E466">
        <v>2</v>
      </c>
      <c r="F466">
        <v>7148578</v>
      </c>
      <c r="G466">
        <v>0</v>
      </c>
      <c r="H466" t="s">
        <v>10</v>
      </c>
      <c r="I466" t="s">
        <v>11</v>
      </c>
    </row>
    <row r="467" spans="1:9" hidden="1" x14ac:dyDescent="0.25">
      <c r="A467" t="s">
        <v>8</v>
      </c>
      <c r="B467" t="s">
        <v>55</v>
      </c>
      <c r="C467">
        <v>201608</v>
      </c>
      <c r="D467" t="str">
        <f t="shared" si="7"/>
        <v>2016</v>
      </c>
      <c r="E467">
        <v>10</v>
      </c>
      <c r="F467">
        <v>7148578</v>
      </c>
      <c r="G467">
        <v>0</v>
      </c>
      <c r="H467" t="s">
        <v>10</v>
      </c>
      <c r="I467" t="s">
        <v>11</v>
      </c>
    </row>
    <row r="468" spans="1:9" hidden="1" x14ac:dyDescent="0.25">
      <c r="A468" t="s">
        <v>8</v>
      </c>
      <c r="B468" t="s">
        <v>55</v>
      </c>
      <c r="C468">
        <v>201609</v>
      </c>
      <c r="D468" t="str">
        <f t="shared" si="7"/>
        <v>2016</v>
      </c>
      <c r="E468">
        <v>10</v>
      </c>
      <c r="F468">
        <v>7148578</v>
      </c>
      <c r="G468">
        <v>0</v>
      </c>
      <c r="H468" t="s">
        <v>10</v>
      </c>
      <c r="I468" t="s">
        <v>11</v>
      </c>
    </row>
    <row r="469" spans="1:9" hidden="1" x14ac:dyDescent="0.25">
      <c r="A469" t="s">
        <v>8</v>
      </c>
      <c r="B469" t="s">
        <v>55</v>
      </c>
      <c r="C469">
        <v>201610</v>
      </c>
      <c r="D469" t="str">
        <f t="shared" si="7"/>
        <v>2016</v>
      </c>
      <c r="E469">
        <v>5</v>
      </c>
      <c r="F469">
        <v>7148578</v>
      </c>
      <c r="G469">
        <v>0</v>
      </c>
      <c r="H469" t="s">
        <v>10</v>
      </c>
      <c r="I469" t="s">
        <v>11</v>
      </c>
    </row>
    <row r="470" spans="1:9" hidden="1" x14ac:dyDescent="0.25">
      <c r="A470" t="s">
        <v>8</v>
      </c>
      <c r="B470" t="s">
        <v>55</v>
      </c>
      <c r="C470">
        <v>201703</v>
      </c>
      <c r="D470" t="str">
        <f t="shared" si="7"/>
        <v>2017</v>
      </c>
      <c r="E470">
        <v>6</v>
      </c>
      <c r="F470">
        <v>7148578</v>
      </c>
      <c r="G470">
        <v>0</v>
      </c>
      <c r="H470" t="s">
        <v>10</v>
      </c>
      <c r="I470" t="s">
        <v>11</v>
      </c>
    </row>
    <row r="471" spans="1:9" hidden="1" x14ac:dyDescent="0.25">
      <c r="A471" t="s">
        <v>8</v>
      </c>
      <c r="B471" t="s">
        <v>55</v>
      </c>
      <c r="C471">
        <v>201704</v>
      </c>
      <c r="D471" t="str">
        <f t="shared" si="7"/>
        <v>2017</v>
      </c>
      <c r="E471">
        <v>5</v>
      </c>
      <c r="F471">
        <v>7148578</v>
      </c>
      <c r="G471">
        <v>0</v>
      </c>
      <c r="H471" t="s">
        <v>10</v>
      </c>
      <c r="I471" t="s">
        <v>11</v>
      </c>
    </row>
    <row r="472" spans="1:9" hidden="1" x14ac:dyDescent="0.25">
      <c r="A472" t="s">
        <v>8</v>
      </c>
      <c r="B472" t="s">
        <v>55</v>
      </c>
      <c r="C472">
        <v>201706</v>
      </c>
      <c r="D472" t="str">
        <f t="shared" si="7"/>
        <v>2017</v>
      </c>
      <c r="E472">
        <v>4</v>
      </c>
      <c r="F472">
        <v>7148578</v>
      </c>
      <c r="G472">
        <v>0</v>
      </c>
      <c r="H472" t="s">
        <v>10</v>
      </c>
      <c r="I472" t="s">
        <v>11</v>
      </c>
    </row>
    <row r="473" spans="1:9" hidden="1" x14ac:dyDescent="0.25">
      <c r="A473" t="s">
        <v>8</v>
      </c>
      <c r="B473" t="s">
        <v>55</v>
      </c>
      <c r="C473">
        <v>201707</v>
      </c>
      <c r="D473" t="str">
        <f t="shared" si="7"/>
        <v>2017</v>
      </c>
      <c r="E473">
        <v>34</v>
      </c>
      <c r="F473">
        <v>7148578</v>
      </c>
      <c r="G473">
        <v>0</v>
      </c>
      <c r="H473" t="s">
        <v>10</v>
      </c>
      <c r="I473" t="s">
        <v>11</v>
      </c>
    </row>
    <row r="474" spans="1:9" hidden="1" x14ac:dyDescent="0.25">
      <c r="A474" t="s">
        <v>8</v>
      </c>
      <c r="B474" t="s">
        <v>55</v>
      </c>
      <c r="C474">
        <v>201708</v>
      </c>
      <c r="D474" t="str">
        <f t="shared" si="7"/>
        <v>2017</v>
      </c>
      <c r="E474">
        <v>12</v>
      </c>
      <c r="F474">
        <v>7148578</v>
      </c>
      <c r="G474">
        <v>0</v>
      </c>
      <c r="H474" t="s">
        <v>10</v>
      </c>
      <c r="I474" t="s">
        <v>11</v>
      </c>
    </row>
    <row r="475" spans="1:9" hidden="1" x14ac:dyDescent="0.25">
      <c r="A475" t="s">
        <v>8</v>
      </c>
      <c r="B475" t="s">
        <v>55</v>
      </c>
      <c r="C475">
        <v>201709</v>
      </c>
      <c r="D475" t="str">
        <f t="shared" si="7"/>
        <v>2017</v>
      </c>
      <c r="E475">
        <v>31</v>
      </c>
      <c r="F475">
        <v>7148578</v>
      </c>
      <c r="G475">
        <v>0</v>
      </c>
      <c r="H475" t="s">
        <v>10</v>
      </c>
      <c r="I475" t="s">
        <v>11</v>
      </c>
    </row>
    <row r="476" spans="1:9" hidden="1" x14ac:dyDescent="0.25">
      <c r="A476" t="s">
        <v>8</v>
      </c>
      <c r="B476" t="s">
        <v>55</v>
      </c>
      <c r="C476">
        <v>201710</v>
      </c>
      <c r="D476" t="str">
        <f t="shared" si="7"/>
        <v>2017</v>
      </c>
      <c r="E476">
        <v>23</v>
      </c>
      <c r="F476">
        <v>7148578</v>
      </c>
      <c r="G476">
        <v>0</v>
      </c>
      <c r="H476" t="s">
        <v>10</v>
      </c>
      <c r="I476" t="s">
        <v>11</v>
      </c>
    </row>
    <row r="477" spans="1:9" hidden="1" x14ac:dyDescent="0.25">
      <c r="A477" t="s">
        <v>8</v>
      </c>
      <c r="B477" t="s">
        <v>55</v>
      </c>
      <c r="C477">
        <v>201711</v>
      </c>
      <c r="D477" t="str">
        <f t="shared" si="7"/>
        <v>2017</v>
      </c>
      <c r="E477">
        <v>27</v>
      </c>
      <c r="F477">
        <v>7148578</v>
      </c>
      <c r="G477">
        <v>0</v>
      </c>
      <c r="H477" t="s">
        <v>10</v>
      </c>
      <c r="I477" t="s">
        <v>11</v>
      </c>
    </row>
    <row r="478" spans="1:9" hidden="1" x14ac:dyDescent="0.25">
      <c r="A478" t="s">
        <v>8</v>
      </c>
      <c r="B478" t="s">
        <v>55</v>
      </c>
      <c r="C478">
        <v>201712</v>
      </c>
      <c r="D478" t="str">
        <f t="shared" si="7"/>
        <v>2017</v>
      </c>
      <c r="E478">
        <v>21</v>
      </c>
      <c r="F478">
        <v>7148578</v>
      </c>
      <c r="G478">
        <v>0</v>
      </c>
      <c r="H478" t="s">
        <v>10</v>
      </c>
      <c r="I478" t="s">
        <v>11</v>
      </c>
    </row>
    <row r="479" spans="1:9" hidden="1" x14ac:dyDescent="0.25">
      <c r="A479" t="s">
        <v>8</v>
      </c>
      <c r="B479" t="s">
        <v>55</v>
      </c>
      <c r="C479">
        <v>201801</v>
      </c>
      <c r="D479" t="str">
        <f t="shared" si="7"/>
        <v>2018</v>
      </c>
      <c r="E479">
        <v>9</v>
      </c>
      <c r="F479">
        <v>7148578</v>
      </c>
      <c r="G479">
        <v>0</v>
      </c>
      <c r="H479" t="s">
        <v>10</v>
      </c>
      <c r="I479" t="s">
        <v>11</v>
      </c>
    </row>
    <row r="480" spans="1:9" hidden="1" x14ac:dyDescent="0.25">
      <c r="A480" t="s">
        <v>8</v>
      </c>
      <c r="B480" t="s">
        <v>55</v>
      </c>
      <c r="C480">
        <v>201802</v>
      </c>
      <c r="D480" t="str">
        <f t="shared" si="7"/>
        <v>2018</v>
      </c>
      <c r="E480">
        <v>14</v>
      </c>
      <c r="F480">
        <v>7148578</v>
      </c>
      <c r="G480">
        <v>0</v>
      </c>
      <c r="H480" t="s">
        <v>10</v>
      </c>
      <c r="I480" t="s">
        <v>11</v>
      </c>
    </row>
    <row r="481" spans="1:9" hidden="1" x14ac:dyDescent="0.25">
      <c r="A481" t="s">
        <v>8</v>
      </c>
      <c r="B481" t="s">
        <v>55</v>
      </c>
      <c r="C481">
        <v>201803</v>
      </c>
      <c r="D481" t="str">
        <f t="shared" si="7"/>
        <v>2018</v>
      </c>
      <c r="E481">
        <v>2</v>
      </c>
      <c r="F481">
        <v>7148578</v>
      </c>
      <c r="G481">
        <v>0</v>
      </c>
      <c r="H481" t="s">
        <v>10</v>
      </c>
      <c r="I481" t="s">
        <v>11</v>
      </c>
    </row>
    <row r="482" spans="1:9" hidden="1" x14ac:dyDescent="0.25">
      <c r="A482" t="s">
        <v>8</v>
      </c>
      <c r="B482" t="s">
        <v>55</v>
      </c>
      <c r="C482">
        <v>201804</v>
      </c>
      <c r="D482" t="str">
        <f t="shared" si="7"/>
        <v>2018</v>
      </c>
      <c r="E482">
        <v>13</v>
      </c>
      <c r="F482">
        <v>7148578</v>
      </c>
      <c r="G482">
        <v>0</v>
      </c>
      <c r="H482" t="s">
        <v>10</v>
      </c>
      <c r="I482" t="s">
        <v>11</v>
      </c>
    </row>
    <row r="483" spans="1:9" hidden="1" x14ac:dyDescent="0.25">
      <c r="A483" t="s">
        <v>8</v>
      </c>
      <c r="B483" t="s">
        <v>55</v>
      </c>
      <c r="C483">
        <v>201805</v>
      </c>
      <c r="D483" t="str">
        <f t="shared" si="7"/>
        <v>2018</v>
      </c>
      <c r="E483">
        <v>26</v>
      </c>
      <c r="F483">
        <v>7148578</v>
      </c>
      <c r="G483">
        <v>0</v>
      </c>
      <c r="H483" t="s">
        <v>10</v>
      </c>
      <c r="I483" t="s">
        <v>11</v>
      </c>
    </row>
    <row r="484" spans="1:9" hidden="1" x14ac:dyDescent="0.25">
      <c r="A484" t="s">
        <v>8</v>
      </c>
      <c r="B484" t="s">
        <v>55</v>
      </c>
      <c r="C484">
        <v>201806</v>
      </c>
      <c r="D484" t="str">
        <f t="shared" si="7"/>
        <v>2018</v>
      </c>
      <c r="E484">
        <v>47</v>
      </c>
      <c r="F484">
        <v>7148578</v>
      </c>
      <c r="G484">
        <v>0</v>
      </c>
      <c r="H484" t="s">
        <v>10</v>
      </c>
      <c r="I484" t="s">
        <v>11</v>
      </c>
    </row>
    <row r="485" spans="1:9" hidden="1" x14ac:dyDescent="0.25">
      <c r="A485" t="s">
        <v>8</v>
      </c>
      <c r="B485" t="s">
        <v>55</v>
      </c>
      <c r="C485">
        <v>201807</v>
      </c>
      <c r="D485" t="str">
        <f t="shared" si="7"/>
        <v>2018</v>
      </c>
      <c r="E485">
        <v>16</v>
      </c>
      <c r="F485">
        <v>7148578</v>
      </c>
      <c r="G485">
        <v>0</v>
      </c>
      <c r="H485" t="s">
        <v>10</v>
      </c>
      <c r="I485" t="s">
        <v>11</v>
      </c>
    </row>
    <row r="486" spans="1:9" hidden="1" x14ac:dyDescent="0.25">
      <c r="A486" t="s">
        <v>8</v>
      </c>
      <c r="B486" t="s">
        <v>55</v>
      </c>
      <c r="C486">
        <v>201808</v>
      </c>
      <c r="D486" t="str">
        <f t="shared" si="7"/>
        <v>2018</v>
      </c>
      <c r="E486">
        <v>41</v>
      </c>
      <c r="F486">
        <v>7148578</v>
      </c>
      <c r="G486">
        <v>0</v>
      </c>
      <c r="H486" t="s">
        <v>10</v>
      </c>
      <c r="I486" t="s">
        <v>11</v>
      </c>
    </row>
    <row r="487" spans="1:9" hidden="1" x14ac:dyDescent="0.25">
      <c r="A487" t="s">
        <v>8</v>
      </c>
      <c r="B487" t="s">
        <v>55</v>
      </c>
      <c r="C487">
        <v>201809</v>
      </c>
      <c r="D487" t="str">
        <f t="shared" si="7"/>
        <v>2018</v>
      </c>
      <c r="E487">
        <v>40</v>
      </c>
      <c r="F487">
        <v>7148578</v>
      </c>
      <c r="G487">
        <v>0</v>
      </c>
      <c r="H487" t="s">
        <v>10</v>
      </c>
      <c r="I487" t="s">
        <v>11</v>
      </c>
    </row>
    <row r="488" spans="1:9" hidden="1" x14ac:dyDescent="0.25">
      <c r="A488" t="s">
        <v>8</v>
      </c>
      <c r="B488" t="s">
        <v>55</v>
      </c>
      <c r="C488">
        <v>201810</v>
      </c>
      <c r="D488" t="str">
        <f t="shared" si="7"/>
        <v>2018</v>
      </c>
      <c r="E488">
        <v>12</v>
      </c>
      <c r="F488">
        <v>7148578</v>
      </c>
      <c r="G488">
        <v>0</v>
      </c>
      <c r="H488" t="s">
        <v>10</v>
      </c>
      <c r="I488" t="s">
        <v>11</v>
      </c>
    </row>
    <row r="489" spans="1:9" hidden="1" x14ac:dyDescent="0.25">
      <c r="A489" t="s">
        <v>8</v>
      </c>
      <c r="B489" t="s">
        <v>55</v>
      </c>
      <c r="C489">
        <v>201811</v>
      </c>
      <c r="D489" t="str">
        <f t="shared" si="7"/>
        <v>2018</v>
      </c>
      <c r="E489">
        <v>8</v>
      </c>
      <c r="F489">
        <v>7148578</v>
      </c>
      <c r="G489">
        <v>0</v>
      </c>
      <c r="H489" t="s">
        <v>10</v>
      </c>
      <c r="I489" t="s">
        <v>11</v>
      </c>
    </row>
    <row r="490" spans="1:9" hidden="1" x14ac:dyDescent="0.25">
      <c r="A490" t="s">
        <v>8</v>
      </c>
      <c r="B490" t="s">
        <v>55</v>
      </c>
      <c r="C490">
        <v>201812</v>
      </c>
      <c r="D490" t="str">
        <f t="shared" si="7"/>
        <v>2018</v>
      </c>
      <c r="E490">
        <v>16</v>
      </c>
      <c r="F490">
        <v>7148578</v>
      </c>
      <c r="G490">
        <v>0</v>
      </c>
      <c r="H490" t="s">
        <v>10</v>
      </c>
      <c r="I490" t="s">
        <v>11</v>
      </c>
    </row>
    <row r="491" spans="1:9" hidden="1" x14ac:dyDescent="0.25">
      <c r="A491" t="s">
        <v>8</v>
      </c>
      <c r="B491" t="s">
        <v>55</v>
      </c>
      <c r="C491">
        <v>201901</v>
      </c>
      <c r="D491" t="str">
        <f t="shared" si="7"/>
        <v>2019</v>
      </c>
      <c r="E491">
        <v>1957</v>
      </c>
      <c r="F491">
        <v>7148578</v>
      </c>
      <c r="G491">
        <v>0.03</v>
      </c>
      <c r="H491" t="s">
        <v>10</v>
      </c>
      <c r="I491" t="s">
        <v>11</v>
      </c>
    </row>
    <row r="492" spans="1:9" hidden="1" x14ac:dyDescent="0.25">
      <c r="A492" t="s">
        <v>8</v>
      </c>
      <c r="B492" t="s">
        <v>55</v>
      </c>
      <c r="C492">
        <v>201902</v>
      </c>
      <c r="D492" t="str">
        <f t="shared" si="7"/>
        <v>2019</v>
      </c>
      <c r="E492">
        <v>1792</v>
      </c>
      <c r="F492">
        <v>7148578</v>
      </c>
      <c r="G492">
        <v>0.03</v>
      </c>
      <c r="H492" t="s">
        <v>10</v>
      </c>
      <c r="I492" t="s">
        <v>11</v>
      </c>
    </row>
    <row r="493" spans="1:9" hidden="1" x14ac:dyDescent="0.25">
      <c r="A493" t="s">
        <v>8</v>
      </c>
      <c r="B493" t="s">
        <v>55</v>
      </c>
      <c r="C493">
        <v>201903</v>
      </c>
      <c r="D493" t="str">
        <f t="shared" si="7"/>
        <v>2019</v>
      </c>
      <c r="E493">
        <v>1941</v>
      </c>
      <c r="F493">
        <v>7148578</v>
      </c>
      <c r="G493">
        <v>0.03</v>
      </c>
      <c r="H493" t="s">
        <v>10</v>
      </c>
      <c r="I493" t="s">
        <v>11</v>
      </c>
    </row>
    <row r="494" spans="1:9" hidden="1" x14ac:dyDescent="0.25">
      <c r="A494" t="s">
        <v>8</v>
      </c>
      <c r="B494" t="s">
        <v>55</v>
      </c>
      <c r="C494">
        <v>201904</v>
      </c>
      <c r="D494" t="str">
        <f t="shared" si="7"/>
        <v>2019</v>
      </c>
      <c r="E494">
        <v>2123</v>
      </c>
      <c r="F494">
        <v>7148578</v>
      </c>
      <c r="G494">
        <v>0.03</v>
      </c>
      <c r="H494" t="s">
        <v>10</v>
      </c>
      <c r="I494" t="s">
        <v>11</v>
      </c>
    </row>
    <row r="495" spans="1:9" hidden="1" x14ac:dyDescent="0.25">
      <c r="A495" t="s">
        <v>8</v>
      </c>
      <c r="B495" t="s">
        <v>55</v>
      </c>
      <c r="C495">
        <v>201905</v>
      </c>
      <c r="D495" t="str">
        <f t="shared" si="7"/>
        <v>2019</v>
      </c>
      <c r="E495">
        <v>2054</v>
      </c>
      <c r="F495">
        <v>7148578</v>
      </c>
      <c r="G495">
        <v>0.03</v>
      </c>
      <c r="H495" t="s">
        <v>10</v>
      </c>
      <c r="I495" t="s">
        <v>11</v>
      </c>
    </row>
    <row r="496" spans="1:9" hidden="1" x14ac:dyDescent="0.25">
      <c r="A496" t="s">
        <v>8</v>
      </c>
      <c r="B496" t="s">
        <v>55</v>
      </c>
      <c r="C496">
        <v>201906</v>
      </c>
      <c r="D496" t="str">
        <f t="shared" si="7"/>
        <v>2019</v>
      </c>
      <c r="E496">
        <v>2423</v>
      </c>
      <c r="F496">
        <v>7148578</v>
      </c>
      <c r="G496">
        <v>0.03</v>
      </c>
      <c r="H496" t="s">
        <v>10</v>
      </c>
      <c r="I496" t="s">
        <v>11</v>
      </c>
    </row>
    <row r="497" spans="1:9" hidden="1" x14ac:dyDescent="0.25">
      <c r="A497" t="s">
        <v>8</v>
      </c>
      <c r="B497" t="s">
        <v>55</v>
      </c>
      <c r="C497">
        <v>201907</v>
      </c>
      <c r="D497" t="str">
        <f t="shared" si="7"/>
        <v>2019</v>
      </c>
      <c r="E497">
        <v>2181</v>
      </c>
      <c r="F497">
        <v>7148578</v>
      </c>
      <c r="G497">
        <v>0.03</v>
      </c>
      <c r="H497" t="s">
        <v>10</v>
      </c>
      <c r="I497" t="s">
        <v>11</v>
      </c>
    </row>
    <row r="498" spans="1:9" hidden="1" x14ac:dyDescent="0.25">
      <c r="A498" t="s">
        <v>8</v>
      </c>
      <c r="B498" t="s">
        <v>55</v>
      </c>
      <c r="C498">
        <v>201908</v>
      </c>
      <c r="D498" t="str">
        <f t="shared" si="7"/>
        <v>2019</v>
      </c>
      <c r="E498">
        <v>1956</v>
      </c>
      <c r="F498">
        <v>7148578</v>
      </c>
      <c r="G498">
        <v>0.03</v>
      </c>
      <c r="H498" t="s">
        <v>10</v>
      </c>
      <c r="I498" t="s">
        <v>11</v>
      </c>
    </row>
    <row r="499" spans="1:9" hidden="1" x14ac:dyDescent="0.25">
      <c r="A499" t="s">
        <v>8</v>
      </c>
      <c r="B499" t="s">
        <v>55</v>
      </c>
      <c r="C499">
        <v>201909</v>
      </c>
      <c r="D499" t="str">
        <f t="shared" si="7"/>
        <v>2019</v>
      </c>
      <c r="E499">
        <v>1729</v>
      </c>
      <c r="F499">
        <v>7148578</v>
      </c>
      <c r="G499">
        <v>0.02</v>
      </c>
      <c r="H499" t="s">
        <v>10</v>
      </c>
      <c r="I499" t="s">
        <v>11</v>
      </c>
    </row>
    <row r="500" spans="1:9" hidden="1" x14ac:dyDescent="0.25">
      <c r="A500" t="s">
        <v>8</v>
      </c>
      <c r="B500" t="s">
        <v>55</v>
      </c>
      <c r="C500">
        <v>201910</v>
      </c>
      <c r="D500" t="str">
        <f t="shared" si="7"/>
        <v>2019</v>
      </c>
      <c r="E500">
        <v>2078</v>
      </c>
      <c r="F500">
        <v>7148578</v>
      </c>
      <c r="G500">
        <v>0.03</v>
      </c>
      <c r="H500" t="s">
        <v>10</v>
      </c>
      <c r="I500" t="s">
        <v>11</v>
      </c>
    </row>
    <row r="501" spans="1:9" hidden="1" x14ac:dyDescent="0.25">
      <c r="A501" t="s">
        <v>8</v>
      </c>
      <c r="B501" t="s">
        <v>55</v>
      </c>
      <c r="C501">
        <v>201911</v>
      </c>
      <c r="D501" t="str">
        <f t="shared" si="7"/>
        <v>2019</v>
      </c>
      <c r="E501">
        <v>1337</v>
      </c>
      <c r="F501">
        <v>7148578</v>
      </c>
      <c r="G501">
        <v>0.02</v>
      </c>
      <c r="H501" t="s">
        <v>10</v>
      </c>
      <c r="I501" t="s">
        <v>11</v>
      </c>
    </row>
    <row r="502" spans="1:9" hidden="1" x14ac:dyDescent="0.25">
      <c r="A502" t="s">
        <v>8</v>
      </c>
      <c r="B502" t="s">
        <v>55</v>
      </c>
      <c r="C502">
        <v>201912</v>
      </c>
      <c r="D502" t="str">
        <f t="shared" si="7"/>
        <v>2019</v>
      </c>
      <c r="E502">
        <v>614</v>
      </c>
      <c r="F502">
        <v>7148578</v>
      </c>
      <c r="G502">
        <v>0.01</v>
      </c>
      <c r="H502" t="s">
        <v>10</v>
      </c>
      <c r="I502" t="s">
        <v>11</v>
      </c>
    </row>
    <row r="503" spans="1:9" hidden="1" x14ac:dyDescent="0.25">
      <c r="A503" t="s">
        <v>8</v>
      </c>
      <c r="B503" t="s">
        <v>55</v>
      </c>
      <c r="C503">
        <v>202001</v>
      </c>
      <c r="D503" t="str">
        <f t="shared" si="7"/>
        <v>2020</v>
      </c>
      <c r="E503">
        <v>35370</v>
      </c>
      <c r="F503">
        <v>7148578</v>
      </c>
      <c r="G503">
        <v>0.49</v>
      </c>
      <c r="H503" t="s">
        <v>10</v>
      </c>
      <c r="I503" t="s">
        <v>11</v>
      </c>
    </row>
    <row r="504" spans="1:9" hidden="1" x14ac:dyDescent="0.25">
      <c r="A504" t="s">
        <v>8</v>
      </c>
      <c r="B504" t="s">
        <v>55</v>
      </c>
      <c r="C504">
        <v>202002</v>
      </c>
      <c r="D504" t="str">
        <f t="shared" si="7"/>
        <v>2020</v>
      </c>
      <c r="E504">
        <v>32745</v>
      </c>
      <c r="F504">
        <v>7148578</v>
      </c>
      <c r="G504">
        <v>0.46</v>
      </c>
      <c r="H504" t="s">
        <v>10</v>
      </c>
      <c r="I504" t="s">
        <v>11</v>
      </c>
    </row>
    <row r="505" spans="1:9" hidden="1" x14ac:dyDescent="0.25">
      <c r="A505" t="s">
        <v>8</v>
      </c>
      <c r="B505" t="s">
        <v>55</v>
      </c>
      <c r="C505">
        <v>202003</v>
      </c>
      <c r="D505" t="str">
        <f t="shared" si="7"/>
        <v>2020</v>
      </c>
      <c r="E505">
        <v>31391</v>
      </c>
      <c r="F505">
        <v>7148578</v>
      </c>
      <c r="G505">
        <v>0.44</v>
      </c>
      <c r="H505" t="s">
        <v>10</v>
      </c>
      <c r="I505" t="s">
        <v>11</v>
      </c>
    </row>
    <row r="506" spans="1:9" hidden="1" x14ac:dyDescent="0.25">
      <c r="A506" t="s">
        <v>8</v>
      </c>
      <c r="B506" t="s">
        <v>55</v>
      </c>
      <c r="C506">
        <v>202004</v>
      </c>
      <c r="D506" t="str">
        <f t="shared" si="7"/>
        <v>2020</v>
      </c>
      <c r="E506">
        <v>17253</v>
      </c>
      <c r="F506">
        <v>7148578</v>
      </c>
      <c r="G506">
        <v>0.24</v>
      </c>
      <c r="H506" t="s">
        <v>10</v>
      </c>
      <c r="I506" t="s">
        <v>11</v>
      </c>
    </row>
    <row r="507" spans="1:9" hidden="1" x14ac:dyDescent="0.25">
      <c r="A507" t="s">
        <v>8</v>
      </c>
      <c r="B507" t="s">
        <v>55</v>
      </c>
      <c r="C507">
        <v>202005</v>
      </c>
      <c r="D507" t="str">
        <f t="shared" si="7"/>
        <v>2020</v>
      </c>
      <c r="E507">
        <v>32893</v>
      </c>
      <c r="F507">
        <v>7148578</v>
      </c>
      <c r="G507">
        <v>0.46</v>
      </c>
      <c r="H507" t="s">
        <v>10</v>
      </c>
      <c r="I507" t="s">
        <v>11</v>
      </c>
    </row>
    <row r="508" spans="1:9" hidden="1" x14ac:dyDescent="0.25">
      <c r="A508" t="s">
        <v>8</v>
      </c>
      <c r="B508" t="s">
        <v>55</v>
      </c>
      <c r="C508">
        <v>202006</v>
      </c>
      <c r="D508" t="str">
        <f t="shared" si="7"/>
        <v>2020</v>
      </c>
      <c r="E508">
        <v>40668</v>
      </c>
      <c r="F508">
        <v>7148578</v>
      </c>
      <c r="G508">
        <v>0.56999999999999995</v>
      </c>
      <c r="H508" t="s">
        <v>10</v>
      </c>
      <c r="I508" t="s">
        <v>11</v>
      </c>
    </row>
    <row r="509" spans="1:9" hidden="1" x14ac:dyDescent="0.25">
      <c r="A509" t="s">
        <v>8</v>
      </c>
      <c r="B509" t="s">
        <v>55</v>
      </c>
      <c r="C509">
        <v>202007</v>
      </c>
      <c r="D509" t="str">
        <f t="shared" si="7"/>
        <v>2020</v>
      </c>
      <c r="E509">
        <v>29357</v>
      </c>
      <c r="F509">
        <v>7148578</v>
      </c>
      <c r="G509">
        <v>0.41</v>
      </c>
      <c r="H509" t="s">
        <v>10</v>
      </c>
      <c r="I509" t="s">
        <v>11</v>
      </c>
    </row>
    <row r="510" spans="1:9" hidden="1" x14ac:dyDescent="0.25">
      <c r="A510" t="s">
        <v>8</v>
      </c>
      <c r="B510" t="s">
        <v>55</v>
      </c>
      <c r="C510">
        <v>202008</v>
      </c>
      <c r="D510" t="str">
        <f t="shared" si="7"/>
        <v>2020</v>
      </c>
      <c r="E510">
        <v>29580</v>
      </c>
      <c r="F510">
        <v>7148578</v>
      </c>
      <c r="G510">
        <v>0.41</v>
      </c>
      <c r="H510" t="s">
        <v>10</v>
      </c>
      <c r="I510" t="s">
        <v>11</v>
      </c>
    </row>
    <row r="511" spans="1:9" hidden="1" x14ac:dyDescent="0.25">
      <c r="A511" t="s">
        <v>8</v>
      </c>
      <c r="B511" t="s">
        <v>55</v>
      </c>
      <c r="C511">
        <v>202009</v>
      </c>
      <c r="D511" t="str">
        <f t="shared" si="7"/>
        <v>2020</v>
      </c>
      <c r="E511">
        <v>30381</v>
      </c>
      <c r="F511">
        <v>7148578</v>
      </c>
      <c r="G511">
        <v>0.42</v>
      </c>
      <c r="H511" t="s">
        <v>10</v>
      </c>
      <c r="I511" t="s">
        <v>11</v>
      </c>
    </row>
    <row r="512" spans="1:9" hidden="1" x14ac:dyDescent="0.25">
      <c r="A512" t="s">
        <v>8</v>
      </c>
      <c r="B512" t="s">
        <v>55</v>
      </c>
      <c r="C512">
        <v>202010</v>
      </c>
      <c r="D512" t="str">
        <f t="shared" si="7"/>
        <v>2020</v>
      </c>
      <c r="E512">
        <v>32470</v>
      </c>
      <c r="F512">
        <v>7148578</v>
      </c>
      <c r="G512">
        <v>0.45</v>
      </c>
      <c r="H512" t="s">
        <v>10</v>
      </c>
      <c r="I512" t="s">
        <v>11</v>
      </c>
    </row>
    <row r="513" spans="1:9" hidden="1" x14ac:dyDescent="0.25">
      <c r="A513" t="s">
        <v>8</v>
      </c>
      <c r="B513" t="s">
        <v>55</v>
      </c>
      <c r="C513">
        <v>202011</v>
      </c>
      <c r="D513" t="str">
        <f t="shared" si="7"/>
        <v>2020</v>
      </c>
      <c r="E513">
        <v>28501</v>
      </c>
      <c r="F513">
        <v>7148578</v>
      </c>
      <c r="G513">
        <v>0.4</v>
      </c>
      <c r="H513" t="s">
        <v>10</v>
      </c>
      <c r="I513" t="s">
        <v>11</v>
      </c>
    </row>
    <row r="514" spans="1:9" hidden="1" x14ac:dyDescent="0.25">
      <c r="A514" t="s">
        <v>8</v>
      </c>
      <c r="B514" t="s">
        <v>55</v>
      </c>
      <c r="C514">
        <v>202012</v>
      </c>
      <c r="D514" t="str">
        <f t="shared" si="7"/>
        <v>2020</v>
      </c>
      <c r="E514">
        <v>31784</v>
      </c>
      <c r="F514">
        <v>7148578</v>
      </c>
      <c r="G514">
        <v>0.44</v>
      </c>
      <c r="H514" t="s">
        <v>10</v>
      </c>
      <c r="I514" t="s">
        <v>11</v>
      </c>
    </row>
    <row r="515" spans="1:9" hidden="1" x14ac:dyDescent="0.25">
      <c r="A515" t="s">
        <v>8</v>
      </c>
      <c r="B515" t="s">
        <v>55</v>
      </c>
      <c r="C515">
        <v>202101</v>
      </c>
      <c r="D515" t="str">
        <f t="shared" ref="D515:D578" si="8">LEFT(C515,4)</f>
        <v>2021</v>
      </c>
      <c r="E515">
        <v>60684</v>
      </c>
      <c r="F515">
        <v>7148578</v>
      </c>
      <c r="G515">
        <v>0.85</v>
      </c>
      <c r="H515" t="s">
        <v>10</v>
      </c>
      <c r="I515" t="s">
        <v>11</v>
      </c>
    </row>
    <row r="516" spans="1:9" hidden="1" x14ac:dyDescent="0.25">
      <c r="A516" t="s">
        <v>8</v>
      </c>
      <c r="B516" t="s">
        <v>55</v>
      </c>
      <c r="C516">
        <v>202102</v>
      </c>
      <c r="D516" t="str">
        <f t="shared" si="8"/>
        <v>2021</v>
      </c>
      <c r="E516">
        <v>53720</v>
      </c>
      <c r="F516">
        <v>7148578</v>
      </c>
      <c r="G516">
        <v>0.75</v>
      </c>
      <c r="H516" t="s">
        <v>10</v>
      </c>
      <c r="I516" t="s">
        <v>11</v>
      </c>
    </row>
    <row r="517" spans="1:9" hidden="1" x14ac:dyDescent="0.25">
      <c r="A517" t="s">
        <v>8</v>
      </c>
      <c r="B517" t="s">
        <v>55</v>
      </c>
      <c r="C517">
        <v>202103</v>
      </c>
      <c r="D517" t="str">
        <f t="shared" si="8"/>
        <v>2021</v>
      </c>
      <c r="E517">
        <v>69538</v>
      </c>
      <c r="F517">
        <v>7148578</v>
      </c>
      <c r="G517">
        <v>0.97</v>
      </c>
      <c r="H517" t="s">
        <v>10</v>
      </c>
      <c r="I517" t="s">
        <v>11</v>
      </c>
    </row>
    <row r="518" spans="1:9" hidden="1" x14ac:dyDescent="0.25">
      <c r="A518" t="s">
        <v>8</v>
      </c>
      <c r="B518" t="s">
        <v>55</v>
      </c>
      <c r="C518">
        <v>202104</v>
      </c>
      <c r="D518" t="str">
        <f t="shared" si="8"/>
        <v>2021</v>
      </c>
      <c r="E518">
        <v>66157</v>
      </c>
      <c r="F518">
        <v>7148578</v>
      </c>
      <c r="G518">
        <v>0.93</v>
      </c>
      <c r="H518" t="s">
        <v>10</v>
      </c>
      <c r="I518" t="s">
        <v>11</v>
      </c>
    </row>
    <row r="519" spans="1:9" hidden="1" x14ac:dyDescent="0.25">
      <c r="A519" t="s">
        <v>8</v>
      </c>
      <c r="B519" t="s">
        <v>55</v>
      </c>
      <c r="C519">
        <v>202105</v>
      </c>
      <c r="D519" t="str">
        <f t="shared" si="8"/>
        <v>2021</v>
      </c>
      <c r="E519">
        <v>62738</v>
      </c>
      <c r="F519">
        <v>7148578</v>
      </c>
      <c r="G519">
        <v>0.88</v>
      </c>
      <c r="H519" t="s">
        <v>10</v>
      </c>
      <c r="I519" t="s">
        <v>11</v>
      </c>
    </row>
    <row r="520" spans="1:9" hidden="1" x14ac:dyDescent="0.25">
      <c r="A520" t="s">
        <v>8</v>
      </c>
      <c r="B520" t="s">
        <v>55</v>
      </c>
      <c r="C520">
        <v>202106</v>
      </c>
      <c r="D520" t="str">
        <f t="shared" si="8"/>
        <v>2021</v>
      </c>
      <c r="E520">
        <v>88177</v>
      </c>
      <c r="F520">
        <v>7148578</v>
      </c>
      <c r="G520">
        <v>1.23</v>
      </c>
      <c r="H520" t="s">
        <v>10</v>
      </c>
      <c r="I520" t="s">
        <v>11</v>
      </c>
    </row>
    <row r="521" spans="1:9" hidden="1" x14ac:dyDescent="0.25">
      <c r="A521" t="s">
        <v>8</v>
      </c>
      <c r="B521" t="s">
        <v>55</v>
      </c>
      <c r="C521">
        <v>202107</v>
      </c>
      <c r="D521" t="str">
        <f t="shared" si="8"/>
        <v>2021</v>
      </c>
      <c r="E521">
        <v>216305</v>
      </c>
      <c r="F521">
        <v>7148578</v>
      </c>
      <c r="G521">
        <v>3.03</v>
      </c>
      <c r="H521" t="s">
        <v>10</v>
      </c>
      <c r="I521" t="s">
        <v>11</v>
      </c>
    </row>
    <row r="522" spans="1:9" hidden="1" x14ac:dyDescent="0.25">
      <c r="A522" t="s">
        <v>8</v>
      </c>
      <c r="B522" t="s">
        <v>55</v>
      </c>
      <c r="C522">
        <v>202108</v>
      </c>
      <c r="D522" t="str">
        <f t="shared" si="8"/>
        <v>2021</v>
      </c>
      <c r="E522">
        <v>234791</v>
      </c>
      <c r="F522">
        <v>7148578</v>
      </c>
      <c r="G522">
        <v>3.28</v>
      </c>
      <c r="H522" t="s">
        <v>10</v>
      </c>
      <c r="I522" t="s">
        <v>11</v>
      </c>
    </row>
    <row r="523" spans="1:9" hidden="1" x14ac:dyDescent="0.25">
      <c r="A523" t="s">
        <v>8</v>
      </c>
      <c r="B523" t="s">
        <v>55</v>
      </c>
      <c r="C523">
        <v>202109</v>
      </c>
      <c r="D523" t="str">
        <f t="shared" si="8"/>
        <v>2021</v>
      </c>
      <c r="E523">
        <v>233265</v>
      </c>
      <c r="F523">
        <v>7148578</v>
      </c>
      <c r="G523">
        <v>3.26</v>
      </c>
      <c r="H523" t="s">
        <v>10</v>
      </c>
      <c r="I523" t="s">
        <v>11</v>
      </c>
    </row>
    <row r="524" spans="1:9" hidden="1" x14ac:dyDescent="0.25">
      <c r="A524" t="s">
        <v>8</v>
      </c>
      <c r="B524" t="s">
        <v>55</v>
      </c>
      <c r="C524">
        <v>202110</v>
      </c>
      <c r="D524" t="str">
        <f t="shared" si="8"/>
        <v>2021</v>
      </c>
      <c r="E524">
        <v>221888</v>
      </c>
      <c r="F524">
        <v>7148578</v>
      </c>
      <c r="G524">
        <v>3.1</v>
      </c>
      <c r="H524" t="s">
        <v>10</v>
      </c>
      <c r="I524" t="s">
        <v>11</v>
      </c>
    </row>
    <row r="525" spans="1:9" hidden="1" x14ac:dyDescent="0.25">
      <c r="A525" t="s">
        <v>8</v>
      </c>
      <c r="B525" t="s">
        <v>55</v>
      </c>
      <c r="C525">
        <v>202111</v>
      </c>
      <c r="D525" t="str">
        <f t="shared" si="8"/>
        <v>2021</v>
      </c>
      <c r="E525">
        <v>222586</v>
      </c>
      <c r="F525">
        <v>7148578</v>
      </c>
      <c r="G525">
        <v>3.11</v>
      </c>
      <c r="H525" t="s">
        <v>10</v>
      </c>
      <c r="I525" t="s">
        <v>11</v>
      </c>
    </row>
    <row r="526" spans="1:9" hidden="1" x14ac:dyDescent="0.25">
      <c r="A526" t="s">
        <v>8</v>
      </c>
      <c r="B526" t="s">
        <v>55</v>
      </c>
      <c r="C526">
        <v>202112</v>
      </c>
      <c r="D526" t="str">
        <f t="shared" si="8"/>
        <v>2021</v>
      </c>
      <c r="E526">
        <v>222045</v>
      </c>
      <c r="F526">
        <v>7148578</v>
      </c>
      <c r="G526">
        <v>3.11</v>
      </c>
      <c r="H526" t="s">
        <v>10</v>
      </c>
      <c r="I526" t="s">
        <v>11</v>
      </c>
    </row>
    <row r="527" spans="1:9" hidden="1" x14ac:dyDescent="0.25">
      <c r="A527" t="s">
        <v>8</v>
      </c>
      <c r="B527" t="s">
        <v>55</v>
      </c>
      <c r="C527">
        <v>202201</v>
      </c>
      <c r="D527" t="str">
        <f t="shared" si="8"/>
        <v>2022</v>
      </c>
      <c r="E527">
        <v>178036</v>
      </c>
      <c r="F527">
        <v>7148578</v>
      </c>
      <c r="G527">
        <v>2.4900000000000002</v>
      </c>
      <c r="H527" t="s">
        <v>10</v>
      </c>
      <c r="I527" t="s">
        <v>11</v>
      </c>
    </row>
    <row r="528" spans="1:9" hidden="1" x14ac:dyDescent="0.25">
      <c r="A528" t="s">
        <v>8</v>
      </c>
      <c r="B528" t="s">
        <v>55</v>
      </c>
      <c r="C528">
        <v>202202</v>
      </c>
      <c r="D528" t="str">
        <f t="shared" si="8"/>
        <v>2022</v>
      </c>
      <c r="E528">
        <v>152360</v>
      </c>
      <c r="F528">
        <v>7148578</v>
      </c>
      <c r="G528">
        <v>2.13</v>
      </c>
      <c r="H528" t="s">
        <v>10</v>
      </c>
      <c r="I528" t="s">
        <v>11</v>
      </c>
    </row>
    <row r="529" spans="1:9" hidden="1" x14ac:dyDescent="0.25">
      <c r="A529" t="s">
        <v>8</v>
      </c>
      <c r="B529" t="s">
        <v>55</v>
      </c>
      <c r="C529">
        <v>202203</v>
      </c>
      <c r="D529" t="str">
        <f t="shared" si="8"/>
        <v>2022</v>
      </c>
      <c r="E529">
        <v>195468</v>
      </c>
      <c r="F529">
        <v>7148578</v>
      </c>
      <c r="G529">
        <v>2.73</v>
      </c>
      <c r="H529" t="s">
        <v>10</v>
      </c>
      <c r="I529" t="s">
        <v>11</v>
      </c>
    </row>
    <row r="530" spans="1:9" hidden="1" x14ac:dyDescent="0.25">
      <c r="A530" t="s">
        <v>8</v>
      </c>
      <c r="B530" t="s">
        <v>55</v>
      </c>
      <c r="C530">
        <v>202204</v>
      </c>
      <c r="D530" t="str">
        <f t="shared" si="8"/>
        <v>2022</v>
      </c>
      <c r="E530">
        <v>168736</v>
      </c>
      <c r="F530">
        <v>7148578</v>
      </c>
      <c r="G530">
        <v>2.36</v>
      </c>
      <c r="H530" t="s">
        <v>10</v>
      </c>
      <c r="I530" t="s">
        <v>11</v>
      </c>
    </row>
    <row r="531" spans="1:9" hidden="1" x14ac:dyDescent="0.25">
      <c r="A531" t="s">
        <v>8</v>
      </c>
      <c r="B531" t="s">
        <v>55</v>
      </c>
      <c r="C531">
        <v>202205</v>
      </c>
      <c r="D531" t="str">
        <f t="shared" si="8"/>
        <v>2022</v>
      </c>
      <c r="E531">
        <v>173086</v>
      </c>
      <c r="F531">
        <v>7148578</v>
      </c>
      <c r="G531">
        <v>2.42</v>
      </c>
      <c r="H531" t="s">
        <v>10</v>
      </c>
      <c r="I531" t="s">
        <v>11</v>
      </c>
    </row>
    <row r="532" spans="1:9" hidden="1" x14ac:dyDescent="0.25">
      <c r="A532" t="s">
        <v>8</v>
      </c>
      <c r="B532" t="s">
        <v>55</v>
      </c>
      <c r="C532">
        <v>202206</v>
      </c>
      <c r="D532" t="str">
        <f t="shared" si="8"/>
        <v>2022</v>
      </c>
      <c r="E532">
        <v>177113</v>
      </c>
      <c r="F532">
        <v>7148578</v>
      </c>
      <c r="G532">
        <v>2.48</v>
      </c>
      <c r="H532" t="s">
        <v>10</v>
      </c>
      <c r="I532" t="s">
        <v>11</v>
      </c>
    </row>
    <row r="533" spans="1:9" hidden="1" x14ac:dyDescent="0.25">
      <c r="A533" t="s">
        <v>8</v>
      </c>
      <c r="B533" t="s">
        <v>55</v>
      </c>
      <c r="C533">
        <v>202207</v>
      </c>
      <c r="D533" t="str">
        <f t="shared" si="8"/>
        <v>2022</v>
      </c>
      <c r="E533">
        <v>162498</v>
      </c>
      <c r="F533">
        <v>7148578</v>
      </c>
      <c r="G533">
        <v>2.27</v>
      </c>
      <c r="H533" t="s">
        <v>10</v>
      </c>
      <c r="I533" t="s">
        <v>11</v>
      </c>
    </row>
    <row r="534" spans="1:9" hidden="1" x14ac:dyDescent="0.25">
      <c r="A534" t="s">
        <v>8</v>
      </c>
      <c r="B534" t="s">
        <v>55</v>
      </c>
      <c r="C534">
        <v>202208</v>
      </c>
      <c r="D534" t="str">
        <f t="shared" si="8"/>
        <v>2022</v>
      </c>
      <c r="E534">
        <v>179827</v>
      </c>
      <c r="F534">
        <v>7148578</v>
      </c>
      <c r="G534">
        <v>2.52</v>
      </c>
      <c r="H534" t="s">
        <v>10</v>
      </c>
      <c r="I534" t="s">
        <v>11</v>
      </c>
    </row>
    <row r="535" spans="1:9" hidden="1" x14ac:dyDescent="0.25">
      <c r="A535" t="s">
        <v>8</v>
      </c>
      <c r="B535" t="s">
        <v>55</v>
      </c>
      <c r="C535">
        <v>202209</v>
      </c>
      <c r="D535" t="str">
        <f t="shared" si="8"/>
        <v>2022</v>
      </c>
      <c r="E535">
        <v>168472</v>
      </c>
      <c r="F535">
        <v>7148578</v>
      </c>
      <c r="G535">
        <v>2.36</v>
      </c>
      <c r="H535" t="s">
        <v>10</v>
      </c>
      <c r="I535" t="s">
        <v>11</v>
      </c>
    </row>
    <row r="536" spans="1:9" hidden="1" x14ac:dyDescent="0.25">
      <c r="A536" t="s">
        <v>8</v>
      </c>
      <c r="B536" t="s">
        <v>55</v>
      </c>
      <c r="C536">
        <v>202210</v>
      </c>
      <c r="D536" t="str">
        <f t="shared" si="8"/>
        <v>2022</v>
      </c>
      <c r="E536">
        <v>175160</v>
      </c>
      <c r="F536">
        <v>7148578</v>
      </c>
      <c r="G536">
        <v>2.4500000000000002</v>
      </c>
      <c r="H536" t="s">
        <v>10</v>
      </c>
      <c r="I536" t="s">
        <v>11</v>
      </c>
    </row>
    <row r="537" spans="1:9" hidden="1" x14ac:dyDescent="0.25">
      <c r="A537" t="s">
        <v>8</v>
      </c>
      <c r="B537" t="s">
        <v>55</v>
      </c>
      <c r="C537">
        <v>202211</v>
      </c>
      <c r="D537" t="str">
        <f t="shared" si="8"/>
        <v>2022</v>
      </c>
      <c r="E537">
        <v>168352</v>
      </c>
      <c r="F537">
        <v>7148578</v>
      </c>
      <c r="G537">
        <v>2.36</v>
      </c>
      <c r="H537" t="s">
        <v>10</v>
      </c>
      <c r="I537" t="s">
        <v>11</v>
      </c>
    </row>
    <row r="538" spans="1:9" hidden="1" x14ac:dyDescent="0.25">
      <c r="A538" t="s">
        <v>8</v>
      </c>
      <c r="B538" t="s">
        <v>55</v>
      </c>
      <c r="C538">
        <v>202212</v>
      </c>
      <c r="D538" t="str">
        <f t="shared" si="8"/>
        <v>2022</v>
      </c>
      <c r="E538">
        <v>158715</v>
      </c>
      <c r="F538">
        <v>7148578</v>
      </c>
      <c r="G538">
        <v>2.2200000000000002</v>
      </c>
      <c r="H538" t="s">
        <v>10</v>
      </c>
      <c r="I538" t="s">
        <v>11</v>
      </c>
    </row>
    <row r="539" spans="1:9" hidden="1" x14ac:dyDescent="0.25">
      <c r="A539" t="s">
        <v>8</v>
      </c>
      <c r="B539" t="s">
        <v>55</v>
      </c>
      <c r="C539">
        <v>202301</v>
      </c>
      <c r="D539" t="str">
        <f t="shared" si="8"/>
        <v>2023</v>
      </c>
      <c r="E539">
        <v>178334</v>
      </c>
      <c r="F539">
        <v>7148578</v>
      </c>
      <c r="G539">
        <v>2.4900000000000002</v>
      </c>
      <c r="H539" t="s">
        <v>10</v>
      </c>
      <c r="I539" t="s">
        <v>11</v>
      </c>
    </row>
    <row r="540" spans="1:9" hidden="1" x14ac:dyDescent="0.25">
      <c r="A540" t="s">
        <v>8</v>
      </c>
      <c r="B540" t="s">
        <v>55</v>
      </c>
      <c r="C540">
        <v>202302</v>
      </c>
      <c r="D540" t="str">
        <f t="shared" si="8"/>
        <v>2023</v>
      </c>
      <c r="E540">
        <v>170574</v>
      </c>
      <c r="F540">
        <v>7148578</v>
      </c>
      <c r="G540">
        <v>2.39</v>
      </c>
      <c r="H540" t="s">
        <v>10</v>
      </c>
      <c r="I540" t="s">
        <v>11</v>
      </c>
    </row>
    <row r="541" spans="1:9" hidden="1" x14ac:dyDescent="0.25">
      <c r="A541" t="s">
        <v>8</v>
      </c>
      <c r="B541" t="s">
        <v>55</v>
      </c>
      <c r="C541">
        <v>202303</v>
      </c>
      <c r="D541" t="str">
        <f t="shared" si="8"/>
        <v>2023</v>
      </c>
      <c r="E541">
        <v>188106</v>
      </c>
      <c r="F541">
        <v>7148578</v>
      </c>
      <c r="G541">
        <v>2.63</v>
      </c>
      <c r="H541" t="s">
        <v>10</v>
      </c>
      <c r="I541" t="s">
        <v>11</v>
      </c>
    </row>
    <row r="542" spans="1:9" hidden="1" x14ac:dyDescent="0.25">
      <c r="A542" t="s">
        <v>8</v>
      </c>
      <c r="B542" t="s">
        <v>55</v>
      </c>
      <c r="C542">
        <v>202304</v>
      </c>
      <c r="D542" t="str">
        <f t="shared" si="8"/>
        <v>2023</v>
      </c>
      <c r="E542">
        <v>167885</v>
      </c>
      <c r="F542">
        <v>7148578</v>
      </c>
      <c r="G542">
        <v>2.35</v>
      </c>
      <c r="H542" t="s">
        <v>10</v>
      </c>
      <c r="I542" t="s">
        <v>11</v>
      </c>
    </row>
    <row r="543" spans="1:9" hidden="1" x14ac:dyDescent="0.25">
      <c r="A543" t="s">
        <v>8</v>
      </c>
      <c r="B543" t="s">
        <v>55</v>
      </c>
      <c r="C543">
        <v>202305</v>
      </c>
      <c r="D543" t="str">
        <f t="shared" si="8"/>
        <v>2023</v>
      </c>
      <c r="E543">
        <v>174901</v>
      </c>
      <c r="F543">
        <v>7148578</v>
      </c>
      <c r="G543">
        <v>2.4500000000000002</v>
      </c>
      <c r="H543" t="s">
        <v>10</v>
      </c>
      <c r="I543" t="s">
        <v>11</v>
      </c>
    </row>
    <row r="544" spans="1:9" hidden="1" x14ac:dyDescent="0.25">
      <c r="A544" t="s">
        <v>8</v>
      </c>
      <c r="B544" t="s">
        <v>55</v>
      </c>
      <c r="C544">
        <v>202306</v>
      </c>
      <c r="D544" t="str">
        <f t="shared" si="8"/>
        <v>2023</v>
      </c>
      <c r="E544">
        <v>172264</v>
      </c>
      <c r="F544">
        <v>7148578</v>
      </c>
      <c r="G544">
        <v>2.41</v>
      </c>
      <c r="H544" t="s">
        <v>10</v>
      </c>
      <c r="I544" t="s">
        <v>11</v>
      </c>
    </row>
    <row r="545" spans="1:9" hidden="1" x14ac:dyDescent="0.25">
      <c r="A545" t="s">
        <v>8</v>
      </c>
      <c r="B545" t="s">
        <v>55</v>
      </c>
      <c r="C545">
        <v>202307</v>
      </c>
      <c r="D545" t="str">
        <f t="shared" si="8"/>
        <v>2023</v>
      </c>
      <c r="E545">
        <v>151382</v>
      </c>
      <c r="F545">
        <v>7148578</v>
      </c>
      <c r="G545">
        <v>2.12</v>
      </c>
      <c r="H545" t="s">
        <v>10</v>
      </c>
      <c r="I545" t="s">
        <v>11</v>
      </c>
    </row>
    <row r="546" spans="1:9" hidden="1" x14ac:dyDescent="0.25">
      <c r="A546" t="s">
        <v>8</v>
      </c>
      <c r="B546" t="s">
        <v>55</v>
      </c>
      <c r="C546">
        <v>202308</v>
      </c>
      <c r="D546" t="str">
        <f t="shared" si="8"/>
        <v>2023</v>
      </c>
      <c r="E546">
        <v>167855</v>
      </c>
      <c r="F546">
        <v>7148578</v>
      </c>
      <c r="G546">
        <v>2.35</v>
      </c>
      <c r="H546" t="s">
        <v>10</v>
      </c>
      <c r="I546" t="s">
        <v>11</v>
      </c>
    </row>
    <row r="547" spans="1:9" hidden="1" x14ac:dyDescent="0.25">
      <c r="A547" t="s">
        <v>8</v>
      </c>
      <c r="B547" t="s">
        <v>55</v>
      </c>
      <c r="C547">
        <v>202309</v>
      </c>
      <c r="D547" t="str">
        <f t="shared" si="8"/>
        <v>2023</v>
      </c>
      <c r="E547">
        <v>157248</v>
      </c>
      <c r="F547">
        <v>7148578</v>
      </c>
      <c r="G547">
        <v>2.2000000000000002</v>
      </c>
      <c r="H547" t="s">
        <v>10</v>
      </c>
      <c r="I547" t="s">
        <v>11</v>
      </c>
    </row>
    <row r="548" spans="1:9" hidden="1" x14ac:dyDescent="0.25">
      <c r="A548" t="s">
        <v>8</v>
      </c>
      <c r="B548" t="s">
        <v>55</v>
      </c>
      <c r="C548">
        <v>202310</v>
      </c>
      <c r="D548" t="str">
        <f t="shared" si="8"/>
        <v>2023</v>
      </c>
      <c r="E548">
        <v>170589</v>
      </c>
      <c r="F548">
        <v>7148578</v>
      </c>
      <c r="G548">
        <v>2.39</v>
      </c>
      <c r="H548" t="s">
        <v>10</v>
      </c>
      <c r="I548" t="s">
        <v>11</v>
      </c>
    </row>
    <row r="549" spans="1:9" hidden="1" x14ac:dyDescent="0.25">
      <c r="A549" t="s">
        <v>8</v>
      </c>
      <c r="B549" t="s">
        <v>55</v>
      </c>
      <c r="C549">
        <v>202311</v>
      </c>
      <c r="D549" t="str">
        <f t="shared" si="8"/>
        <v>2023</v>
      </c>
      <c r="E549">
        <v>158266</v>
      </c>
      <c r="F549">
        <v>7148578</v>
      </c>
      <c r="G549">
        <v>2.21</v>
      </c>
      <c r="H549" t="s">
        <v>10</v>
      </c>
      <c r="I549" t="s">
        <v>11</v>
      </c>
    </row>
    <row r="550" spans="1:9" hidden="1" x14ac:dyDescent="0.25">
      <c r="A550" t="s">
        <v>8</v>
      </c>
      <c r="B550" t="s">
        <v>55</v>
      </c>
      <c r="C550">
        <v>202312</v>
      </c>
      <c r="D550" t="str">
        <f t="shared" si="8"/>
        <v>2023</v>
      </c>
      <c r="E550">
        <v>151085</v>
      </c>
      <c r="F550">
        <v>7148578</v>
      </c>
      <c r="G550">
        <v>2.11</v>
      </c>
      <c r="H550" t="s">
        <v>10</v>
      </c>
      <c r="I550" t="s">
        <v>11</v>
      </c>
    </row>
    <row r="551" spans="1:9" hidden="1" x14ac:dyDescent="0.25">
      <c r="A551" t="s">
        <v>8</v>
      </c>
      <c r="B551" t="s">
        <v>55</v>
      </c>
      <c r="C551">
        <v>202401</v>
      </c>
      <c r="D551" t="str">
        <f t="shared" si="8"/>
        <v>2024</v>
      </c>
      <c r="E551">
        <v>219735</v>
      </c>
      <c r="F551">
        <v>7148578</v>
      </c>
      <c r="G551">
        <v>3.07</v>
      </c>
      <c r="H551" t="s">
        <v>10</v>
      </c>
      <c r="I551" t="s">
        <v>11</v>
      </c>
    </row>
    <row r="552" spans="1:9" hidden="1" x14ac:dyDescent="0.25">
      <c r="A552" t="s">
        <v>8</v>
      </c>
      <c r="B552" t="s">
        <v>55</v>
      </c>
      <c r="C552">
        <v>202402</v>
      </c>
      <c r="D552" t="str">
        <f t="shared" si="8"/>
        <v>2024</v>
      </c>
      <c r="E552">
        <v>226452</v>
      </c>
      <c r="F552">
        <v>7148578</v>
      </c>
      <c r="G552">
        <v>3.17</v>
      </c>
      <c r="H552" t="s">
        <v>10</v>
      </c>
      <c r="I552" t="s">
        <v>11</v>
      </c>
    </row>
    <row r="553" spans="1:9" hidden="1" x14ac:dyDescent="0.25">
      <c r="A553" t="s">
        <v>8</v>
      </c>
      <c r="B553" t="s">
        <v>55</v>
      </c>
      <c r="C553">
        <v>202403</v>
      </c>
      <c r="D553" t="str">
        <f t="shared" si="8"/>
        <v>2024</v>
      </c>
      <c r="E553">
        <v>225380</v>
      </c>
      <c r="F553">
        <v>7148578</v>
      </c>
      <c r="G553">
        <v>3.15</v>
      </c>
      <c r="H553" t="s">
        <v>10</v>
      </c>
      <c r="I553" t="s">
        <v>11</v>
      </c>
    </row>
    <row r="554" spans="1:9" hidden="1" x14ac:dyDescent="0.25">
      <c r="A554" t="s">
        <v>8</v>
      </c>
      <c r="B554" t="s">
        <v>55</v>
      </c>
      <c r="C554">
        <v>202404</v>
      </c>
      <c r="D554" t="str">
        <f t="shared" si="8"/>
        <v>2024</v>
      </c>
      <c r="E554">
        <v>228303</v>
      </c>
      <c r="F554">
        <v>7148578</v>
      </c>
      <c r="G554">
        <v>3.19</v>
      </c>
      <c r="H554" t="s">
        <v>10</v>
      </c>
      <c r="I554" t="s">
        <v>11</v>
      </c>
    </row>
    <row r="555" spans="1:9" hidden="1" x14ac:dyDescent="0.25">
      <c r="A555" t="s">
        <v>8</v>
      </c>
      <c r="B555" t="s">
        <v>55</v>
      </c>
      <c r="C555">
        <v>202405</v>
      </c>
      <c r="D555" t="str">
        <f t="shared" si="8"/>
        <v>2024</v>
      </c>
      <c r="E555">
        <v>35477</v>
      </c>
      <c r="F555">
        <v>7148578</v>
      </c>
      <c r="G555">
        <v>0.5</v>
      </c>
      <c r="H555" t="s">
        <v>10</v>
      </c>
      <c r="I555" t="s">
        <v>11</v>
      </c>
    </row>
    <row r="556" spans="1:9" hidden="1" x14ac:dyDescent="0.25">
      <c r="A556" t="s">
        <v>8</v>
      </c>
      <c r="B556" t="s">
        <v>13</v>
      </c>
      <c r="C556">
        <v>201412</v>
      </c>
      <c r="D556" t="str">
        <f t="shared" si="8"/>
        <v>2014</v>
      </c>
      <c r="E556">
        <v>9</v>
      </c>
      <c r="F556">
        <v>7653501</v>
      </c>
      <c r="G556">
        <v>0</v>
      </c>
      <c r="H556" t="s">
        <v>10</v>
      </c>
      <c r="I556" t="s">
        <v>11</v>
      </c>
    </row>
    <row r="557" spans="1:9" hidden="1" x14ac:dyDescent="0.25">
      <c r="A557" t="s">
        <v>8</v>
      </c>
      <c r="B557" t="s">
        <v>13</v>
      </c>
      <c r="C557">
        <v>201501</v>
      </c>
      <c r="D557" t="str">
        <f t="shared" si="8"/>
        <v>2015</v>
      </c>
      <c r="E557">
        <v>1</v>
      </c>
      <c r="F557">
        <v>7653501</v>
      </c>
      <c r="G557">
        <v>0</v>
      </c>
      <c r="H557" t="s">
        <v>10</v>
      </c>
      <c r="I557" t="s">
        <v>11</v>
      </c>
    </row>
    <row r="558" spans="1:9" hidden="1" x14ac:dyDescent="0.25">
      <c r="A558" t="s">
        <v>8</v>
      </c>
      <c r="B558" t="s">
        <v>13</v>
      </c>
      <c r="C558">
        <v>201504</v>
      </c>
      <c r="D558" t="str">
        <f t="shared" si="8"/>
        <v>2015</v>
      </c>
      <c r="E558">
        <v>3</v>
      </c>
      <c r="F558">
        <v>7653501</v>
      </c>
      <c r="G558">
        <v>0</v>
      </c>
      <c r="H558" t="s">
        <v>10</v>
      </c>
      <c r="I558" t="s">
        <v>11</v>
      </c>
    </row>
    <row r="559" spans="1:9" hidden="1" x14ac:dyDescent="0.25">
      <c r="A559" t="s">
        <v>8</v>
      </c>
      <c r="B559" t="s">
        <v>13</v>
      </c>
      <c r="C559">
        <v>201506</v>
      </c>
      <c r="D559" t="str">
        <f t="shared" si="8"/>
        <v>2015</v>
      </c>
      <c r="E559">
        <v>4</v>
      </c>
      <c r="F559">
        <v>7653501</v>
      </c>
      <c r="G559">
        <v>0</v>
      </c>
      <c r="H559" t="s">
        <v>10</v>
      </c>
      <c r="I559" t="s">
        <v>11</v>
      </c>
    </row>
    <row r="560" spans="1:9" hidden="1" x14ac:dyDescent="0.25">
      <c r="A560" t="s">
        <v>8</v>
      </c>
      <c r="B560" t="s">
        <v>13</v>
      </c>
      <c r="C560">
        <v>201508</v>
      </c>
      <c r="D560" t="str">
        <f t="shared" si="8"/>
        <v>2015</v>
      </c>
      <c r="E560">
        <v>7</v>
      </c>
      <c r="F560">
        <v>7653501</v>
      </c>
      <c r="G560">
        <v>0</v>
      </c>
      <c r="H560" t="s">
        <v>10</v>
      </c>
      <c r="I560" t="s">
        <v>11</v>
      </c>
    </row>
    <row r="561" spans="1:9" hidden="1" x14ac:dyDescent="0.25">
      <c r="A561" t="s">
        <v>8</v>
      </c>
      <c r="B561" t="s">
        <v>13</v>
      </c>
      <c r="C561">
        <v>201510</v>
      </c>
      <c r="D561" t="str">
        <f t="shared" si="8"/>
        <v>2015</v>
      </c>
      <c r="E561">
        <v>5</v>
      </c>
      <c r="F561">
        <v>7653501</v>
      </c>
      <c r="G561">
        <v>0</v>
      </c>
      <c r="H561" t="s">
        <v>10</v>
      </c>
      <c r="I561" t="s">
        <v>11</v>
      </c>
    </row>
    <row r="562" spans="1:9" hidden="1" x14ac:dyDescent="0.25">
      <c r="A562" t="s">
        <v>8</v>
      </c>
      <c r="B562" t="s">
        <v>13</v>
      </c>
      <c r="C562">
        <v>201608</v>
      </c>
      <c r="D562" t="str">
        <f t="shared" si="8"/>
        <v>2016</v>
      </c>
      <c r="E562">
        <v>11</v>
      </c>
      <c r="F562">
        <v>7653501</v>
      </c>
      <c r="G562">
        <v>0</v>
      </c>
      <c r="H562" t="s">
        <v>10</v>
      </c>
      <c r="I562" t="s">
        <v>11</v>
      </c>
    </row>
    <row r="563" spans="1:9" hidden="1" x14ac:dyDescent="0.25">
      <c r="A563" t="s">
        <v>8</v>
      </c>
      <c r="B563" t="s">
        <v>13</v>
      </c>
      <c r="C563">
        <v>201610</v>
      </c>
      <c r="D563" t="str">
        <f t="shared" si="8"/>
        <v>2016</v>
      </c>
      <c r="E563">
        <v>20</v>
      </c>
      <c r="F563">
        <v>7653501</v>
      </c>
      <c r="G563">
        <v>0</v>
      </c>
      <c r="H563" t="s">
        <v>10</v>
      </c>
      <c r="I563" t="s">
        <v>11</v>
      </c>
    </row>
    <row r="564" spans="1:9" hidden="1" x14ac:dyDescent="0.25">
      <c r="A564" t="s">
        <v>8</v>
      </c>
      <c r="B564" t="s">
        <v>13</v>
      </c>
      <c r="C564">
        <v>201702</v>
      </c>
      <c r="D564" t="str">
        <f t="shared" si="8"/>
        <v>2017</v>
      </c>
      <c r="E564">
        <v>6</v>
      </c>
      <c r="F564">
        <v>7653501</v>
      </c>
      <c r="G564">
        <v>0</v>
      </c>
      <c r="H564" t="s">
        <v>10</v>
      </c>
      <c r="I564" t="s">
        <v>11</v>
      </c>
    </row>
    <row r="565" spans="1:9" hidden="1" x14ac:dyDescent="0.25">
      <c r="A565" t="s">
        <v>8</v>
      </c>
      <c r="B565" t="s">
        <v>13</v>
      </c>
      <c r="C565">
        <v>201703</v>
      </c>
      <c r="D565" t="str">
        <f t="shared" si="8"/>
        <v>2017</v>
      </c>
      <c r="E565">
        <v>11</v>
      </c>
      <c r="F565">
        <v>7653501</v>
      </c>
      <c r="G565">
        <v>0</v>
      </c>
      <c r="H565" t="s">
        <v>10</v>
      </c>
      <c r="I565" t="s">
        <v>11</v>
      </c>
    </row>
    <row r="566" spans="1:9" hidden="1" x14ac:dyDescent="0.25">
      <c r="A566" t="s">
        <v>8</v>
      </c>
      <c r="B566" t="s">
        <v>13</v>
      </c>
      <c r="C566">
        <v>201704</v>
      </c>
      <c r="D566" t="str">
        <f t="shared" si="8"/>
        <v>2017</v>
      </c>
      <c r="E566">
        <v>4</v>
      </c>
      <c r="F566">
        <v>7653501</v>
      </c>
      <c r="G566">
        <v>0</v>
      </c>
      <c r="H566" t="s">
        <v>10</v>
      </c>
      <c r="I566" t="s">
        <v>11</v>
      </c>
    </row>
    <row r="567" spans="1:9" hidden="1" x14ac:dyDescent="0.25">
      <c r="A567" t="s">
        <v>8</v>
      </c>
      <c r="B567" t="s">
        <v>13</v>
      </c>
      <c r="C567">
        <v>201706</v>
      </c>
      <c r="D567" t="str">
        <f t="shared" si="8"/>
        <v>2017</v>
      </c>
      <c r="E567">
        <v>4</v>
      </c>
      <c r="F567">
        <v>7653501</v>
      </c>
      <c r="G567">
        <v>0</v>
      </c>
      <c r="H567" t="s">
        <v>10</v>
      </c>
      <c r="I567" t="s">
        <v>11</v>
      </c>
    </row>
    <row r="568" spans="1:9" hidden="1" x14ac:dyDescent="0.25">
      <c r="A568" t="s">
        <v>8</v>
      </c>
      <c r="B568" t="s">
        <v>13</v>
      </c>
      <c r="C568">
        <v>201707</v>
      </c>
      <c r="D568" t="str">
        <f t="shared" si="8"/>
        <v>2017</v>
      </c>
      <c r="E568">
        <v>31</v>
      </c>
      <c r="F568">
        <v>7653501</v>
      </c>
      <c r="G568">
        <v>0</v>
      </c>
      <c r="H568" t="s">
        <v>10</v>
      </c>
      <c r="I568" t="s">
        <v>11</v>
      </c>
    </row>
    <row r="569" spans="1:9" hidden="1" x14ac:dyDescent="0.25">
      <c r="A569" t="s">
        <v>8</v>
      </c>
      <c r="B569" t="s">
        <v>13</v>
      </c>
      <c r="C569">
        <v>201708</v>
      </c>
      <c r="D569" t="str">
        <f t="shared" si="8"/>
        <v>2017</v>
      </c>
      <c r="E569">
        <v>30</v>
      </c>
      <c r="F569">
        <v>7653501</v>
      </c>
      <c r="G569">
        <v>0</v>
      </c>
      <c r="H569" t="s">
        <v>10</v>
      </c>
      <c r="I569" t="s">
        <v>11</v>
      </c>
    </row>
    <row r="570" spans="1:9" hidden="1" x14ac:dyDescent="0.25">
      <c r="A570" t="s">
        <v>8</v>
      </c>
      <c r="B570" t="s">
        <v>13</v>
      </c>
      <c r="C570">
        <v>201709</v>
      </c>
      <c r="D570" t="str">
        <f t="shared" si="8"/>
        <v>2017</v>
      </c>
      <c r="E570">
        <v>27</v>
      </c>
      <c r="F570">
        <v>7653501</v>
      </c>
      <c r="G570">
        <v>0</v>
      </c>
      <c r="H570" t="s">
        <v>10</v>
      </c>
      <c r="I570" t="s">
        <v>11</v>
      </c>
    </row>
    <row r="571" spans="1:9" hidden="1" x14ac:dyDescent="0.25">
      <c r="A571" t="s">
        <v>8</v>
      </c>
      <c r="B571" t="s">
        <v>13</v>
      </c>
      <c r="C571">
        <v>201710</v>
      </c>
      <c r="D571" t="str">
        <f t="shared" si="8"/>
        <v>2017</v>
      </c>
      <c r="E571">
        <v>24</v>
      </c>
      <c r="F571">
        <v>7653501</v>
      </c>
      <c r="G571">
        <v>0</v>
      </c>
      <c r="H571" t="s">
        <v>10</v>
      </c>
      <c r="I571" t="s">
        <v>11</v>
      </c>
    </row>
    <row r="572" spans="1:9" hidden="1" x14ac:dyDescent="0.25">
      <c r="A572" t="s">
        <v>8</v>
      </c>
      <c r="B572" t="s">
        <v>13</v>
      </c>
      <c r="C572">
        <v>201711</v>
      </c>
      <c r="D572" t="str">
        <f t="shared" si="8"/>
        <v>2017</v>
      </c>
      <c r="E572">
        <v>25</v>
      </c>
      <c r="F572">
        <v>7653501</v>
      </c>
      <c r="G572">
        <v>0</v>
      </c>
      <c r="H572" t="s">
        <v>10</v>
      </c>
      <c r="I572" t="s">
        <v>11</v>
      </c>
    </row>
    <row r="573" spans="1:9" hidden="1" x14ac:dyDescent="0.25">
      <c r="A573" t="s">
        <v>8</v>
      </c>
      <c r="B573" t="s">
        <v>13</v>
      </c>
      <c r="C573">
        <v>201712</v>
      </c>
      <c r="D573" t="str">
        <f t="shared" si="8"/>
        <v>2017</v>
      </c>
      <c r="E573">
        <v>22</v>
      </c>
      <c r="F573">
        <v>7653501</v>
      </c>
      <c r="G573">
        <v>0</v>
      </c>
      <c r="H573" t="s">
        <v>10</v>
      </c>
      <c r="I573" t="s">
        <v>11</v>
      </c>
    </row>
    <row r="574" spans="1:9" hidden="1" x14ac:dyDescent="0.25">
      <c r="A574" t="s">
        <v>8</v>
      </c>
      <c r="B574" t="s">
        <v>13</v>
      </c>
      <c r="C574">
        <v>201801</v>
      </c>
      <c r="D574" t="str">
        <f t="shared" si="8"/>
        <v>2018</v>
      </c>
      <c r="E574">
        <v>1</v>
      </c>
      <c r="F574">
        <v>7653501</v>
      </c>
      <c r="G574">
        <v>0</v>
      </c>
      <c r="H574" t="s">
        <v>10</v>
      </c>
      <c r="I574" t="s">
        <v>11</v>
      </c>
    </row>
    <row r="575" spans="1:9" hidden="1" x14ac:dyDescent="0.25">
      <c r="A575" t="s">
        <v>8</v>
      </c>
      <c r="B575" t="s">
        <v>13</v>
      </c>
      <c r="C575">
        <v>201802</v>
      </c>
      <c r="D575" t="str">
        <f t="shared" si="8"/>
        <v>2018</v>
      </c>
      <c r="E575">
        <v>14</v>
      </c>
      <c r="F575">
        <v>7653501</v>
      </c>
      <c r="G575">
        <v>0</v>
      </c>
      <c r="H575" t="s">
        <v>10</v>
      </c>
      <c r="I575" t="s">
        <v>11</v>
      </c>
    </row>
    <row r="576" spans="1:9" hidden="1" x14ac:dyDescent="0.25">
      <c r="A576" t="s">
        <v>8</v>
      </c>
      <c r="B576" t="s">
        <v>13</v>
      </c>
      <c r="C576">
        <v>201804</v>
      </c>
      <c r="D576" t="str">
        <f t="shared" si="8"/>
        <v>2018</v>
      </c>
      <c r="E576">
        <v>11</v>
      </c>
      <c r="F576">
        <v>7653501</v>
      </c>
      <c r="G576">
        <v>0</v>
      </c>
      <c r="H576" t="s">
        <v>10</v>
      </c>
      <c r="I576" t="s">
        <v>11</v>
      </c>
    </row>
    <row r="577" spans="1:9" hidden="1" x14ac:dyDescent="0.25">
      <c r="A577" t="s">
        <v>8</v>
      </c>
      <c r="B577" t="s">
        <v>13</v>
      </c>
      <c r="C577">
        <v>201805</v>
      </c>
      <c r="D577" t="str">
        <f t="shared" si="8"/>
        <v>2018</v>
      </c>
      <c r="E577">
        <v>18</v>
      </c>
      <c r="F577">
        <v>7653501</v>
      </c>
      <c r="G577">
        <v>0</v>
      </c>
      <c r="H577" t="s">
        <v>10</v>
      </c>
      <c r="I577" t="s">
        <v>11</v>
      </c>
    </row>
    <row r="578" spans="1:9" hidden="1" x14ac:dyDescent="0.25">
      <c r="A578" t="s">
        <v>8</v>
      </c>
      <c r="B578" t="s">
        <v>13</v>
      </c>
      <c r="C578">
        <v>201806</v>
      </c>
      <c r="D578" t="str">
        <f t="shared" si="8"/>
        <v>2018</v>
      </c>
      <c r="E578">
        <v>54</v>
      </c>
      <c r="F578">
        <v>7653501</v>
      </c>
      <c r="G578">
        <v>0</v>
      </c>
      <c r="H578" t="s">
        <v>10</v>
      </c>
      <c r="I578" t="s">
        <v>11</v>
      </c>
    </row>
    <row r="579" spans="1:9" hidden="1" x14ac:dyDescent="0.25">
      <c r="A579" t="s">
        <v>8</v>
      </c>
      <c r="B579" t="s">
        <v>13</v>
      </c>
      <c r="C579">
        <v>201807</v>
      </c>
      <c r="D579" t="str">
        <f t="shared" ref="D579:D642" si="9">LEFT(C579,4)</f>
        <v>2018</v>
      </c>
      <c r="E579">
        <v>17</v>
      </c>
      <c r="F579">
        <v>7653501</v>
      </c>
      <c r="G579">
        <v>0</v>
      </c>
      <c r="H579" t="s">
        <v>10</v>
      </c>
      <c r="I579" t="s">
        <v>11</v>
      </c>
    </row>
    <row r="580" spans="1:9" hidden="1" x14ac:dyDescent="0.25">
      <c r="A580" t="s">
        <v>8</v>
      </c>
      <c r="B580" t="s">
        <v>13</v>
      </c>
      <c r="C580">
        <v>201808</v>
      </c>
      <c r="D580" t="str">
        <f t="shared" si="9"/>
        <v>2018</v>
      </c>
      <c r="E580">
        <v>72</v>
      </c>
      <c r="F580">
        <v>7653501</v>
      </c>
      <c r="G580">
        <v>0</v>
      </c>
      <c r="H580" t="s">
        <v>10</v>
      </c>
      <c r="I580" t="s">
        <v>11</v>
      </c>
    </row>
    <row r="581" spans="1:9" hidden="1" x14ac:dyDescent="0.25">
      <c r="A581" t="s">
        <v>8</v>
      </c>
      <c r="B581" t="s">
        <v>13</v>
      </c>
      <c r="C581">
        <v>201809</v>
      </c>
      <c r="D581" t="str">
        <f t="shared" si="9"/>
        <v>2018</v>
      </c>
      <c r="E581">
        <v>48</v>
      </c>
      <c r="F581">
        <v>7653501</v>
      </c>
      <c r="G581">
        <v>0</v>
      </c>
      <c r="H581" t="s">
        <v>10</v>
      </c>
      <c r="I581" t="s">
        <v>11</v>
      </c>
    </row>
    <row r="582" spans="1:9" hidden="1" x14ac:dyDescent="0.25">
      <c r="A582" t="s">
        <v>8</v>
      </c>
      <c r="B582" t="s">
        <v>13</v>
      </c>
      <c r="C582">
        <v>201810</v>
      </c>
      <c r="D582" t="str">
        <f t="shared" si="9"/>
        <v>2018</v>
      </c>
      <c r="E582">
        <v>8</v>
      </c>
      <c r="F582">
        <v>7653501</v>
      </c>
      <c r="G582">
        <v>0</v>
      </c>
      <c r="H582" t="s">
        <v>10</v>
      </c>
      <c r="I582" t="s">
        <v>11</v>
      </c>
    </row>
    <row r="583" spans="1:9" hidden="1" x14ac:dyDescent="0.25">
      <c r="A583" t="s">
        <v>8</v>
      </c>
      <c r="B583" t="s">
        <v>13</v>
      </c>
      <c r="C583">
        <v>201811</v>
      </c>
      <c r="D583" t="str">
        <f t="shared" si="9"/>
        <v>2018</v>
      </c>
      <c r="E583">
        <v>4</v>
      </c>
      <c r="F583">
        <v>7653501</v>
      </c>
      <c r="G583">
        <v>0</v>
      </c>
      <c r="H583" t="s">
        <v>10</v>
      </c>
      <c r="I583" t="s">
        <v>11</v>
      </c>
    </row>
    <row r="584" spans="1:9" hidden="1" x14ac:dyDescent="0.25">
      <c r="A584" t="s">
        <v>8</v>
      </c>
      <c r="B584" t="s">
        <v>13</v>
      </c>
      <c r="C584">
        <v>201812</v>
      </c>
      <c r="D584" t="str">
        <f t="shared" si="9"/>
        <v>2018</v>
      </c>
      <c r="E584">
        <v>18</v>
      </c>
      <c r="F584">
        <v>7653501</v>
      </c>
      <c r="G584">
        <v>0</v>
      </c>
      <c r="H584" t="s">
        <v>10</v>
      </c>
      <c r="I584" t="s">
        <v>11</v>
      </c>
    </row>
    <row r="585" spans="1:9" hidden="1" x14ac:dyDescent="0.25">
      <c r="A585" t="s">
        <v>8</v>
      </c>
      <c r="B585" t="s">
        <v>13</v>
      </c>
      <c r="C585">
        <v>201901</v>
      </c>
      <c r="D585" t="str">
        <f t="shared" si="9"/>
        <v>2019</v>
      </c>
      <c r="E585">
        <v>1469</v>
      </c>
      <c r="F585">
        <v>7653501</v>
      </c>
      <c r="G585">
        <v>0.02</v>
      </c>
      <c r="H585" t="s">
        <v>10</v>
      </c>
      <c r="I585" t="s">
        <v>11</v>
      </c>
    </row>
    <row r="586" spans="1:9" hidden="1" x14ac:dyDescent="0.25">
      <c r="A586" t="s">
        <v>8</v>
      </c>
      <c r="B586" t="s">
        <v>13</v>
      </c>
      <c r="C586">
        <v>201902</v>
      </c>
      <c r="D586" t="str">
        <f t="shared" si="9"/>
        <v>2019</v>
      </c>
      <c r="E586">
        <v>1560</v>
      </c>
      <c r="F586">
        <v>7653501</v>
      </c>
      <c r="G586">
        <v>0.02</v>
      </c>
      <c r="H586" t="s">
        <v>10</v>
      </c>
      <c r="I586" t="s">
        <v>11</v>
      </c>
    </row>
    <row r="587" spans="1:9" hidden="1" x14ac:dyDescent="0.25">
      <c r="A587" t="s">
        <v>8</v>
      </c>
      <c r="B587" t="s">
        <v>13</v>
      </c>
      <c r="C587">
        <v>201903</v>
      </c>
      <c r="D587" t="str">
        <f t="shared" si="9"/>
        <v>2019</v>
      </c>
      <c r="E587">
        <v>1749</v>
      </c>
      <c r="F587">
        <v>7653501</v>
      </c>
      <c r="G587">
        <v>0.02</v>
      </c>
      <c r="H587" t="s">
        <v>10</v>
      </c>
      <c r="I587" t="s">
        <v>11</v>
      </c>
    </row>
    <row r="588" spans="1:9" hidden="1" x14ac:dyDescent="0.25">
      <c r="A588" t="s">
        <v>8</v>
      </c>
      <c r="B588" t="s">
        <v>13</v>
      </c>
      <c r="C588">
        <v>201904</v>
      </c>
      <c r="D588" t="str">
        <f t="shared" si="9"/>
        <v>2019</v>
      </c>
      <c r="E588">
        <v>1864</v>
      </c>
      <c r="F588">
        <v>7653501</v>
      </c>
      <c r="G588">
        <v>0.02</v>
      </c>
      <c r="H588" t="s">
        <v>10</v>
      </c>
      <c r="I588" t="s">
        <v>11</v>
      </c>
    </row>
    <row r="589" spans="1:9" hidden="1" x14ac:dyDescent="0.25">
      <c r="A589" t="s">
        <v>8</v>
      </c>
      <c r="B589" t="s">
        <v>13</v>
      </c>
      <c r="C589">
        <v>201905</v>
      </c>
      <c r="D589" t="str">
        <f t="shared" si="9"/>
        <v>2019</v>
      </c>
      <c r="E589">
        <v>1646</v>
      </c>
      <c r="F589">
        <v>7653501</v>
      </c>
      <c r="G589">
        <v>0.02</v>
      </c>
      <c r="H589" t="s">
        <v>10</v>
      </c>
      <c r="I589" t="s">
        <v>11</v>
      </c>
    </row>
    <row r="590" spans="1:9" hidden="1" x14ac:dyDescent="0.25">
      <c r="A590" t="s">
        <v>8</v>
      </c>
      <c r="B590" t="s">
        <v>13</v>
      </c>
      <c r="C590">
        <v>201906</v>
      </c>
      <c r="D590" t="str">
        <f t="shared" si="9"/>
        <v>2019</v>
      </c>
      <c r="E590">
        <v>1953</v>
      </c>
      <c r="F590">
        <v>7653501</v>
      </c>
      <c r="G590">
        <v>0.03</v>
      </c>
      <c r="H590" t="s">
        <v>10</v>
      </c>
      <c r="I590" t="s">
        <v>11</v>
      </c>
    </row>
    <row r="591" spans="1:9" hidden="1" x14ac:dyDescent="0.25">
      <c r="A591" t="s">
        <v>8</v>
      </c>
      <c r="B591" t="s">
        <v>13</v>
      </c>
      <c r="C591">
        <v>201907</v>
      </c>
      <c r="D591" t="str">
        <f t="shared" si="9"/>
        <v>2019</v>
      </c>
      <c r="E591">
        <v>1715</v>
      </c>
      <c r="F591">
        <v>7653501</v>
      </c>
      <c r="G591">
        <v>0.02</v>
      </c>
      <c r="H591" t="s">
        <v>10</v>
      </c>
      <c r="I591" t="s">
        <v>11</v>
      </c>
    </row>
    <row r="592" spans="1:9" hidden="1" x14ac:dyDescent="0.25">
      <c r="A592" t="s">
        <v>8</v>
      </c>
      <c r="B592" t="s">
        <v>13</v>
      </c>
      <c r="C592">
        <v>201908</v>
      </c>
      <c r="D592" t="str">
        <f t="shared" si="9"/>
        <v>2019</v>
      </c>
      <c r="E592">
        <v>1599</v>
      </c>
      <c r="F592">
        <v>7653501</v>
      </c>
      <c r="G592">
        <v>0.02</v>
      </c>
      <c r="H592" t="s">
        <v>10</v>
      </c>
      <c r="I592" t="s">
        <v>11</v>
      </c>
    </row>
    <row r="593" spans="1:9" hidden="1" x14ac:dyDescent="0.25">
      <c r="A593" t="s">
        <v>8</v>
      </c>
      <c r="B593" t="s">
        <v>13</v>
      </c>
      <c r="C593">
        <v>201909</v>
      </c>
      <c r="D593" t="str">
        <f t="shared" si="9"/>
        <v>2019</v>
      </c>
      <c r="E593">
        <v>1254</v>
      </c>
      <c r="F593">
        <v>7653501</v>
      </c>
      <c r="G593">
        <v>0.02</v>
      </c>
      <c r="H593" t="s">
        <v>10</v>
      </c>
      <c r="I593" t="s">
        <v>11</v>
      </c>
    </row>
    <row r="594" spans="1:9" hidden="1" x14ac:dyDescent="0.25">
      <c r="A594" t="s">
        <v>8</v>
      </c>
      <c r="B594" t="s">
        <v>13</v>
      </c>
      <c r="C594">
        <v>201910</v>
      </c>
      <c r="D594" t="str">
        <f t="shared" si="9"/>
        <v>2019</v>
      </c>
      <c r="E594">
        <v>1656</v>
      </c>
      <c r="F594">
        <v>7653501</v>
      </c>
      <c r="G594">
        <v>0.02</v>
      </c>
      <c r="H594" t="s">
        <v>10</v>
      </c>
      <c r="I594" t="s">
        <v>11</v>
      </c>
    </row>
    <row r="595" spans="1:9" hidden="1" x14ac:dyDescent="0.25">
      <c r="A595" t="s">
        <v>8</v>
      </c>
      <c r="B595" t="s">
        <v>13</v>
      </c>
      <c r="C595">
        <v>201911</v>
      </c>
      <c r="D595" t="str">
        <f t="shared" si="9"/>
        <v>2019</v>
      </c>
      <c r="E595">
        <v>1132</v>
      </c>
      <c r="F595">
        <v>7653501</v>
      </c>
      <c r="G595">
        <v>0.01</v>
      </c>
      <c r="H595" t="s">
        <v>10</v>
      </c>
      <c r="I595" t="s">
        <v>11</v>
      </c>
    </row>
    <row r="596" spans="1:9" hidden="1" x14ac:dyDescent="0.25">
      <c r="A596" t="s">
        <v>8</v>
      </c>
      <c r="B596" t="s">
        <v>13</v>
      </c>
      <c r="C596">
        <v>201912</v>
      </c>
      <c r="D596" t="str">
        <f t="shared" si="9"/>
        <v>2019</v>
      </c>
      <c r="E596">
        <v>693</v>
      </c>
      <c r="F596">
        <v>7653501</v>
      </c>
      <c r="G596">
        <v>0.01</v>
      </c>
      <c r="H596" t="s">
        <v>10</v>
      </c>
      <c r="I596" t="s">
        <v>11</v>
      </c>
    </row>
    <row r="597" spans="1:9" hidden="1" x14ac:dyDescent="0.25">
      <c r="A597" t="s">
        <v>8</v>
      </c>
      <c r="B597" t="s">
        <v>13</v>
      </c>
      <c r="C597">
        <v>202001</v>
      </c>
      <c r="D597" t="str">
        <f t="shared" si="9"/>
        <v>2020</v>
      </c>
      <c r="E597">
        <v>36294</v>
      </c>
      <c r="F597">
        <v>7653501</v>
      </c>
      <c r="G597">
        <v>0.47</v>
      </c>
      <c r="H597" t="s">
        <v>10</v>
      </c>
      <c r="I597" t="s">
        <v>11</v>
      </c>
    </row>
    <row r="598" spans="1:9" hidden="1" x14ac:dyDescent="0.25">
      <c r="A598" t="s">
        <v>8</v>
      </c>
      <c r="B598" t="s">
        <v>13</v>
      </c>
      <c r="C598">
        <v>202002</v>
      </c>
      <c r="D598" t="str">
        <f t="shared" si="9"/>
        <v>2020</v>
      </c>
      <c r="E598">
        <v>33627</v>
      </c>
      <c r="F598">
        <v>7653501</v>
      </c>
      <c r="G598">
        <v>0.44</v>
      </c>
      <c r="H598" t="s">
        <v>10</v>
      </c>
      <c r="I598" t="s">
        <v>11</v>
      </c>
    </row>
    <row r="599" spans="1:9" hidden="1" x14ac:dyDescent="0.25">
      <c r="A599" t="s">
        <v>8</v>
      </c>
      <c r="B599" t="s">
        <v>13</v>
      </c>
      <c r="C599">
        <v>202003</v>
      </c>
      <c r="D599" t="str">
        <f t="shared" si="9"/>
        <v>2020</v>
      </c>
      <c r="E599">
        <v>30901</v>
      </c>
      <c r="F599">
        <v>7653501</v>
      </c>
      <c r="G599">
        <v>0.4</v>
      </c>
      <c r="H599" t="s">
        <v>10</v>
      </c>
      <c r="I599" t="s">
        <v>11</v>
      </c>
    </row>
    <row r="600" spans="1:9" hidden="1" x14ac:dyDescent="0.25">
      <c r="A600" t="s">
        <v>8</v>
      </c>
      <c r="B600" t="s">
        <v>13</v>
      </c>
      <c r="C600">
        <v>202004</v>
      </c>
      <c r="D600" t="str">
        <f t="shared" si="9"/>
        <v>2020</v>
      </c>
      <c r="E600">
        <v>17527</v>
      </c>
      <c r="F600">
        <v>7653501</v>
      </c>
      <c r="G600">
        <v>0.23</v>
      </c>
      <c r="H600" t="s">
        <v>10</v>
      </c>
      <c r="I600" t="s">
        <v>11</v>
      </c>
    </row>
    <row r="601" spans="1:9" hidden="1" x14ac:dyDescent="0.25">
      <c r="A601" t="s">
        <v>8</v>
      </c>
      <c r="B601" t="s">
        <v>13</v>
      </c>
      <c r="C601">
        <v>202005</v>
      </c>
      <c r="D601" t="str">
        <f t="shared" si="9"/>
        <v>2020</v>
      </c>
      <c r="E601">
        <v>31896</v>
      </c>
      <c r="F601">
        <v>7653501</v>
      </c>
      <c r="G601">
        <v>0.42</v>
      </c>
      <c r="H601" t="s">
        <v>10</v>
      </c>
      <c r="I601" t="s">
        <v>11</v>
      </c>
    </row>
    <row r="602" spans="1:9" hidden="1" x14ac:dyDescent="0.25">
      <c r="A602" t="s">
        <v>8</v>
      </c>
      <c r="B602" t="s">
        <v>13</v>
      </c>
      <c r="C602">
        <v>202006</v>
      </c>
      <c r="D602" t="str">
        <f t="shared" si="9"/>
        <v>2020</v>
      </c>
      <c r="E602">
        <v>40202</v>
      </c>
      <c r="F602">
        <v>7653501</v>
      </c>
      <c r="G602">
        <v>0.53</v>
      </c>
      <c r="H602" t="s">
        <v>10</v>
      </c>
      <c r="I602" t="s">
        <v>11</v>
      </c>
    </row>
    <row r="603" spans="1:9" hidden="1" x14ac:dyDescent="0.25">
      <c r="A603" t="s">
        <v>8</v>
      </c>
      <c r="B603" t="s">
        <v>13</v>
      </c>
      <c r="C603">
        <v>202007</v>
      </c>
      <c r="D603" t="str">
        <f t="shared" si="9"/>
        <v>2020</v>
      </c>
      <c r="E603">
        <v>29943</v>
      </c>
      <c r="F603">
        <v>7653501</v>
      </c>
      <c r="G603">
        <v>0.39</v>
      </c>
      <c r="H603" t="s">
        <v>10</v>
      </c>
      <c r="I603" t="s">
        <v>11</v>
      </c>
    </row>
    <row r="604" spans="1:9" hidden="1" x14ac:dyDescent="0.25">
      <c r="A604" t="s">
        <v>8</v>
      </c>
      <c r="B604" t="s">
        <v>13</v>
      </c>
      <c r="C604">
        <v>202008</v>
      </c>
      <c r="D604" t="str">
        <f t="shared" si="9"/>
        <v>2020</v>
      </c>
      <c r="E604">
        <v>29704</v>
      </c>
      <c r="F604">
        <v>7653501</v>
      </c>
      <c r="G604">
        <v>0.39</v>
      </c>
      <c r="H604" t="s">
        <v>10</v>
      </c>
      <c r="I604" t="s">
        <v>11</v>
      </c>
    </row>
    <row r="605" spans="1:9" hidden="1" x14ac:dyDescent="0.25">
      <c r="A605" t="s">
        <v>8</v>
      </c>
      <c r="B605" t="s">
        <v>13</v>
      </c>
      <c r="C605">
        <v>202009</v>
      </c>
      <c r="D605" t="str">
        <f t="shared" si="9"/>
        <v>2020</v>
      </c>
      <c r="E605">
        <v>31313</v>
      </c>
      <c r="F605">
        <v>7653501</v>
      </c>
      <c r="G605">
        <v>0.41</v>
      </c>
      <c r="H605" t="s">
        <v>10</v>
      </c>
      <c r="I605" t="s">
        <v>11</v>
      </c>
    </row>
    <row r="606" spans="1:9" hidden="1" x14ac:dyDescent="0.25">
      <c r="A606" t="s">
        <v>8</v>
      </c>
      <c r="B606" t="s">
        <v>13</v>
      </c>
      <c r="C606">
        <v>202010</v>
      </c>
      <c r="D606" t="str">
        <f t="shared" si="9"/>
        <v>2020</v>
      </c>
      <c r="E606">
        <v>32700</v>
      </c>
      <c r="F606">
        <v>7653501</v>
      </c>
      <c r="G606">
        <v>0.43</v>
      </c>
      <c r="H606" t="s">
        <v>10</v>
      </c>
      <c r="I606" t="s">
        <v>11</v>
      </c>
    </row>
    <row r="607" spans="1:9" hidden="1" x14ac:dyDescent="0.25">
      <c r="A607" t="s">
        <v>8</v>
      </c>
      <c r="B607" t="s">
        <v>13</v>
      </c>
      <c r="C607">
        <v>202011</v>
      </c>
      <c r="D607" t="str">
        <f t="shared" si="9"/>
        <v>2020</v>
      </c>
      <c r="E607">
        <v>28114</v>
      </c>
      <c r="F607">
        <v>7653501</v>
      </c>
      <c r="G607">
        <v>0.37</v>
      </c>
      <c r="H607" t="s">
        <v>10</v>
      </c>
      <c r="I607" t="s">
        <v>11</v>
      </c>
    </row>
    <row r="608" spans="1:9" hidden="1" x14ac:dyDescent="0.25">
      <c r="A608" t="s">
        <v>8</v>
      </c>
      <c r="B608" t="s">
        <v>13</v>
      </c>
      <c r="C608">
        <v>202012</v>
      </c>
      <c r="D608" t="str">
        <f t="shared" si="9"/>
        <v>2020</v>
      </c>
      <c r="E608">
        <v>30845</v>
      </c>
      <c r="F608">
        <v>7653501</v>
      </c>
      <c r="G608">
        <v>0.4</v>
      </c>
      <c r="H608" t="s">
        <v>10</v>
      </c>
      <c r="I608" t="s">
        <v>11</v>
      </c>
    </row>
    <row r="609" spans="1:9" hidden="1" x14ac:dyDescent="0.25">
      <c r="A609" t="s">
        <v>8</v>
      </c>
      <c r="B609" t="s">
        <v>13</v>
      </c>
      <c r="C609">
        <v>202101</v>
      </c>
      <c r="D609" t="str">
        <f t="shared" si="9"/>
        <v>2021</v>
      </c>
      <c r="E609">
        <v>59291</v>
      </c>
      <c r="F609">
        <v>7653501</v>
      </c>
      <c r="G609">
        <v>0.77</v>
      </c>
      <c r="H609" t="s">
        <v>10</v>
      </c>
      <c r="I609" t="s">
        <v>11</v>
      </c>
    </row>
    <row r="610" spans="1:9" hidden="1" x14ac:dyDescent="0.25">
      <c r="A610" t="s">
        <v>8</v>
      </c>
      <c r="B610" t="s">
        <v>13</v>
      </c>
      <c r="C610">
        <v>202102</v>
      </c>
      <c r="D610" t="str">
        <f t="shared" si="9"/>
        <v>2021</v>
      </c>
      <c r="E610">
        <v>44631</v>
      </c>
      <c r="F610">
        <v>7653501</v>
      </c>
      <c r="G610">
        <v>0.57999999999999996</v>
      </c>
      <c r="H610" t="s">
        <v>10</v>
      </c>
      <c r="I610" t="s">
        <v>11</v>
      </c>
    </row>
    <row r="611" spans="1:9" hidden="1" x14ac:dyDescent="0.25">
      <c r="A611" t="s">
        <v>8</v>
      </c>
      <c r="B611" t="s">
        <v>13</v>
      </c>
      <c r="C611">
        <v>202103</v>
      </c>
      <c r="D611" t="str">
        <f t="shared" si="9"/>
        <v>2021</v>
      </c>
      <c r="E611">
        <v>71269</v>
      </c>
      <c r="F611">
        <v>7653501</v>
      </c>
      <c r="G611">
        <v>0.93</v>
      </c>
      <c r="H611" t="s">
        <v>10</v>
      </c>
      <c r="I611" t="s">
        <v>11</v>
      </c>
    </row>
    <row r="612" spans="1:9" hidden="1" x14ac:dyDescent="0.25">
      <c r="A612" t="s">
        <v>8</v>
      </c>
      <c r="B612" t="s">
        <v>13</v>
      </c>
      <c r="C612">
        <v>202104</v>
      </c>
      <c r="D612" t="str">
        <f t="shared" si="9"/>
        <v>2021</v>
      </c>
      <c r="E612">
        <v>68006</v>
      </c>
      <c r="F612">
        <v>7653501</v>
      </c>
      <c r="G612">
        <v>0.89</v>
      </c>
      <c r="H612" t="s">
        <v>10</v>
      </c>
      <c r="I612" t="s">
        <v>11</v>
      </c>
    </row>
    <row r="613" spans="1:9" hidden="1" x14ac:dyDescent="0.25">
      <c r="A613" t="s">
        <v>8</v>
      </c>
      <c r="B613" t="s">
        <v>13</v>
      </c>
      <c r="C613">
        <v>202105</v>
      </c>
      <c r="D613" t="str">
        <f t="shared" si="9"/>
        <v>2021</v>
      </c>
      <c r="E613">
        <v>63833</v>
      </c>
      <c r="F613">
        <v>7653501</v>
      </c>
      <c r="G613">
        <v>0.83</v>
      </c>
      <c r="H613" t="s">
        <v>10</v>
      </c>
      <c r="I613" t="s">
        <v>11</v>
      </c>
    </row>
    <row r="614" spans="1:9" hidden="1" x14ac:dyDescent="0.25">
      <c r="A614" t="s">
        <v>8</v>
      </c>
      <c r="B614" t="s">
        <v>13</v>
      </c>
      <c r="C614">
        <v>202106</v>
      </c>
      <c r="D614" t="str">
        <f t="shared" si="9"/>
        <v>2021</v>
      </c>
      <c r="E614">
        <v>78883</v>
      </c>
      <c r="F614">
        <v>7653501</v>
      </c>
      <c r="G614">
        <v>1.03</v>
      </c>
      <c r="H614" t="s">
        <v>10</v>
      </c>
      <c r="I614" t="s">
        <v>11</v>
      </c>
    </row>
    <row r="615" spans="1:9" hidden="1" x14ac:dyDescent="0.25">
      <c r="A615" t="s">
        <v>8</v>
      </c>
      <c r="B615" t="s">
        <v>13</v>
      </c>
      <c r="C615">
        <v>202107</v>
      </c>
      <c r="D615" t="str">
        <f t="shared" si="9"/>
        <v>2021</v>
      </c>
      <c r="E615">
        <v>143865</v>
      </c>
      <c r="F615">
        <v>7653501</v>
      </c>
      <c r="G615">
        <v>1.88</v>
      </c>
      <c r="H615" t="s">
        <v>10</v>
      </c>
      <c r="I615" t="s">
        <v>11</v>
      </c>
    </row>
    <row r="616" spans="1:9" hidden="1" x14ac:dyDescent="0.25">
      <c r="A616" t="s">
        <v>8</v>
      </c>
      <c r="B616" t="s">
        <v>13</v>
      </c>
      <c r="C616">
        <v>202108</v>
      </c>
      <c r="D616" t="str">
        <f t="shared" si="9"/>
        <v>2021</v>
      </c>
      <c r="E616">
        <v>221878</v>
      </c>
      <c r="F616">
        <v>7653501</v>
      </c>
      <c r="G616">
        <v>2.9</v>
      </c>
      <c r="H616" t="s">
        <v>10</v>
      </c>
      <c r="I616" t="s">
        <v>11</v>
      </c>
    </row>
    <row r="617" spans="1:9" hidden="1" x14ac:dyDescent="0.25">
      <c r="A617" t="s">
        <v>8</v>
      </c>
      <c r="B617" t="s">
        <v>13</v>
      </c>
      <c r="C617">
        <v>202109</v>
      </c>
      <c r="D617" t="str">
        <f t="shared" si="9"/>
        <v>2021</v>
      </c>
      <c r="E617">
        <v>240916</v>
      </c>
      <c r="F617">
        <v>7653501</v>
      </c>
      <c r="G617">
        <v>3.15</v>
      </c>
      <c r="H617" t="s">
        <v>10</v>
      </c>
      <c r="I617" t="s">
        <v>11</v>
      </c>
    </row>
    <row r="618" spans="1:9" hidden="1" x14ac:dyDescent="0.25">
      <c r="A618" t="s">
        <v>8</v>
      </c>
      <c r="B618" t="s">
        <v>13</v>
      </c>
      <c r="C618">
        <v>202110</v>
      </c>
      <c r="D618" t="str">
        <f t="shared" si="9"/>
        <v>2021</v>
      </c>
      <c r="E618">
        <v>230097</v>
      </c>
      <c r="F618">
        <v>7653501</v>
      </c>
      <c r="G618">
        <v>3.01</v>
      </c>
      <c r="H618" t="s">
        <v>10</v>
      </c>
      <c r="I618" t="s">
        <v>11</v>
      </c>
    </row>
    <row r="619" spans="1:9" hidden="1" x14ac:dyDescent="0.25">
      <c r="A619" t="s">
        <v>8</v>
      </c>
      <c r="B619" t="s">
        <v>13</v>
      </c>
      <c r="C619">
        <v>202111</v>
      </c>
      <c r="D619" t="str">
        <f t="shared" si="9"/>
        <v>2021</v>
      </c>
      <c r="E619">
        <v>230031</v>
      </c>
      <c r="F619">
        <v>7653501</v>
      </c>
      <c r="G619">
        <v>3.01</v>
      </c>
      <c r="H619" t="s">
        <v>10</v>
      </c>
      <c r="I619" t="s">
        <v>11</v>
      </c>
    </row>
    <row r="620" spans="1:9" hidden="1" x14ac:dyDescent="0.25">
      <c r="A620" t="s">
        <v>8</v>
      </c>
      <c r="B620" t="s">
        <v>13</v>
      </c>
      <c r="C620">
        <v>202112</v>
      </c>
      <c r="D620" t="str">
        <f t="shared" si="9"/>
        <v>2021</v>
      </c>
      <c r="E620">
        <v>229754</v>
      </c>
      <c r="F620">
        <v>7653501</v>
      </c>
      <c r="G620">
        <v>3</v>
      </c>
      <c r="H620" t="s">
        <v>10</v>
      </c>
      <c r="I620" t="s">
        <v>11</v>
      </c>
    </row>
    <row r="621" spans="1:9" hidden="1" x14ac:dyDescent="0.25">
      <c r="A621" t="s">
        <v>8</v>
      </c>
      <c r="B621" t="s">
        <v>13</v>
      </c>
      <c r="C621">
        <v>202201</v>
      </c>
      <c r="D621" t="str">
        <f t="shared" si="9"/>
        <v>2022</v>
      </c>
      <c r="E621">
        <v>184596</v>
      </c>
      <c r="F621">
        <v>7653501</v>
      </c>
      <c r="G621">
        <v>2.41</v>
      </c>
      <c r="H621" t="s">
        <v>10</v>
      </c>
      <c r="I621" t="s">
        <v>11</v>
      </c>
    </row>
    <row r="622" spans="1:9" hidden="1" x14ac:dyDescent="0.25">
      <c r="A622" t="s">
        <v>8</v>
      </c>
      <c r="B622" t="s">
        <v>13</v>
      </c>
      <c r="C622">
        <v>202202</v>
      </c>
      <c r="D622" t="str">
        <f t="shared" si="9"/>
        <v>2022</v>
      </c>
      <c r="E622">
        <v>159516</v>
      </c>
      <c r="F622">
        <v>7653501</v>
      </c>
      <c r="G622">
        <v>2.08</v>
      </c>
      <c r="H622" t="s">
        <v>10</v>
      </c>
      <c r="I622" t="s">
        <v>11</v>
      </c>
    </row>
    <row r="623" spans="1:9" hidden="1" x14ac:dyDescent="0.25">
      <c r="A623" t="s">
        <v>8</v>
      </c>
      <c r="B623" t="s">
        <v>13</v>
      </c>
      <c r="C623">
        <v>202203</v>
      </c>
      <c r="D623" t="str">
        <f t="shared" si="9"/>
        <v>2022</v>
      </c>
      <c r="E623">
        <v>203550</v>
      </c>
      <c r="F623">
        <v>7653501</v>
      </c>
      <c r="G623">
        <v>2.66</v>
      </c>
      <c r="H623" t="s">
        <v>10</v>
      </c>
      <c r="I623" t="s">
        <v>11</v>
      </c>
    </row>
    <row r="624" spans="1:9" hidden="1" x14ac:dyDescent="0.25">
      <c r="A624" t="s">
        <v>8</v>
      </c>
      <c r="B624" t="s">
        <v>13</v>
      </c>
      <c r="C624">
        <v>202204</v>
      </c>
      <c r="D624" t="str">
        <f t="shared" si="9"/>
        <v>2022</v>
      </c>
      <c r="E624">
        <v>177973</v>
      </c>
      <c r="F624">
        <v>7653501</v>
      </c>
      <c r="G624">
        <v>2.33</v>
      </c>
      <c r="H624" t="s">
        <v>10</v>
      </c>
      <c r="I624" t="s">
        <v>11</v>
      </c>
    </row>
    <row r="625" spans="1:9" hidden="1" x14ac:dyDescent="0.25">
      <c r="A625" t="s">
        <v>8</v>
      </c>
      <c r="B625" t="s">
        <v>13</v>
      </c>
      <c r="C625">
        <v>202205</v>
      </c>
      <c r="D625" t="str">
        <f t="shared" si="9"/>
        <v>2022</v>
      </c>
      <c r="E625">
        <v>180346</v>
      </c>
      <c r="F625">
        <v>7653501</v>
      </c>
      <c r="G625">
        <v>2.36</v>
      </c>
      <c r="H625" t="s">
        <v>10</v>
      </c>
      <c r="I625" t="s">
        <v>11</v>
      </c>
    </row>
    <row r="626" spans="1:9" hidden="1" x14ac:dyDescent="0.25">
      <c r="A626" t="s">
        <v>8</v>
      </c>
      <c r="B626" t="s">
        <v>13</v>
      </c>
      <c r="C626">
        <v>202206</v>
      </c>
      <c r="D626" t="str">
        <f t="shared" si="9"/>
        <v>2022</v>
      </c>
      <c r="E626">
        <v>185183</v>
      </c>
      <c r="F626">
        <v>7653501</v>
      </c>
      <c r="G626">
        <v>2.42</v>
      </c>
      <c r="H626" t="s">
        <v>10</v>
      </c>
      <c r="I626" t="s">
        <v>11</v>
      </c>
    </row>
    <row r="627" spans="1:9" hidden="1" x14ac:dyDescent="0.25">
      <c r="A627" t="s">
        <v>8</v>
      </c>
      <c r="B627" t="s">
        <v>13</v>
      </c>
      <c r="C627">
        <v>202207</v>
      </c>
      <c r="D627" t="str">
        <f t="shared" si="9"/>
        <v>2022</v>
      </c>
      <c r="E627">
        <v>170200</v>
      </c>
      <c r="F627">
        <v>7653501</v>
      </c>
      <c r="G627">
        <v>2.2200000000000002</v>
      </c>
      <c r="H627" t="s">
        <v>10</v>
      </c>
      <c r="I627" t="s">
        <v>11</v>
      </c>
    </row>
    <row r="628" spans="1:9" hidden="1" x14ac:dyDescent="0.25">
      <c r="A628" t="s">
        <v>8</v>
      </c>
      <c r="B628" t="s">
        <v>13</v>
      </c>
      <c r="C628">
        <v>202208</v>
      </c>
      <c r="D628" t="str">
        <f t="shared" si="9"/>
        <v>2022</v>
      </c>
      <c r="E628">
        <v>189292</v>
      </c>
      <c r="F628">
        <v>7653501</v>
      </c>
      <c r="G628">
        <v>2.4700000000000002</v>
      </c>
      <c r="H628" t="s">
        <v>10</v>
      </c>
      <c r="I628" t="s">
        <v>11</v>
      </c>
    </row>
    <row r="629" spans="1:9" hidden="1" x14ac:dyDescent="0.25">
      <c r="A629" t="s">
        <v>8</v>
      </c>
      <c r="B629" t="s">
        <v>13</v>
      </c>
      <c r="C629">
        <v>202209</v>
      </c>
      <c r="D629" t="str">
        <f t="shared" si="9"/>
        <v>2022</v>
      </c>
      <c r="E629">
        <v>177514</v>
      </c>
      <c r="F629">
        <v>7653501</v>
      </c>
      <c r="G629">
        <v>2.3199999999999998</v>
      </c>
      <c r="H629" t="s">
        <v>10</v>
      </c>
      <c r="I629" t="s">
        <v>11</v>
      </c>
    </row>
    <row r="630" spans="1:9" hidden="1" x14ac:dyDescent="0.25">
      <c r="A630" t="s">
        <v>8</v>
      </c>
      <c r="B630" t="s">
        <v>13</v>
      </c>
      <c r="C630">
        <v>202210</v>
      </c>
      <c r="D630" t="str">
        <f t="shared" si="9"/>
        <v>2022</v>
      </c>
      <c r="E630">
        <v>183186</v>
      </c>
      <c r="F630">
        <v>7653501</v>
      </c>
      <c r="G630">
        <v>2.39</v>
      </c>
      <c r="H630" t="s">
        <v>10</v>
      </c>
      <c r="I630" t="s">
        <v>11</v>
      </c>
    </row>
    <row r="631" spans="1:9" hidden="1" x14ac:dyDescent="0.25">
      <c r="A631" t="s">
        <v>8</v>
      </c>
      <c r="B631" t="s">
        <v>13</v>
      </c>
      <c r="C631">
        <v>202211</v>
      </c>
      <c r="D631" t="str">
        <f t="shared" si="9"/>
        <v>2022</v>
      </c>
      <c r="E631">
        <v>179312</v>
      </c>
      <c r="F631">
        <v>7653501</v>
      </c>
      <c r="G631">
        <v>2.34</v>
      </c>
      <c r="H631" t="s">
        <v>10</v>
      </c>
      <c r="I631" t="s">
        <v>11</v>
      </c>
    </row>
    <row r="632" spans="1:9" hidden="1" x14ac:dyDescent="0.25">
      <c r="A632" t="s">
        <v>8</v>
      </c>
      <c r="B632" t="s">
        <v>13</v>
      </c>
      <c r="C632">
        <v>202212</v>
      </c>
      <c r="D632" t="str">
        <f t="shared" si="9"/>
        <v>2022</v>
      </c>
      <c r="E632">
        <v>165719</v>
      </c>
      <c r="F632">
        <v>7653501</v>
      </c>
      <c r="G632">
        <v>2.17</v>
      </c>
      <c r="H632" t="s">
        <v>10</v>
      </c>
      <c r="I632" t="s">
        <v>11</v>
      </c>
    </row>
    <row r="633" spans="1:9" hidden="1" x14ac:dyDescent="0.25">
      <c r="A633" t="s">
        <v>8</v>
      </c>
      <c r="B633" t="s">
        <v>13</v>
      </c>
      <c r="C633">
        <v>202301</v>
      </c>
      <c r="D633" t="str">
        <f t="shared" si="9"/>
        <v>2023</v>
      </c>
      <c r="E633">
        <v>188700</v>
      </c>
      <c r="F633">
        <v>7653501</v>
      </c>
      <c r="G633">
        <v>2.4700000000000002</v>
      </c>
      <c r="H633" t="s">
        <v>10</v>
      </c>
      <c r="I633" t="s">
        <v>11</v>
      </c>
    </row>
    <row r="634" spans="1:9" hidden="1" x14ac:dyDescent="0.25">
      <c r="A634" t="s">
        <v>8</v>
      </c>
      <c r="B634" t="s">
        <v>13</v>
      </c>
      <c r="C634">
        <v>202302</v>
      </c>
      <c r="D634" t="str">
        <f t="shared" si="9"/>
        <v>2023</v>
      </c>
      <c r="E634">
        <v>180979</v>
      </c>
      <c r="F634">
        <v>7653501</v>
      </c>
      <c r="G634">
        <v>2.36</v>
      </c>
      <c r="H634" t="s">
        <v>10</v>
      </c>
      <c r="I634" t="s">
        <v>11</v>
      </c>
    </row>
    <row r="635" spans="1:9" hidden="1" x14ac:dyDescent="0.25">
      <c r="A635" t="s">
        <v>8</v>
      </c>
      <c r="B635" t="s">
        <v>13</v>
      </c>
      <c r="C635">
        <v>202303</v>
      </c>
      <c r="D635" t="str">
        <f t="shared" si="9"/>
        <v>2023</v>
      </c>
      <c r="E635">
        <v>200375</v>
      </c>
      <c r="F635">
        <v>7653501</v>
      </c>
      <c r="G635">
        <v>2.62</v>
      </c>
      <c r="H635" t="s">
        <v>10</v>
      </c>
      <c r="I635" t="s">
        <v>11</v>
      </c>
    </row>
    <row r="636" spans="1:9" hidden="1" x14ac:dyDescent="0.25">
      <c r="A636" t="s">
        <v>8</v>
      </c>
      <c r="B636" t="s">
        <v>13</v>
      </c>
      <c r="C636">
        <v>202304</v>
      </c>
      <c r="D636" t="str">
        <f t="shared" si="9"/>
        <v>2023</v>
      </c>
      <c r="E636">
        <v>179018</v>
      </c>
      <c r="F636">
        <v>7653501</v>
      </c>
      <c r="G636">
        <v>2.34</v>
      </c>
      <c r="H636" t="s">
        <v>10</v>
      </c>
      <c r="I636" t="s">
        <v>11</v>
      </c>
    </row>
    <row r="637" spans="1:9" hidden="1" x14ac:dyDescent="0.25">
      <c r="A637" t="s">
        <v>8</v>
      </c>
      <c r="B637" t="s">
        <v>13</v>
      </c>
      <c r="C637">
        <v>202305</v>
      </c>
      <c r="D637" t="str">
        <f t="shared" si="9"/>
        <v>2023</v>
      </c>
      <c r="E637">
        <v>187234</v>
      </c>
      <c r="F637">
        <v>7653501</v>
      </c>
      <c r="G637">
        <v>2.4500000000000002</v>
      </c>
      <c r="H637" t="s">
        <v>10</v>
      </c>
      <c r="I637" t="s">
        <v>11</v>
      </c>
    </row>
    <row r="638" spans="1:9" hidden="1" x14ac:dyDescent="0.25">
      <c r="A638" t="s">
        <v>8</v>
      </c>
      <c r="B638" t="s">
        <v>13</v>
      </c>
      <c r="C638">
        <v>202306</v>
      </c>
      <c r="D638" t="str">
        <f t="shared" si="9"/>
        <v>2023</v>
      </c>
      <c r="E638">
        <v>183897</v>
      </c>
      <c r="F638">
        <v>7653501</v>
      </c>
      <c r="G638">
        <v>2.4</v>
      </c>
      <c r="H638" t="s">
        <v>10</v>
      </c>
      <c r="I638" t="s">
        <v>11</v>
      </c>
    </row>
    <row r="639" spans="1:9" hidden="1" x14ac:dyDescent="0.25">
      <c r="A639" t="s">
        <v>8</v>
      </c>
      <c r="B639" t="s">
        <v>13</v>
      </c>
      <c r="C639">
        <v>202307</v>
      </c>
      <c r="D639" t="str">
        <f t="shared" si="9"/>
        <v>2023</v>
      </c>
      <c r="E639">
        <v>161696</v>
      </c>
      <c r="F639">
        <v>7653501</v>
      </c>
      <c r="G639">
        <v>2.11</v>
      </c>
      <c r="H639" t="s">
        <v>10</v>
      </c>
      <c r="I639" t="s">
        <v>11</v>
      </c>
    </row>
    <row r="640" spans="1:9" hidden="1" x14ac:dyDescent="0.25">
      <c r="A640" t="s">
        <v>8</v>
      </c>
      <c r="B640" t="s">
        <v>13</v>
      </c>
      <c r="C640">
        <v>202308</v>
      </c>
      <c r="D640" t="str">
        <f t="shared" si="9"/>
        <v>2023</v>
      </c>
      <c r="E640">
        <v>179245</v>
      </c>
      <c r="F640">
        <v>7653501</v>
      </c>
      <c r="G640">
        <v>2.34</v>
      </c>
      <c r="H640" t="s">
        <v>10</v>
      </c>
      <c r="I640" t="s">
        <v>11</v>
      </c>
    </row>
    <row r="641" spans="1:9" hidden="1" x14ac:dyDescent="0.25">
      <c r="A641" t="s">
        <v>8</v>
      </c>
      <c r="B641" t="s">
        <v>13</v>
      </c>
      <c r="C641">
        <v>202309</v>
      </c>
      <c r="D641" t="str">
        <f t="shared" si="9"/>
        <v>2023</v>
      </c>
      <c r="E641">
        <v>166749</v>
      </c>
      <c r="F641">
        <v>7653501</v>
      </c>
      <c r="G641">
        <v>2.1800000000000002</v>
      </c>
      <c r="H641" t="s">
        <v>10</v>
      </c>
      <c r="I641" t="s">
        <v>11</v>
      </c>
    </row>
    <row r="642" spans="1:9" hidden="1" x14ac:dyDescent="0.25">
      <c r="A642" t="s">
        <v>8</v>
      </c>
      <c r="B642" t="s">
        <v>13</v>
      </c>
      <c r="C642">
        <v>202310</v>
      </c>
      <c r="D642" t="str">
        <f t="shared" si="9"/>
        <v>2023</v>
      </c>
      <c r="E642">
        <v>182531</v>
      </c>
      <c r="F642">
        <v>7653501</v>
      </c>
      <c r="G642">
        <v>2.38</v>
      </c>
      <c r="H642" t="s">
        <v>10</v>
      </c>
      <c r="I642" t="s">
        <v>11</v>
      </c>
    </row>
    <row r="643" spans="1:9" hidden="1" x14ac:dyDescent="0.25">
      <c r="A643" t="s">
        <v>8</v>
      </c>
      <c r="B643" t="s">
        <v>13</v>
      </c>
      <c r="C643">
        <v>202311</v>
      </c>
      <c r="D643" t="str">
        <f t="shared" ref="D643:D706" si="10">LEFT(C643,4)</f>
        <v>2023</v>
      </c>
      <c r="E643">
        <v>170351</v>
      </c>
      <c r="F643">
        <v>7653501</v>
      </c>
      <c r="G643">
        <v>2.23</v>
      </c>
      <c r="H643" t="s">
        <v>10</v>
      </c>
      <c r="I643" t="s">
        <v>11</v>
      </c>
    </row>
    <row r="644" spans="1:9" hidden="1" x14ac:dyDescent="0.25">
      <c r="A644" t="s">
        <v>8</v>
      </c>
      <c r="B644" t="s">
        <v>13</v>
      </c>
      <c r="C644">
        <v>202312</v>
      </c>
      <c r="D644" t="str">
        <f t="shared" si="10"/>
        <v>2023</v>
      </c>
      <c r="E644">
        <v>162448</v>
      </c>
      <c r="F644">
        <v>7653501</v>
      </c>
      <c r="G644">
        <v>2.12</v>
      </c>
      <c r="H644" t="s">
        <v>10</v>
      </c>
      <c r="I644" t="s">
        <v>11</v>
      </c>
    </row>
    <row r="645" spans="1:9" hidden="1" x14ac:dyDescent="0.25">
      <c r="A645" t="s">
        <v>8</v>
      </c>
      <c r="B645" t="s">
        <v>13</v>
      </c>
      <c r="C645">
        <v>202401</v>
      </c>
      <c r="D645" t="str">
        <f t="shared" si="10"/>
        <v>2024</v>
      </c>
      <c r="E645">
        <v>249263</v>
      </c>
      <c r="F645">
        <v>7653501</v>
      </c>
      <c r="G645">
        <v>3.26</v>
      </c>
      <c r="H645" t="s">
        <v>10</v>
      </c>
      <c r="I645" t="s">
        <v>11</v>
      </c>
    </row>
    <row r="646" spans="1:9" hidden="1" x14ac:dyDescent="0.25">
      <c r="A646" t="s">
        <v>8</v>
      </c>
      <c r="B646" t="s">
        <v>13</v>
      </c>
      <c r="C646">
        <v>202402</v>
      </c>
      <c r="D646" t="str">
        <f t="shared" si="10"/>
        <v>2024</v>
      </c>
      <c r="E646">
        <v>252641</v>
      </c>
      <c r="F646">
        <v>7653501</v>
      </c>
      <c r="G646">
        <v>3.3</v>
      </c>
      <c r="H646" t="s">
        <v>10</v>
      </c>
      <c r="I646" t="s">
        <v>11</v>
      </c>
    </row>
    <row r="647" spans="1:9" hidden="1" x14ac:dyDescent="0.25">
      <c r="A647" t="s">
        <v>8</v>
      </c>
      <c r="B647" t="s">
        <v>13</v>
      </c>
      <c r="C647">
        <v>202403</v>
      </c>
      <c r="D647" t="str">
        <f t="shared" si="10"/>
        <v>2024</v>
      </c>
      <c r="E647">
        <v>255814</v>
      </c>
      <c r="F647">
        <v>7653501</v>
      </c>
      <c r="G647">
        <v>3.34</v>
      </c>
      <c r="H647" t="s">
        <v>10</v>
      </c>
      <c r="I647" t="s">
        <v>11</v>
      </c>
    </row>
    <row r="648" spans="1:9" hidden="1" x14ac:dyDescent="0.25">
      <c r="A648" t="s">
        <v>8</v>
      </c>
      <c r="B648" t="s">
        <v>13</v>
      </c>
      <c r="C648">
        <v>202404</v>
      </c>
      <c r="D648" t="str">
        <f t="shared" si="10"/>
        <v>2024</v>
      </c>
      <c r="E648">
        <v>273952</v>
      </c>
      <c r="F648">
        <v>7653501</v>
      </c>
      <c r="G648">
        <v>3.58</v>
      </c>
      <c r="H648" t="s">
        <v>10</v>
      </c>
      <c r="I648" t="s">
        <v>11</v>
      </c>
    </row>
    <row r="649" spans="1:9" hidden="1" x14ac:dyDescent="0.25">
      <c r="A649" t="s">
        <v>8</v>
      </c>
      <c r="B649" t="s">
        <v>13</v>
      </c>
      <c r="C649">
        <v>202405</v>
      </c>
      <c r="D649" t="str">
        <f t="shared" si="10"/>
        <v>2024</v>
      </c>
      <c r="E649">
        <v>233246</v>
      </c>
      <c r="F649">
        <v>7653501</v>
      </c>
      <c r="G649">
        <v>3.05</v>
      </c>
      <c r="H649" t="s">
        <v>10</v>
      </c>
      <c r="I649" t="s">
        <v>11</v>
      </c>
    </row>
    <row r="650" spans="1:9" hidden="1" x14ac:dyDescent="0.25">
      <c r="A650" t="s">
        <v>8</v>
      </c>
      <c r="B650" t="s">
        <v>13</v>
      </c>
      <c r="C650">
        <v>202406</v>
      </c>
      <c r="D650" t="str">
        <f t="shared" si="10"/>
        <v>2024</v>
      </c>
      <c r="E650">
        <v>14656</v>
      </c>
      <c r="F650">
        <v>7653501</v>
      </c>
      <c r="G650">
        <v>0.19</v>
      </c>
      <c r="H650" t="s">
        <v>10</v>
      </c>
      <c r="I650" t="s">
        <v>11</v>
      </c>
    </row>
    <row r="651" spans="1:9" hidden="1" x14ac:dyDescent="0.25">
      <c r="A651" t="s">
        <v>8</v>
      </c>
      <c r="B651" t="s">
        <v>35</v>
      </c>
      <c r="C651">
        <v>201412</v>
      </c>
      <c r="D651" t="str">
        <f t="shared" si="10"/>
        <v>2014</v>
      </c>
      <c r="E651">
        <v>9</v>
      </c>
      <c r="F651">
        <v>8158153</v>
      </c>
      <c r="G651">
        <v>0</v>
      </c>
      <c r="H651" t="s">
        <v>10</v>
      </c>
      <c r="I651" t="s">
        <v>11</v>
      </c>
    </row>
    <row r="652" spans="1:9" hidden="1" x14ac:dyDescent="0.25">
      <c r="A652" t="s">
        <v>8</v>
      </c>
      <c r="B652" t="s">
        <v>35</v>
      </c>
      <c r="C652">
        <v>201504</v>
      </c>
      <c r="D652" t="str">
        <f t="shared" si="10"/>
        <v>2015</v>
      </c>
      <c r="E652">
        <v>3</v>
      </c>
      <c r="F652">
        <v>8158153</v>
      </c>
      <c r="G652">
        <v>0</v>
      </c>
      <c r="H652" t="s">
        <v>10</v>
      </c>
      <c r="I652" t="s">
        <v>11</v>
      </c>
    </row>
    <row r="653" spans="1:9" hidden="1" x14ac:dyDescent="0.25">
      <c r="A653" t="s">
        <v>8</v>
      </c>
      <c r="B653" t="s">
        <v>35</v>
      </c>
      <c r="C653">
        <v>201505</v>
      </c>
      <c r="D653" t="str">
        <f t="shared" si="10"/>
        <v>2015</v>
      </c>
      <c r="E653">
        <v>1</v>
      </c>
      <c r="F653">
        <v>8158153</v>
      </c>
      <c r="G653">
        <v>0</v>
      </c>
      <c r="H653" t="s">
        <v>10</v>
      </c>
      <c r="I653" t="s">
        <v>11</v>
      </c>
    </row>
    <row r="654" spans="1:9" hidden="1" x14ac:dyDescent="0.25">
      <c r="A654" t="s">
        <v>8</v>
      </c>
      <c r="B654" t="s">
        <v>35</v>
      </c>
      <c r="C654">
        <v>201506</v>
      </c>
      <c r="D654" t="str">
        <f t="shared" si="10"/>
        <v>2015</v>
      </c>
      <c r="E654">
        <v>4</v>
      </c>
      <c r="F654">
        <v>8158153</v>
      </c>
      <c r="G654">
        <v>0</v>
      </c>
      <c r="H654" t="s">
        <v>10</v>
      </c>
      <c r="I654" t="s">
        <v>11</v>
      </c>
    </row>
    <row r="655" spans="1:9" hidden="1" x14ac:dyDescent="0.25">
      <c r="A655" t="s">
        <v>8</v>
      </c>
      <c r="B655" t="s">
        <v>35</v>
      </c>
      <c r="C655">
        <v>201508</v>
      </c>
      <c r="D655" t="str">
        <f t="shared" si="10"/>
        <v>2015</v>
      </c>
      <c r="E655">
        <v>5</v>
      </c>
      <c r="F655">
        <v>8158153</v>
      </c>
      <c r="G655">
        <v>0</v>
      </c>
      <c r="H655" t="s">
        <v>10</v>
      </c>
      <c r="I655" t="s">
        <v>11</v>
      </c>
    </row>
    <row r="656" spans="1:9" hidden="1" x14ac:dyDescent="0.25">
      <c r="A656" t="s">
        <v>8</v>
      </c>
      <c r="B656" t="s">
        <v>35</v>
      </c>
      <c r="C656">
        <v>201510</v>
      </c>
      <c r="D656" t="str">
        <f t="shared" si="10"/>
        <v>2015</v>
      </c>
      <c r="E656">
        <v>7</v>
      </c>
      <c r="F656">
        <v>8158153</v>
      </c>
      <c r="G656">
        <v>0</v>
      </c>
      <c r="H656" t="s">
        <v>10</v>
      </c>
      <c r="I656" t="s">
        <v>11</v>
      </c>
    </row>
    <row r="657" spans="1:9" hidden="1" x14ac:dyDescent="0.25">
      <c r="A657" t="s">
        <v>8</v>
      </c>
      <c r="B657" t="s">
        <v>35</v>
      </c>
      <c r="C657">
        <v>201511</v>
      </c>
      <c r="D657" t="str">
        <f t="shared" si="10"/>
        <v>2015</v>
      </c>
      <c r="E657">
        <v>7</v>
      </c>
      <c r="F657">
        <v>8158153</v>
      </c>
      <c r="G657">
        <v>0</v>
      </c>
      <c r="H657" t="s">
        <v>10</v>
      </c>
      <c r="I657" t="s">
        <v>11</v>
      </c>
    </row>
    <row r="658" spans="1:9" hidden="1" x14ac:dyDescent="0.25">
      <c r="A658" t="s">
        <v>8</v>
      </c>
      <c r="B658" t="s">
        <v>35</v>
      </c>
      <c r="C658">
        <v>201608</v>
      </c>
      <c r="D658" t="str">
        <f t="shared" si="10"/>
        <v>2016</v>
      </c>
      <c r="E658">
        <v>6</v>
      </c>
      <c r="F658">
        <v>8158153</v>
      </c>
      <c r="G658">
        <v>0</v>
      </c>
      <c r="H658" t="s">
        <v>10</v>
      </c>
      <c r="I658" t="s">
        <v>11</v>
      </c>
    </row>
    <row r="659" spans="1:9" hidden="1" x14ac:dyDescent="0.25">
      <c r="A659" t="s">
        <v>8</v>
      </c>
      <c r="B659" t="s">
        <v>35</v>
      </c>
      <c r="C659">
        <v>201609</v>
      </c>
      <c r="D659" t="str">
        <f t="shared" si="10"/>
        <v>2016</v>
      </c>
      <c r="E659">
        <v>5</v>
      </c>
      <c r="F659">
        <v>8158153</v>
      </c>
      <c r="G659">
        <v>0</v>
      </c>
      <c r="H659" t="s">
        <v>10</v>
      </c>
      <c r="I659" t="s">
        <v>11</v>
      </c>
    </row>
    <row r="660" spans="1:9" hidden="1" x14ac:dyDescent="0.25">
      <c r="A660" t="s">
        <v>8</v>
      </c>
      <c r="B660" t="s">
        <v>35</v>
      </c>
      <c r="C660">
        <v>201610</v>
      </c>
      <c r="D660" t="str">
        <f t="shared" si="10"/>
        <v>2016</v>
      </c>
      <c r="E660">
        <v>22</v>
      </c>
      <c r="F660">
        <v>8158153</v>
      </c>
      <c r="G660">
        <v>0</v>
      </c>
      <c r="H660" t="s">
        <v>10</v>
      </c>
      <c r="I660" t="s">
        <v>11</v>
      </c>
    </row>
    <row r="661" spans="1:9" hidden="1" x14ac:dyDescent="0.25">
      <c r="A661" t="s">
        <v>8</v>
      </c>
      <c r="B661" t="s">
        <v>35</v>
      </c>
      <c r="C661">
        <v>201702</v>
      </c>
      <c r="D661" t="str">
        <f t="shared" si="10"/>
        <v>2017</v>
      </c>
      <c r="E661">
        <v>6</v>
      </c>
      <c r="F661">
        <v>8158153</v>
      </c>
      <c r="G661">
        <v>0</v>
      </c>
      <c r="H661" t="s">
        <v>10</v>
      </c>
      <c r="I661" t="s">
        <v>11</v>
      </c>
    </row>
    <row r="662" spans="1:9" hidden="1" x14ac:dyDescent="0.25">
      <c r="A662" t="s">
        <v>8</v>
      </c>
      <c r="B662" t="s">
        <v>35</v>
      </c>
      <c r="C662">
        <v>201703</v>
      </c>
      <c r="D662" t="str">
        <f t="shared" si="10"/>
        <v>2017</v>
      </c>
      <c r="E662">
        <v>14</v>
      </c>
      <c r="F662">
        <v>8158153</v>
      </c>
      <c r="G662">
        <v>0</v>
      </c>
      <c r="H662" t="s">
        <v>10</v>
      </c>
      <c r="I662" t="s">
        <v>11</v>
      </c>
    </row>
    <row r="663" spans="1:9" hidden="1" x14ac:dyDescent="0.25">
      <c r="A663" t="s">
        <v>8</v>
      </c>
      <c r="B663" t="s">
        <v>35</v>
      </c>
      <c r="C663">
        <v>201704</v>
      </c>
      <c r="D663" t="str">
        <f t="shared" si="10"/>
        <v>2017</v>
      </c>
      <c r="E663">
        <v>4</v>
      </c>
      <c r="F663">
        <v>8158153</v>
      </c>
      <c r="G663">
        <v>0</v>
      </c>
      <c r="H663" t="s">
        <v>10</v>
      </c>
      <c r="I663" t="s">
        <v>11</v>
      </c>
    </row>
    <row r="664" spans="1:9" hidden="1" x14ac:dyDescent="0.25">
      <c r="A664" t="s">
        <v>8</v>
      </c>
      <c r="B664" t="s">
        <v>35</v>
      </c>
      <c r="C664">
        <v>201705</v>
      </c>
      <c r="D664" t="str">
        <f t="shared" si="10"/>
        <v>2017</v>
      </c>
      <c r="E664">
        <v>3</v>
      </c>
      <c r="F664">
        <v>8158153</v>
      </c>
      <c r="G664">
        <v>0</v>
      </c>
      <c r="H664" t="s">
        <v>10</v>
      </c>
      <c r="I664" t="s">
        <v>11</v>
      </c>
    </row>
    <row r="665" spans="1:9" hidden="1" x14ac:dyDescent="0.25">
      <c r="A665" t="s">
        <v>8</v>
      </c>
      <c r="B665" t="s">
        <v>35</v>
      </c>
      <c r="C665">
        <v>201706</v>
      </c>
      <c r="D665" t="str">
        <f t="shared" si="10"/>
        <v>2017</v>
      </c>
      <c r="E665">
        <v>5</v>
      </c>
      <c r="F665">
        <v>8158153</v>
      </c>
      <c r="G665">
        <v>0</v>
      </c>
      <c r="H665" t="s">
        <v>10</v>
      </c>
      <c r="I665" t="s">
        <v>11</v>
      </c>
    </row>
    <row r="666" spans="1:9" hidden="1" x14ac:dyDescent="0.25">
      <c r="A666" t="s">
        <v>8</v>
      </c>
      <c r="B666" t="s">
        <v>35</v>
      </c>
      <c r="C666">
        <v>201707</v>
      </c>
      <c r="D666" t="str">
        <f t="shared" si="10"/>
        <v>2017</v>
      </c>
      <c r="E666">
        <v>32</v>
      </c>
      <c r="F666">
        <v>8158153</v>
      </c>
      <c r="G666">
        <v>0</v>
      </c>
      <c r="H666" t="s">
        <v>10</v>
      </c>
      <c r="I666" t="s">
        <v>11</v>
      </c>
    </row>
    <row r="667" spans="1:9" hidden="1" x14ac:dyDescent="0.25">
      <c r="A667" t="s">
        <v>8</v>
      </c>
      <c r="B667" t="s">
        <v>35</v>
      </c>
      <c r="C667">
        <v>201708</v>
      </c>
      <c r="D667" t="str">
        <f t="shared" si="10"/>
        <v>2017</v>
      </c>
      <c r="E667">
        <v>16</v>
      </c>
      <c r="F667">
        <v>8158153</v>
      </c>
      <c r="G667">
        <v>0</v>
      </c>
      <c r="H667" t="s">
        <v>10</v>
      </c>
      <c r="I667" t="s">
        <v>11</v>
      </c>
    </row>
    <row r="668" spans="1:9" hidden="1" x14ac:dyDescent="0.25">
      <c r="A668" t="s">
        <v>8</v>
      </c>
      <c r="B668" t="s">
        <v>35</v>
      </c>
      <c r="C668">
        <v>201709</v>
      </c>
      <c r="D668" t="str">
        <f t="shared" si="10"/>
        <v>2017</v>
      </c>
      <c r="E668">
        <v>31</v>
      </c>
      <c r="F668">
        <v>8158153</v>
      </c>
      <c r="G668">
        <v>0</v>
      </c>
      <c r="H668" t="s">
        <v>10</v>
      </c>
      <c r="I668" t="s">
        <v>11</v>
      </c>
    </row>
    <row r="669" spans="1:9" hidden="1" x14ac:dyDescent="0.25">
      <c r="A669" t="s">
        <v>8</v>
      </c>
      <c r="B669" t="s">
        <v>35</v>
      </c>
      <c r="C669">
        <v>201710</v>
      </c>
      <c r="D669" t="str">
        <f t="shared" si="10"/>
        <v>2017</v>
      </c>
      <c r="E669">
        <v>14</v>
      </c>
      <c r="F669">
        <v>8158153</v>
      </c>
      <c r="G669">
        <v>0</v>
      </c>
      <c r="H669" t="s">
        <v>10</v>
      </c>
      <c r="I669" t="s">
        <v>11</v>
      </c>
    </row>
    <row r="670" spans="1:9" hidden="1" x14ac:dyDescent="0.25">
      <c r="A670" t="s">
        <v>8</v>
      </c>
      <c r="B670" t="s">
        <v>35</v>
      </c>
      <c r="C670">
        <v>201711</v>
      </c>
      <c r="D670" t="str">
        <f t="shared" si="10"/>
        <v>2017</v>
      </c>
      <c r="E670">
        <v>23</v>
      </c>
      <c r="F670">
        <v>8158153</v>
      </c>
      <c r="G670">
        <v>0</v>
      </c>
      <c r="H670" t="s">
        <v>10</v>
      </c>
      <c r="I670" t="s">
        <v>11</v>
      </c>
    </row>
    <row r="671" spans="1:9" hidden="1" x14ac:dyDescent="0.25">
      <c r="A671" t="s">
        <v>8</v>
      </c>
      <c r="B671" t="s">
        <v>35</v>
      </c>
      <c r="C671">
        <v>201712</v>
      </c>
      <c r="D671" t="str">
        <f t="shared" si="10"/>
        <v>2017</v>
      </c>
      <c r="E671">
        <v>25</v>
      </c>
      <c r="F671">
        <v>8158153</v>
      </c>
      <c r="G671">
        <v>0</v>
      </c>
      <c r="H671" t="s">
        <v>10</v>
      </c>
      <c r="I671" t="s">
        <v>11</v>
      </c>
    </row>
    <row r="672" spans="1:9" hidden="1" x14ac:dyDescent="0.25">
      <c r="A672" t="s">
        <v>8</v>
      </c>
      <c r="B672" t="s">
        <v>35</v>
      </c>
      <c r="C672">
        <v>201801</v>
      </c>
      <c r="D672" t="str">
        <f t="shared" si="10"/>
        <v>2018</v>
      </c>
      <c r="E672">
        <v>9</v>
      </c>
      <c r="F672">
        <v>8158153</v>
      </c>
      <c r="G672">
        <v>0</v>
      </c>
      <c r="H672" t="s">
        <v>10</v>
      </c>
      <c r="I672" t="s">
        <v>11</v>
      </c>
    </row>
    <row r="673" spans="1:9" hidden="1" x14ac:dyDescent="0.25">
      <c r="A673" t="s">
        <v>8</v>
      </c>
      <c r="B673" t="s">
        <v>35</v>
      </c>
      <c r="C673">
        <v>201802</v>
      </c>
      <c r="D673" t="str">
        <f t="shared" si="10"/>
        <v>2018</v>
      </c>
      <c r="E673">
        <v>14</v>
      </c>
      <c r="F673">
        <v>8158153</v>
      </c>
      <c r="G673">
        <v>0</v>
      </c>
      <c r="H673" t="s">
        <v>10</v>
      </c>
      <c r="I673" t="s">
        <v>11</v>
      </c>
    </row>
    <row r="674" spans="1:9" hidden="1" x14ac:dyDescent="0.25">
      <c r="A674" t="s">
        <v>8</v>
      </c>
      <c r="B674" t="s">
        <v>35</v>
      </c>
      <c r="C674">
        <v>201803</v>
      </c>
      <c r="D674" t="str">
        <f t="shared" si="10"/>
        <v>2018</v>
      </c>
      <c r="E674">
        <v>2</v>
      </c>
      <c r="F674">
        <v>8158153</v>
      </c>
      <c r="G674">
        <v>0</v>
      </c>
      <c r="H674" t="s">
        <v>10</v>
      </c>
      <c r="I674" t="s">
        <v>11</v>
      </c>
    </row>
    <row r="675" spans="1:9" hidden="1" x14ac:dyDescent="0.25">
      <c r="A675" t="s">
        <v>8</v>
      </c>
      <c r="B675" t="s">
        <v>35</v>
      </c>
      <c r="C675">
        <v>201804</v>
      </c>
      <c r="D675" t="str">
        <f t="shared" si="10"/>
        <v>2018</v>
      </c>
      <c r="E675">
        <v>12</v>
      </c>
      <c r="F675">
        <v>8158153</v>
      </c>
      <c r="G675">
        <v>0</v>
      </c>
      <c r="H675" t="s">
        <v>10</v>
      </c>
      <c r="I675" t="s">
        <v>11</v>
      </c>
    </row>
    <row r="676" spans="1:9" hidden="1" x14ac:dyDescent="0.25">
      <c r="A676" t="s">
        <v>8</v>
      </c>
      <c r="B676" t="s">
        <v>35</v>
      </c>
      <c r="C676">
        <v>201805</v>
      </c>
      <c r="D676" t="str">
        <f t="shared" si="10"/>
        <v>2018</v>
      </c>
      <c r="E676">
        <v>27</v>
      </c>
      <c r="F676">
        <v>8158153</v>
      </c>
      <c r="G676">
        <v>0</v>
      </c>
      <c r="H676" t="s">
        <v>10</v>
      </c>
      <c r="I676" t="s">
        <v>11</v>
      </c>
    </row>
    <row r="677" spans="1:9" hidden="1" x14ac:dyDescent="0.25">
      <c r="A677" t="s">
        <v>8</v>
      </c>
      <c r="B677" t="s">
        <v>35</v>
      </c>
      <c r="C677">
        <v>201806</v>
      </c>
      <c r="D677" t="str">
        <f t="shared" si="10"/>
        <v>2018</v>
      </c>
      <c r="E677">
        <v>50</v>
      </c>
      <c r="F677">
        <v>8158153</v>
      </c>
      <c r="G677">
        <v>0</v>
      </c>
      <c r="H677" t="s">
        <v>10</v>
      </c>
      <c r="I677" t="s">
        <v>11</v>
      </c>
    </row>
    <row r="678" spans="1:9" hidden="1" x14ac:dyDescent="0.25">
      <c r="A678" t="s">
        <v>8</v>
      </c>
      <c r="B678" t="s">
        <v>35</v>
      </c>
      <c r="C678">
        <v>201807</v>
      </c>
      <c r="D678" t="str">
        <f t="shared" si="10"/>
        <v>2018</v>
      </c>
      <c r="E678">
        <v>23</v>
      </c>
      <c r="F678">
        <v>8158153</v>
      </c>
      <c r="G678">
        <v>0</v>
      </c>
      <c r="H678" t="s">
        <v>10</v>
      </c>
      <c r="I678" t="s">
        <v>11</v>
      </c>
    </row>
    <row r="679" spans="1:9" hidden="1" x14ac:dyDescent="0.25">
      <c r="A679" t="s">
        <v>8</v>
      </c>
      <c r="B679" t="s">
        <v>35</v>
      </c>
      <c r="C679">
        <v>201808</v>
      </c>
      <c r="D679" t="str">
        <f t="shared" si="10"/>
        <v>2018</v>
      </c>
      <c r="E679">
        <v>67</v>
      </c>
      <c r="F679">
        <v>8158153</v>
      </c>
      <c r="G679">
        <v>0</v>
      </c>
      <c r="H679" t="s">
        <v>10</v>
      </c>
      <c r="I679" t="s">
        <v>11</v>
      </c>
    </row>
    <row r="680" spans="1:9" hidden="1" x14ac:dyDescent="0.25">
      <c r="A680" t="s">
        <v>8</v>
      </c>
      <c r="B680" t="s">
        <v>35</v>
      </c>
      <c r="C680">
        <v>201809</v>
      </c>
      <c r="D680" t="str">
        <f t="shared" si="10"/>
        <v>2018</v>
      </c>
      <c r="E680">
        <v>43</v>
      </c>
      <c r="F680">
        <v>8158153</v>
      </c>
      <c r="G680">
        <v>0</v>
      </c>
      <c r="H680" t="s">
        <v>10</v>
      </c>
      <c r="I680" t="s">
        <v>11</v>
      </c>
    </row>
    <row r="681" spans="1:9" hidden="1" x14ac:dyDescent="0.25">
      <c r="A681" t="s">
        <v>8</v>
      </c>
      <c r="B681" t="s">
        <v>35</v>
      </c>
      <c r="C681">
        <v>201810</v>
      </c>
      <c r="D681" t="str">
        <f t="shared" si="10"/>
        <v>2018</v>
      </c>
      <c r="E681">
        <v>19</v>
      </c>
      <c r="F681">
        <v>8158153</v>
      </c>
      <c r="G681">
        <v>0</v>
      </c>
      <c r="H681" t="s">
        <v>10</v>
      </c>
      <c r="I681" t="s">
        <v>11</v>
      </c>
    </row>
    <row r="682" spans="1:9" hidden="1" x14ac:dyDescent="0.25">
      <c r="A682" t="s">
        <v>8</v>
      </c>
      <c r="B682" t="s">
        <v>35</v>
      </c>
      <c r="C682">
        <v>201811</v>
      </c>
      <c r="D682" t="str">
        <f t="shared" si="10"/>
        <v>2018</v>
      </c>
      <c r="E682">
        <v>3</v>
      </c>
      <c r="F682">
        <v>8158153</v>
      </c>
      <c r="G682">
        <v>0</v>
      </c>
      <c r="H682" t="s">
        <v>10</v>
      </c>
      <c r="I682" t="s">
        <v>11</v>
      </c>
    </row>
    <row r="683" spans="1:9" hidden="1" x14ac:dyDescent="0.25">
      <c r="A683" t="s">
        <v>8</v>
      </c>
      <c r="B683" t="s">
        <v>35</v>
      </c>
      <c r="C683">
        <v>201812</v>
      </c>
      <c r="D683" t="str">
        <f t="shared" si="10"/>
        <v>2018</v>
      </c>
      <c r="E683">
        <v>11</v>
      </c>
      <c r="F683">
        <v>8158153</v>
      </c>
      <c r="G683">
        <v>0</v>
      </c>
      <c r="H683" t="s">
        <v>10</v>
      </c>
      <c r="I683" t="s">
        <v>11</v>
      </c>
    </row>
    <row r="684" spans="1:9" hidden="1" x14ac:dyDescent="0.25">
      <c r="A684" t="s">
        <v>8</v>
      </c>
      <c r="B684" t="s">
        <v>35</v>
      </c>
      <c r="C684">
        <v>201901</v>
      </c>
      <c r="D684" t="str">
        <f t="shared" si="10"/>
        <v>2019</v>
      </c>
      <c r="E684">
        <v>1043</v>
      </c>
      <c r="F684">
        <v>8158153</v>
      </c>
      <c r="G684">
        <v>0.01</v>
      </c>
      <c r="H684" t="s">
        <v>10</v>
      </c>
      <c r="I684" t="s">
        <v>11</v>
      </c>
    </row>
    <row r="685" spans="1:9" hidden="1" x14ac:dyDescent="0.25">
      <c r="A685" t="s">
        <v>8</v>
      </c>
      <c r="B685" t="s">
        <v>35</v>
      </c>
      <c r="C685">
        <v>201902</v>
      </c>
      <c r="D685" t="str">
        <f t="shared" si="10"/>
        <v>2019</v>
      </c>
      <c r="E685">
        <v>946</v>
      </c>
      <c r="F685">
        <v>8158153</v>
      </c>
      <c r="G685">
        <v>0.01</v>
      </c>
      <c r="H685" t="s">
        <v>10</v>
      </c>
      <c r="I685" t="s">
        <v>11</v>
      </c>
    </row>
    <row r="686" spans="1:9" hidden="1" x14ac:dyDescent="0.25">
      <c r="A686" t="s">
        <v>8</v>
      </c>
      <c r="B686" t="s">
        <v>35</v>
      </c>
      <c r="C686">
        <v>201903</v>
      </c>
      <c r="D686" t="str">
        <f t="shared" si="10"/>
        <v>2019</v>
      </c>
      <c r="E686">
        <v>1182</v>
      </c>
      <c r="F686">
        <v>8158153</v>
      </c>
      <c r="G686">
        <v>0.01</v>
      </c>
      <c r="H686" t="s">
        <v>10</v>
      </c>
      <c r="I686" t="s">
        <v>11</v>
      </c>
    </row>
    <row r="687" spans="1:9" hidden="1" x14ac:dyDescent="0.25">
      <c r="A687" t="s">
        <v>8</v>
      </c>
      <c r="B687" t="s">
        <v>35</v>
      </c>
      <c r="C687">
        <v>201904</v>
      </c>
      <c r="D687" t="str">
        <f t="shared" si="10"/>
        <v>2019</v>
      </c>
      <c r="E687">
        <v>1522</v>
      </c>
      <c r="F687">
        <v>8158153</v>
      </c>
      <c r="G687">
        <v>0.02</v>
      </c>
      <c r="H687" t="s">
        <v>10</v>
      </c>
      <c r="I687" t="s">
        <v>11</v>
      </c>
    </row>
    <row r="688" spans="1:9" hidden="1" x14ac:dyDescent="0.25">
      <c r="A688" t="s">
        <v>8</v>
      </c>
      <c r="B688" t="s">
        <v>35</v>
      </c>
      <c r="C688">
        <v>201905</v>
      </c>
      <c r="D688" t="str">
        <f t="shared" si="10"/>
        <v>2019</v>
      </c>
      <c r="E688">
        <v>1256</v>
      </c>
      <c r="F688">
        <v>8158153</v>
      </c>
      <c r="G688">
        <v>0.02</v>
      </c>
      <c r="H688" t="s">
        <v>10</v>
      </c>
      <c r="I688" t="s">
        <v>11</v>
      </c>
    </row>
    <row r="689" spans="1:9" hidden="1" x14ac:dyDescent="0.25">
      <c r="A689" t="s">
        <v>8</v>
      </c>
      <c r="B689" t="s">
        <v>35</v>
      </c>
      <c r="C689">
        <v>201906</v>
      </c>
      <c r="D689" t="str">
        <f t="shared" si="10"/>
        <v>2019</v>
      </c>
      <c r="E689">
        <v>1527</v>
      </c>
      <c r="F689">
        <v>8158153</v>
      </c>
      <c r="G689">
        <v>0.02</v>
      </c>
      <c r="H689" t="s">
        <v>10</v>
      </c>
      <c r="I689" t="s">
        <v>11</v>
      </c>
    </row>
    <row r="690" spans="1:9" hidden="1" x14ac:dyDescent="0.25">
      <c r="A690" t="s">
        <v>8</v>
      </c>
      <c r="B690" t="s">
        <v>35</v>
      </c>
      <c r="C690">
        <v>201907</v>
      </c>
      <c r="D690" t="str">
        <f t="shared" si="10"/>
        <v>2019</v>
      </c>
      <c r="E690">
        <v>1342</v>
      </c>
      <c r="F690">
        <v>8158153</v>
      </c>
      <c r="G690">
        <v>0.02</v>
      </c>
      <c r="H690" t="s">
        <v>10</v>
      </c>
      <c r="I690" t="s">
        <v>11</v>
      </c>
    </row>
    <row r="691" spans="1:9" hidden="1" x14ac:dyDescent="0.25">
      <c r="A691" t="s">
        <v>8</v>
      </c>
      <c r="B691" t="s">
        <v>35</v>
      </c>
      <c r="C691">
        <v>201908</v>
      </c>
      <c r="D691" t="str">
        <f t="shared" si="10"/>
        <v>2019</v>
      </c>
      <c r="E691">
        <v>1343</v>
      </c>
      <c r="F691">
        <v>8158153</v>
      </c>
      <c r="G691">
        <v>0.02</v>
      </c>
      <c r="H691" t="s">
        <v>10</v>
      </c>
      <c r="I691" t="s">
        <v>11</v>
      </c>
    </row>
    <row r="692" spans="1:9" hidden="1" x14ac:dyDescent="0.25">
      <c r="A692" t="s">
        <v>8</v>
      </c>
      <c r="B692" t="s">
        <v>35</v>
      </c>
      <c r="C692">
        <v>201909</v>
      </c>
      <c r="D692" t="str">
        <f t="shared" si="10"/>
        <v>2019</v>
      </c>
      <c r="E692">
        <v>939</v>
      </c>
      <c r="F692">
        <v>8158153</v>
      </c>
      <c r="G692">
        <v>0.01</v>
      </c>
      <c r="H692" t="s">
        <v>10</v>
      </c>
      <c r="I692" t="s">
        <v>11</v>
      </c>
    </row>
    <row r="693" spans="1:9" hidden="1" x14ac:dyDescent="0.25">
      <c r="A693" t="s">
        <v>8</v>
      </c>
      <c r="B693" t="s">
        <v>35</v>
      </c>
      <c r="C693">
        <v>201910</v>
      </c>
      <c r="D693" t="str">
        <f t="shared" si="10"/>
        <v>2019</v>
      </c>
      <c r="E693">
        <v>1235</v>
      </c>
      <c r="F693">
        <v>8158153</v>
      </c>
      <c r="G693">
        <v>0.02</v>
      </c>
      <c r="H693" t="s">
        <v>10</v>
      </c>
      <c r="I693" t="s">
        <v>11</v>
      </c>
    </row>
    <row r="694" spans="1:9" hidden="1" x14ac:dyDescent="0.25">
      <c r="A694" t="s">
        <v>8</v>
      </c>
      <c r="B694" t="s">
        <v>35</v>
      </c>
      <c r="C694">
        <v>201911</v>
      </c>
      <c r="D694" t="str">
        <f t="shared" si="10"/>
        <v>2019</v>
      </c>
      <c r="E694">
        <v>952</v>
      </c>
      <c r="F694">
        <v>8158153</v>
      </c>
      <c r="G694">
        <v>0.01</v>
      </c>
      <c r="H694" t="s">
        <v>10</v>
      </c>
      <c r="I694" t="s">
        <v>11</v>
      </c>
    </row>
    <row r="695" spans="1:9" hidden="1" x14ac:dyDescent="0.25">
      <c r="A695" t="s">
        <v>8</v>
      </c>
      <c r="B695" t="s">
        <v>35</v>
      </c>
      <c r="C695">
        <v>201912</v>
      </c>
      <c r="D695" t="str">
        <f t="shared" si="10"/>
        <v>2019</v>
      </c>
      <c r="E695">
        <v>686</v>
      </c>
      <c r="F695">
        <v>8158153</v>
      </c>
      <c r="G695">
        <v>0.01</v>
      </c>
      <c r="H695" t="s">
        <v>10</v>
      </c>
      <c r="I695" t="s">
        <v>11</v>
      </c>
    </row>
    <row r="696" spans="1:9" hidden="1" x14ac:dyDescent="0.25">
      <c r="A696" t="s">
        <v>8</v>
      </c>
      <c r="B696" t="s">
        <v>35</v>
      </c>
      <c r="C696">
        <v>202001</v>
      </c>
      <c r="D696" t="str">
        <f t="shared" si="10"/>
        <v>2020</v>
      </c>
      <c r="E696">
        <v>36517</v>
      </c>
      <c r="F696">
        <v>8158153</v>
      </c>
      <c r="G696">
        <v>0.45</v>
      </c>
      <c r="H696" t="s">
        <v>10</v>
      </c>
      <c r="I696" t="s">
        <v>11</v>
      </c>
    </row>
    <row r="697" spans="1:9" hidden="1" x14ac:dyDescent="0.25">
      <c r="A697" t="s">
        <v>8</v>
      </c>
      <c r="B697" t="s">
        <v>35</v>
      </c>
      <c r="C697">
        <v>202002</v>
      </c>
      <c r="D697" t="str">
        <f t="shared" si="10"/>
        <v>2020</v>
      </c>
      <c r="E697">
        <v>33333</v>
      </c>
      <c r="F697">
        <v>8158153</v>
      </c>
      <c r="G697">
        <v>0.41</v>
      </c>
      <c r="H697" t="s">
        <v>10</v>
      </c>
      <c r="I697" t="s">
        <v>11</v>
      </c>
    </row>
    <row r="698" spans="1:9" hidden="1" x14ac:dyDescent="0.25">
      <c r="A698" t="s">
        <v>8</v>
      </c>
      <c r="B698" t="s">
        <v>35</v>
      </c>
      <c r="C698">
        <v>202003</v>
      </c>
      <c r="D698" t="str">
        <f t="shared" si="10"/>
        <v>2020</v>
      </c>
      <c r="E698">
        <v>30491</v>
      </c>
      <c r="F698">
        <v>8158153</v>
      </c>
      <c r="G698">
        <v>0.37</v>
      </c>
      <c r="H698" t="s">
        <v>10</v>
      </c>
      <c r="I698" t="s">
        <v>11</v>
      </c>
    </row>
    <row r="699" spans="1:9" hidden="1" x14ac:dyDescent="0.25">
      <c r="A699" t="s">
        <v>8</v>
      </c>
      <c r="B699" t="s">
        <v>35</v>
      </c>
      <c r="C699">
        <v>202004</v>
      </c>
      <c r="D699" t="str">
        <f t="shared" si="10"/>
        <v>2020</v>
      </c>
      <c r="E699">
        <v>17222</v>
      </c>
      <c r="F699">
        <v>8158153</v>
      </c>
      <c r="G699">
        <v>0.21</v>
      </c>
      <c r="H699" t="s">
        <v>10</v>
      </c>
      <c r="I699" t="s">
        <v>11</v>
      </c>
    </row>
    <row r="700" spans="1:9" hidden="1" x14ac:dyDescent="0.25">
      <c r="A700" t="s">
        <v>8</v>
      </c>
      <c r="B700" t="s">
        <v>35</v>
      </c>
      <c r="C700">
        <v>202005</v>
      </c>
      <c r="D700" t="str">
        <f t="shared" si="10"/>
        <v>2020</v>
      </c>
      <c r="E700">
        <v>32913</v>
      </c>
      <c r="F700">
        <v>8158153</v>
      </c>
      <c r="G700">
        <v>0.4</v>
      </c>
      <c r="H700" t="s">
        <v>10</v>
      </c>
      <c r="I700" t="s">
        <v>11</v>
      </c>
    </row>
    <row r="701" spans="1:9" hidden="1" x14ac:dyDescent="0.25">
      <c r="A701" t="s">
        <v>8</v>
      </c>
      <c r="B701" t="s">
        <v>35</v>
      </c>
      <c r="C701">
        <v>202006</v>
      </c>
      <c r="D701" t="str">
        <f t="shared" si="10"/>
        <v>2020</v>
      </c>
      <c r="E701">
        <v>39738</v>
      </c>
      <c r="F701">
        <v>8158153</v>
      </c>
      <c r="G701">
        <v>0.49</v>
      </c>
      <c r="H701" t="s">
        <v>10</v>
      </c>
      <c r="I701" t="s">
        <v>11</v>
      </c>
    </row>
    <row r="702" spans="1:9" hidden="1" x14ac:dyDescent="0.25">
      <c r="A702" t="s">
        <v>8</v>
      </c>
      <c r="B702" t="s">
        <v>35</v>
      </c>
      <c r="C702">
        <v>202007</v>
      </c>
      <c r="D702" t="str">
        <f t="shared" si="10"/>
        <v>2020</v>
      </c>
      <c r="E702">
        <v>29326</v>
      </c>
      <c r="F702">
        <v>8158153</v>
      </c>
      <c r="G702">
        <v>0.36</v>
      </c>
      <c r="H702" t="s">
        <v>10</v>
      </c>
      <c r="I702" t="s">
        <v>11</v>
      </c>
    </row>
    <row r="703" spans="1:9" hidden="1" x14ac:dyDescent="0.25">
      <c r="A703" t="s">
        <v>8</v>
      </c>
      <c r="B703" t="s">
        <v>35</v>
      </c>
      <c r="C703">
        <v>202008</v>
      </c>
      <c r="D703" t="str">
        <f t="shared" si="10"/>
        <v>2020</v>
      </c>
      <c r="E703">
        <v>30069</v>
      </c>
      <c r="F703">
        <v>8158153</v>
      </c>
      <c r="G703">
        <v>0.37</v>
      </c>
      <c r="H703" t="s">
        <v>10</v>
      </c>
      <c r="I703" t="s">
        <v>11</v>
      </c>
    </row>
    <row r="704" spans="1:9" hidden="1" x14ac:dyDescent="0.25">
      <c r="A704" t="s">
        <v>8</v>
      </c>
      <c r="B704" t="s">
        <v>35</v>
      </c>
      <c r="C704">
        <v>202009</v>
      </c>
      <c r="D704" t="str">
        <f t="shared" si="10"/>
        <v>2020</v>
      </c>
      <c r="E704">
        <v>30526</v>
      </c>
      <c r="F704">
        <v>8158153</v>
      </c>
      <c r="G704">
        <v>0.37</v>
      </c>
      <c r="H704" t="s">
        <v>10</v>
      </c>
      <c r="I704" t="s">
        <v>11</v>
      </c>
    </row>
    <row r="705" spans="1:9" hidden="1" x14ac:dyDescent="0.25">
      <c r="A705" t="s">
        <v>8</v>
      </c>
      <c r="B705" t="s">
        <v>35</v>
      </c>
      <c r="C705">
        <v>202010</v>
      </c>
      <c r="D705" t="str">
        <f t="shared" si="10"/>
        <v>2020</v>
      </c>
      <c r="E705">
        <v>31912</v>
      </c>
      <c r="F705">
        <v>8158153</v>
      </c>
      <c r="G705">
        <v>0.39</v>
      </c>
      <c r="H705" t="s">
        <v>10</v>
      </c>
      <c r="I705" t="s">
        <v>11</v>
      </c>
    </row>
    <row r="706" spans="1:9" hidden="1" x14ac:dyDescent="0.25">
      <c r="A706" t="s">
        <v>8</v>
      </c>
      <c r="B706" t="s">
        <v>35</v>
      </c>
      <c r="C706">
        <v>202011</v>
      </c>
      <c r="D706" t="str">
        <f t="shared" si="10"/>
        <v>2020</v>
      </c>
      <c r="E706">
        <v>27811</v>
      </c>
      <c r="F706">
        <v>8158153</v>
      </c>
      <c r="G706">
        <v>0.34</v>
      </c>
      <c r="H706" t="s">
        <v>10</v>
      </c>
      <c r="I706" t="s">
        <v>11</v>
      </c>
    </row>
    <row r="707" spans="1:9" hidden="1" x14ac:dyDescent="0.25">
      <c r="A707" t="s">
        <v>8</v>
      </c>
      <c r="B707" t="s">
        <v>35</v>
      </c>
      <c r="C707">
        <v>202012</v>
      </c>
      <c r="D707" t="str">
        <f t="shared" ref="D707:D770" si="11">LEFT(C707,4)</f>
        <v>2020</v>
      </c>
      <c r="E707">
        <v>30439</v>
      </c>
      <c r="F707">
        <v>8158153</v>
      </c>
      <c r="G707">
        <v>0.37</v>
      </c>
      <c r="H707" t="s">
        <v>10</v>
      </c>
      <c r="I707" t="s">
        <v>11</v>
      </c>
    </row>
    <row r="708" spans="1:9" hidden="1" x14ac:dyDescent="0.25">
      <c r="A708" t="s">
        <v>8</v>
      </c>
      <c r="B708" t="s">
        <v>35</v>
      </c>
      <c r="C708">
        <v>202101</v>
      </c>
      <c r="D708" t="str">
        <f t="shared" si="11"/>
        <v>2021</v>
      </c>
      <c r="E708">
        <v>59953</v>
      </c>
      <c r="F708">
        <v>8158153</v>
      </c>
      <c r="G708">
        <v>0.73</v>
      </c>
      <c r="H708" t="s">
        <v>10</v>
      </c>
      <c r="I708" t="s">
        <v>11</v>
      </c>
    </row>
    <row r="709" spans="1:9" hidden="1" x14ac:dyDescent="0.25">
      <c r="A709" t="s">
        <v>8</v>
      </c>
      <c r="B709" t="s">
        <v>35</v>
      </c>
      <c r="C709">
        <v>202102</v>
      </c>
      <c r="D709" t="str">
        <f t="shared" si="11"/>
        <v>2021</v>
      </c>
      <c r="E709">
        <v>42547</v>
      </c>
      <c r="F709">
        <v>8158153</v>
      </c>
      <c r="G709">
        <v>0.52</v>
      </c>
      <c r="H709" t="s">
        <v>10</v>
      </c>
      <c r="I709" t="s">
        <v>11</v>
      </c>
    </row>
    <row r="710" spans="1:9" hidden="1" x14ac:dyDescent="0.25">
      <c r="A710" t="s">
        <v>8</v>
      </c>
      <c r="B710" t="s">
        <v>35</v>
      </c>
      <c r="C710">
        <v>202103</v>
      </c>
      <c r="D710" t="str">
        <f t="shared" si="11"/>
        <v>2021</v>
      </c>
      <c r="E710">
        <v>60501</v>
      </c>
      <c r="F710">
        <v>8158153</v>
      </c>
      <c r="G710">
        <v>0.74</v>
      </c>
      <c r="H710" t="s">
        <v>10</v>
      </c>
      <c r="I710" t="s">
        <v>11</v>
      </c>
    </row>
    <row r="711" spans="1:9" hidden="1" x14ac:dyDescent="0.25">
      <c r="A711" t="s">
        <v>8</v>
      </c>
      <c r="B711" t="s">
        <v>35</v>
      </c>
      <c r="C711">
        <v>202104</v>
      </c>
      <c r="D711" t="str">
        <f t="shared" si="11"/>
        <v>2021</v>
      </c>
      <c r="E711">
        <v>68923</v>
      </c>
      <c r="F711">
        <v>8158153</v>
      </c>
      <c r="G711">
        <v>0.84</v>
      </c>
      <c r="H711" t="s">
        <v>10</v>
      </c>
      <c r="I711" t="s">
        <v>11</v>
      </c>
    </row>
    <row r="712" spans="1:9" hidden="1" x14ac:dyDescent="0.25">
      <c r="A712" t="s">
        <v>8</v>
      </c>
      <c r="B712" t="s">
        <v>35</v>
      </c>
      <c r="C712">
        <v>202105</v>
      </c>
      <c r="D712" t="str">
        <f t="shared" si="11"/>
        <v>2021</v>
      </c>
      <c r="E712">
        <v>64261</v>
      </c>
      <c r="F712">
        <v>8158153</v>
      </c>
      <c r="G712">
        <v>0.79</v>
      </c>
      <c r="H712" t="s">
        <v>10</v>
      </c>
      <c r="I712" t="s">
        <v>11</v>
      </c>
    </row>
    <row r="713" spans="1:9" hidden="1" x14ac:dyDescent="0.25">
      <c r="A713" t="s">
        <v>8</v>
      </c>
      <c r="B713" t="s">
        <v>35</v>
      </c>
      <c r="C713">
        <v>202106</v>
      </c>
      <c r="D713" t="str">
        <f t="shared" si="11"/>
        <v>2021</v>
      </c>
      <c r="E713">
        <v>70928</v>
      </c>
      <c r="F713">
        <v>8158153</v>
      </c>
      <c r="G713">
        <v>0.87</v>
      </c>
      <c r="H713" t="s">
        <v>10</v>
      </c>
      <c r="I713" t="s">
        <v>11</v>
      </c>
    </row>
    <row r="714" spans="1:9" hidden="1" x14ac:dyDescent="0.25">
      <c r="A714" t="s">
        <v>8</v>
      </c>
      <c r="B714" t="s">
        <v>35</v>
      </c>
      <c r="C714">
        <v>202107</v>
      </c>
      <c r="D714" t="str">
        <f t="shared" si="11"/>
        <v>2021</v>
      </c>
      <c r="E714">
        <v>127930</v>
      </c>
      <c r="F714">
        <v>8158153</v>
      </c>
      <c r="G714">
        <v>1.57</v>
      </c>
      <c r="H714" t="s">
        <v>10</v>
      </c>
      <c r="I714" t="s">
        <v>11</v>
      </c>
    </row>
    <row r="715" spans="1:9" hidden="1" x14ac:dyDescent="0.25">
      <c r="A715" t="s">
        <v>8</v>
      </c>
      <c r="B715" t="s">
        <v>35</v>
      </c>
      <c r="C715">
        <v>202108</v>
      </c>
      <c r="D715" t="str">
        <f t="shared" si="11"/>
        <v>2021</v>
      </c>
      <c r="E715">
        <v>141483</v>
      </c>
      <c r="F715">
        <v>8158153</v>
      </c>
      <c r="G715">
        <v>1.73</v>
      </c>
      <c r="H715" t="s">
        <v>10</v>
      </c>
      <c r="I715" t="s">
        <v>11</v>
      </c>
    </row>
    <row r="716" spans="1:9" hidden="1" x14ac:dyDescent="0.25">
      <c r="A716" t="s">
        <v>8</v>
      </c>
      <c r="B716" t="s">
        <v>35</v>
      </c>
      <c r="C716">
        <v>202109</v>
      </c>
      <c r="D716" t="str">
        <f t="shared" si="11"/>
        <v>2021</v>
      </c>
      <c r="E716">
        <v>238218</v>
      </c>
      <c r="F716">
        <v>8158153</v>
      </c>
      <c r="G716">
        <v>2.92</v>
      </c>
      <c r="H716" t="s">
        <v>10</v>
      </c>
      <c r="I716" t="s">
        <v>11</v>
      </c>
    </row>
    <row r="717" spans="1:9" hidden="1" x14ac:dyDescent="0.25">
      <c r="A717" t="s">
        <v>8</v>
      </c>
      <c r="B717" t="s">
        <v>35</v>
      </c>
      <c r="C717">
        <v>202110</v>
      </c>
      <c r="D717" t="str">
        <f t="shared" si="11"/>
        <v>2021</v>
      </c>
      <c r="E717">
        <v>239193</v>
      </c>
      <c r="F717">
        <v>8158153</v>
      </c>
      <c r="G717">
        <v>2.93</v>
      </c>
      <c r="H717" t="s">
        <v>10</v>
      </c>
      <c r="I717" t="s">
        <v>11</v>
      </c>
    </row>
    <row r="718" spans="1:9" hidden="1" x14ac:dyDescent="0.25">
      <c r="A718" t="s">
        <v>8</v>
      </c>
      <c r="B718" t="s">
        <v>35</v>
      </c>
      <c r="C718">
        <v>202111</v>
      </c>
      <c r="D718" t="str">
        <f t="shared" si="11"/>
        <v>2021</v>
      </c>
      <c r="E718">
        <v>238131</v>
      </c>
      <c r="F718">
        <v>8158153</v>
      </c>
      <c r="G718">
        <v>2.92</v>
      </c>
      <c r="H718" t="s">
        <v>10</v>
      </c>
      <c r="I718" t="s">
        <v>11</v>
      </c>
    </row>
    <row r="719" spans="1:9" hidden="1" x14ac:dyDescent="0.25">
      <c r="A719" t="s">
        <v>8</v>
      </c>
      <c r="B719" t="s">
        <v>35</v>
      </c>
      <c r="C719">
        <v>202112</v>
      </c>
      <c r="D719" t="str">
        <f t="shared" si="11"/>
        <v>2021</v>
      </c>
      <c r="E719">
        <v>238561</v>
      </c>
      <c r="F719">
        <v>8158153</v>
      </c>
      <c r="G719">
        <v>2.92</v>
      </c>
      <c r="H719" t="s">
        <v>10</v>
      </c>
      <c r="I719" t="s">
        <v>11</v>
      </c>
    </row>
    <row r="720" spans="1:9" hidden="1" x14ac:dyDescent="0.25">
      <c r="A720" t="s">
        <v>8</v>
      </c>
      <c r="B720" t="s">
        <v>35</v>
      </c>
      <c r="C720">
        <v>202201</v>
      </c>
      <c r="D720" t="str">
        <f t="shared" si="11"/>
        <v>2022</v>
      </c>
      <c r="E720">
        <v>191667</v>
      </c>
      <c r="F720">
        <v>8158153</v>
      </c>
      <c r="G720">
        <v>2.35</v>
      </c>
      <c r="H720" t="s">
        <v>10</v>
      </c>
      <c r="I720" t="s">
        <v>11</v>
      </c>
    </row>
    <row r="721" spans="1:9" hidden="1" x14ac:dyDescent="0.25">
      <c r="A721" t="s">
        <v>8</v>
      </c>
      <c r="B721" t="s">
        <v>35</v>
      </c>
      <c r="C721">
        <v>202202</v>
      </c>
      <c r="D721" t="str">
        <f t="shared" si="11"/>
        <v>2022</v>
      </c>
      <c r="E721">
        <v>165660</v>
      </c>
      <c r="F721">
        <v>8158153</v>
      </c>
      <c r="G721">
        <v>2.0299999999999998</v>
      </c>
      <c r="H721" t="s">
        <v>10</v>
      </c>
      <c r="I721" t="s">
        <v>11</v>
      </c>
    </row>
    <row r="722" spans="1:9" hidden="1" x14ac:dyDescent="0.25">
      <c r="A722" t="s">
        <v>8</v>
      </c>
      <c r="B722" t="s">
        <v>35</v>
      </c>
      <c r="C722">
        <v>202203</v>
      </c>
      <c r="D722" t="str">
        <f t="shared" si="11"/>
        <v>2022</v>
      </c>
      <c r="E722">
        <v>211877</v>
      </c>
      <c r="F722">
        <v>8158153</v>
      </c>
      <c r="G722">
        <v>2.6</v>
      </c>
      <c r="H722" t="s">
        <v>10</v>
      </c>
      <c r="I722" t="s">
        <v>11</v>
      </c>
    </row>
    <row r="723" spans="1:9" hidden="1" x14ac:dyDescent="0.25">
      <c r="A723" t="s">
        <v>8</v>
      </c>
      <c r="B723" t="s">
        <v>35</v>
      </c>
      <c r="C723">
        <v>202204</v>
      </c>
      <c r="D723" t="str">
        <f t="shared" si="11"/>
        <v>2022</v>
      </c>
      <c r="E723">
        <v>183003</v>
      </c>
      <c r="F723">
        <v>8158153</v>
      </c>
      <c r="G723">
        <v>2.2400000000000002</v>
      </c>
      <c r="H723" t="s">
        <v>10</v>
      </c>
      <c r="I723" t="s">
        <v>11</v>
      </c>
    </row>
    <row r="724" spans="1:9" hidden="1" x14ac:dyDescent="0.25">
      <c r="A724" t="s">
        <v>8</v>
      </c>
      <c r="B724" t="s">
        <v>35</v>
      </c>
      <c r="C724">
        <v>202205</v>
      </c>
      <c r="D724" t="str">
        <f t="shared" si="11"/>
        <v>2022</v>
      </c>
      <c r="E724">
        <v>187145</v>
      </c>
      <c r="F724">
        <v>8158153</v>
      </c>
      <c r="G724">
        <v>2.29</v>
      </c>
      <c r="H724" t="s">
        <v>10</v>
      </c>
      <c r="I724" t="s">
        <v>11</v>
      </c>
    </row>
    <row r="725" spans="1:9" hidden="1" x14ac:dyDescent="0.25">
      <c r="A725" t="s">
        <v>8</v>
      </c>
      <c r="B725" t="s">
        <v>35</v>
      </c>
      <c r="C725">
        <v>202206</v>
      </c>
      <c r="D725" t="str">
        <f t="shared" si="11"/>
        <v>2022</v>
      </c>
      <c r="E725">
        <v>193334</v>
      </c>
      <c r="F725">
        <v>8158153</v>
      </c>
      <c r="G725">
        <v>2.37</v>
      </c>
      <c r="H725" t="s">
        <v>10</v>
      </c>
      <c r="I725" t="s">
        <v>11</v>
      </c>
    </row>
    <row r="726" spans="1:9" hidden="1" x14ac:dyDescent="0.25">
      <c r="A726" t="s">
        <v>8</v>
      </c>
      <c r="B726" t="s">
        <v>35</v>
      </c>
      <c r="C726">
        <v>202207</v>
      </c>
      <c r="D726" t="str">
        <f t="shared" si="11"/>
        <v>2022</v>
      </c>
      <c r="E726">
        <v>177277</v>
      </c>
      <c r="F726">
        <v>8158153</v>
      </c>
      <c r="G726">
        <v>2.17</v>
      </c>
      <c r="H726" t="s">
        <v>10</v>
      </c>
      <c r="I726" t="s">
        <v>11</v>
      </c>
    </row>
    <row r="727" spans="1:9" hidden="1" x14ac:dyDescent="0.25">
      <c r="A727" t="s">
        <v>8</v>
      </c>
      <c r="B727" t="s">
        <v>35</v>
      </c>
      <c r="C727">
        <v>202208</v>
      </c>
      <c r="D727" t="str">
        <f t="shared" si="11"/>
        <v>2022</v>
      </c>
      <c r="E727">
        <v>196950</v>
      </c>
      <c r="F727">
        <v>8158153</v>
      </c>
      <c r="G727">
        <v>2.41</v>
      </c>
      <c r="H727" t="s">
        <v>10</v>
      </c>
      <c r="I727" t="s">
        <v>11</v>
      </c>
    </row>
    <row r="728" spans="1:9" hidden="1" x14ac:dyDescent="0.25">
      <c r="A728" t="s">
        <v>8</v>
      </c>
      <c r="B728" t="s">
        <v>35</v>
      </c>
      <c r="C728">
        <v>202209</v>
      </c>
      <c r="D728" t="str">
        <f t="shared" si="11"/>
        <v>2022</v>
      </c>
      <c r="E728">
        <v>184022</v>
      </c>
      <c r="F728">
        <v>8158153</v>
      </c>
      <c r="G728">
        <v>2.2599999999999998</v>
      </c>
      <c r="H728" t="s">
        <v>10</v>
      </c>
      <c r="I728" t="s">
        <v>11</v>
      </c>
    </row>
    <row r="729" spans="1:9" hidden="1" x14ac:dyDescent="0.25">
      <c r="A729" t="s">
        <v>8</v>
      </c>
      <c r="B729" t="s">
        <v>35</v>
      </c>
      <c r="C729">
        <v>202210</v>
      </c>
      <c r="D729" t="str">
        <f t="shared" si="11"/>
        <v>2022</v>
      </c>
      <c r="E729">
        <v>190007</v>
      </c>
      <c r="F729">
        <v>8158153</v>
      </c>
      <c r="G729">
        <v>2.33</v>
      </c>
      <c r="H729" t="s">
        <v>10</v>
      </c>
      <c r="I729" t="s">
        <v>11</v>
      </c>
    </row>
    <row r="730" spans="1:9" hidden="1" x14ac:dyDescent="0.25">
      <c r="A730" t="s">
        <v>8</v>
      </c>
      <c r="B730" t="s">
        <v>35</v>
      </c>
      <c r="C730">
        <v>202211</v>
      </c>
      <c r="D730" t="str">
        <f t="shared" si="11"/>
        <v>2022</v>
      </c>
      <c r="E730">
        <v>186468</v>
      </c>
      <c r="F730">
        <v>8158153</v>
      </c>
      <c r="G730">
        <v>2.29</v>
      </c>
      <c r="H730" t="s">
        <v>10</v>
      </c>
      <c r="I730" t="s">
        <v>11</v>
      </c>
    </row>
    <row r="731" spans="1:9" hidden="1" x14ac:dyDescent="0.25">
      <c r="A731" t="s">
        <v>8</v>
      </c>
      <c r="B731" t="s">
        <v>35</v>
      </c>
      <c r="C731">
        <v>202212</v>
      </c>
      <c r="D731" t="str">
        <f t="shared" si="11"/>
        <v>2022</v>
      </c>
      <c r="E731">
        <v>172607</v>
      </c>
      <c r="F731">
        <v>8158153</v>
      </c>
      <c r="G731">
        <v>2.12</v>
      </c>
      <c r="H731" t="s">
        <v>10</v>
      </c>
      <c r="I731" t="s">
        <v>11</v>
      </c>
    </row>
    <row r="732" spans="1:9" hidden="1" x14ac:dyDescent="0.25">
      <c r="A732" t="s">
        <v>8</v>
      </c>
      <c r="B732" t="s">
        <v>35</v>
      </c>
      <c r="C732">
        <v>202301</v>
      </c>
      <c r="D732" t="str">
        <f t="shared" si="11"/>
        <v>2023</v>
      </c>
      <c r="E732">
        <v>196666</v>
      </c>
      <c r="F732">
        <v>8158153</v>
      </c>
      <c r="G732">
        <v>2.41</v>
      </c>
      <c r="H732" t="s">
        <v>10</v>
      </c>
      <c r="I732" t="s">
        <v>11</v>
      </c>
    </row>
    <row r="733" spans="1:9" hidden="1" x14ac:dyDescent="0.25">
      <c r="A733" t="s">
        <v>8</v>
      </c>
      <c r="B733" t="s">
        <v>35</v>
      </c>
      <c r="C733">
        <v>202302</v>
      </c>
      <c r="D733" t="str">
        <f t="shared" si="11"/>
        <v>2023</v>
      </c>
      <c r="E733">
        <v>189991</v>
      </c>
      <c r="F733">
        <v>8158153</v>
      </c>
      <c r="G733">
        <v>2.33</v>
      </c>
      <c r="H733" t="s">
        <v>10</v>
      </c>
      <c r="I733" t="s">
        <v>11</v>
      </c>
    </row>
    <row r="734" spans="1:9" hidden="1" x14ac:dyDescent="0.25">
      <c r="A734" t="s">
        <v>8</v>
      </c>
      <c r="B734" t="s">
        <v>35</v>
      </c>
      <c r="C734">
        <v>202303</v>
      </c>
      <c r="D734" t="str">
        <f t="shared" si="11"/>
        <v>2023</v>
      </c>
      <c r="E734">
        <v>209910</v>
      </c>
      <c r="F734">
        <v>8158153</v>
      </c>
      <c r="G734">
        <v>2.57</v>
      </c>
      <c r="H734" t="s">
        <v>10</v>
      </c>
      <c r="I734" t="s">
        <v>11</v>
      </c>
    </row>
    <row r="735" spans="1:9" hidden="1" x14ac:dyDescent="0.25">
      <c r="A735" t="s">
        <v>8</v>
      </c>
      <c r="B735" t="s">
        <v>35</v>
      </c>
      <c r="C735">
        <v>202304</v>
      </c>
      <c r="D735" t="str">
        <f t="shared" si="11"/>
        <v>2023</v>
      </c>
      <c r="E735">
        <v>187355</v>
      </c>
      <c r="F735">
        <v>8158153</v>
      </c>
      <c r="G735">
        <v>2.2999999999999998</v>
      </c>
      <c r="H735" t="s">
        <v>10</v>
      </c>
      <c r="I735" t="s">
        <v>11</v>
      </c>
    </row>
    <row r="736" spans="1:9" hidden="1" x14ac:dyDescent="0.25">
      <c r="A736" t="s">
        <v>8</v>
      </c>
      <c r="B736" t="s">
        <v>35</v>
      </c>
      <c r="C736">
        <v>202305</v>
      </c>
      <c r="D736" t="str">
        <f t="shared" si="11"/>
        <v>2023</v>
      </c>
      <c r="E736">
        <v>196774</v>
      </c>
      <c r="F736">
        <v>8158153</v>
      </c>
      <c r="G736">
        <v>2.41</v>
      </c>
      <c r="H736" t="s">
        <v>10</v>
      </c>
      <c r="I736" t="s">
        <v>11</v>
      </c>
    </row>
    <row r="737" spans="1:9" hidden="1" x14ac:dyDescent="0.25">
      <c r="A737" t="s">
        <v>8</v>
      </c>
      <c r="B737" t="s">
        <v>35</v>
      </c>
      <c r="C737">
        <v>202306</v>
      </c>
      <c r="D737" t="str">
        <f t="shared" si="11"/>
        <v>2023</v>
      </c>
      <c r="E737">
        <v>192966</v>
      </c>
      <c r="F737">
        <v>8158153</v>
      </c>
      <c r="G737">
        <v>2.37</v>
      </c>
      <c r="H737" t="s">
        <v>10</v>
      </c>
      <c r="I737" t="s">
        <v>11</v>
      </c>
    </row>
    <row r="738" spans="1:9" hidden="1" x14ac:dyDescent="0.25">
      <c r="A738" t="s">
        <v>8</v>
      </c>
      <c r="B738" t="s">
        <v>35</v>
      </c>
      <c r="C738">
        <v>202307</v>
      </c>
      <c r="D738" t="str">
        <f t="shared" si="11"/>
        <v>2023</v>
      </c>
      <c r="E738">
        <v>169926</v>
      </c>
      <c r="F738">
        <v>8158153</v>
      </c>
      <c r="G738">
        <v>2.08</v>
      </c>
      <c r="H738" t="s">
        <v>10</v>
      </c>
      <c r="I738" t="s">
        <v>11</v>
      </c>
    </row>
    <row r="739" spans="1:9" hidden="1" x14ac:dyDescent="0.25">
      <c r="A739" t="s">
        <v>8</v>
      </c>
      <c r="B739" t="s">
        <v>35</v>
      </c>
      <c r="C739">
        <v>202308</v>
      </c>
      <c r="D739" t="str">
        <f t="shared" si="11"/>
        <v>2023</v>
      </c>
      <c r="E739">
        <v>188478</v>
      </c>
      <c r="F739">
        <v>8158153</v>
      </c>
      <c r="G739">
        <v>2.31</v>
      </c>
      <c r="H739" t="s">
        <v>10</v>
      </c>
      <c r="I739" t="s">
        <v>11</v>
      </c>
    </row>
    <row r="740" spans="1:9" hidden="1" x14ac:dyDescent="0.25">
      <c r="A740" t="s">
        <v>8</v>
      </c>
      <c r="B740" t="s">
        <v>35</v>
      </c>
      <c r="C740">
        <v>202309</v>
      </c>
      <c r="D740" t="str">
        <f t="shared" si="11"/>
        <v>2023</v>
      </c>
      <c r="E740">
        <v>176562</v>
      </c>
      <c r="F740">
        <v>8158153</v>
      </c>
      <c r="G740">
        <v>2.16</v>
      </c>
      <c r="H740" t="s">
        <v>10</v>
      </c>
      <c r="I740" t="s">
        <v>11</v>
      </c>
    </row>
    <row r="741" spans="1:9" hidden="1" x14ac:dyDescent="0.25">
      <c r="A741" t="s">
        <v>8</v>
      </c>
      <c r="B741" t="s">
        <v>35</v>
      </c>
      <c r="C741">
        <v>202310</v>
      </c>
      <c r="D741" t="str">
        <f t="shared" si="11"/>
        <v>2023</v>
      </c>
      <c r="E741">
        <v>192964</v>
      </c>
      <c r="F741">
        <v>8158153</v>
      </c>
      <c r="G741">
        <v>2.37</v>
      </c>
      <c r="H741" t="s">
        <v>10</v>
      </c>
      <c r="I741" t="s">
        <v>11</v>
      </c>
    </row>
    <row r="742" spans="1:9" hidden="1" x14ac:dyDescent="0.25">
      <c r="A742" t="s">
        <v>8</v>
      </c>
      <c r="B742" t="s">
        <v>35</v>
      </c>
      <c r="C742">
        <v>202311</v>
      </c>
      <c r="D742" t="str">
        <f t="shared" si="11"/>
        <v>2023</v>
      </c>
      <c r="E742">
        <v>178950</v>
      </c>
      <c r="F742">
        <v>8158153</v>
      </c>
      <c r="G742">
        <v>2.19</v>
      </c>
      <c r="H742" t="s">
        <v>10</v>
      </c>
      <c r="I742" t="s">
        <v>11</v>
      </c>
    </row>
    <row r="743" spans="1:9" hidden="1" x14ac:dyDescent="0.25">
      <c r="A743" t="s">
        <v>8</v>
      </c>
      <c r="B743" t="s">
        <v>35</v>
      </c>
      <c r="C743">
        <v>202312</v>
      </c>
      <c r="D743" t="str">
        <f t="shared" si="11"/>
        <v>2023</v>
      </c>
      <c r="E743">
        <v>172038</v>
      </c>
      <c r="F743">
        <v>8158153</v>
      </c>
      <c r="G743">
        <v>2.11</v>
      </c>
      <c r="H743" t="s">
        <v>10</v>
      </c>
      <c r="I743" t="s">
        <v>11</v>
      </c>
    </row>
    <row r="744" spans="1:9" hidden="1" x14ac:dyDescent="0.25">
      <c r="A744" t="s">
        <v>8</v>
      </c>
      <c r="B744" t="s">
        <v>35</v>
      </c>
      <c r="C744">
        <v>202401</v>
      </c>
      <c r="D744" t="str">
        <f t="shared" si="11"/>
        <v>2024</v>
      </c>
      <c r="E744">
        <v>267666</v>
      </c>
      <c r="F744">
        <v>8158153</v>
      </c>
      <c r="G744">
        <v>3.28</v>
      </c>
      <c r="H744" t="s">
        <v>10</v>
      </c>
      <c r="I744" t="s">
        <v>11</v>
      </c>
    </row>
    <row r="745" spans="1:9" hidden="1" x14ac:dyDescent="0.25">
      <c r="A745" t="s">
        <v>8</v>
      </c>
      <c r="B745" t="s">
        <v>35</v>
      </c>
      <c r="C745">
        <v>202402</v>
      </c>
      <c r="D745" t="str">
        <f t="shared" si="11"/>
        <v>2024</v>
      </c>
      <c r="E745">
        <v>270307</v>
      </c>
      <c r="F745">
        <v>8158153</v>
      </c>
      <c r="G745">
        <v>3.31</v>
      </c>
      <c r="H745" t="s">
        <v>10</v>
      </c>
      <c r="I745" t="s">
        <v>11</v>
      </c>
    </row>
    <row r="746" spans="1:9" hidden="1" x14ac:dyDescent="0.25">
      <c r="A746" t="s">
        <v>8</v>
      </c>
      <c r="B746" t="s">
        <v>35</v>
      </c>
      <c r="C746">
        <v>202403</v>
      </c>
      <c r="D746" t="str">
        <f t="shared" si="11"/>
        <v>2024</v>
      </c>
      <c r="E746">
        <v>275771</v>
      </c>
      <c r="F746">
        <v>8158153</v>
      </c>
      <c r="G746">
        <v>3.38</v>
      </c>
      <c r="H746" t="s">
        <v>10</v>
      </c>
      <c r="I746" t="s">
        <v>11</v>
      </c>
    </row>
    <row r="747" spans="1:9" hidden="1" x14ac:dyDescent="0.25">
      <c r="A747" t="s">
        <v>8</v>
      </c>
      <c r="B747" t="s">
        <v>35</v>
      </c>
      <c r="C747">
        <v>202404</v>
      </c>
      <c r="D747" t="str">
        <f t="shared" si="11"/>
        <v>2024</v>
      </c>
      <c r="E747">
        <v>295951</v>
      </c>
      <c r="F747">
        <v>8158153</v>
      </c>
      <c r="G747">
        <v>3.63</v>
      </c>
      <c r="H747" t="s">
        <v>10</v>
      </c>
      <c r="I747" t="s">
        <v>11</v>
      </c>
    </row>
    <row r="748" spans="1:9" hidden="1" x14ac:dyDescent="0.25">
      <c r="A748" t="s">
        <v>8</v>
      </c>
      <c r="B748" t="s">
        <v>35</v>
      </c>
      <c r="C748">
        <v>202405</v>
      </c>
      <c r="D748" t="str">
        <f t="shared" si="11"/>
        <v>2024</v>
      </c>
      <c r="E748">
        <v>286552</v>
      </c>
      <c r="F748">
        <v>8158153</v>
      </c>
      <c r="G748">
        <v>3.51</v>
      </c>
      <c r="H748" t="s">
        <v>10</v>
      </c>
      <c r="I748" t="s">
        <v>11</v>
      </c>
    </row>
    <row r="749" spans="1:9" hidden="1" x14ac:dyDescent="0.25">
      <c r="A749" t="s">
        <v>8</v>
      </c>
      <c r="B749" t="s">
        <v>35</v>
      </c>
      <c r="C749">
        <v>202406</v>
      </c>
      <c r="D749" t="str">
        <f t="shared" si="11"/>
        <v>2024</v>
      </c>
      <c r="E749">
        <v>245341</v>
      </c>
      <c r="F749">
        <v>8158153</v>
      </c>
      <c r="G749">
        <v>3.01</v>
      </c>
      <c r="H749" t="s">
        <v>10</v>
      </c>
      <c r="I749" t="s">
        <v>11</v>
      </c>
    </row>
    <row r="750" spans="1:9" hidden="1" x14ac:dyDescent="0.25">
      <c r="A750" t="s">
        <v>8</v>
      </c>
      <c r="B750" t="s">
        <v>35</v>
      </c>
      <c r="C750">
        <v>202407</v>
      </c>
      <c r="D750" t="str">
        <f t="shared" si="11"/>
        <v>2024</v>
      </c>
      <c r="E750">
        <v>48547</v>
      </c>
      <c r="F750">
        <v>8158153</v>
      </c>
      <c r="G750">
        <v>0.6</v>
      </c>
      <c r="H750" t="s">
        <v>10</v>
      </c>
      <c r="I750" t="s">
        <v>11</v>
      </c>
    </row>
    <row r="751" spans="1:9" hidden="1" x14ac:dyDescent="0.25">
      <c r="A751" t="s">
        <v>8</v>
      </c>
      <c r="B751" t="s">
        <v>14</v>
      </c>
      <c r="C751">
        <v>201412</v>
      </c>
      <c r="D751" t="str">
        <f t="shared" si="11"/>
        <v>2014</v>
      </c>
      <c r="E751">
        <v>6</v>
      </c>
      <c r="F751">
        <v>7487777</v>
      </c>
      <c r="G751">
        <v>0</v>
      </c>
      <c r="H751" t="s">
        <v>10</v>
      </c>
      <c r="I751" t="s">
        <v>11</v>
      </c>
    </row>
    <row r="752" spans="1:9" hidden="1" x14ac:dyDescent="0.25">
      <c r="A752" t="s">
        <v>8</v>
      </c>
      <c r="B752" t="s">
        <v>14</v>
      </c>
      <c r="C752">
        <v>201502</v>
      </c>
      <c r="D752" t="str">
        <f t="shared" si="11"/>
        <v>2015</v>
      </c>
      <c r="E752">
        <v>3</v>
      </c>
      <c r="F752">
        <v>7487777</v>
      </c>
      <c r="G752">
        <v>0</v>
      </c>
      <c r="H752" t="s">
        <v>10</v>
      </c>
      <c r="I752" t="s">
        <v>11</v>
      </c>
    </row>
    <row r="753" spans="1:9" hidden="1" x14ac:dyDescent="0.25">
      <c r="A753" t="s">
        <v>8</v>
      </c>
      <c r="B753" t="s">
        <v>14</v>
      </c>
      <c r="C753">
        <v>201503</v>
      </c>
      <c r="D753" t="str">
        <f t="shared" si="11"/>
        <v>2015</v>
      </c>
      <c r="E753">
        <v>4</v>
      </c>
      <c r="F753">
        <v>7487777</v>
      </c>
      <c r="G753">
        <v>0</v>
      </c>
      <c r="H753" t="s">
        <v>10</v>
      </c>
      <c r="I753" t="s">
        <v>11</v>
      </c>
    </row>
    <row r="754" spans="1:9" hidden="1" x14ac:dyDescent="0.25">
      <c r="A754" t="s">
        <v>8</v>
      </c>
      <c r="B754" t="s">
        <v>14</v>
      </c>
      <c r="C754">
        <v>201504</v>
      </c>
      <c r="D754" t="str">
        <f t="shared" si="11"/>
        <v>2015</v>
      </c>
      <c r="E754">
        <v>5</v>
      </c>
      <c r="F754">
        <v>7487777</v>
      </c>
      <c r="G754">
        <v>0</v>
      </c>
      <c r="H754" t="s">
        <v>10</v>
      </c>
      <c r="I754" t="s">
        <v>11</v>
      </c>
    </row>
    <row r="755" spans="1:9" hidden="1" x14ac:dyDescent="0.25">
      <c r="A755" t="s">
        <v>8</v>
      </c>
      <c r="B755" t="s">
        <v>14</v>
      </c>
      <c r="C755">
        <v>201505</v>
      </c>
      <c r="D755" t="str">
        <f t="shared" si="11"/>
        <v>2015</v>
      </c>
      <c r="E755">
        <v>2</v>
      </c>
      <c r="F755">
        <v>7487777</v>
      </c>
      <c r="G755">
        <v>0</v>
      </c>
      <c r="H755" t="s">
        <v>10</v>
      </c>
      <c r="I755" t="s">
        <v>11</v>
      </c>
    </row>
    <row r="756" spans="1:9" hidden="1" x14ac:dyDescent="0.25">
      <c r="A756" t="s">
        <v>8</v>
      </c>
      <c r="B756" t="s">
        <v>14</v>
      </c>
      <c r="C756">
        <v>201506</v>
      </c>
      <c r="D756" t="str">
        <f t="shared" si="11"/>
        <v>2015</v>
      </c>
      <c r="E756">
        <v>1</v>
      </c>
      <c r="F756">
        <v>7487777</v>
      </c>
      <c r="G756">
        <v>0</v>
      </c>
      <c r="H756" t="s">
        <v>10</v>
      </c>
      <c r="I756" t="s">
        <v>11</v>
      </c>
    </row>
    <row r="757" spans="1:9" hidden="1" x14ac:dyDescent="0.25">
      <c r="A757" t="s">
        <v>8</v>
      </c>
      <c r="B757" t="s">
        <v>14</v>
      </c>
      <c r="C757">
        <v>201508</v>
      </c>
      <c r="D757" t="str">
        <f t="shared" si="11"/>
        <v>2015</v>
      </c>
      <c r="E757">
        <v>2</v>
      </c>
      <c r="F757">
        <v>7487777</v>
      </c>
      <c r="G757">
        <v>0</v>
      </c>
      <c r="H757" t="s">
        <v>10</v>
      </c>
      <c r="I757" t="s">
        <v>11</v>
      </c>
    </row>
    <row r="758" spans="1:9" hidden="1" x14ac:dyDescent="0.25">
      <c r="A758" t="s">
        <v>8</v>
      </c>
      <c r="B758" t="s">
        <v>14</v>
      </c>
      <c r="C758">
        <v>201509</v>
      </c>
      <c r="D758" t="str">
        <f t="shared" si="11"/>
        <v>2015</v>
      </c>
      <c r="E758">
        <v>2</v>
      </c>
      <c r="F758">
        <v>7487777</v>
      </c>
      <c r="G758">
        <v>0</v>
      </c>
      <c r="H758" t="s">
        <v>10</v>
      </c>
      <c r="I758" t="s">
        <v>11</v>
      </c>
    </row>
    <row r="759" spans="1:9" hidden="1" x14ac:dyDescent="0.25">
      <c r="A759" t="s">
        <v>8</v>
      </c>
      <c r="B759" t="s">
        <v>14</v>
      </c>
      <c r="C759">
        <v>201510</v>
      </c>
      <c r="D759" t="str">
        <f t="shared" si="11"/>
        <v>2015</v>
      </c>
      <c r="E759">
        <v>3</v>
      </c>
      <c r="F759">
        <v>7487777</v>
      </c>
      <c r="G759">
        <v>0</v>
      </c>
      <c r="H759" t="s">
        <v>10</v>
      </c>
      <c r="I759" t="s">
        <v>11</v>
      </c>
    </row>
    <row r="760" spans="1:9" hidden="1" x14ac:dyDescent="0.25">
      <c r="A760" t="s">
        <v>8</v>
      </c>
      <c r="B760" t="s">
        <v>14</v>
      </c>
      <c r="C760">
        <v>201608</v>
      </c>
      <c r="D760" t="str">
        <f t="shared" si="11"/>
        <v>2016</v>
      </c>
      <c r="E760">
        <v>8</v>
      </c>
      <c r="F760">
        <v>7487777</v>
      </c>
      <c r="G760">
        <v>0</v>
      </c>
      <c r="H760" t="s">
        <v>10</v>
      </c>
      <c r="I760" t="s">
        <v>11</v>
      </c>
    </row>
    <row r="761" spans="1:9" hidden="1" x14ac:dyDescent="0.25">
      <c r="A761" t="s">
        <v>8</v>
      </c>
      <c r="B761" t="s">
        <v>14</v>
      </c>
      <c r="C761">
        <v>201609</v>
      </c>
      <c r="D761" t="str">
        <f t="shared" si="11"/>
        <v>2016</v>
      </c>
      <c r="E761">
        <v>5</v>
      </c>
      <c r="F761">
        <v>7487777</v>
      </c>
      <c r="G761">
        <v>0</v>
      </c>
      <c r="H761" t="s">
        <v>10</v>
      </c>
      <c r="I761" t="s">
        <v>11</v>
      </c>
    </row>
    <row r="762" spans="1:9" hidden="1" x14ac:dyDescent="0.25">
      <c r="A762" t="s">
        <v>8</v>
      </c>
      <c r="B762" t="s">
        <v>14</v>
      </c>
      <c r="C762">
        <v>201610</v>
      </c>
      <c r="D762" t="str">
        <f t="shared" si="11"/>
        <v>2016</v>
      </c>
      <c r="E762">
        <v>12</v>
      </c>
      <c r="F762">
        <v>7487777</v>
      </c>
      <c r="G762">
        <v>0</v>
      </c>
      <c r="H762" t="s">
        <v>10</v>
      </c>
      <c r="I762" t="s">
        <v>11</v>
      </c>
    </row>
    <row r="763" spans="1:9" hidden="1" x14ac:dyDescent="0.25">
      <c r="A763" t="s">
        <v>8</v>
      </c>
      <c r="B763" t="s">
        <v>14</v>
      </c>
      <c r="C763">
        <v>201702</v>
      </c>
      <c r="D763" t="str">
        <f t="shared" si="11"/>
        <v>2017</v>
      </c>
      <c r="E763">
        <v>6</v>
      </c>
      <c r="F763">
        <v>7487777</v>
      </c>
      <c r="G763">
        <v>0</v>
      </c>
      <c r="H763" t="s">
        <v>10</v>
      </c>
      <c r="I763" t="s">
        <v>11</v>
      </c>
    </row>
    <row r="764" spans="1:9" hidden="1" x14ac:dyDescent="0.25">
      <c r="A764" t="s">
        <v>8</v>
      </c>
      <c r="B764" t="s">
        <v>14</v>
      </c>
      <c r="C764">
        <v>201703</v>
      </c>
      <c r="D764" t="str">
        <f t="shared" si="11"/>
        <v>2017</v>
      </c>
      <c r="E764">
        <v>10</v>
      </c>
      <c r="F764">
        <v>7487777</v>
      </c>
      <c r="G764">
        <v>0</v>
      </c>
      <c r="H764" t="s">
        <v>10</v>
      </c>
      <c r="I764" t="s">
        <v>11</v>
      </c>
    </row>
    <row r="765" spans="1:9" hidden="1" x14ac:dyDescent="0.25">
      <c r="A765" t="s">
        <v>8</v>
      </c>
      <c r="B765" t="s">
        <v>14</v>
      </c>
      <c r="C765">
        <v>201704</v>
      </c>
      <c r="D765" t="str">
        <f t="shared" si="11"/>
        <v>2017</v>
      </c>
      <c r="E765">
        <v>2</v>
      </c>
      <c r="F765">
        <v>7487777</v>
      </c>
      <c r="G765">
        <v>0</v>
      </c>
      <c r="H765" t="s">
        <v>10</v>
      </c>
      <c r="I765" t="s">
        <v>11</v>
      </c>
    </row>
    <row r="766" spans="1:9" hidden="1" x14ac:dyDescent="0.25">
      <c r="A766" t="s">
        <v>8</v>
      </c>
      <c r="B766" t="s">
        <v>14</v>
      </c>
      <c r="C766">
        <v>201705</v>
      </c>
      <c r="D766" t="str">
        <f t="shared" si="11"/>
        <v>2017</v>
      </c>
      <c r="E766">
        <v>3</v>
      </c>
      <c r="F766">
        <v>7487777</v>
      </c>
      <c r="G766">
        <v>0</v>
      </c>
      <c r="H766" t="s">
        <v>10</v>
      </c>
      <c r="I766" t="s">
        <v>11</v>
      </c>
    </row>
    <row r="767" spans="1:9" hidden="1" x14ac:dyDescent="0.25">
      <c r="A767" t="s">
        <v>8</v>
      </c>
      <c r="B767" t="s">
        <v>14</v>
      </c>
      <c r="C767">
        <v>201706</v>
      </c>
      <c r="D767" t="str">
        <f t="shared" si="11"/>
        <v>2017</v>
      </c>
      <c r="E767">
        <v>4</v>
      </c>
      <c r="F767">
        <v>7487777</v>
      </c>
      <c r="G767">
        <v>0</v>
      </c>
      <c r="H767" t="s">
        <v>10</v>
      </c>
      <c r="I767" t="s">
        <v>11</v>
      </c>
    </row>
    <row r="768" spans="1:9" hidden="1" x14ac:dyDescent="0.25">
      <c r="A768" t="s">
        <v>8</v>
      </c>
      <c r="B768" t="s">
        <v>14</v>
      </c>
      <c r="C768">
        <v>201707</v>
      </c>
      <c r="D768" t="str">
        <f t="shared" si="11"/>
        <v>2017</v>
      </c>
      <c r="E768">
        <v>28</v>
      </c>
      <c r="F768">
        <v>7487777</v>
      </c>
      <c r="G768">
        <v>0</v>
      </c>
      <c r="H768" t="s">
        <v>10</v>
      </c>
      <c r="I768" t="s">
        <v>11</v>
      </c>
    </row>
    <row r="769" spans="1:9" hidden="1" x14ac:dyDescent="0.25">
      <c r="A769" t="s">
        <v>8</v>
      </c>
      <c r="B769" t="s">
        <v>14</v>
      </c>
      <c r="C769">
        <v>201708</v>
      </c>
      <c r="D769" t="str">
        <f t="shared" si="11"/>
        <v>2017</v>
      </c>
      <c r="E769">
        <v>7</v>
      </c>
      <c r="F769">
        <v>7487777</v>
      </c>
      <c r="G769">
        <v>0</v>
      </c>
      <c r="H769" t="s">
        <v>10</v>
      </c>
      <c r="I769" t="s">
        <v>11</v>
      </c>
    </row>
    <row r="770" spans="1:9" hidden="1" x14ac:dyDescent="0.25">
      <c r="A770" t="s">
        <v>8</v>
      </c>
      <c r="B770" t="s">
        <v>14</v>
      </c>
      <c r="C770">
        <v>201709</v>
      </c>
      <c r="D770" t="str">
        <f t="shared" si="11"/>
        <v>2017</v>
      </c>
      <c r="E770">
        <v>14</v>
      </c>
      <c r="F770">
        <v>7487777</v>
      </c>
      <c r="G770">
        <v>0</v>
      </c>
      <c r="H770" t="s">
        <v>10</v>
      </c>
      <c r="I770" t="s">
        <v>11</v>
      </c>
    </row>
    <row r="771" spans="1:9" hidden="1" x14ac:dyDescent="0.25">
      <c r="A771" t="s">
        <v>8</v>
      </c>
      <c r="B771" t="s">
        <v>14</v>
      </c>
      <c r="C771">
        <v>201710</v>
      </c>
      <c r="D771" t="str">
        <f t="shared" ref="D771:D834" si="12">LEFT(C771,4)</f>
        <v>2017</v>
      </c>
      <c r="E771">
        <v>23</v>
      </c>
      <c r="F771">
        <v>7487777</v>
      </c>
      <c r="G771">
        <v>0</v>
      </c>
      <c r="H771" t="s">
        <v>10</v>
      </c>
      <c r="I771" t="s">
        <v>11</v>
      </c>
    </row>
    <row r="772" spans="1:9" hidden="1" x14ac:dyDescent="0.25">
      <c r="A772" t="s">
        <v>8</v>
      </c>
      <c r="B772" t="s">
        <v>14</v>
      </c>
      <c r="C772">
        <v>201711</v>
      </c>
      <c r="D772" t="str">
        <f t="shared" si="12"/>
        <v>2017</v>
      </c>
      <c r="E772">
        <v>22</v>
      </c>
      <c r="F772">
        <v>7487777</v>
      </c>
      <c r="G772">
        <v>0</v>
      </c>
      <c r="H772" t="s">
        <v>10</v>
      </c>
      <c r="I772" t="s">
        <v>11</v>
      </c>
    </row>
    <row r="773" spans="1:9" hidden="1" x14ac:dyDescent="0.25">
      <c r="A773" t="s">
        <v>8</v>
      </c>
      <c r="B773" t="s">
        <v>14</v>
      </c>
      <c r="C773">
        <v>201712</v>
      </c>
      <c r="D773" t="str">
        <f t="shared" si="12"/>
        <v>2017</v>
      </c>
      <c r="E773">
        <v>10</v>
      </c>
      <c r="F773">
        <v>7487777</v>
      </c>
      <c r="G773">
        <v>0</v>
      </c>
      <c r="H773" t="s">
        <v>10</v>
      </c>
      <c r="I773" t="s">
        <v>11</v>
      </c>
    </row>
    <row r="774" spans="1:9" hidden="1" x14ac:dyDescent="0.25">
      <c r="A774" t="s">
        <v>8</v>
      </c>
      <c r="B774" t="s">
        <v>14</v>
      </c>
      <c r="C774">
        <v>201801</v>
      </c>
      <c r="D774" t="str">
        <f t="shared" si="12"/>
        <v>2018</v>
      </c>
      <c r="E774">
        <v>1</v>
      </c>
      <c r="F774">
        <v>7487777</v>
      </c>
      <c r="G774">
        <v>0</v>
      </c>
      <c r="H774" t="s">
        <v>10</v>
      </c>
      <c r="I774" t="s">
        <v>11</v>
      </c>
    </row>
    <row r="775" spans="1:9" hidden="1" x14ac:dyDescent="0.25">
      <c r="A775" t="s">
        <v>8</v>
      </c>
      <c r="B775" t="s">
        <v>14</v>
      </c>
      <c r="C775">
        <v>201802</v>
      </c>
      <c r="D775" t="str">
        <f t="shared" si="12"/>
        <v>2018</v>
      </c>
      <c r="E775">
        <v>14</v>
      </c>
      <c r="F775">
        <v>7487777</v>
      </c>
      <c r="G775">
        <v>0</v>
      </c>
      <c r="H775" t="s">
        <v>10</v>
      </c>
      <c r="I775" t="s">
        <v>11</v>
      </c>
    </row>
    <row r="776" spans="1:9" hidden="1" x14ac:dyDescent="0.25">
      <c r="A776" t="s">
        <v>8</v>
      </c>
      <c r="B776" t="s">
        <v>14</v>
      </c>
      <c r="C776">
        <v>201803</v>
      </c>
      <c r="D776" t="str">
        <f t="shared" si="12"/>
        <v>2018</v>
      </c>
      <c r="E776">
        <v>2</v>
      </c>
      <c r="F776">
        <v>7487777</v>
      </c>
      <c r="G776">
        <v>0</v>
      </c>
      <c r="H776" t="s">
        <v>10</v>
      </c>
      <c r="I776" t="s">
        <v>11</v>
      </c>
    </row>
    <row r="777" spans="1:9" hidden="1" x14ac:dyDescent="0.25">
      <c r="A777" t="s">
        <v>8</v>
      </c>
      <c r="B777" t="s">
        <v>14</v>
      </c>
      <c r="C777">
        <v>201804</v>
      </c>
      <c r="D777" t="str">
        <f t="shared" si="12"/>
        <v>2018</v>
      </c>
      <c r="E777">
        <v>7</v>
      </c>
      <c r="F777">
        <v>7487777</v>
      </c>
      <c r="G777">
        <v>0</v>
      </c>
      <c r="H777" t="s">
        <v>10</v>
      </c>
      <c r="I777" t="s">
        <v>11</v>
      </c>
    </row>
    <row r="778" spans="1:9" hidden="1" x14ac:dyDescent="0.25">
      <c r="A778" t="s">
        <v>8</v>
      </c>
      <c r="B778" t="s">
        <v>14</v>
      </c>
      <c r="C778">
        <v>201805</v>
      </c>
      <c r="D778" t="str">
        <f t="shared" si="12"/>
        <v>2018</v>
      </c>
      <c r="E778">
        <v>24</v>
      </c>
      <c r="F778">
        <v>7487777</v>
      </c>
      <c r="G778">
        <v>0</v>
      </c>
      <c r="H778" t="s">
        <v>10</v>
      </c>
      <c r="I778" t="s">
        <v>11</v>
      </c>
    </row>
    <row r="779" spans="1:9" hidden="1" x14ac:dyDescent="0.25">
      <c r="A779" t="s">
        <v>8</v>
      </c>
      <c r="B779" t="s">
        <v>14</v>
      </c>
      <c r="C779">
        <v>201806</v>
      </c>
      <c r="D779" t="str">
        <f t="shared" si="12"/>
        <v>2018</v>
      </c>
      <c r="E779">
        <v>18</v>
      </c>
      <c r="F779">
        <v>7487777</v>
      </c>
      <c r="G779">
        <v>0</v>
      </c>
      <c r="H779" t="s">
        <v>10</v>
      </c>
      <c r="I779" t="s">
        <v>11</v>
      </c>
    </row>
    <row r="780" spans="1:9" hidden="1" x14ac:dyDescent="0.25">
      <c r="A780" t="s">
        <v>8</v>
      </c>
      <c r="B780" t="s">
        <v>14</v>
      </c>
      <c r="C780">
        <v>201807</v>
      </c>
      <c r="D780" t="str">
        <f t="shared" si="12"/>
        <v>2018</v>
      </c>
      <c r="E780">
        <v>20</v>
      </c>
      <c r="F780">
        <v>7487777</v>
      </c>
      <c r="G780">
        <v>0</v>
      </c>
      <c r="H780" t="s">
        <v>10</v>
      </c>
      <c r="I780" t="s">
        <v>11</v>
      </c>
    </row>
    <row r="781" spans="1:9" hidden="1" x14ac:dyDescent="0.25">
      <c r="A781" t="s">
        <v>8</v>
      </c>
      <c r="B781" t="s">
        <v>14</v>
      </c>
      <c r="C781">
        <v>201808</v>
      </c>
      <c r="D781" t="str">
        <f t="shared" si="12"/>
        <v>2018</v>
      </c>
      <c r="E781">
        <v>61</v>
      </c>
      <c r="F781">
        <v>7487777</v>
      </c>
      <c r="G781">
        <v>0</v>
      </c>
      <c r="H781" t="s">
        <v>10</v>
      </c>
      <c r="I781" t="s">
        <v>11</v>
      </c>
    </row>
    <row r="782" spans="1:9" hidden="1" x14ac:dyDescent="0.25">
      <c r="A782" t="s">
        <v>8</v>
      </c>
      <c r="B782" t="s">
        <v>14</v>
      </c>
      <c r="C782">
        <v>201809</v>
      </c>
      <c r="D782" t="str">
        <f t="shared" si="12"/>
        <v>2018</v>
      </c>
      <c r="E782">
        <v>20</v>
      </c>
      <c r="F782">
        <v>7487777</v>
      </c>
      <c r="G782">
        <v>0</v>
      </c>
      <c r="H782" t="s">
        <v>10</v>
      </c>
      <c r="I782" t="s">
        <v>11</v>
      </c>
    </row>
    <row r="783" spans="1:9" hidden="1" x14ac:dyDescent="0.25">
      <c r="A783" t="s">
        <v>8</v>
      </c>
      <c r="B783" t="s">
        <v>14</v>
      </c>
      <c r="C783">
        <v>201810</v>
      </c>
      <c r="D783" t="str">
        <f t="shared" si="12"/>
        <v>2018</v>
      </c>
      <c r="E783">
        <v>16</v>
      </c>
      <c r="F783">
        <v>7487777</v>
      </c>
      <c r="G783">
        <v>0</v>
      </c>
      <c r="H783" t="s">
        <v>10</v>
      </c>
      <c r="I783" t="s">
        <v>11</v>
      </c>
    </row>
    <row r="784" spans="1:9" hidden="1" x14ac:dyDescent="0.25">
      <c r="A784" t="s">
        <v>8</v>
      </c>
      <c r="B784" t="s">
        <v>14</v>
      </c>
      <c r="C784">
        <v>201811</v>
      </c>
      <c r="D784" t="str">
        <f t="shared" si="12"/>
        <v>2018</v>
      </c>
      <c r="E784">
        <v>3</v>
      </c>
      <c r="F784">
        <v>7487777</v>
      </c>
      <c r="G784">
        <v>0</v>
      </c>
      <c r="H784" t="s">
        <v>10</v>
      </c>
      <c r="I784" t="s">
        <v>11</v>
      </c>
    </row>
    <row r="785" spans="1:9" hidden="1" x14ac:dyDescent="0.25">
      <c r="A785" t="s">
        <v>8</v>
      </c>
      <c r="B785" t="s">
        <v>14</v>
      </c>
      <c r="C785">
        <v>201812</v>
      </c>
      <c r="D785" t="str">
        <f t="shared" si="12"/>
        <v>2018</v>
      </c>
      <c r="E785">
        <v>16</v>
      </c>
      <c r="F785">
        <v>7487777</v>
      </c>
      <c r="G785">
        <v>0</v>
      </c>
      <c r="H785" t="s">
        <v>10</v>
      </c>
      <c r="I785" t="s">
        <v>11</v>
      </c>
    </row>
    <row r="786" spans="1:9" hidden="1" x14ac:dyDescent="0.25">
      <c r="A786" t="s">
        <v>8</v>
      </c>
      <c r="B786" t="s">
        <v>14</v>
      </c>
      <c r="C786">
        <v>201901</v>
      </c>
      <c r="D786" t="str">
        <f t="shared" si="12"/>
        <v>2019</v>
      </c>
      <c r="E786">
        <v>606</v>
      </c>
      <c r="F786">
        <v>7487777</v>
      </c>
      <c r="G786">
        <v>0.01</v>
      </c>
      <c r="H786" t="s">
        <v>10</v>
      </c>
      <c r="I786" t="s">
        <v>11</v>
      </c>
    </row>
    <row r="787" spans="1:9" hidden="1" x14ac:dyDescent="0.25">
      <c r="A787" t="s">
        <v>8</v>
      </c>
      <c r="B787" t="s">
        <v>14</v>
      </c>
      <c r="C787">
        <v>201902</v>
      </c>
      <c r="D787" t="str">
        <f t="shared" si="12"/>
        <v>2019</v>
      </c>
      <c r="E787">
        <v>602</v>
      </c>
      <c r="F787">
        <v>7487777</v>
      </c>
      <c r="G787">
        <v>0.01</v>
      </c>
      <c r="H787" t="s">
        <v>10</v>
      </c>
      <c r="I787" t="s">
        <v>11</v>
      </c>
    </row>
    <row r="788" spans="1:9" hidden="1" x14ac:dyDescent="0.25">
      <c r="A788" t="s">
        <v>8</v>
      </c>
      <c r="B788" t="s">
        <v>14</v>
      </c>
      <c r="C788">
        <v>201903</v>
      </c>
      <c r="D788" t="str">
        <f t="shared" si="12"/>
        <v>2019</v>
      </c>
      <c r="E788">
        <v>754</v>
      </c>
      <c r="F788">
        <v>7487777</v>
      </c>
      <c r="G788">
        <v>0.01</v>
      </c>
      <c r="H788" t="s">
        <v>10</v>
      </c>
      <c r="I788" t="s">
        <v>11</v>
      </c>
    </row>
    <row r="789" spans="1:9" hidden="1" x14ac:dyDescent="0.25">
      <c r="A789" t="s">
        <v>8</v>
      </c>
      <c r="B789" t="s">
        <v>14</v>
      </c>
      <c r="C789">
        <v>201904</v>
      </c>
      <c r="D789" t="str">
        <f t="shared" si="12"/>
        <v>2019</v>
      </c>
      <c r="E789">
        <v>742</v>
      </c>
      <c r="F789">
        <v>7487777</v>
      </c>
      <c r="G789">
        <v>0.01</v>
      </c>
      <c r="H789" t="s">
        <v>10</v>
      </c>
      <c r="I789" t="s">
        <v>11</v>
      </c>
    </row>
    <row r="790" spans="1:9" hidden="1" x14ac:dyDescent="0.25">
      <c r="A790" t="s">
        <v>8</v>
      </c>
      <c r="B790" t="s">
        <v>14</v>
      </c>
      <c r="C790">
        <v>201905</v>
      </c>
      <c r="D790" t="str">
        <f t="shared" si="12"/>
        <v>2019</v>
      </c>
      <c r="E790">
        <v>659</v>
      </c>
      <c r="F790">
        <v>7487777</v>
      </c>
      <c r="G790">
        <v>0.01</v>
      </c>
      <c r="H790" t="s">
        <v>10</v>
      </c>
      <c r="I790" t="s">
        <v>11</v>
      </c>
    </row>
    <row r="791" spans="1:9" hidden="1" x14ac:dyDescent="0.25">
      <c r="A791" t="s">
        <v>8</v>
      </c>
      <c r="B791" t="s">
        <v>14</v>
      </c>
      <c r="C791">
        <v>201906</v>
      </c>
      <c r="D791" t="str">
        <f t="shared" si="12"/>
        <v>2019</v>
      </c>
      <c r="E791">
        <v>1005</v>
      </c>
      <c r="F791">
        <v>7487777</v>
      </c>
      <c r="G791">
        <v>0.01</v>
      </c>
      <c r="H791" t="s">
        <v>10</v>
      </c>
      <c r="I791" t="s">
        <v>11</v>
      </c>
    </row>
    <row r="792" spans="1:9" hidden="1" x14ac:dyDescent="0.25">
      <c r="A792" t="s">
        <v>8</v>
      </c>
      <c r="B792" t="s">
        <v>14</v>
      </c>
      <c r="C792">
        <v>201907</v>
      </c>
      <c r="D792" t="str">
        <f t="shared" si="12"/>
        <v>2019</v>
      </c>
      <c r="E792">
        <v>780</v>
      </c>
      <c r="F792">
        <v>7487777</v>
      </c>
      <c r="G792">
        <v>0.01</v>
      </c>
      <c r="H792" t="s">
        <v>10</v>
      </c>
      <c r="I792" t="s">
        <v>11</v>
      </c>
    </row>
    <row r="793" spans="1:9" hidden="1" x14ac:dyDescent="0.25">
      <c r="A793" t="s">
        <v>8</v>
      </c>
      <c r="B793" t="s">
        <v>14</v>
      </c>
      <c r="C793">
        <v>201908</v>
      </c>
      <c r="D793" t="str">
        <f t="shared" si="12"/>
        <v>2019</v>
      </c>
      <c r="E793">
        <v>690</v>
      </c>
      <c r="F793">
        <v>7487777</v>
      </c>
      <c r="G793">
        <v>0.01</v>
      </c>
      <c r="H793" t="s">
        <v>10</v>
      </c>
      <c r="I793" t="s">
        <v>11</v>
      </c>
    </row>
    <row r="794" spans="1:9" hidden="1" x14ac:dyDescent="0.25">
      <c r="A794" t="s">
        <v>8</v>
      </c>
      <c r="B794" t="s">
        <v>14</v>
      </c>
      <c r="C794">
        <v>201909</v>
      </c>
      <c r="D794" t="str">
        <f t="shared" si="12"/>
        <v>2019</v>
      </c>
      <c r="E794">
        <v>610</v>
      </c>
      <c r="F794">
        <v>7487777</v>
      </c>
      <c r="G794">
        <v>0.01</v>
      </c>
      <c r="H794" t="s">
        <v>10</v>
      </c>
      <c r="I794" t="s">
        <v>11</v>
      </c>
    </row>
    <row r="795" spans="1:9" hidden="1" x14ac:dyDescent="0.25">
      <c r="A795" t="s">
        <v>8</v>
      </c>
      <c r="B795" t="s">
        <v>14</v>
      </c>
      <c r="C795">
        <v>201910</v>
      </c>
      <c r="D795" t="str">
        <f t="shared" si="12"/>
        <v>2019</v>
      </c>
      <c r="E795">
        <v>692</v>
      </c>
      <c r="F795">
        <v>7487777</v>
      </c>
      <c r="G795">
        <v>0.01</v>
      </c>
      <c r="H795" t="s">
        <v>10</v>
      </c>
      <c r="I795" t="s">
        <v>11</v>
      </c>
    </row>
    <row r="796" spans="1:9" hidden="1" x14ac:dyDescent="0.25">
      <c r="A796" t="s">
        <v>8</v>
      </c>
      <c r="B796" t="s">
        <v>14</v>
      </c>
      <c r="C796">
        <v>201911</v>
      </c>
      <c r="D796" t="str">
        <f t="shared" si="12"/>
        <v>2019</v>
      </c>
      <c r="E796">
        <v>618</v>
      </c>
      <c r="F796">
        <v>7487777</v>
      </c>
      <c r="G796">
        <v>0.01</v>
      </c>
      <c r="H796" t="s">
        <v>10</v>
      </c>
      <c r="I796" t="s">
        <v>11</v>
      </c>
    </row>
    <row r="797" spans="1:9" hidden="1" x14ac:dyDescent="0.25">
      <c r="A797" t="s">
        <v>8</v>
      </c>
      <c r="B797" t="s">
        <v>14</v>
      </c>
      <c r="C797">
        <v>201912</v>
      </c>
      <c r="D797" t="str">
        <f t="shared" si="12"/>
        <v>2019</v>
      </c>
      <c r="E797">
        <v>470</v>
      </c>
      <c r="F797">
        <v>7487777</v>
      </c>
      <c r="G797">
        <v>0.01</v>
      </c>
      <c r="H797" t="s">
        <v>10</v>
      </c>
      <c r="I797" t="s">
        <v>11</v>
      </c>
    </row>
    <row r="798" spans="1:9" hidden="1" x14ac:dyDescent="0.25">
      <c r="A798" t="s">
        <v>8</v>
      </c>
      <c r="B798" t="s">
        <v>14</v>
      </c>
      <c r="C798">
        <v>202001</v>
      </c>
      <c r="D798" t="str">
        <f t="shared" si="12"/>
        <v>2020</v>
      </c>
      <c r="E798">
        <v>30782</v>
      </c>
      <c r="F798">
        <v>7487777</v>
      </c>
      <c r="G798">
        <v>0.41</v>
      </c>
      <c r="H798" t="s">
        <v>10</v>
      </c>
      <c r="I798" t="s">
        <v>11</v>
      </c>
    </row>
    <row r="799" spans="1:9" hidden="1" x14ac:dyDescent="0.25">
      <c r="A799" t="s">
        <v>8</v>
      </c>
      <c r="B799" t="s">
        <v>14</v>
      </c>
      <c r="C799">
        <v>202002</v>
      </c>
      <c r="D799" t="str">
        <f t="shared" si="12"/>
        <v>2020</v>
      </c>
      <c r="E799">
        <v>28724</v>
      </c>
      <c r="F799">
        <v>7487777</v>
      </c>
      <c r="G799">
        <v>0.38</v>
      </c>
      <c r="H799" t="s">
        <v>10</v>
      </c>
      <c r="I799" t="s">
        <v>11</v>
      </c>
    </row>
    <row r="800" spans="1:9" hidden="1" x14ac:dyDescent="0.25">
      <c r="A800" t="s">
        <v>8</v>
      </c>
      <c r="B800" t="s">
        <v>14</v>
      </c>
      <c r="C800">
        <v>202003</v>
      </c>
      <c r="D800" t="str">
        <f t="shared" si="12"/>
        <v>2020</v>
      </c>
      <c r="E800">
        <v>26814</v>
      </c>
      <c r="F800">
        <v>7487777</v>
      </c>
      <c r="G800">
        <v>0.36</v>
      </c>
      <c r="H800" t="s">
        <v>10</v>
      </c>
      <c r="I800" t="s">
        <v>11</v>
      </c>
    </row>
    <row r="801" spans="1:9" hidden="1" x14ac:dyDescent="0.25">
      <c r="A801" t="s">
        <v>8</v>
      </c>
      <c r="B801" t="s">
        <v>14</v>
      </c>
      <c r="C801">
        <v>202004</v>
      </c>
      <c r="D801" t="str">
        <f t="shared" si="12"/>
        <v>2020</v>
      </c>
      <c r="E801">
        <v>14793</v>
      </c>
      <c r="F801">
        <v>7487777</v>
      </c>
      <c r="G801">
        <v>0.2</v>
      </c>
      <c r="H801" t="s">
        <v>10</v>
      </c>
      <c r="I801" t="s">
        <v>11</v>
      </c>
    </row>
    <row r="802" spans="1:9" hidden="1" x14ac:dyDescent="0.25">
      <c r="A802" t="s">
        <v>8</v>
      </c>
      <c r="B802" t="s">
        <v>14</v>
      </c>
      <c r="C802">
        <v>202005</v>
      </c>
      <c r="D802" t="str">
        <f t="shared" si="12"/>
        <v>2020</v>
      </c>
      <c r="E802">
        <v>28621</v>
      </c>
      <c r="F802">
        <v>7487777</v>
      </c>
      <c r="G802">
        <v>0.38</v>
      </c>
      <c r="H802" t="s">
        <v>10</v>
      </c>
      <c r="I802" t="s">
        <v>11</v>
      </c>
    </row>
    <row r="803" spans="1:9" hidden="1" x14ac:dyDescent="0.25">
      <c r="A803" t="s">
        <v>8</v>
      </c>
      <c r="B803" t="s">
        <v>14</v>
      </c>
      <c r="C803">
        <v>202006</v>
      </c>
      <c r="D803" t="str">
        <f t="shared" si="12"/>
        <v>2020</v>
      </c>
      <c r="E803">
        <v>33803</v>
      </c>
      <c r="F803">
        <v>7487777</v>
      </c>
      <c r="G803">
        <v>0.45</v>
      </c>
      <c r="H803" t="s">
        <v>10</v>
      </c>
      <c r="I803" t="s">
        <v>11</v>
      </c>
    </row>
    <row r="804" spans="1:9" hidden="1" x14ac:dyDescent="0.25">
      <c r="A804" t="s">
        <v>8</v>
      </c>
      <c r="B804" t="s">
        <v>14</v>
      </c>
      <c r="C804">
        <v>202007</v>
      </c>
      <c r="D804" t="str">
        <f t="shared" si="12"/>
        <v>2020</v>
      </c>
      <c r="E804">
        <v>24437</v>
      </c>
      <c r="F804">
        <v>7487777</v>
      </c>
      <c r="G804">
        <v>0.33</v>
      </c>
      <c r="H804" t="s">
        <v>10</v>
      </c>
      <c r="I804" t="s">
        <v>11</v>
      </c>
    </row>
    <row r="805" spans="1:9" hidden="1" x14ac:dyDescent="0.25">
      <c r="A805" t="s">
        <v>8</v>
      </c>
      <c r="B805" t="s">
        <v>14</v>
      </c>
      <c r="C805">
        <v>202008</v>
      </c>
      <c r="D805" t="str">
        <f t="shared" si="12"/>
        <v>2020</v>
      </c>
      <c r="E805">
        <v>25205</v>
      </c>
      <c r="F805">
        <v>7487777</v>
      </c>
      <c r="G805">
        <v>0.34</v>
      </c>
      <c r="H805" t="s">
        <v>10</v>
      </c>
      <c r="I805" t="s">
        <v>11</v>
      </c>
    </row>
    <row r="806" spans="1:9" hidden="1" x14ac:dyDescent="0.25">
      <c r="A806" t="s">
        <v>8</v>
      </c>
      <c r="B806" t="s">
        <v>14</v>
      </c>
      <c r="C806">
        <v>202009</v>
      </c>
      <c r="D806" t="str">
        <f t="shared" si="12"/>
        <v>2020</v>
      </c>
      <c r="E806">
        <v>26140</v>
      </c>
      <c r="F806">
        <v>7487777</v>
      </c>
      <c r="G806">
        <v>0.35</v>
      </c>
      <c r="H806" t="s">
        <v>10</v>
      </c>
      <c r="I806" t="s">
        <v>11</v>
      </c>
    </row>
    <row r="807" spans="1:9" hidden="1" x14ac:dyDescent="0.25">
      <c r="A807" t="s">
        <v>8</v>
      </c>
      <c r="B807" t="s">
        <v>14</v>
      </c>
      <c r="C807">
        <v>202010</v>
      </c>
      <c r="D807" t="str">
        <f t="shared" si="12"/>
        <v>2020</v>
      </c>
      <c r="E807">
        <v>27486</v>
      </c>
      <c r="F807">
        <v>7487777</v>
      </c>
      <c r="G807">
        <v>0.37</v>
      </c>
      <c r="H807" t="s">
        <v>10</v>
      </c>
      <c r="I807" t="s">
        <v>11</v>
      </c>
    </row>
    <row r="808" spans="1:9" hidden="1" x14ac:dyDescent="0.25">
      <c r="A808" t="s">
        <v>8</v>
      </c>
      <c r="B808" t="s">
        <v>14</v>
      </c>
      <c r="C808">
        <v>202011</v>
      </c>
      <c r="D808" t="str">
        <f t="shared" si="12"/>
        <v>2020</v>
      </c>
      <c r="E808">
        <v>24438</v>
      </c>
      <c r="F808">
        <v>7487777</v>
      </c>
      <c r="G808">
        <v>0.33</v>
      </c>
      <c r="H808" t="s">
        <v>10</v>
      </c>
      <c r="I808" t="s">
        <v>11</v>
      </c>
    </row>
    <row r="809" spans="1:9" hidden="1" x14ac:dyDescent="0.25">
      <c r="A809" t="s">
        <v>8</v>
      </c>
      <c r="B809" t="s">
        <v>14</v>
      </c>
      <c r="C809">
        <v>202012</v>
      </c>
      <c r="D809" t="str">
        <f t="shared" si="12"/>
        <v>2020</v>
      </c>
      <c r="E809">
        <v>26356</v>
      </c>
      <c r="F809">
        <v>7487777</v>
      </c>
      <c r="G809">
        <v>0.35</v>
      </c>
      <c r="H809" t="s">
        <v>10</v>
      </c>
      <c r="I809" t="s">
        <v>11</v>
      </c>
    </row>
    <row r="810" spans="1:9" hidden="1" x14ac:dyDescent="0.25">
      <c r="A810" t="s">
        <v>8</v>
      </c>
      <c r="B810" t="s">
        <v>14</v>
      </c>
      <c r="C810">
        <v>202101</v>
      </c>
      <c r="D810" t="str">
        <f t="shared" si="12"/>
        <v>2021</v>
      </c>
      <c r="E810">
        <v>52784</v>
      </c>
      <c r="F810">
        <v>7487777</v>
      </c>
      <c r="G810">
        <v>0.7</v>
      </c>
      <c r="H810" t="s">
        <v>10</v>
      </c>
      <c r="I810" t="s">
        <v>11</v>
      </c>
    </row>
    <row r="811" spans="1:9" hidden="1" x14ac:dyDescent="0.25">
      <c r="A811" t="s">
        <v>8</v>
      </c>
      <c r="B811" t="s">
        <v>14</v>
      </c>
      <c r="C811">
        <v>202102</v>
      </c>
      <c r="D811" t="str">
        <f t="shared" si="12"/>
        <v>2021</v>
      </c>
      <c r="E811">
        <v>36566</v>
      </c>
      <c r="F811">
        <v>7487777</v>
      </c>
      <c r="G811">
        <v>0.49</v>
      </c>
      <c r="H811" t="s">
        <v>10</v>
      </c>
      <c r="I811" t="s">
        <v>11</v>
      </c>
    </row>
    <row r="812" spans="1:9" hidden="1" x14ac:dyDescent="0.25">
      <c r="A812" t="s">
        <v>8</v>
      </c>
      <c r="B812" t="s">
        <v>14</v>
      </c>
      <c r="C812">
        <v>202103</v>
      </c>
      <c r="D812" t="str">
        <f t="shared" si="12"/>
        <v>2021</v>
      </c>
      <c r="E812">
        <v>47793</v>
      </c>
      <c r="F812">
        <v>7487777</v>
      </c>
      <c r="G812">
        <v>0.64</v>
      </c>
      <c r="H812" t="s">
        <v>10</v>
      </c>
      <c r="I812" t="s">
        <v>11</v>
      </c>
    </row>
    <row r="813" spans="1:9" hidden="1" x14ac:dyDescent="0.25">
      <c r="A813" t="s">
        <v>8</v>
      </c>
      <c r="B813" t="s">
        <v>14</v>
      </c>
      <c r="C813">
        <v>202104</v>
      </c>
      <c r="D813" t="str">
        <f t="shared" si="12"/>
        <v>2021</v>
      </c>
      <c r="E813">
        <v>46304</v>
      </c>
      <c r="F813">
        <v>7487777</v>
      </c>
      <c r="G813">
        <v>0.62</v>
      </c>
      <c r="H813" t="s">
        <v>10</v>
      </c>
      <c r="I813" t="s">
        <v>11</v>
      </c>
    </row>
    <row r="814" spans="1:9" hidden="1" x14ac:dyDescent="0.25">
      <c r="A814" t="s">
        <v>8</v>
      </c>
      <c r="B814" t="s">
        <v>14</v>
      </c>
      <c r="C814">
        <v>202105</v>
      </c>
      <c r="D814" t="str">
        <f t="shared" si="12"/>
        <v>2021</v>
      </c>
      <c r="E814">
        <v>55526</v>
      </c>
      <c r="F814">
        <v>7487777</v>
      </c>
      <c r="G814">
        <v>0.74</v>
      </c>
      <c r="H814" t="s">
        <v>10</v>
      </c>
      <c r="I814" t="s">
        <v>11</v>
      </c>
    </row>
    <row r="815" spans="1:9" hidden="1" x14ac:dyDescent="0.25">
      <c r="A815" t="s">
        <v>8</v>
      </c>
      <c r="B815" t="s">
        <v>14</v>
      </c>
      <c r="C815">
        <v>202106</v>
      </c>
      <c r="D815" t="str">
        <f t="shared" si="12"/>
        <v>2021</v>
      </c>
      <c r="E815">
        <v>59984</v>
      </c>
      <c r="F815">
        <v>7487777</v>
      </c>
      <c r="G815">
        <v>0.8</v>
      </c>
      <c r="H815" t="s">
        <v>10</v>
      </c>
      <c r="I815" t="s">
        <v>11</v>
      </c>
    </row>
    <row r="816" spans="1:9" hidden="1" x14ac:dyDescent="0.25">
      <c r="A816" t="s">
        <v>8</v>
      </c>
      <c r="B816" t="s">
        <v>14</v>
      </c>
      <c r="C816">
        <v>202107</v>
      </c>
      <c r="D816" t="str">
        <f t="shared" si="12"/>
        <v>2021</v>
      </c>
      <c r="E816">
        <v>107874</v>
      </c>
      <c r="F816">
        <v>7487777</v>
      </c>
      <c r="G816">
        <v>1.44</v>
      </c>
      <c r="H816" t="s">
        <v>10</v>
      </c>
      <c r="I816" t="s">
        <v>11</v>
      </c>
    </row>
    <row r="817" spans="1:9" hidden="1" x14ac:dyDescent="0.25">
      <c r="A817" t="s">
        <v>8</v>
      </c>
      <c r="B817" t="s">
        <v>14</v>
      </c>
      <c r="C817">
        <v>202108</v>
      </c>
      <c r="D817" t="str">
        <f t="shared" si="12"/>
        <v>2021</v>
      </c>
      <c r="E817">
        <v>109607</v>
      </c>
      <c r="F817">
        <v>7487777</v>
      </c>
      <c r="G817">
        <v>1.46</v>
      </c>
      <c r="H817" t="s">
        <v>10</v>
      </c>
      <c r="I817" t="s">
        <v>11</v>
      </c>
    </row>
    <row r="818" spans="1:9" hidden="1" x14ac:dyDescent="0.25">
      <c r="A818" t="s">
        <v>8</v>
      </c>
      <c r="B818" t="s">
        <v>14</v>
      </c>
      <c r="C818">
        <v>202109</v>
      </c>
      <c r="D818" t="str">
        <f t="shared" si="12"/>
        <v>2021</v>
      </c>
      <c r="E818">
        <v>127463</v>
      </c>
      <c r="F818">
        <v>7487777</v>
      </c>
      <c r="G818">
        <v>1.7</v>
      </c>
      <c r="H818" t="s">
        <v>10</v>
      </c>
      <c r="I818" t="s">
        <v>11</v>
      </c>
    </row>
    <row r="819" spans="1:9" hidden="1" x14ac:dyDescent="0.25">
      <c r="A819" t="s">
        <v>8</v>
      </c>
      <c r="B819" t="s">
        <v>14</v>
      </c>
      <c r="C819">
        <v>202110</v>
      </c>
      <c r="D819" t="str">
        <f t="shared" si="12"/>
        <v>2021</v>
      </c>
      <c r="E819">
        <v>195864</v>
      </c>
      <c r="F819">
        <v>7487777</v>
      </c>
      <c r="G819">
        <v>2.62</v>
      </c>
      <c r="H819" t="s">
        <v>10</v>
      </c>
      <c r="I819" t="s">
        <v>11</v>
      </c>
    </row>
    <row r="820" spans="1:9" hidden="1" x14ac:dyDescent="0.25">
      <c r="A820" t="s">
        <v>8</v>
      </c>
      <c r="B820" t="s">
        <v>14</v>
      </c>
      <c r="C820">
        <v>202111</v>
      </c>
      <c r="D820" t="str">
        <f t="shared" si="12"/>
        <v>2021</v>
      </c>
      <c r="E820">
        <v>218541</v>
      </c>
      <c r="F820">
        <v>7487777</v>
      </c>
      <c r="G820">
        <v>2.92</v>
      </c>
      <c r="H820" t="s">
        <v>10</v>
      </c>
      <c r="I820" t="s">
        <v>11</v>
      </c>
    </row>
    <row r="821" spans="1:9" hidden="1" x14ac:dyDescent="0.25">
      <c r="A821" t="s">
        <v>8</v>
      </c>
      <c r="B821" t="s">
        <v>14</v>
      </c>
      <c r="C821">
        <v>202112</v>
      </c>
      <c r="D821" t="str">
        <f t="shared" si="12"/>
        <v>2021</v>
      </c>
      <c r="E821">
        <v>219424</v>
      </c>
      <c r="F821">
        <v>7487777</v>
      </c>
      <c r="G821">
        <v>2.93</v>
      </c>
      <c r="H821" t="s">
        <v>10</v>
      </c>
      <c r="I821" t="s">
        <v>11</v>
      </c>
    </row>
    <row r="822" spans="1:9" hidden="1" x14ac:dyDescent="0.25">
      <c r="A822" t="s">
        <v>8</v>
      </c>
      <c r="B822" t="s">
        <v>14</v>
      </c>
      <c r="C822">
        <v>202201</v>
      </c>
      <c r="D822" t="str">
        <f t="shared" si="12"/>
        <v>2022</v>
      </c>
      <c r="E822">
        <v>175574</v>
      </c>
      <c r="F822">
        <v>7487777</v>
      </c>
      <c r="G822">
        <v>2.34</v>
      </c>
      <c r="H822" t="s">
        <v>10</v>
      </c>
      <c r="I822" t="s">
        <v>11</v>
      </c>
    </row>
    <row r="823" spans="1:9" hidden="1" x14ac:dyDescent="0.25">
      <c r="A823" t="s">
        <v>8</v>
      </c>
      <c r="B823" t="s">
        <v>14</v>
      </c>
      <c r="C823">
        <v>202202</v>
      </c>
      <c r="D823" t="str">
        <f t="shared" si="12"/>
        <v>2022</v>
      </c>
      <c r="E823">
        <v>148942</v>
      </c>
      <c r="F823">
        <v>7487777</v>
      </c>
      <c r="G823">
        <v>1.99</v>
      </c>
      <c r="H823" t="s">
        <v>10</v>
      </c>
      <c r="I823" t="s">
        <v>11</v>
      </c>
    </row>
    <row r="824" spans="1:9" hidden="1" x14ac:dyDescent="0.25">
      <c r="A824" t="s">
        <v>8</v>
      </c>
      <c r="B824" t="s">
        <v>14</v>
      </c>
      <c r="C824">
        <v>202203</v>
      </c>
      <c r="D824" t="str">
        <f t="shared" si="12"/>
        <v>2022</v>
      </c>
      <c r="E824">
        <v>193005</v>
      </c>
      <c r="F824">
        <v>7487777</v>
      </c>
      <c r="G824">
        <v>2.58</v>
      </c>
      <c r="H824" t="s">
        <v>10</v>
      </c>
      <c r="I824" t="s">
        <v>11</v>
      </c>
    </row>
    <row r="825" spans="1:9" hidden="1" x14ac:dyDescent="0.25">
      <c r="A825" t="s">
        <v>8</v>
      </c>
      <c r="B825" t="s">
        <v>14</v>
      </c>
      <c r="C825">
        <v>202204</v>
      </c>
      <c r="D825" t="str">
        <f t="shared" si="12"/>
        <v>2022</v>
      </c>
      <c r="E825">
        <v>165736</v>
      </c>
      <c r="F825">
        <v>7487777</v>
      </c>
      <c r="G825">
        <v>2.21</v>
      </c>
      <c r="H825" t="s">
        <v>10</v>
      </c>
      <c r="I825" t="s">
        <v>11</v>
      </c>
    </row>
    <row r="826" spans="1:9" hidden="1" x14ac:dyDescent="0.25">
      <c r="A826" t="s">
        <v>8</v>
      </c>
      <c r="B826" t="s">
        <v>14</v>
      </c>
      <c r="C826">
        <v>202205</v>
      </c>
      <c r="D826" t="str">
        <f t="shared" si="12"/>
        <v>2022</v>
      </c>
      <c r="E826">
        <v>169184</v>
      </c>
      <c r="F826">
        <v>7487777</v>
      </c>
      <c r="G826">
        <v>2.2599999999999998</v>
      </c>
      <c r="H826" t="s">
        <v>10</v>
      </c>
      <c r="I826" t="s">
        <v>11</v>
      </c>
    </row>
    <row r="827" spans="1:9" hidden="1" x14ac:dyDescent="0.25">
      <c r="A827" t="s">
        <v>8</v>
      </c>
      <c r="B827" t="s">
        <v>14</v>
      </c>
      <c r="C827">
        <v>202206</v>
      </c>
      <c r="D827" t="str">
        <f t="shared" si="12"/>
        <v>2022</v>
      </c>
      <c r="E827">
        <v>173064</v>
      </c>
      <c r="F827">
        <v>7487777</v>
      </c>
      <c r="G827">
        <v>2.31</v>
      </c>
      <c r="H827" t="s">
        <v>10</v>
      </c>
      <c r="I827" t="s">
        <v>11</v>
      </c>
    </row>
    <row r="828" spans="1:9" hidden="1" x14ac:dyDescent="0.25">
      <c r="A828" t="s">
        <v>8</v>
      </c>
      <c r="B828" t="s">
        <v>14</v>
      </c>
      <c r="C828">
        <v>202207</v>
      </c>
      <c r="D828" t="str">
        <f t="shared" si="12"/>
        <v>2022</v>
      </c>
      <c r="E828">
        <v>160452</v>
      </c>
      <c r="F828">
        <v>7487777</v>
      </c>
      <c r="G828">
        <v>2.14</v>
      </c>
      <c r="H828" t="s">
        <v>10</v>
      </c>
      <c r="I828" t="s">
        <v>11</v>
      </c>
    </row>
    <row r="829" spans="1:9" hidden="1" x14ac:dyDescent="0.25">
      <c r="A829" t="s">
        <v>8</v>
      </c>
      <c r="B829" t="s">
        <v>14</v>
      </c>
      <c r="C829">
        <v>202208</v>
      </c>
      <c r="D829" t="str">
        <f t="shared" si="12"/>
        <v>2022</v>
      </c>
      <c r="E829">
        <v>176647</v>
      </c>
      <c r="F829">
        <v>7487777</v>
      </c>
      <c r="G829">
        <v>2.36</v>
      </c>
      <c r="H829" t="s">
        <v>10</v>
      </c>
      <c r="I829" t="s">
        <v>11</v>
      </c>
    </row>
    <row r="830" spans="1:9" hidden="1" x14ac:dyDescent="0.25">
      <c r="A830" t="s">
        <v>8</v>
      </c>
      <c r="B830" t="s">
        <v>14</v>
      </c>
      <c r="C830">
        <v>202209</v>
      </c>
      <c r="D830" t="str">
        <f t="shared" si="12"/>
        <v>2022</v>
      </c>
      <c r="E830">
        <v>165691</v>
      </c>
      <c r="F830">
        <v>7487777</v>
      </c>
      <c r="G830">
        <v>2.21</v>
      </c>
      <c r="H830" t="s">
        <v>10</v>
      </c>
      <c r="I830" t="s">
        <v>11</v>
      </c>
    </row>
    <row r="831" spans="1:9" hidden="1" x14ac:dyDescent="0.25">
      <c r="A831" t="s">
        <v>8</v>
      </c>
      <c r="B831" t="s">
        <v>14</v>
      </c>
      <c r="C831">
        <v>202210</v>
      </c>
      <c r="D831" t="str">
        <f t="shared" si="12"/>
        <v>2022</v>
      </c>
      <c r="E831">
        <v>170877</v>
      </c>
      <c r="F831">
        <v>7487777</v>
      </c>
      <c r="G831">
        <v>2.2799999999999998</v>
      </c>
      <c r="H831" t="s">
        <v>10</v>
      </c>
      <c r="I831" t="s">
        <v>11</v>
      </c>
    </row>
    <row r="832" spans="1:9" hidden="1" x14ac:dyDescent="0.25">
      <c r="A832" t="s">
        <v>8</v>
      </c>
      <c r="B832" t="s">
        <v>14</v>
      </c>
      <c r="C832">
        <v>202211</v>
      </c>
      <c r="D832" t="str">
        <f t="shared" si="12"/>
        <v>2022</v>
      </c>
      <c r="E832">
        <v>167342</v>
      </c>
      <c r="F832">
        <v>7487777</v>
      </c>
      <c r="G832">
        <v>2.23</v>
      </c>
      <c r="H832" t="s">
        <v>10</v>
      </c>
      <c r="I832" t="s">
        <v>11</v>
      </c>
    </row>
    <row r="833" spans="1:9" hidden="1" x14ac:dyDescent="0.25">
      <c r="A833" t="s">
        <v>8</v>
      </c>
      <c r="B833" t="s">
        <v>14</v>
      </c>
      <c r="C833">
        <v>202212</v>
      </c>
      <c r="D833" t="str">
        <f t="shared" si="12"/>
        <v>2022</v>
      </c>
      <c r="E833">
        <v>156689</v>
      </c>
      <c r="F833">
        <v>7487777</v>
      </c>
      <c r="G833">
        <v>2.09</v>
      </c>
      <c r="H833" t="s">
        <v>10</v>
      </c>
      <c r="I833" t="s">
        <v>11</v>
      </c>
    </row>
    <row r="834" spans="1:9" hidden="1" x14ac:dyDescent="0.25">
      <c r="A834" t="s">
        <v>8</v>
      </c>
      <c r="B834" t="s">
        <v>14</v>
      </c>
      <c r="C834">
        <v>202301</v>
      </c>
      <c r="D834" t="str">
        <f t="shared" si="12"/>
        <v>2023</v>
      </c>
      <c r="E834">
        <v>179273</v>
      </c>
      <c r="F834">
        <v>7487777</v>
      </c>
      <c r="G834">
        <v>2.39</v>
      </c>
      <c r="H834" t="s">
        <v>10</v>
      </c>
      <c r="I834" t="s">
        <v>11</v>
      </c>
    </row>
    <row r="835" spans="1:9" hidden="1" x14ac:dyDescent="0.25">
      <c r="A835" t="s">
        <v>8</v>
      </c>
      <c r="B835" t="s">
        <v>14</v>
      </c>
      <c r="C835">
        <v>202302</v>
      </c>
      <c r="D835" t="str">
        <f t="shared" ref="D835:D898" si="13">LEFT(C835,4)</f>
        <v>2023</v>
      </c>
      <c r="E835">
        <v>172210</v>
      </c>
      <c r="F835">
        <v>7487777</v>
      </c>
      <c r="G835">
        <v>2.2999999999999998</v>
      </c>
      <c r="H835" t="s">
        <v>10</v>
      </c>
      <c r="I835" t="s">
        <v>11</v>
      </c>
    </row>
    <row r="836" spans="1:9" hidden="1" x14ac:dyDescent="0.25">
      <c r="A836" t="s">
        <v>8</v>
      </c>
      <c r="B836" t="s">
        <v>14</v>
      </c>
      <c r="C836">
        <v>202303</v>
      </c>
      <c r="D836" t="str">
        <f t="shared" si="13"/>
        <v>2023</v>
      </c>
      <c r="E836">
        <v>190802</v>
      </c>
      <c r="F836">
        <v>7487777</v>
      </c>
      <c r="G836">
        <v>2.5499999999999998</v>
      </c>
      <c r="H836" t="s">
        <v>10</v>
      </c>
      <c r="I836" t="s">
        <v>11</v>
      </c>
    </row>
    <row r="837" spans="1:9" hidden="1" x14ac:dyDescent="0.25">
      <c r="A837" t="s">
        <v>8</v>
      </c>
      <c r="B837" t="s">
        <v>14</v>
      </c>
      <c r="C837">
        <v>202304</v>
      </c>
      <c r="D837" t="str">
        <f t="shared" si="13"/>
        <v>2023</v>
      </c>
      <c r="E837">
        <v>171256</v>
      </c>
      <c r="F837">
        <v>7487777</v>
      </c>
      <c r="G837">
        <v>2.29</v>
      </c>
      <c r="H837" t="s">
        <v>10</v>
      </c>
      <c r="I837" t="s">
        <v>11</v>
      </c>
    </row>
    <row r="838" spans="1:9" hidden="1" x14ac:dyDescent="0.25">
      <c r="A838" t="s">
        <v>8</v>
      </c>
      <c r="B838" t="s">
        <v>14</v>
      </c>
      <c r="C838">
        <v>202305</v>
      </c>
      <c r="D838" t="str">
        <f t="shared" si="13"/>
        <v>2023</v>
      </c>
      <c r="E838">
        <v>178591</v>
      </c>
      <c r="F838">
        <v>7487777</v>
      </c>
      <c r="G838">
        <v>2.39</v>
      </c>
      <c r="H838" t="s">
        <v>10</v>
      </c>
      <c r="I838" t="s">
        <v>11</v>
      </c>
    </row>
    <row r="839" spans="1:9" hidden="1" x14ac:dyDescent="0.25">
      <c r="A839" t="s">
        <v>8</v>
      </c>
      <c r="B839" t="s">
        <v>14</v>
      </c>
      <c r="C839">
        <v>202306</v>
      </c>
      <c r="D839" t="str">
        <f t="shared" si="13"/>
        <v>2023</v>
      </c>
      <c r="E839">
        <v>174798</v>
      </c>
      <c r="F839">
        <v>7487777</v>
      </c>
      <c r="G839">
        <v>2.33</v>
      </c>
      <c r="H839" t="s">
        <v>10</v>
      </c>
      <c r="I839" t="s">
        <v>11</v>
      </c>
    </row>
    <row r="840" spans="1:9" hidden="1" x14ac:dyDescent="0.25">
      <c r="A840" t="s">
        <v>8</v>
      </c>
      <c r="B840" t="s">
        <v>14</v>
      </c>
      <c r="C840">
        <v>202307</v>
      </c>
      <c r="D840" t="str">
        <f t="shared" si="13"/>
        <v>2023</v>
      </c>
      <c r="E840">
        <v>157370</v>
      </c>
      <c r="F840">
        <v>7487777</v>
      </c>
      <c r="G840">
        <v>2.1</v>
      </c>
      <c r="H840" t="s">
        <v>10</v>
      </c>
      <c r="I840" t="s">
        <v>11</v>
      </c>
    </row>
    <row r="841" spans="1:9" hidden="1" x14ac:dyDescent="0.25">
      <c r="A841" t="s">
        <v>8</v>
      </c>
      <c r="B841" t="s">
        <v>14</v>
      </c>
      <c r="C841">
        <v>202308</v>
      </c>
      <c r="D841" t="str">
        <f t="shared" si="13"/>
        <v>2023</v>
      </c>
      <c r="E841">
        <v>175747</v>
      </c>
      <c r="F841">
        <v>7487777</v>
      </c>
      <c r="G841">
        <v>2.35</v>
      </c>
      <c r="H841" t="s">
        <v>10</v>
      </c>
      <c r="I841" t="s">
        <v>11</v>
      </c>
    </row>
    <row r="842" spans="1:9" hidden="1" x14ac:dyDescent="0.25">
      <c r="A842" t="s">
        <v>8</v>
      </c>
      <c r="B842" t="s">
        <v>14</v>
      </c>
      <c r="C842">
        <v>202309</v>
      </c>
      <c r="D842" t="str">
        <f t="shared" si="13"/>
        <v>2023</v>
      </c>
      <c r="E842">
        <v>163664</v>
      </c>
      <c r="F842">
        <v>7487777</v>
      </c>
      <c r="G842">
        <v>2.19</v>
      </c>
      <c r="H842" t="s">
        <v>10</v>
      </c>
      <c r="I842" t="s">
        <v>11</v>
      </c>
    </row>
    <row r="843" spans="1:9" hidden="1" x14ac:dyDescent="0.25">
      <c r="A843" t="s">
        <v>8</v>
      </c>
      <c r="B843" t="s">
        <v>14</v>
      </c>
      <c r="C843">
        <v>202310</v>
      </c>
      <c r="D843" t="str">
        <f t="shared" si="13"/>
        <v>2023</v>
      </c>
      <c r="E843">
        <v>178404</v>
      </c>
      <c r="F843">
        <v>7487777</v>
      </c>
      <c r="G843">
        <v>2.38</v>
      </c>
      <c r="H843" t="s">
        <v>10</v>
      </c>
      <c r="I843" t="s">
        <v>11</v>
      </c>
    </row>
    <row r="844" spans="1:9" hidden="1" x14ac:dyDescent="0.25">
      <c r="A844" t="s">
        <v>8</v>
      </c>
      <c r="B844" t="s">
        <v>14</v>
      </c>
      <c r="C844">
        <v>202311</v>
      </c>
      <c r="D844" t="str">
        <f t="shared" si="13"/>
        <v>2023</v>
      </c>
      <c r="E844">
        <v>164350</v>
      </c>
      <c r="F844">
        <v>7487777</v>
      </c>
      <c r="G844">
        <v>2.19</v>
      </c>
      <c r="H844" t="s">
        <v>10</v>
      </c>
      <c r="I844" t="s">
        <v>11</v>
      </c>
    </row>
    <row r="845" spans="1:9" hidden="1" x14ac:dyDescent="0.25">
      <c r="A845" t="s">
        <v>8</v>
      </c>
      <c r="B845" t="s">
        <v>14</v>
      </c>
      <c r="C845">
        <v>202312</v>
      </c>
      <c r="D845" t="str">
        <f t="shared" si="13"/>
        <v>2023</v>
      </c>
      <c r="E845">
        <v>158345</v>
      </c>
      <c r="F845">
        <v>7487777</v>
      </c>
      <c r="G845">
        <v>2.11</v>
      </c>
      <c r="H845" t="s">
        <v>10</v>
      </c>
      <c r="I845" t="s">
        <v>11</v>
      </c>
    </row>
    <row r="846" spans="1:9" hidden="1" x14ac:dyDescent="0.25">
      <c r="A846" t="s">
        <v>8</v>
      </c>
      <c r="B846" t="s">
        <v>14</v>
      </c>
      <c r="C846">
        <v>202401</v>
      </c>
      <c r="D846" t="str">
        <f t="shared" si="13"/>
        <v>2024</v>
      </c>
      <c r="E846">
        <v>246335</v>
      </c>
      <c r="F846">
        <v>7487777</v>
      </c>
      <c r="G846">
        <v>3.29</v>
      </c>
      <c r="H846" t="s">
        <v>10</v>
      </c>
      <c r="I846" t="s">
        <v>11</v>
      </c>
    </row>
    <row r="847" spans="1:9" hidden="1" x14ac:dyDescent="0.25">
      <c r="A847" t="s">
        <v>8</v>
      </c>
      <c r="B847" t="s">
        <v>14</v>
      </c>
      <c r="C847">
        <v>202402</v>
      </c>
      <c r="D847" t="str">
        <f t="shared" si="13"/>
        <v>2024</v>
      </c>
      <c r="E847">
        <v>252158</v>
      </c>
      <c r="F847">
        <v>7487777</v>
      </c>
      <c r="G847">
        <v>3.37</v>
      </c>
      <c r="H847" t="s">
        <v>10</v>
      </c>
      <c r="I847" t="s">
        <v>11</v>
      </c>
    </row>
    <row r="848" spans="1:9" hidden="1" x14ac:dyDescent="0.25">
      <c r="A848" t="s">
        <v>8</v>
      </c>
      <c r="B848" t="s">
        <v>14</v>
      </c>
      <c r="C848">
        <v>202403</v>
      </c>
      <c r="D848" t="str">
        <f t="shared" si="13"/>
        <v>2024</v>
      </c>
      <c r="E848">
        <v>252396</v>
      </c>
      <c r="F848">
        <v>7487777</v>
      </c>
      <c r="G848">
        <v>3.37</v>
      </c>
      <c r="H848" t="s">
        <v>10</v>
      </c>
      <c r="I848" t="s">
        <v>11</v>
      </c>
    </row>
    <row r="849" spans="1:9" hidden="1" x14ac:dyDescent="0.25">
      <c r="A849" t="s">
        <v>8</v>
      </c>
      <c r="B849" t="s">
        <v>14</v>
      </c>
      <c r="C849">
        <v>202404</v>
      </c>
      <c r="D849" t="str">
        <f t="shared" si="13"/>
        <v>2024</v>
      </c>
      <c r="E849">
        <v>270278</v>
      </c>
      <c r="F849">
        <v>7487777</v>
      </c>
      <c r="G849">
        <v>3.61</v>
      </c>
      <c r="H849" t="s">
        <v>10</v>
      </c>
      <c r="I849" t="s">
        <v>11</v>
      </c>
    </row>
    <row r="850" spans="1:9" hidden="1" x14ac:dyDescent="0.25">
      <c r="A850" t="s">
        <v>8</v>
      </c>
      <c r="B850" t="s">
        <v>14</v>
      </c>
      <c r="C850">
        <v>202405</v>
      </c>
      <c r="D850" t="str">
        <f t="shared" si="13"/>
        <v>2024</v>
      </c>
      <c r="E850">
        <v>258314</v>
      </c>
      <c r="F850">
        <v>7487777</v>
      </c>
      <c r="G850">
        <v>3.45</v>
      </c>
      <c r="H850" t="s">
        <v>10</v>
      </c>
      <c r="I850" t="s">
        <v>11</v>
      </c>
    </row>
    <row r="851" spans="1:9" hidden="1" x14ac:dyDescent="0.25">
      <c r="A851" t="s">
        <v>8</v>
      </c>
      <c r="B851" t="s">
        <v>14</v>
      </c>
      <c r="C851">
        <v>202406</v>
      </c>
      <c r="D851" t="str">
        <f t="shared" si="13"/>
        <v>2024</v>
      </c>
      <c r="E851">
        <v>242759</v>
      </c>
      <c r="F851">
        <v>7487777</v>
      </c>
      <c r="G851">
        <v>3.24</v>
      </c>
      <c r="H851" t="s">
        <v>10</v>
      </c>
      <c r="I851" t="s">
        <v>11</v>
      </c>
    </row>
    <row r="852" spans="1:9" hidden="1" x14ac:dyDescent="0.25">
      <c r="A852" t="s">
        <v>8</v>
      </c>
      <c r="B852" t="s">
        <v>14</v>
      </c>
      <c r="C852">
        <v>202407</v>
      </c>
      <c r="D852" t="str">
        <f t="shared" si="13"/>
        <v>2024</v>
      </c>
      <c r="E852">
        <v>225078</v>
      </c>
      <c r="F852">
        <v>7487777</v>
      </c>
      <c r="G852">
        <v>3.01</v>
      </c>
      <c r="H852" t="s">
        <v>10</v>
      </c>
      <c r="I852" t="s">
        <v>11</v>
      </c>
    </row>
    <row r="853" spans="1:9" hidden="1" x14ac:dyDescent="0.25">
      <c r="A853" t="s">
        <v>8</v>
      </c>
      <c r="B853" t="s">
        <v>14</v>
      </c>
      <c r="C853">
        <v>202408</v>
      </c>
      <c r="D853" t="str">
        <f t="shared" si="13"/>
        <v>2024</v>
      </c>
      <c r="E853">
        <v>48505</v>
      </c>
      <c r="F853">
        <v>7487777</v>
      </c>
      <c r="G853">
        <v>0.65</v>
      </c>
      <c r="H853" t="s">
        <v>10</v>
      </c>
      <c r="I853" t="s">
        <v>11</v>
      </c>
    </row>
    <row r="854" spans="1:9" hidden="1" x14ac:dyDescent="0.25">
      <c r="A854" t="s">
        <v>8</v>
      </c>
      <c r="B854" t="s">
        <v>21</v>
      </c>
      <c r="C854">
        <v>201703</v>
      </c>
      <c r="D854" t="str">
        <f t="shared" si="13"/>
        <v>2017</v>
      </c>
      <c r="E854">
        <v>5</v>
      </c>
      <c r="F854">
        <v>7124623</v>
      </c>
      <c r="G854">
        <v>0</v>
      </c>
      <c r="H854" t="s">
        <v>10</v>
      </c>
      <c r="I854" t="s">
        <v>11</v>
      </c>
    </row>
    <row r="855" spans="1:9" hidden="1" x14ac:dyDescent="0.25">
      <c r="A855" t="s">
        <v>8</v>
      </c>
      <c r="B855" t="s">
        <v>21</v>
      </c>
      <c r="C855">
        <v>201705</v>
      </c>
      <c r="D855" t="str">
        <f t="shared" si="13"/>
        <v>2017</v>
      </c>
      <c r="E855">
        <v>3</v>
      </c>
      <c r="F855">
        <v>7124623</v>
      </c>
      <c r="G855">
        <v>0</v>
      </c>
      <c r="H855" t="s">
        <v>10</v>
      </c>
      <c r="I855" t="s">
        <v>11</v>
      </c>
    </row>
    <row r="856" spans="1:9" hidden="1" x14ac:dyDescent="0.25">
      <c r="A856" t="s">
        <v>8</v>
      </c>
      <c r="B856" t="s">
        <v>21</v>
      </c>
      <c r="C856">
        <v>201706</v>
      </c>
      <c r="D856" t="str">
        <f t="shared" si="13"/>
        <v>2017</v>
      </c>
      <c r="E856">
        <v>4</v>
      </c>
      <c r="F856">
        <v>7124623</v>
      </c>
      <c r="G856">
        <v>0</v>
      </c>
      <c r="H856" t="s">
        <v>10</v>
      </c>
      <c r="I856" t="s">
        <v>11</v>
      </c>
    </row>
    <row r="857" spans="1:9" hidden="1" x14ac:dyDescent="0.25">
      <c r="A857" t="s">
        <v>8</v>
      </c>
      <c r="B857" t="s">
        <v>21</v>
      </c>
      <c r="C857">
        <v>201707</v>
      </c>
      <c r="D857" t="str">
        <f t="shared" si="13"/>
        <v>2017</v>
      </c>
      <c r="E857">
        <v>7</v>
      </c>
      <c r="F857">
        <v>7124623</v>
      </c>
      <c r="G857">
        <v>0</v>
      </c>
      <c r="H857" t="s">
        <v>10</v>
      </c>
      <c r="I857" t="s">
        <v>11</v>
      </c>
    </row>
    <row r="858" spans="1:9" hidden="1" x14ac:dyDescent="0.25">
      <c r="A858" t="s">
        <v>8</v>
      </c>
      <c r="B858" t="s">
        <v>21</v>
      </c>
      <c r="C858">
        <v>201708</v>
      </c>
      <c r="D858" t="str">
        <f t="shared" si="13"/>
        <v>2017</v>
      </c>
      <c r="E858">
        <v>9</v>
      </c>
      <c r="F858">
        <v>7124623</v>
      </c>
      <c r="G858">
        <v>0</v>
      </c>
      <c r="H858" t="s">
        <v>10</v>
      </c>
      <c r="I858" t="s">
        <v>11</v>
      </c>
    </row>
    <row r="859" spans="1:9" hidden="1" x14ac:dyDescent="0.25">
      <c r="A859" t="s">
        <v>8</v>
      </c>
      <c r="B859" t="s">
        <v>21</v>
      </c>
      <c r="C859">
        <v>201709</v>
      </c>
      <c r="D859" t="str">
        <f t="shared" si="13"/>
        <v>2017</v>
      </c>
      <c r="E859">
        <v>7</v>
      </c>
      <c r="F859">
        <v>7124623</v>
      </c>
      <c r="G859">
        <v>0</v>
      </c>
      <c r="H859" t="s">
        <v>10</v>
      </c>
      <c r="I859" t="s">
        <v>11</v>
      </c>
    </row>
    <row r="860" spans="1:9" hidden="1" x14ac:dyDescent="0.25">
      <c r="A860" t="s">
        <v>8</v>
      </c>
      <c r="B860" t="s">
        <v>21</v>
      </c>
      <c r="C860">
        <v>201710</v>
      </c>
      <c r="D860" t="str">
        <f t="shared" si="13"/>
        <v>2017</v>
      </c>
      <c r="E860">
        <v>3</v>
      </c>
      <c r="F860">
        <v>7124623</v>
      </c>
      <c r="G860">
        <v>0</v>
      </c>
      <c r="H860" t="s">
        <v>10</v>
      </c>
      <c r="I860" t="s">
        <v>11</v>
      </c>
    </row>
    <row r="861" spans="1:9" hidden="1" x14ac:dyDescent="0.25">
      <c r="A861" t="s">
        <v>8</v>
      </c>
      <c r="B861" t="s">
        <v>21</v>
      </c>
      <c r="C861">
        <v>201711</v>
      </c>
      <c r="D861" t="str">
        <f t="shared" si="13"/>
        <v>2017</v>
      </c>
      <c r="E861">
        <v>4</v>
      </c>
      <c r="F861">
        <v>7124623</v>
      </c>
      <c r="G861">
        <v>0</v>
      </c>
      <c r="H861" t="s">
        <v>10</v>
      </c>
      <c r="I861" t="s">
        <v>11</v>
      </c>
    </row>
    <row r="862" spans="1:9" hidden="1" x14ac:dyDescent="0.25">
      <c r="A862" t="s">
        <v>8</v>
      </c>
      <c r="B862" t="s">
        <v>21</v>
      </c>
      <c r="C862">
        <v>201712</v>
      </c>
      <c r="D862" t="str">
        <f t="shared" si="13"/>
        <v>2017</v>
      </c>
      <c r="E862">
        <v>6</v>
      </c>
      <c r="F862">
        <v>7124623</v>
      </c>
      <c r="G862">
        <v>0</v>
      </c>
      <c r="H862" t="s">
        <v>10</v>
      </c>
      <c r="I862" t="s">
        <v>11</v>
      </c>
    </row>
    <row r="863" spans="1:9" hidden="1" x14ac:dyDescent="0.25">
      <c r="A863" t="s">
        <v>8</v>
      </c>
      <c r="B863" t="s">
        <v>21</v>
      </c>
      <c r="C863">
        <v>201803</v>
      </c>
      <c r="D863" t="str">
        <f t="shared" si="13"/>
        <v>2018</v>
      </c>
      <c r="E863">
        <v>4</v>
      </c>
      <c r="F863">
        <v>7124623</v>
      </c>
      <c r="G863">
        <v>0</v>
      </c>
      <c r="H863" t="s">
        <v>10</v>
      </c>
      <c r="I863" t="s">
        <v>11</v>
      </c>
    </row>
    <row r="864" spans="1:9" hidden="1" x14ac:dyDescent="0.25">
      <c r="A864" t="s">
        <v>8</v>
      </c>
      <c r="B864" t="s">
        <v>21</v>
      </c>
      <c r="C864">
        <v>201804</v>
      </c>
      <c r="D864" t="str">
        <f t="shared" si="13"/>
        <v>2018</v>
      </c>
      <c r="E864">
        <v>5</v>
      </c>
      <c r="F864">
        <v>7124623</v>
      </c>
      <c r="G864">
        <v>0</v>
      </c>
      <c r="H864" t="s">
        <v>10</v>
      </c>
      <c r="I864" t="s">
        <v>11</v>
      </c>
    </row>
    <row r="865" spans="1:9" hidden="1" x14ac:dyDescent="0.25">
      <c r="A865" t="s">
        <v>8</v>
      </c>
      <c r="B865" t="s">
        <v>21</v>
      </c>
      <c r="C865">
        <v>201805</v>
      </c>
      <c r="D865" t="str">
        <f t="shared" si="13"/>
        <v>2018</v>
      </c>
      <c r="E865">
        <v>19</v>
      </c>
      <c r="F865">
        <v>7124623</v>
      </c>
      <c r="G865">
        <v>0</v>
      </c>
      <c r="H865" t="s">
        <v>10</v>
      </c>
      <c r="I865" t="s">
        <v>11</v>
      </c>
    </row>
    <row r="866" spans="1:9" hidden="1" x14ac:dyDescent="0.25">
      <c r="A866" t="s">
        <v>8</v>
      </c>
      <c r="B866" t="s">
        <v>21</v>
      </c>
      <c r="C866">
        <v>201806</v>
      </c>
      <c r="D866" t="str">
        <f t="shared" si="13"/>
        <v>2018</v>
      </c>
      <c r="E866">
        <v>10</v>
      </c>
      <c r="F866">
        <v>7124623</v>
      </c>
      <c r="G866">
        <v>0</v>
      </c>
      <c r="H866" t="s">
        <v>10</v>
      </c>
      <c r="I866" t="s">
        <v>11</v>
      </c>
    </row>
    <row r="867" spans="1:9" hidden="1" x14ac:dyDescent="0.25">
      <c r="A867" t="s">
        <v>8</v>
      </c>
      <c r="B867" t="s">
        <v>21</v>
      </c>
      <c r="C867">
        <v>201807</v>
      </c>
      <c r="D867" t="str">
        <f t="shared" si="13"/>
        <v>2018</v>
      </c>
      <c r="E867">
        <v>13</v>
      </c>
      <c r="F867">
        <v>7124623</v>
      </c>
      <c r="G867">
        <v>0</v>
      </c>
      <c r="H867" t="s">
        <v>10</v>
      </c>
      <c r="I867" t="s">
        <v>11</v>
      </c>
    </row>
    <row r="868" spans="1:9" hidden="1" x14ac:dyDescent="0.25">
      <c r="A868" t="s">
        <v>8</v>
      </c>
      <c r="B868" t="s">
        <v>21</v>
      </c>
      <c r="C868">
        <v>201808</v>
      </c>
      <c r="D868" t="str">
        <f t="shared" si="13"/>
        <v>2018</v>
      </c>
      <c r="E868">
        <v>49</v>
      </c>
      <c r="F868">
        <v>7124623</v>
      </c>
      <c r="G868">
        <v>0</v>
      </c>
      <c r="H868" t="s">
        <v>10</v>
      </c>
      <c r="I868" t="s">
        <v>11</v>
      </c>
    </row>
    <row r="869" spans="1:9" hidden="1" x14ac:dyDescent="0.25">
      <c r="A869" t="s">
        <v>8</v>
      </c>
      <c r="B869" t="s">
        <v>21</v>
      </c>
      <c r="C869">
        <v>201809</v>
      </c>
      <c r="D869" t="str">
        <f t="shared" si="13"/>
        <v>2018</v>
      </c>
      <c r="E869">
        <v>2</v>
      </c>
      <c r="F869">
        <v>7124623</v>
      </c>
      <c r="G869">
        <v>0</v>
      </c>
      <c r="H869" t="s">
        <v>10</v>
      </c>
      <c r="I869" t="s">
        <v>11</v>
      </c>
    </row>
    <row r="870" spans="1:9" hidden="1" x14ac:dyDescent="0.25">
      <c r="A870" t="s">
        <v>8</v>
      </c>
      <c r="B870" t="s">
        <v>21</v>
      </c>
      <c r="C870">
        <v>201810</v>
      </c>
      <c r="D870" t="str">
        <f t="shared" si="13"/>
        <v>2018</v>
      </c>
      <c r="E870">
        <v>8</v>
      </c>
      <c r="F870">
        <v>7124623</v>
      </c>
      <c r="G870">
        <v>0</v>
      </c>
      <c r="H870" t="s">
        <v>10</v>
      </c>
      <c r="I870" t="s">
        <v>11</v>
      </c>
    </row>
    <row r="871" spans="1:9" hidden="1" x14ac:dyDescent="0.25">
      <c r="A871" t="s">
        <v>8</v>
      </c>
      <c r="B871" t="s">
        <v>21</v>
      </c>
      <c r="C871">
        <v>201811</v>
      </c>
      <c r="D871" t="str">
        <f t="shared" si="13"/>
        <v>2018</v>
      </c>
      <c r="E871">
        <v>1</v>
      </c>
      <c r="F871">
        <v>7124623</v>
      </c>
      <c r="G871">
        <v>0</v>
      </c>
      <c r="H871" t="s">
        <v>10</v>
      </c>
      <c r="I871" t="s">
        <v>11</v>
      </c>
    </row>
    <row r="872" spans="1:9" hidden="1" x14ac:dyDescent="0.25">
      <c r="A872" t="s">
        <v>8</v>
      </c>
      <c r="B872" t="s">
        <v>21</v>
      </c>
      <c r="C872">
        <v>201812</v>
      </c>
      <c r="D872" t="str">
        <f t="shared" si="13"/>
        <v>2018</v>
      </c>
      <c r="E872">
        <v>15</v>
      </c>
      <c r="F872">
        <v>7124623</v>
      </c>
      <c r="G872">
        <v>0</v>
      </c>
      <c r="H872" t="s">
        <v>10</v>
      </c>
      <c r="I872" t="s">
        <v>11</v>
      </c>
    </row>
    <row r="873" spans="1:9" hidden="1" x14ac:dyDescent="0.25">
      <c r="A873" t="s">
        <v>8</v>
      </c>
      <c r="B873" t="s">
        <v>21</v>
      </c>
      <c r="C873">
        <v>201901</v>
      </c>
      <c r="D873" t="str">
        <f t="shared" si="13"/>
        <v>2019</v>
      </c>
      <c r="E873">
        <v>506</v>
      </c>
      <c r="F873">
        <v>7124623</v>
      </c>
      <c r="G873">
        <v>0.01</v>
      </c>
      <c r="H873" t="s">
        <v>10</v>
      </c>
      <c r="I873" t="s">
        <v>11</v>
      </c>
    </row>
    <row r="874" spans="1:9" hidden="1" x14ac:dyDescent="0.25">
      <c r="A874" t="s">
        <v>8</v>
      </c>
      <c r="B874" t="s">
        <v>21</v>
      </c>
      <c r="C874">
        <v>201902</v>
      </c>
      <c r="D874" t="str">
        <f t="shared" si="13"/>
        <v>2019</v>
      </c>
      <c r="E874">
        <v>378</v>
      </c>
      <c r="F874">
        <v>7124623</v>
      </c>
      <c r="G874">
        <v>0.01</v>
      </c>
      <c r="H874" t="s">
        <v>10</v>
      </c>
      <c r="I874" t="s">
        <v>11</v>
      </c>
    </row>
    <row r="875" spans="1:9" hidden="1" x14ac:dyDescent="0.25">
      <c r="A875" t="s">
        <v>8</v>
      </c>
      <c r="B875" t="s">
        <v>21</v>
      </c>
      <c r="C875">
        <v>201903</v>
      </c>
      <c r="D875" t="str">
        <f t="shared" si="13"/>
        <v>2019</v>
      </c>
      <c r="E875">
        <v>541</v>
      </c>
      <c r="F875">
        <v>7124623</v>
      </c>
      <c r="G875">
        <v>0.01</v>
      </c>
      <c r="H875" t="s">
        <v>10</v>
      </c>
      <c r="I875" t="s">
        <v>11</v>
      </c>
    </row>
    <row r="876" spans="1:9" hidden="1" x14ac:dyDescent="0.25">
      <c r="A876" t="s">
        <v>8</v>
      </c>
      <c r="B876" t="s">
        <v>21</v>
      </c>
      <c r="C876">
        <v>201904</v>
      </c>
      <c r="D876" t="str">
        <f t="shared" si="13"/>
        <v>2019</v>
      </c>
      <c r="E876">
        <v>647</v>
      </c>
      <c r="F876">
        <v>7124623</v>
      </c>
      <c r="G876">
        <v>0.01</v>
      </c>
      <c r="H876" t="s">
        <v>10</v>
      </c>
      <c r="I876" t="s">
        <v>11</v>
      </c>
    </row>
    <row r="877" spans="1:9" hidden="1" x14ac:dyDescent="0.25">
      <c r="A877" t="s">
        <v>8</v>
      </c>
      <c r="B877" t="s">
        <v>21</v>
      </c>
      <c r="C877">
        <v>201905</v>
      </c>
      <c r="D877" t="str">
        <f t="shared" si="13"/>
        <v>2019</v>
      </c>
      <c r="E877">
        <v>494</v>
      </c>
      <c r="F877">
        <v>7124623</v>
      </c>
      <c r="G877">
        <v>0.01</v>
      </c>
      <c r="H877" t="s">
        <v>10</v>
      </c>
      <c r="I877" t="s">
        <v>11</v>
      </c>
    </row>
    <row r="878" spans="1:9" hidden="1" x14ac:dyDescent="0.25">
      <c r="A878" t="s">
        <v>8</v>
      </c>
      <c r="B878" t="s">
        <v>21</v>
      </c>
      <c r="C878">
        <v>201906</v>
      </c>
      <c r="D878" t="str">
        <f t="shared" si="13"/>
        <v>2019</v>
      </c>
      <c r="E878">
        <v>586</v>
      </c>
      <c r="F878">
        <v>7124623</v>
      </c>
      <c r="G878">
        <v>0.01</v>
      </c>
      <c r="H878" t="s">
        <v>10</v>
      </c>
      <c r="I878" t="s">
        <v>11</v>
      </c>
    </row>
    <row r="879" spans="1:9" hidden="1" x14ac:dyDescent="0.25">
      <c r="A879" t="s">
        <v>8</v>
      </c>
      <c r="B879" t="s">
        <v>21</v>
      </c>
      <c r="C879">
        <v>201907</v>
      </c>
      <c r="D879" t="str">
        <f t="shared" si="13"/>
        <v>2019</v>
      </c>
      <c r="E879">
        <v>478</v>
      </c>
      <c r="F879">
        <v>7124623</v>
      </c>
      <c r="G879">
        <v>0.01</v>
      </c>
      <c r="H879" t="s">
        <v>10</v>
      </c>
      <c r="I879" t="s">
        <v>11</v>
      </c>
    </row>
    <row r="880" spans="1:9" hidden="1" x14ac:dyDescent="0.25">
      <c r="A880" t="s">
        <v>8</v>
      </c>
      <c r="B880" t="s">
        <v>21</v>
      </c>
      <c r="C880">
        <v>201908</v>
      </c>
      <c r="D880" t="str">
        <f t="shared" si="13"/>
        <v>2019</v>
      </c>
      <c r="E880">
        <v>495</v>
      </c>
      <c r="F880">
        <v>7124623</v>
      </c>
      <c r="G880">
        <v>0.01</v>
      </c>
      <c r="H880" t="s">
        <v>10</v>
      </c>
      <c r="I880" t="s">
        <v>11</v>
      </c>
    </row>
    <row r="881" spans="1:9" hidden="1" x14ac:dyDescent="0.25">
      <c r="A881" t="s">
        <v>8</v>
      </c>
      <c r="B881" t="s">
        <v>21</v>
      </c>
      <c r="C881">
        <v>201909</v>
      </c>
      <c r="D881" t="str">
        <f t="shared" si="13"/>
        <v>2019</v>
      </c>
      <c r="E881">
        <v>364</v>
      </c>
      <c r="F881">
        <v>7124623</v>
      </c>
      <c r="G881">
        <v>0.01</v>
      </c>
      <c r="H881" t="s">
        <v>10</v>
      </c>
      <c r="I881" t="s">
        <v>11</v>
      </c>
    </row>
    <row r="882" spans="1:9" hidden="1" x14ac:dyDescent="0.25">
      <c r="A882" t="s">
        <v>8</v>
      </c>
      <c r="B882" t="s">
        <v>21</v>
      </c>
      <c r="C882">
        <v>201910</v>
      </c>
      <c r="D882" t="str">
        <f t="shared" si="13"/>
        <v>2019</v>
      </c>
      <c r="E882">
        <v>456</v>
      </c>
      <c r="F882">
        <v>7124623</v>
      </c>
      <c r="G882">
        <v>0.01</v>
      </c>
      <c r="H882" t="s">
        <v>10</v>
      </c>
      <c r="I882" t="s">
        <v>11</v>
      </c>
    </row>
    <row r="883" spans="1:9" hidden="1" x14ac:dyDescent="0.25">
      <c r="A883" t="s">
        <v>8</v>
      </c>
      <c r="B883" t="s">
        <v>21</v>
      </c>
      <c r="C883">
        <v>201911</v>
      </c>
      <c r="D883" t="str">
        <f t="shared" si="13"/>
        <v>2019</v>
      </c>
      <c r="E883">
        <v>449</v>
      </c>
      <c r="F883">
        <v>7124623</v>
      </c>
      <c r="G883">
        <v>0.01</v>
      </c>
      <c r="H883" t="s">
        <v>10</v>
      </c>
      <c r="I883" t="s">
        <v>11</v>
      </c>
    </row>
    <row r="884" spans="1:9" hidden="1" x14ac:dyDescent="0.25">
      <c r="A884" t="s">
        <v>8</v>
      </c>
      <c r="B884" t="s">
        <v>21</v>
      </c>
      <c r="C884">
        <v>201912</v>
      </c>
      <c r="D884" t="str">
        <f t="shared" si="13"/>
        <v>2019</v>
      </c>
      <c r="E884">
        <v>400</v>
      </c>
      <c r="F884">
        <v>7124623</v>
      </c>
      <c r="G884">
        <v>0.01</v>
      </c>
      <c r="H884" t="s">
        <v>10</v>
      </c>
      <c r="I884" t="s">
        <v>11</v>
      </c>
    </row>
    <row r="885" spans="1:9" hidden="1" x14ac:dyDescent="0.25">
      <c r="A885" t="s">
        <v>8</v>
      </c>
      <c r="B885" t="s">
        <v>21</v>
      </c>
      <c r="C885">
        <v>202001</v>
      </c>
      <c r="D885" t="str">
        <f t="shared" si="13"/>
        <v>2020</v>
      </c>
      <c r="E885">
        <v>26405</v>
      </c>
      <c r="F885">
        <v>7124623</v>
      </c>
      <c r="G885">
        <v>0.37</v>
      </c>
      <c r="H885" t="s">
        <v>10</v>
      </c>
      <c r="I885" t="s">
        <v>11</v>
      </c>
    </row>
    <row r="886" spans="1:9" hidden="1" x14ac:dyDescent="0.25">
      <c r="A886" t="s">
        <v>8</v>
      </c>
      <c r="B886" t="s">
        <v>21</v>
      </c>
      <c r="C886">
        <v>202002</v>
      </c>
      <c r="D886" t="str">
        <f t="shared" si="13"/>
        <v>2020</v>
      </c>
      <c r="E886">
        <v>24384</v>
      </c>
      <c r="F886">
        <v>7124623</v>
      </c>
      <c r="G886">
        <v>0.34</v>
      </c>
      <c r="H886" t="s">
        <v>10</v>
      </c>
      <c r="I886" t="s">
        <v>11</v>
      </c>
    </row>
    <row r="887" spans="1:9" hidden="1" x14ac:dyDescent="0.25">
      <c r="A887" t="s">
        <v>8</v>
      </c>
      <c r="B887" t="s">
        <v>21</v>
      </c>
      <c r="C887">
        <v>202003</v>
      </c>
      <c r="D887" t="str">
        <f t="shared" si="13"/>
        <v>2020</v>
      </c>
      <c r="E887">
        <v>21961</v>
      </c>
      <c r="F887">
        <v>7124623</v>
      </c>
      <c r="G887">
        <v>0.31</v>
      </c>
      <c r="H887" t="s">
        <v>10</v>
      </c>
      <c r="I887" t="s">
        <v>11</v>
      </c>
    </row>
    <row r="888" spans="1:9" hidden="1" x14ac:dyDescent="0.25">
      <c r="A888" t="s">
        <v>8</v>
      </c>
      <c r="B888" t="s">
        <v>21</v>
      </c>
      <c r="C888">
        <v>202004</v>
      </c>
      <c r="D888" t="str">
        <f t="shared" si="13"/>
        <v>2020</v>
      </c>
      <c r="E888">
        <v>12188</v>
      </c>
      <c r="F888">
        <v>7124623</v>
      </c>
      <c r="G888">
        <v>0.17</v>
      </c>
      <c r="H888" t="s">
        <v>10</v>
      </c>
      <c r="I888" t="s">
        <v>11</v>
      </c>
    </row>
    <row r="889" spans="1:9" hidden="1" x14ac:dyDescent="0.25">
      <c r="A889" t="s">
        <v>8</v>
      </c>
      <c r="B889" t="s">
        <v>21</v>
      </c>
      <c r="C889">
        <v>202005</v>
      </c>
      <c r="D889" t="str">
        <f t="shared" si="13"/>
        <v>2020</v>
      </c>
      <c r="E889">
        <v>23297</v>
      </c>
      <c r="F889">
        <v>7124623</v>
      </c>
      <c r="G889">
        <v>0.33</v>
      </c>
      <c r="H889" t="s">
        <v>10</v>
      </c>
      <c r="I889" t="s">
        <v>11</v>
      </c>
    </row>
    <row r="890" spans="1:9" hidden="1" x14ac:dyDescent="0.25">
      <c r="A890" t="s">
        <v>8</v>
      </c>
      <c r="B890" t="s">
        <v>21</v>
      </c>
      <c r="C890">
        <v>202006</v>
      </c>
      <c r="D890" t="str">
        <f t="shared" si="13"/>
        <v>2020</v>
      </c>
      <c r="E890">
        <v>28264</v>
      </c>
      <c r="F890">
        <v>7124623</v>
      </c>
      <c r="G890">
        <v>0.4</v>
      </c>
      <c r="H890" t="s">
        <v>10</v>
      </c>
      <c r="I890" t="s">
        <v>11</v>
      </c>
    </row>
    <row r="891" spans="1:9" hidden="1" x14ac:dyDescent="0.25">
      <c r="A891" t="s">
        <v>8</v>
      </c>
      <c r="B891" t="s">
        <v>21</v>
      </c>
      <c r="C891">
        <v>202007</v>
      </c>
      <c r="D891" t="str">
        <f t="shared" si="13"/>
        <v>2020</v>
      </c>
      <c r="E891">
        <v>19988</v>
      </c>
      <c r="F891">
        <v>7124623</v>
      </c>
      <c r="G891">
        <v>0.28000000000000003</v>
      </c>
      <c r="H891" t="s">
        <v>10</v>
      </c>
      <c r="I891" t="s">
        <v>11</v>
      </c>
    </row>
    <row r="892" spans="1:9" hidden="1" x14ac:dyDescent="0.25">
      <c r="A892" t="s">
        <v>8</v>
      </c>
      <c r="B892" t="s">
        <v>21</v>
      </c>
      <c r="C892">
        <v>202008</v>
      </c>
      <c r="D892" t="str">
        <f t="shared" si="13"/>
        <v>2020</v>
      </c>
      <c r="E892">
        <v>21033</v>
      </c>
      <c r="F892">
        <v>7124623</v>
      </c>
      <c r="G892">
        <v>0.3</v>
      </c>
      <c r="H892" t="s">
        <v>10</v>
      </c>
      <c r="I892" t="s">
        <v>11</v>
      </c>
    </row>
    <row r="893" spans="1:9" hidden="1" x14ac:dyDescent="0.25">
      <c r="A893" t="s">
        <v>8</v>
      </c>
      <c r="B893" t="s">
        <v>21</v>
      </c>
      <c r="C893">
        <v>202009</v>
      </c>
      <c r="D893" t="str">
        <f t="shared" si="13"/>
        <v>2020</v>
      </c>
      <c r="E893">
        <v>22567</v>
      </c>
      <c r="F893">
        <v>7124623</v>
      </c>
      <c r="G893">
        <v>0.32</v>
      </c>
      <c r="H893" t="s">
        <v>10</v>
      </c>
      <c r="I893" t="s">
        <v>11</v>
      </c>
    </row>
    <row r="894" spans="1:9" hidden="1" x14ac:dyDescent="0.25">
      <c r="A894" t="s">
        <v>8</v>
      </c>
      <c r="B894" t="s">
        <v>21</v>
      </c>
      <c r="C894">
        <v>202010</v>
      </c>
      <c r="D894" t="str">
        <f t="shared" si="13"/>
        <v>2020</v>
      </c>
      <c r="E894">
        <v>23794</v>
      </c>
      <c r="F894">
        <v>7124623</v>
      </c>
      <c r="G894">
        <v>0.33</v>
      </c>
      <c r="H894" t="s">
        <v>10</v>
      </c>
      <c r="I894" t="s">
        <v>11</v>
      </c>
    </row>
    <row r="895" spans="1:9" hidden="1" x14ac:dyDescent="0.25">
      <c r="A895" t="s">
        <v>8</v>
      </c>
      <c r="B895" t="s">
        <v>21</v>
      </c>
      <c r="C895">
        <v>202011</v>
      </c>
      <c r="D895" t="str">
        <f t="shared" si="13"/>
        <v>2020</v>
      </c>
      <c r="E895">
        <v>20625</v>
      </c>
      <c r="F895">
        <v>7124623</v>
      </c>
      <c r="G895">
        <v>0.28999999999999998</v>
      </c>
      <c r="H895" t="s">
        <v>10</v>
      </c>
      <c r="I895" t="s">
        <v>11</v>
      </c>
    </row>
    <row r="896" spans="1:9" hidden="1" x14ac:dyDescent="0.25">
      <c r="A896" t="s">
        <v>8</v>
      </c>
      <c r="B896" t="s">
        <v>21</v>
      </c>
      <c r="C896">
        <v>202012</v>
      </c>
      <c r="D896" t="str">
        <f t="shared" si="13"/>
        <v>2020</v>
      </c>
      <c r="E896">
        <v>22399</v>
      </c>
      <c r="F896">
        <v>7124623</v>
      </c>
      <c r="G896">
        <v>0.31</v>
      </c>
      <c r="H896" t="s">
        <v>10</v>
      </c>
      <c r="I896" t="s">
        <v>11</v>
      </c>
    </row>
    <row r="897" spans="1:9" hidden="1" x14ac:dyDescent="0.25">
      <c r="A897" t="s">
        <v>8</v>
      </c>
      <c r="B897" t="s">
        <v>21</v>
      </c>
      <c r="C897">
        <v>202101</v>
      </c>
      <c r="D897" t="str">
        <f t="shared" si="13"/>
        <v>2021</v>
      </c>
      <c r="E897">
        <v>46499</v>
      </c>
      <c r="F897">
        <v>7124623</v>
      </c>
      <c r="G897">
        <v>0.65</v>
      </c>
      <c r="H897" t="s">
        <v>10</v>
      </c>
      <c r="I897" t="s">
        <v>11</v>
      </c>
    </row>
    <row r="898" spans="1:9" hidden="1" x14ac:dyDescent="0.25">
      <c r="A898" t="s">
        <v>8</v>
      </c>
      <c r="B898" t="s">
        <v>21</v>
      </c>
      <c r="C898">
        <v>202102</v>
      </c>
      <c r="D898" t="str">
        <f t="shared" si="13"/>
        <v>2021</v>
      </c>
      <c r="E898">
        <v>33227</v>
      </c>
      <c r="F898">
        <v>7124623</v>
      </c>
      <c r="G898">
        <v>0.47</v>
      </c>
      <c r="H898" t="s">
        <v>10</v>
      </c>
      <c r="I898" t="s">
        <v>11</v>
      </c>
    </row>
    <row r="899" spans="1:9" hidden="1" x14ac:dyDescent="0.25">
      <c r="A899" t="s">
        <v>8</v>
      </c>
      <c r="B899" t="s">
        <v>21</v>
      </c>
      <c r="C899">
        <v>202103</v>
      </c>
      <c r="D899" t="str">
        <f t="shared" ref="D899:D962" si="14">LEFT(C899,4)</f>
        <v>2021</v>
      </c>
      <c r="E899">
        <v>41815</v>
      </c>
      <c r="F899">
        <v>7124623</v>
      </c>
      <c r="G899">
        <v>0.59</v>
      </c>
      <c r="H899" t="s">
        <v>10</v>
      </c>
      <c r="I899" t="s">
        <v>11</v>
      </c>
    </row>
    <row r="900" spans="1:9" hidden="1" x14ac:dyDescent="0.25">
      <c r="A900" t="s">
        <v>8</v>
      </c>
      <c r="B900" t="s">
        <v>21</v>
      </c>
      <c r="C900">
        <v>202104</v>
      </c>
      <c r="D900" t="str">
        <f t="shared" si="14"/>
        <v>2021</v>
      </c>
      <c r="E900">
        <v>39649</v>
      </c>
      <c r="F900">
        <v>7124623</v>
      </c>
      <c r="G900">
        <v>0.56000000000000005</v>
      </c>
      <c r="H900" t="s">
        <v>10</v>
      </c>
      <c r="I900" t="s">
        <v>11</v>
      </c>
    </row>
    <row r="901" spans="1:9" hidden="1" x14ac:dyDescent="0.25">
      <c r="A901" t="s">
        <v>8</v>
      </c>
      <c r="B901" t="s">
        <v>21</v>
      </c>
      <c r="C901">
        <v>202105</v>
      </c>
      <c r="D901" t="str">
        <f t="shared" si="14"/>
        <v>2021</v>
      </c>
      <c r="E901">
        <v>38846</v>
      </c>
      <c r="F901">
        <v>7124623</v>
      </c>
      <c r="G901">
        <v>0.55000000000000004</v>
      </c>
      <c r="H901" t="s">
        <v>10</v>
      </c>
      <c r="I901" t="s">
        <v>11</v>
      </c>
    </row>
    <row r="902" spans="1:9" hidden="1" x14ac:dyDescent="0.25">
      <c r="A902" t="s">
        <v>8</v>
      </c>
      <c r="B902" t="s">
        <v>21</v>
      </c>
      <c r="C902">
        <v>202106</v>
      </c>
      <c r="D902" t="str">
        <f t="shared" si="14"/>
        <v>2021</v>
      </c>
      <c r="E902">
        <v>53241</v>
      </c>
      <c r="F902">
        <v>7124623</v>
      </c>
      <c r="G902">
        <v>0.75</v>
      </c>
      <c r="H902" t="s">
        <v>10</v>
      </c>
      <c r="I902" t="s">
        <v>11</v>
      </c>
    </row>
    <row r="903" spans="1:9" hidden="1" x14ac:dyDescent="0.25">
      <c r="A903" t="s">
        <v>8</v>
      </c>
      <c r="B903" t="s">
        <v>21</v>
      </c>
      <c r="C903">
        <v>202107</v>
      </c>
      <c r="D903" t="str">
        <f t="shared" si="14"/>
        <v>2021</v>
      </c>
      <c r="E903">
        <v>92187</v>
      </c>
      <c r="F903">
        <v>7124623</v>
      </c>
      <c r="G903">
        <v>1.29</v>
      </c>
      <c r="H903" t="s">
        <v>10</v>
      </c>
      <c r="I903" t="s">
        <v>11</v>
      </c>
    </row>
    <row r="904" spans="1:9" hidden="1" x14ac:dyDescent="0.25">
      <c r="A904" t="s">
        <v>8</v>
      </c>
      <c r="B904" t="s">
        <v>21</v>
      </c>
      <c r="C904">
        <v>202108</v>
      </c>
      <c r="D904" t="str">
        <f t="shared" si="14"/>
        <v>2021</v>
      </c>
      <c r="E904">
        <v>90857</v>
      </c>
      <c r="F904">
        <v>7124623</v>
      </c>
      <c r="G904">
        <v>1.28</v>
      </c>
      <c r="H904" t="s">
        <v>10</v>
      </c>
      <c r="I904" t="s">
        <v>11</v>
      </c>
    </row>
    <row r="905" spans="1:9" hidden="1" x14ac:dyDescent="0.25">
      <c r="A905" t="s">
        <v>8</v>
      </c>
      <c r="B905" t="s">
        <v>21</v>
      </c>
      <c r="C905">
        <v>202109</v>
      </c>
      <c r="D905" t="str">
        <f t="shared" si="14"/>
        <v>2021</v>
      </c>
      <c r="E905">
        <v>97587</v>
      </c>
      <c r="F905">
        <v>7124623</v>
      </c>
      <c r="G905">
        <v>1.37</v>
      </c>
      <c r="H905" t="s">
        <v>10</v>
      </c>
      <c r="I905" t="s">
        <v>11</v>
      </c>
    </row>
    <row r="906" spans="1:9" hidden="1" x14ac:dyDescent="0.25">
      <c r="A906" t="s">
        <v>8</v>
      </c>
      <c r="B906" t="s">
        <v>21</v>
      </c>
      <c r="C906">
        <v>202110</v>
      </c>
      <c r="D906" t="str">
        <f t="shared" si="14"/>
        <v>2021</v>
      </c>
      <c r="E906">
        <v>104223</v>
      </c>
      <c r="F906">
        <v>7124623</v>
      </c>
      <c r="G906">
        <v>1.46</v>
      </c>
      <c r="H906" t="s">
        <v>10</v>
      </c>
      <c r="I906" t="s">
        <v>11</v>
      </c>
    </row>
    <row r="907" spans="1:9" hidden="1" x14ac:dyDescent="0.25">
      <c r="A907" t="s">
        <v>8</v>
      </c>
      <c r="B907" t="s">
        <v>21</v>
      </c>
      <c r="C907">
        <v>202111</v>
      </c>
      <c r="D907" t="str">
        <f t="shared" si="14"/>
        <v>2021</v>
      </c>
      <c r="E907">
        <v>175181</v>
      </c>
      <c r="F907">
        <v>7124623</v>
      </c>
      <c r="G907">
        <v>2.46</v>
      </c>
      <c r="H907" t="s">
        <v>10</v>
      </c>
      <c r="I907" t="s">
        <v>11</v>
      </c>
    </row>
    <row r="908" spans="1:9" hidden="1" x14ac:dyDescent="0.25">
      <c r="A908" t="s">
        <v>8</v>
      </c>
      <c r="B908" t="s">
        <v>21</v>
      </c>
      <c r="C908">
        <v>202112</v>
      </c>
      <c r="D908" t="str">
        <f t="shared" si="14"/>
        <v>2021</v>
      </c>
      <c r="E908">
        <v>191218</v>
      </c>
      <c r="F908">
        <v>7124623</v>
      </c>
      <c r="G908">
        <v>2.68</v>
      </c>
      <c r="H908" t="s">
        <v>10</v>
      </c>
      <c r="I908" t="s">
        <v>11</v>
      </c>
    </row>
    <row r="909" spans="1:9" hidden="1" x14ac:dyDescent="0.25">
      <c r="A909" t="s">
        <v>8</v>
      </c>
      <c r="B909" t="s">
        <v>21</v>
      </c>
      <c r="C909">
        <v>202201</v>
      </c>
      <c r="D909" t="str">
        <f t="shared" si="14"/>
        <v>2022</v>
      </c>
      <c r="E909">
        <v>157011</v>
      </c>
      <c r="F909">
        <v>7124623</v>
      </c>
      <c r="G909">
        <v>2.2000000000000002</v>
      </c>
      <c r="H909" t="s">
        <v>10</v>
      </c>
      <c r="I909" t="s">
        <v>11</v>
      </c>
    </row>
    <row r="910" spans="1:9" hidden="1" x14ac:dyDescent="0.25">
      <c r="A910" t="s">
        <v>8</v>
      </c>
      <c r="B910" t="s">
        <v>21</v>
      </c>
      <c r="C910">
        <v>202202</v>
      </c>
      <c r="D910" t="str">
        <f t="shared" si="14"/>
        <v>2022</v>
      </c>
      <c r="E910">
        <v>134169</v>
      </c>
      <c r="F910">
        <v>7124623</v>
      </c>
      <c r="G910">
        <v>1.88</v>
      </c>
      <c r="H910" t="s">
        <v>10</v>
      </c>
      <c r="I910" t="s">
        <v>11</v>
      </c>
    </row>
    <row r="911" spans="1:9" hidden="1" x14ac:dyDescent="0.25">
      <c r="A911" t="s">
        <v>8</v>
      </c>
      <c r="B911" t="s">
        <v>21</v>
      </c>
      <c r="C911">
        <v>202203</v>
      </c>
      <c r="D911" t="str">
        <f t="shared" si="14"/>
        <v>2022</v>
      </c>
      <c r="E911">
        <v>170714</v>
      </c>
      <c r="F911">
        <v>7124623</v>
      </c>
      <c r="G911">
        <v>2.4</v>
      </c>
      <c r="H911" t="s">
        <v>10</v>
      </c>
      <c r="I911" t="s">
        <v>11</v>
      </c>
    </row>
    <row r="912" spans="1:9" hidden="1" x14ac:dyDescent="0.25">
      <c r="A912" t="s">
        <v>8</v>
      </c>
      <c r="B912" t="s">
        <v>21</v>
      </c>
      <c r="C912">
        <v>202204</v>
      </c>
      <c r="D912" t="str">
        <f t="shared" si="14"/>
        <v>2022</v>
      </c>
      <c r="E912">
        <v>150460</v>
      </c>
      <c r="F912">
        <v>7124623</v>
      </c>
      <c r="G912">
        <v>2.11</v>
      </c>
      <c r="H912" t="s">
        <v>10</v>
      </c>
      <c r="I912" t="s">
        <v>11</v>
      </c>
    </row>
    <row r="913" spans="1:9" hidden="1" x14ac:dyDescent="0.25">
      <c r="A913" t="s">
        <v>8</v>
      </c>
      <c r="B913" t="s">
        <v>21</v>
      </c>
      <c r="C913">
        <v>202205</v>
      </c>
      <c r="D913" t="str">
        <f t="shared" si="14"/>
        <v>2022</v>
      </c>
      <c r="E913">
        <v>152168</v>
      </c>
      <c r="F913">
        <v>7124623</v>
      </c>
      <c r="G913">
        <v>2.14</v>
      </c>
      <c r="H913" t="s">
        <v>10</v>
      </c>
      <c r="I913" t="s">
        <v>11</v>
      </c>
    </row>
    <row r="914" spans="1:9" hidden="1" x14ac:dyDescent="0.25">
      <c r="A914" t="s">
        <v>8</v>
      </c>
      <c r="B914" t="s">
        <v>21</v>
      </c>
      <c r="C914">
        <v>202206</v>
      </c>
      <c r="D914" t="str">
        <f t="shared" si="14"/>
        <v>2022</v>
      </c>
      <c r="E914">
        <v>155249</v>
      </c>
      <c r="F914">
        <v>7124623</v>
      </c>
      <c r="G914">
        <v>2.1800000000000002</v>
      </c>
      <c r="H914" t="s">
        <v>10</v>
      </c>
      <c r="I914" t="s">
        <v>11</v>
      </c>
    </row>
    <row r="915" spans="1:9" hidden="1" x14ac:dyDescent="0.25">
      <c r="A915" t="s">
        <v>8</v>
      </c>
      <c r="B915" t="s">
        <v>21</v>
      </c>
      <c r="C915">
        <v>202207</v>
      </c>
      <c r="D915" t="str">
        <f t="shared" si="14"/>
        <v>2022</v>
      </c>
      <c r="E915">
        <v>143683</v>
      </c>
      <c r="F915">
        <v>7124623</v>
      </c>
      <c r="G915">
        <v>2.02</v>
      </c>
      <c r="H915" t="s">
        <v>10</v>
      </c>
      <c r="I915" t="s">
        <v>11</v>
      </c>
    </row>
    <row r="916" spans="1:9" hidden="1" x14ac:dyDescent="0.25">
      <c r="A916" t="s">
        <v>8</v>
      </c>
      <c r="B916" t="s">
        <v>21</v>
      </c>
      <c r="C916">
        <v>202208</v>
      </c>
      <c r="D916" t="str">
        <f t="shared" si="14"/>
        <v>2022</v>
      </c>
      <c r="E916">
        <v>158795</v>
      </c>
      <c r="F916">
        <v>7124623</v>
      </c>
      <c r="G916">
        <v>2.23</v>
      </c>
      <c r="H916" t="s">
        <v>10</v>
      </c>
      <c r="I916" t="s">
        <v>11</v>
      </c>
    </row>
    <row r="917" spans="1:9" hidden="1" x14ac:dyDescent="0.25">
      <c r="A917" t="s">
        <v>8</v>
      </c>
      <c r="B917" t="s">
        <v>21</v>
      </c>
      <c r="C917">
        <v>202209</v>
      </c>
      <c r="D917" t="str">
        <f t="shared" si="14"/>
        <v>2022</v>
      </c>
      <c r="E917">
        <v>148340</v>
      </c>
      <c r="F917">
        <v>7124623</v>
      </c>
      <c r="G917">
        <v>2.08</v>
      </c>
      <c r="H917" t="s">
        <v>10</v>
      </c>
      <c r="I917" t="s">
        <v>11</v>
      </c>
    </row>
    <row r="918" spans="1:9" hidden="1" x14ac:dyDescent="0.25">
      <c r="A918" t="s">
        <v>8</v>
      </c>
      <c r="B918" t="s">
        <v>21</v>
      </c>
      <c r="C918">
        <v>202210</v>
      </c>
      <c r="D918" t="str">
        <f t="shared" si="14"/>
        <v>2022</v>
      </c>
      <c r="E918">
        <v>152973</v>
      </c>
      <c r="F918">
        <v>7124623</v>
      </c>
      <c r="G918">
        <v>2.15</v>
      </c>
      <c r="H918" t="s">
        <v>10</v>
      </c>
      <c r="I918" t="s">
        <v>11</v>
      </c>
    </row>
    <row r="919" spans="1:9" hidden="1" x14ac:dyDescent="0.25">
      <c r="A919" t="s">
        <v>8</v>
      </c>
      <c r="B919" t="s">
        <v>21</v>
      </c>
      <c r="C919">
        <v>202211</v>
      </c>
      <c r="D919" t="str">
        <f t="shared" si="14"/>
        <v>2022</v>
      </c>
      <c r="E919">
        <v>149085</v>
      </c>
      <c r="F919">
        <v>7124623</v>
      </c>
      <c r="G919">
        <v>2.09</v>
      </c>
      <c r="H919" t="s">
        <v>10</v>
      </c>
      <c r="I919" t="s">
        <v>11</v>
      </c>
    </row>
    <row r="920" spans="1:9" hidden="1" x14ac:dyDescent="0.25">
      <c r="A920" t="s">
        <v>8</v>
      </c>
      <c r="B920" t="s">
        <v>21</v>
      </c>
      <c r="C920">
        <v>202212</v>
      </c>
      <c r="D920" t="str">
        <f t="shared" si="14"/>
        <v>2022</v>
      </c>
      <c r="E920">
        <v>139691</v>
      </c>
      <c r="F920">
        <v>7124623</v>
      </c>
      <c r="G920">
        <v>1.96</v>
      </c>
      <c r="H920" t="s">
        <v>10</v>
      </c>
      <c r="I920" t="s">
        <v>11</v>
      </c>
    </row>
    <row r="921" spans="1:9" hidden="1" x14ac:dyDescent="0.25">
      <c r="A921" t="s">
        <v>8</v>
      </c>
      <c r="B921" t="s">
        <v>21</v>
      </c>
      <c r="C921">
        <v>202301</v>
      </c>
      <c r="D921" t="str">
        <f t="shared" si="14"/>
        <v>2023</v>
      </c>
      <c r="E921">
        <v>166922</v>
      </c>
      <c r="F921">
        <v>7124623</v>
      </c>
      <c r="G921">
        <v>2.34</v>
      </c>
      <c r="H921" t="s">
        <v>10</v>
      </c>
      <c r="I921" t="s">
        <v>11</v>
      </c>
    </row>
    <row r="922" spans="1:9" hidden="1" x14ac:dyDescent="0.25">
      <c r="A922" t="s">
        <v>8</v>
      </c>
      <c r="B922" t="s">
        <v>21</v>
      </c>
      <c r="C922">
        <v>202302</v>
      </c>
      <c r="D922" t="str">
        <f t="shared" si="14"/>
        <v>2023</v>
      </c>
      <c r="E922">
        <v>161246</v>
      </c>
      <c r="F922">
        <v>7124623</v>
      </c>
      <c r="G922">
        <v>2.2599999999999998</v>
      </c>
      <c r="H922" t="s">
        <v>10</v>
      </c>
      <c r="I922" t="s">
        <v>11</v>
      </c>
    </row>
    <row r="923" spans="1:9" hidden="1" x14ac:dyDescent="0.25">
      <c r="A923" t="s">
        <v>8</v>
      </c>
      <c r="B923" t="s">
        <v>21</v>
      </c>
      <c r="C923">
        <v>202303</v>
      </c>
      <c r="D923" t="str">
        <f t="shared" si="14"/>
        <v>2023</v>
      </c>
      <c r="E923">
        <v>176821</v>
      </c>
      <c r="F923">
        <v>7124623</v>
      </c>
      <c r="G923">
        <v>2.48</v>
      </c>
      <c r="H923" t="s">
        <v>10</v>
      </c>
      <c r="I923" t="s">
        <v>11</v>
      </c>
    </row>
    <row r="924" spans="1:9" hidden="1" x14ac:dyDescent="0.25">
      <c r="A924" t="s">
        <v>8</v>
      </c>
      <c r="B924" t="s">
        <v>21</v>
      </c>
      <c r="C924">
        <v>202304</v>
      </c>
      <c r="D924" t="str">
        <f t="shared" si="14"/>
        <v>2023</v>
      </c>
      <c r="E924">
        <v>158272</v>
      </c>
      <c r="F924">
        <v>7124623</v>
      </c>
      <c r="G924">
        <v>2.2200000000000002</v>
      </c>
      <c r="H924" t="s">
        <v>10</v>
      </c>
      <c r="I924" t="s">
        <v>11</v>
      </c>
    </row>
    <row r="925" spans="1:9" hidden="1" x14ac:dyDescent="0.25">
      <c r="A925" t="s">
        <v>8</v>
      </c>
      <c r="B925" t="s">
        <v>21</v>
      </c>
      <c r="C925">
        <v>202305</v>
      </c>
      <c r="D925" t="str">
        <f t="shared" si="14"/>
        <v>2023</v>
      </c>
      <c r="E925">
        <v>166823</v>
      </c>
      <c r="F925">
        <v>7124623</v>
      </c>
      <c r="G925">
        <v>2.34</v>
      </c>
      <c r="H925" t="s">
        <v>10</v>
      </c>
      <c r="I925" t="s">
        <v>11</v>
      </c>
    </row>
    <row r="926" spans="1:9" hidden="1" x14ac:dyDescent="0.25">
      <c r="A926" t="s">
        <v>8</v>
      </c>
      <c r="B926" t="s">
        <v>21</v>
      </c>
      <c r="C926">
        <v>202306</v>
      </c>
      <c r="D926" t="str">
        <f t="shared" si="14"/>
        <v>2023</v>
      </c>
      <c r="E926">
        <v>163175</v>
      </c>
      <c r="F926">
        <v>7124623</v>
      </c>
      <c r="G926">
        <v>2.29</v>
      </c>
      <c r="H926" t="s">
        <v>10</v>
      </c>
      <c r="I926" t="s">
        <v>11</v>
      </c>
    </row>
    <row r="927" spans="1:9" hidden="1" x14ac:dyDescent="0.25">
      <c r="A927" t="s">
        <v>8</v>
      </c>
      <c r="B927" t="s">
        <v>21</v>
      </c>
      <c r="C927">
        <v>202307</v>
      </c>
      <c r="D927" t="str">
        <f t="shared" si="14"/>
        <v>2023</v>
      </c>
      <c r="E927">
        <v>147564</v>
      </c>
      <c r="F927">
        <v>7124623</v>
      </c>
      <c r="G927">
        <v>2.0699999999999998</v>
      </c>
      <c r="H927" t="s">
        <v>10</v>
      </c>
      <c r="I927" t="s">
        <v>11</v>
      </c>
    </row>
    <row r="928" spans="1:9" hidden="1" x14ac:dyDescent="0.25">
      <c r="A928" t="s">
        <v>8</v>
      </c>
      <c r="B928" t="s">
        <v>21</v>
      </c>
      <c r="C928">
        <v>202308</v>
      </c>
      <c r="D928" t="str">
        <f t="shared" si="14"/>
        <v>2023</v>
      </c>
      <c r="E928">
        <v>166997</v>
      </c>
      <c r="F928">
        <v>7124623</v>
      </c>
      <c r="G928">
        <v>2.34</v>
      </c>
      <c r="H928" t="s">
        <v>10</v>
      </c>
      <c r="I928" t="s">
        <v>11</v>
      </c>
    </row>
    <row r="929" spans="1:9" hidden="1" x14ac:dyDescent="0.25">
      <c r="A929" t="s">
        <v>8</v>
      </c>
      <c r="B929" t="s">
        <v>21</v>
      </c>
      <c r="C929">
        <v>202309</v>
      </c>
      <c r="D929" t="str">
        <f t="shared" si="14"/>
        <v>2023</v>
      </c>
      <c r="E929">
        <v>156361</v>
      </c>
      <c r="F929">
        <v>7124623</v>
      </c>
      <c r="G929">
        <v>2.19</v>
      </c>
      <c r="H929" t="s">
        <v>10</v>
      </c>
      <c r="I929" t="s">
        <v>11</v>
      </c>
    </row>
    <row r="930" spans="1:9" hidden="1" x14ac:dyDescent="0.25">
      <c r="A930" t="s">
        <v>8</v>
      </c>
      <c r="B930" t="s">
        <v>21</v>
      </c>
      <c r="C930">
        <v>202310</v>
      </c>
      <c r="D930" t="str">
        <f t="shared" si="14"/>
        <v>2023</v>
      </c>
      <c r="E930">
        <v>171288</v>
      </c>
      <c r="F930">
        <v>7124623</v>
      </c>
      <c r="G930">
        <v>2.4</v>
      </c>
      <c r="H930" t="s">
        <v>10</v>
      </c>
      <c r="I930" t="s">
        <v>11</v>
      </c>
    </row>
    <row r="931" spans="1:9" hidden="1" x14ac:dyDescent="0.25">
      <c r="A931" t="s">
        <v>8</v>
      </c>
      <c r="B931" t="s">
        <v>21</v>
      </c>
      <c r="C931">
        <v>202311</v>
      </c>
      <c r="D931" t="str">
        <f t="shared" si="14"/>
        <v>2023</v>
      </c>
      <c r="E931">
        <v>159959</v>
      </c>
      <c r="F931">
        <v>7124623</v>
      </c>
      <c r="G931">
        <v>2.25</v>
      </c>
      <c r="H931" t="s">
        <v>10</v>
      </c>
      <c r="I931" t="s">
        <v>11</v>
      </c>
    </row>
    <row r="932" spans="1:9" hidden="1" x14ac:dyDescent="0.25">
      <c r="A932" t="s">
        <v>8</v>
      </c>
      <c r="B932" t="s">
        <v>21</v>
      </c>
      <c r="C932">
        <v>202312</v>
      </c>
      <c r="D932" t="str">
        <f t="shared" si="14"/>
        <v>2023</v>
      </c>
      <c r="E932">
        <v>152661</v>
      </c>
      <c r="F932">
        <v>7124623</v>
      </c>
      <c r="G932">
        <v>2.14</v>
      </c>
      <c r="H932" t="s">
        <v>10</v>
      </c>
      <c r="I932" t="s">
        <v>11</v>
      </c>
    </row>
    <row r="933" spans="1:9" hidden="1" x14ac:dyDescent="0.25">
      <c r="A933" t="s">
        <v>8</v>
      </c>
      <c r="B933" t="s">
        <v>21</v>
      </c>
      <c r="C933">
        <v>202401</v>
      </c>
      <c r="D933" t="str">
        <f t="shared" si="14"/>
        <v>2024</v>
      </c>
      <c r="E933">
        <v>262326</v>
      </c>
      <c r="F933">
        <v>7124623</v>
      </c>
      <c r="G933">
        <v>3.68</v>
      </c>
      <c r="H933" t="s">
        <v>10</v>
      </c>
      <c r="I933" t="s">
        <v>11</v>
      </c>
    </row>
    <row r="934" spans="1:9" hidden="1" x14ac:dyDescent="0.25">
      <c r="A934" t="s">
        <v>8</v>
      </c>
      <c r="B934" t="s">
        <v>21</v>
      </c>
      <c r="C934">
        <v>202402</v>
      </c>
      <c r="D934" t="str">
        <f t="shared" si="14"/>
        <v>2024</v>
      </c>
      <c r="E934">
        <v>269385</v>
      </c>
      <c r="F934">
        <v>7124623</v>
      </c>
      <c r="G934">
        <v>3.78</v>
      </c>
      <c r="H934" t="s">
        <v>10</v>
      </c>
      <c r="I934" t="s">
        <v>11</v>
      </c>
    </row>
    <row r="935" spans="1:9" hidden="1" x14ac:dyDescent="0.25">
      <c r="A935" t="s">
        <v>8</v>
      </c>
      <c r="B935" t="s">
        <v>21</v>
      </c>
      <c r="C935">
        <v>202403</v>
      </c>
      <c r="D935" t="str">
        <f t="shared" si="14"/>
        <v>2024</v>
      </c>
      <c r="E935">
        <v>269110</v>
      </c>
      <c r="F935">
        <v>7124623</v>
      </c>
      <c r="G935">
        <v>3.78</v>
      </c>
      <c r="H935" t="s">
        <v>10</v>
      </c>
      <c r="I935" t="s">
        <v>11</v>
      </c>
    </row>
    <row r="936" spans="1:9" hidden="1" x14ac:dyDescent="0.25">
      <c r="A936" t="s">
        <v>8</v>
      </c>
      <c r="B936" t="s">
        <v>21</v>
      </c>
      <c r="C936">
        <v>202404</v>
      </c>
      <c r="D936" t="str">
        <f t="shared" si="14"/>
        <v>2024</v>
      </c>
      <c r="E936">
        <v>290110</v>
      </c>
      <c r="F936">
        <v>7124623</v>
      </c>
      <c r="G936">
        <v>4.07</v>
      </c>
      <c r="H936" t="s">
        <v>10</v>
      </c>
      <c r="I936" t="s">
        <v>11</v>
      </c>
    </row>
    <row r="937" spans="1:9" hidden="1" x14ac:dyDescent="0.25">
      <c r="A937" t="s">
        <v>8</v>
      </c>
      <c r="B937" t="s">
        <v>21</v>
      </c>
      <c r="C937">
        <v>202405</v>
      </c>
      <c r="D937" t="str">
        <f t="shared" si="14"/>
        <v>2024</v>
      </c>
      <c r="E937">
        <v>265766</v>
      </c>
      <c r="F937">
        <v>7124623</v>
      </c>
      <c r="G937">
        <v>3.73</v>
      </c>
      <c r="H937" t="s">
        <v>10</v>
      </c>
      <c r="I937" t="s">
        <v>11</v>
      </c>
    </row>
    <row r="938" spans="1:9" hidden="1" x14ac:dyDescent="0.25">
      <c r="A938" t="s">
        <v>8</v>
      </c>
      <c r="B938" t="s">
        <v>21</v>
      </c>
      <c r="C938">
        <v>202406</v>
      </c>
      <c r="D938" t="str">
        <f t="shared" si="14"/>
        <v>2024</v>
      </c>
      <c r="E938">
        <v>247266</v>
      </c>
      <c r="F938">
        <v>7124623</v>
      </c>
      <c r="G938">
        <v>3.47</v>
      </c>
      <c r="H938" t="s">
        <v>10</v>
      </c>
      <c r="I938" t="s">
        <v>11</v>
      </c>
    </row>
    <row r="939" spans="1:9" hidden="1" x14ac:dyDescent="0.25">
      <c r="A939" t="s">
        <v>8</v>
      </c>
      <c r="B939" t="s">
        <v>21</v>
      </c>
      <c r="C939">
        <v>202407</v>
      </c>
      <c r="D939" t="str">
        <f t="shared" si="14"/>
        <v>2024</v>
      </c>
      <c r="E939">
        <v>234161</v>
      </c>
      <c r="F939">
        <v>7124623</v>
      </c>
      <c r="G939">
        <v>3.29</v>
      </c>
      <c r="H939" t="s">
        <v>10</v>
      </c>
      <c r="I939" t="s">
        <v>11</v>
      </c>
    </row>
    <row r="940" spans="1:9" hidden="1" x14ac:dyDescent="0.25">
      <c r="A940" t="s">
        <v>8</v>
      </c>
      <c r="B940" t="s">
        <v>21</v>
      </c>
      <c r="C940">
        <v>202408</v>
      </c>
      <c r="D940" t="str">
        <f t="shared" si="14"/>
        <v>2024</v>
      </c>
      <c r="E940">
        <v>215227</v>
      </c>
      <c r="F940">
        <v>7124623</v>
      </c>
      <c r="G940">
        <v>3.02</v>
      </c>
      <c r="H940" t="s">
        <v>10</v>
      </c>
      <c r="I940" t="s">
        <v>11</v>
      </c>
    </row>
    <row r="941" spans="1:9" hidden="1" x14ac:dyDescent="0.25">
      <c r="A941" t="s">
        <v>8</v>
      </c>
      <c r="B941" t="s">
        <v>21</v>
      </c>
      <c r="C941">
        <v>202409</v>
      </c>
      <c r="D941" t="str">
        <f t="shared" si="14"/>
        <v>2024</v>
      </c>
      <c r="E941">
        <v>33442</v>
      </c>
      <c r="F941">
        <v>7124623</v>
      </c>
      <c r="G941">
        <v>0.47</v>
      </c>
      <c r="H941" t="s">
        <v>10</v>
      </c>
      <c r="I941" t="s">
        <v>11</v>
      </c>
    </row>
    <row r="942" spans="1:9" hidden="1" x14ac:dyDescent="0.25">
      <c r="A942" t="s">
        <v>8</v>
      </c>
      <c r="B942" t="s">
        <v>77</v>
      </c>
      <c r="C942">
        <v>201412</v>
      </c>
      <c r="D942" t="str">
        <f t="shared" si="14"/>
        <v>2014</v>
      </c>
      <c r="E942">
        <v>14</v>
      </c>
      <c r="F942">
        <v>10592016</v>
      </c>
      <c r="G942">
        <v>0</v>
      </c>
      <c r="H942" t="s">
        <v>10</v>
      </c>
      <c r="I942" t="s">
        <v>11</v>
      </c>
    </row>
    <row r="943" spans="1:9" hidden="1" x14ac:dyDescent="0.25">
      <c r="A943" t="s">
        <v>8</v>
      </c>
      <c r="B943" t="s">
        <v>77</v>
      </c>
      <c r="C943">
        <v>201501</v>
      </c>
      <c r="D943" t="str">
        <f t="shared" si="14"/>
        <v>2015</v>
      </c>
      <c r="E943">
        <v>1</v>
      </c>
      <c r="F943">
        <v>10592016</v>
      </c>
      <c r="G943">
        <v>0</v>
      </c>
      <c r="H943" t="s">
        <v>10</v>
      </c>
      <c r="I943" t="s">
        <v>11</v>
      </c>
    </row>
    <row r="944" spans="1:9" hidden="1" x14ac:dyDescent="0.25">
      <c r="A944" t="s">
        <v>8</v>
      </c>
      <c r="B944" t="s">
        <v>77</v>
      </c>
      <c r="C944">
        <v>201502</v>
      </c>
      <c r="D944" t="str">
        <f t="shared" si="14"/>
        <v>2015</v>
      </c>
      <c r="E944">
        <v>3</v>
      </c>
      <c r="F944">
        <v>10592016</v>
      </c>
      <c r="G944">
        <v>0</v>
      </c>
      <c r="H944" t="s">
        <v>10</v>
      </c>
      <c r="I944" t="s">
        <v>11</v>
      </c>
    </row>
    <row r="945" spans="1:9" hidden="1" x14ac:dyDescent="0.25">
      <c r="A945" t="s">
        <v>8</v>
      </c>
      <c r="B945" t="s">
        <v>77</v>
      </c>
      <c r="C945">
        <v>201503</v>
      </c>
      <c r="D945" t="str">
        <f t="shared" si="14"/>
        <v>2015</v>
      </c>
      <c r="E945">
        <v>4</v>
      </c>
      <c r="F945">
        <v>10592016</v>
      </c>
      <c r="G945">
        <v>0</v>
      </c>
      <c r="H945" t="s">
        <v>10</v>
      </c>
      <c r="I945" t="s">
        <v>11</v>
      </c>
    </row>
    <row r="946" spans="1:9" hidden="1" x14ac:dyDescent="0.25">
      <c r="A946" t="s">
        <v>8</v>
      </c>
      <c r="B946" t="s">
        <v>77</v>
      </c>
      <c r="C946">
        <v>201504</v>
      </c>
      <c r="D946" t="str">
        <f t="shared" si="14"/>
        <v>2015</v>
      </c>
      <c r="E946">
        <v>5</v>
      </c>
      <c r="F946">
        <v>10592016</v>
      </c>
      <c r="G946">
        <v>0</v>
      </c>
      <c r="H946" t="s">
        <v>10</v>
      </c>
      <c r="I946" t="s">
        <v>11</v>
      </c>
    </row>
    <row r="947" spans="1:9" hidden="1" x14ac:dyDescent="0.25">
      <c r="A947" t="s">
        <v>8</v>
      </c>
      <c r="B947" t="s">
        <v>77</v>
      </c>
      <c r="C947">
        <v>201505</v>
      </c>
      <c r="D947" t="str">
        <f t="shared" si="14"/>
        <v>2015</v>
      </c>
      <c r="E947">
        <v>9</v>
      </c>
      <c r="F947">
        <v>10592016</v>
      </c>
      <c r="G947">
        <v>0</v>
      </c>
      <c r="H947" t="s">
        <v>10</v>
      </c>
      <c r="I947" t="s">
        <v>11</v>
      </c>
    </row>
    <row r="948" spans="1:9" hidden="1" x14ac:dyDescent="0.25">
      <c r="A948" t="s">
        <v>8</v>
      </c>
      <c r="B948" t="s">
        <v>77</v>
      </c>
      <c r="C948">
        <v>201506</v>
      </c>
      <c r="D948" t="str">
        <f t="shared" si="14"/>
        <v>2015</v>
      </c>
      <c r="E948">
        <v>6</v>
      </c>
      <c r="F948">
        <v>10592016</v>
      </c>
      <c r="G948">
        <v>0</v>
      </c>
      <c r="H948" t="s">
        <v>10</v>
      </c>
      <c r="I948" t="s">
        <v>11</v>
      </c>
    </row>
    <row r="949" spans="1:9" hidden="1" x14ac:dyDescent="0.25">
      <c r="A949" t="s">
        <v>8</v>
      </c>
      <c r="B949" t="s">
        <v>77</v>
      </c>
      <c r="C949">
        <v>201508</v>
      </c>
      <c r="D949" t="str">
        <f t="shared" si="14"/>
        <v>2015</v>
      </c>
      <c r="E949">
        <v>11</v>
      </c>
      <c r="F949">
        <v>10592016</v>
      </c>
      <c r="G949">
        <v>0</v>
      </c>
      <c r="H949" t="s">
        <v>10</v>
      </c>
      <c r="I949" t="s">
        <v>11</v>
      </c>
    </row>
    <row r="950" spans="1:9" hidden="1" x14ac:dyDescent="0.25">
      <c r="A950" t="s">
        <v>8</v>
      </c>
      <c r="B950" t="s">
        <v>77</v>
      </c>
      <c r="C950">
        <v>201509</v>
      </c>
      <c r="D950" t="str">
        <f t="shared" si="14"/>
        <v>2015</v>
      </c>
      <c r="E950">
        <v>3</v>
      </c>
      <c r="F950">
        <v>10592016</v>
      </c>
      <c r="G950">
        <v>0</v>
      </c>
      <c r="H950" t="s">
        <v>10</v>
      </c>
      <c r="I950" t="s">
        <v>11</v>
      </c>
    </row>
    <row r="951" spans="1:9" hidden="1" x14ac:dyDescent="0.25">
      <c r="A951" t="s">
        <v>8</v>
      </c>
      <c r="B951" t="s">
        <v>77</v>
      </c>
      <c r="C951">
        <v>201510</v>
      </c>
      <c r="D951" t="str">
        <f t="shared" si="14"/>
        <v>2015</v>
      </c>
      <c r="E951">
        <v>4</v>
      </c>
      <c r="F951">
        <v>10592016</v>
      </c>
      <c r="G951">
        <v>0</v>
      </c>
      <c r="H951" t="s">
        <v>10</v>
      </c>
      <c r="I951" t="s">
        <v>11</v>
      </c>
    </row>
    <row r="952" spans="1:9" hidden="1" x14ac:dyDescent="0.25">
      <c r="A952" t="s">
        <v>8</v>
      </c>
      <c r="B952" t="s">
        <v>77</v>
      </c>
      <c r="C952">
        <v>201704</v>
      </c>
      <c r="D952" t="str">
        <f t="shared" si="14"/>
        <v>2017</v>
      </c>
      <c r="E952">
        <v>2</v>
      </c>
      <c r="F952">
        <v>10592016</v>
      </c>
      <c r="G952">
        <v>0</v>
      </c>
      <c r="H952" t="s">
        <v>10</v>
      </c>
      <c r="I952" t="s">
        <v>11</v>
      </c>
    </row>
    <row r="953" spans="1:9" hidden="1" x14ac:dyDescent="0.25">
      <c r="A953" t="s">
        <v>8</v>
      </c>
      <c r="B953" t="s">
        <v>77</v>
      </c>
      <c r="C953">
        <v>201706</v>
      </c>
      <c r="D953" t="str">
        <f t="shared" si="14"/>
        <v>2017</v>
      </c>
      <c r="E953">
        <v>2</v>
      </c>
      <c r="F953">
        <v>10592016</v>
      </c>
      <c r="G953">
        <v>0</v>
      </c>
      <c r="H953" t="s">
        <v>10</v>
      </c>
      <c r="I953" t="s">
        <v>11</v>
      </c>
    </row>
    <row r="954" spans="1:9" hidden="1" x14ac:dyDescent="0.25">
      <c r="A954" t="s">
        <v>8</v>
      </c>
      <c r="B954" t="s">
        <v>77</v>
      </c>
      <c r="C954">
        <v>201707</v>
      </c>
      <c r="D954" t="str">
        <f t="shared" si="14"/>
        <v>2017</v>
      </c>
      <c r="E954">
        <v>2</v>
      </c>
      <c r="F954">
        <v>10592016</v>
      </c>
      <c r="G954">
        <v>0</v>
      </c>
      <c r="H954" t="s">
        <v>10</v>
      </c>
      <c r="I954" t="s">
        <v>11</v>
      </c>
    </row>
    <row r="955" spans="1:9" hidden="1" x14ac:dyDescent="0.25">
      <c r="A955" t="s">
        <v>8</v>
      </c>
      <c r="B955" t="s">
        <v>77</v>
      </c>
      <c r="C955">
        <v>201708</v>
      </c>
      <c r="D955" t="str">
        <f t="shared" si="14"/>
        <v>2017</v>
      </c>
      <c r="E955">
        <v>13</v>
      </c>
      <c r="F955">
        <v>10592016</v>
      </c>
      <c r="G955">
        <v>0</v>
      </c>
      <c r="H955" t="s">
        <v>10</v>
      </c>
      <c r="I955" t="s">
        <v>11</v>
      </c>
    </row>
    <row r="956" spans="1:9" hidden="1" x14ac:dyDescent="0.25">
      <c r="A956" t="s">
        <v>8</v>
      </c>
      <c r="B956" t="s">
        <v>77</v>
      </c>
      <c r="C956">
        <v>201709</v>
      </c>
      <c r="D956" t="str">
        <f t="shared" si="14"/>
        <v>2017</v>
      </c>
      <c r="E956">
        <v>10</v>
      </c>
      <c r="F956">
        <v>10592016</v>
      </c>
      <c r="G956">
        <v>0</v>
      </c>
      <c r="H956" t="s">
        <v>10</v>
      </c>
      <c r="I956" t="s">
        <v>11</v>
      </c>
    </row>
    <row r="957" spans="1:9" hidden="1" x14ac:dyDescent="0.25">
      <c r="A957" t="s">
        <v>8</v>
      </c>
      <c r="B957" t="s">
        <v>77</v>
      </c>
      <c r="C957">
        <v>201710</v>
      </c>
      <c r="D957" t="str">
        <f t="shared" si="14"/>
        <v>2017</v>
      </c>
      <c r="E957">
        <v>10</v>
      </c>
      <c r="F957">
        <v>10592016</v>
      </c>
      <c r="G957">
        <v>0</v>
      </c>
      <c r="H957" t="s">
        <v>10</v>
      </c>
      <c r="I957" t="s">
        <v>11</v>
      </c>
    </row>
    <row r="958" spans="1:9" hidden="1" x14ac:dyDescent="0.25">
      <c r="A958" t="s">
        <v>8</v>
      </c>
      <c r="B958" t="s">
        <v>77</v>
      </c>
      <c r="C958">
        <v>201711</v>
      </c>
      <c r="D958" t="str">
        <f t="shared" si="14"/>
        <v>2017</v>
      </c>
      <c r="E958">
        <v>10</v>
      </c>
      <c r="F958">
        <v>10592016</v>
      </c>
      <c r="G958">
        <v>0</v>
      </c>
      <c r="H958" t="s">
        <v>10</v>
      </c>
      <c r="I958" t="s">
        <v>11</v>
      </c>
    </row>
    <row r="959" spans="1:9" hidden="1" x14ac:dyDescent="0.25">
      <c r="A959" t="s">
        <v>8</v>
      </c>
      <c r="B959" t="s">
        <v>77</v>
      </c>
      <c r="C959">
        <v>201712</v>
      </c>
      <c r="D959" t="str">
        <f t="shared" si="14"/>
        <v>2017</v>
      </c>
      <c r="E959">
        <v>2</v>
      </c>
      <c r="F959">
        <v>10592016</v>
      </c>
      <c r="G959">
        <v>0</v>
      </c>
      <c r="H959" t="s">
        <v>10</v>
      </c>
      <c r="I959" t="s">
        <v>11</v>
      </c>
    </row>
    <row r="960" spans="1:9" hidden="1" x14ac:dyDescent="0.25">
      <c r="A960" t="s">
        <v>8</v>
      </c>
      <c r="B960" t="s">
        <v>77</v>
      </c>
      <c r="C960">
        <v>201802</v>
      </c>
      <c r="D960" t="str">
        <f t="shared" si="14"/>
        <v>2018</v>
      </c>
      <c r="E960">
        <v>8</v>
      </c>
      <c r="F960">
        <v>10592016</v>
      </c>
      <c r="G960">
        <v>0</v>
      </c>
      <c r="H960" t="s">
        <v>10</v>
      </c>
      <c r="I960" t="s">
        <v>11</v>
      </c>
    </row>
    <row r="961" spans="1:9" hidden="1" x14ac:dyDescent="0.25">
      <c r="A961" t="s">
        <v>8</v>
      </c>
      <c r="B961" t="s">
        <v>77</v>
      </c>
      <c r="C961">
        <v>201803</v>
      </c>
      <c r="D961" t="str">
        <f t="shared" si="14"/>
        <v>2018</v>
      </c>
      <c r="E961">
        <v>2</v>
      </c>
      <c r="F961">
        <v>10592016</v>
      </c>
      <c r="G961">
        <v>0</v>
      </c>
      <c r="H961" t="s">
        <v>10</v>
      </c>
      <c r="I961" t="s">
        <v>11</v>
      </c>
    </row>
    <row r="962" spans="1:9" hidden="1" x14ac:dyDescent="0.25">
      <c r="A962" t="s">
        <v>8</v>
      </c>
      <c r="B962" t="s">
        <v>77</v>
      </c>
      <c r="C962">
        <v>201804</v>
      </c>
      <c r="D962" t="str">
        <f t="shared" si="14"/>
        <v>2018</v>
      </c>
      <c r="E962">
        <v>9</v>
      </c>
      <c r="F962">
        <v>10592016</v>
      </c>
      <c r="G962">
        <v>0</v>
      </c>
      <c r="H962" t="s">
        <v>10</v>
      </c>
      <c r="I962" t="s">
        <v>11</v>
      </c>
    </row>
    <row r="963" spans="1:9" hidden="1" x14ac:dyDescent="0.25">
      <c r="A963" t="s">
        <v>8</v>
      </c>
      <c r="B963" t="s">
        <v>77</v>
      </c>
      <c r="C963">
        <v>201805</v>
      </c>
      <c r="D963" t="str">
        <f t="shared" ref="D963:D1026" si="15">LEFT(C963,4)</f>
        <v>2018</v>
      </c>
      <c r="E963">
        <v>8</v>
      </c>
      <c r="F963">
        <v>10592016</v>
      </c>
      <c r="G963">
        <v>0</v>
      </c>
      <c r="H963" t="s">
        <v>10</v>
      </c>
      <c r="I963" t="s">
        <v>11</v>
      </c>
    </row>
    <row r="964" spans="1:9" hidden="1" x14ac:dyDescent="0.25">
      <c r="A964" t="s">
        <v>8</v>
      </c>
      <c r="B964" t="s">
        <v>77</v>
      </c>
      <c r="C964">
        <v>201806</v>
      </c>
      <c r="D964" t="str">
        <f t="shared" si="15"/>
        <v>2018</v>
      </c>
      <c r="E964">
        <v>6</v>
      </c>
      <c r="F964">
        <v>10592016</v>
      </c>
      <c r="G964">
        <v>0</v>
      </c>
      <c r="H964" t="s">
        <v>10</v>
      </c>
      <c r="I964" t="s">
        <v>11</v>
      </c>
    </row>
    <row r="965" spans="1:9" hidden="1" x14ac:dyDescent="0.25">
      <c r="A965" t="s">
        <v>8</v>
      </c>
      <c r="B965" t="s">
        <v>77</v>
      </c>
      <c r="C965">
        <v>201807</v>
      </c>
      <c r="D965" t="str">
        <f t="shared" si="15"/>
        <v>2018</v>
      </c>
      <c r="E965">
        <v>10</v>
      </c>
      <c r="F965">
        <v>10592016</v>
      </c>
      <c r="G965">
        <v>0</v>
      </c>
      <c r="H965" t="s">
        <v>10</v>
      </c>
      <c r="I965" t="s">
        <v>11</v>
      </c>
    </row>
    <row r="966" spans="1:9" hidden="1" x14ac:dyDescent="0.25">
      <c r="A966" t="s">
        <v>8</v>
      </c>
      <c r="B966" t="s">
        <v>77</v>
      </c>
      <c r="C966">
        <v>201808</v>
      </c>
      <c r="D966" t="str">
        <f t="shared" si="15"/>
        <v>2018</v>
      </c>
      <c r="E966">
        <v>97</v>
      </c>
      <c r="F966">
        <v>10592016</v>
      </c>
      <c r="G966">
        <v>0</v>
      </c>
      <c r="H966" t="s">
        <v>10</v>
      </c>
      <c r="I966" t="s">
        <v>11</v>
      </c>
    </row>
    <row r="967" spans="1:9" hidden="1" x14ac:dyDescent="0.25">
      <c r="A967" t="s">
        <v>8</v>
      </c>
      <c r="B967" t="s">
        <v>77</v>
      </c>
      <c r="C967">
        <v>201809</v>
      </c>
      <c r="D967" t="str">
        <f t="shared" si="15"/>
        <v>2018</v>
      </c>
      <c r="E967">
        <v>52</v>
      </c>
      <c r="F967">
        <v>10592016</v>
      </c>
      <c r="G967">
        <v>0</v>
      </c>
      <c r="H967" t="s">
        <v>10</v>
      </c>
      <c r="I967" t="s">
        <v>11</v>
      </c>
    </row>
    <row r="968" spans="1:9" hidden="1" x14ac:dyDescent="0.25">
      <c r="A968" t="s">
        <v>8</v>
      </c>
      <c r="B968" t="s">
        <v>77</v>
      </c>
      <c r="C968">
        <v>201810</v>
      </c>
      <c r="D968" t="str">
        <f t="shared" si="15"/>
        <v>2018</v>
      </c>
      <c r="E968">
        <v>18</v>
      </c>
      <c r="F968">
        <v>10592016</v>
      </c>
      <c r="G968">
        <v>0</v>
      </c>
      <c r="H968" t="s">
        <v>10</v>
      </c>
      <c r="I968" t="s">
        <v>11</v>
      </c>
    </row>
    <row r="969" spans="1:9" hidden="1" x14ac:dyDescent="0.25">
      <c r="A969" t="s">
        <v>8</v>
      </c>
      <c r="B969" t="s">
        <v>77</v>
      </c>
      <c r="C969">
        <v>201811</v>
      </c>
      <c r="D969" t="str">
        <f t="shared" si="15"/>
        <v>2018</v>
      </c>
      <c r="E969">
        <v>5</v>
      </c>
      <c r="F969">
        <v>10592016</v>
      </c>
      <c r="G969">
        <v>0</v>
      </c>
      <c r="H969" t="s">
        <v>10</v>
      </c>
      <c r="I969" t="s">
        <v>11</v>
      </c>
    </row>
    <row r="970" spans="1:9" hidden="1" x14ac:dyDescent="0.25">
      <c r="A970" t="s">
        <v>8</v>
      </c>
      <c r="B970" t="s">
        <v>77</v>
      </c>
      <c r="C970">
        <v>201812</v>
      </c>
      <c r="D970" t="str">
        <f t="shared" si="15"/>
        <v>2018</v>
      </c>
      <c r="E970">
        <v>4</v>
      </c>
      <c r="F970">
        <v>10592016</v>
      </c>
      <c r="G970">
        <v>0</v>
      </c>
      <c r="H970" t="s">
        <v>10</v>
      </c>
      <c r="I970" t="s">
        <v>11</v>
      </c>
    </row>
    <row r="971" spans="1:9" hidden="1" x14ac:dyDescent="0.25">
      <c r="A971" t="s">
        <v>8</v>
      </c>
      <c r="B971" t="s">
        <v>77</v>
      </c>
      <c r="C971">
        <v>201901</v>
      </c>
      <c r="D971" t="str">
        <f t="shared" si="15"/>
        <v>2019</v>
      </c>
      <c r="E971">
        <v>735</v>
      </c>
      <c r="F971">
        <v>10592016</v>
      </c>
      <c r="G971">
        <v>0.01</v>
      </c>
      <c r="H971" t="s">
        <v>10</v>
      </c>
      <c r="I971" t="s">
        <v>11</v>
      </c>
    </row>
    <row r="972" spans="1:9" hidden="1" x14ac:dyDescent="0.25">
      <c r="A972" t="s">
        <v>8</v>
      </c>
      <c r="B972" t="s">
        <v>77</v>
      </c>
      <c r="C972">
        <v>201902</v>
      </c>
      <c r="D972" t="str">
        <f t="shared" si="15"/>
        <v>2019</v>
      </c>
      <c r="E972">
        <v>527</v>
      </c>
      <c r="F972">
        <v>10592016</v>
      </c>
      <c r="G972">
        <v>0</v>
      </c>
      <c r="H972" t="s">
        <v>10</v>
      </c>
      <c r="I972" t="s">
        <v>11</v>
      </c>
    </row>
    <row r="973" spans="1:9" hidden="1" x14ac:dyDescent="0.25">
      <c r="A973" t="s">
        <v>8</v>
      </c>
      <c r="B973" t="s">
        <v>77</v>
      </c>
      <c r="C973">
        <v>201903</v>
      </c>
      <c r="D973" t="str">
        <f t="shared" si="15"/>
        <v>2019</v>
      </c>
      <c r="E973">
        <v>633</v>
      </c>
      <c r="F973">
        <v>10592016</v>
      </c>
      <c r="G973">
        <v>0.01</v>
      </c>
      <c r="H973" t="s">
        <v>10</v>
      </c>
      <c r="I973" t="s">
        <v>11</v>
      </c>
    </row>
    <row r="974" spans="1:9" hidden="1" x14ac:dyDescent="0.25">
      <c r="A974" t="s">
        <v>8</v>
      </c>
      <c r="B974" t="s">
        <v>77</v>
      </c>
      <c r="C974">
        <v>201904</v>
      </c>
      <c r="D974" t="str">
        <f t="shared" si="15"/>
        <v>2019</v>
      </c>
      <c r="E974">
        <v>817</v>
      </c>
      <c r="F974">
        <v>10592016</v>
      </c>
      <c r="G974">
        <v>0.01</v>
      </c>
      <c r="H974" t="s">
        <v>10</v>
      </c>
      <c r="I974" t="s">
        <v>11</v>
      </c>
    </row>
    <row r="975" spans="1:9" hidden="1" x14ac:dyDescent="0.25">
      <c r="A975" t="s">
        <v>8</v>
      </c>
      <c r="B975" t="s">
        <v>77</v>
      </c>
      <c r="C975">
        <v>201905</v>
      </c>
      <c r="D975" t="str">
        <f t="shared" si="15"/>
        <v>2019</v>
      </c>
      <c r="E975">
        <v>665</v>
      </c>
      <c r="F975">
        <v>10592016</v>
      </c>
      <c r="G975">
        <v>0.01</v>
      </c>
      <c r="H975" t="s">
        <v>10</v>
      </c>
      <c r="I975" t="s">
        <v>11</v>
      </c>
    </row>
    <row r="976" spans="1:9" hidden="1" x14ac:dyDescent="0.25">
      <c r="A976" t="s">
        <v>8</v>
      </c>
      <c r="B976" t="s">
        <v>77</v>
      </c>
      <c r="C976">
        <v>201906</v>
      </c>
      <c r="D976" t="str">
        <f t="shared" si="15"/>
        <v>2019</v>
      </c>
      <c r="E976">
        <v>763</v>
      </c>
      <c r="F976">
        <v>10592016</v>
      </c>
      <c r="G976">
        <v>0.01</v>
      </c>
      <c r="H976" t="s">
        <v>10</v>
      </c>
      <c r="I976" t="s">
        <v>11</v>
      </c>
    </row>
    <row r="977" spans="1:9" hidden="1" x14ac:dyDescent="0.25">
      <c r="A977" t="s">
        <v>8</v>
      </c>
      <c r="B977" t="s">
        <v>77</v>
      </c>
      <c r="C977">
        <v>201907</v>
      </c>
      <c r="D977" t="str">
        <f t="shared" si="15"/>
        <v>2019</v>
      </c>
      <c r="E977">
        <v>678</v>
      </c>
      <c r="F977">
        <v>10592016</v>
      </c>
      <c r="G977">
        <v>0.01</v>
      </c>
      <c r="H977" t="s">
        <v>10</v>
      </c>
      <c r="I977" t="s">
        <v>11</v>
      </c>
    </row>
    <row r="978" spans="1:9" hidden="1" x14ac:dyDescent="0.25">
      <c r="A978" t="s">
        <v>8</v>
      </c>
      <c r="B978" t="s">
        <v>77</v>
      </c>
      <c r="C978">
        <v>201908</v>
      </c>
      <c r="D978" t="str">
        <f t="shared" si="15"/>
        <v>2019</v>
      </c>
      <c r="E978">
        <v>667</v>
      </c>
      <c r="F978">
        <v>10592016</v>
      </c>
      <c r="G978">
        <v>0.01</v>
      </c>
      <c r="H978" t="s">
        <v>10</v>
      </c>
      <c r="I978" t="s">
        <v>11</v>
      </c>
    </row>
    <row r="979" spans="1:9" hidden="1" x14ac:dyDescent="0.25">
      <c r="A979" t="s">
        <v>8</v>
      </c>
      <c r="B979" t="s">
        <v>77</v>
      </c>
      <c r="C979">
        <v>201909</v>
      </c>
      <c r="D979" t="str">
        <f t="shared" si="15"/>
        <v>2019</v>
      </c>
      <c r="E979">
        <v>489</v>
      </c>
      <c r="F979">
        <v>10592016</v>
      </c>
      <c r="G979">
        <v>0</v>
      </c>
      <c r="H979" t="s">
        <v>10</v>
      </c>
      <c r="I979" t="s">
        <v>11</v>
      </c>
    </row>
    <row r="980" spans="1:9" hidden="1" x14ac:dyDescent="0.25">
      <c r="A980" t="s">
        <v>8</v>
      </c>
      <c r="B980" t="s">
        <v>77</v>
      </c>
      <c r="C980">
        <v>201910</v>
      </c>
      <c r="D980" t="str">
        <f t="shared" si="15"/>
        <v>2019</v>
      </c>
      <c r="E980">
        <v>688</v>
      </c>
      <c r="F980">
        <v>10592016</v>
      </c>
      <c r="G980">
        <v>0.01</v>
      </c>
      <c r="H980" t="s">
        <v>10</v>
      </c>
      <c r="I980" t="s">
        <v>11</v>
      </c>
    </row>
    <row r="981" spans="1:9" hidden="1" x14ac:dyDescent="0.25">
      <c r="A981" t="s">
        <v>8</v>
      </c>
      <c r="B981" t="s">
        <v>77</v>
      </c>
      <c r="C981">
        <v>201911</v>
      </c>
      <c r="D981" t="str">
        <f t="shared" si="15"/>
        <v>2019</v>
      </c>
      <c r="E981">
        <v>677</v>
      </c>
      <c r="F981">
        <v>10592016</v>
      </c>
      <c r="G981">
        <v>0.01</v>
      </c>
      <c r="H981" t="s">
        <v>10</v>
      </c>
      <c r="I981" t="s">
        <v>11</v>
      </c>
    </row>
    <row r="982" spans="1:9" hidden="1" x14ac:dyDescent="0.25">
      <c r="A982" t="s">
        <v>8</v>
      </c>
      <c r="B982" t="s">
        <v>77</v>
      </c>
      <c r="C982">
        <v>201912</v>
      </c>
      <c r="D982" t="str">
        <f t="shared" si="15"/>
        <v>2019</v>
      </c>
      <c r="E982">
        <v>572</v>
      </c>
      <c r="F982">
        <v>10592016</v>
      </c>
      <c r="G982">
        <v>0.01</v>
      </c>
      <c r="H982" t="s">
        <v>10</v>
      </c>
      <c r="I982" t="s">
        <v>11</v>
      </c>
    </row>
    <row r="983" spans="1:9" hidden="1" x14ac:dyDescent="0.25">
      <c r="A983" t="s">
        <v>8</v>
      </c>
      <c r="B983" t="s">
        <v>77</v>
      </c>
      <c r="C983">
        <v>202001</v>
      </c>
      <c r="D983" t="str">
        <f t="shared" si="15"/>
        <v>2020</v>
      </c>
      <c r="E983">
        <v>39880</v>
      </c>
      <c r="F983">
        <v>10592016</v>
      </c>
      <c r="G983">
        <v>0.38</v>
      </c>
      <c r="H983" t="s">
        <v>10</v>
      </c>
      <c r="I983" t="s">
        <v>11</v>
      </c>
    </row>
    <row r="984" spans="1:9" hidden="1" x14ac:dyDescent="0.25">
      <c r="A984" t="s">
        <v>8</v>
      </c>
      <c r="B984" t="s">
        <v>77</v>
      </c>
      <c r="C984">
        <v>202002</v>
      </c>
      <c r="D984" t="str">
        <f t="shared" si="15"/>
        <v>2020</v>
      </c>
      <c r="E984">
        <v>36935</v>
      </c>
      <c r="F984">
        <v>10592016</v>
      </c>
      <c r="G984">
        <v>0.35</v>
      </c>
      <c r="H984" t="s">
        <v>10</v>
      </c>
      <c r="I984" t="s">
        <v>11</v>
      </c>
    </row>
    <row r="985" spans="1:9" hidden="1" x14ac:dyDescent="0.25">
      <c r="A985" t="s">
        <v>8</v>
      </c>
      <c r="B985" t="s">
        <v>77</v>
      </c>
      <c r="C985">
        <v>202003</v>
      </c>
      <c r="D985" t="str">
        <f t="shared" si="15"/>
        <v>2020</v>
      </c>
      <c r="E985">
        <v>31709</v>
      </c>
      <c r="F985">
        <v>10592016</v>
      </c>
      <c r="G985">
        <v>0.3</v>
      </c>
      <c r="H985" t="s">
        <v>10</v>
      </c>
      <c r="I985" t="s">
        <v>11</v>
      </c>
    </row>
    <row r="986" spans="1:9" hidden="1" x14ac:dyDescent="0.25">
      <c r="A986" t="s">
        <v>8</v>
      </c>
      <c r="B986" t="s">
        <v>77</v>
      </c>
      <c r="C986">
        <v>202004</v>
      </c>
      <c r="D986" t="str">
        <f t="shared" si="15"/>
        <v>2020</v>
      </c>
      <c r="E986">
        <v>17337</v>
      </c>
      <c r="F986">
        <v>10592016</v>
      </c>
      <c r="G986">
        <v>0.16</v>
      </c>
      <c r="H986" t="s">
        <v>10</v>
      </c>
      <c r="I986" t="s">
        <v>11</v>
      </c>
    </row>
    <row r="987" spans="1:9" hidden="1" x14ac:dyDescent="0.25">
      <c r="A987" t="s">
        <v>8</v>
      </c>
      <c r="B987" t="s">
        <v>77</v>
      </c>
      <c r="C987">
        <v>202005</v>
      </c>
      <c r="D987" t="str">
        <f t="shared" si="15"/>
        <v>2020</v>
      </c>
      <c r="E987">
        <v>31993</v>
      </c>
      <c r="F987">
        <v>10592016</v>
      </c>
      <c r="G987">
        <v>0.3</v>
      </c>
      <c r="H987" t="s">
        <v>10</v>
      </c>
      <c r="I987" t="s">
        <v>11</v>
      </c>
    </row>
    <row r="988" spans="1:9" hidden="1" x14ac:dyDescent="0.25">
      <c r="A988" t="s">
        <v>8</v>
      </c>
      <c r="B988" t="s">
        <v>77</v>
      </c>
      <c r="C988">
        <v>202006</v>
      </c>
      <c r="D988" t="str">
        <f t="shared" si="15"/>
        <v>2020</v>
      </c>
      <c r="E988">
        <v>40844</v>
      </c>
      <c r="F988">
        <v>10592016</v>
      </c>
      <c r="G988">
        <v>0.39</v>
      </c>
      <c r="H988" t="s">
        <v>10</v>
      </c>
      <c r="I988" t="s">
        <v>11</v>
      </c>
    </row>
    <row r="989" spans="1:9" hidden="1" x14ac:dyDescent="0.25">
      <c r="A989" t="s">
        <v>8</v>
      </c>
      <c r="B989" t="s">
        <v>77</v>
      </c>
      <c r="C989">
        <v>202007</v>
      </c>
      <c r="D989" t="str">
        <f t="shared" si="15"/>
        <v>2020</v>
      </c>
      <c r="E989">
        <v>30320</v>
      </c>
      <c r="F989">
        <v>10592016</v>
      </c>
      <c r="G989">
        <v>0.28999999999999998</v>
      </c>
      <c r="H989" t="s">
        <v>10</v>
      </c>
      <c r="I989" t="s">
        <v>11</v>
      </c>
    </row>
    <row r="990" spans="1:9" hidden="1" x14ac:dyDescent="0.25">
      <c r="A990" t="s">
        <v>8</v>
      </c>
      <c r="B990" t="s">
        <v>77</v>
      </c>
      <c r="C990">
        <v>202008</v>
      </c>
      <c r="D990" t="str">
        <f t="shared" si="15"/>
        <v>2020</v>
      </c>
      <c r="E990">
        <v>30433</v>
      </c>
      <c r="F990">
        <v>10592016</v>
      </c>
      <c r="G990">
        <v>0.28999999999999998</v>
      </c>
      <c r="H990" t="s">
        <v>10</v>
      </c>
      <c r="I990" t="s">
        <v>11</v>
      </c>
    </row>
    <row r="991" spans="1:9" hidden="1" x14ac:dyDescent="0.25">
      <c r="A991" t="s">
        <v>8</v>
      </c>
      <c r="B991" t="s">
        <v>77</v>
      </c>
      <c r="C991">
        <v>202009</v>
      </c>
      <c r="D991" t="str">
        <f t="shared" si="15"/>
        <v>2020</v>
      </c>
      <c r="E991">
        <v>33326</v>
      </c>
      <c r="F991">
        <v>10592016</v>
      </c>
      <c r="G991">
        <v>0.31</v>
      </c>
      <c r="H991" t="s">
        <v>10</v>
      </c>
      <c r="I991" t="s">
        <v>11</v>
      </c>
    </row>
    <row r="992" spans="1:9" hidden="1" x14ac:dyDescent="0.25">
      <c r="A992" t="s">
        <v>8</v>
      </c>
      <c r="B992" t="s">
        <v>77</v>
      </c>
      <c r="C992">
        <v>202010</v>
      </c>
      <c r="D992" t="str">
        <f t="shared" si="15"/>
        <v>2020</v>
      </c>
      <c r="E992">
        <v>34859</v>
      </c>
      <c r="F992">
        <v>10592016</v>
      </c>
      <c r="G992">
        <v>0.33</v>
      </c>
      <c r="H992" t="s">
        <v>10</v>
      </c>
      <c r="I992" t="s">
        <v>11</v>
      </c>
    </row>
    <row r="993" spans="1:9" hidden="1" x14ac:dyDescent="0.25">
      <c r="A993" t="s">
        <v>8</v>
      </c>
      <c r="B993" t="s">
        <v>77</v>
      </c>
      <c r="C993">
        <v>202011</v>
      </c>
      <c r="D993" t="str">
        <f t="shared" si="15"/>
        <v>2020</v>
      </c>
      <c r="E993">
        <v>29738</v>
      </c>
      <c r="F993">
        <v>10592016</v>
      </c>
      <c r="G993">
        <v>0.28000000000000003</v>
      </c>
      <c r="H993" t="s">
        <v>10</v>
      </c>
      <c r="I993" t="s">
        <v>11</v>
      </c>
    </row>
    <row r="994" spans="1:9" hidden="1" x14ac:dyDescent="0.25">
      <c r="A994" t="s">
        <v>8</v>
      </c>
      <c r="B994" t="s">
        <v>77</v>
      </c>
      <c r="C994">
        <v>202012</v>
      </c>
      <c r="D994" t="str">
        <f t="shared" si="15"/>
        <v>2020</v>
      </c>
      <c r="E994">
        <v>31457</v>
      </c>
      <c r="F994">
        <v>10592016</v>
      </c>
      <c r="G994">
        <v>0.3</v>
      </c>
      <c r="H994" t="s">
        <v>10</v>
      </c>
      <c r="I994" t="s">
        <v>11</v>
      </c>
    </row>
    <row r="995" spans="1:9" hidden="1" x14ac:dyDescent="0.25">
      <c r="A995" t="s">
        <v>8</v>
      </c>
      <c r="B995" t="s">
        <v>77</v>
      </c>
      <c r="C995">
        <v>202101</v>
      </c>
      <c r="D995" t="str">
        <f t="shared" si="15"/>
        <v>2021</v>
      </c>
      <c r="E995">
        <v>68491</v>
      </c>
      <c r="F995">
        <v>10592016</v>
      </c>
      <c r="G995">
        <v>0.65</v>
      </c>
      <c r="H995" t="s">
        <v>10</v>
      </c>
      <c r="I995" t="s">
        <v>11</v>
      </c>
    </row>
    <row r="996" spans="1:9" hidden="1" x14ac:dyDescent="0.25">
      <c r="A996" t="s">
        <v>8</v>
      </c>
      <c r="B996" t="s">
        <v>77</v>
      </c>
      <c r="C996">
        <v>202102</v>
      </c>
      <c r="D996" t="str">
        <f t="shared" si="15"/>
        <v>2021</v>
      </c>
      <c r="E996">
        <v>52757</v>
      </c>
      <c r="F996">
        <v>10592016</v>
      </c>
      <c r="G996">
        <v>0.5</v>
      </c>
      <c r="H996" t="s">
        <v>10</v>
      </c>
      <c r="I996" t="s">
        <v>11</v>
      </c>
    </row>
    <row r="997" spans="1:9" hidden="1" x14ac:dyDescent="0.25">
      <c r="A997" t="s">
        <v>8</v>
      </c>
      <c r="B997" t="s">
        <v>77</v>
      </c>
      <c r="C997">
        <v>202103</v>
      </c>
      <c r="D997" t="str">
        <f t="shared" si="15"/>
        <v>2021</v>
      </c>
      <c r="E997">
        <v>65536</v>
      </c>
      <c r="F997">
        <v>10592016</v>
      </c>
      <c r="G997">
        <v>0.62</v>
      </c>
      <c r="H997" t="s">
        <v>10</v>
      </c>
      <c r="I997" t="s">
        <v>11</v>
      </c>
    </row>
    <row r="998" spans="1:9" hidden="1" x14ac:dyDescent="0.25">
      <c r="A998" t="s">
        <v>8</v>
      </c>
      <c r="B998" t="s">
        <v>77</v>
      </c>
      <c r="C998">
        <v>202104</v>
      </c>
      <c r="D998" t="str">
        <f t="shared" si="15"/>
        <v>2021</v>
      </c>
      <c r="E998">
        <v>62317</v>
      </c>
      <c r="F998">
        <v>10592016</v>
      </c>
      <c r="G998">
        <v>0.59</v>
      </c>
      <c r="H998" t="s">
        <v>10</v>
      </c>
      <c r="I998" t="s">
        <v>11</v>
      </c>
    </row>
    <row r="999" spans="1:9" hidden="1" x14ac:dyDescent="0.25">
      <c r="A999" t="s">
        <v>8</v>
      </c>
      <c r="B999" t="s">
        <v>77</v>
      </c>
      <c r="C999">
        <v>202105</v>
      </c>
      <c r="D999" t="str">
        <f t="shared" si="15"/>
        <v>2021</v>
      </c>
      <c r="E999">
        <v>58401</v>
      </c>
      <c r="F999">
        <v>10592016</v>
      </c>
      <c r="G999">
        <v>0.55000000000000004</v>
      </c>
      <c r="H999" t="s">
        <v>10</v>
      </c>
      <c r="I999" t="s">
        <v>11</v>
      </c>
    </row>
    <row r="1000" spans="1:9" hidden="1" x14ac:dyDescent="0.25">
      <c r="A1000" t="s">
        <v>8</v>
      </c>
      <c r="B1000" t="s">
        <v>77</v>
      </c>
      <c r="C1000">
        <v>202106</v>
      </c>
      <c r="D1000" t="str">
        <f t="shared" si="15"/>
        <v>2021</v>
      </c>
      <c r="E1000">
        <v>66539</v>
      </c>
      <c r="F1000">
        <v>10592016</v>
      </c>
      <c r="G1000">
        <v>0.63</v>
      </c>
      <c r="H1000" t="s">
        <v>10</v>
      </c>
      <c r="I1000" t="s">
        <v>11</v>
      </c>
    </row>
    <row r="1001" spans="1:9" hidden="1" x14ac:dyDescent="0.25">
      <c r="A1001" t="s">
        <v>8</v>
      </c>
      <c r="B1001" t="s">
        <v>77</v>
      </c>
      <c r="C1001">
        <v>202107</v>
      </c>
      <c r="D1001" t="str">
        <f t="shared" si="15"/>
        <v>2021</v>
      </c>
      <c r="E1001">
        <v>132054</v>
      </c>
      <c r="F1001">
        <v>10592016</v>
      </c>
      <c r="G1001">
        <v>1.25</v>
      </c>
      <c r="H1001" t="s">
        <v>10</v>
      </c>
      <c r="I1001" t="s">
        <v>11</v>
      </c>
    </row>
    <row r="1002" spans="1:9" hidden="1" x14ac:dyDescent="0.25">
      <c r="A1002" t="s">
        <v>8</v>
      </c>
      <c r="B1002" t="s">
        <v>77</v>
      </c>
      <c r="C1002">
        <v>202108</v>
      </c>
      <c r="D1002" t="str">
        <f t="shared" si="15"/>
        <v>2021</v>
      </c>
      <c r="E1002">
        <v>132083</v>
      </c>
      <c r="F1002">
        <v>10592016</v>
      </c>
      <c r="G1002">
        <v>1.25</v>
      </c>
      <c r="H1002" t="s">
        <v>10</v>
      </c>
      <c r="I1002" t="s">
        <v>11</v>
      </c>
    </row>
    <row r="1003" spans="1:9" hidden="1" x14ac:dyDescent="0.25">
      <c r="A1003" t="s">
        <v>8</v>
      </c>
      <c r="B1003" t="s">
        <v>77</v>
      </c>
      <c r="C1003">
        <v>202109</v>
      </c>
      <c r="D1003" t="str">
        <f t="shared" si="15"/>
        <v>2021</v>
      </c>
      <c r="E1003">
        <v>139609</v>
      </c>
      <c r="F1003">
        <v>10592016</v>
      </c>
      <c r="G1003">
        <v>1.32</v>
      </c>
      <c r="H1003" t="s">
        <v>10</v>
      </c>
      <c r="I1003" t="s">
        <v>11</v>
      </c>
    </row>
    <row r="1004" spans="1:9" hidden="1" x14ac:dyDescent="0.25">
      <c r="A1004" t="s">
        <v>8</v>
      </c>
      <c r="B1004" t="s">
        <v>77</v>
      </c>
      <c r="C1004">
        <v>202110</v>
      </c>
      <c r="D1004" t="str">
        <f t="shared" si="15"/>
        <v>2021</v>
      </c>
      <c r="E1004">
        <v>139017</v>
      </c>
      <c r="F1004">
        <v>10592016</v>
      </c>
      <c r="G1004">
        <v>1.31</v>
      </c>
      <c r="H1004" t="s">
        <v>10</v>
      </c>
      <c r="I1004" t="s">
        <v>11</v>
      </c>
    </row>
    <row r="1005" spans="1:9" hidden="1" x14ac:dyDescent="0.25">
      <c r="A1005" t="s">
        <v>8</v>
      </c>
      <c r="B1005" t="s">
        <v>77</v>
      </c>
      <c r="C1005">
        <v>202111</v>
      </c>
      <c r="D1005" t="str">
        <f t="shared" si="15"/>
        <v>2021</v>
      </c>
      <c r="E1005">
        <v>165811</v>
      </c>
      <c r="F1005">
        <v>10592016</v>
      </c>
      <c r="G1005">
        <v>1.57</v>
      </c>
      <c r="H1005" t="s">
        <v>10</v>
      </c>
      <c r="I1005" t="s">
        <v>11</v>
      </c>
    </row>
    <row r="1006" spans="1:9" hidden="1" x14ac:dyDescent="0.25">
      <c r="A1006" t="s">
        <v>8</v>
      </c>
      <c r="B1006" t="s">
        <v>77</v>
      </c>
      <c r="C1006">
        <v>202112</v>
      </c>
      <c r="D1006" t="str">
        <f t="shared" si="15"/>
        <v>2021</v>
      </c>
      <c r="E1006">
        <v>231686</v>
      </c>
      <c r="F1006">
        <v>10592016</v>
      </c>
      <c r="G1006">
        <v>2.19</v>
      </c>
      <c r="H1006" t="s">
        <v>10</v>
      </c>
      <c r="I1006" t="s">
        <v>11</v>
      </c>
    </row>
    <row r="1007" spans="1:9" hidden="1" x14ac:dyDescent="0.25">
      <c r="A1007" t="s">
        <v>8</v>
      </c>
      <c r="B1007" t="s">
        <v>77</v>
      </c>
      <c r="C1007">
        <v>202201</v>
      </c>
      <c r="D1007" t="str">
        <f t="shared" si="15"/>
        <v>2022</v>
      </c>
      <c r="E1007">
        <v>221303</v>
      </c>
      <c r="F1007">
        <v>10592016</v>
      </c>
      <c r="G1007">
        <v>2.09</v>
      </c>
      <c r="H1007" t="s">
        <v>10</v>
      </c>
      <c r="I1007" t="s">
        <v>11</v>
      </c>
    </row>
    <row r="1008" spans="1:9" hidden="1" x14ac:dyDescent="0.25">
      <c r="A1008" t="s">
        <v>8</v>
      </c>
      <c r="B1008" t="s">
        <v>77</v>
      </c>
      <c r="C1008">
        <v>202202</v>
      </c>
      <c r="D1008" t="str">
        <f t="shared" si="15"/>
        <v>2022</v>
      </c>
      <c r="E1008">
        <v>189729</v>
      </c>
      <c r="F1008">
        <v>10592016</v>
      </c>
      <c r="G1008">
        <v>1.79</v>
      </c>
      <c r="H1008" t="s">
        <v>10</v>
      </c>
      <c r="I1008" t="s">
        <v>11</v>
      </c>
    </row>
    <row r="1009" spans="1:9" hidden="1" x14ac:dyDescent="0.25">
      <c r="A1009" t="s">
        <v>8</v>
      </c>
      <c r="B1009" t="s">
        <v>77</v>
      </c>
      <c r="C1009">
        <v>202203</v>
      </c>
      <c r="D1009" t="str">
        <f t="shared" si="15"/>
        <v>2022</v>
      </c>
      <c r="E1009">
        <v>242463</v>
      </c>
      <c r="F1009">
        <v>10592016</v>
      </c>
      <c r="G1009">
        <v>2.29</v>
      </c>
      <c r="H1009" t="s">
        <v>10</v>
      </c>
      <c r="I1009" t="s">
        <v>11</v>
      </c>
    </row>
    <row r="1010" spans="1:9" hidden="1" x14ac:dyDescent="0.25">
      <c r="A1010" t="s">
        <v>8</v>
      </c>
      <c r="B1010" t="s">
        <v>77</v>
      </c>
      <c r="C1010">
        <v>202204</v>
      </c>
      <c r="D1010" t="str">
        <f t="shared" si="15"/>
        <v>2022</v>
      </c>
      <c r="E1010">
        <v>214437</v>
      </c>
      <c r="F1010">
        <v>10592016</v>
      </c>
      <c r="G1010">
        <v>2.02</v>
      </c>
      <c r="H1010" t="s">
        <v>10</v>
      </c>
      <c r="I1010" t="s">
        <v>11</v>
      </c>
    </row>
    <row r="1011" spans="1:9" hidden="1" x14ac:dyDescent="0.25">
      <c r="A1011" t="s">
        <v>8</v>
      </c>
      <c r="B1011" t="s">
        <v>77</v>
      </c>
      <c r="C1011">
        <v>202205</v>
      </c>
      <c r="D1011" t="str">
        <f t="shared" si="15"/>
        <v>2022</v>
      </c>
      <c r="E1011">
        <v>218078</v>
      </c>
      <c r="F1011">
        <v>10592016</v>
      </c>
      <c r="G1011">
        <v>2.06</v>
      </c>
      <c r="H1011" t="s">
        <v>10</v>
      </c>
      <c r="I1011" t="s">
        <v>11</v>
      </c>
    </row>
    <row r="1012" spans="1:9" hidden="1" x14ac:dyDescent="0.25">
      <c r="A1012" t="s">
        <v>8</v>
      </c>
      <c r="B1012" t="s">
        <v>77</v>
      </c>
      <c r="C1012">
        <v>202206</v>
      </c>
      <c r="D1012" t="str">
        <f t="shared" si="15"/>
        <v>2022</v>
      </c>
      <c r="E1012">
        <v>223323</v>
      </c>
      <c r="F1012">
        <v>10592016</v>
      </c>
      <c r="G1012">
        <v>2.11</v>
      </c>
      <c r="H1012" t="s">
        <v>10</v>
      </c>
      <c r="I1012" t="s">
        <v>11</v>
      </c>
    </row>
    <row r="1013" spans="1:9" hidden="1" x14ac:dyDescent="0.25">
      <c r="A1013" t="s">
        <v>8</v>
      </c>
      <c r="B1013" t="s">
        <v>77</v>
      </c>
      <c r="C1013">
        <v>202207</v>
      </c>
      <c r="D1013" t="str">
        <f t="shared" si="15"/>
        <v>2022</v>
      </c>
      <c r="E1013">
        <v>209558</v>
      </c>
      <c r="F1013">
        <v>10592016</v>
      </c>
      <c r="G1013">
        <v>1.98</v>
      </c>
      <c r="H1013" t="s">
        <v>10</v>
      </c>
      <c r="I1013" t="s">
        <v>11</v>
      </c>
    </row>
    <row r="1014" spans="1:9" hidden="1" x14ac:dyDescent="0.25">
      <c r="A1014" t="s">
        <v>8</v>
      </c>
      <c r="B1014" t="s">
        <v>77</v>
      </c>
      <c r="C1014">
        <v>202208</v>
      </c>
      <c r="D1014" t="str">
        <f t="shared" si="15"/>
        <v>2022</v>
      </c>
      <c r="E1014">
        <v>231772</v>
      </c>
      <c r="F1014">
        <v>10592016</v>
      </c>
      <c r="G1014">
        <v>2.19</v>
      </c>
      <c r="H1014" t="s">
        <v>10</v>
      </c>
      <c r="I1014" t="s">
        <v>11</v>
      </c>
    </row>
    <row r="1015" spans="1:9" hidden="1" x14ac:dyDescent="0.25">
      <c r="A1015" t="s">
        <v>8</v>
      </c>
      <c r="B1015" t="s">
        <v>77</v>
      </c>
      <c r="C1015">
        <v>202209</v>
      </c>
      <c r="D1015" t="str">
        <f t="shared" si="15"/>
        <v>2022</v>
      </c>
      <c r="E1015">
        <v>216337</v>
      </c>
      <c r="F1015">
        <v>10592016</v>
      </c>
      <c r="G1015">
        <v>2.04</v>
      </c>
      <c r="H1015" t="s">
        <v>10</v>
      </c>
      <c r="I1015" t="s">
        <v>11</v>
      </c>
    </row>
    <row r="1016" spans="1:9" hidden="1" x14ac:dyDescent="0.25">
      <c r="A1016" t="s">
        <v>8</v>
      </c>
      <c r="B1016" t="s">
        <v>77</v>
      </c>
      <c r="C1016">
        <v>202210</v>
      </c>
      <c r="D1016" t="str">
        <f t="shared" si="15"/>
        <v>2022</v>
      </c>
      <c r="E1016">
        <v>220453</v>
      </c>
      <c r="F1016">
        <v>10592016</v>
      </c>
      <c r="G1016">
        <v>2.08</v>
      </c>
      <c r="H1016" t="s">
        <v>10</v>
      </c>
      <c r="I1016" t="s">
        <v>11</v>
      </c>
    </row>
    <row r="1017" spans="1:9" hidden="1" x14ac:dyDescent="0.25">
      <c r="A1017" t="s">
        <v>8</v>
      </c>
      <c r="B1017" t="s">
        <v>77</v>
      </c>
      <c r="C1017">
        <v>202211</v>
      </c>
      <c r="D1017" t="str">
        <f t="shared" si="15"/>
        <v>2022</v>
      </c>
      <c r="E1017">
        <v>216342</v>
      </c>
      <c r="F1017">
        <v>10592016</v>
      </c>
      <c r="G1017">
        <v>2.04</v>
      </c>
      <c r="H1017" t="s">
        <v>10</v>
      </c>
      <c r="I1017" t="s">
        <v>11</v>
      </c>
    </row>
    <row r="1018" spans="1:9" hidden="1" x14ac:dyDescent="0.25">
      <c r="A1018" t="s">
        <v>8</v>
      </c>
      <c r="B1018" t="s">
        <v>77</v>
      </c>
      <c r="C1018">
        <v>202212</v>
      </c>
      <c r="D1018" t="str">
        <f t="shared" si="15"/>
        <v>2022</v>
      </c>
      <c r="E1018">
        <v>202728</v>
      </c>
      <c r="F1018">
        <v>10592016</v>
      </c>
      <c r="G1018">
        <v>1.91</v>
      </c>
      <c r="H1018" t="s">
        <v>10</v>
      </c>
      <c r="I1018" t="s">
        <v>11</v>
      </c>
    </row>
    <row r="1019" spans="1:9" hidden="1" x14ac:dyDescent="0.25">
      <c r="A1019" t="s">
        <v>8</v>
      </c>
      <c r="B1019" t="s">
        <v>77</v>
      </c>
      <c r="C1019">
        <v>202301</v>
      </c>
      <c r="D1019" t="str">
        <f t="shared" si="15"/>
        <v>2023</v>
      </c>
      <c r="E1019">
        <v>242150</v>
      </c>
      <c r="F1019">
        <v>10592016</v>
      </c>
      <c r="G1019">
        <v>2.29</v>
      </c>
      <c r="H1019" t="s">
        <v>10</v>
      </c>
      <c r="I1019" t="s">
        <v>11</v>
      </c>
    </row>
    <row r="1020" spans="1:9" hidden="1" x14ac:dyDescent="0.25">
      <c r="A1020" t="s">
        <v>8</v>
      </c>
      <c r="B1020" t="s">
        <v>77</v>
      </c>
      <c r="C1020">
        <v>202302</v>
      </c>
      <c r="D1020" t="str">
        <f t="shared" si="15"/>
        <v>2023</v>
      </c>
      <c r="E1020">
        <v>234881</v>
      </c>
      <c r="F1020">
        <v>10592016</v>
      </c>
      <c r="G1020">
        <v>2.2200000000000002</v>
      </c>
      <c r="H1020" t="s">
        <v>10</v>
      </c>
      <c r="I1020" t="s">
        <v>11</v>
      </c>
    </row>
    <row r="1021" spans="1:9" hidden="1" x14ac:dyDescent="0.25">
      <c r="A1021" t="s">
        <v>8</v>
      </c>
      <c r="B1021" t="s">
        <v>77</v>
      </c>
      <c r="C1021">
        <v>202303</v>
      </c>
      <c r="D1021" t="str">
        <f t="shared" si="15"/>
        <v>2023</v>
      </c>
      <c r="E1021">
        <v>260937</v>
      </c>
      <c r="F1021">
        <v>10592016</v>
      </c>
      <c r="G1021">
        <v>2.46</v>
      </c>
      <c r="H1021" t="s">
        <v>10</v>
      </c>
      <c r="I1021" t="s">
        <v>11</v>
      </c>
    </row>
    <row r="1022" spans="1:9" hidden="1" x14ac:dyDescent="0.25">
      <c r="A1022" t="s">
        <v>8</v>
      </c>
      <c r="B1022" t="s">
        <v>77</v>
      </c>
      <c r="C1022">
        <v>202304</v>
      </c>
      <c r="D1022" t="str">
        <f t="shared" si="15"/>
        <v>2023</v>
      </c>
      <c r="E1022">
        <v>235697</v>
      </c>
      <c r="F1022">
        <v>10592016</v>
      </c>
      <c r="G1022">
        <v>2.23</v>
      </c>
      <c r="H1022" t="s">
        <v>10</v>
      </c>
      <c r="I1022" t="s">
        <v>11</v>
      </c>
    </row>
    <row r="1023" spans="1:9" hidden="1" x14ac:dyDescent="0.25">
      <c r="A1023" t="s">
        <v>8</v>
      </c>
      <c r="B1023" t="s">
        <v>77</v>
      </c>
      <c r="C1023">
        <v>202305</v>
      </c>
      <c r="D1023" t="str">
        <f t="shared" si="15"/>
        <v>2023</v>
      </c>
      <c r="E1023">
        <v>247628</v>
      </c>
      <c r="F1023">
        <v>10592016</v>
      </c>
      <c r="G1023">
        <v>2.34</v>
      </c>
      <c r="H1023" t="s">
        <v>10</v>
      </c>
      <c r="I1023" t="s">
        <v>11</v>
      </c>
    </row>
    <row r="1024" spans="1:9" hidden="1" x14ac:dyDescent="0.25">
      <c r="A1024" t="s">
        <v>8</v>
      </c>
      <c r="B1024" t="s">
        <v>77</v>
      </c>
      <c r="C1024">
        <v>202306</v>
      </c>
      <c r="D1024" t="str">
        <f t="shared" si="15"/>
        <v>2023</v>
      </c>
      <c r="E1024">
        <v>241502</v>
      </c>
      <c r="F1024">
        <v>10592016</v>
      </c>
      <c r="G1024">
        <v>2.2799999999999998</v>
      </c>
      <c r="H1024" t="s">
        <v>10</v>
      </c>
      <c r="I1024" t="s">
        <v>11</v>
      </c>
    </row>
    <row r="1025" spans="1:9" hidden="1" x14ac:dyDescent="0.25">
      <c r="A1025" t="s">
        <v>8</v>
      </c>
      <c r="B1025" t="s">
        <v>77</v>
      </c>
      <c r="C1025">
        <v>202307</v>
      </c>
      <c r="D1025" t="str">
        <f t="shared" si="15"/>
        <v>2023</v>
      </c>
      <c r="E1025">
        <v>221440</v>
      </c>
      <c r="F1025">
        <v>10592016</v>
      </c>
      <c r="G1025">
        <v>2.09</v>
      </c>
      <c r="H1025" t="s">
        <v>10</v>
      </c>
      <c r="I1025" t="s">
        <v>11</v>
      </c>
    </row>
    <row r="1026" spans="1:9" hidden="1" x14ac:dyDescent="0.25">
      <c r="A1026" t="s">
        <v>8</v>
      </c>
      <c r="B1026" t="s">
        <v>77</v>
      </c>
      <c r="C1026">
        <v>202308</v>
      </c>
      <c r="D1026" t="str">
        <f t="shared" si="15"/>
        <v>2023</v>
      </c>
      <c r="E1026">
        <v>252724</v>
      </c>
      <c r="F1026">
        <v>10592016</v>
      </c>
      <c r="G1026">
        <v>2.39</v>
      </c>
      <c r="H1026" t="s">
        <v>10</v>
      </c>
      <c r="I1026" t="s">
        <v>11</v>
      </c>
    </row>
    <row r="1027" spans="1:9" hidden="1" x14ac:dyDescent="0.25">
      <c r="A1027" t="s">
        <v>8</v>
      </c>
      <c r="B1027" t="s">
        <v>77</v>
      </c>
      <c r="C1027">
        <v>202309</v>
      </c>
      <c r="D1027" t="str">
        <f t="shared" ref="D1027:D1090" si="16">LEFT(C1027,4)</f>
        <v>2023</v>
      </c>
      <c r="E1027">
        <v>236075</v>
      </c>
      <c r="F1027">
        <v>10592016</v>
      </c>
      <c r="G1027">
        <v>2.23</v>
      </c>
      <c r="H1027" t="s">
        <v>10</v>
      </c>
      <c r="I1027" t="s">
        <v>11</v>
      </c>
    </row>
    <row r="1028" spans="1:9" hidden="1" x14ac:dyDescent="0.25">
      <c r="A1028" t="s">
        <v>8</v>
      </c>
      <c r="B1028" t="s">
        <v>77</v>
      </c>
      <c r="C1028">
        <v>202310</v>
      </c>
      <c r="D1028" t="str">
        <f t="shared" si="16"/>
        <v>2023</v>
      </c>
      <c r="E1028">
        <v>255126</v>
      </c>
      <c r="F1028">
        <v>10592016</v>
      </c>
      <c r="G1028">
        <v>2.41</v>
      </c>
      <c r="H1028" t="s">
        <v>10</v>
      </c>
      <c r="I1028" t="s">
        <v>11</v>
      </c>
    </row>
    <row r="1029" spans="1:9" hidden="1" x14ac:dyDescent="0.25">
      <c r="A1029" t="s">
        <v>8</v>
      </c>
      <c r="B1029" t="s">
        <v>77</v>
      </c>
      <c r="C1029">
        <v>202311</v>
      </c>
      <c r="D1029" t="str">
        <f t="shared" si="16"/>
        <v>2023</v>
      </c>
      <c r="E1029">
        <v>242944</v>
      </c>
      <c r="F1029">
        <v>10592016</v>
      </c>
      <c r="G1029">
        <v>2.29</v>
      </c>
      <c r="H1029" t="s">
        <v>10</v>
      </c>
      <c r="I1029" t="s">
        <v>11</v>
      </c>
    </row>
    <row r="1030" spans="1:9" hidden="1" x14ac:dyDescent="0.25">
      <c r="A1030" t="s">
        <v>8</v>
      </c>
      <c r="B1030" t="s">
        <v>77</v>
      </c>
      <c r="C1030">
        <v>202312</v>
      </c>
      <c r="D1030" t="str">
        <f t="shared" si="16"/>
        <v>2023</v>
      </c>
      <c r="E1030">
        <v>230542</v>
      </c>
      <c r="F1030">
        <v>10592016</v>
      </c>
      <c r="G1030">
        <v>2.1800000000000002</v>
      </c>
      <c r="H1030" t="s">
        <v>10</v>
      </c>
      <c r="I1030" t="s">
        <v>11</v>
      </c>
    </row>
    <row r="1031" spans="1:9" hidden="1" x14ac:dyDescent="0.25">
      <c r="A1031" t="s">
        <v>8</v>
      </c>
      <c r="B1031" t="s">
        <v>77</v>
      </c>
      <c r="C1031">
        <v>202401</v>
      </c>
      <c r="D1031" t="str">
        <f t="shared" si="16"/>
        <v>2024</v>
      </c>
      <c r="E1031">
        <v>376192</v>
      </c>
      <c r="F1031">
        <v>10592016</v>
      </c>
      <c r="G1031">
        <v>3.55</v>
      </c>
      <c r="H1031" t="s">
        <v>10</v>
      </c>
      <c r="I1031" t="s">
        <v>11</v>
      </c>
    </row>
    <row r="1032" spans="1:9" hidden="1" x14ac:dyDescent="0.25">
      <c r="A1032" t="s">
        <v>8</v>
      </c>
      <c r="B1032" t="s">
        <v>77</v>
      </c>
      <c r="C1032">
        <v>202402</v>
      </c>
      <c r="D1032" t="str">
        <f t="shared" si="16"/>
        <v>2024</v>
      </c>
      <c r="E1032">
        <v>386664</v>
      </c>
      <c r="F1032">
        <v>10592016</v>
      </c>
      <c r="G1032">
        <v>3.65</v>
      </c>
      <c r="H1032" t="s">
        <v>10</v>
      </c>
      <c r="I1032" t="s">
        <v>11</v>
      </c>
    </row>
    <row r="1033" spans="1:9" hidden="1" x14ac:dyDescent="0.25">
      <c r="A1033" t="s">
        <v>8</v>
      </c>
      <c r="B1033" t="s">
        <v>77</v>
      </c>
      <c r="C1033">
        <v>202403</v>
      </c>
      <c r="D1033" t="str">
        <f t="shared" si="16"/>
        <v>2024</v>
      </c>
      <c r="E1033">
        <v>389099</v>
      </c>
      <c r="F1033">
        <v>10592016</v>
      </c>
      <c r="G1033">
        <v>3.67</v>
      </c>
      <c r="H1033" t="s">
        <v>10</v>
      </c>
      <c r="I1033" t="s">
        <v>11</v>
      </c>
    </row>
    <row r="1034" spans="1:9" hidden="1" x14ac:dyDescent="0.25">
      <c r="A1034" t="s">
        <v>8</v>
      </c>
      <c r="B1034" t="s">
        <v>77</v>
      </c>
      <c r="C1034">
        <v>202404</v>
      </c>
      <c r="D1034" t="str">
        <f t="shared" si="16"/>
        <v>2024</v>
      </c>
      <c r="E1034">
        <v>420191</v>
      </c>
      <c r="F1034">
        <v>10592016</v>
      </c>
      <c r="G1034">
        <v>3.97</v>
      </c>
      <c r="H1034" t="s">
        <v>10</v>
      </c>
      <c r="I1034" t="s">
        <v>11</v>
      </c>
    </row>
    <row r="1035" spans="1:9" hidden="1" x14ac:dyDescent="0.25">
      <c r="A1035" t="s">
        <v>8</v>
      </c>
      <c r="B1035" t="s">
        <v>77</v>
      </c>
      <c r="C1035">
        <v>202405</v>
      </c>
      <c r="D1035" t="str">
        <f t="shared" si="16"/>
        <v>2024</v>
      </c>
      <c r="E1035">
        <v>371027</v>
      </c>
      <c r="F1035">
        <v>10592016</v>
      </c>
      <c r="G1035">
        <v>3.5</v>
      </c>
      <c r="H1035" t="s">
        <v>10</v>
      </c>
      <c r="I1035" t="s">
        <v>11</v>
      </c>
    </row>
    <row r="1036" spans="1:9" hidden="1" x14ac:dyDescent="0.25">
      <c r="A1036" t="s">
        <v>8</v>
      </c>
      <c r="B1036" t="s">
        <v>77</v>
      </c>
      <c r="C1036">
        <v>202406</v>
      </c>
      <c r="D1036" t="str">
        <f t="shared" si="16"/>
        <v>2024</v>
      </c>
      <c r="E1036">
        <v>348138</v>
      </c>
      <c r="F1036">
        <v>10592016</v>
      </c>
      <c r="G1036">
        <v>3.29</v>
      </c>
      <c r="H1036" t="s">
        <v>10</v>
      </c>
      <c r="I1036" t="s">
        <v>11</v>
      </c>
    </row>
    <row r="1037" spans="1:9" hidden="1" x14ac:dyDescent="0.25">
      <c r="A1037" t="s">
        <v>8</v>
      </c>
      <c r="B1037" t="s">
        <v>77</v>
      </c>
      <c r="C1037">
        <v>202407</v>
      </c>
      <c r="D1037" t="str">
        <f t="shared" si="16"/>
        <v>2024</v>
      </c>
      <c r="E1037">
        <v>357461</v>
      </c>
      <c r="F1037">
        <v>10592016</v>
      </c>
      <c r="G1037">
        <v>3.37</v>
      </c>
      <c r="H1037" t="s">
        <v>10</v>
      </c>
      <c r="I1037" t="s">
        <v>11</v>
      </c>
    </row>
    <row r="1038" spans="1:9" hidden="1" x14ac:dyDescent="0.25">
      <c r="A1038" t="s">
        <v>8</v>
      </c>
      <c r="B1038" t="s">
        <v>77</v>
      </c>
      <c r="C1038">
        <v>202408</v>
      </c>
      <c r="D1038" t="str">
        <f t="shared" si="16"/>
        <v>2024</v>
      </c>
      <c r="E1038">
        <v>356207</v>
      </c>
      <c r="F1038">
        <v>10592016</v>
      </c>
      <c r="G1038">
        <v>3.36</v>
      </c>
      <c r="H1038" t="s">
        <v>10</v>
      </c>
      <c r="I1038" t="s">
        <v>11</v>
      </c>
    </row>
    <row r="1039" spans="1:9" hidden="1" x14ac:dyDescent="0.25">
      <c r="A1039" t="s">
        <v>8</v>
      </c>
      <c r="B1039" t="s">
        <v>77</v>
      </c>
      <c r="C1039">
        <v>202409</v>
      </c>
      <c r="D1039" t="str">
        <f t="shared" si="16"/>
        <v>2024</v>
      </c>
      <c r="E1039">
        <v>314056</v>
      </c>
      <c r="F1039">
        <v>10592016</v>
      </c>
      <c r="G1039">
        <v>2.97</v>
      </c>
      <c r="H1039" t="s">
        <v>10</v>
      </c>
      <c r="I1039" t="s">
        <v>11</v>
      </c>
    </row>
    <row r="1040" spans="1:9" hidden="1" x14ac:dyDescent="0.25">
      <c r="A1040" t="s">
        <v>8</v>
      </c>
      <c r="B1040" t="s">
        <v>77</v>
      </c>
      <c r="C1040">
        <v>202410</v>
      </c>
      <c r="D1040" t="str">
        <f t="shared" si="16"/>
        <v>2024</v>
      </c>
      <c r="E1040">
        <v>53439</v>
      </c>
      <c r="F1040">
        <v>10592016</v>
      </c>
      <c r="G1040">
        <v>0.5</v>
      </c>
      <c r="H1040" t="s">
        <v>10</v>
      </c>
      <c r="I1040" t="s">
        <v>11</v>
      </c>
    </row>
    <row r="1041" spans="1:9" hidden="1" x14ac:dyDescent="0.25">
      <c r="A1041" t="s">
        <v>8</v>
      </c>
      <c r="B1041" t="s">
        <v>94</v>
      </c>
      <c r="C1041">
        <v>201703</v>
      </c>
      <c r="D1041" t="str">
        <f t="shared" si="16"/>
        <v>2017</v>
      </c>
      <c r="E1041">
        <v>5</v>
      </c>
      <c r="F1041">
        <v>11015473</v>
      </c>
      <c r="G1041">
        <v>0</v>
      </c>
      <c r="H1041" t="s">
        <v>10</v>
      </c>
      <c r="I1041" t="s">
        <v>11</v>
      </c>
    </row>
    <row r="1042" spans="1:9" hidden="1" x14ac:dyDescent="0.25">
      <c r="A1042" t="s">
        <v>8</v>
      </c>
      <c r="B1042" t="s">
        <v>94</v>
      </c>
      <c r="C1042">
        <v>201704</v>
      </c>
      <c r="D1042" t="str">
        <f t="shared" si="16"/>
        <v>2017</v>
      </c>
      <c r="E1042">
        <v>2</v>
      </c>
      <c r="F1042">
        <v>11015473</v>
      </c>
      <c r="G1042">
        <v>0</v>
      </c>
      <c r="H1042" t="s">
        <v>10</v>
      </c>
      <c r="I1042" t="s">
        <v>11</v>
      </c>
    </row>
    <row r="1043" spans="1:9" hidden="1" x14ac:dyDescent="0.25">
      <c r="A1043" t="s">
        <v>8</v>
      </c>
      <c r="B1043" t="s">
        <v>94</v>
      </c>
      <c r="C1043">
        <v>201710</v>
      </c>
      <c r="D1043" t="str">
        <f t="shared" si="16"/>
        <v>2017</v>
      </c>
      <c r="E1043">
        <v>1</v>
      </c>
      <c r="F1043">
        <v>11015473</v>
      </c>
      <c r="G1043">
        <v>0</v>
      </c>
      <c r="H1043" t="s">
        <v>10</v>
      </c>
      <c r="I1043" t="s">
        <v>11</v>
      </c>
    </row>
    <row r="1044" spans="1:9" hidden="1" x14ac:dyDescent="0.25">
      <c r="A1044" t="s">
        <v>8</v>
      </c>
      <c r="B1044" t="s">
        <v>94</v>
      </c>
      <c r="C1044">
        <v>201712</v>
      </c>
      <c r="D1044" t="str">
        <f t="shared" si="16"/>
        <v>2017</v>
      </c>
      <c r="E1044">
        <v>5</v>
      </c>
      <c r="F1044">
        <v>11015473</v>
      </c>
      <c r="G1044">
        <v>0</v>
      </c>
      <c r="H1044" t="s">
        <v>10</v>
      </c>
      <c r="I1044" t="s">
        <v>11</v>
      </c>
    </row>
    <row r="1045" spans="1:9" hidden="1" x14ac:dyDescent="0.25">
      <c r="A1045" t="s">
        <v>8</v>
      </c>
      <c r="B1045" t="s">
        <v>94</v>
      </c>
      <c r="C1045">
        <v>201802</v>
      </c>
      <c r="D1045" t="str">
        <f t="shared" si="16"/>
        <v>2018</v>
      </c>
      <c r="E1045">
        <v>11</v>
      </c>
      <c r="F1045">
        <v>11015473</v>
      </c>
      <c r="G1045">
        <v>0</v>
      </c>
      <c r="H1045" t="s">
        <v>10</v>
      </c>
      <c r="I1045" t="s">
        <v>11</v>
      </c>
    </row>
    <row r="1046" spans="1:9" hidden="1" x14ac:dyDescent="0.25">
      <c r="A1046" t="s">
        <v>8</v>
      </c>
      <c r="B1046" t="s">
        <v>94</v>
      </c>
      <c r="C1046">
        <v>201803</v>
      </c>
      <c r="D1046" t="str">
        <f t="shared" si="16"/>
        <v>2018</v>
      </c>
      <c r="E1046">
        <v>2</v>
      </c>
      <c r="F1046">
        <v>11015473</v>
      </c>
      <c r="G1046">
        <v>0</v>
      </c>
      <c r="H1046" t="s">
        <v>10</v>
      </c>
      <c r="I1046" t="s">
        <v>11</v>
      </c>
    </row>
    <row r="1047" spans="1:9" hidden="1" x14ac:dyDescent="0.25">
      <c r="A1047" t="s">
        <v>8</v>
      </c>
      <c r="B1047" t="s">
        <v>94</v>
      </c>
      <c r="C1047">
        <v>201805</v>
      </c>
      <c r="D1047" t="str">
        <f t="shared" si="16"/>
        <v>2018</v>
      </c>
      <c r="E1047">
        <v>9</v>
      </c>
      <c r="F1047">
        <v>11015473</v>
      </c>
      <c r="G1047">
        <v>0</v>
      </c>
      <c r="H1047" t="s">
        <v>10</v>
      </c>
      <c r="I1047" t="s">
        <v>11</v>
      </c>
    </row>
    <row r="1048" spans="1:9" hidden="1" x14ac:dyDescent="0.25">
      <c r="A1048" t="s">
        <v>8</v>
      </c>
      <c r="B1048" t="s">
        <v>94</v>
      </c>
      <c r="C1048">
        <v>201807</v>
      </c>
      <c r="D1048" t="str">
        <f t="shared" si="16"/>
        <v>2018</v>
      </c>
      <c r="E1048">
        <v>6</v>
      </c>
      <c r="F1048">
        <v>11015473</v>
      </c>
      <c r="G1048">
        <v>0</v>
      </c>
      <c r="H1048" t="s">
        <v>10</v>
      </c>
      <c r="I1048" t="s">
        <v>11</v>
      </c>
    </row>
    <row r="1049" spans="1:9" hidden="1" x14ac:dyDescent="0.25">
      <c r="A1049" t="s">
        <v>8</v>
      </c>
      <c r="B1049" t="s">
        <v>94</v>
      </c>
      <c r="C1049">
        <v>201808</v>
      </c>
      <c r="D1049" t="str">
        <f t="shared" si="16"/>
        <v>2018</v>
      </c>
      <c r="E1049">
        <v>67</v>
      </c>
      <c r="F1049">
        <v>11015473</v>
      </c>
      <c r="G1049">
        <v>0</v>
      </c>
      <c r="H1049" t="s">
        <v>10</v>
      </c>
      <c r="I1049" t="s">
        <v>11</v>
      </c>
    </row>
    <row r="1050" spans="1:9" hidden="1" x14ac:dyDescent="0.25">
      <c r="A1050" t="s">
        <v>8</v>
      </c>
      <c r="B1050" t="s">
        <v>94</v>
      </c>
      <c r="C1050">
        <v>201809</v>
      </c>
      <c r="D1050" t="str">
        <f t="shared" si="16"/>
        <v>2018</v>
      </c>
      <c r="E1050">
        <v>39</v>
      </c>
      <c r="F1050">
        <v>11015473</v>
      </c>
      <c r="G1050">
        <v>0</v>
      </c>
      <c r="H1050" t="s">
        <v>10</v>
      </c>
      <c r="I1050" t="s">
        <v>11</v>
      </c>
    </row>
    <row r="1051" spans="1:9" hidden="1" x14ac:dyDescent="0.25">
      <c r="A1051" t="s">
        <v>8</v>
      </c>
      <c r="B1051" t="s">
        <v>94</v>
      </c>
      <c r="C1051">
        <v>201810</v>
      </c>
      <c r="D1051" t="str">
        <f t="shared" si="16"/>
        <v>2018</v>
      </c>
      <c r="E1051">
        <v>9</v>
      </c>
      <c r="F1051">
        <v>11015473</v>
      </c>
      <c r="G1051">
        <v>0</v>
      </c>
      <c r="H1051" t="s">
        <v>10</v>
      </c>
      <c r="I1051" t="s">
        <v>11</v>
      </c>
    </row>
    <row r="1052" spans="1:9" hidden="1" x14ac:dyDescent="0.25">
      <c r="A1052" t="s">
        <v>8</v>
      </c>
      <c r="B1052" t="s">
        <v>94</v>
      </c>
      <c r="C1052">
        <v>201811</v>
      </c>
      <c r="D1052" t="str">
        <f t="shared" si="16"/>
        <v>2018</v>
      </c>
      <c r="E1052">
        <v>1</v>
      </c>
      <c r="F1052">
        <v>11015473</v>
      </c>
      <c r="G1052">
        <v>0</v>
      </c>
      <c r="H1052" t="s">
        <v>10</v>
      </c>
      <c r="I1052" t="s">
        <v>11</v>
      </c>
    </row>
    <row r="1053" spans="1:9" hidden="1" x14ac:dyDescent="0.25">
      <c r="A1053" t="s">
        <v>8</v>
      </c>
      <c r="B1053" t="s">
        <v>94</v>
      </c>
      <c r="C1053">
        <v>201812</v>
      </c>
      <c r="D1053" t="str">
        <f t="shared" si="16"/>
        <v>2018</v>
      </c>
      <c r="E1053">
        <v>4</v>
      </c>
      <c r="F1053">
        <v>11015473</v>
      </c>
      <c r="G1053">
        <v>0</v>
      </c>
      <c r="H1053" t="s">
        <v>10</v>
      </c>
      <c r="I1053" t="s">
        <v>11</v>
      </c>
    </row>
    <row r="1054" spans="1:9" hidden="1" x14ac:dyDescent="0.25">
      <c r="A1054" t="s">
        <v>8</v>
      </c>
      <c r="B1054" t="s">
        <v>94</v>
      </c>
      <c r="C1054">
        <v>201901</v>
      </c>
      <c r="D1054" t="str">
        <f t="shared" si="16"/>
        <v>2019</v>
      </c>
      <c r="E1054">
        <v>692</v>
      </c>
      <c r="F1054">
        <v>11015473</v>
      </c>
      <c r="G1054">
        <v>0.01</v>
      </c>
      <c r="H1054" t="s">
        <v>10</v>
      </c>
      <c r="I1054" t="s">
        <v>11</v>
      </c>
    </row>
    <row r="1055" spans="1:9" hidden="1" x14ac:dyDescent="0.25">
      <c r="A1055" t="s">
        <v>8</v>
      </c>
      <c r="B1055" t="s">
        <v>94</v>
      </c>
      <c r="C1055">
        <v>201902</v>
      </c>
      <c r="D1055" t="str">
        <f t="shared" si="16"/>
        <v>2019</v>
      </c>
      <c r="E1055">
        <v>505</v>
      </c>
      <c r="F1055">
        <v>11015473</v>
      </c>
      <c r="G1055">
        <v>0</v>
      </c>
      <c r="H1055" t="s">
        <v>10</v>
      </c>
      <c r="I1055" t="s">
        <v>11</v>
      </c>
    </row>
    <row r="1056" spans="1:9" hidden="1" x14ac:dyDescent="0.25">
      <c r="A1056" t="s">
        <v>8</v>
      </c>
      <c r="B1056" t="s">
        <v>94</v>
      </c>
      <c r="C1056">
        <v>201903</v>
      </c>
      <c r="D1056" t="str">
        <f t="shared" si="16"/>
        <v>2019</v>
      </c>
      <c r="E1056">
        <v>690</v>
      </c>
      <c r="F1056">
        <v>11015473</v>
      </c>
      <c r="G1056">
        <v>0.01</v>
      </c>
      <c r="H1056" t="s">
        <v>10</v>
      </c>
      <c r="I1056" t="s">
        <v>11</v>
      </c>
    </row>
    <row r="1057" spans="1:9" hidden="1" x14ac:dyDescent="0.25">
      <c r="A1057" t="s">
        <v>8</v>
      </c>
      <c r="B1057" t="s">
        <v>94</v>
      </c>
      <c r="C1057">
        <v>201904</v>
      </c>
      <c r="D1057" t="str">
        <f t="shared" si="16"/>
        <v>2019</v>
      </c>
      <c r="E1057">
        <v>821</v>
      </c>
      <c r="F1057">
        <v>11015473</v>
      </c>
      <c r="G1057">
        <v>0.01</v>
      </c>
      <c r="H1057" t="s">
        <v>10</v>
      </c>
      <c r="I1057" t="s">
        <v>11</v>
      </c>
    </row>
    <row r="1058" spans="1:9" hidden="1" x14ac:dyDescent="0.25">
      <c r="A1058" t="s">
        <v>8</v>
      </c>
      <c r="B1058" t="s">
        <v>94</v>
      </c>
      <c r="C1058">
        <v>201905</v>
      </c>
      <c r="D1058" t="str">
        <f t="shared" si="16"/>
        <v>2019</v>
      </c>
      <c r="E1058">
        <v>673</v>
      </c>
      <c r="F1058">
        <v>11015473</v>
      </c>
      <c r="G1058">
        <v>0.01</v>
      </c>
      <c r="H1058" t="s">
        <v>10</v>
      </c>
      <c r="I1058" t="s">
        <v>11</v>
      </c>
    </row>
    <row r="1059" spans="1:9" hidden="1" x14ac:dyDescent="0.25">
      <c r="A1059" t="s">
        <v>8</v>
      </c>
      <c r="B1059" t="s">
        <v>94</v>
      </c>
      <c r="C1059">
        <v>201906</v>
      </c>
      <c r="D1059" t="str">
        <f t="shared" si="16"/>
        <v>2019</v>
      </c>
      <c r="E1059">
        <v>763</v>
      </c>
      <c r="F1059">
        <v>11015473</v>
      </c>
      <c r="G1059">
        <v>0.01</v>
      </c>
      <c r="H1059" t="s">
        <v>10</v>
      </c>
      <c r="I1059" t="s">
        <v>11</v>
      </c>
    </row>
    <row r="1060" spans="1:9" hidden="1" x14ac:dyDescent="0.25">
      <c r="A1060" t="s">
        <v>8</v>
      </c>
      <c r="B1060" t="s">
        <v>94</v>
      </c>
      <c r="C1060">
        <v>201907</v>
      </c>
      <c r="D1060" t="str">
        <f t="shared" si="16"/>
        <v>2019</v>
      </c>
      <c r="E1060">
        <v>686</v>
      </c>
      <c r="F1060">
        <v>11015473</v>
      </c>
      <c r="G1060">
        <v>0.01</v>
      </c>
      <c r="H1060" t="s">
        <v>10</v>
      </c>
      <c r="I1060" t="s">
        <v>11</v>
      </c>
    </row>
    <row r="1061" spans="1:9" hidden="1" x14ac:dyDescent="0.25">
      <c r="A1061" t="s">
        <v>8</v>
      </c>
      <c r="B1061" t="s">
        <v>94</v>
      </c>
      <c r="C1061">
        <v>201908</v>
      </c>
      <c r="D1061" t="str">
        <f t="shared" si="16"/>
        <v>2019</v>
      </c>
      <c r="E1061">
        <v>661</v>
      </c>
      <c r="F1061">
        <v>11015473</v>
      </c>
      <c r="G1061">
        <v>0.01</v>
      </c>
      <c r="H1061" t="s">
        <v>10</v>
      </c>
      <c r="I1061" t="s">
        <v>11</v>
      </c>
    </row>
    <row r="1062" spans="1:9" hidden="1" x14ac:dyDescent="0.25">
      <c r="A1062" t="s">
        <v>8</v>
      </c>
      <c r="B1062" t="s">
        <v>94</v>
      </c>
      <c r="C1062">
        <v>201909</v>
      </c>
      <c r="D1062" t="str">
        <f t="shared" si="16"/>
        <v>2019</v>
      </c>
      <c r="E1062">
        <v>506</v>
      </c>
      <c r="F1062">
        <v>11015473</v>
      </c>
      <c r="G1062">
        <v>0</v>
      </c>
      <c r="H1062" t="s">
        <v>10</v>
      </c>
      <c r="I1062" t="s">
        <v>11</v>
      </c>
    </row>
    <row r="1063" spans="1:9" hidden="1" x14ac:dyDescent="0.25">
      <c r="A1063" t="s">
        <v>8</v>
      </c>
      <c r="B1063" t="s">
        <v>94</v>
      </c>
      <c r="C1063">
        <v>201910</v>
      </c>
      <c r="D1063" t="str">
        <f t="shared" si="16"/>
        <v>2019</v>
      </c>
      <c r="E1063">
        <v>686</v>
      </c>
      <c r="F1063">
        <v>11015473</v>
      </c>
      <c r="G1063">
        <v>0.01</v>
      </c>
      <c r="H1063" t="s">
        <v>10</v>
      </c>
      <c r="I1063" t="s">
        <v>11</v>
      </c>
    </row>
    <row r="1064" spans="1:9" hidden="1" x14ac:dyDescent="0.25">
      <c r="A1064" t="s">
        <v>8</v>
      </c>
      <c r="B1064" t="s">
        <v>94</v>
      </c>
      <c r="C1064">
        <v>201911</v>
      </c>
      <c r="D1064" t="str">
        <f t="shared" si="16"/>
        <v>2019</v>
      </c>
      <c r="E1064">
        <v>611</v>
      </c>
      <c r="F1064">
        <v>11015473</v>
      </c>
      <c r="G1064">
        <v>0.01</v>
      </c>
      <c r="H1064" t="s">
        <v>10</v>
      </c>
      <c r="I1064" t="s">
        <v>11</v>
      </c>
    </row>
    <row r="1065" spans="1:9" hidden="1" x14ac:dyDescent="0.25">
      <c r="A1065" t="s">
        <v>8</v>
      </c>
      <c r="B1065" t="s">
        <v>94</v>
      </c>
      <c r="C1065">
        <v>201912</v>
      </c>
      <c r="D1065" t="str">
        <f t="shared" si="16"/>
        <v>2019</v>
      </c>
      <c r="E1065">
        <v>604</v>
      </c>
      <c r="F1065">
        <v>11015473</v>
      </c>
      <c r="G1065">
        <v>0.01</v>
      </c>
      <c r="H1065" t="s">
        <v>10</v>
      </c>
      <c r="I1065" t="s">
        <v>11</v>
      </c>
    </row>
    <row r="1066" spans="1:9" hidden="1" x14ac:dyDescent="0.25">
      <c r="A1066" t="s">
        <v>8</v>
      </c>
      <c r="B1066" t="s">
        <v>94</v>
      </c>
      <c r="C1066">
        <v>202001</v>
      </c>
      <c r="D1066" t="str">
        <f t="shared" si="16"/>
        <v>2020</v>
      </c>
      <c r="E1066">
        <v>36988</v>
      </c>
      <c r="F1066">
        <v>11015473</v>
      </c>
      <c r="G1066">
        <v>0.34</v>
      </c>
      <c r="H1066" t="s">
        <v>10</v>
      </c>
      <c r="I1066" t="s">
        <v>11</v>
      </c>
    </row>
    <row r="1067" spans="1:9" hidden="1" x14ac:dyDescent="0.25">
      <c r="A1067" t="s">
        <v>8</v>
      </c>
      <c r="B1067" t="s">
        <v>94</v>
      </c>
      <c r="C1067">
        <v>202002</v>
      </c>
      <c r="D1067" t="str">
        <f t="shared" si="16"/>
        <v>2020</v>
      </c>
      <c r="E1067">
        <v>33954</v>
      </c>
      <c r="F1067">
        <v>11015473</v>
      </c>
      <c r="G1067">
        <v>0.31</v>
      </c>
      <c r="H1067" t="s">
        <v>10</v>
      </c>
      <c r="I1067" t="s">
        <v>11</v>
      </c>
    </row>
    <row r="1068" spans="1:9" hidden="1" x14ac:dyDescent="0.25">
      <c r="A1068" t="s">
        <v>8</v>
      </c>
      <c r="B1068" t="s">
        <v>94</v>
      </c>
      <c r="C1068">
        <v>202003</v>
      </c>
      <c r="D1068" t="str">
        <f t="shared" si="16"/>
        <v>2020</v>
      </c>
      <c r="E1068">
        <v>29797</v>
      </c>
      <c r="F1068">
        <v>11015473</v>
      </c>
      <c r="G1068">
        <v>0.27</v>
      </c>
      <c r="H1068" t="s">
        <v>10</v>
      </c>
      <c r="I1068" t="s">
        <v>11</v>
      </c>
    </row>
    <row r="1069" spans="1:9" hidden="1" x14ac:dyDescent="0.25">
      <c r="A1069" t="s">
        <v>8</v>
      </c>
      <c r="B1069" t="s">
        <v>94</v>
      </c>
      <c r="C1069">
        <v>202004</v>
      </c>
      <c r="D1069" t="str">
        <f t="shared" si="16"/>
        <v>2020</v>
      </c>
      <c r="E1069">
        <v>16052</v>
      </c>
      <c r="F1069">
        <v>11015473</v>
      </c>
      <c r="G1069">
        <v>0.15</v>
      </c>
      <c r="H1069" t="s">
        <v>10</v>
      </c>
      <c r="I1069" t="s">
        <v>11</v>
      </c>
    </row>
    <row r="1070" spans="1:9" hidden="1" x14ac:dyDescent="0.25">
      <c r="A1070" t="s">
        <v>8</v>
      </c>
      <c r="B1070" t="s">
        <v>94</v>
      </c>
      <c r="C1070">
        <v>202005</v>
      </c>
      <c r="D1070" t="str">
        <f t="shared" si="16"/>
        <v>2020</v>
      </c>
      <c r="E1070">
        <v>29734</v>
      </c>
      <c r="F1070">
        <v>11015473</v>
      </c>
      <c r="G1070">
        <v>0.27</v>
      </c>
      <c r="H1070" t="s">
        <v>10</v>
      </c>
      <c r="I1070" t="s">
        <v>11</v>
      </c>
    </row>
    <row r="1071" spans="1:9" hidden="1" x14ac:dyDescent="0.25">
      <c r="A1071" t="s">
        <v>8</v>
      </c>
      <c r="B1071" t="s">
        <v>94</v>
      </c>
      <c r="C1071">
        <v>202006</v>
      </c>
      <c r="D1071" t="str">
        <f t="shared" si="16"/>
        <v>2020</v>
      </c>
      <c r="E1071">
        <v>37657</v>
      </c>
      <c r="F1071">
        <v>11015473</v>
      </c>
      <c r="G1071">
        <v>0.34</v>
      </c>
      <c r="H1071" t="s">
        <v>10</v>
      </c>
      <c r="I1071" t="s">
        <v>11</v>
      </c>
    </row>
    <row r="1072" spans="1:9" hidden="1" x14ac:dyDescent="0.25">
      <c r="A1072" t="s">
        <v>8</v>
      </c>
      <c r="B1072" t="s">
        <v>94</v>
      </c>
      <c r="C1072">
        <v>202007</v>
      </c>
      <c r="D1072" t="str">
        <f t="shared" si="16"/>
        <v>2020</v>
      </c>
      <c r="E1072">
        <v>26501</v>
      </c>
      <c r="F1072">
        <v>11015473</v>
      </c>
      <c r="G1072">
        <v>0.24</v>
      </c>
      <c r="H1072" t="s">
        <v>10</v>
      </c>
      <c r="I1072" t="s">
        <v>11</v>
      </c>
    </row>
    <row r="1073" spans="1:9" hidden="1" x14ac:dyDescent="0.25">
      <c r="A1073" t="s">
        <v>8</v>
      </c>
      <c r="B1073" t="s">
        <v>94</v>
      </c>
      <c r="C1073">
        <v>202008</v>
      </c>
      <c r="D1073" t="str">
        <f t="shared" si="16"/>
        <v>2020</v>
      </c>
      <c r="E1073">
        <v>26018</v>
      </c>
      <c r="F1073">
        <v>11015473</v>
      </c>
      <c r="G1073">
        <v>0.24</v>
      </c>
      <c r="H1073" t="s">
        <v>10</v>
      </c>
      <c r="I1073" t="s">
        <v>11</v>
      </c>
    </row>
    <row r="1074" spans="1:9" hidden="1" x14ac:dyDescent="0.25">
      <c r="A1074" t="s">
        <v>8</v>
      </c>
      <c r="B1074" t="s">
        <v>94</v>
      </c>
      <c r="C1074">
        <v>202009</v>
      </c>
      <c r="D1074" t="str">
        <f t="shared" si="16"/>
        <v>2020</v>
      </c>
      <c r="E1074">
        <v>29067</v>
      </c>
      <c r="F1074">
        <v>11015473</v>
      </c>
      <c r="G1074">
        <v>0.26</v>
      </c>
      <c r="H1074" t="s">
        <v>10</v>
      </c>
      <c r="I1074" t="s">
        <v>11</v>
      </c>
    </row>
    <row r="1075" spans="1:9" hidden="1" x14ac:dyDescent="0.25">
      <c r="A1075" t="s">
        <v>8</v>
      </c>
      <c r="B1075" t="s">
        <v>94</v>
      </c>
      <c r="C1075">
        <v>202010</v>
      </c>
      <c r="D1075" t="str">
        <f t="shared" si="16"/>
        <v>2020</v>
      </c>
      <c r="E1075">
        <v>28419</v>
      </c>
      <c r="F1075">
        <v>11015473</v>
      </c>
      <c r="G1075">
        <v>0.26</v>
      </c>
      <c r="H1075" t="s">
        <v>10</v>
      </c>
      <c r="I1075" t="s">
        <v>11</v>
      </c>
    </row>
    <row r="1076" spans="1:9" hidden="1" x14ac:dyDescent="0.25">
      <c r="A1076" t="s">
        <v>8</v>
      </c>
      <c r="B1076" t="s">
        <v>94</v>
      </c>
      <c r="C1076">
        <v>202011</v>
      </c>
      <c r="D1076" t="str">
        <f t="shared" si="16"/>
        <v>2020</v>
      </c>
      <c r="E1076">
        <v>24671</v>
      </c>
      <c r="F1076">
        <v>11015473</v>
      </c>
      <c r="G1076">
        <v>0.22</v>
      </c>
      <c r="H1076" t="s">
        <v>10</v>
      </c>
      <c r="I1076" t="s">
        <v>11</v>
      </c>
    </row>
    <row r="1077" spans="1:9" hidden="1" x14ac:dyDescent="0.25">
      <c r="A1077" t="s">
        <v>8</v>
      </c>
      <c r="B1077" t="s">
        <v>94</v>
      </c>
      <c r="C1077">
        <v>202012</v>
      </c>
      <c r="D1077" t="str">
        <f t="shared" si="16"/>
        <v>2020</v>
      </c>
      <c r="E1077">
        <v>26952</v>
      </c>
      <c r="F1077">
        <v>11015473</v>
      </c>
      <c r="G1077">
        <v>0.24</v>
      </c>
      <c r="H1077" t="s">
        <v>10</v>
      </c>
      <c r="I1077" t="s">
        <v>11</v>
      </c>
    </row>
    <row r="1078" spans="1:9" hidden="1" x14ac:dyDescent="0.25">
      <c r="A1078" t="s">
        <v>8</v>
      </c>
      <c r="B1078" t="s">
        <v>94</v>
      </c>
      <c r="C1078">
        <v>202101</v>
      </c>
      <c r="D1078" t="str">
        <f t="shared" si="16"/>
        <v>2021</v>
      </c>
      <c r="E1078">
        <v>68025</v>
      </c>
      <c r="F1078">
        <v>11015473</v>
      </c>
      <c r="G1078">
        <v>0.62</v>
      </c>
      <c r="H1078" t="s">
        <v>10</v>
      </c>
      <c r="I1078" t="s">
        <v>11</v>
      </c>
    </row>
    <row r="1079" spans="1:9" hidden="1" x14ac:dyDescent="0.25">
      <c r="A1079" t="s">
        <v>8</v>
      </c>
      <c r="B1079" t="s">
        <v>94</v>
      </c>
      <c r="C1079">
        <v>202102</v>
      </c>
      <c r="D1079" t="str">
        <f t="shared" si="16"/>
        <v>2021</v>
      </c>
      <c r="E1079">
        <v>52101</v>
      </c>
      <c r="F1079">
        <v>11015473</v>
      </c>
      <c r="G1079">
        <v>0.47</v>
      </c>
      <c r="H1079" t="s">
        <v>10</v>
      </c>
      <c r="I1079" t="s">
        <v>11</v>
      </c>
    </row>
    <row r="1080" spans="1:9" hidden="1" x14ac:dyDescent="0.25">
      <c r="A1080" t="s">
        <v>8</v>
      </c>
      <c r="B1080" t="s">
        <v>94</v>
      </c>
      <c r="C1080">
        <v>202103</v>
      </c>
      <c r="D1080" t="str">
        <f t="shared" si="16"/>
        <v>2021</v>
      </c>
      <c r="E1080">
        <v>64770</v>
      </c>
      <c r="F1080">
        <v>11015473</v>
      </c>
      <c r="G1080">
        <v>0.59</v>
      </c>
      <c r="H1080" t="s">
        <v>10</v>
      </c>
      <c r="I1080" t="s">
        <v>11</v>
      </c>
    </row>
    <row r="1081" spans="1:9" hidden="1" x14ac:dyDescent="0.25">
      <c r="A1081" t="s">
        <v>8</v>
      </c>
      <c r="B1081" t="s">
        <v>94</v>
      </c>
      <c r="C1081">
        <v>202104</v>
      </c>
      <c r="D1081" t="str">
        <f t="shared" si="16"/>
        <v>2021</v>
      </c>
      <c r="E1081">
        <v>60818</v>
      </c>
      <c r="F1081">
        <v>11015473</v>
      </c>
      <c r="G1081">
        <v>0.55000000000000004</v>
      </c>
      <c r="H1081" t="s">
        <v>10</v>
      </c>
      <c r="I1081" t="s">
        <v>11</v>
      </c>
    </row>
    <row r="1082" spans="1:9" hidden="1" x14ac:dyDescent="0.25">
      <c r="A1082" t="s">
        <v>8</v>
      </c>
      <c r="B1082" t="s">
        <v>94</v>
      </c>
      <c r="C1082">
        <v>202105</v>
      </c>
      <c r="D1082" t="str">
        <f t="shared" si="16"/>
        <v>2021</v>
      </c>
      <c r="E1082">
        <v>57391</v>
      </c>
      <c r="F1082">
        <v>11015473</v>
      </c>
      <c r="G1082">
        <v>0.52</v>
      </c>
      <c r="H1082" t="s">
        <v>10</v>
      </c>
      <c r="I1082" t="s">
        <v>11</v>
      </c>
    </row>
    <row r="1083" spans="1:9" hidden="1" x14ac:dyDescent="0.25">
      <c r="A1083" t="s">
        <v>8</v>
      </c>
      <c r="B1083" t="s">
        <v>94</v>
      </c>
      <c r="C1083">
        <v>202106</v>
      </c>
      <c r="D1083" t="str">
        <f t="shared" si="16"/>
        <v>2021</v>
      </c>
      <c r="E1083">
        <v>63870</v>
      </c>
      <c r="F1083">
        <v>11015473</v>
      </c>
      <c r="G1083">
        <v>0.57999999999999996</v>
      </c>
      <c r="H1083" t="s">
        <v>10</v>
      </c>
      <c r="I1083" t="s">
        <v>11</v>
      </c>
    </row>
    <row r="1084" spans="1:9" hidden="1" x14ac:dyDescent="0.25">
      <c r="A1084" t="s">
        <v>8</v>
      </c>
      <c r="B1084" t="s">
        <v>94</v>
      </c>
      <c r="C1084">
        <v>202107</v>
      </c>
      <c r="D1084" t="str">
        <f t="shared" si="16"/>
        <v>2021</v>
      </c>
      <c r="E1084">
        <v>131077</v>
      </c>
      <c r="F1084">
        <v>11015473</v>
      </c>
      <c r="G1084">
        <v>1.19</v>
      </c>
      <c r="H1084" t="s">
        <v>10</v>
      </c>
      <c r="I1084" t="s">
        <v>11</v>
      </c>
    </row>
    <row r="1085" spans="1:9" hidden="1" x14ac:dyDescent="0.25">
      <c r="A1085" t="s">
        <v>8</v>
      </c>
      <c r="B1085" t="s">
        <v>94</v>
      </c>
      <c r="C1085">
        <v>202108</v>
      </c>
      <c r="D1085" t="str">
        <f t="shared" si="16"/>
        <v>2021</v>
      </c>
      <c r="E1085">
        <v>132433</v>
      </c>
      <c r="F1085">
        <v>11015473</v>
      </c>
      <c r="G1085">
        <v>1.2</v>
      </c>
      <c r="H1085" t="s">
        <v>10</v>
      </c>
      <c r="I1085" t="s">
        <v>11</v>
      </c>
    </row>
    <row r="1086" spans="1:9" hidden="1" x14ac:dyDescent="0.25">
      <c r="A1086" t="s">
        <v>8</v>
      </c>
      <c r="B1086" t="s">
        <v>94</v>
      </c>
      <c r="C1086">
        <v>202109</v>
      </c>
      <c r="D1086" t="str">
        <f t="shared" si="16"/>
        <v>2021</v>
      </c>
      <c r="E1086">
        <v>137837</v>
      </c>
      <c r="F1086">
        <v>11015473</v>
      </c>
      <c r="G1086">
        <v>1.25</v>
      </c>
      <c r="H1086" t="s">
        <v>10</v>
      </c>
      <c r="I1086" t="s">
        <v>11</v>
      </c>
    </row>
    <row r="1087" spans="1:9" hidden="1" x14ac:dyDescent="0.25">
      <c r="A1087" t="s">
        <v>8</v>
      </c>
      <c r="B1087" t="s">
        <v>94</v>
      </c>
      <c r="C1087">
        <v>202110</v>
      </c>
      <c r="D1087" t="str">
        <f t="shared" si="16"/>
        <v>2021</v>
      </c>
      <c r="E1087">
        <v>135290</v>
      </c>
      <c r="F1087">
        <v>11015473</v>
      </c>
      <c r="G1087">
        <v>1.23</v>
      </c>
      <c r="H1087" t="s">
        <v>10</v>
      </c>
      <c r="I1087" t="s">
        <v>11</v>
      </c>
    </row>
    <row r="1088" spans="1:9" hidden="1" x14ac:dyDescent="0.25">
      <c r="A1088" t="s">
        <v>8</v>
      </c>
      <c r="B1088" t="s">
        <v>94</v>
      </c>
      <c r="C1088">
        <v>202111</v>
      </c>
      <c r="D1088" t="str">
        <f t="shared" si="16"/>
        <v>2021</v>
      </c>
      <c r="E1088">
        <v>137138</v>
      </c>
      <c r="F1088">
        <v>11015473</v>
      </c>
      <c r="G1088">
        <v>1.24</v>
      </c>
      <c r="H1088" t="s">
        <v>10</v>
      </c>
      <c r="I1088" t="s">
        <v>11</v>
      </c>
    </row>
    <row r="1089" spans="1:9" hidden="1" x14ac:dyDescent="0.25">
      <c r="A1089" t="s">
        <v>8</v>
      </c>
      <c r="B1089" t="s">
        <v>94</v>
      </c>
      <c r="C1089">
        <v>202112</v>
      </c>
      <c r="D1089" t="str">
        <f t="shared" si="16"/>
        <v>2021</v>
      </c>
      <c r="E1089">
        <v>151120</v>
      </c>
      <c r="F1089">
        <v>11015473</v>
      </c>
      <c r="G1089">
        <v>1.37</v>
      </c>
      <c r="H1089" t="s">
        <v>10</v>
      </c>
      <c r="I1089" t="s">
        <v>11</v>
      </c>
    </row>
    <row r="1090" spans="1:9" hidden="1" x14ac:dyDescent="0.25">
      <c r="A1090" t="s">
        <v>8</v>
      </c>
      <c r="B1090" t="s">
        <v>94</v>
      </c>
      <c r="C1090">
        <v>202201</v>
      </c>
      <c r="D1090" t="str">
        <f t="shared" si="16"/>
        <v>2022</v>
      </c>
      <c r="E1090">
        <v>203857</v>
      </c>
      <c r="F1090">
        <v>11015473</v>
      </c>
      <c r="G1090">
        <v>1.85</v>
      </c>
      <c r="H1090" t="s">
        <v>10</v>
      </c>
      <c r="I1090" t="s">
        <v>11</v>
      </c>
    </row>
    <row r="1091" spans="1:9" hidden="1" x14ac:dyDescent="0.25">
      <c r="A1091" t="s">
        <v>8</v>
      </c>
      <c r="B1091" t="s">
        <v>94</v>
      </c>
      <c r="C1091">
        <v>202202</v>
      </c>
      <c r="D1091" t="str">
        <f t="shared" ref="D1091:D1154" si="17">LEFT(C1091,4)</f>
        <v>2022</v>
      </c>
      <c r="E1091">
        <v>191710</v>
      </c>
      <c r="F1091">
        <v>11015473</v>
      </c>
      <c r="G1091">
        <v>1.74</v>
      </c>
      <c r="H1091" t="s">
        <v>10</v>
      </c>
      <c r="I1091" t="s">
        <v>11</v>
      </c>
    </row>
    <row r="1092" spans="1:9" hidden="1" x14ac:dyDescent="0.25">
      <c r="A1092" t="s">
        <v>8</v>
      </c>
      <c r="B1092" t="s">
        <v>94</v>
      </c>
      <c r="C1092">
        <v>202203</v>
      </c>
      <c r="D1092" t="str">
        <f t="shared" si="17"/>
        <v>2022</v>
      </c>
      <c r="E1092">
        <v>246947</v>
      </c>
      <c r="F1092">
        <v>11015473</v>
      </c>
      <c r="G1092">
        <v>2.2400000000000002</v>
      </c>
      <c r="H1092" t="s">
        <v>10</v>
      </c>
      <c r="I1092" t="s">
        <v>11</v>
      </c>
    </row>
    <row r="1093" spans="1:9" hidden="1" x14ac:dyDescent="0.25">
      <c r="A1093" t="s">
        <v>8</v>
      </c>
      <c r="B1093" t="s">
        <v>94</v>
      </c>
      <c r="C1093">
        <v>202204</v>
      </c>
      <c r="D1093" t="str">
        <f t="shared" si="17"/>
        <v>2022</v>
      </c>
      <c r="E1093">
        <v>217859</v>
      </c>
      <c r="F1093">
        <v>11015473</v>
      </c>
      <c r="G1093">
        <v>1.98</v>
      </c>
      <c r="H1093" t="s">
        <v>10</v>
      </c>
      <c r="I1093" t="s">
        <v>11</v>
      </c>
    </row>
    <row r="1094" spans="1:9" hidden="1" x14ac:dyDescent="0.25">
      <c r="A1094" t="s">
        <v>8</v>
      </c>
      <c r="B1094" t="s">
        <v>94</v>
      </c>
      <c r="C1094">
        <v>202205</v>
      </c>
      <c r="D1094" t="str">
        <f t="shared" si="17"/>
        <v>2022</v>
      </c>
      <c r="E1094">
        <v>220669</v>
      </c>
      <c r="F1094">
        <v>11015473</v>
      </c>
      <c r="G1094">
        <v>2</v>
      </c>
      <c r="H1094" t="s">
        <v>10</v>
      </c>
      <c r="I1094" t="s">
        <v>11</v>
      </c>
    </row>
    <row r="1095" spans="1:9" hidden="1" x14ac:dyDescent="0.25">
      <c r="A1095" t="s">
        <v>8</v>
      </c>
      <c r="B1095" t="s">
        <v>94</v>
      </c>
      <c r="C1095">
        <v>202206</v>
      </c>
      <c r="D1095" t="str">
        <f t="shared" si="17"/>
        <v>2022</v>
      </c>
      <c r="E1095">
        <v>229744</v>
      </c>
      <c r="F1095">
        <v>11015473</v>
      </c>
      <c r="G1095">
        <v>2.09</v>
      </c>
      <c r="H1095" t="s">
        <v>10</v>
      </c>
      <c r="I1095" t="s">
        <v>11</v>
      </c>
    </row>
    <row r="1096" spans="1:9" hidden="1" x14ac:dyDescent="0.25">
      <c r="A1096" t="s">
        <v>8</v>
      </c>
      <c r="B1096" t="s">
        <v>94</v>
      </c>
      <c r="C1096">
        <v>202207</v>
      </c>
      <c r="D1096" t="str">
        <f t="shared" si="17"/>
        <v>2022</v>
      </c>
      <c r="E1096">
        <v>212720</v>
      </c>
      <c r="F1096">
        <v>11015473</v>
      </c>
      <c r="G1096">
        <v>1.93</v>
      </c>
      <c r="H1096" t="s">
        <v>10</v>
      </c>
      <c r="I1096" t="s">
        <v>11</v>
      </c>
    </row>
    <row r="1097" spans="1:9" hidden="1" x14ac:dyDescent="0.25">
      <c r="A1097" t="s">
        <v>8</v>
      </c>
      <c r="B1097" t="s">
        <v>94</v>
      </c>
      <c r="C1097">
        <v>202208</v>
      </c>
      <c r="D1097" t="str">
        <f t="shared" si="17"/>
        <v>2022</v>
      </c>
      <c r="E1097">
        <v>236341</v>
      </c>
      <c r="F1097">
        <v>11015473</v>
      </c>
      <c r="G1097">
        <v>2.15</v>
      </c>
      <c r="H1097" t="s">
        <v>10</v>
      </c>
      <c r="I1097" t="s">
        <v>11</v>
      </c>
    </row>
    <row r="1098" spans="1:9" hidden="1" x14ac:dyDescent="0.25">
      <c r="A1098" t="s">
        <v>8</v>
      </c>
      <c r="B1098" t="s">
        <v>94</v>
      </c>
      <c r="C1098">
        <v>202209</v>
      </c>
      <c r="D1098" t="str">
        <f t="shared" si="17"/>
        <v>2022</v>
      </c>
      <c r="E1098">
        <v>219585</v>
      </c>
      <c r="F1098">
        <v>11015473</v>
      </c>
      <c r="G1098">
        <v>1.99</v>
      </c>
      <c r="H1098" t="s">
        <v>10</v>
      </c>
      <c r="I1098" t="s">
        <v>11</v>
      </c>
    </row>
    <row r="1099" spans="1:9" hidden="1" x14ac:dyDescent="0.25">
      <c r="A1099" t="s">
        <v>8</v>
      </c>
      <c r="B1099" t="s">
        <v>94</v>
      </c>
      <c r="C1099">
        <v>202210</v>
      </c>
      <c r="D1099" t="str">
        <f t="shared" si="17"/>
        <v>2022</v>
      </c>
      <c r="E1099">
        <v>222586</v>
      </c>
      <c r="F1099">
        <v>11015473</v>
      </c>
      <c r="G1099">
        <v>2.02</v>
      </c>
      <c r="H1099" t="s">
        <v>10</v>
      </c>
      <c r="I1099" t="s">
        <v>11</v>
      </c>
    </row>
    <row r="1100" spans="1:9" hidden="1" x14ac:dyDescent="0.25">
      <c r="A1100" t="s">
        <v>8</v>
      </c>
      <c r="B1100" t="s">
        <v>94</v>
      </c>
      <c r="C1100">
        <v>202211</v>
      </c>
      <c r="D1100" t="str">
        <f t="shared" si="17"/>
        <v>2022</v>
      </c>
      <c r="E1100">
        <v>218873</v>
      </c>
      <c r="F1100">
        <v>11015473</v>
      </c>
      <c r="G1100">
        <v>1.99</v>
      </c>
      <c r="H1100" t="s">
        <v>10</v>
      </c>
      <c r="I1100" t="s">
        <v>11</v>
      </c>
    </row>
    <row r="1101" spans="1:9" hidden="1" x14ac:dyDescent="0.25">
      <c r="A1101" t="s">
        <v>8</v>
      </c>
      <c r="B1101" t="s">
        <v>94</v>
      </c>
      <c r="C1101">
        <v>202212</v>
      </c>
      <c r="D1101" t="str">
        <f t="shared" si="17"/>
        <v>2022</v>
      </c>
      <c r="E1101">
        <v>205265</v>
      </c>
      <c r="F1101">
        <v>11015473</v>
      </c>
      <c r="G1101">
        <v>1.86</v>
      </c>
      <c r="H1101" t="s">
        <v>10</v>
      </c>
      <c r="I1101" t="s">
        <v>11</v>
      </c>
    </row>
    <row r="1102" spans="1:9" hidden="1" x14ac:dyDescent="0.25">
      <c r="A1102" t="s">
        <v>8</v>
      </c>
      <c r="B1102" t="s">
        <v>94</v>
      </c>
      <c r="C1102">
        <v>202301</v>
      </c>
      <c r="D1102" t="str">
        <f t="shared" si="17"/>
        <v>2023</v>
      </c>
      <c r="E1102">
        <v>248434</v>
      </c>
      <c r="F1102">
        <v>11015473</v>
      </c>
      <c r="G1102">
        <v>2.2599999999999998</v>
      </c>
      <c r="H1102" t="s">
        <v>10</v>
      </c>
      <c r="I1102" t="s">
        <v>11</v>
      </c>
    </row>
    <row r="1103" spans="1:9" hidden="1" x14ac:dyDescent="0.25">
      <c r="A1103" t="s">
        <v>8</v>
      </c>
      <c r="B1103" t="s">
        <v>94</v>
      </c>
      <c r="C1103">
        <v>202302</v>
      </c>
      <c r="D1103" t="str">
        <f t="shared" si="17"/>
        <v>2023</v>
      </c>
      <c r="E1103">
        <v>241350</v>
      </c>
      <c r="F1103">
        <v>11015473</v>
      </c>
      <c r="G1103">
        <v>2.19</v>
      </c>
      <c r="H1103" t="s">
        <v>10</v>
      </c>
      <c r="I1103" t="s">
        <v>11</v>
      </c>
    </row>
    <row r="1104" spans="1:9" hidden="1" x14ac:dyDescent="0.25">
      <c r="A1104" t="s">
        <v>8</v>
      </c>
      <c r="B1104" t="s">
        <v>94</v>
      </c>
      <c r="C1104">
        <v>202303</v>
      </c>
      <c r="D1104" t="str">
        <f t="shared" si="17"/>
        <v>2023</v>
      </c>
      <c r="E1104">
        <v>267063</v>
      </c>
      <c r="F1104">
        <v>11015473</v>
      </c>
      <c r="G1104">
        <v>2.42</v>
      </c>
      <c r="H1104" t="s">
        <v>10</v>
      </c>
      <c r="I1104" t="s">
        <v>11</v>
      </c>
    </row>
    <row r="1105" spans="1:9" hidden="1" x14ac:dyDescent="0.25">
      <c r="A1105" t="s">
        <v>8</v>
      </c>
      <c r="B1105" t="s">
        <v>94</v>
      </c>
      <c r="C1105">
        <v>202304</v>
      </c>
      <c r="D1105" t="str">
        <f t="shared" si="17"/>
        <v>2023</v>
      </c>
      <c r="E1105">
        <v>240765</v>
      </c>
      <c r="F1105">
        <v>11015473</v>
      </c>
      <c r="G1105">
        <v>2.19</v>
      </c>
      <c r="H1105" t="s">
        <v>10</v>
      </c>
      <c r="I1105" t="s">
        <v>11</v>
      </c>
    </row>
    <row r="1106" spans="1:9" hidden="1" x14ac:dyDescent="0.25">
      <c r="A1106" t="s">
        <v>8</v>
      </c>
      <c r="B1106" t="s">
        <v>94</v>
      </c>
      <c r="C1106">
        <v>202305</v>
      </c>
      <c r="D1106" t="str">
        <f t="shared" si="17"/>
        <v>2023</v>
      </c>
      <c r="E1106">
        <v>253974</v>
      </c>
      <c r="F1106">
        <v>11015473</v>
      </c>
      <c r="G1106">
        <v>2.31</v>
      </c>
      <c r="H1106" t="s">
        <v>10</v>
      </c>
      <c r="I1106" t="s">
        <v>11</v>
      </c>
    </row>
    <row r="1107" spans="1:9" hidden="1" x14ac:dyDescent="0.25">
      <c r="A1107" t="s">
        <v>8</v>
      </c>
      <c r="B1107" t="s">
        <v>94</v>
      </c>
      <c r="C1107">
        <v>202306</v>
      </c>
      <c r="D1107" t="str">
        <f t="shared" si="17"/>
        <v>2023</v>
      </c>
      <c r="E1107">
        <v>249793</v>
      </c>
      <c r="F1107">
        <v>11015473</v>
      </c>
      <c r="G1107">
        <v>2.27</v>
      </c>
      <c r="H1107" t="s">
        <v>10</v>
      </c>
      <c r="I1107" t="s">
        <v>11</v>
      </c>
    </row>
    <row r="1108" spans="1:9" hidden="1" x14ac:dyDescent="0.25">
      <c r="A1108" t="s">
        <v>8</v>
      </c>
      <c r="B1108" t="s">
        <v>94</v>
      </c>
      <c r="C1108">
        <v>202307</v>
      </c>
      <c r="D1108" t="str">
        <f t="shared" si="17"/>
        <v>2023</v>
      </c>
      <c r="E1108">
        <v>225816</v>
      </c>
      <c r="F1108">
        <v>11015473</v>
      </c>
      <c r="G1108">
        <v>2.0499999999999998</v>
      </c>
      <c r="H1108" t="s">
        <v>10</v>
      </c>
      <c r="I1108" t="s">
        <v>11</v>
      </c>
    </row>
    <row r="1109" spans="1:9" hidden="1" x14ac:dyDescent="0.25">
      <c r="A1109" t="s">
        <v>8</v>
      </c>
      <c r="B1109" t="s">
        <v>94</v>
      </c>
      <c r="C1109">
        <v>202308</v>
      </c>
      <c r="D1109" t="str">
        <f t="shared" si="17"/>
        <v>2023</v>
      </c>
      <c r="E1109">
        <v>257605</v>
      </c>
      <c r="F1109">
        <v>11015473</v>
      </c>
      <c r="G1109">
        <v>2.34</v>
      </c>
      <c r="H1109" t="s">
        <v>10</v>
      </c>
      <c r="I1109" t="s">
        <v>11</v>
      </c>
    </row>
    <row r="1110" spans="1:9" hidden="1" x14ac:dyDescent="0.25">
      <c r="A1110" t="s">
        <v>8</v>
      </c>
      <c r="B1110" t="s">
        <v>94</v>
      </c>
      <c r="C1110">
        <v>202309</v>
      </c>
      <c r="D1110" t="str">
        <f t="shared" si="17"/>
        <v>2023</v>
      </c>
      <c r="E1110">
        <v>240149</v>
      </c>
      <c r="F1110">
        <v>11015473</v>
      </c>
      <c r="G1110">
        <v>2.1800000000000002</v>
      </c>
      <c r="H1110" t="s">
        <v>10</v>
      </c>
      <c r="I1110" t="s">
        <v>11</v>
      </c>
    </row>
    <row r="1111" spans="1:9" hidden="1" x14ac:dyDescent="0.25">
      <c r="A1111" t="s">
        <v>8</v>
      </c>
      <c r="B1111" t="s">
        <v>94</v>
      </c>
      <c r="C1111">
        <v>202310</v>
      </c>
      <c r="D1111" t="str">
        <f t="shared" si="17"/>
        <v>2023</v>
      </c>
      <c r="E1111">
        <v>262285</v>
      </c>
      <c r="F1111">
        <v>11015473</v>
      </c>
      <c r="G1111">
        <v>2.38</v>
      </c>
      <c r="H1111" t="s">
        <v>10</v>
      </c>
      <c r="I1111" t="s">
        <v>11</v>
      </c>
    </row>
    <row r="1112" spans="1:9" hidden="1" x14ac:dyDescent="0.25">
      <c r="A1112" t="s">
        <v>8</v>
      </c>
      <c r="B1112" t="s">
        <v>94</v>
      </c>
      <c r="C1112">
        <v>202311</v>
      </c>
      <c r="D1112" t="str">
        <f t="shared" si="17"/>
        <v>2023</v>
      </c>
      <c r="E1112">
        <v>247265</v>
      </c>
      <c r="F1112">
        <v>11015473</v>
      </c>
      <c r="G1112">
        <v>2.2400000000000002</v>
      </c>
      <c r="H1112" t="s">
        <v>10</v>
      </c>
      <c r="I1112" t="s">
        <v>11</v>
      </c>
    </row>
    <row r="1113" spans="1:9" hidden="1" x14ac:dyDescent="0.25">
      <c r="A1113" t="s">
        <v>8</v>
      </c>
      <c r="B1113" t="s">
        <v>94</v>
      </c>
      <c r="C1113">
        <v>202312</v>
      </c>
      <c r="D1113" t="str">
        <f t="shared" si="17"/>
        <v>2023</v>
      </c>
      <c r="E1113">
        <v>235431</v>
      </c>
      <c r="F1113">
        <v>11015473</v>
      </c>
      <c r="G1113">
        <v>2.14</v>
      </c>
      <c r="H1113" t="s">
        <v>10</v>
      </c>
      <c r="I1113" t="s">
        <v>11</v>
      </c>
    </row>
    <row r="1114" spans="1:9" hidden="1" x14ac:dyDescent="0.25">
      <c r="A1114" t="s">
        <v>8</v>
      </c>
      <c r="B1114" t="s">
        <v>94</v>
      </c>
      <c r="C1114">
        <v>202401</v>
      </c>
      <c r="D1114" t="str">
        <f t="shared" si="17"/>
        <v>2024</v>
      </c>
      <c r="E1114">
        <v>385107</v>
      </c>
      <c r="F1114">
        <v>11015473</v>
      </c>
      <c r="G1114">
        <v>3.5</v>
      </c>
      <c r="H1114" t="s">
        <v>10</v>
      </c>
      <c r="I1114" t="s">
        <v>11</v>
      </c>
    </row>
    <row r="1115" spans="1:9" hidden="1" x14ac:dyDescent="0.25">
      <c r="A1115" t="s">
        <v>8</v>
      </c>
      <c r="B1115" t="s">
        <v>94</v>
      </c>
      <c r="C1115">
        <v>202402</v>
      </c>
      <c r="D1115" t="str">
        <f t="shared" si="17"/>
        <v>2024</v>
      </c>
      <c r="E1115">
        <v>393690</v>
      </c>
      <c r="F1115">
        <v>11015473</v>
      </c>
      <c r="G1115">
        <v>3.57</v>
      </c>
      <c r="H1115" t="s">
        <v>10</v>
      </c>
      <c r="I1115" t="s">
        <v>11</v>
      </c>
    </row>
    <row r="1116" spans="1:9" hidden="1" x14ac:dyDescent="0.25">
      <c r="A1116" t="s">
        <v>8</v>
      </c>
      <c r="B1116" t="s">
        <v>94</v>
      </c>
      <c r="C1116">
        <v>202403</v>
      </c>
      <c r="D1116" t="str">
        <f t="shared" si="17"/>
        <v>2024</v>
      </c>
      <c r="E1116">
        <v>398761</v>
      </c>
      <c r="F1116">
        <v>11015473</v>
      </c>
      <c r="G1116">
        <v>3.62</v>
      </c>
      <c r="H1116" t="s">
        <v>10</v>
      </c>
      <c r="I1116" t="s">
        <v>11</v>
      </c>
    </row>
    <row r="1117" spans="1:9" hidden="1" x14ac:dyDescent="0.25">
      <c r="A1117" t="s">
        <v>8</v>
      </c>
      <c r="B1117" t="s">
        <v>94</v>
      </c>
      <c r="C1117">
        <v>202404</v>
      </c>
      <c r="D1117" t="str">
        <f t="shared" si="17"/>
        <v>2024</v>
      </c>
      <c r="E1117">
        <v>431389</v>
      </c>
      <c r="F1117">
        <v>11015473</v>
      </c>
      <c r="G1117">
        <v>3.92</v>
      </c>
      <c r="H1117" t="s">
        <v>10</v>
      </c>
      <c r="I1117" t="s">
        <v>11</v>
      </c>
    </row>
    <row r="1118" spans="1:9" hidden="1" x14ac:dyDescent="0.25">
      <c r="A1118" t="s">
        <v>8</v>
      </c>
      <c r="B1118" t="s">
        <v>94</v>
      </c>
      <c r="C1118">
        <v>202405</v>
      </c>
      <c r="D1118" t="str">
        <f t="shared" si="17"/>
        <v>2024</v>
      </c>
      <c r="E1118">
        <v>383507</v>
      </c>
      <c r="F1118">
        <v>11015473</v>
      </c>
      <c r="G1118">
        <v>3.48</v>
      </c>
      <c r="H1118" t="s">
        <v>10</v>
      </c>
      <c r="I1118" t="s">
        <v>11</v>
      </c>
    </row>
    <row r="1119" spans="1:9" hidden="1" x14ac:dyDescent="0.25">
      <c r="A1119" t="s">
        <v>8</v>
      </c>
      <c r="B1119" t="s">
        <v>94</v>
      </c>
      <c r="C1119">
        <v>202406</v>
      </c>
      <c r="D1119" t="str">
        <f t="shared" si="17"/>
        <v>2024</v>
      </c>
      <c r="E1119">
        <v>358957</v>
      </c>
      <c r="F1119">
        <v>11015473</v>
      </c>
      <c r="G1119">
        <v>3.26</v>
      </c>
      <c r="H1119" t="s">
        <v>10</v>
      </c>
      <c r="I1119" t="s">
        <v>11</v>
      </c>
    </row>
    <row r="1120" spans="1:9" hidden="1" x14ac:dyDescent="0.25">
      <c r="A1120" t="s">
        <v>8</v>
      </c>
      <c r="B1120" t="s">
        <v>94</v>
      </c>
      <c r="C1120">
        <v>202407</v>
      </c>
      <c r="D1120" t="str">
        <f t="shared" si="17"/>
        <v>2024</v>
      </c>
      <c r="E1120">
        <v>371590</v>
      </c>
      <c r="F1120">
        <v>11015473</v>
      </c>
      <c r="G1120">
        <v>3.37</v>
      </c>
      <c r="H1120" t="s">
        <v>10</v>
      </c>
      <c r="I1120" t="s">
        <v>11</v>
      </c>
    </row>
    <row r="1121" spans="1:9" hidden="1" x14ac:dyDescent="0.25">
      <c r="A1121" t="s">
        <v>8</v>
      </c>
      <c r="B1121" t="s">
        <v>94</v>
      </c>
      <c r="C1121">
        <v>202408</v>
      </c>
      <c r="D1121" t="str">
        <f t="shared" si="17"/>
        <v>2024</v>
      </c>
      <c r="E1121">
        <v>371170</v>
      </c>
      <c r="F1121">
        <v>11015473</v>
      </c>
      <c r="G1121">
        <v>3.37</v>
      </c>
      <c r="H1121" t="s">
        <v>10</v>
      </c>
      <c r="I1121" t="s">
        <v>11</v>
      </c>
    </row>
    <row r="1122" spans="1:9" hidden="1" x14ac:dyDescent="0.25">
      <c r="A1122" t="s">
        <v>8</v>
      </c>
      <c r="B1122" t="s">
        <v>94</v>
      </c>
      <c r="C1122">
        <v>202409</v>
      </c>
      <c r="D1122" t="str">
        <f t="shared" si="17"/>
        <v>2024</v>
      </c>
      <c r="E1122">
        <v>354828</v>
      </c>
      <c r="F1122">
        <v>11015473</v>
      </c>
      <c r="G1122">
        <v>3.22</v>
      </c>
      <c r="H1122" t="s">
        <v>10</v>
      </c>
      <c r="I1122" t="s">
        <v>11</v>
      </c>
    </row>
    <row r="1123" spans="1:9" hidden="1" x14ac:dyDescent="0.25">
      <c r="A1123" t="s">
        <v>8</v>
      </c>
      <c r="B1123" t="s">
        <v>94</v>
      </c>
      <c r="C1123">
        <v>202410</v>
      </c>
      <c r="D1123" t="str">
        <f t="shared" si="17"/>
        <v>2024</v>
      </c>
      <c r="E1123">
        <v>349537</v>
      </c>
      <c r="F1123">
        <v>11015473</v>
      </c>
      <c r="G1123">
        <v>3.17</v>
      </c>
      <c r="H1123" t="s">
        <v>10</v>
      </c>
      <c r="I1123" t="s">
        <v>11</v>
      </c>
    </row>
    <row r="1124" spans="1:9" hidden="1" x14ac:dyDescent="0.25">
      <c r="A1124" t="s">
        <v>8</v>
      </c>
      <c r="B1124" t="s">
        <v>94</v>
      </c>
      <c r="C1124">
        <v>202411</v>
      </c>
      <c r="D1124" t="str">
        <f t="shared" si="17"/>
        <v>2024</v>
      </c>
      <c r="E1124">
        <v>75112</v>
      </c>
      <c r="F1124">
        <v>11015473</v>
      </c>
      <c r="G1124">
        <v>0.68</v>
      </c>
      <c r="H1124" t="s">
        <v>10</v>
      </c>
      <c r="I1124" t="s">
        <v>11</v>
      </c>
    </row>
    <row r="1125" spans="1:9" hidden="1" x14ac:dyDescent="0.25">
      <c r="A1125" t="s">
        <v>8</v>
      </c>
      <c r="B1125" t="s">
        <v>56</v>
      </c>
      <c r="C1125">
        <v>201704</v>
      </c>
      <c r="D1125" t="str">
        <f t="shared" si="17"/>
        <v>2017</v>
      </c>
      <c r="E1125">
        <v>2</v>
      </c>
      <c r="F1125">
        <v>11295858</v>
      </c>
      <c r="G1125">
        <v>0</v>
      </c>
      <c r="H1125" t="s">
        <v>10</v>
      </c>
      <c r="I1125" t="s">
        <v>11</v>
      </c>
    </row>
    <row r="1126" spans="1:9" hidden="1" x14ac:dyDescent="0.25">
      <c r="A1126" t="s">
        <v>8</v>
      </c>
      <c r="B1126" t="s">
        <v>56</v>
      </c>
      <c r="C1126">
        <v>201706</v>
      </c>
      <c r="D1126" t="str">
        <f t="shared" si="17"/>
        <v>2017</v>
      </c>
      <c r="E1126">
        <v>2</v>
      </c>
      <c r="F1126">
        <v>11295858</v>
      </c>
      <c r="G1126">
        <v>0</v>
      </c>
      <c r="H1126" t="s">
        <v>10</v>
      </c>
      <c r="I1126" t="s">
        <v>11</v>
      </c>
    </row>
    <row r="1127" spans="1:9" hidden="1" x14ac:dyDescent="0.25">
      <c r="A1127" t="s">
        <v>8</v>
      </c>
      <c r="B1127" t="s">
        <v>56</v>
      </c>
      <c r="C1127">
        <v>201707</v>
      </c>
      <c r="D1127" t="str">
        <f t="shared" si="17"/>
        <v>2017</v>
      </c>
      <c r="E1127">
        <v>2</v>
      </c>
      <c r="F1127">
        <v>11295858</v>
      </c>
      <c r="G1127">
        <v>0</v>
      </c>
      <c r="H1127" t="s">
        <v>10</v>
      </c>
      <c r="I1127" t="s">
        <v>11</v>
      </c>
    </row>
    <row r="1128" spans="1:9" hidden="1" x14ac:dyDescent="0.25">
      <c r="A1128" t="s">
        <v>8</v>
      </c>
      <c r="B1128" t="s">
        <v>56</v>
      </c>
      <c r="C1128">
        <v>201708</v>
      </c>
      <c r="D1128" t="str">
        <f t="shared" si="17"/>
        <v>2017</v>
      </c>
      <c r="E1128">
        <v>17</v>
      </c>
      <c r="F1128">
        <v>11295858</v>
      </c>
      <c r="G1128">
        <v>0</v>
      </c>
      <c r="H1128" t="s">
        <v>10</v>
      </c>
      <c r="I1128" t="s">
        <v>11</v>
      </c>
    </row>
    <row r="1129" spans="1:9" hidden="1" x14ac:dyDescent="0.25">
      <c r="A1129" t="s">
        <v>8</v>
      </c>
      <c r="B1129" t="s">
        <v>56</v>
      </c>
      <c r="C1129">
        <v>201709</v>
      </c>
      <c r="D1129" t="str">
        <f t="shared" si="17"/>
        <v>2017</v>
      </c>
      <c r="E1129">
        <v>10</v>
      </c>
      <c r="F1129">
        <v>11295858</v>
      </c>
      <c r="G1129">
        <v>0</v>
      </c>
      <c r="H1129" t="s">
        <v>10</v>
      </c>
      <c r="I1129" t="s">
        <v>11</v>
      </c>
    </row>
    <row r="1130" spans="1:9" hidden="1" x14ac:dyDescent="0.25">
      <c r="A1130" t="s">
        <v>8</v>
      </c>
      <c r="B1130" t="s">
        <v>56</v>
      </c>
      <c r="C1130">
        <v>201710</v>
      </c>
      <c r="D1130" t="str">
        <f t="shared" si="17"/>
        <v>2017</v>
      </c>
      <c r="E1130">
        <v>10</v>
      </c>
      <c r="F1130">
        <v>11295858</v>
      </c>
      <c r="G1130">
        <v>0</v>
      </c>
      <c r="H1130" t="s">
        <v>10</v>
      </c>
      <c r="I1130" t="s">
        <v>11</v>
      </c>
    </row>
    <row r="1131" spans="1:9" hidden="1" x14ac:dyDescent="0.25">
      <c r="A1131" t="s">
        <v>8</v>
      </c>
      <c r="B1131" t="s">
        <v>56</v>
      </c>
      <c r="C1131">
        <v>201711</v>
      </c>
      <c r="D1131" t="str">
        <f t="shared" si="17"/>
        <v>2017</v>
      </c>
      <c r="E1131">
        <v>10</v>
      </c>
      <c r="F1131">
        <v>11295858</v>
      </c>
      <c r="G1131">
        <v>0</v>
      </c>
      <c r="H1131" t="s">
        <v>10</v>
      </c>
      <c r="I1131" t="s">
        <v>11</v>
      </c>
    </row>
    <row r="1132" spans="1:9" hidden="1" x14ac:dyDescent="0.25">
      <c r="A1132" t="s">
        <v>8</v>
      </c>
      <c r="B1132" t="s">
        <v>56</v>
      </c>
      <c r="C1132">
        <v>201712</v>
      </c>
      <c r="D1132" t="str">
        <f t="shared" si="17"/>
        <v>2017</v>
      </c>
      <c r="E1132">
        <v>2</v>
      </c>
      <c r="F1132">
        <v>11295858</v>
      </c>
      <c r="G1132">
        <v>0</v>
      </c>
      <c r="H1132" t="s">
        <v>10</v>
      </c>
      <c r="I1132" t="s">
        <v>11</v>
      </c>
    </row>
    <row r="1133" spans="1:9" hidden="1" x14ac:dyDescent="0.25">
      <c r="A1133" t="s">
        <v>8</v>
      </c>
      <c r="B1133" t="s">
        <v>56</v>
      </c>
      <c r="C1133">
        <v>201803</v>
      </c>
      <c r="D1133" t="str">
        <f t="shared" si="17"/>
        <v>2018</v>
      </c>
      <c r="E1133">
        <v>2</v>
      </c>
      <c r="F1133">
        <v>11295858</v>
      </c>
      <c r="G1133">
        <v>0</v>
      </c>
      <c r="H1133" t="s">
        <v>10</v>
      </c>
      <c r="I1133" t="s">
        <v>11</v>
      </c>
    </row>
    <row r="1134" spans="1:9" hidden="1" x14ac:dyDescent="0.25">
      <c r="A1134" t="s">
        <v>8</v>
      </c>
      <c r="B1134" t="s">
        <v>56</v>
      </c>
      <c r="C1134">
        <v>201804</v>
      </c>
      <c r="D1134" t="str">
        <f t="shared" si="17"/>
        <v>2018</v>
      </c>
      <c r="E1134">
        <v>9</v>
      </c>
      <c r="F1134">
        <v>11295858</v>
      </c>
      <c r="G1134">
        <v>0</v>
      </c>
      <c r="H1134" t="s">
        <v>10</v>
      </c>
      <c r="I1134" t="s">
        <v>11</v>
      </c>
    </row>
    <row r="1135" spans="1:9" hidden="1" x14ac:dyDescent="0.25">
      <c r="A1135" t="s">
        <v>8</v>
      </c>
      <c r="B1135" t="s">
        <v>56</v>
      </c>
      <c r="C1135">
        <v>201805</v>
      </c>
      <c r="D1135" t="str">
        <f t="shared" si="17"/>
        <v>2018</v>
      </c>
      <c r="E1135">
        <v>8</v>
      </c>
      <c r="F1135">
        <v>11295858</v>
      </c>
      <c r="G1135">
        <v>0</v>
      </c>
      <c r="H1135" t="s">
        <v>10</v>
      </c>
      <c r="I1135" t="s">
        <v>11</v>
      </c>
    </row>
    <row r="1136" spans="1:9" hidden="1" x14ac:dyDescent="0.25">
      <c r="A1136" t="s">
        <v>8</v>
      </c>
      <c r="B1136" t="s">
        <v>56</v>
      </c>
      <c r="C1136">
        <v>201806</v>
      </c>
      <c r="D1136" t="str">
        <f t="shared" si="17"/>
        <v>2018</v>
      </c>
      <c r="E1136">
        <v>6</v>
      </c>
      <c r="F1136">
        <v>11295858</v>
      </c>
      <c r="G1136">
        <v>0</v>
      </c>
      <c r="H1136" t="s">
        <v>10</v>
      </c>
      <c r="I1136" t="s">
        <v>11</v>
      </c>
    </row>
    <row r="1137" spans="1:9" hidden="1" x14ac:dyDescent="0.25">
      <c r="A1137" t="s">
        <v>8</v>
      </c>
      <c r="B1137" t="s">
        <v>56</v>
      </c>
      <c r="C1137">
        <v>201807</v>
      </c>
      <c r="D1137" t="str">
        <f t="shared" si="17"/>
        <v>2018</v>
      </c>
      <c r="E1137">
        <v>10</v>
      </c>
      <c r="F1137">
        <v>11295858</v>
      </c>
      <c r="G1137">
        <v>0</v>
      </c>
      <c r="H1137" t="s">
        <v>10</v>
      </c>
      <c r="I1137" t="s">
        <v>11</v>
      </c>
    </row>
    <row r="1138" spans="1:9" hidden="1" x14ac:dyDescent="0.25">
      <c r="A1138" t="s">
        <v>8</v>
      </c>
      <c r="B1138" t="s">
        <v>56</v>
      </c>
      <c r="C1138">
        <v>201808</v>
      </c>
      <c r="D1138" t="str">
        <f t="shared" si="17"/>
        <v>2018</v>
      </c>
      <c r="E1138">
        <v>17</v>
      </c>
      <c r="F1138">
        <v>11295858</v>
      </c>
      <c r="G1138">
        <v>0</v>
      </c>
      <c r="H1138" t="s">
        <v>10</v>
      </c>
      <c r="I1138" t="s">
        <v>11</v>
      </c>
    </row>
    <row r="1139" spans="1:9" hidden="1" x14ac:dyDescent="0.25">
      <c r="A1139" t="s">
        <v>8</v>
      </c>
      <c r="B1139" t="s">
        <v>56</v>
      </c>
      <c r="C1139">
        <v>201810</v>
      </c>
      <c r="D1139" t="str">
        <f t="shared" si="17"/>
        <v>2018</v>
      </c>
      <c r="E1139">
        <v>5</v>
      </c>
      <c r="F1139">
        <v>11295858</v>
      </c>
      <c r="G1139">
        <v>0</v>
      </c>
      <c r="H1139" t="s">
        <v>10</v>
      </c>
      <c r="I1139" t="s">
        <v>11</v>
      </c>
    </row>
    <row r="1140" spans="1:9" hidden="1" x14ac:dyDescent="0.25">
      <c r="A1140" t="s">
        <v>8</v>
      </c>
      <c r="B1140" t="s">
        <v>56</v>
      </c>
      <c r="C1140">
        <v>201811</v>
      </c>
      <c r="D1140" t="str">
        <f t="shared" si="17"/>
        <v>2018</v>
      </c>
      <c r="E1140">
        <v>1</v>
      </c>
      <c r="F1140">
        <v>11295858</v>
      </c>
      <c r="G1140">
        <v>0</v>
      </c>
      <c r="H1140" t="s">
        <v>10</v>
      </c>
      <c r="I1140" t="s">
        <v>11</v>
      </c>
    </row>
    <row r="1141" spans="1:9" hidden="1" x14ac:dyDescent="0.25">
      <c r="A1141" t="s">
        <v>8</v>
      </c>
      <c r="B1141" t="s">
        <v>56</v>
      </c>
      <c r="C1141">
        <v>201812</v>
      </c>
      <c r="D1141" t="str">
        <f t="shared" si="17"/>
        <v>2018</v>
      </c>
      <c r="E1141">
        <v>6</v>
      </c>
      <c r="F1141">
        <v>11295858</v>
      </c>
      <c r="G1141">
        <v>0</v>
      </c>
      <c r="H1141" t="s">
        <v>10</v>
      </c>
      <c r="I1141" t="s">
        <v>11</v>
      </c>
    </row>
    <row r="1142" spans="1:9" hidden="1" x14ac:dyDescent="0.25">
      <c r="A1142" t="s">
        <v>8</v>
      </c>
      <c r="B1142" t="s">
        <v>56</v>
      </c>
      <c r="C1142">
        <v>201901</v>
      </c>
      <c r="D1142" t="str">
        <f t="shared" si="17"/>
        <v>2019</v>
      </c>
      <c r="E1142">
        <v>614</v>
      </c>
      <c r="F1142">
        <v>11295858</v>
      </c>
      <c r="G1142">
        <v>0.01</v>
      </c>
      <c r="H1142" t="s">
        <v>10</v>
      </c>
      <c r="I1142" t="s">
        <v>11</v>
      </c>
    </row>
    <row r="1143" spans="1:9" hidden="1" x14ac:dyDescent="0.25">
      <c r="A1143" t="s">
        <v>8</v>
      </c>
      <c r="B1143" t="s">
        <v>56</v>
      </c>
      <c r="C1143">
        <v>201902</v>
      </c>
      <c r="D1143" t="str">
        <f t="shared" si="17"/>
        <v>2019</v>
      </c>
      <c r="E1143">
        <v>470</v>
      </c>
      <c r="F1143">
        <v>11295858</v>
      </c>
      <c r="G1143">
        <v>0</v>
      </c>
      <c r="H1143" t="s">
        <v>10</v>
      </c>
      <c r="I1143" t="s">
        <v>11</v>
      </c>
    </row>
    <row r="1144" spans="1:9" hidden="1" x14ac:dyDescent="0.25">
      <c r="A1144" t="s">
        <v>8</v>
      </c>
      <c r="B1144" t="s">
        <v>56</v>
      </c>
      <c r="C1144">
        <v>201903</v>
      </c>
      <c r="D1144" t="str">
        <f t="shared" si="17"/>
        <v>2019</v>
      </c>
      <c r="E1144">
        <v>540</v>
      </c>
      <c r="F1144">
        <v>11295858</v>
      </c>
      <c r="G1144">
        <v>0</v>
      </c>
      <c r="H1144" t="s">
        <v>10</v>
      </c>
      <c r="I1144" t="s">
        <v>11</v>
      </c>
    </row>
    <row r="1145" spans="1:9" hidden="1" x14ac:dyDescent="0.25">
      <c r="A1145" t="s">
        <v>8</v>
      </c>
      <c r="B1145" t="s">
        <v>56</v>
      </c>
      <c r="C1145">
        <v>201904</v>
      </c>
      <c r="D1145" t="str">
        <f t="shared" si="17"/>
        <v>2019</v>
      </c>
      <c r="E1145">
        <v>759</v>
      </c>
      <c r="F1145">
        <v>11295858</v>
      </c>
      <c r="G1145">
        <v>0.01</v>
      </c>
      <c r="H1145" t="s">
        <v>10</v>
      </c>
      <c r="I1145" t="s">
        <v>11</v>
      </c>
    </row>
    <row r="1146" spans="1:9" hidden="1" x14ac:dyDescent="0.25">
      <c r="A1146" t="s">
        <v>8</v>
      </c>
      <c r="B1146" t="s">
        <v>56</v>
      </c>
      <c r="C1146">
        <v>201905</v>
      </c>
      <c r="D1146" t="str">
        <f t="shared" si="17"/>
        <v>2019</v>
      </c>
      <c r="E1146">
        <v>569</v>
      </c>
      <c r="F1146">
        <v>11295858</v>
      </c>
      <c r="G1146">
        <v>0.01</v>
      </c>
      <c r="H1146" t="s">
        <v>10</v>
      </c>
      <c r="I1146" t="s">
        <v>11</v>
      </c>
    </row>
    <row r="1147" spans="1:9" hidden="1" x14ac:dyDescent="0.25">
      <c r="A1147" t="s">
        <v>8</v>
      </c>
      <c r="B1147" t="s">
        <v>56</v>
      </c>
      <c r="C1147">
        <v>201906</v>
      </c>
      <c r="D1147" t="str">
        <f t="shared" si="17"/>
        <v>2019</v>
      </c>
      <c r="E1147">
        <v>657</v>
      </c>
      <c r="F1147">
        <v>11295858</v>
      </c>
      <c r="G1147">
        <v>0.01</v>
      </c>
      <c r="H1147" t="s">
        <v>10</v>
      </c>
      <c r="I1147" t="s">
        <v>11</v>
      </c>
    </row>
    <row r="1148" spans="1:9" hidden="1" x14ac:dyDescent="0.25">
      <c r="A1148" t="s">
        <v>8</v>
      </c>
      <c r="B1148" t="s">
        <v>56</v>
      </c>
      <c r="C1148">
        <v>201907</v>
      </c>
      <c r="D1148" t="str">
        <f t="shared" si="17"/>
        <v>2019</v>
      </c>
      <c r="E1148">
        <v>610</v>
      </c>
      <c r="F1148">
        <v>11295858</v>
      </c>
      <c r="G1148">
        <v>0.01</v>
      </c>
      <c r="H1148" t="s">
        <v>10</v>
      </c>
      <c r="I1148" t="s">
        <v>11</v>
      </c>
    </row>
    <row r="1149" spans="1:9" hidden="1" x14ac:dyDescent="0.25">
      <c r="A1149" t="s">
        <v>8</v>
      </c>
      <c r="B1149" t="s">
        <v>56</v>
      </c>
      <c r="C1149">
        <v>201908</v>
      </c>
      <c r="D1149" t="str">
        <f t="shared" si="17"/>
        <v>2019</v>
      </c>
      <c r="E1149">
        <v>610</v>
      </c>
      <c r="F1149">
        <v>11295858</v>
      </c>
      <c r="G1149">
        <v>0.01</v>
      </c>
      <c r="H1149" t="s">
        <v>10</v>
      </c>
      <c r="I1149" t="s">
        <v>11</v>
      </c>
    </row>
    <row r="1150" spans="1:9" hidden="1" x14ac:dyDescent="0.25">
      <c r="A1150" t="s">
        <v>8</v>
      </c>
      <c r="B1150" t="s">
        <v>56</v>
      </c>
      <c r="C1150">
        <v>201909</v>
      </c>
      <c r="D1150" t="str">
        <f t="shared" si="17"/>
        <v>2019</v>
      </c>
      <c r="E1150">
        <v>456</v>
      </c>
      <c r="F1150">
        <v>11295858</v>
      </c>
      <c r="G1150">
        <v>0</v>
      </c>
      <c r="H1150" t="s">
        <v>10</v>
      </c>
      <c r="I1150" t="s">
        <v>11</v>
      </c>
    </row>
    <row r="1151" spans="1:9" hidden="1" x14ac:dyDescent="0.25">
      <c r="A1151" t="s">
        <v>8</v>
      </c>
      <c r="B1151" t="s">
        <v>56</v>
      </c>
      <c r="C1151">
        <v>201910</v>
      </c>
      <c r="D1151" t="str">
        <f t="shared" si="17"/>
        <v>2019</v>
      </c>
      <c r="E1151">
        <v>648</v>
      </c>
      <c r="F1151">
        <v>11295858</v>
      </c>
      <c r="G1151">
        <v>0.01</v>
      </c>
      <c r="H1151" t="s">
        <v>10</v>
      </c>
      <c r="I1151" t="s">
        <v>11</v>
      </c>
    </row>
    <row r="1152" spans="1:9" hidden="1" x14ac:dyDescent="0.25">
      <c r="A1152" t="s">
        <v>8</v>
      </c>
      <c r="B1152" t="s">
        <v>56</v>
      </c>
      <c r="C1152">
        <v>201911</v>
      </c>
      <c r="D1152" t="str">
        <f t="shared" si="17"/>
        <v>2019</v>
      </c>
      <c r="E1152">
        <v>493</v>
      </c>
      <c r="F1152">
        <v>11295858</v>
      </c>
      <c r="G1152">
        <v>0</v>
      </c>
      <c r="H1152" t="s">
        <v>10</v>
      </c>
      <c r="I1152" t="s">
        <v>11</v>
      </c>
    </row>
    <row r="1153" spans="1:9" hidden="1" x14ac:dyDescent="0.25">
      <c r="A1153" t="s">
        <v>8</v>
      </c>
      <c r="B1153" t="s">
        <v>56</v>
      </c>
      <c r="C1153">
        <v>201912</v>
      </c>
      <c r="D1153" t="str">
        <f t="shared" si="17"/>
        <v>2019</v>
      </c>
      <c r="E1153">
        <v>566</v>
      </c>
      <c r="F1153">
        <v>11295858</v>
      </c>
      <c r="G1153">
        <v>0.01</v>
      </c>
      <c r="H1153" t="s">
        <v>10</v>
      </c>
      <c r="I1153" t="s">
        <v>11</v>
      </c>
    </row>
    <row r="1154" spans="1:9" hidden="1" x14ac:dyDescent="0.25">
      <c r="A1154" t="s">
        <v>8</v>
      </c>
      <c r="B1154" t="s">
        <v>56</v>
      </c>
      <c r="C1154">
        <v>202001</v>
      </c>
      <c r="D1154" t="str">
        <f t="shared" si="17"/>
        <v>2020</v>
      </c>
      <c r="E1154">
        <v>34124</v>
      </c>
      <c r="F1154">
        <v>11295858</v>
      </c>
      <c r="G1154">
        <v>0.3</v>
      </c>
      <c r="H1154" t="s">
        <v>10</v>
      </c>
      <c r="I1154" t="s">
        <v>11</v>
      </c>
    </row>
    <row r="1155" spans="1:9" hidden="1" x14ac:dyDescent="0.25">
      <c r="A1155" t="s">
        <v>8</v>
      </c>
      <c r="B1155" t="s">
        <v>56</v>
      </c>
      <c r="C1155">
        <v>202002</v>
      </c>
      <c r="D1155" t="str">
        <f t="shared" ref="D1155:D1218" si="18">LEFT(C1155,4)</f>
        <v>2020</v>
      </c>
      <c r="E1155">
        <v>30801</v>
      </c>
      <c r="F1155">
        <v>11295858</v>
      </c>
      <c r="G1155">
        <v>0.27</v>
      </c>
      <c r="H1155" t="s">
        <v>10</v>
      </c>
      <c r="I1155" t="s">
        <v>11</v>
      </c>
    </row>
    <row r="1156" spans="1:9" hidden="1" x14ac:dyDescent="0.25">
      <c r="A1156" t="s">
        <v>8</v>
      </c>
      <c r="B1156" t="s">
        <v>56</v>
      </c>
      <c r="C1156">
        <v>202003</v>
      </c>
      <c r="D1156" t="str">
        <f t="shared" si="18"/>
        <v>2020</v>
      </c>
      <c r="E1156">
        <v>26605</v>
      </c>
      <c r="F1156">
        <v>11295858</v>
      </c>
      <c r="G1156">
        <v>0.24</v>
      </c>
      <c r="H1156" t="s">
        <v>10</v>
      </c>
      <c r="I1156" t="s">
        <v>11</v>
      </c>
    </row>
    <row r="1157" spans="1:9" hidden="1" x14ac:dyDescent="0.25">
      <c r="A1157" t="s">
        <v>8</v>
      </c>
      <c r="B1157" t="s">
        <v>56</v>
      </c>
      <c r="C1157">
        <v>202004</v>
      </c>
      <c r="D1157" t="str">
        <f t="shared" si="18"/>
        <v>2020</v>
      </c>
      <c r="E1157">
        <v>13889</v>
      </c>
      <c r="F1157">
        <v>11295858</v>
      </c>
      <c r="G1157">
        <v>0.12</v>
      </c>
      <c r="H1157" t="s">
        <v>10</v>
      </c>
      <c r="I1157" t="s">
        <v>11</v>
      </c>
    </row>
    <row r="1158" spans="1:9" hidden="1" x14ac:dyDescent="0.25">
      <c r="A1158" t="s">
        <v>8</v>
      </c>
      <c r="B1158" t="s">
        <v>56</v>
      </c>
      <c r="C1158">
        <v>202005</v>
      </c>
      <c r="D1158" t="str">
        <f t="shared" si="18"/>
        <v>2020</v>
      </c>
      <c r="E1158">
        <v>26482</v>
      </c>
      <c r="F1158">
        <v>11295858</v>
      </c>
      <c r="G1158">
        <v>0.23</v>
      </c>
      <c r="H1158" t="s">
        <v>10</v>
      </c>
      <c r="I1158" t="s">
        <v>11</v>
      </c>
    </row>
    <row r="1159" spans="1:9" hidden="1" x14ac:dyDescent="0.25">
      <c r="A1159" t="s">
        <v>8</v>
      </c>
      <c r="B1159" t="s">
        <v>56</v>
      </c>
      <c r="C1159">
        <v>202006</v>
      </c>
      <c r="D1159" t="str">
        <f t="shared" si="18"/>
        <v>2020</v>
      </c>
      <c r="E1159">
        <v>34550</v>
      </c>
      <c r="F1159">
        <v>11295858</v>
      </c>
      <c r="G1159">
        <v>0.31</v>
      </c>
      <c r="H1159" t="s">
        <v>10</v>
      </c>
      <c r="I1159" t="s">
        <v>11</v>
      </c>
    </row>
    <row r="1160" spans="1:9" hidden="1" x14ac:dyDescent="0.25">
      <c r="A1160" t="s">
        <v>8</v>
      </c>
      <c r="B1160" t="s">
        <v>56</v>
      </c>
      <c r="C1160">
        <v>202007</v>
      </c>
      <c r="D1160" t="str">
        <f t="shared" si="18"/>
        <v>2020</v>
      </c>
      <c r="E1160">
        <v>24119</v>
      </c>
      <c r="F1160">
        <v>11295858</v>
      </c>
      <c r="G1160">
        <v>0.21</v>
      </c>
      <c r="H1160" t="s">
        <v>10</v>
      </c>
      <c r="I1160" t="s">
        <v>11</v>
      </c>
    </row>
    <row r="1161" spans="1:9" hidden="1" x14ac:dyDescent="0.25">
      <c r="A1161" t="s">
        <v>8</v>
      </c>
      <c r="B1161" t="s">
        <v>56</v>
      </c>
      <c r="C1161">
        <v>202008</v>
      </c>
      <c r="D1161" t="str">
        <f t="shared" si="18"/>
        <v>2020</v>
      </c>
      <c r="E1161">
        <v>23447</v>
      </c>
      <c r="F1161">
        <v>11295858</v>
      </c>
      <c r="G1161">
        <v>0.21</v>
      </c>
      <c r="H1161" t="s">
        <v>10</v>
      </c>
      <c r="I1161" t="s">
        <v>11</v>
      </c>
    </row>
    <row r="1162" spans="1:9" hidden="1" x14ac:dyDescent="0.25">
      <c r="A1162" t="s">
        <v>8</v>
      </c>
      <c r="B1162" t="s">
        <v>56</v>
      </c>
      <c r="C1162">
        <v>202009</v>
      </c>
      <c r="D1162" t="str">
        <f t="shared" si="18"/>
        <v>2020</v>
      </c>
      <c r="E1162">
        <v>26186</v>
      </c>
      <c r="F1162">
        <v>11295858</v>
      </c>
      <c r="G1162">
        <v>0.23</v>
      </c>
      <c r="H1162" t="s">
        <v>10</v>
      </c>
      <c r="I1162" t="s">
        <v>11</v>
      </c>
    </row>
    <row r="1163" spans="1:9" hidden="1" x14ac:dyDescent="0.25">
      <c r="A1163" t="s">
        <v>8</v>
      </c>
      <c r="B1163" t="s">
        <v>56</v>
      </c>
      <c r="C1163">
        <v>202010</v>
      </c>
      <c r="D1163" t="str">
        <f t="shared" si="18"/>
        <v>2020</v>
      </c>
      <c r="E1163">
        <v>25648</v>
      </c>
      <c r="F1163">
        <v>11295858</v>
      </c>
      <c r="G1163">
        <v>0.23</v>
      </c>
      <c r="H1163" t="s">
        <v>10</v>
      </c>
      <c r="I1163" t="s">
        <v>11</v>
      </c>
    </row>
    <row r="1164" spans="1:9" hidden="1" x14ac:dyDescent="0.25">
      <c r="A1164" t="s">
        <v>8</v>
      </c>
      <c r="B1164" t="s">
        <v>56</v>
      </c>
      <c r="C1164">
        <v>202011</v>
      </c>
      <c r="D1164" t="str">
        <f t="shared" si="18"/>
        <v>2020</v>
      </c>
      <c r="E1164">
        <v>21561</v>
      </c>
      <c r="F1164">
        <v>11295858</v>
      </c>
      <c r="G1164">
        <v>0.19</v>
      </c>
      <c r="H1164" t="s">
        <v>10</v>
      </c>
      <c r="I1164" t="s">
        <v>11</v>
      </c>
    </row>
    <row r="1165" spans="1:9" hidden="1" x14ac:dyDescent="0.25">
      <c r="A1165" t="s">
        <v>8</v>
      </c>
      <c r="B1165" t="s">
        <v>56</v>
      </c>
      <c r="C1165">
        <v>202012</v>
      </c>
      <c r="D1165" t="str">
        <f t="shared" si="18"/>
        <v>2020</v>
      </c>
      <c r="E1165">
        <v>23559</v>
      </c>
      <c r="F1165">
        <v>11295858</v>
      </c>
      <c r="G1165">
        <v>0.21</v>
      </c>
      <c r="H1165" t="s">
        <v>10</v>
      </c>
      <c r="I1165" t="s">
        <v>11</v>
      </c>
    </row>
    <row r="1166" spans="1:9" hidden="1" x14ac:dyDescent="0.25">
      <c r="A1166" t="s">
        <v>8</v>
      </c>
      <c r="B1166" t="s">
        <v>56</v>
      </c>
      <c r="C1166">
        <v>202101</v>
      </c>
      <c r="D1166" t="str">
        <f t="shared" si="18"/>
        <v>2021</v>
      </c>
      <c r="E1166">
        <v>65489</v>
      </c>
      <c r="F1166">
        <v>11295858</v>
      </c>
      <c r="G1166">
        <v>0.57999999999999996</v>
      </c>
      <c r="H1166" t="s">
        <v>10</v>
      </c>
      <c r="I1166" t="s">
        <v>11</v>
      </c>
    </row>
    <row r="1167" spans="1:9" hidden="1" x14ac:dyDescent="0.25">
      <c r="A1167" t="s">
        <v>8</v>
      </c>
      <c r="B1167" t="s">
        <v>56</v>
      </c>
      <c r="C1167">
        <v>202102</v>
      </c>
      <c r="D1167" t="str">
        <f t="shared" si="18"/>
        <v>2021</v>
      </c>
      <c r="E1167">
        <v>49073</v>
      </c>
      <c r="F1167">
        <v>11295858</v>
      </c>
      <c r="G1167">
        <v>0.43</v>
      </c>
      <c r="H1167" t="s">
        <v>10</v>
      </c>
      <c r="I1167" t="s">
        <v>11</v>
      </c>
    </row>
    <row r="1168" spans="1:9" hidden="1" x14ac:dyDescent="0.25">
      <c r="A1168" t="s">
        <v>8</v>
      </c>
      <c r="B1168" t="s">
        <v>56</v>
      </c>
      <c r="C1168">
        <v>202103</v>
      </c>
      <c r="D1168" t="str">
        <f t="shared" si="18"/>
        <v>2021</v>
      </c>
      <c r="E1168">
        <v>61057</v>
      </c>
      <c r="F1168">
        <v>11295858</v>
      </c>
      <c r="G1168">
        <v>0.54</v>
      </c>
      <c r="H1168" t="s">
        <v>10</v>
      </c>
      <c r="I1168" t="s">
        <v>11</v>
      </c>
    </row>
    <row r="1169" spans="1:9" hidden="1" x14ac:dyDescent="0.25">
      <c r="A1169" t="s">
        <v>8</v>
      </c>
      <c r="B1169" t="s">
        <v>56</v>
      </c>
      <c r="C1169">
        <v>202104</v>
      </c>
      <c r="D1169" t="str">
        <f t="shared" si="18"/>
        <v>2021</v>
      </c>
      <c r="E1169">
        <v>57421</v>
      </c>
      <c r="F1169">
        <v>11295858</v>
      </c>
      <c r="G1169">
        <v>0.51</v>
      </c>
      <c r="H1169" t="s">
        <v>10</v>
      </c>
      <c r="I1169" t="s">
        <v>11</v>
      </c>
    </row>
    <row r="1170" spans="1:9" hidden="1" x14ac:dyDescent="0.25">
      <c r="A1170" t="s">
        <v>8</v>
      </c>
      <c r="B1170" t="s">
        <v>56</v>
      </c>
      <c r="C1170">
        <v>202105</v>
      </c>
      <c r="D1170" t="str">
        <f t="shared" si="18"/>
        <v>2021</v>
      </c>
      <c r="E1170">
        <v>54216</v>
      </c>
      <c r="F1170">
        <v>11295858</v>
      </c>
      <c r="G1170">
        <v>0.48</v>
      </c>
      <c r="H1170" t="s">
        <v>10</v>
      </c>
      <c r="I1170" t="s">
        <v>11</v>
      </c>
    </row>
    <row r="1171" spans="1:9" hidden="1" x14ac:dyDescent="0.25">
      <c r="A1171" t="s">
        <v>8</v>
      </c>
      <c r="B1171" t="s">
        <v>56</v>
      </c>
      <c r="C1171">
        <v>202106</v>
      </c>
      <c r="D1171" t="str">
        <f t="shared" si="18"/>
        <v>2021</v>
      </c>
      <c r="E1171">
        <v>59636</v>
      </c>
      <c r="F1171">
        <v>11295858</v>
      </c>
      <c r="G1171">
        <v>0.53</v>
      </c>
      <c r="H1171" t="s">
        <v>10</v>
      </c>
      <c r="I1171" t="s">
        <v>11</v>
      </c>
    </row>
    <row r="1172" spans="1:9" hidden="1" x14ac:dyDescent="0.25">
      <c r="A1172" t="s">
        <v>8</v>
      </c>
      <c r="B1172" t="s">
        <v>56</v>
      </c>
      <c r="C1172">
        <v>202107</v>
      </c>
      <c r="D1172" t="str">
        <f t="shared" si="18"/>
        <v>2021</v>
      </c>
      <c r="E1172">
        <v>115007</v>
      </c>
      <c r="F1172">
        <v>11295858</v>
      </c>
      <c r="G1172">
        <v>1.02</v>
      </c>
      <c r="H1172" t="s">
        <v>10</v>
      </c>
      <c r="I1172" t="s">
        <v>11</v>
      </c>
    </row>
    <row r="1173" spans="1:9" hidden="1" x14ac:dyDescent="0.25">
      <c r="A1173" t="s">
        <v>8</v>
      </c>
      <c r="B1173" t="s">
        <v>56</v>
      </c>
      <c r="C1173">
        <v>202108</v>
      </c>
      <c r="D1173" t="str">
        <f t="shared" si="18"/>
        <v>2021</v>
      </c>
      <c r="E1173">
        <v>119332</v>
      </c>
      <c r="F1173">
        <v>11295858</v>
      </c>
      <c r="G1173">
        <v>1.06</v>
      </c>
      <c r="H1173" t="s">
        <v>10</v>
      </c>
      <c r="I1173" t="s">
        <v>11</v>
      </c>
    </row>
    <row r="1174" spans="1:9" hidden="1" x14ac:dyDescent="0.25">
      <c r="A1174" t="s">
        <v>8</v>
      </c>
      <c r="B1174" t="s">
        <v>56</v>
      </c>
      <c r="C1174">
        <v>202109</v>
      </c>
      <c r="D1174" t="str">
        <f t="shared" si="18"/>
        <v>2021</v>
      </c>
      <c r="E1174">
        <v>134696</v>
      </c>
      <c r="F1174">
        <v>11295858</v>
      </c>
      <c r="G1174">
        <v>1.19</v>
      </c>
      <c r="H1174" t="s">
        <v>10</v>
      </c>
      <c r="I1174" t="s">
        <v>11</v>
      </c>
    </row>
    <row r="1175" spans="1:9" hidden="1" x14ac:dyDescent="0.25">
      <c r="A1175" t="s">
        <v>8</v>
      </c>
      <c r="B1175" t="s">
        <v>56</v>
      </c>
      <c r="C1175">
        <v>202110</v>
      </c>
      <c r="D1175" t="str">
        <f t="shared" si="18"/>
        <v>2021</v>
      </c>
      <c r="E1175">
        <v>132627</v>
      </c>
      <c r="F1175">
        <v>11295858</v>
      </c>
      <c r="G1175">
        <v>1.17</v>
      </c>
      <c r="H1175" t="s">
        <v>10</v>
      </c>
      <c r="I1175" t="s">
        <v>11</v>
      </c>
    </row>
    <row r="1176" spans="1:9" hidden="1" x14ac:dyDescent="0.25">
      <c r="A1176" t="s">
        <v>8</v>
      </c>
      <c r="B1176" t="s">
        <v>56</v>
      </c>
      <c r="C1176">
        <v>202111</v>
      </c>
      <c r="D1176" t="str">
        <f t="shared" si="18"/>
        <v>2021</v>
      </c>
      <c r="E1176">
        <v>133232</v>
      </c>
      <c r="F1176">
        <v>11295858</v>
      </c>
      <c r="G1176">
        <v>1.18</v>
      </c>
      <c r="H1176" t="s">
        <v>10</v>
      </c>
      <c r="I1176" t="s">
        <v>11</v>
      </c>
    </row>
    <row r="1177" spans="1:9" hidden="1" x14ac:dyDescent="0.25">
      <c r="A1177" t="s">
        <v>8</v>
      </c>
      <c r="B1177" t="s">
        <v>56</v>
      </c>
      <c r="C1177">
        <v>202112</v>
      </c>
      <c r="D1177" t="str">
        <f t="shared" si="18"/>
        <v>2021</v>
      </c>
      <c r="E1177">
        <v>136829</v>
      </c>
      <c r="F1177">
        <v>11295858</v>
      </c>
      <c r="G1177">
        <v>1.21</v>
      </c>
      <c r="H1177" t="s">
        <v>10</v>
      </c>
      <c r="I1177" t="s">
        <v>11</v>
      </c>
    </row>
    <row r="1178" spans="1:9" hidden="1" x14ac:dyDescent="0.25">
      <c r="A1178" t="s">
        <v>8</v>
      </c>
      <c r="B1178" t="s">
        <v>56</v>
      </c>
      <c r="C1178">
        <v>202201</v>
      </c>
      <c r="D1178" t="str">
        <f t="shared" si="18"/>
        <v>2022</v>
      </c>
      <c r="E1178">
        <v>135423</v>
      </c>
      <c r="F1178">
        <v>11295858</v>
      </c>
      <c r="G1178">
        <v>1.2</v>
      </c>
      <c r="H1178" t="s">
        <v>10</v>
      </c>
      <c r="I1178" t="s">
        <v>11</v>
      </c>
    </row>
    <row r="1179" spans="1:9" hidden="1" x14ac:dyDescent="0.25">
      <c r="A1179" t="s">
        <v>8</v>
      </c>
      <c r="B1179" t="s">
        <v>56</v>
      </c>
      <c r="C1179">
        <v>202202</v>
      </c>
      <c r="D1179" t="str">
        <f t="shared" si="18"/>
        <v>2022</v>
      </c>
      <c r="E1179">
        <v>191349</v>
      </c>
      <c r="F1179">
        <v>11295858</v>
      </c>
      <c r="G1179">
        <v>1.69</v>
      </c>
      <c r="H1179" t="s">
        <v>10</v>
      </c>
      <c r="I1179" t="s">
        <v>11</v>
      </c>
    </row>
    <row r="1180" spans="1:9" hidden="1" x14ac:dyDescent="0.25">
      <c r="A1180" t="s">
        <v>8</v>
      </c>
      <c r="B1180" t="s">
        <v>56</v>
      </c>
      <c r="C1180">
        <v>202203</v>
      </c>
      <c r="D1180" t="str">
        <f t="shared" si="18"/>
        <v>2022</v>
      </c>
      <c r="E1180">
        <v>248205</v>
      </c>
      <c r="F1180">
        <v>11295858</v>
      </c>
      <c r="G1180">
        <v>2.2000000000000002</v>
      </c>
      <c r="H1180" t="s">
        <v>10</v>
      </c>
      <c r="I1180" t="s">
        <v>11</v>
      </c>
    </row>
    <row r="1181" spans="1:9" hidden="1" x14ac:dyDescent="0.25">
      <c r="A1181" t="s">
        <v>8</v>
      </c>
      <c r="B1181" t="s">
        <v>56</v>
      </c>
      <c r="C1181">
        <v>202204</v>
      </c>
      <c r="D1181" t="str">
        <f t="shared" si="18"/>
        <v>2022</v>
      </c>
      <c r="E1181">
        <v>218852</v>
      </c>
      <c r="F1181">
        <v>11295858</v>
      </c>
      <c r="G1181">
        <v>1.94</v>
      </c>
      <c r="H1181" t="s">
        <v>10</v>
      </c>
      <c r="I1181" t="s">
        <v>11</v>
      </c>
    </row>
    <row r="1182" spans="1:9" hidden="1" x14ac:dyDescent="0.25">
      <c r="A1182" t="s">
        <v>8</v>
      </c>
      <c r="B1182" t="s">
        <v>56</v>
      </c>
      <c r="C1182">
        <v>202205</v>
      </c>
      <c r="D1182" t="str">
        <f t="shared" si="18"/>
        <v>2022</v>
      </c>
      <c r="E1182">
        <v>221588</v>
      </c>
      <c r="F1182">
        <v>11295858</v>
      </c>
      <c r="G1182">
        <v>1.96</v>
      </c>
      <c r="H1182" t="s">
        <v>10</v>
      </c>
      <c r="I1182" t="s">
        <v>11</v>
      </c>
    </row>
    <row r="1183" spans="1:9" hidden="1" x14ac:dyDescent="0.25">
      <c r="A1183" t="s">
        <v>8</v>
      </c>
      <c r="B1183" t="s">
        <v>56</v>
      </c>
      <c r="C1183">
        <v>202206</v>
      </c>
      <c r="D1183" t="str">
        <f t="shared" si="18"/>
        <v>2022</v>
      </c>
      <c r="E1183">
        <v>228491</v>
      </c>
      <c r="F1183">
        <v>11295858</v>
      </c>
      <c r="G1183">
        <v>2.02</v>
      </c>
      <c r="H1183" t="s">
        <v>10</v>
      </c>
      <c r="I1183" t="s">
        <v>11</v>
      </c>
    </row>
    <row r="1184" spans="1:9" hidden="1" x14ac:dyDescent="0.25">
      <c r="A1184" t="s">
        <v>8</v>
      </c>
      <c r="B1184" t="s">
        <v>56</v>
      </c>
      <c r="C1184">
        <v>202207</v>
      </c>
      <c r="D1184" t="str">
        <f t="shared" si="18"/>
        <v>2022</v>
      </c>
      <c r="E1184">
        <v>211591</v>
      </c>
      <c r="F1184">
        <v>11295858</v>
      </c>
      <c r="G1184">
        <v>1.87</v>
      </c>
      <c r="H1184" t="s">
        <v>10</v>
      </c>
      <c r="I1184" t="s">
        <v>11</v>
      </c>
    </row>
    <row r="1185" spans="1:9" hidden="1" x14ac:dyDescent="0.25">
      <c r="A1185" t="s">
        <v>8</v>
      </c>
      <c r="B1185" t="s">
        <v>56</v>
      </c>
      <c r="C1185">
        <v>202208</v>
      </c>
      <c r="D1185" t="str">
        <f t="shared" si="18"/>
        <v>2022</v>
      </c>
      <c r="E1185">
        <v>235131</v>
      </c>
      <c r="F1185">
        <v>11295858</v>
      </c>
      <c r="G1185">
        <v>2.08</v>
      </c>
      <c r="H1185" t="s">
        <v>10</v>
      </c>
      <c r="I1185" t="s">
        <v>11</v>
      </c>
    </row>
    <row r="1186" spans="1:9" hidden="1" x14ac:dyDescent="0.25">
      <c r="A1186" t="s">
        <v>8</v>
      </c>
      <c r="B1186" t="s">
        <v>56</v>
      </c>
      <c r="C1186">
        <v>202209</v>
      </c>
      <c r="D1186" t="str">
        <f t="shared" si="18"/>
        <v>2022</v>
      </c>
      <c r="E1186">
        <v>219291</v>
      </c>
      <c r="F1186">
        <v>11295858</v>
      </c>
      <c r="G1186">
        <v>1.94</v>
      </c>
      <c r="H1186" t="s">
        <v>10</v>
      </c>
      <c r="I1186" t="s">
        <v>11</v>
      </c>
    </row>
    <row r="1187" spans="1:9" hidden="1" x14ac:dyDescent="0.25">
      <c r="A1187" t="s">
        <v>8</v>
      </c>
      <c r="B1187" t="s">
        <v>56</v>
      </c>
      <c r="C1187">
        <v>202210</v>
      </c>
      <c r="D1187" t="str">
        <f t="shared" si="18"/>
        <v>2022</v>
      </c>
      <c r="E1187">
        <v>222905</v>
      </c>
      <c r="F1187">
        <v>11295858</v>
      </c>
      <c r="G1187">
        <v>1.97</v>
      </c>
      <c r="H1187" t="s">
        <v>10</v>
      </c>
      <c r="I1187" t="s">
        <v>11</v>
      </c>
    </row>
    <row r="1188" spans="1:9" hidden="1" x14ac:dyDescent="0.25">
      <c r="A1188" t="s">
        <v>8</v>
      </c>
      <c r="B1188" t="s">
        <v>56</v>
      </c>
      <c r="C1188">
        <v>202211</v>
      </c>
      <c r="D1188" t="str">
        <f t="shared" si="18"/>
        <v>2022</v>
      </c>
      <c r="E1188">
        <v>219378</v>
      </c>
      <c r="F1188">
        <v>11295858</v>
      </c>
      <c r="G1188">
        <v>1.94</v>
      </c>
      <c r="H1188" t="s">
        <v>10</v>
      </c>
      <c r="I1188" t="s">
        <v>11</v>
      </c>
    </row>
    <row r="1189" spans="1:9" hidden="1" x14ac:dyDescent="0.25">
      <c r="A1189" t="s">
        <v>8</v>
      </c>
      <c r="B1189" t="s">
        <v>56</v>
      </c>
      <c r="C1189">
        <v>202212</v>
      </c>
      <c r="D1189" t="str">
        <f t="shared" si="18"/>
        <v>2022</v>
      </c>
      <c r="E1189">
        <v>206182</v>
      </c>
      <c r="F1189">
        <v>11295858</v>
      </c>
      <c r="G1189">
        <v>1.83</v>
      </c>
      <c r="H1189" t="s">
        <v>10</v>
      </c>
      <c r="I1189" t="s">
        <v>11</v>
      </c>
    </row>
    <row r="1190" spans="1:9" hidden="1" x14ac:dyDescent="0.25">
      <c r="A1190" t="s">
        <v>8</v>
      </c>
      <c r="B1190" t="s">
        <v>56</v>
      </c>
      <c r="C1190">
        <v>202301</v>
      </c>
      <c r="D1190" t="str">
        <f t="shared" si="18"/>
        <v>2023</v>
      </c>
      <c r="E1190">
        <v>248535</v>
      </c>
      <c r="F1190">
        <v>11295858</v>
      </c>
      <c r="G1190">
        <v>2.2000000000000002</v>
      </c>
      <c r="H1190" t="s">
        <v>10</v>
      </c>
      <c r="I1190" t="s">
        <v>11</v>
      </c>
    </row>
    <row r="1191" spans="1:9" hidden="1" x14ac:dyDescent="0.25">
      <c r="A1191" t="s">
        <v>8</v>
      </c>
      <c r="B1191" t="s">
        <v>56</v>
      </c>
      <c r="C1191">
        <v>202302</v>
      </c>
      <c r="D1191" t="str">
        <f t="shared" si="18"/>
        <v>2023</v>
      </c>
      <c r="E1191">
        <v>241728</v>
      </c>
      <c r="F1191">
        <v>11295858</v>
      </c>
      <c r="G1191">
        <v>2.14</v>
      </c>
      <c r="H1191" t="s">
        <v>10</v>
      </c>
      <c r="I1191" t="s">
        <v>11</v>
      </c>
    </row>
    <row r="1192" spans="1:9" hidden="1" x14ac:dyDescent="0.25">
      <c r="A1192" t="s">
        <v>8</v>
      </c>
      <c r="B1192" t="s">
        <v>56</v>
      </c>
      <c r="C1192">
        <v>202303</v>
      </c>
      <c r="D1192" t="str">
        <f t="shared" si="18"/>
        <v>2023</v>
      </c>
      <c r="E1192">
        <v>269581</v>
      </c>
      <c r="F1192">
        <v>11295858</v>
      </c>
      <c r="G1192">
        <v>2.39</v>
      </c>
      <c r="H1192" t="s">
        <v>10</v>
      </c>
      <c r="I1192" t="s">
        <v>11</v>
      </c>
    </row>
    <row r="1193" spans="1:9" hidden="1" x14ac:dyDescent="0.25">
      <c r="A1193" t="s">
        <v>8</v>
      </c>
      <c r="B1193" t="s">
        <v>56</v>
      </c>
      <c r="C1193">
        <v>202304</v>
      </c>
      <c r="D1193" t="str">
        <f t="shared" si="18"/>
        <v>2023</v>
      </c>
      <c r="E1193">
        <v>244327</v>
      </c>
      <c r="F1193">
        <v>11295858</v>
      </c>
      <c r="G1193">
        <v>2.16</v>
      </c>
      <c r="H1193" t="s">
        <v>10</v>
      </c>
      <c r="I1193" t="s">
        <v>11</v>
      </c>
    </row>
    <row r="1194" spans="1:9" hidden="1" x14ac:dyDescent="0.25">
      <c r="A1194" t="s">
        <v>8</v>
      </c>
      <c r="B1194" t="s">
        <v>56</v>
      </c>
      <c r="C1194">
        <v>202305</v>
      </c>
      <c r="D1194" t="str">
        <f t="shared" si="18"/>
        <v>2023</v>
      </c>
      <c r="E1194">
        <v>256317</v>
      </c>
      <c r="F1194">
        <v>11295858</v>
      </c>
      <c r="G1194">
        <v>2.27</v>
      </c>
      <c r="H1194" t="s">
        <v>10</v>
      </c>
      <c r="I1194" t="s">
        <v>11</v>
      </c>
    </row>
    <row r="1195" spans="1:9" hidden="1" x14ac:dyDescent="0.25">
      <c r="A1195" t="s">
        <v>8</v>
      </c>
      <c r="B1195" t="s">
        <v>56</v>
      </c>
      <c r="C1195">
        <v>202306</v>
      </c>
      <c r="D1195" t="str">
        <f t="shared" si="18"/>
        <v>2023</v>
      </c>
      <c r="E1195">
        <v>253392</v>
      </c>
      <c r="F1195">
        <v>11295858</v>
      </c>
      <c r="G1195">
        <v>2.2400000000000002</v>
      </c>
      <c r="H1195" t="s">
        <v>10</v>
      </c>
      <c r="I1195" t="s">
        <v>11</v>
      </c>
    </row>
    <row r="1196" spans="1:9" hidden="1" x14ac:dyDescent="0.25">
      <c r="A1196" t="s">
        <v>8</v>
      </c>
      <c r="B1196" t="s">
        <v>56</v>
      </c>
      <c r="C1196">
        <v>202307</v>
      </c>
      <c r="D1196" t="str">
        <f t="shared" si="18"/>
        <v>2023</v>
      </c>
      <c r="E1196">
        <v>228856</v>
      </c>
      <c r="F1196">
        <v>11295858</v>
      </c>
      <c r="G1196">
        <v>2.0299999999999998</v>
      </c>
      <c r="H1196" t="s">
        <v>10</v>
      </c>
      <c r="I1196" t="s">
        <v>11</v>
      </c>
    </row>
    <row r="1197" spans="1:9" hidden="1" x14ac:dyDescent="0.25">
      <c r="A1197" t="s">
        <v>8</v>
      </c>
      <c r="B1197" t="s">
        <v>56</v>
      </c>
      <c r="C1197">
        <v>202308</v>
      </c>
      <c r="D1197" t="str">
        <f t="shared" si="18"/>
        <v>2023</v>
      </c>
      <c r="E1197">
        <v>260712</v>
      </c>
      <c r="F1197">
        <v>11295858</v>
      </c>
      <c r="G1197">
        <v>2.31</v>
      </c>
      <c r="H1197" t="s">
        <v>10</v>
      </c>
      <c r="I1197" t="s">
        <v>11</v>
      </c>
    </row>
    <row r="1198" spans="1:9" hidden="1" x14ac:dyDescent="0.25">
      <c r="A1198" t="s">
        <v>8</v>
      </c>
      <c r="B1198" t="s">
        <v>56</v>
      </c>
      <c r="C1198">
        <v>202309</v>
      </c>
      <c r="D1198" t="str">
        <f t="shared" si="18"/>
        <v>2023</v>
      </c>
      <c r="E1198">
        <v>244404</v>
      </c>
      <c r="F1198">
        <v>11295858</v>
      </c>
      <c r="G1198">
        <v>2.16</v>
      </c>
      <c r="H1198" t="s">
        <v>10</v>
      </c>
      <c r="I1198" t="s">
        <v>11</v>
      </c>
    </row>
    <row r="1199" spans="1:9" hidden="1" x14ac:dyDescent="0.25">
      <c r="A1199" t="s">
        <v>8</v>
      </c>
      <c r="B1199" t="s">
        <v>56</v>
      </c>
      <c r="C1199">
        <v>202310</v>
      </c>
      <c r="D1199" t="str">
        <f t="shared" si="18"/>
        <v>2023</v>
      </c>
      <c r="E1199">
        <v>267939</v>
      </c>
      <c r="F1199">
        <v>11295858</v>
      </c>
      <c r="G1199">
        <v>2.37</v>
      </c>
      <c r="H1199" t="s">
        <v>10</v>
      </c>
      <c r="I1199" t="s">
        <v>11</v>
      </c>
    </row>
    <row r="1200" spans="1:9" hidden="1" x14ac:dyDescent="0.25">
      <c r="A1200" t="s">
        <v>8</v>
      </c>
      <c r="B1200" t="s">
        <v>56</v>
      </c>
      <c r="C1200">
        <v>202311</v>
      </c>
      <c r="D1200" t="str">
        <f t="shared" si="18"/>
        <v>2023</v>
      </c>
      <c r="E1200">
        <v>250829</v>
      </c>
      <c r="F1200">
        <v>11295858</v>
      </c>
      <c r="G1200">
        <v>2.2200000000000002</v>
      </c>
      <c r="H1200" t="s">
        <v>10</v>
      </c>
      <c r="I1200" t="s">
        <v>11</v>
      </c>
    </row>
    <row r="1201" spans="1:9" hidden="1" x14ac:dyDescent="0.25">
      <c r="A1201" t="s">
        <v>8</v>
      </c>
      <c r="B1201" t="s">
        <v>56</v>
      </c>
      <c r="C1201">
        <v>202312</v>
      </c>
      <c r="D1201" t="str">
        <f t="shared" si="18"/>
        <v>2023</v>
      </c>
      <c r="E1201">
        <v>240199</v>
      </c>
      <c r="F1201">
        <v>11295858</v>
      </c>
      <c r="G1201">
        <v>2.13</v>
      </c>
      <c r="H1201" t="s">
        <v>10</v>
      </c>
      <c r="I1201" t="s">
        <v>11</v>
      </c>
    </row>
    <row r="1202" spans="1:9" hidden="1" x14ac:dyDescent="0.25">
      <c r="A1202" t="s">
        <v>8</v>
      </c>
      <c r="B1202" t="s">
        <v>56</v>
      </c>
      <c r="C1202">
        <v>202401</v>
      </c>
      <c r="D1202" t="str">
        <f t="shared" si="18"/>
        <v>2024</v>
      </c>
      <c r="E1202">
        <v>391485</v>
      </c>
      <c r="F1202">
        <v>11295858</v>
      </c>
      <c r="G1202">
        <v>3.47</v>
      </c>
      <c r="H1202" t="s">
        <v>10</v>
      </c>
      <c r="I1202" t="s">
        <v>11</v>
      </c>
    </row>
    <row r="1203" spans="1:9" hidden="1" x14ac:dyDescent="0.25">
      <c r="A1203" t="s">
        <v>8</v>
      </c>
      <c r="B1203" t="s">
        <v>56</v>
      </c>
      <c r="C1203">
        <v>202402</v>
      </c>
      <c r="D1203" t="str">
        <f t="shared" si="18"/>
        <v>2024</v>
      </c>
      <c r="E1203">
        <v>400265</v>
      </c>
      <c r="F1203">
        <v>11295858</v>
      </c>
      <c r="G1203">
        <v>3.54</v>
      </c>
      <c r="H1203" t="s">
        <v>10</v>
      </c>
      <c r="I1203" t="s">
        <v>11</v>
      </c>
    </row>
    <row r="1204" spans="1:9" hidden="1" x14ac:dyDescent="0.25">
      <c r="A1204" t="s">
        <v>8</v>
      </c>
      <c r="B1204" t="s">
        <v>56</v>
      </c>
      <c r="C1204">
        <v>202403</v>
      </c>
      <c r="D1204" t="str">
        <f t="shared" si="18"/>
        <v>2024</v>
      </c>
      <c r="E1204">
        <v>406139</v>
      </c>
      <c r="F1204">
        <v>11295858</v>
      </c>
      <c r="G1204">
        <v>3.6</v>
      </c>
      <c r="H1204" t="s">
        <v>10</v>
      </c>
      <c r="I1204" t="s">
        <v>11</v>
      </c>
    </row>
    <row r="1205" spans="1:9" hidden="1" x14ac:dyDescent="0.25">
      <c r="A1205" t="s">
        <v>8</v>
      </c>
      <c r="B1205" t="s">
        <v>56</v>
      </c>
      <c r="C1205">
        <v>202404</v>
      </c>
      <c r="D1205" t="str">
        <f t="shared" si="18"/>
        <v>2024</v>
      </c>
      <c r="E1205">
        <v>439660</v>
      </c>
      <c r="F1205">
        <v>11295858</v>
      </c>
      <c r="G1205">
        <v>3.89</v>
      </c>
      <c r="H1205" t="s">
        <v>10</v>
      </c>
      <c r="I1205" t="s">
        <v>11</v>
      </c>
    </row>
    <row r="1206" spans="1:9" hidden="1" x14ac:dyDescent="0.25">
      <c r="A1206" t="s">
        <v>8</v>
      </c>
      <c r="B1206" t="s">
        <v>56</v>
      </c>
      <c r="C1206">
        <v>202405</v>
      </c>
      <c r="D1206" t="str">
        <f t="shared" si="18"/>
        <v>2024</v>
      </c>
      <c r="E1206">
        <v>389903</v>
      </c>
      <c r="F1206">
        <v>11295858</v>
      </c>
      <c r="G1206">
        <v>3.45</v>
      </c>
      <c r="H1206" t="s">
        <v>10</v>
      </c>
      <c r="I1206" t="s">
        <v>11</v>
      </c>
    </row>
    <row r="1207" spans="1:9" hidden="1" x14ac:dyDescent="0.25">
      <c r="A1207" t="s">
        <v>8</v>
      </c>
      <c r="B1207" t="s">
        <v>56</v>
      </c>
      <c r="C1207">
        <v>202406</v>
      </c>
      <c r="D1207" t="str">
        <f t="shared" si="18"/>
        <v>2024</v>
      </c>
      <c r="E1207">
        <v>365773</v>
      </c>
      <c r="F1207">
        <v>11295858</v>
      </c>
      <c r="G1207">
        <v>3.24</v>
      </c>
      <c r="H1207" t="s">
        <v>10</v>
      </c>
      <c r="I1207" t="s">
        <v>11</v>
      </c>
    </row>
    <row r="1208" spans="1:9" hidden="1" x14ac:dyDescent="0.25">
      <c r="A1208" t="s">
        <v>8</v>
      </c>
      <c r="B1208" t="s">
        <v>56</v>
      </c>
      <c r="C1208">
        <v>202407</v>
      </c>
      <c r="D1208" t="str">
        <f t="shared" si="18"/>
        <v>2024</v>
      </c>
      <c r="E1208">
        <v>376283</v>
      </c>
      <c r="F1208">
        <v>11295858</v>
      </c>
      <c r="G1208">
        <v>3.33</v>
      </c>
      <c r="H1208" t="s">
        <v>10</v>
      </c>
      <c r="I1208" t="s">
        <v>11</v>
      </c>
    </row>
    <row r="1209" spans="1:9" hidden="1" x14ac:dyDescent="0.25">
      <c r="A1209" t="s">
        <v>8</v>
      </c>
      <c r="B1209" t="s">
        <v>56</v>
      </c>
      <c r="C1209">
        <v>202408</v>
      </c>
      <c r="D1209" t="str">
        <f t="shared" si="18"/>
        <v>2024</v>
      </c>
      <c r="E1209">
        <v>376494</v>
      </c>
      <c r="F1209">
        <v>11295858</v>
      </c>
      <c r="G1209">
        <v>3.33</v>
      </c>
      <c r="H1209" t="s">
        <v>10</v>
      </c>
      <c r="I1209" t="s">
        <v>11</v>
      </c>
    </row>
    <row r="1210" spans="1:9" hidden="1" x14ac:dyDescent="0.25">
      <c r="A1210" t="s">
        <v>8</v>
      </c>
      <c r="B1210" t="s">
        <v>56</v>
      </c>
      <c r="C1210">
        <v>202409</v>
      </c>
      <c r="D1210" t="str">
        <f t="shared" si="18"/>
        <v>2024</v>
      </c>
      <c r="E1210">
        <v>364013</v>
      </c>
      <c r="F1210">
        <v>11295858</v>
      </c>
      <c r="G1210">
        <v>3.22</v>
      </c>
      <c r="H1210" t="s">
        <v>10</v>
      </c>
      <c r="I1210" t="s">
        <v>11</v>
      </c>
    </row>
    <row r="1211" spans="1:9" hidden="1" x14ac:dyDescent="0.25">
      <c r="A1211" t="s">
        <v>8</v>
      </c>
      <c r="B1211" t="s">
        <v>56</v>
      </c>
      <c r="C1211">
        <v>202410</v>
      </c>
      <c r="D1211" t="str">
        <f t="shared" si="18"/>
        <v>2024</v>
      </c>
      <c r="E1211">
        <v>396173</v>
      </c>
      <c r="F1211">
        <v>11295858</v>
      </c>
      <c r="G1211">
        <v>3.51</v>
      </c>
      <c r="H1211" t="s">
        <v>10</v>
      </c>
      <c r="I1211" t="s">
        <v>11</v>
      </c>
    </row>
    <row r="1212" spans="1:9" hidden="1" x14ac:dyDescent="0.25">
      <c r="A1212" t="s">
        <v>8</v>
      </c>
      <c r="B1212" t="s">
        <v>56</v>
      </c>
      <c r="C1212">
        <v>202411</v>
      </c>
      <c r="D1212" t="str">
        <f t="shared" si="18"/>
        <v>2024</v>
      </c>
      <c r="E1212">
        <v>312205</v>
      </c>
      <c r="F1212">
        <v>11295858</v>
      </c>
      <c r="G1212">
        <v>2.76</v>
      </c>
      <c r="H1212" t="s">
        <v>10</v>
      </c>
      <c r="I1212" t="s">
        <v>11</v>
      </c>
    </row>
    <row r="1213" spans="1:9" hidden="1" x14ac:dyDescent="0.25">
      <c r="A1213" t="s">
        <v>8</v>
      </c>
      <c r="B1213" t="s">
        <v>56</v>
      </c>
      <c r="C1213">
        <v>202412</v>
      </c>
      <c r="D1213" t="str">
        <f t="shared" si="18"/>
        <v>2024</v>
      </c>
      <c r="E1213">
        <v>75563</v>
      </c>
      <c r="F1213">
        <v>11295858</v>
      </c>
      <c r="G1213">
        <v>0.67</v>
      </c>
      <c r="H1213" t="s">
        <v>10</v>
      </c>
      <c r="I1213" t="s">
        <v>11</v>
      </c>
    </row>
    <row r="1214" spans="1:9" hidden="1" x14ac:dyDescent="0.25">
      <c r="A1214" t="s">
        <v>8</v>
      </c>
      <c r="B1214" t="s">
        <v>15</v>
      </c>
      <c r="C1214">
        <v>201710</v>
      </c>
      <c r="D1214" t="str">
        <f t="shared" si="18"/>
        <v>2017</v>
      </c>
      <c r="E1214">
        <v>1</v>
      </c>
      <c r="F1214">
        <v>11763491</v>
      </c>
      <c r="G1214">
        <v>0</v>
      </c>
      <c r="H1214" t="s">
        <v>10</v>
      </c>
      <c r="I1214" t="s">
        <v>11</v>
      </c>
    </row>
    <row r="1215" spans="1:9" hidden="1" x14ac:dyDescent="0.25">
      <c r="A1215" t="s">
        <v>8</v>
      </c>
      <c r="B1215" t="s">
        <v>15</v>
      </c>
      <c r="C1215">
        <v>201804</v>
      </c>
      <c r="D1215" t="str">
        <f t="shared" si="18"/>
        <v>2018</v>
      </c>
      <c r="E1215">
        <v>9</v>
      </c>
      <c r="F1215">
        <v>11763491</v>
      </c>
      <c r="G1215">
        <v>0</v>
      </c>
      <c r="H1215" t="s">
        <v>10</v>
      </c>
      <c r="I1215" t="s">
        <v>11</v>
      </c>
    </row>
    <row r="1216" spans="1:9" hidden="1" x14ac:dyDescent="0.25">
      <c r="A1216" t="s">
        <v>8</v>
      </c>
      <c r="B1216" t="s">
        <v>15</v>
      </c>
      <c r="C1216">
        <v>201805</v>
      </c>
      <c r="D1216" t="str">
        <f t="shared" si="18"/>
        <v>2018</v>
      </c>
      <c r="E1216">
        <v>8</v>
      </c>
      <c r="F1216">
        <v>11763491</v>
      </c>
      <c r="G1216">
        <v>0</v>
      </c>
      <c r="H1216" t="s">
        <v>10</v>
      </c>
      <c r="I1216" t="s">
        <v>11</v>
      </c>
    </row>
    <row r="1217" spans="1:9" hidden="1" x14ac:dyDescent="0.25">
      <c r="A1217" t="s">
        <v>8</v>
      </c>
      <c r="B1217" t="s">
        <v>15</v>
      </c>
      <c r="C1217">
        <v>201806</v>
      </c>
      <c r="D1217" t="str">
        <f t="shared" si="18"/>
        <v>2018</v>
      </c>
      <c r="E1217">
        <v>6</v>
      </c>
      <c r="F1217">
        <v>11763491</v>
      </c>
      <c r="G1217">
        <v>0</v>
      </c>
      <c r="H1217" t="s">
        <v>10</v>
      </c>
      <c r="I1217" t="s">
        <v>11</v>
      </c>
    </row>
    <row r="1218" spans="1:9" hidden="1" x14ac:dyDescent="0.25">
      <c r="A1218" t="s">
        <v>8</v>
      </c>
      <c r="B1218" t="s">
        <v>15</v>
      </c>
      <c r="C1218">
        <v>201807</v>
      </c>
      <c r="D1218" t="str">
        <f t="shared" si="18"/>
        <v>2018</v>
      </c>
      <c r="E1218">
        <v>10</v>
      </c>
      <c r="F1218">
        <v>11763491</v>
      </c>
      <c r="G1218">
        <v>0</v>
      </c>
      <c r="H1218" t="s">
        <v>10</v>
      </c>
      <c r="I1218" t="s">
        <v>11</v>
      </c>
    </row>
    <row r="1219" spans="1:9" hidden="1" x14ac:dyDescent="0.25">
      <c r="A1219" t="s">
        <v>8</v>
      </c>
      <c r="B1219" t="s">
        <v>15</v>
      </c>
      <c r="C1219">
        <v>201808</v>
      </c>
      <c r="D1219" t="str">
        <f t="shared" ref="D1219:D1282" si="19">LEFT(C1219,4)</f>
        <v>2018</v>
      </c>
      <c r="E1219">
        <v>67</v>
      </c>
      <c r="F1219">
        <v>11763491</v>
      </c>
      <c r="G1219">
        <v>0</v>
      </c>
      <c r="H1219" t="s">
        <v>10</v>
      </c>
      <c r="I1219" t="s">
        <v>11</v>
      </c>
    </row>
    <row r="1220" spans="1:9" hidden="1" x14ac:dyDescent="0.25">
      <c r="A1220" t="s">
        <v>8</v>
      </c>
      <c r="B1220" t="s">
        <v>15</v>
      </c>
      <c r="C1220">
        <v>201809</v>
      </c>
      <c r="D1220" t="str">
        <f t="shared" si="19"/>
        <v>2018</v>
      </c>
      <c r="E1220">
        <v>30</v>
      </c>
      <c r="F1220">
        <v>11763491</v>
      </c>
      <c r="G1220">
        <v>0</v>
      </c>
      <c r="H1220" t="s">
        <v>10</v>
      </c>
      <c r="I1220" t="s">
        <v>11</v>
      </c>
    </row>
    <row r="1221" spans="1:9" hidden="1" x14ac:dyDescent="0.25">
      <c r="A1221" t="s">
        <v>8</v>
      </c>
      <c r="B1221" t="s">
        <v>15</v>
      </c>
      <c r="C1221">
        <v>201810</v>
      </c>
      <c r="D1221" t="str">
        <f t="shared" si="19"/>
        <v>2018</v>
      </c>
      <c r="E1221">
        <v>5</v>
      </c>
      <c r="F1221">
        <v>11763491</v>
      </c>
      <c r="G1221">
        <v>0</v>
      </c>
      <c r="H1221" t="s">
        <v>10</v>
      </c>
      <c r="I1221" t="s">
        <v>11</v>
      </c>
    </row>
    <row r="1222" spans="1:9" hidden="1" x14ac:dyDescent="0.25">
      <c r="A1222" t="s">
        <v>8</v>
      </c>
      <c r="B1222" t="s">
        <v>15</v>
      </c>
      <c r="C1222">
        <v>201812</v>
      </c>
      <c r="D1222" t="str">
        <f t="shared" si="19"/>
        <v>2018</v>
      </c>
      <c r="E1222">
        <v>2</v>
      </c>
      <c r="F1222">
        <v>11763491</v>
      </c>
      <c r="G1222">
        <v>0</v>
      </c>
      <c r="H1222" t="s">
        <v>10</v>
      </c>
      <c r="I1222" t="s">
        <v>11</v>
      </c>
    </row>
    <row r="1223" spans="1:9" hidden="1" x14ac:dyDescent="0.25">
      <c r="A1223" t="s">
        <v>8</v>
      </c>
      <c r="B1223" t="s">
        <v>15</v>
      </c>
      <c r="C1223">
        <v>201901</v>
      </c>
      <c r="D1223" t="str">
        <f t="shared" si="19"/>
        <v>2019</v>
      </c>
      <c r="E1223">
        <v>639</v>
      </c>
      <c r="F1223">
        <v>11763491</v>
      </c>
      <c r="G1223">
        <v>0.01</v>
      </c>
      <c r="H1223" t="s">
        <v>10</v>
      </c>
      <c r="I1223" t="s">
        <v>11</v>
      </c>
    </row>
    <row r="1224" spans="1:9" hidden="1" x14ac:dyDescent="0.25">
      <c r="A1224" t="s">
        <v>8</v>
      </c>
      <c r="B1224" t="s">
        <v>15</v>
      </c>
      <c r="C1224">
        <v>201902</v>
      </c>
      <c r="D1224" t="str">
        <f t="shared" si="19"/>
        <v>2019</v>
      </c>
      <c r="E1224">
        <v>451</v>
      </c>
      <c r="F1224">
        <v>11763491</v>
      </c>
      <c r="G1224">
        <v>0</v>
      </c>
      <c r="H1224" t="s">
        <v>10</v>
      </c>
      <c r="I1224" t="s">
        <v>11</v>
      </c>
    </row>
    <row r="1225" spans="1:9" hidden="1" x14ac:dyDescent="0.25">
      <c r="A1225" t="s">
        <v>8</v>
      </c>
      <c r="B1225" t="s">
        <v>15</v>
      </c>
      <c r="C1225">
        <v>201903</v>
      </c>
      <c r="D1225" t="str">
        <f t="shared" si="19"/>
        <v>2019</v>
      </c>
      <c r="E1225">
        <v>602</v>
      </c>
      <c r="F1225">
        <v>11763491</v>
      </c>
      <c r="G1225">
        <v>0.01</v>
      </c>
      <c r="H1225" t="s">
        <v>10</v>
      </c>
      <c r="I1225" t="s">
        <v>11</v>
      </c>
    </row>
    <row r="1226" spans="1:9" hidden="1" x14ac:dyDescent="0.25">
      <c r="A1226" t="s">
        <v>8</v>
      </c>
      <c r="B1226" t="s">
        <v>15</v>
      </c>
      <c r="C1226">
        <v>201904</v>
      </c>
      <c r="D1226" t="str">
        <f t="shared" si="19"/>
        <v>2019</v>
      </c>
      <c r="E1226">
        <v>711</v>
      </c>
      <c r="F1226">
        <v>11763491</v>
      </c>
      <c r="G1226">
        <v>0.01</v>
      </c>
      <c r="H1226" t="s">
        <v>10</v>
      </c>
      <c r="I1226" t="s">
        <v>11</v>
      </c>
    </row>
    <row r="1227" spans="1:9" hidden="1" x14ac:dyDescent="0.25">
      <c r="A1227" t="s">
        <v>8</v>
      </c>
      <c r="B1227" t="s">
        <v>15</v>
      </c>
      <c r="C1227">
        <v>201905</v>
      </c>
      <c r="D1227" t="str">
        <f t="shared" si="19"/>
        <v>2019</v>
      </c>
      <c r="E1227">
        <v>552</v>
      </c>
      <c r="F1227">
        <v>11763491</v>
      </c>
      <c r="G1227">
        <v>0</v>
      </c>
      <c r="H1227" t="s">
        <v>10</v>
      </c>
      <c r="I1227" t="s">
        <v>11</v>
      </c>
    </row>
    <row r="1228" spans="1:9" hidden="1" x14ac:dyDescent="0.25">
      <c r="A1228" t="s">
        <v>8</v>
      </c>
      <c r="B1228" t="s">
        <v>15</v>
      </c>
      <c r="C1228">
        <v>201906</v>
      </c>
      <c r="D1228" t="str">
        <f t="shared" si="19"/>
        <v>2019</v>
      </c>
      <c r="E1228">
        <v>630</v>
      </c>
      <c r="F1228">
        <v>11763491</v>
      </c>
      <c r="G1228">
        <v>0.01</v>
      </c>
      <c r="H1228" t="s">
        <v>10</v>
      </c>
      <c r="I1228" t="s">
        <v>11</v>
      </c>
    </row>
    <row r="1229" spans="1:9" hidden="1" x14ac:dyDescent="0.25">
      <c r="A1229" t="s">
        <v>8</v>
      </c>
      <c r="B1229" t="s">
        <v>15</v>
      </c>
      <c r="C1229">
        <v>201907</v>
      </c>
      <c r="D1229" t="str">
        <f t="shared" si="19"/>
        <v>2019</v>
      </c>
      <c r="E1229">
        <v>547</v>
      </c>
      <c r="F1229">
        <v>11763491</v>
      </c>
      <c r="G1229">
        <v>0</v>
      </c>
      <c r="H1229" t="s">
        <v>10</v>
      </c>
      <c r="I1229" t="s">
        <v>11</v>
      </c>
    </row>
    <row r="1230" spans="1:9" hidden="1" x14ac:dyDescent="0.25">
      <c r="A1230" t="s">
        <v>8</v>
      </c>
      <c r="B1230" t="s">
        <v>15</v>
      </c>
      <c r="C1230">
        <v>201908</v>
      </c>
      <c r="D1230" t="str">
        <f t="shared" si="19"/>
        <v>2019</v>
      </c>
      <c r="E1230">
        <v>604</v>
      </c>
      <c r="F1230">
        <v>11763491</v>
      </c>
      <c r="G1230">
        <v>0.01</v>
      </c>
      <c r="H1230" t="s">
        <v>10</v>
      </c>
      <c r="I1230" t="s">
        <v>11</v>
      </c>
    </row>
    <row r="1231" spans="1:9" hidden="1" x14ac:dyDescent="0.25">
      <c r="A1231" t="s">
        <v>8</v>
      </c>
      <c r="B1231" t="s">
        <v>15</v>
      </c>
      <c r="C1231">
        <v>201909</v>
      </c>
      <c r="D1231" t="str">
        <f t="shared" si="19"/>
        <v>2019</v>
      </c>
      <c r="E1231">
        <v>399</v>
      </c>
      <c r="F1231">
        <v>11763491</v>
      </c>
      <c r="G1231">
        <v>0</v>
      </c>
      <c r="H1231" t="s">
        <v>10</v>
      </c>
      <c r="I1231" t="s">
        <v>11</v>
      </c>
    </row>
    <row r="1232" spans="1:9" hidden="1" x14ac:dyDescent="0.25">
      <c r="A1232" t="s">
        <v>8</v>
      </c>
      <c r="B1232" t="s">
        <v>15</v>
      </c>
      <c r="C1232">
        <v>201910</v>
      </c>
      <c r="D1232" t="str">
        <f t="shared" si="19"/>
        <v>2019</v>
      </c>
      <c r="E1232">
        <v>527</v>
      </c>
      <c r="F1232">
        <v>11763491</v>
      </c>
      <c r="G1232">
        <v>0</v>
      </c>
      <c r="H1232" t="s">
        <v>10</v>
      </c>
      <c r="I1232" t="s">
        <v>11</v>
      </c>
    </row>
    <row r="1233" spans="1:9" hidden="1" x14ac:dyDescent="0.25">
      <c r="A1233" t="s">
        <v>8</v>
      </c>
      <c r="B1233" t="s">
        <v>15</v>
      </c>
      <c r="C1233">
        <v>201911</v>
      </c>
      <c r="D1233" t="str">
        <f t="shared" si="19"/>
        <v>2019</v>
      </c>
      <c r="E1233">
        <v>530</v>
      </c>
      <c r="F1233">
        <v>11763491</v>
      </c>
      <c r="G1233">
        <v>0</v>
      </c>
      <c r="H1233" t="s">
        <v>10</v>
      </c>
      <c r="I1233" t="s">
        <v>11</v>
      </c>
    </row>
    <row r="1234" spans="1:9" hidden="1" x14ac:dyDescent="0.25">
      <c r="A1234" t="s">
        <v>8</v>
      </c>
      <c r="B1234" t="s">
        <v>15</v>
      </c>
      <c r="C1234">
        <v>201912</v>
      </c>
      <c r="D1234" t="str">
        <f t="shared" si="19"/>
        <v>2019</v>
      </c>
      <c r="E1234">
        <v>481</v>
      </c>
      <c r="F1234">
        <v>11763491</v>
      </c>
      <c r="G1234">
        <v>0</v>
      </c>
      <c r="H1234" t="s">
        <v>10</v>
      </c>
      <c r="I1234" t="s">
        <v>11</v>
      </c>
    </row>
    <row r="1235" spans="1:9" hidden="1" x14ac:dyDescent="0.25">
      <c r="A1235" t="s">
        <v>8</v>
      </c>
      <c r="B1235" t="s">
        <v>15</v>
      </c>
      <c r="C1235">
        <v>202001</v>
      </c>
      <c r="D1235" t="str">
        <f t="shared" si="19"/>
        <v>2020</v>
      </c>
      <c r="E1235">
        <v>32486</v>
      </c>
      <c r="F1235">
        <v>11763491</v>
      </c>
      <c r="G1235">
        <v>0.28000000000000003</v>
      </c>
      <c r="H1235" t="s">
        <v>10</v>
      </c>
      <c r="I1235" t="s">
        <v>11</v>
      </c>
    </row>
    <row r="1236" spans="1:9" hidden="1" x14ac:dyDescent="0.25">
      <c r="A1236" t="s">
        <v>8</v>
      </c>
      <c r="B1236" t="s">
        <v>15</v>
      </c>
      <c r="C1236">
        <v>202002</v>
      </c>
      <c r="D1236" t="str">
        <f t="shared" si="19"/>
        <v>2020</v>
      </c>
      <c r="E1236">
        <v>29349</v>
      </c>
      <c r="F1236">
        <v>11763491</v>
      </c>
      <c r="G1236">
        <v>0.25</v>
      </c>
      <c r="H1236" t="s">
        <v>10</v>
      </c>
      <c r="I1236" t="s">
        <v>11</v>
      </c>
    </row>
    <row r="1237" spans="1:9" hidden="1" x14ac:dyDescent="0.25">
      <c r="A1237" t="s">
        <v>8</v>
      </c>
      <c r="B1237" t="s">
        <v>15</v>
      </c>
      <c r="C1237">
        <v>202003</v>
      </c>
      <c r="D1237" t="str">
        <f t="shared" si="19"/>
        <v>2020</v>
      </c>
      <c r="E1237">
        <v>25101</v>
      </c>
      <c r="F1237">
        <v>11763491</v>
      </c>
      <c r="G1237">
        <v>0.21</v>
      </c>
      <c r="H1237" t="s">
        <v>10</v>
      </c>
      <c r="I1237" t="s">
        <v>11</v>
      </c>
    </row>
    <row r="1238" spans="1:9" hidden="1" x14ac:dyDescent="0.25">
      <c r="A1238" t="s">
        <v>8</v>
      </c>
      <c r="B1238" t="s">
        <v>15</v>
      </c>
      <c r="C1238">
        <v>202004</v>
      </c>
      <c r="D1238" t="str">
        <f t="shared" si="19"/>
        <v>2020</v>
      </c>
      <c r="E1238">
        <v>12860</v>
      </c>
      <c r="F1238">
        <v>11763491</v>
      </c>
      <c r="G1238">
        <v>0.11</v>
      </c>
      <c r="H1238" t="s">
        <v>10</v>
      </c>
      <c r="I1238" t="s">
        <v>11</v>
      </c>
    </row>
    <row r="1239" spans="1:9" hidden="1" x14ac:dyDescent="0.25">
      <c r="A1239" t="s">
        <v>8</v>
      </c>
      <c r="B1239" t="s">
        <v>15</v>
      </c>
      <c r="C1239">
        <v>202005</v>
      </c>
      <c r="D1239" t="str">
        <f t="shared" si="19"/>
        <v>2020</v>
      </c>
      <c r="E1239">
        <v>24965</v>
      </c>
      <c r="F1239">
        <v>11763491</v>
      </c>
      <c r="G1239">
        <v>0.21</v>
      </c>
      <c r="H1239" t="s">
        <v>10</v>
      </c>
      <c r="I1239" t="s">
        <v>11</v>
      </c>
    </row>
    <row r="1240" spans="1:9" hidden="1" x14ac:dyDescent="0.25">
      <c r="A1240" t="s">
        <v>8</v>
      </c>
      <c r="B1240" t="s">
        <v>15</v>
      </c>
      <c r="C1240">
        <v>202006</v>
      </c>
      <c r="D1240" t="str">
        <f t="shared" si="19"/>
        <v>2020</v>
      </c>
      <c r="E1240">
        <v>32625</v>
      </c>
      <c r="F1240">
        <v>11763491</v>
      </c>
      <c r="G1240">
        <v>0.28000000000000003</v>
      </c>
      <c r="H1240" t="s">
        <v>10</v>
      </c>
      <c r="I1240" t="s">
        <v>11</v>
      </c>
    </row>
    <row r="1241" spans="1:9" hidden="1" x14ac:dyDescent="0.25">
      <c r="A1241" t="s">
        <v>8</v>
      </c>
      <c r="B1241" t="s">
        <v>15</v>
      </c>
      <c r="C1241">
        <v>202007</v>
      </c>
      <c r="D1241" t="str">
        <f t="shared" si="19"/>
        <v>2020</v>
      </c>
      <c r="E1241">
        <v>22668</v>
      </c>
      <c r="F1241">
        <v>11763491</v>
      </c>
      <c r="G1241">
        <v>0.19</v>
      </c>
      <c r="H1241" t="s">
        <v>10</v>
      </c>
      <c r="I1241" t="s">
        <v>11</v>
      </c>
    </row>
    <row r="1242" spans="1:9" hidden="1" x14ac:dyDescent="0.25">
      <c r="A1242" t="s">
        <v>8</v>
      </c>
      <c r="B1242" t="s">
        <v>15</v>
      </c>
      <c r="C1242">
        <v>202008</v>
      </c>
      <c r="D1242" t="str">
        <f t="shared" si="19"/>
        <v>2020</v>
      </c>
      <c r="E1242">
        <v>21799</v>
      </c>
      <c r="F1242">
        <v>11763491</v>
      </c>
      <c r="G1242">
        <v>0.19</v>
      </c>
      <c r="H1242" t="s">
        <v>10</v>
      </c>
      <c r="I1242" t="s">
        <v>11</v>
      </c>
    </row>
    <row r="1243" spans="1:9" hidden="1" x14ac:dyDescent="0.25">
      <c r="A1243" t="s">
        <v>8</v>
      </c>
      <c r="B1243" t="s">
        <v>15</v>
      </c>
      <c r="C1243">
        <v>202009</v>
      </c>
      <c r="D1243" t="str">
        <f t="shared" si="19"/>
        <v>2020</v>
      </c>
      <c r="E1243">
        <v>24448</v>
      </c>
      <c r="F1243">
        <v>11763491</v>
      </c>
      <c r="G1243">
        <v>0.21</v>
      </c>
      <c r="H1243" t="s">
        <v>10</v>
      </c>
      <c r="I1243" t="s">
        <v>11</v>
      </c>
    </row>
    <row r="1244" spans="1:9" hidden="1" x14ac:dyDescent="0.25">
      <c r="A1244" t="s">
        <v>8</v>
      </c>
      <c r="B1244" t="s">
        <v>15</v>
      </c>
      <c r="C1244">
        <v>202010</v>
      </c>
      <c r="D1244" t="str">
        <f t="shared" si="19"/>
        <v>2020</v>
      </c>
      <c r="E1244">
        <v>23473</v>
      </c>
      <c r="F1244">
        <v>11763491</v>
      </c>
      <c r="G1244">
        <v>0.2</v>
      </c>
      <c r="H1244" t="s">
        <v>10</v>
      </c>
      <c r="I1244" t="s">
        <v>11</v>
      </c>
    </row>
    <row r="1245" spans="1:9" hidden="1" x14ac:dyDescent="0.25">
      <c r="A1245" t="s">
        <v>8</v>
      </c>
      <c r="B1245" t="s">
        <v>15</v>
      </c>
      <c r="C1245">
        <v>202011</v>
      </c>
      <c r="D1245" t="str">
        <f t="shared" si="19"/>
        <v>2020</v>
      </c>
      <c r="E1245">
        <v>19532</v>
      </c>
      <c r="F1245">
        <v>11763491</v>
      </c>
      <c r="G1245">
        <v>0.17</v>
      </c>
      <c r="H1245" t="s">
        <v>10</v>
      </c>
      <c r="I1245" t="s">
        <v>11</v>
      </c>
    </row>
    <row r="1246" spans="1:9" hidden="1" x14ac:dyDescent="0.25">
      <c r="A1246" t="s">
        <v>8</v>
      </c>
      <c r="B1246" t="s">
        <v>15</v>
      </c>
      <c r="C1246">
        <v>202012</v>
      </c>
      <c r="D1246" t="str">
        <f t="shared" si="19"/>
        <v>2020</v>
      </c>
      <c r="E1246">
        <v>21442</v>
      </c>
      <c r="F1246">
        <v>11763491</v>
      </c>
      <c r="G1246">
        <v>0.18</v>
      </c>
      <c r="H1246" t="s">
        <v>10</v>
      </c>
      <c r="I1246" t="s">
        <v>11</v>
      </c>
    </row>
    <row r="1247" spans="1:9" hidden="1" x14ac:dyDescent="0.25">
      <c r="A1247" t="s">
        <v>8</v>
      </c>
      <c r="B1247" t="s">
        <v>15</v>
      </c>
      <c r="C1247">
        <v>202101</v>
      </c>
      <c r="D1247" t="str">
        <f t="shared" si="19"/>
        <v>2021</v>
      </c>
      <c r="E1247">
        <v>56190</v>
      </c>
      <c r="F1247">
        <v>11763491</v>
      </c>
      <c r="G1247">
        <v>0.48</v>
      </c>
      <c r="H1247" t="s">
        <v>10</v>
      </c>
      <c r="I1247" t="s">
        <v>11</v>
      </c>
    </row>
    <row r="1248" spans="1:9" hidden="1" x14ac:dyDescent="0.25">
      <c r="A1248" t="s">
        <v>8</v>
      </c>
      <c r="B1248" t="s">
        <v>15</v>
      </c>
      <c r="C1248">
        <v>202102</v>
      </c>
      <c r="D1248" t="str">
        <f t="shared" si="19"/>
        <v>2021</v>
      </c>
      <c r="E1248">
        <v>40611</v>
      </c>
      <c r="F1248">
        <v>11763491</v>
      </c>
      <c r="G1248">
        <v>0.35</v>
      </c>
      <c r="H1248" t="s">
        <v>10</v>
      </c>
      <c r="I1248" t="s">
        <v>11</v>
      </c>
    </row>
    <row r="1249" spans="1:9" hidden="1" x14ac:dyDescent="0.25">
      <c r="A1249" t="s">
        <v>8</v>
      </c>
      <c r="B1249" t="s">
        <v>15</v>
      </c>
      <c r="C1249">
        <v>202103</v>
      </c>
      <c r="D1249" t="str">
        <f t="shared" si="19"/>
        <v>2021</v>
      </c>
      <c r="E1249">
        <v>50862</v>
      </c>
      <c r="F1249">
        <v>11763491</v>
      </c>
      <c r="G1249">
        <v>0.43</v>
      </c>
      <c r="H1249" t="s">
        <v>10</v>
      </c>
      <c r="I1249" t="s">
        <v>11</v>
      </c>
    </row>
    <row r="1250" spans="1:9" hidden="1" x14ac:dyDescent="0.25">
      <c r="A1250" t="s">
        <v>8</v>
      </c>
      <c r="B1250" t="s">
        <v>15</v>
      </c>
      <c r="C1250">
        <v>202104</v>
      </c>
      <c r="D1250" t="str">
        <f t="shared" si="19"/>
        <v>2021</v>
      </c>
      <c r="E1250">
        <v>47737</v>
      </c>
      <c r="F1250">
        <v>11763491</v>
      </c>
      <c r="G1250">
        <v>0.41</v>
      </c>
      <c r="H1250" t="s">
        <v>10</v>
      </c>
      <c r="I1250" t="s">
        <v>11</v>
      </c>
    </row>
    <row r="1251" spans="1:9" hidden="1" x14ac:dyDescent="0.25">
      <c r="A1251" t="s">
        <v>8</v>
      </c>
      <c r="B1251" t="s">
        <v>15</v>
      </c>
      <c r="C1251">
        <v>202105</v>
      </c>
      <c r="D1251" t="str">
        <f t="shared" si="19"/>
        <v>2021</v>
      </c>
      <c r="E1251">
        <v>44509</v>
      </c>
      <c r="F1251">
        <v>11763491</v>
      </c>
      <c r="G1251">
        <v>0.38</v>
      </c>
      <c r="H1251" t="s">
        <v>10</v>
      </c>
      <c r="I1251" t="s">
        <v>11</v>
      </c>
    </row>
    <row r="1252" spans="1:9" hidden="1" x14ac:dyDescent="0.25">
      <c r="A1252" t="s">
        <v>8</v>
      </c>
      <c r="B1252" t="s">
        <v>15</v>
      </c>
      <c r="C1252">
        <v>202106</v>
      </c>
      <c r="D1252" t="str">
        <f t="shared" si="19"/>
        <v>2021</v>
      </c>
      <c r="E1252">
        <v>49693</v>
      </c>
      <c r="F1252">
        <v>11763491</v>
      </c>
      <c r="G1252">
        <v>0.42</v>
      </c>
      <c r="H1252" t="s">
        <v>10</v>
      </c>
      <c r="I1252" t="s">
        <v>11</v>
      </c>
    </row>
    <row r="1253" spans="1:9" hidden="1" x14ac:dyDescent="0.25">
      <c r="A1253" t="s">
        <v>8</v>
      </c>
      <c r="B1253" t="s">
        <v>15</v>
      </c>
      <c r="C1253">
        <v>202107</v>
      </c>
      <c r="D1253" t="str">
        <f t="shared" si="19"/>
        <v>2021</v>
      </c>
      <c r="E1253">
        <v>104053</v>
      </c>
      <c r="F1253">
        <v>11763491</v>
      </c>
      <c r="G1253">
        <v>0.88</v>
      </c>
      <c r="H1253" t="s">
        <v>10</v>
      </c>
      <c r="I1253" t="s">
        <v>11</v>
      </c>
    </row>
    <row r="1254" spans="1:9" hidden="1" x14ac:dyDescent="0.25">
      <c r="A1254" t="s">
        <v>8</v>
      </c>
      <c r="B1254" t="s">
        <v>15</v>
      </c>
      <c r="C1254">
        <v>202108</v>
      </c>
      <c r="D1254" t="str">
        <f t="shared" si="19"/>
        <v>2021</v>
      </c>
      <c r="E1254">
        <v>107359</v>
      </c>
      <c r="F1254">
        <v>11763491</v>
      </c>
      <c r="G1254">
        <v>0.91</v>
      </c>
      <c r="H1254" t="s">
        <v>10</v>
      </c>
      <c r="I1254" t="s">
        <v>11</v>
      </c>
    </row>
    <row r="1255" spans="1:9" hidden="1" x14ac:dyDescent="0.25">
      <c r="A1255" t="s">
        <v>8</v>
      </c>
      <c r="B1255" t="s">
        <v>15</v>
      </c>
      <c r="C1255">
        <v>202109</v>
      </c>
      <c r="D1255" t="str">
        <f t="shared" si="19"/>
        <v>2021</v>
      </c>
      <c r="E1255">
        <v>117006</v>
      </c>
      <c r="F1255">
        <v>11763491</v>
      </c>
      <c r="G1255">
        <v>0.99</v>
      </c>
      <c r="H1255" t="s">
        <v>10</v>
      </c>
      <c r="I1255" t="s">
        <v>11</v>
      </c>
    </row>
    <row r="1256" spans="1:9" hidden="1" x14ac:dyDescent="0.25">
      <c r="A1256" t="s">
        <v>8</v>
      </c>
      <c r="B1256" t="s">
        <v>15</v>
      </c>
      <c r="C1256">
        <v>202110</v>
      </c>
      <c r="D1256" t="str">
        <f t="shared" si="19"/>
        <v>2021</v>
      </c>
      <c r="E1256">
        <v>122080</v>
      </c>
      <c r="F1256">
        <v>11763491</v>
      </c>
      <c r="G1256">
        <v>1.04</v>
      </c>
      <c r="H1256" t="s">
        <v>10</v>
      </c>
      <c r="I1256" t="s">
        <v>11</v>
      </c>
    </row>
    <row r="1257" spans="1:9" hidden="1" x14ac:dyDescent="0.25">
      <c r="A1257" t="s">
        <v>8</v>
      </c>
      <c r="B1257" t="s">
        <v>15</v>
      </c>
      <c r="C1257">
        <v>202111</v>
      </c>
      <c r="D1257" t="str">
        <f t="shared" si="19"/>
        <v>2021</v>
      </c>
      <c r="E1257">
        <v>123335</v>
      </c>
      <c r="F1257">
        <v>11763491</v>
      </c>
      <c r="G1257">
        <v>1.05</v>
      </c>
      <c r="H1257" t="s">
        <v>10</v>
      </c>
      <c r="I1257" t="s">
        <v>11</v>
      </c>
    </row>
    <row r="1258" spans="1:9" hidden="1" x14ac:dyDescent="0.25">
      <c r="A1258" t="s">
        <v>8</v>
      </c>
      <c r="B1258" t="s">
        <v>15</v>
      </c>
      <c r="C1258">
        <v>202112</v>
      </c>
      <c r="D1258" t="str">
        <f t="shared" si="19"/>
        <v>2021</v>
      </c>
      <c r="E1258">
        <v>124111</v>
      </c>
      <c r="F1258">
        <v>11763491</v>
      </c>
      <c r="G1258">
        <v>1.06</v>
      </c>
      <c r="H1258" t="s">
        <v>10</v>
      </c>
      <c r="I1258" t="s">
        <v>11</v>
      </c>
    </row>
    <row r="1259" spans="1:9" hidden="1" x14ac:dyDescent="0.25">
      <c r="A1259" t="s">
        <v>8</v>
      </c>
      <c r="B1259" t="s">
        <v>15</v>
      </c>
      <c r="C1259">
        <v>202201</v>
      </c>
      <c r="D1259" t="str">
        <f t="shared" si="19"/>
        <v>2022</v>
      </c>
      <c r="E1259">
        <v>99967</v>
      </c>
      <c r="F1259">
        <v>11763491</v>
      </c>
      <c r="G1259">
        <v>0.85</v>
      </c>
      <c r="H1259" t="s">
        <v>10</v>
      </c>
      <c r="I1259" t="s">
        <v>11</v>
      </c>
    </row>
    <row r="1260" spans="1:9" hidden="1" x14ac:dyDescent="0.25">
      <c r="A1260" t="s">
        <v>8</v>
      </c>
      <c r="B1260" t="s">
        <v>15</v>
      </c>
      <c r="C1260">
        <v>202202</v>
      </c>
      <c r="D1260" t="str">
        <f t="shared" si="19"/>
        <v>2022</v>
      </c>
      <c r="E1260">
        <v>103749</v>
      </c>
      <c r="F1260">
        <v>11763491</v>
      </c>
      <c r="G1260">
        <v>0.88</v>
      </c>
      <c r="H1260" t="s">
        <v>10</v>
      </c>
      <c r="I1260" t="s">
        <v>11</v>
      </c>
    </row>
    <row r="1261" spans="1:9" hidden="1" x14ac:dyDescent="0.25">
      <c r="A1261" t="s">
        <v>8</v>
      </c>
      <c r="B1261" t="s">
        <v>15</v>
      </c>
      <c r="C1261">
        <v>202203</v>
      </c>
      <c r="D1261" t="str">
        <f t="shared" si="19"/>
        <v>2022</v>
      </c>
      <c r="E1261">
        <v>245294</v>
      </c>
      <c r="F1261">
        <v>11763491</v>
      </c>
      <c r="G1261">
        <v>2.09</v>
      </c>
      <c r="H1261" t="s">
        <v>10</v>
      </c>
      <c r="I1261" t="s">
        <v>11</v>
      </c>
    </row>
    <row r="1262" spans="1:9" hidden="1" x14ac:dyDescent="0.25">
      <c r="A1262" t="s">
        <v>8</v>
      </c>
      <c r="B1262" t="s">
        <v>15</v>
      </c>
      <c r="C1262">
        <v>202204</v>
      </c>
      <c r="D1262" t="str">
        <f t="shared" si="19"/>
        <v>2022</v>
      </c>
      <c r="E1262">
        <v>216688</v>
      </c>
      <c r="F1262">
        <v>11763491</v>
      </c>
      <c r="G1262">
        <v>1.84</v>
      </c>
      <c r="H1262" t="s">
        <v>10</v>
      </c>
      <c r="I1262" t="s">
        <v>11</v>
      </c>
    </row>
    <row r="1263" spans="1:9" hidden="1" x14ac:dyDescent="0.25">
      <c r="A1263" t="s">
        <v>8</v>
      </c>
      <c r="B1263" t="s">
        <v>15</v>
      </c>
      <c r="C1263">
        <v>202205</v>
      </c>
      <c r="D1263" t="str">
        <f t="shared" si="19"/>
        <v>2022</v>
      </c>
      <c r="E1263">
        <v>218906</v>
      </c>
      <c r="F1263">
        <v>11763491</v>
      </c>
      <c r="G1263">
        <v>1.86</v>
      </c>
      <c r="H1263" t="s">
        <v>10</v>
      </c>
      <c r="I1263" t="s">
        <v>11</v>
      </c>
    </row>
    <row r="1264" spans="1:9" hidden="1" x14ac:dyDescent="0.25">
      <c r="A1264" t="s">
        <v>8</v>
      </c>
      <c r="B1264" t="s">
        <v>15</v>
      </c>
      <c r="C1264">
        <v>202206</v>
      </c>
      <c r="D1264" t="str">
        <f t="shared" si="19"/>
        <v>2022</v>
      </c>
      <c r="E1264">
        <v>226693</v>
      </c>
      <c r="F1264">
        <v>11763491</v>
      </c>
      <c r="G1264">
        <v>1.93</v>
      </c>
      <c r="H1264" t="s">
        <v>10</v>
      </c>
      <c r="I1264" t="s">
        <v>11</v>
      </c>
    </row>
    <row r="1265" spans="1:9" hidden="1" x14ac:dyDescent="0.25">
      <c r="A1265" t="s">
        <v>8</v>
      </c>
      <c r="B1265" t="s">
        <v>15</v>
      </c>
      <c r="C1265">
        <v>202207</v>
      </c>
      <c r="D1265" t="str">
        <f t="shared" si="19"/>
        <v>2022</v>
      </c>
      <c r="E1265">
        <v>210238</v>
      </c>
      <c r="F1265">
        <v>11763491</v>
      </c>
      <c r="G1265">
        <v>1.79</v>
      </c>
      <c r="H1265" t="s">
        <v>10</v>
      </c>
      <c r="I1265" t="s">
        <v>11</v>
      </c>
    </row>
    <row r="1266" spans="1:9" hidden="1" x14ac:dyDescent="0.25">
      <c r="A1266" t="s">
        <v>8</v>
      </c>
      <c r="B1266" t="s">
        <v>15</v>
      </c>
      <c r="C1266">
        <v>202208</v>
      </c>
      <c r="D1266" t="str">
        <f t="shared" si="19"/>
        <v>2022</v>
      </c>
      <c r="E1266">
        <v>233167</v>
      </c>
      <c r="F1266">
        <v>11763491</v>
      </c>
      <c r="G1266">
        <v>1.98</v>
      </c>
      <c r="H1266" t="s">
        <v>10</v>
      </c>
      <c r="I1266" t="s">
        <v>11</v>
      </c>
    </row>
    <row r="1267" spans="1:9" hidden="1" x14ac:dyDescent="0.25">
      <c r="A1267" t="s">
        <v>8</v>
      </c>
      <c r="B1267" t="s">
        <v>15</v>
      </c>
      <c r="C1267">
        <v>202209</v>
      </c>
      <c r="D1267" t="str">
        <f t="shared" si="19"/>
        <v>2022</v>
      </c>
      <c r="E1267">
        <v>217918</v>
      </c>
      <c r="F1267">
        <v>11763491</v>
      </c>
      <c r="G1267">
        <v>1.85</v>
      </c>
      <c r="H1267" t="s">
        <v>10</v>
      </c>
      <c r="I1267" t="s">
        <v>11</v>
      </c>
    </row>
    <row r="1268" spans="1:9" hidden="1" x14ac:dyDescent="0.25">
      <c r="A1268" t="s">
        <v>8</v>
      </c>
      <c r="B1268" t="s">
        <v>15</v>
      </c>
      <c r="C1268">
        <v>202210</v>
      </c>
      <c r="D1268" t="str">
        <f t="shared" si="19"/>
        <v>2022</v>
      </c>
      <c r="E1268">
        <v>221859</v>
      </c>
      <c r="F1268">
        <v>11763491</v>
      </c>
      <c r="G1268">
        <v>1.89</v>
      </c>
      <c r="H1268" t="s">
        <v>10</v>
      </c>
      <c r="I1268" t="s">
        <v>11</v>
      </c>
    </row>
    <row r="1269" spans="1:9" hidden="1" x14ac:dyDescent="0.25">
      <c r="A1269" t="s">
        <v>8</v>
      </c>
      <c r="B1269" t="s">
        <v>15</v>
      </c>
      <c r="C1269">
        <v>202211</v>
      </c>
      <c r="D1269" t="str">
        <f t="shared" si="19"/>
        <v>2022</v>
      </c>
      <c r="E1269">
        <v>218056</v>
      </c>
      <c r="F1269">
        <v>11763491</v>
      </c>
      <c r="G1269">
        <v>1.85</v>
      </c>
      <c r="H1269" t="s">
        <v>10</v>
      </c>
      <c r="I1269" t="s">
        <v>11</v>
      </c>
    </row>
    <row r="1270" spans="1:9" hidden="1" x14ac:dyDescent="0.25">
      <c r="A1270" t="s">
        <v>8</v>
      </c>
      <c r="B1270" t="s">
        <v>15</v>
      </c>
      <c r="C1270">
        <v>202212</v>
      </c>
      <c r="D1270" t="str">
        <f t="shared" si="19"/>
        <v>2022</v>
      </c>
      <c r="E1270">
        <v>204392</v>
      </c>
      <c r="F1270">
        <v>11763491</v>
      </c>
      <c r="G1270">
        <v>1.74</v>
      </c>
      <c r="H1270" t="s">
        <v>10</v>
      </c>
      <c r="I1270" t="s">
        <v>11</v>
      </c>
    </row>
    <row r="1271" spans="1:9" hidden="1" x14ac:dyDescent="0.25">
      <c r="A1271" t="s">
        <v>8</v>
      </c>
      <c r="B1271" t="s">
        <v>15</v>
      </c>
      <c r="C1271">
        <v>202301</v>
      </c>
      <c r="D1271" t="str">
        <f t="shared" si="19"/>
        <v>2023</v>
      </c>
      <c r="E1271">
        <v>261909</v>
      </c>
      <c r="F1271">
        <v>11763491</v>
      </c>
      <c r="G1271">
        <v>2.23</v>
      </c>
      <c r="H1271" t="s">
        <v>10</v>
      </c>
      <c r="I1271" t="s">
        <v>11</v>
      </c>
    </row>
    <row r="1272" spans="1:9" hidden="1" x14ac:dyDescent="0.25">
      <c r="A1272" t="s">
        <v>8</v>
      </c>
      <c r="B1272" t="s">
        <v>15</v>
      </c>
      <c r="C1272">
        <v>202302</v>
      </c>
      <c r="D1272" t="str">
        <f t="shared" si="19"/>
        <v>2023</v>
      </c>
      <c r="E1272">
        <v>254438</v>
      </c>
      <c r="F1272">
        <v>11763491</v>
      </c>
      <c r="G1272">
        <v>2.16</v>
      </c>
      <c r="H1272" t="s">
        <v>10</v>
      </c>
      <c r="I1272" t="s">
        <v>11</v>
      </c>
    </row>
    <row r="1273" spans="1:9" hidden="1" x14ac:dyDescent="0.25">
      <c r="A1273" t="s">
        <v>8</v>
      </c>
      <c r="B1273" t="s">
        <v>15</v>
      </c>
      <c r="C1273">
        <v>202303</v>
      </c>
      <c r="D1273" t="str">
        <f t="shared" si="19"/>
        <v>2023</v>
      </c>
      <c r="E1273">
        <v>283221</v>
      </c>
      <c r="F1273">
        <v>11763491</v>
      </c>
      <c r="G1273">
        <v>2.41</v>
      </c>
      <c r="H1273" t="s">
        <v>10</v>
      </c>
      <c r="I1273" t="s">
        <v>11</v>
      </c>
    </row>
    <row r="1274" spans="1:9" hidden="1" x14ac:dyDescent="0.25">
      <c r="A1274" t="s">
        <v>8</v>
      </c>
      <c r="B1274" t="s">
        <v>15</v>
      </c>
      <c r="C1274">
        <v>202304</v>
      </c>
      <c r="D1274" t="str">
        <f t="shared" si="19"/>
        <v>2023</v>
      </c>
      <c r="E1274">
        <v>256792</v>
      </c>
      <c r="F1274">
        <v>11763491</v>
      </c>
      <c r="G1274">
        <v>2.1800000000000002</v>
      </c>
      <c r="H1274" t="s">
        <v>10</v>
      </c>
      <c r="I1274" t="s">
        <v>11</v>
      </c>
    </row>
    <row r="1275" spans="1:9" hidden="1" x14ac:dyDescent="0.25">
      <c r="A1275" t="s">
        <v>8</v>
      </c>
      <c r="B1275" t="s">
        <v>15</v>
      </c>
      <c r="C1275">
        <v>202305</v>
      </c>
      <c r="D1275" t="str">
        <f t="shared" si="19"/>
        <v>2023</v>
      </c>
      <c r="E1275">
        <v>270121</v>
      </c>
      <c r="F1275">
        <v>11763491</v>
      </c>
      <c r="G1275">
        <v>2.2999999999999998</v>
      </c>
      <c r="H1275" t="s">
        <v>10</v>
      </c>
      <c r="I1275" t="s">
        <v>11</v>
      </c>
    </row>
    <row r="1276" spans="1:9" hidden="1" x14ac:dyDescent="0.25">
      <c r="A1276" t="s">
        <v>8</v>
      </c>
      <c r="B1276" t="s">
        <v>15</v>
      </c>
      <c r="C1276">
        <v>202306</v>
      </c>
      <c r="D1276" t="str">
        <f t="shared" si="19"/>
        <v>2023</v>
      </c>
      <c r="E1276">
        <v>264499</v>
      </c>
      <c r="F1276">
        <v>11763491</v>
      </c>
      <c r="G1276">
        <v>2.25</v>
      </c>
      <c r="H1276" t="s">
        <v>10</v>
      </c>
      <c r="I1276" t="s">
        <v>11</v>
      </c>
    </row>
    <row r="1277" spans="1:9" hidden="1" x14ac:dyDescent="0.25">
      <c r="A1277" t="s">
        <v>8</v>
      </c>
      <c r="B1277" t="s">
        <v>15</v>
      </c>
      <c r="C1277">
        <v>202307</v>
      </c>
      <c r="D1277" t="str">
        <f t="shared" si="19"/>
        <v>2023</v>
      </c>
      <c r="E1277">
        <v>246659</v>
      </c>
      <c r="F1277">
        <v>11763491</v>
      </c>
      <c r="G1277">
        <v>2.1</v>
      </c>
      <c r="H1277" t="s">
        <v>10</v>
      </c>
      <c r="I1277" t="s">
        <v>11</v>
      </c>
    </row>
    <row r="1278" spans="1:9" hidden="1" x14ac:dyDescent="0.25">
      <c r="A1278" t="s">
        <v>8</v>
      </c>
      <c r="B1278" t="s">
        <v>15</v>
      </c>
      <c r="C1278">
        <v>202308</v>
      </c>
      <c r="D1278" t="str">
        <f t="shared" si="19"/>
        <v>2023</v>
      </c>
      <c r="E1278">
        <v>280266</v>
      </c>
      <c r="F1278">
        <v>11763491</v>
      </c>
      <c r="G1278">
        <v>2.38</v>
      </c>
      <c r="H1278" t="s">
        <v>10</v>
      </c>
      <c r="I1278" t="s">
        <v>11</v>
      </c>
    </row>
    <row r="1279" spans="1:9" hidden="1" x14ac:dyDescent="0.25">
      <c r="A1279" t="s">
        <v>8</v>
      </c>
      <c r="B1279" t="s">
        <v>15</v>
      </c>
      <c r="C1279">
        <v>202309</v>
      </c>
      <c r="D1279" t="str">
        <f t="shared" si="19"/>
        <v>2023</v>
      </c>
      <c r="E1279">
        <v>262663</v>
      </c>
      <c r="F1279">
        <v>11763491</v>
      </c>
      <c r="G1279">
        <v>2.23</v>
      </c>
      <c r="H1279" t="s">
        <v>10</v>
      </c>
      <c r="I1279" t="s">
        <v>11</v>
      </c>
    </row>
    <row r="1280" spans="1:9" hidden="1" x14ac:dyDescent="0.25">
      <c r="A1280" t="s">
        <v>8</v>
      </c>
      <c r="B1280" t="s">
        <v>15</v>
      </c>
      <c r="C1280">
        <v>202310</v>
      </c>
      <c r="D1280" t="str">
        <f t="shared" si="19"/>
        <v>2023</v>
      </c>
      <c r="E1280">
        <v>285498</v>
      </c>
      <c r="F1280">
        <v>11763491</v>
      </c>
      <c r="G1280">
        <v>2.4300000000000002</v>
      </c>
      <c r="H1280" t="s">
        <v>10</v>
      </c>
      <c r="I1280" t="s">
        <v>11</v>
      </c>
    </row>
    <row r="1281" spans="1:9" hidden="1" x14ac:dyDescent="0.25">
      <c r="A1281" t="s">
        <v>8</v>
      </c>
      <c r="B1281" t="s">
        <v>15</v>
      </c>
      <c r="C1281">
        <v>202311</v>
      </c>
      <c r="D1281" t="str">
        <f t="shared" si="19"/>
        <v>2023</v>
      </c>
      <c r="E1281">
        <v>266920</v>
      </c>
      <c r="F1281">
        <v>11763491</v>
      </c>
      <c r="G1281">
        <v>2.27</v>
      </c>
      <c r="H1281" t="s">
        <v>10</v>
      </c>
      <c r="I1281" t="s">
        <v>11</v>
      </c>
    </row>
    <row r="1282" spans="1:9" hidden="1" x14ac:dyDescent="0.25">
      <c r="A1282" t="s">
        <v>8</v>
      </c>
      <c r="B1282" t="s">
        <v>15</v>
      </c>
      <c r="C1282">
        <v>202312</v>
      </c>
      <c r="D1282" t="str">
        <f t="shared" si="19"/>
        <v>2023</v>
      </c>
      <c r="E1282">
        <v>253768</v>
      </c>
      <c r="F1282">
        <v>11763491</v>
      </c>
      <c r="G1282">
        <v>2.16</v>
      </c>
      <c r="H1282" t="s">
        <v>10</v>
      </c>
      <c r="I1282" t="s">
        <v>11</v>
      </c>
    </row>
    <row r="1283" spans="1:9" hidden="1" x14ac:dyDescent="0.25">
      <c r="A1283" t="s">
        <v>8</v>
      </c>
      <c r="B1283" t="s">
        <v>15</v>
      </c>
      <c r="C1283">
        <v>202401</v>
      </c>
      <c r="D1283" t="str">
        <f t="shared" ref="D1283:D1346" si="20">LEFT(C1283,4)</f>
        <v>2024</v>
      </c>
      <c r="E1283">
        <v>417906</v>
      </c>
      <c r="F1283">
        <v>11763491</v>
      </c>
      <c r="G1283">
        <v>3.55</v>
      </c>
      <c r="H1283" t="s">
        <v>10</v>
      </c>
      <c r="I1283" t="s">
        <v>11</v>
      </c>
    </row>
    <row r="1284" spans="1:9" hidden="1" x14ac:dyDescent="0.25">
      <c r="A1284" t="s">
        <v>8</v>
      </c>
      <c r="B1284" t="s">
        <v>15</v>
      </c>
      <c r="C1284">
        <v>202402</v>
      </c>
      <c r="D1284" t="str">
        <f t="shared" si="20"/>
        <v>2024</v>
      </c>
      <c r="E1284">
        <v>429516</v>
      </c>
      <c r="F1284">
        <v>11763491</v>
      </c>
      <c r="G1284">
        <v>3.65</v>
      </c>
      <c r="H1284" t="s">
        <v>10</v>
      </c>
      <c r="I1284" t="s">
        <v>11</v>
      </c>
    </row>
    <row r="1285" spans="1:9" hidden="1" x14ac:dyDescent="0.25">
      <c r="A1285" t="s">
        <v>8</v>
      </c>
      <c r="B1285" t="s">
        <v>15</v>
      </c>
      <c r="C1285">
        <v>202403</v>
      </c>
      <c r="D1285" t="str">
        <f t="shared" si="20"/>
        <v>2024</v>
      </c>
      <c r="E1285">
        <v>430727</v>
      </c>
      <c r="F1285">
        <v>11763491</v>
      </c>
      <c r="G1285">
        <v>3.66</v>
      </c>
      <c r="H1285" t="s">
        <v>10</v>
      </c>
      <c r="I1285" t="s">
        <v>11</v>
      </c>
    </row>
    <row r="1286" spans="1:9" hidden="1" x14ac:dyDescent="0.25">
      <c r="A1286" t="s">
        <v>8</v>
      </c>
      <c r="B1286" t="s">
        <v>15</v>
      </c>
      <c r="C1286">
        <v>202404</v>
      </c>
      <c r="D1286" t="str">
        <f t="shared" si="20"/>
        <v>2024</v>
      </c>
      <c r="E1286">
        <v>461504</v>
      </c>
      <c r="F1286">
        <v>11763491</v>
      </c>
      <c r="G1286">
        <v>3.92</v>
      </c>
      <c r="H1286" t="s">
        <v>10</v>
      </c>
      <c r="I1286" t="s">
        <v>11</v>
      </c>
    </row>
    <row r="1287" spans="1:9" hidden="1" x14ac:dyDescent="0.25">
      <c r="A1287" t="s">
        <v>8</v>
      </c>
      <c r="B1287" t="s">
        <v>15</v>
      </c>
      <c r="C1287">
        <v>202405</v>
      </c>
      <c r="D1287" t="str">
        <f t="shared" si="20"/>
        <v>2024</v>
      </c>
      <c r="E1287">
        <v>388092</v>
      </c>
      <c r="F1287">
        <v>11763491</v>
      </c>
      <c r="G1287">
        <v>3.3</v>
      </c>
      <c r="H1287" t="s">
        <v>10</v>
      </c>
      <c r="I1287" t="s">
        <v>11</v>
      </c>
    </row>
    <row r="1288" spans="1:9" hidden="1" x14ac:dyDescent="0.25">
      <c r="A1288" t="s">
        <v>8</v>
      </c>
      <c r="B1288" t="s">
        <v>15</v>
      </c>
      <c r="C1288">
        <v>202406</v>
      </c>
      <c r="D1288" t="str">
        <f t="shared" si="20"/>
        <v>2024</v>
      </c>
      <c r="E1288">
        <v>364730</v>
      </c>
      <c r="F1288">
        <v>11763491</v>
      </c>
      <c r="G1288">
        <v>3.1</v>
      </c>
      <c r="H1288" t="s">
        <v>10</v>
      </c>
      <c r="I1288" t="s">
        <v>11</v>
      </c>
    </row>
    <row r="1289" spans="1:9" hidden="1" x14ac:dyDescent="0.25">
      <c r="A1289" t="s">
        <v>8</v>
      </c>
      <c r="B1289" t="s">
        <v>15</v>
      </c>
      <c r="C1289">
        <v>202407</v>
      </c>
      <c r="D1289" t="str">
        <f t="shared" si="20"/>
        <v>2024</v>
      </c>
      <c r="E1289">
        <v>379216</v>
      </c>
      <c r="F1289">
        <v>11763491</v>
      </c>
      <c r="G1289">
        <v>3.22</v>
      </c>
      <c r="H1289" t="s">
        <v>10</v>
      </c>
      <c r="I1289" t="s">
        <v>11</v>
      </c>
    </row>
    <row r="1290" spans="1:9" hidden="1" x14ac:dyDescent="0.25">
      <c r="A1290" t="s">
        <v>8</v>
      </c>
      <c r="B1290" t="s">
        <v>15</v>
      </c>
      <c r="C1290">
        <v>202408</v>
      </c>
      <c r="D1290" t="str">
        <f t="shared" si="20"/>
        <v>2024</v>
      </c>
      <c r="E1290">
        <v>407461</v>
      </c>
      <c r="F1290">
        <v>11763491</v>
      </c>
      <c r="G1290">
        <v>3.46</v>
      </c>
      <c r="H1290" t="s">
        <v>10</v>
      </c>
      <c r="I1290" t="s">
        <v>11</v>
      </c>
    </row>
    <row r="1291" spans="1:9" hidden="1" x14ac:dyDescent="0.25">
      <c r="A1291" t="s">
        <v>8</v>
      </c>
      <c r="B1291" t="s">
        <v>15</v>
      </c>
      <c r="C1291">
        <v>202409</v>
      </c>
      <c r="D1291" t="str">
        <f t="shared" si="20"/>
        <v>2024</v>
      </c>
      <c r="E1291">
        <v>394135</v>
      </c>
      <c r="F1291">
        <v>11763491</v>
      </c>
      <c r="G1291">
        <v>3.35</v>
      </c>
      <c r="H1291" t="s">
        <v>10</v>
      </c>
      <c r="I1291" t="s">
        <v>11</v>
      </c>
    </row>
    <row r="1292" spans="1:9" hidden="1" x14ac:dyDescent="0.25">
      <c r="A1292" t="s">
        <v>8</v>
      </c>
      <c r="B1292" t="s">
        <v>15</v>
      </c>
      <c r="C1292">
        <v>202410</v>
      </c>
      <c r="D1292" t="str">
        <f t="shared" si="20"/>
        <v>2024</v>
      </c>
      <c r="E1292">
        <v>432626</v>
      </c>
      <c r="F1292">
        <v>11763491</v>
      </c>
      <c r="G1292">
        <v>3.68</v>
      </c>
      <c r="H1292" t="s">
        <v>10</v>
      </c>
      <c r="I1292" t="s">
        <v>11</v>
      </c>
    </row>
    <row r="1293" spans="1:9" hidden="1" x14ac:dyDescent="0.25">
      <c r="A1293" t="s">
        <v>8</v>
      </c>
      <c r="B1293" t="s">
        <v>15</v>
      </c>
      <c r="C1293">
        <v>202411</v>
      </c>
      <c r="D1293" t="str">
        <f t="shared" si="20"/>
        <v>2024</v>
      </c>
      <c r="E1293">
        <v>375273</v>
      </c>
      <c r="F1293">
        <v>11763491</v>
      </c>
      <c r="G1293">
        <v>3.19</v>
      </c>
      <c r="H1293" t="s">
        <v>10</v>
      </c>
      <c r="I1293" t="s">
        <v>11</v>
      </c>
    </row>
    <row r="1294" spans="1:9" hidden="1" x14ac:dyDescent="0.25">
      <c r="A1294" t="s">
        <v>8</v>
      </c>
      <c r="B1294" t="s">
        <v>15</v>
      </c>
      <c r="C1294">
        <v>202412</v>
      </c>
      <c r="D1294" t="str">
        <f t="shared" si="20"/>
        <v>2024</v>
      </c>
      <c r="E1294">
        <v>355622</v>
      </c>
      <c r="F1294">
        <v>11763491</v>
      </c>
      <c r="G1294">
        <v>3.02</v>
      </c>
      <c r="H1294" t="s">
        <v>10</v>
      </c>
      <c r="I1294" t="s">
        <v>11</v>
      </c>
    </row>
    <row r="1295" spans="1:9" x14ac:dyDescent="0.25">
      <c r="A1295" t="s">
        <v>8</v>
      </c>
      <c r="B1295" t="s">
        <v>15</v>
      </c>
      <c r="C1295">
        <v>202501</v>
      </c>
      <c r="D1295" t="str">
        <f t="shared" si="20"/>
        <v>2025</v>
      </c>
      <c r="E1295">
        <v>37897</v>
      </c>
      <c r="F1295">
        <v>11763491</v>
      </c>
      <c r="G1295">
        <v>0.32</v>
      </c>
      <c r="H1295" t="s">
        <v>10</v>
      </c>
      <c r="I1295" t="s">
        <v>11</v>
      </c>
    </row>
    <row r="1296" spans="1:9" hidden="1" x14ac:dyDescent="0.25">
      <c r="A1296" t="s">
        <v>8</v>
      </c>
      <c r="B1296" t="s">
        <v>95</v>
      </c>
      <c r="C1296">
        <v>201710</v>
      </c>
      <c r="D1296" t="str">
        <f t="shared" si="20"/>
        <v>2017</v>
      </c>
      <c r="E1296">
        <v>1</v>
      </c>
      <c r="F1296">
        <v>10486618</v>
      </c>
      <c r="G1296">
        <v>0</v>
      </c>
      <c r="H1296" t="s">
        <v>10</v>
      </c>
      <c r="I1296" t="s">
        <v>11</v>
      </c>
    </row>
    <row r="1297" spans="1:9" hidden="1" x14ac:dyDescent="0.25">
      <c r="A1297" t="s">
        <v>8</v>
      </c>
      <c r="B1297" t="s">
        <v>95</v>
      </c>
      <c r="C1297">
        <v>201807</v>
      </c>
      <c r="D1297" t="str">
        <f t="shared" si="20"/>
        <v>2018</v>
      </c>
      <c r="E1297">
        <v>6</v>
      </c>
      <c r="F1297">
        <v>10486618</v>
      </c>
      <c r="G1297">
        <v>0</v>
      </c>
      <c r="H1297" t="s">
        <v>10</v>
      </c>
      <c r="I1297" t="s">
        <v>11</v>
      </c>
    </row>
    <row r="1298" spans="1:9" hidden="1" x14ac:dyDescent="0.25">
      <c r="A1298" t="s">
        <v>8</v>
      </c>
      <c r="B1298" t="s">
        <v>95</v>
      </c>
      <c r="C1298">
        <v>201808</v>
      </c>
      <c r="D1298" t="str">
        <f t="shared" si="20"/>
        <v>2018</v>
      </c>
      <c r="E1298">
        <v>17</v>
      </c>
      <c r="F1298">
        <v>10486618</v>
      </c>
      <c r="G1298">
        <v>0</v>
      </c>
      <c r="H1298" t="s">
        <v>10</v>
      </c>
      <c r="I1298" t="s">
        <v>11</v>
      </c>
    </row>
    <row r="1299" spans="1:9" hidden="1" x14ac:dyDescent="0.25">
      <c r="A1299" t="s">
        <v>8</v>
      </c>
      <c r="B1299" t="s">
        <v>95</v>
      </c>
      <c r="C1299">
        <v>201810</v>
      </c>
      <c r="D1299" t="str">
        <f t="shared" si="20"/>
        <v>2018</v>
      </c>
      <c r="E1299">
        <v>1</v>
      </c>
      <c r="F1299">
        <v>10486618</v>
      </c>
      <c r="G1299">
        <v>0</v>
      </c>
      <c r="H1299" t="s">
        <v>10</v>
      </c>
      <c r="I1299" t="s">
        <v>11</v>
      </c>
    </row>
    <row r="1300" spans="1:9" hidden="1" x14ac:dyDescent="0.25">
      <c r="A1300" t="s">
        <v>8</v>
      </c>
      <c r="B1300" t="s">
        <v>95</v>
      </c>
      <c r="C1300">
        <v>201812</v>
      </c>
      <c r="D1300" t="str">
        <f t="shared" si="20"/>
        <v>2018</v>
      </c>
      <c r="E1300">
        <v>2</v>
      </c>
      <c r="F1300">
        <v>10486618</v>
      </c>
      <c r="G1300">
        <v>0</v>
      </c>
      <c r="H1300" t="s">
        <v>10</v>
      </c>
      <c r="I1300" t="s">
        <v>11</v>
      </c>
    </row>
    <row r="1301" spans="1:9" hidden="1" x14ac:dyDescent="0.25">
      <c r="A1301" t="s">
        <v>8</v>
      </c>
      <c r="B1301" t="s">
        <v>95</v>
      </c>
      <c r="C1301">
        <v>201901</v>
      </c>
      <c r="D1301" t="str">
        <f t="shared" si="20"/>
        <v>2019</v>
      </c>
      <c r="E1301">
        <v>450</v>
      </c>
      <c r="F1301">
        <v>10486618</v>
      </c>
      <c r="G1301">
        <v>0</v>
      </c>
      <c r="H1301" t="s">
        <v>10</v>
      </c>
      <c r="I1301" t="s">
        <v>11</v>
      </c>
    </row>
    <row r="1302" spans="1:9" hidden="1" x14ac:dyDescent="0.25">
      <c r="A1302" t="s">
        <v>8</v>
      </c>
      <c r="B1302" t="s">
        <v>95</v>
      </c>
      <c r="C1302">
        <v>201902</v>
      </c>
      <c r="D1302" t="str">
        <f t="shared" si="20"/>
        <v>2019</v>
      </c>
      <c r="E1302">
        <v>330</v>
      </c>
      <c r="F1302">
        <v>10486618</v>
      </c>
      <c r="G1302">
        <v>0</v>
      </c>
      <c r="H1302" t="s">
        <v>10</v>
      </c>
      <c r="I1302" t="s">
        <v>11</v>
      </c>
    </row>
    <row r="1303" spans="1:9" hidden="1" x14ac:dyDescent="0.25">
      <c r="A1303" t="s">
        <v>8</v>
      </c>
      <c r="B1303" t="s">
        <v>95</v>
      </c>
      <c r="C1303">
        <v>201903</v>
      </c>
      <c r="D1303" t="str">
        <f t="shared" si="20"/>
        <v>2019</v>
      </c>
      <c r="E1303">
        <v>411</v>
      </c>
      <c r="F1303">
        <v>10486618</v>
      </c>
      <c r="G1303">
        <v>0</v>
      </c>
      <c r="H1303" t="s">
        <v>10</v>
      </c>
      <c r="I1303" t="s">
        <v>11</v>
      </c>
    </row>
    <row r="1304" spans="1:9" hidden="1" x14ac:dyDescent="0.25">
      <c r="A1304" t="s">
        <v>8</v>
      </c>
      <c r="B1304" t="s">
        <v>95</v>
      </c>
      <c r="C1304">
        <v>201904</v>
      </c>
      <c r="D1304" t="str">
        <f t="shared" si="20"/>
        <v>2019</v>
      </c>
      <c r="E1304">
        <v>546</v>
      </c>
      <c r="F1304">
        <v>10486618</v>
      </c>
      <c r="G1304">
        <v>0.01</v>
      </c>
      <c r="H1304" t="s">
        <v>10</v>
      </c>
      <c r="I1304" t="s">
        <v>11</v>
      </c>
    </row>
    <row r="1305" spans="1:9" hidden="1" x14ac:dyDescent="0.25">
      <c r="A1305" t="s">
        <v>8</v>
      </c>
      <c r="B1305" t="s">
        <v>95</v>
      </c>
      <c r="C1305">
        <v>201905</v>
      </c>
      <c r="D1305" t="str">
        <f t="shared" si="20"/>
        <v>2019</v>
      </c>
      <c r="E1305">
        <v>406</v>
      </c>
      <c r="F1305">
        <v>10486618</v>
      </c>
      <c r="G1305">
        <v>0</v>
      </c>
      <c r="H1305" t="s">
        <v>10</v>
      </c>
      <c r="I1305" t="s">
        <v>11</v>
      </c>
    </row>
    <row r="1306" spans="1:9" hidden="1" x14ac:dyDescent="0.25">
      <c r="A1306" t="s">
        <v>8</v>
      </c>
      <c r="B1306" t="s">
        <v>95</v>
      </c>
      <c r="C1306">
        <v>201906</v>
      </c>
      <c r="D1306" t="str">
        <f t="shared" si="20"/>
        <v>2019</v>
      </c>
      <c r="E1306">
        <v>499</v>
      </c>
      <c r="F1306">
        <v>10486618</v>
      </c>
      <c r="G1306">
        <v>0</v>
      </c>
      <c r="H1306" t="s">
        <v>10</v>
      </c>
      <c r="I1306" t="s">
        <v>11</v>
      </c>
    </row>
    <row r="1307" spans="1:9" hidden="1" x14ac:dyDescent="0.25">
      <c r="A1307" t="s">
        <v>8</v>
      </c>
      <c r="B1307" t="s">
        <v>95</v>
      </c>
      <c r="C1307">
        <v>201907</v>
      </c>
      <c r="D1307" t="str">
        <f t="shared" si="20"/>
        <v>2019</v>
      </c>
      <c r="E1307">
        <v>431</v>
      </c>
      <c r="F1307">
        <v>10486618</v>
      </c>
      <c r="G1307">
        <v>0</v>
      </c>
      <c r="H1307" t="s">
        <v>10</v>
      </c>
      <c r="I1307" t="s">
        <v>11</v>
      </c>
    </row>
    <row r="1308" spans="1:9" hidden="1" x14ac:dyDescent="0.25">
      <c r="A1308" t="s">
        <v>8</v>
      </c>
      <c r="B1308" t="s">
        <v>95</v>
      </c>
      <c r="C1308">
        <v>201908</v>
      </c>
      <c r="D1308" t="str">
        <f t="shared" si="20"/>
        <v>2019</v>
      </c>
      <c r="E1308">
        <v>503</v>
      </c>
      <c r="F1308">
        <v>10486618</v>
      </c>
      <c r="G1308">
        <v>0</v>
      </c>
      <c r="H1308" t="s">
        <v>10</v>
      </c>
      <c r="I1308" t="s">
        <v>11</v>
      </c>
    </row>
    <row r="1309" spans="1:9" hidden="1" x14ac:dyDescent="0.25">
      <c r="A1309" t="s">
        <v>8</v>
      </c>
      <c r="B1309" t="s">
        <v>95</v>
      </c>
      <c r="C1309">
        <v>201909</v>
      </c>
      <c r="D1309" t="str">
        <f t="shared" si="20"/>
        <v>2019</v>
      </c>
      <c r="E1309">
        <v>308</v>
      </c>
      <c r="F1309">
        <v>10486618</v>
      </c>
      <c r="G1309">
        <v>0</v>
      </c>
      <c r="H1309" t="s">
        <v>10</v>
      </c>
      <c r="I1309" t="s">
        <v>11</v>
      </c>
    </row>
    <row r="1310" spans="1:9" hidden="1" x14ac:dyDescent="0.25">
      <c r="A1310" t="s">
        <v>8</v>
      </c>
      <c r="B1310" t="s">
        <v>95</v>
      </c>
      <c r="C1310">
        <v>201910</v>
      </c>
      <c r="D1310" t="str">
        <f t="shared" si="20"/>
        <v>2019</v>
      </c>
      <c r="E1310">
        <v>381</v>
      </c>
      <c r="F1310">
        <v>10486618</v>
      </c>
      <c r="G1310">
        <v>0</v>
      </c>
      <c r="H1310" t="s">
        <v>10</v>
      </c>
      <c r="I1310" t="s">
        <v>11</v>
      </c>
    </row>
    <row r="1311" spans="1:9" hidden="1" x14ac:dyDescent="0.25">
      <c r="A1311" t="s">
        <v>8</v>
      </c>
      <c r="B1311" t="s">
        <v>95</v>
      </c>
      <c r="C1311">
        <v>201911</v>
      </c>
      <c r="D1311" t="str">
        <f t="shared" si="20"/>
        <v>2019</v>
      </c>
      <c r="E1311">
        <v>417</v>
      </c>
      <c r="F1311">
        <v>10486618</v>
      </c>
      <c r="G1311">
        <v>0</v>
      </c>
      <c r="H1311" t="s">
        <v>10</v>
      </c>
      <c r="I1311" t="s">
        <v>11</v>
      </c>
    </row>
    <row r="1312" spans="1:9" hidden="1" x14ac:dyDescent="0.25">
      <c r="A1312" t="s">
        <v>8</v>
      </c>
      <c r="B1312" t="s">
        <v>95</v>
      </c>
      <c r="C1312">
        <v>201912</v>
      </c>
      <c r="D1312" t="str">
        <f t="shared" si="20"/>
        <v>2019</v>
      </c>
      <c r="E1312">
        <v>404</v>
      </c>
      <c r="F1312">
        <v>10486618</v>
      </c>
      <c r="G1312">
        <v>0</v>
      </c>
      <c r="H1312" t="s">
        <v>10</v>
      </c>
      <c r="I1312" t="s">
        <v>11</v>
      </c>
    </row>
    <row r="1313" spans="1:9" hidden="1" x14ac:dyDescent="0.25">
      <c r="A1313" t="s">
        <v>8</v>
      </c>
      <c r="B1313" t="s">
        <v>95</v>
      </c>
      <c r="C1313">
        <v>202001</v>
      </c>
      <c r="D1313" t="str">
        <f t="shared" si="20"/>
        <v>2020</v>
      </c>
      <c r="E1313">
        <v>24851</v>
      </c>
      <c r="F1313">
        <v>10486618</v>
      </c>
      <c r="G1313">
        <v>0.24</v>
      </c>
      <c r="H1313" t="s">
        <v>10</v>
      </c>
      <c r="I1313" t="s">
        <v>11</v>
      </c>
    </row>
    <row r="1314" spans="1:9" hidden="1" x14ac:dyDescent="0.25">
      <c r="A1314" t="s">
        <v>8</v>
      </c>
      <c r="B1314" t="s">
        <v>95</v>
      </c>
      <c r="C1314">
        <v>202002</v>
      </c>
      <c r="D1314" t="str">
        <f t="shared" si="20"/>
        <v>2020</v>
      </c>
      <c r="E1314">
        <v>22756</v>
      </c>
      <c r="F1314">
        <v>10486618</v>
      </c>
      <c r="G1314">
        <v>0.22</v>
      </c>
      <c r="H1314" t="s">
        <v>10</v>
      </c>
      <c r="I1314" t="s">
        <v>11</v>
      </c>
    </row>
    <row r="1315" spans="1:9" hidden="1" x14ac:dyDescent="0.25">
      <c r="A1315" t="s">
        <v>8</v>
      </c>
      <c r="B1315" t="s">
        <v>95</v>
      </c>
      <c r="C1315">
        <v>202003</v>
      </c>
      <c r="D1315" t="str">
        <f t="shared" si="20"/>
        <v>2020</v>
      </c>
      <c r="E1315">
        <v>19450</v>
      </c>
      <c r="F1315">
        <v>10486618</v>
      </c>
      <c r="G1315">
        <v>0.19</v>
      </c>
      <c r="H1315" t="s">
        <v>10</v>
      </c>
      <c r="I1315" t="s">
        <v>11</v>
      </c>
    </row>
    <row r="1316" spans="1:9" hidden="1" x14ac:dyDescent="0.25">
      <c r="A1316" t="s">
        <v>8</v>
      </c>
      <c r="B1316" t="s">
        <v>95</v>
      </c>
      <c r="C1316">
        <v>202004</v>
      </c>
      <c r="D1316" t="str">
        <f t="shared" si="20"/>
        <v>2020</v>
      </c>
      <c r="E1316">
        <v>10277</v>
      </c>
      <c r="F1316">
        <v>10486618</v>
      </c>
      <c r="G1316">
        <v>0.1</v>
      </c>
      <c r="H1316" t="s">
        <v>10</v>
      </c>
      <c r="I1316" t="s">
        <v>11</v>
      </c>
    </row>
    <row r="1317" spans="1:9" hidden="1" x14ac:dyDescent="0.25">
      <c r="A1317" t="s">
        <v>8</v>
      </c>
      <c r="B1317" t="s">
        <v>95</v>
      </c>
      <c r="C1317">
        <v>202005</v>
      </c>
      <c r="D1317" t="str">
        <f t="shared" si="20"/>
        <v>2020</v>
      </c>
      <c r="E1317">
        <v>19462</v>
      </c>
      <c r="F1317">
        <v>10486618</v>
      </c>
      <c r="G1317">
        <v>0.19</v>
      </c>
      <c r="H1317" t="s">
        <v>10</v>
      </c>
      <c r="I1317" t="s">
        <v>11</v>
      </c>
    </row>
    <row r="1318" spans="1:9" hidden="1" x14ac:dyDescent="0.25">
      <c r="A1318" t="s">
        <v>8</v>
      </c>
      <c r="B1318" t="s">
        <v>95</v>
      </c>
      <c r="C1318">
        <v>202006</v>
      </c>
      <c r="D1318" t="str">
        <f t="shared" si="20"/>
        <v>2020</v>
      </c>
      <c r="E1318">
        <v>25106</v>
      </c>
      <c r="F1318">
        <v>10486618</v>
      </c>
      <c r="G1318">
        <v>0.24</v>
      </c>
      <c r="H1318" t="s">
        <v>10</v>
      </c>
      <c r="I1318" t="s">
        <v>11</v>
      </c>
    </row>
    <row r="1319" spans="1:9" hidden="1" x14ac:dyDescent="0.25">
      <c r="A1319" t="s">
        <v>8</v>
      </c>
      <c r="B1319" t="s">
        <v>95</v>
      </c>
      <c r="C1319">
        <v>202007</v>
      </c>
      <c r="D1319" t="str">
        <f t="shared" si="20"/>
        <v>2020</v>
      </c>
      <c r="E1319">
        <v>17383</v>
      </c>
      <c r="F1319">
        <v>10486618</v>
      </c>
      <c r="G1319">
        <v>0.17</v>
      </c>
      <c r="H1319" t="s">
        <v>10</v>
      </c>
      <c r="I1319" t="s">
        <v>11</v>
      </c>
    </row>
    <row r="1320" spans="1:9" hidden="1" x14ac:dyDescent="0.25">
      <c r="A1320" t="s">
        <v>8</v>
      </c>
      <c r="B1320" t="s">
        <v>95</v>
      </c>
      <c r="C1320">
        <v>202008</v>
      </c>
      <c r="D1320" t="str">
        <f t="shared" si="20"/>
        <v>2020</v>
      </c>
      <c r="E1320">
        <v>16764</v>
      </c>
      <c r="F1320">
        <v>10486618</v>
      </c>
      <c r="G1320">
        <v>0.16</v>
      </c>
      <c r="H1320" t="s">
        <v>10</v>
      </c>
      <c r="I1320" t="s">
        <v>11</v>
      </c>
    </row>
    <row r="1321" spans="1:9" hidden="1" x14ac:dyDescent="0.25">
      <c r="A1321" t="s">
        <v>8</v>
      </c>
      <c r="B1321" t="s">
        <v>95</v>
      </c>
      <c r="C1321">
        <v>202009</v>
      </c>
      <c r="D1321" t="str">
        <f t="shared" si="20"/>
        <v>2020</v>
      </c>
      <c r="E1321">
        <v>19068</v>
      </c>
      <c r="F1321">
        <v>10486618</v>
      </c>
      <c r="G1321">
        <v>0.18</v>
      </c>
      <c r="H1321" t="s">
        <v>10</v>
      </c>
      <c r="I1321" t="s">
        <v>11</v>
      </c>
    </row>
    <row r="1322" spans="1:9" hidden="1" x14ac:dyDescent="0.25">
      <c r="A1322" t="s">
        <v>8</v>
      </c>
      <c r="B1322" t="s">
        <v>95</v>
      </c>
      <c r="C1322">
        <v>202010</v>
      </c>
      <c r="D1322" t="str">
        <f t="shared" si="20"/>
        <v>2020</v>
      </c>
      <c r="E1322">
        <v>18528</v>
      </c>
      <c r="F1322">
        <v>10486618</v>
      </c>
      <c r="G1322">
        <v>0.18</v>
      </c>
      <c r="H1322" t="s">
        <v>10</v>
      </c>
      <c r="I1322" t="s">
        <v>11</v>
      </c>
    </row>
    <row r="1323" spans="1:9" hidden="1" x14ac:dyDescent="0.25">
      <c r="A1323" t="s">
        <v>8</v>
      </c>
      <c r="B1323" t="s">
        <v>95</v>
      </c>
      <c r="C1323">
        <v>202011</v>
      </c>
      <c r="D1323" t="str">
        <f t="shared" si="20"/>
        <v>2020</v>
      </c>
      <c r="E1323">
        <v>15246</v>
      </c>
      <c r="F1323">
        <v>10486618</v>
      </c>
      <c r="G1323">
        <v>0.15</v>
      </c>
      <c r="H1323" t="s">
        <v>10</v>
      </c>
      <c r="I1323" t="s">
        <v>11</v>
      </c>
    </row>
    <row r="1324" spans="1:9" hidden="1" x14ac:dyDescent="0.25">
      <c r="A1324" t="s">
        <v>8</v>
      </c>
      <c r="B1324" t="s">
        <v>95</v>
      </c>
      <c r="C1324">
        <v>202012</v>
      </c>
      <c r="D1324" t="str">
        <f t="shared" si="20"/>
        <v>2020</v>
      </c>
      <c r="E1324">
        <v>16280</v>
      </c>
      <c r="F1324">
        <v>10486618</v>
      </c>
      <c r="G1324">
        <v>0.16</v>
      </c>
      <c r="H1324" t="s">
        <v>10</v>
      </c>
      <c r="I1324" t="s">
        <v>11</v>
      </c>
    </row>
    <row r="1325" spans="1:9" hidden="1" x14ac:dyDescent="0.25">
      <c r="A1325" t="s">
        <v>8</v>
      </c>
      <c r="B1325" t="s">
        <v>95</v>
      </c>
      <c r="C1325">
        <v>202101</v>
      </c>
      <c r="D1325" t="str">
        <f t="shared" si="20"/>
        <v>2021</v>
      </c>
      <c r="E1325">
        <v>43597</v>
      </c>
      <c r="F1325">
        <v>10486618</v>
      </c>
      <c r="G1325">
        <v>0.42</v>
      </c>
      <c r="H1325" t="s">
        <v>10</v>
      </c>
      <c r="I1325" t="s">
        <v>11</v>
      </c>
    </row>
    <row r="1326" spans="1:9" hidden="1" x14ac:dyDescent="0.25">
      <c r="A1326" t="s">
        <v>8</v>
      </c>
      <c r="B1326" t="s">
        <v>95</v>
      </c>
      <c r="C1326">
        <v>202102</v>
      </c>
      <c r="D1326" t="str">
        <f t="shared" si="20"/>
        <v>2021</v>
      </c>
      <c r="E1326">
        <v>33067</v>
      </c>
      <c r="F1326">
        <v>10486618</v>
      </c>
      <c r="G1326">
        <v>0.32</v>
      </c>
      <c r="H1326" t="s">
        <v>10</v>
      </c>
      <c r="I1326" t="s">
        <v>11</v>
      </c>
    </row>
    <row r="1327" spans="1:9" hidden="1" x14ac:dyDescent="0.25">
      <c r="A1327" t="s">
        <v>8</v>
      </c>
      <c r="B1327" t="s">
        <v>95</v>
      </c>
      <c r="C1327">
        <v>202103</v>
      </c>
      <c r="D1327" t="str">
        <f t="shared" si="20"/>
        <v>2021</v>
      </c>
      <c r="E1327">
        <v>41165</v>
      </c>
      <c r="F1327">
        <v>10486618</v>
      </c>
      <c r="G1327">
        <v>0.39</v>
      </c>
      <c r="H1327" t="s">
        <v>10</v>
      </c>
      <c r="I1327" t="s">
        <v>11</v>
      </c>
    </row>
    <row r="1328" spans="1:9" hidden="1" x14ac:dyDescent="0.25">
      <c r="A1328" t="s">
        <v>8</v>
      </c>
      <c r="B1328" t="s">
        <v>95</v>
      </c>
      <c r="C1328">
        <v>202104</v>
      </c>
      <c r="D1328" t="str">
        <f t="shared" si="20"/>
        <v>2021</v>
      </c>
      <c r="E1328">
        <v>38210</v>
      </c>
      <c r="F1328">
        <v>10486618</v>
      </c>
      <c r="G1328">
        <v>0.36</v>
      </c>
      <c r="H1328" t="s">
        <v>10</v>
      </c>
      <c r="I1328" t="s">
        <v>11</v>
      </c>
    </row>
    <row r="1329" spans="1:9" hidden="1" x14ac:dyDescent="0.25">
      <c r="A1329" t="s">
        <v>8</v>
      </c>
      <c r="B1329" t="s">
        <v>95</v>
      </c>
      <c r="C1329">
        <v>202105</v>
      </c>
      <c r="D1329" t="str">
        <f t="shared" si="20"/>
        <v>2021</v>
      </c>
      <c r="E1329">
        <v>36028</v>
      </c>
      <c r="F1329">
        <v>10486618</v>
      </c>
      <c r="G1329">
        <v>0.34</v>
      </c>
      <c r="H1329" t="s">
        <v>10</v>
      </c>
      <c r="I1329" t="s">
        <v>11</v>
      </c>
    </row>
    <row r="1330" spans="1:9" hidden="1" x14ac:dyDescent="0.25">
      <c r="A1330" t="s">
        <v>8</v>
      </c>
      <c r="B1330" t="s">
        <v>95</v>
      </c>
      <c r="C1330">
        <v>202106</v>
      </c>
      <c r="D1330" t="str">
        <f t="shared" si="20"/>
        <v>2021</v>
      </c>
      <c r="E1330">
        <v>39864</v>
      </c>
      <c r="F1330">
        <v>10486618</v>
      </c>
      <c r="G1330">
        <v>0.38</v>
      </c>
      <c r="H1330" t="s">
        <v>10</v>
      </c>
      <c r="I1330" t="s">
        <v>11</v>
      </c>
    </row>
    <row r="1331" spans="1:9" hidden="1" x14ac:dyDescent="0.25">
      <c r="A1331" t="s">
        <v>8</v>
      </c>
      <c r="B1331" t="s">
        <v>95</v>
      </c>
      <c r="C1331">
        <v>202107</v>
      </c>
      <c r="D1331" t="str">
        <f t="shared" si="20"/>
        <v>2021</v>
      </c>
      <c r="E1331">
        <v>81538</v>
      </c>
      <c r="F1331">
        <v>10486618</v>
      </c>
      <c r="G1331">
        <v>0.78</v>
      </c>
      <c r="H1331" t="s">
        <v>10</v>
      </c>
      <c r="I1331" t="s">
        <v>11</v>
      </c>
    </row>
    <row r="1332" spans="1:9" hidden="1" x14ac:dyDescent="0.25">
      <c r="A1332" t="s">
        <v>8</v>
      </c>
      <c r="B1332" t="s">
        <v>95</v>
      </c>
      <c r="C1332">
        <v>202108</v>
      </c>
      <c r="D1332" t="str">
        <f t="shared" si="20"/>
        <v>2021</v>
      </c>
      <c r="E1332">
        <v>83913</v>
      </c>
      <c r="F1332">
        <v>10486618</v>
      </c>
      <c r="G1332">
        <v>0.8</v>
      </c>
      <c r="H1332" t="s">
        <v>10</v>
      </c>
      <c r="I1332" t="s">
        <v>11</v>
      </c>
    </row>
    <row r="1333" spans="1:9" hidden="1" x14ac:dyDescent="0.25">
      <c r="A1333" t="s">
        <v>8</v>
      </c>
      <c r="B1333" t="s">
        <v>95</v>
      </c>
      <c r="C1333">
        <v>202109</v>
      </c>
      <c r="D1333" t="str">
        <f t="shared" si="20"/>
        <v>2021</v>
      </c>
      <c r="E1333">
        <v>89444</v>
      </c>
      <c r="F1333">
        <v>10486618</v>
      </c>
      <c r="G1333">
        <v>0.85</v>
      </c>
      <c r="H1333" t="s">
        <v>10</v>
      </c>
      <c r="I1333" t="s">
        <v>11</v>
      </c>
    </row>
    <row r="1334" spans="1:9" hidden="1" x14ac:dyDescent="0.25">
      <c r="A1334" t="s">
        <v>8</v>
      </c>
      <c r="B1334" t="s">
        <v>95</v>
      </c>
      <c r="C1334">
        <v>202110</v>
      </c>
      <c r="D1334" t="str">
        <f t="shared" si="20"/>
        <v>2021</v>
      </c>
      <c r="E1334">
        <v>88441</v>
      </c>
      <c r="F1334">
        <v>10486618</v>
      </c>
      <c r="G1334">
        <v>0.84</v>
      </c>
      <c r="H1334" t="s">
        <v>10</v>
      </c>
      <c r="I1334" t="s">
        <v>11</v>
      </c>
    </row>
    <row r="1335" spans="1:9" hidden="1" x14ac:dyDescent="0.25">
      <c r="A1335" t="s">
        <v>8</v>
      </c>
      <c r="B1335" t="s">
        <v>95</v>
      </c>
      <c r="C1335">
        <v>202111</v>
      </c>
      <c r="D1335" t="str">
        <f t="shared" si="20"/>
        <v>2021</v>
      </c>
      <c r="E1335">
        <v>96687</v>
      </c>
      <c r="F1335">
        <v>10486618</v>
      </c>
      <c r="G1335">
        <v>0.92</v>
      </c>
      <c r="H1335" t="s">
        <v>10</v>
      </c>
      <c r="I1335" t="s">
        <v>11</v>
      </c>
    </row>
    <row r="1336" spans="1:9" hidden="1" x14ac:dyDescent="0.25">
      <c r="A1336" t="s">
        <v>8</v>
      </c>
      <c r="B1336" t="s">
        <v>95</v>
      </c>
      <c r="C1336">
        <v>202112</v>
      </c>
      <c r="D1336" t="str">
        <f t="shared" si="20"/>
        <v>2021</v>
      </c>
      <c r="E1336">
        <v>98437</v>
      </c>
      <c r="F1336">
        <v>10486618</v>
      </c>
      <c r="G1336">
        <v>0.94</v>
      </c>
      <c r="H1336" t="s">
        <v>10</v>
      </c>
      <c r="I1336" t="s">
        <v>11</v>
      </c>
    </row>
    <row r="1337" spans="1:9" hidden="1" x14ac:dyDescent="0.25">
      <c r="A1337" t="s">
        <v>8</v>
      </c>
      <c r="B1337" t="s">
        <v>95</v>
      </c>
      <c r="C1337">
        <v>202201</v>
      </c>
      <c r="D1337" t="str">
        <f t="shared" si="20"/>
        <v>2022</v>
      </c>
      <c r="E1337">
        <v>75899</v>
      </c>
      <c r="F1337">
        <v>10486618</v>
      </c>
      <c r="G1337">
        <v>0.72</v>
      </c>
      <c r="H1337" t="s">
        <v>10</v>
      </c>
      <c r="I1337" t="s">
        <v>11</v>
      </c>
    </row>
    <row r="1338" spans="1:9" hidden="1" x14ac:dyDescent="0.25">
      <c r="A1338" t="s">
        <v>8</v>
      </c>
      <c r="B1338" t="s">
        <v>95</v>
      </c>
      <c r="C1338">
        <v>202202</v>
      </c>
      <c r="D1338" t="str">
        <f t="shared" si="20"/>
        <v>2022</v>
      </c>
      <c r="E1338">
        <v>62491</v>
      </c>
      <c r="F1338">
        <v>10486618</v>
      </c>
      <c r="G1338">
        <v>0.6</v>
      </c>
      <c r="H1338" t="s">
        <v>10</v>
      </c>
      <c r="I1338" t="s">
        <v>11</v>
      </c>
    </row>
    <row r="1339" spans="1:9" hidden="1" x14ac:dyDescent="0.25">
      <c r="A1339" t="s">
        <v>8</v>
      </c>
      <c r="B1339" t="s">
        <v>95</v>
      </c>
      <c r="C1339">
        <v>202203</v>
      </c>
      <c r="D1339" t="str">
        <f t="shared" si="20"/>
        <v>2022</v>
      </c>
      <c r="E1339">
        <v>105251</v>
      </c>
      <c r="F1339">
        <v>10486618</v>
      </c>
      <c r="G1339">
        <v>1</v>
      </c>
      <c r="H1339" t="s">
        <v>10</v>
      </c>
      <c r="I1339" t="s">
        <v>11</v>
      </c>
    </row>
    <row r="1340" spans="1:9" hidden="1" x14ac:dyDescent="0.25">
      <c r="A1340" t="s">
        <v>8</v>
      </c>
      <c r="B1340" t="s">
        <v>95</v>
      </c>
      <c r="C1340">
        <v>202204</v>
      </c>
      <c r="D1340" t="str">
        <f t="shared" si="20"/>
        <v>2022</v>
      </c>
      <c r="E1340">
        <v>176563</v>
      </c>
      <c r="F1340">
        <v>10486618</v>
      </c>
      <c r="G1340">
        <v>1.68</v>
      </c>
      <c r="H1340" t="s">
        <v>10</v>
      </c>
      <c r="I1340" t="s">
        <v>11</v>
      </c>
    </row>
    <row r="1341" spans="1:9" hidden="1" x14ac:dyDescent="0.25">
      <c r="A1341" t="s">
        <v>8</v>
      </c>
      <c r="B1341" t="s">
        <v>95</v>
      </c>
      <c r="C1341">
        <v>202205</v>
      </c>
      <c r="D1341" t="str">
        <f t="shared" si="20"/>
        <v>2022</v>
      </c>
      <c r="E1341">
        <v>179228</v>
      </c>
      <c r="F1341">
        <v>10486618</v>
      </c>
      <c r="G1341">
        <v>1.71</v>
      </c>
      <c r="H1341" t="s">
        <v>10</v>
      </c>
      <c r="I1341" t="s">
        <v>11</v>
      </c>
    </row>
    <row r="1342" spans="1:9" hidden="1" x14ac:dyDescent="0.25">
      <c r="A1342" t="s">
        <v>8</v>
      </c>
      <c r="B1342" t="s">
        <v>95</v>
      </c>
      <c r="C1342">
        <v>202206</v>
      </c>
      <c r="D1342" t="str">
        <f t="shared" si="20"/>
        <v>2022</v>
      </c>
      <c r="E1342">
        <v>184194</v>
      </c>
      <c r="F1342">
        <v>10486618</v>
      </c>
      <c r="G1342">
        <v>1.76</v>
      </c>
      <c r="H1342" t="s">
        <v>10</v>
      </c>
      <c r="I1342" t="s">
        <v>11</v>
      </c>
    </row>
    <row r="1343" spans="1:9" hidden="1" x14ac:dyDescent="0.25">
      <c r="A1343" t="s">
        <v>8</v>
      </c>
      <c r="B1343" t="s">
        <v>95</v>
      </c>
      <c r="C1343">
        <v>202207</v>
      </c>
      <c r="D1343" t="str">
        <f t="shared" si="20"/>
        <v>2022</v>
      </c>
      <c r="E1343">
        <v>172964</v>
      </c>
      <c r="F1343">
        <v>10486618</v>
      </c>
      <c r="G1343">
        <v>1.65</v>
      </c>
      <c r="H1343" t="s">
        <v>10</v>
      </c>
      <c r="I1343" t="s">
        <v>11</v>
      </c>
    </row>
    <row r="1344" spans="1:9" hidden="1" x14ac:dyDescent="0.25">
      <c r="A1344" t="s">
        <v>8</v>
      </c>
      <c r="B1344" t="s">
        <v>95</v>
      </c>
      <c r="C1344">
        <v>202208</v>
      </c>
      <c r="D1344" t="str">
        <f t="shared" si="20"/>
        <v>2022</v>
      </c>
      <c r="E1344">
        <v>190788</v>
      </c>
      <c r="F1344">
        <v>10486618</v>
      </c>
      <c r="G1344">
        <v>1.82</v>
      </c>
      <c r="H1344" t="s">
        <v>10</v>
      </c>
      <c r="I1344" t="s">
        <v>11</v>
      </c>
    </row>
    <row r="1345" spans="1:9" hidden="1" x14ac:dyDescent="0.25">
      <c r="A1345" t="s">
        <v>8</v>
      </c>
      <c r="B1345" t="s">
        <v>95</v>
      </c>
      <c r="C1345">
        <v>202209</v>
      </c>
      <c r="D1345" t="str">
        <f t="shared" si="20"/>
        <v>2022</v>
      </c>
      <c r="E1345">
        <v>177361</v>
      </c>
      <c r="F1345">
        <v>10486618</v>
      </c>
      <c r="G1345">
        <v>1.69</v>
      </c>
      <c r="H1345" t="s">
        <v>10</v>
      </c>
      <c r="I1345" t="s">
        <v>11</v>
      </c>
    </row>
    <row r="1346" spans="1:9" hidden="1" x14ac:dyDescent="0.25">
      <c r="A1346" t="s">
        <v>8</v>
      </c>
      <c r="B1346" t="s">
        <v>95</v>
      </c>
      <c r="C1346">
        <v>202210</v>
      </c>
      <c r="D1346" t="str">
        <f t="shared" si="20"/>
        <v>2022</v>
      </c>
      <c r="E1346">
        <v>180601</v>
      </c>
      <c r="F1346">
        <v>10486618</v>
      </c>
      <c r="G1346">
        <v>1.72</v>
      </c>
      <c r="H1346" t="s">
        <v>10</v>
      </c>
      <c r="I1346" t="s">
        <v>11</v>
      </c>
    </row>
    <row r="1347" spans="1:9" hidden="1" x14ac:dyDescent="0.25">
      <c r="A1347" t="s">
        <v>8</v>
      </c>
      <c r="B1347" t="s">
        <v>95</v>
      </c>
      <c r="C1347">
        <v>202211</v>
      </c>
      <c r="D1347" t="str">
        <f t="shared" ref="D1347:D1410" si="21">LEFT(C1347,4)</f>
        <v>2022</v>
      </c>
      <c r="E1347">
        <v>177922</v>
      </c>
      <c r="F1347">
        <v>10486618</v>
      </c>
      <c r="G1347">
        <v>1.7</v>
      </c>
      <c r="H1347" t="s">
        <v>10</v>
      </c>
      <c r="I1347" t="s">
        <v>11</v>
      </c>
    </row>
    <row r="1348" spans="1:9" hidden="1" x14ac:dyDescent="0.25">
      <c r="A1348" t="s">
        <v>8</v>
      </c>
      <c r="B1348" t="s">
        <v>95</v>
      </c>
      <c r="C1348">
        <v>202212</v>
      </c>
      <c r="D1348" t="str">
        <f t="shared" si="21"/>
        <v>2022</v>
      </c>
      <c r="E1348">
        <v>168251</v>
      </c>
      <c r="F1348">
        <v>10486618</v>
      </c>
      <c r="G1348">
        <v>1.6</v>
      </c>
      <c r="H1348" t="s">
        <v>10</v>
      </c>
      <c r="I1348" t="s">
        <v>11</v>
      </c>
    </row>
    <row r="1349" spans="1:9" hidden="1" x14ac:dyDescent="0.25">
      <c r="A1349" t="s">
        <v>8</v>
      </c>
      <c r="B1349" t="s">
        <v>95</v>
      </c>
      <c r="C1349">
        <v>202301</v>
      </c>
      <c r="D1349" t="str">
        <f t="shared" si="21"/>
        <v>2023</v>
      </c>
      <c r="E1349">
        <v>229903</v>
      </c>
      <c r="F1349">
        <v>10486618</v>
      </c>
      <c r="G1349">
        <v>2.19</v>
      </c>
      <c r="H1349" t="s">
        <v>10</v>
      </c>
      <c r="I1349" t="s">
        <v>11</v>
      </c>
    </row>
    <row r="1350" spans="1:9" hidden="1" x14ac:dyDescent="0.25">
      <c r="A1350" t="s">
        <v>8</v>
      </c>
      <c r="B1350" t="s">
        <v>95</v>
      </c>
      <c r="C1350">
        <v>202302</v>
      </c>
      <c r="D1350" t="str">
        <f t="shared" si="21"/>
        <v>2023</v>
      </c>
      <c r="E1350">
        <v>224675</v>
      </c>
      <c r="F1350">
        <v>10486618</v>
      </c>
      <c r="G1350">
        <v>2.14</v>
      </c>
      <c r="H1350" t="s">
        <v>10</v>
      </c>
      <c r="I1350" t="s">
        <v>11</v>
      </c>
    </row>
    <row r="1351" spans="1:9" hidden="1" x14ac:dyDescent="0.25">
      <c r="A1351" t="s">
        <v>8</v>
      </c>
      <c r="B1351" t="s">
        <v>95</v>
      </c>
      <c r="C1351">
        <v>202303</v>
      </c>
      <c r="D1351" t="str">
        <f t="shared" si="21"/>
        <v>2023</v>
      </c>
      <c r="E1351">
        <v>248960</v>
      </c>
      <c r="F1351">
        <v>10486618</v>
      </c>
      <c r="G1351">
        <v>2.37</v>
      </c>
      <c r="H1351" t="s">
        <v>10</v>
      </c>
      <c r="I1351" t="s">
        <v>11</v>
      </c>
    </row>
    <row r="1352" spans="1:9" hidden="1" x14ac:dyDescent="0.25">
      <c r="A1352" t="s">
        <v>8</v>
      </c>
      <c r="B1352" t="s">
        <v>95</v>
      </c>
      <c r="C1352">
        <v>202304</v>
      </c>
      <c r="D1352" t="str">
        <f t="shared" si="21"/>
        <v>2023</v>
      </c>
      <c r="E1352">
        <v>225713</v>
      </c>
      <c r="F1352">
        <v>10486618</v>
      </c>
      <c r="G1352">
        <v>2.15</v>
      </c>
      <c r="H1352" t="s">
        <v>10</v>
      </c>
      <c r="I1352" t="s">
        <v>11</v>
      </c>
    </row>
    <row r="1353" spans="1:9" hidden="1" x14ac:dyDescent="0.25">
      <c r="A1353" t="s">
        <v>8</v>
      </c>
      <c r="B1353" t="s">
        <v>95</v>
      </c>
      <c r="C1353">
        <v>202305</v>
      </c>
      <c r="D1353" t="str">
        <f t="shared" si="21"/>
        <v>2023</v>
      </c>
      <c r="E1353">
        <v>239212</v>
      </c>
      <c r="F1353">
        <v>10486618</v>
      </c>
      <c r="G1353">
        <v>2.2799999999999998</v>
      </c>
      <c r="H1353" t="s">
        <v>10</v>
      </c>
      <c r="I1353" t="s">
        <v>11</v>
      </c>
    </row>
    <row r="1354" spans="1:9" hidden="1" x14ac:dyDescent="0.25">
      <c r="A1354" t="s">
        <v>8</v>
      </c>
      <c r="B1354" t="s">
        <v>95</v>
      </c>
      <c r="C1354">
        <v>202306</v>
      </c>
      <c r="D1354" t="str">
        <f t="shared" si="21"/>
        <v>2023</v>
      </c>
      <c r="E1354">
        <v>232140</v>
      </c>
      <c r="F1354">
        <v>10486618</v>
      </c>
      <c r="G1354">
        <v>2.21</v>
      </c>
      <c r="H1354" t="s">
        <v>10</v>
      </c>
      <c r="I1354" t="s">
        <v>11</v>
      </c>
    </row>
    <row r="1355" spans="1:9" hidden="1" x14ac:dyDescent="0.25">
      <c r="A1355" t="s">
        <v>8</v>
      </c>
      <c r="B1355" t="s">
        <v>95</v>
      </c>
      <c r="C1355">
        <v>202307</v>
      </c>
      <c r="D1355" t="str">
        <f t="shared" si="21"/>
        <v>2023</v>
      </c>
      <c r="E1355">
        <v>216363</v>
      </c>
      <c r="F1355">
        <v>10486618</v>
      </c>
      <c r="G1355">
        <v>2.06</v>
      </c>
      <c r="H1355" t="s">
        <v>10</v>
      </c>
      <c r="I1355" t="s">
        <v>11</v>
      </c>
    </row>
    <row r="1356" spans="1:9" hidden="1" x14ac:dyDescent="0.25">
      <c r="A1356" t="s">
        <v>8</v>
      </c>
      <c r="B1356" t="s">
        <v>95</v>
      </c>
      <c r="C1356">
        <v>202308</v>
      </c>
      <c r="D1356" t="str">
        <f t="shared" si="21"/>
        <v>2023</v>
      </c>
      <c r="E1356">
        <v>247564</v>
      </c>
      <c r="F1356">
        <v>10486618</v>
      </c>
      <c r="G1356">
        <v>2.36</v>
      </c>
      <c r="H1356" t="s">
        <v>10</v>
      </c>
      <c r="I1356" t="s">
        <v>11</v>
      </c>
    </row>
    <row r="1357" spans="1:9" hidden="1" x14ac:dyDescent="0.25">
      <c r="A1357" t="s">
        <v>8</v>
      </c>
      <c r="B1357" t="s">
        <v>95</v>
      </c>
      <c r="C1357">
        <v>202309</v>
      </c>
      <c r="D1357" t="str">
        <f t="shared" si="21"/>
        <v>2023</v>
      </c>
      <c r="E1357">
        <v>231394</v>
      </c>
      <c r="F1357">
        <v>10486618</v>
      </c>
      <c r="G1357">
        <v>2.21</v>
      </c>
      <c r="H1357" t="s">
        <v>10</v>
      </c>
      <c r="I1357" t="s">
        <v>11</v>
      </c>
    </row>
    <row r="1358" spans="1:9" hidden="1" x14ac:dyDescent="0.25">
      <c r="A1358" t="s">
        <v>8</v>
      </c>
      <c r="B1358" t="s">
        <v>95</v>
      </c>
      <c r="C1358">
        <v>202310</v>
      </c>
      <c r="D1358" t="str">
        <f t="shared" si="21"/>
        <v>2023</v>
      </c>
      <c r="E1358">
        <v>252744</v>
      </c>
      <c r="F1358">
        <v>10486618</v>
      </c>
      <c r="G1358">
        <v>2.41</v>
      </c>
      <c r="H1358" t="s">
        <v>10</v>
      </c>
      <c r="I1358" t="s">
        <v>11</v>
      </c>
    </row>
    <row r="1359" spans="1:9" hidden="1" x14ac:dyDescent="0.25">
      <c r="A1359" t="s">
        <v>8</v>
      </c>
      <c r="B1359" t="s">
        <v>95</v>
      </c>
      <c r="C1359">
        <v>202311</v>
      </c>
      <c r="D1359" t="str">
        <f t="shared" si="21"/>
        <v>2023</v>
      </c>
      <c r="E1359">
        <v>237978</v>
      </c>
      <c r="F1359">
        <v>10486618</v>
      </c>
      <c r="G1359">
        <v>2.27</v>
      </c>
      <c r="H1359" t="s">
        <v>10</v>
      </c>
      <c r="I1359" t="s">
        <v>11</v>
      </c>
    </row>
    <row r="1360" spans="1:9" hidden="1" x14ac:dyDescent="0.25">
      <c r="A1360" t="s">
        <v>8</v>
      </c>
      <c r="B1360" t="s">
        <v>95</v>
      </c>
      <c r="C1360">
        <v>202312</v>
      </c>
      <c r="D1360" t="str">
        <f t="shared" si="21"/>
        <v>2023</v>
      </c>
      <c r="E1360">
        <v>224942</v>
      </c>
      <c r="F1360">
        <v>10486618</v>
      </c>
      <c r="G1360">
        <v>2.15</v>
      </c>
      <c r="H1360" t="s">
        <v>10</v>
      </c>
      <c r="I1360" t="s">
        <v>11</v>
      </c>
    </row>
    <row r="1361" spans="1:9" hidden="1" x14ac:dyDescent="0.25">
      <c r="A1361" t="s">
        <v>8</v>
      </c>
      <c r="B1361" t="s">
        <v>95</v>
      </c>
      <c r="C1361">
        <v>202401</v>
      </c>
      <c r="D1361" t="str">
        <f t="shared" si="21"/>
        <v>2024</v>
      </c>
      <c r="E1361">
        <v>356034</v>
      </c>
      <c r="F1361">
        <v>10486618</v>
      </c>
      <c r="G1361">
        <v>3.4</v>
      </c>
      <c r="H1361" t="s">
        <v>10</v>
      </c>
      <c r="I1361" t="s">
        <v>11</v>
      </c>
    </row>
    <row r="1362" spans="1:9" hidden="1" x14ac:dyDescent="0.25">
      <c r="A1362" t="s">
        <v>8</v>
      </c>
      <c r="B1362" t="s">
        <v>95</v>
      </c>
      <c r="C1362">
        <v>202402</v>
      </c>
      <c r="D1362" t="str">
        <f t="shared" si="21"/>
        <v>2024</v>
      </c>
      <c r="E1362">
        <v>370485</v>
      </c>
      <c r="F1362">
        <v>10486618</v>
      </c>
      <c r="G1362">
        <v>3.53</v>
      </c>
      <c r="H1362" t="s">
        <v>10</v>
      </c>
      <c r="I1362" t="s">
        <v>11</v>
      </c>
    </row>
    <row r="1363" spans="1:9" hidden="1" x14ac:dyDescent="0.25">
      <c r="A1363" t="s">
        <v>8</v>
      </c>
      <c r="B1363" t="s">
        <v>95</v>
      </c>
      <c r="C1363">
        <v>202403</v>
      </c>
      <c r="D1363" t="str">
        <f t="shared" si="21"/>
        <v>2024</v>
      </c>
      <c r="E1363">
        <v>370977</v>
      </c>
      <c r="F1363">
        <v>10486618</v>
      </c>
      <c r="G1363">
        <v>3.54</v>
      </c>
      <c r="H1363" t="s">
        <v>10</v>
      </c>
      <c r="I1363" t="s">
        <v>11</v>
      </c>
    </row>
    <row r="1364" spans="1:9" hidden="1" x14ac:dyDescent="0.25">
      <c r="A1364" t="s">
        <v>8</v>
      </c>
      <c r="B1364" t="s">
        <v>95</v>
      </c>
      <c r="C1364">
        <v>202404</v>
      </c>
      <c r="D1364" t="str">
        <f t="shared" si="21"/>
        <v>2024</v>
      </c>
      <c r="E1364">
        <v>401004</v>
      </c>
      <c r="F1364">
        <v>10486618</v>
      </c>
      <c r="G1364">
        <v>3.82</v>
      </c>
      <c r="H1364" t="s">
        <v>10</v>
      </c>
      <c r="I1364" t="s">
        <v>11</v>
      </c>
    </row>
    <row r="1365" spans="1:9" hidden="1" x14ac:dyDescent="0.25">
      <c r="A1365" t="s">
        <v>8</v>
      </c>
      <c r="B1365" t="s">
        <v>95</v>
      </c>
      <c r="C1365">
        <v>202405</v>
      </c>
      <c r="D1365" t="str">
        <f t="shared" si="21"/>
        <v>2024</v>
      </c>
      <c r="E1365">
        <v>363168</v>
      </c>
      <c r="F1365">
        <v>10486618</v>
      </c>
      <c r="G1365">
        <v>3.46</v>
      </c>
      <c r="H1365" t="s">
        <v>10</v>
      </c>
      <c r="I1365" t="s">
        <v>11</v>
      </c>
    </row>
    <row r="1366" spans="1:9" hidden="1" x14ac:dyDescent="0.25">
      <c r="A1366" t="s">
        <v>8</v>
      </c>
      <c r="B1366" t="s">
        <v>95</v>
      </c>
      <c r="C1366">
        <v>202406</v>
      </c>
      <c r="D1366" t="str">
        <f t="shared" si="21"/>
        <v>2024</v>
      </c>
      <c r="E1366">
        <v>342794</v>
      </c>
      <c r="F1366">
        <v>10486618</v>
      </c>
      <c r="G1366">
        <v>3.27</v>
      </c>
      <c r="H1366" t="s">
        <v>10</v>
      </c>
      <c r="I1366" t="s">
        <v>11</v>
      </c>
    </row>
    <row r="1367" spans="1:9" hidden="1" x14ac:dyDescent="0.25">
      <c r="A1367" t="s">
        <v>8</v>
      </c>
      <c r="B1367" t="s">
        <v>95</v>
      </c>
      <c r="C1367">
        <v>202407</v>
      </c>
      <c r="D1367" t="str">
        <f t="shared" si="21"/>
        <v>2024</v>
      </c>
      <c r="E1367">
        <v>358774</v>
      </c>
      <c r="F1367">
        <v>10486618</v>
      </c>
      <c r="G1367">
        <v>3.42</v>
      </c>
      <c r="H1367" t="s">
        <v>10</v>
      </c>
      <c r="I1367" t="s">
        <v>11</v>
      </c>
    </row>
    <row r="1368" spans="1:9" hidden="1" x14ac:dyDescent="0.25">
      <c r="A1368" t="s">
        <v>8</v>
      </c>
      <c r="B1368" t="s">
        <v>95</v>
      </c>
      <c r="C1368">
        <v>202408</v>
      </c>
      <c r="D1368" t="str">
        <f t="shared" si="21"/>
        <v>2024</v>
      </c>
      <c r="E1368">
        <v>365394</v>
      </c>
      <c r="F1368">
        <v>10486618</v>
      </c>
      <c r="G1368">
        <v>3.48</v>
      </c>
      <c r="H1368" t="s">
        <v>10</v>
      </c>
      <c r="I1368" t="s">
        <v>11</v>
      </c>
    </row>
    <row r="1369" spans="1:9" hidden="1" x14ac:dyDescent="0.25">
      <c r="A1369" t="s">
        <v>8</v>
      </c>
      <c r="B1369" t="s">
        <v>95</v>
      </c>
      <c r="C1369">
        <v>202409</v>
      </c>
      <c r="D1369" t="str">
        <f t="shared" si="21"/>
        <v>2024</v>
      </c>
      <c r="E1369">
        <v>379152</v>
      </c>
      <c r="F1369">
        <v>10486618</v>
      </c>
      <c r="G1369">
        <v>3.62</v>
      </c>
      <c r="H1369" t="s">
        <v>10</v>
      </c>
      <c r="I1369" t="s">
        <v>11</v>
      </c>
    </row>
    <row r="1370" spans="1:9" hidden="1" x14ac:dyDescent="0.25">
      <c r="A1370" t="s">
        <v>8</v>
      </c>
      <c r="B1370" t="s">
        <v>95</v>
      </c>
      <c r="C1370">
        <v>202410</v>
      </c>
      <c r="D1370" t="str">
        <f t="shared" si="21"/>
        <v>2024</v>
      </c>
      <c r="E1370">
        <v>488838</v>
      </c>
      <c r="F1370">
        <v>10486618</v>
      </c>
      <c r="G1370">
        <v>4.66</v>
      </c>
      <c r="H1370" t="s">
        <v>10</v>
      </c>
      <c r="I1370" t="s">
        <v>11</v>
      </c>
    </row>
    <row r="1371" spans="1:9" hidden="1" x14ac:dyDescent="0.25">
      <c r="A1371" t="s">
        <v>8</v>
      </c>
      <c r="B1371" t="s">
        <v>95</v>
      </c>
      <c r="C1371">
        <v>202411</v>
      </c>
      <c r="D1371" t="str">
        <f t="shared" si="21"/>
        <v>2024</v>
      </c>
      <c r="E1371">
        <v>436472</v>
      </c>
      <c r="F1371">
        <v>10486618</v>
      </c>
      <c r="G1371">
        <v>4.16</v>
      </c>
      <c r="H1371" t="s">
        <v>10</v>
      </c>
      <c r="I1371" t="s">
        <v>11</v>
      </c>
    </row>
    <row r="1372" spans="1:9" hidden="1" x14ac:dyDescent="0.25">
      <c r="A1372" t="s">
        <v>8</v>
      </c>
      <c r="B1372" t="s">
        <v>95</v>
      </c>
      <c r="C1372">
        <v>202412</v>
      </c>
      <c r="D1372" t="str">
        <f t="shared" si="21"/>
        <v>2024</v>
      </c>
      <c r="E1372">
        <v>427803</v>
      </c>
      <c r="F1372">
        <v>10486618</v>
      </c>
      <c r="G1372">
        <v>4.08</v>
      </c>
      <c r="H1372" t="s">
        <v>10</v>
      </c>
      <c r="I1372" t="s">
        <v>11</v>
      </c>
    </row>
    <row r="1373" spans="1:9" x14ac:dyDescent="0.25">
      <c r="A1373" t="s">
        <v>8</v>
      </c>
      <c r="B1373" t="s">
        <v>95</v>
      </c>
      <c r="C1373">
        <v>202501</v>
      </c>
      <c r="D1373" t="str">
        <f t="shared" si="21"/>
        <v>2025</v>
      </c>
      <c r="E1373">
        <v>153020</v>
      </c>
      <c r="F1373">
        <v>10486618</v>
      </c>
      <c r="G1373">
        <v>1.46</v>
      </c>
      <c r="H1373" t="s">
        <v>10</v>
      </c>
      <c r="I1373" t="s">
        <v>11</v>
      </c>
    </row>
    <row r="1374" spans="1:9" x14ac:dyDescent="0.25">
      <c r="A1374" t="s">
        <v>8</v>
      </c>
      <c r="B1374" t="s">
        <v>95</v>
      </c>
      <c r="C1374">
        <v>202502</v>
      </c>
      <c r="D1374" t="str">
        <f t="shared" si="21"/>
        <v>2025</v>
      </c>
      <c r="E1374">
        <v>8927</v>
      </c>
      <c r="F1374">
        <v>10486618</v>
      </c>
      <c r="G1374">
        <v>0.09</v>
      </c>
      <c r="H1374" t="s">
        <v>10</v>
      </c>
      <c r="I1374" t="s">
        <v>11</v>
      </c>
    </row>
    <row r="1375" spans="1:9" hidden="1" x14ac:dyDescent="0.25">
      <c r="A1375" t="s">
        <v>8</v>
      </c>
      <c r="B1375" t="s">
        <v>36</v>
      </c>
      <c r="C1375">
        <v>201807</v>
      </c>
      <c r="D1375" t="str">
        <f t="shared" si="21"/>
        <v>2018</v>
      </c>
      <c r="E1375">
        <v>6</v>
      </c>
      <c r="F1375">
        <v>11119476</v>
      </c>
      <c r="G1375">
        <v>0</v>
      </c>
      <c r="H1375" t="s">
        <v>10</v>
      </c>
      <c r="I1375" t="s">
        <v>11</v>
      </c>
    </row>
    <row r="1376" spans="1:9" hidden="1" x14ac:dyDescent="0.25">
      <c r="A1376" t="s">
        <v>8</v>
      </c>
      <c r="B1376" t="s">
        <v>36</v>
      </c>
      <c r="C1376">
        <v>201808</v>
      </c>
      <c r="D1376" t="str">
        <f t="shared" si="21"/>
        <v>2018</v>
      </c>
      <c r="E1376">
        <v>17</v>
      </c>
      <c r="F1376">
        <v>11119476</v>
      </c>
      <c r="G1376">
        <v>0</v>
      </c>
      <c r="H1376" t="s">
        <v>10</v>
      </c>
      <c r="I1376" t="s">
        <v>11</v>
      </c>
    </row>
    <row r="1377" spans="1:9" hidden="1" x14ac:dyDescent="0.25">
      <c r="A1377" t="s">
        <v>8</v>
      </c>
      <c r="B1377" t="s">
        <v>36</v>
      </c>
      <c r="C1377">
        <v>201901</v>
      </c>
      <c r="D1377" t="str">
        <f t="shared" si="21"/>
        <v>2019</v>
      </c>
      <c r="E1377">
        <v>442</v>
      </c>
      <c r="F1377">
        <v>11119476</v>
      </c>
      <c r="G1377">
        <v>0</v>
      </c>
      <c r="H1377" t="s">
        <v>10</v>
      </c>
      <c r="I1377" t="s">
        <v>11</v>
      </c>
    </row>
    <row r="1378" spans="1:9" hidden="1" x14ac:dyDescent="0.25">
      <c r="A1378" t="s">
        <v>8</v>
      </c>
      <c r="B1378" t="s">
        <v>36</v>
      </c>
      <c r="C1378">
        <v>201902</v>
      </c>
      <c r="D1378" t="str">
        <f t="shared" si="21"/>
        <v>2019</v>
      </c>
      <c r="E1378">
        <v>330</v>
      </c>
      <c r="F1378">
        <v>11119476</v>
      </c>
      <c r="G1378">
        <v>0</v>
      </c>
      <c r="H1378" t="s">
        <v>10</v>
      </c>
      <c r="I1378" t="s">
        <v>11</v>
      </c>
    </row>
    <row r="1379" spans="1:9" hidden="1" x14ac:dyDescent="0.25">
      <c r="A1379" t="s">
        <v>8</v>
      </c>
      <c r="B1379" t="s">
        <v>36</v>
      </c>
      <c r="C1379">
        <v>201903</v>
      </c>
      <c r="D1379" t="str">
        <f t="shared" si="21"/>
        <v>2019</v>
      </c>
      <c r="E1379">
        <v>423</v>
      </c>
      <c r="F1379">
        <v>11119476</v>
      </c>
      <c r="G1379">
        <v>0</v>
      </c>
      <c r="H1379" t="s">
        <v>10</v>
      </c>
      <c r="I1379" t="s">
        <v>11</v>
      </c>
    </row>
    <row r="1380" spans="1:9" hidden="1" x14ac:dyDescent="0.25">
      <c r="A1380" t="s">
        <v>8</v>
      </c>
      <c r="B1380" t="s">
        <v>36</v>
      </c>
      <c r="C1380">
        <v>201904</v>
      </c>
      <c r="D1380" t="str">
        <f t="shared" si="21"/>
        <v>2019</v>
      </c>
      <c r="E1380">
        <v>535</v>
      </c>
      <c r="F1380">
        <v>11119476</v>
      </c>
      <c r="G1380">
        <v>0</v>
      </c>
      <c r="H1380" t="s">
        <v>10</v>
      </c>
      <c r="I1380" t="s">
        <v>11</v>
      </c>
    </row>
    <row r="1381" spans="1:9" hidden="1" x14ac:dyDescent="0.25">
      <c r="A1381" t="s">
        <v>8</v>
      </c>
      <c r="B1381" t="s">
        <v>36</v>
      </c>
      <c r="C1381">
        <v>201905</v>
      </c>
      <c r="D1381" t="str">
        <f t="shared" si="21"/>
        <v>2019</v>
      </c>
      <c r="E1381">
        <v>385</v>
      </c>
      <c r="F1381">
        <v>11119476</v>
      </c>
      <c r="G1381">
        <v>0</v>
      </c>
      <c r="H1381" t="s">
        <v>10</v>
      </c>
      <c r="I1381" t="s">
        <v>11</v>
      </c>
    </row>
    <row r="1382" spans="1:9" hidden="1" x14ac:dyDescent="0.25">
      <c r="A1382" t="s">
        <v>8</v>
      </c>
      <c r="B1382" t="s">
        <v>36</v>
      </c>
      <c r="C1382">
        <v>201906</v>
      </c>
      <c r="D1382" t="str">
        <f t="shared" si="21"/>
        <v>2019</v>
      </c>
      <c r="E1382">
        <v>499</v>
      </c>
      <c r="F1382">
        <v>11119476</v>
      </c>
      <c r="G1382">
        <v>0</v>
      </c>
      <c r="H1382" t="s">
        <v>10</v>
      </c>
      <c r="I1382" t="s">
        <v>11</v>
      </c>
    </row>
    <row r="1383" spans="1:9" hidden="1" x14ac:dyDescent="0.25">
      <c r="A1383" t="s">
        <v>8</v>
      </c>
      <c r="B1383" t="s">
        <v>36</v>
      </c>
      <c r="C1383">
        <v>201907</v>
      </c>
      <c r="D1383" t="str">
        <f t="shared" si="21"/>
        <v>2019</v>
      </c>
      <c r="E1383">
        <v>422</v>
      </c>
      <c r="F1383">
        <v>11119476</v>
      </c>
      <c r="G1383">
        <v>0</v>
      </c>
      <c r="H1383" t="s">
        <v>10</v>
      </c>
      <c r="I1383" t="s">
        <v>11</v>
      </c>
    </row>
    <row r="1384" spans="1:9" hidden="1" x14ac:dyDescent="0.25">
      <c r="A1384" t="s">
        <v>8</v>
      </c>
      <c r="B1384" t="s">
        <v>36</v>
      </c>
      <c r="C1384">
        <v>201908</v>
      </c>
      <c r="D1384" t="str">
        <f t="shared" si="21"/>
        <v>2019</v>
      </c>
      <c r="E1384">
        <v>459</v>
      </c>
      <c r="F1384">
        <v>11119476</v>
      </c>
      <c r="G1384">
        <v>0</v>
      </c>
      <c r="H1384" t="s">
        <v>10</v>
      </c>
      <c r="I1384" t="s">
        <v>11</v>
      </c>
    </row>
    <row r="1385" spans="1:9" hidden="1" x14ac:dyDescent="0.25">
      <c r="A1385" t="s">
        <v>8</v>
      </c>
      <c r="B1385" t="s">
        <v>36</v>
      </c>
      <c r="C1385">
        <v>201909</v>
      </c>
      <c r="D1385" t="str">
        <f t="shared" si="21"/>
        <v>2019</v>
      </c>
      <c r="E1385">
        <v>310</v>
      </c>
      <c r="F1385">
        <v>11119476</v>
      </c>
      <c r="G1385">
        <v>0</v>
      </c>
      <c r="H1385" t="s">
        <v>10</v>
      </c>
      <c r="I1385" t="s">
        <v>11</v>
      </c>
    </row>
    <row r="1386" spans="1:9" hidden="1" x14ac:dyDescent="0.25">
      <c r="A1386" t="s">
        <v>8</v>
      </c>
      <c r="B1386" t="s">
        <v>36</v>
      </c>
      <c r="C1386">
        <v>201910</v>
      </c>
      <c r="D1386" t="str">
        <f t="shared" si="21"/>
        <v>2019</v>
      </c>
      <c r="E1386">
        <v>378</v>
      </c>
      <c r="F1386">
        <v>11119476</v>
      </c>
      <c r="G1386">
        <v>0</v>
      </c>
      <c r="H1386" t="s">
        <v>10</v>
      </c>
      <c r="I1386" t="s">
        <v>11</v>
      </c>
    </row>
    <row r="1387" spans="1:9" hidden="1" x14ac:dyDescent="0.25">
      <c r="A1387" t="s">
        <v>8</v>
      </c>
      <c r="B1387" t="s">
        <v>36</v>
      </c>
      <c r="C1387">
        <v>201911</v>
      </c>
      <c r="D1387" t="str">
        <f t="shared" si="21"/>
        <v>2019</v>
      </c>
      <c r="E1387">
        <v>411</v>
      </c>
      <c r="F1387">
        <v>11119476</v>
      </c>
      <c r="G1387">
        <v>0</v>
      </c>
      <c r="H1387" t="s">
        <v>10</v>
      </c>
      <c r="I1387" t="s">
        <v>11</v>
      </c>
    </row>
    <row r="1388" spans="1:9" hidden="1" x14ac:dyDescent="0.25">
      <c r="A1388" t="s">
        <v>8</v>
      </c>
      <c r="B1388" t="s">
        <v>36</v>
      </c>
      <c r="C1388">
        <v>201912</v>
      </c>
      <c r="D1388" t="str">
        <f t="shared" si="21"/>
        <v>2019</v>
      </c>
      <c r="E1388">
        <v>396</v>
      </c>
      <c r="F1388">
        <v>11119476</v>
      </c>
      <c r="G1388">
        <v>0</v>
      </c>
      <c r="H1388" t="s">
        <v>10</v>
      </c>
      <c r="I1388" t="s">
        <v>11</v>
      </c>
    </row>
    <row r="1389" spans="1:9" hidden="1" x14ac:dyDescent="0.25">
      <c r="A1389" t="s">
        <v>8</v>
      </c>
      <c r="B1389" t="s">
        <v>36</v>
      </c>
      <c r="C1389">
        <v>202001</v>
      </c>
      <c r="D1389" t="str">
        <f t="shared" si="21"/>
        <v>2020</v>
      </c>
      <c r="E1389">
        <v>23577</v>
      </c>
      <c r="F1389">
        <v>11119476</v>
      </c>
      <c r="G1389">
        <v>0.21</v>
      </c>
      <c r="H1389" t="s">
        <v>10</v>
      </c>
      <c r="I1389" t="s">
        <v>11</v>
      </c>
    </row>
    <row r="1390" spans="1:9" hidden="1" x14ac:dyDescent="0.25">
      <c r="A1390" t="s">
        <v>8</v>
      </c>
      <c r="B1390" t="s">
        <v>36</v>
      </c>
      <c r="C1390">
        <v>202002</v>
      </c>
      <c r="D1390" t="str">
        <f t="shared" si="21"/>
        <v>2020</v>
      </c>
      <c r="E1390">
        <v>21551</v>
      </c>
      <c r="F1390">
        <v>11119476</v>
      </c>
      <c r="G1390">
        <v>0.19</v>
      </c>
      <c r="H1390" t="s">
        <v>10</v>
      </c>
      <c r="I1390" t="s">
        <v>11</v>
      </c>
    </row>
    <row r="1391" spans="1:9" hidden="1" x14ac:dyDescent="0.25">
      <c r="A1391" t="s">
        <v>8</v>
      </c>
      <c r="B1391" t="s">
        <v>36</v>
      </c>
      <c r="C1391">
        <v>202003</v>
      </c>
      <c r="D1391" t="str">
        <f t="shared" si="21"/>
        <v>2020</v>
      </c>
      <c r="E1391">
        <v>18686</v>
      </c>
      <c r="F1391">
        <v>11119476</v>
      </c>
      <c r="G1391">
        <v>0.17</v>
      </c>
      <c r="H1391" t="s">
        <v>10</v>
      </c>
      <c r="I1391" t="s">
        <v>11</v>
      </c>
    </row>
    <row r="1392" spans="1:9" hidden="1" x14ac:dyDescent="0.25">
      <c r="A1392" t="s">
        <v>8</v>
      </c>
      <c r="B1392" t="s">
        <v>36</v>
      </c>
      <c r="C1392">
        <v>202004</v>
      </c>
      <c r="D1392" t="str">
        <f t="shared" si="21"/>
        <v>2020</v>
      </c>
      <c r="E1392">
        <v>9661</v>
      </c>
      <c r="F1392">
        <v>11119476</v>
      </c>
      <c r="G1392">
        <v>0.09</v>
      </c>
      <c r="H1392" t="s">
        <v>10</v>
      </c>
      <c r="I1392" t="s">
        <v>11</v>
      </c>
    </row>
    <row r="1393" spans="1:9" hidden="1" x14ac:dyDescent="0.25">
      <c r="A1393" t="s">
        <v>8</v>
      </c>
      <c r="B1393" t="s">
        <v>36</v>
      </c>
      <c r="C1393">
        <v>202005</v>
      </c>
      <c r="D1393" t="str">
        <f t="shared" si="21"/>
        <v>2020</v>
      </c>
      <c r="E1393">
        <v>18421</v>
      </c>
      <c r="F1393">
        <v>11119476</v>
      </c>
      <c r="G1393">
        <v>0.17</v>
      </c>
      <c r="H1393" t="s">
        <v>10</v>
      </c>
      <c r="I1393" t="s">
        <v>11</v>
      </c>
    </row>
    <row r="1394" spans="1:9" hidden="1" x14ac:dyDescent="0.25">
      <c r="A1394" t="s">
        <v>8</v>
      </c>
      <c r="B1394" t="s">
        <v>36</v>
      </c>
      <c r="C1394">
        <v>202006</v>
      </c>
      <c r="D1394" t="str">
        <f t="shared" si="21"/>
        <v>2020</v>
      </c>
      <c r="E1394">
        <v>24153</v>
      </c>
      <c r="F1394">
        <v>11119476</v>
      </c>
      <c r="G1394">
        <v>0.22</v>
      </c>
      <c r="H1394" t="s">
        <v>10</v>
      </c>
      <c r="I1394" t="s">
        <v>11</v>
      </c>
    </row>
    <row r="1395" spans="1:9" hidden="1" x14ac:dyDescent="0.25">
      <c r="A1395" t="s">
        <v>8</v>
      </c>
      <c r="B1395" t="s">
        <v>36</v>
      </c>
      <c r="C1395">
        <v>202007</v>
      </c>
      <c r="D1395" t="str">
        <f t="shared" si="21"/>
        <v>2020</v>
      </c>
      <c r="E1395">
        <v>16094</v>
      </c>
      <c r="F1395">
        <v>11119476</v>
      </c>
      <c r="G1395">
        <v>0.14000000000000001</v>
      </c>
      <c r="H1395" t="s">
        <v>10</v>
      </c>
      <c r="I1395" t="s">
        <v>11</v>
      </c>
    </row>
    <row r="1396" spans="1:9" hidden="1" x14ac:dyDescent="0.25">
      <c r="A1396" t="s">
        <v>8</v>
      </c>
      <c r="B1396" t="s">
        <v>36</v>
      </c>
      <c r="C1396">
        <v>202008</v>
      </c>
      <c r="D1396" t="str">
        <f t="shared" si="21"/>
        <v>2020</v>
      </c>
      <c r="E1396">
        <v>15517</v>
      </c>
      <c r="F1396">
        <v>11119476</v>
      </c>
      <c r="G1396">
        <v>0.14000000000000001</v>
      </c>
      <c r="H1396" t="s">
        <v>10</v>
      </c>
      <c r="I1396" t="s">
        <v>11</v>
      </c>
    </row>
    <row r="1397" spans="1:9" hidden="1" x14ac:dyDescent="0.25">
      <c r="A1397" t="s">
        <v>8</v>
      </c>
      <c r="B1397" t="s">
        <v>36</v>
      </c>
      <c r="C1397">
        <v>202009</v>
      </c>
      <c r="D1397" t="str">
        <f t="shared" si="21"/>
        <v>2020</v>
      </c>
      <c r="E1397">
        <v>17734</v>
      </c>
      <c r="F1397">
        <v>11119476</v>
      </c>
      <c r="G1397">
        <v>0.16</v>
      </c>
      <c r="H1397" t="s">
        <v>10</v>
      </c>
      <c r="I1397" t="s">
        <v>11</v>
      </c>
    </row>
    <row r="1398" spans="1:9" hidden="1" x14ac:dyDescent="0.25">
      <c r="A1398" t="s">
        <v>8</v>
      </c>
      <c r="B1398" t="s">
        <v>36</v>
      </c>
      <c r="C1398">
        <v>202010</v>
      </c>
      <c r="D1398" t="str">
        <f t="shared" si="21"/>
        <v>2020</v>
      </c>
      <c r="E1398">
        <v>17037</v>
      </c>
      <c r="F1398">
        <v>11119476</v>
      </c>
      <c r="G1398">
        <v>0.15</v>
      </c>
      <c r="H1398" t="s">
        <v>10</v>
      </c>
      <c r="I1398" t="s">
        <v>11</v>
      </c>
    </row>
    <row r="1399" spans="1:9" hidden="1" x14ac:dyDescent="0.25">
      <c r="A1399" t="s">
        <v>8</v>
      </c>
      <c r="B1399" t="s">
        <v>36</v>
      </c>
      <c r="C1399">
        <v>202011</v>
      </c>
      <c r="D1399" t="str">
        <f t="shared" si="21"/>
        <v>2020</v>
      </c>
      <c r="E1399">
        <v>14145</v>
      </c>
      <c r="F1399">
        <v>11119476</v>
      </c>
      <c r="G1399">
        <v>0.13</v>
      </c>
      <c r="H1399" t="s">
        <v>10</v>
      </c>
      <c r="I1399" t="s">
        <v>11</v>
      </c>
    </row>
    <row r="1400" spans="1:9" hidden="1" x14ac:dyDescent="0.25">
      <c r="A1400" t="s">
        <v>8</v>
      </c>
      <c r="B1400" t="s">
        <v>36</v>
      </c>
      <c r="C1400">
        <v>202012</v>
      </c>
      <c r="D1400" t="str">
        <f t="shared" si="21"/>
        <v>2020</v>
      </c>
      <c r="E1400">
        <v>14743</v>
      </c>
      <c r="F1400">
        <v>11119476</v>
      </c>
      <c r="G1400">
        <v>0.13</v>
      </c>
      <c r="H1400" t="s">
        <v>10</v>
      </c>
      <c r="I1400" t="s">
        <v>11</v>
      </c>
    </row>
    <row r="1401" spans="1:9" hidden="1" x14ac:dyDescent="0.25">
      <c r="A1401" t="s">
        <v>8</v>
      </c>
      <c r="B1401" t="s">
        <v>36</v>
      </c>
      <c r="C1401">
        <v>202101</v>
      </c>
      <c r="D1401" t="str">
        <f t="shared" si="21"/>
        <v>2021</v>
      </c>
      <c r="E1401">
        <v>41752</v>
      </c>
      <c r="F1401">
        <v>11119476</v>
      </c>
      <c r="G1401">
        <v>0.38</v>
      </c>
      <c r="H1401" t="s">
        <v>10</v>
      </c>
      <c r="I1401" t="s">
        <v>11</v>
      </c>
    </row>
    <row r="1402" spans="1:9" hidden="1" x14ac:dyDescent="0.25">
      <c r="A1402" t="s">
        <v>8</v>
      </c>
      <c r="B1402" t="s">
        <v>36</v>
      </c>
      <c r="C1402">
        <v>202102</v>
      </c>
      <c r="D1402" t="str">
        <f t="shared" si="21"/>
        <v>2021</v>
      </c>
      <c r="E1402">
        <v>31281</v>
      </c>
      <c r="F1402">
        <v>11119476</v>
      </c>
      <c r="G1402">
        <v>0.28000000000000003</v>
      </c>
      <c r="H1402" t="s">
        <v>10</v>
      </c>
      <c r="I1402" t="s">
        <v>11</v>
      </c>
    </row>
    <row r="1403" spans="1:9" hidden="1" x14ac:dyDescent="0.25">
      <c r="A1403" t="s">
        <v>8</v>
      </c>
      <c r="B1403" t="s">
        <v>36</v>
      </c>
      <c r="C1403">
        <v>202103</v>
      </c>
      <c r="D1403" t="str">
        <f t="shared" si="21"/>
        <v>2021</v>
      </c>
      <c r="E1403">
        <v>39376</v>
      </c>
      <c r="F1403">
        <v>11119476</v>
      </c>
      <c r="G1403">
        <v>0.35</v>
      </c>
      <c r="H1403" t="s">
        <v>10</v>
      </c>
      <c r="I1403" t="s">
        <v>11</v>
      </c>
    </row>
    <row r="1404" spans="1:9" hidden="1" x14ac:dyDescent="0.25">
      <c r="A1404" t="s">
        <v>8</v>
      </c>
      <c r="B1404" t="s">
        <v>36</v>
      </c>
      <c r="C1404">
        <v>202104</v>
      </c>
      <c r="D1404" t="str">
        <f t="shared" si="21"/>
        <v>2021</v>
      </c>
      <c r="E1404">
        <v>37117</v>
      </c>
      <c r="F1404">
        <v>11119476</v>
      </c>
      <c r="G1404">
        <v>0.33</v>
      </c>
      <c r="H1404" t="s">
        <v>10</v>
      </c>
      <c r="I1404" t="s">
        <v>11</v>
      </c>
    </row>
    <row r="1405" spans="1:9" hidden="1" x14ac:dyDescent="0.25">
      <c r="A1405" t="s">
        <v>8</v>
      </c>
      <c r="B1405" t="s">
        <v>36</v>
      </c>
      <c r="C1405">
        <v>202105</v>
      </c>
      <c r="D1405" t="str">
        <f t="shared" si="21"/>
        <v>2021</v>
      </c>
      <c r="E1405">
        <v>35208</v>
      </c>
      <c r="F1405">
        <v>11119476</v>
      </c>
      <c r="G1405">
        <v>0.32</v>
      </c>
      <c r="H1405" t="s">
        <v>10</v>
      </c>
      <c r="I1405" t="s">
        <v>11</v>
      </c>
    </row>
    <row r="1406" spans="1:9" hidden="1" x14ac:dyDescent="0.25">
      <c r="A1406" t="s">
        <v>8</v>
      </c>
      <c r="B1406" t="s">
        <v>36</v>
      </c>
      <c r="C1406">
        <v>202106</v>
      </c>
      <c r="D1406" t="str">
        <f t="shared" si="21"/>
        <v>2021</v>
      </c>
      <c r="E1406">
        <v>38684</v>
      </c>
      <c r="F1406">
        <v>11119476</v>
      </c>
      <c r="G1406">
        <v>0.35</v>
      </c>
      <c r="H1406" t="s">
        <v>10</v>
      </c>
      <c r="I1406" t="s">
        <v>11</v>
      </c>
    </row>
    <row r="1407" spans="1:9" hidden="1" x14ac:dyDescent="0.25">
      <c r="A1407" t="s">
        <v>8</v>
      </c>
      <c r="B1407" t="s">
        <v>36</v>
      </c>
      <c r="C1407">
        <v>202107</v>
      </c>
      <c r="D1407" t="str">
        <f t="shared" si="21"/>
        <v>2021</v>
      </c>
      <c r="E1407">
        <v>80806</v>
      </c>
      <c r="F1407">
        <v>11119476</v>
      </c>
      <c r="G1407">
        <v>0.73</v>
      </c>
      <c r="H1407" t="s">
        <v>10</v>
      </c>
      <c r="I1407" t="s">
        <v>11</v>
      </c>
    </row>
    <row r="1408" spans="1:9" hidden="1" x14ac:dyDescent="0.25">
      <c r="A1408" t="s">
        <v>8</v>
      </c>
      <c r="B1408" t="s">
        <v>36</v>
      </c>
      <c r="C1408">
        <v>202108</v>
      </c>
      <c r="D1408" t="str">
        <f t="shared" si="21"/>
        <v>2021</v>
      </c>
      <c r="E1408">
        <v>83491</v>
      </c>
      <c r="F1408">
        <v>11119476</v>
      </c>
      <c r="G1408">
        <v>0.75</v>
      </c>
      <c r="H1408" t="s">
        <v>10</v>
      </c>
      <c r="I1408" t="s">
        <v>11</v>
      </c>
    </row>
    <row r="1409" spans="1:9" hidden="1" x14ac:dyDescent="0.25">
      <c r="A1409" t="s">
        <v>8</v>
      </c>
      <c r="B1409" t="s">
        <v>36</v>
      </c>
      <c r="C1409">
        <v>202109</v>
      </c>
      <c r="D1409" t="str">
        <f t="shared" si="21"/>
        <v>2021</v>
      </c>
      <c r="E1409">
        <v>89848</v>
      </c>
      <c r="F1409">
        <v>11119476</v>
      </c>
      <c r="G1409">
        <v>0.81</v>
      </c>
      <c r="H1409" t="s">
        <v>10</v>
      </c>
      <c r="I1409" t="s">
        <v>11</v>
      </c>
    </row>
    <row r="1410" spans="1:9" hidden="1" x14ac:dyDescent="0.25">
      <c r="A1410" t="s">
        <v>8</v>
      </c>
      <c r="B1410" t="s">
        <v>36</v>
      </c>
      <c r="C1410">
        <v>202110</v>
      </c>
      <c r="D1410" t="str">
        <f t="shared" si="21"/>
        <v>2021</v>
      </c>
      <c r="E1410">
        <v>86568</v>
      </c>
      <c r="F1410">
        <v>11119476</v>
      </c>
      <c r="G1410">
        <v>0.78</v>
      </c>
      <c r="H1410" t="s">
        <v>10</v>
      </c>
      <c r="I1410" t="s">
        <v>11</v>
      </c>
    </row>
    <row r="1411" spans="1:9" hidden="1" x14ac:dyDescent="0.25">
      <c r="A1411" t="s">
        <v>8</v>
      </c>
      <c r="B1411" t="s">
        <v>36</v>
      </c>
      <c r="C1411">
        <v>202111</v>
      </c>
      <c r="D1411" t="str">
        <f t="shared" ref="D1411:D1474" si="22">LEFT(C1411,4)</f>
        <v>2021</v>
      </c>
      <c r="E1411">
        <v>90206</v>
      </c>
      <c r="F1411">
        <v>11119476</v>
      </c>
      <c r="G1411">
        <v>0.81</v>
      </c>
      <c r="H1411" t="s">
        <v>10</v>
      </c>
      <c r="I1411" t="s">
        <v>11</v>
      </c>
    </row>
    <row r="1412" spans="1:9" hidden="1" x14ac:dyDescent="0.25">
      <c r="A1412" t="s">
        <v>8</v>
      </c>
      <c r="B1412" t="s">
        <v>36</v>
      </c>
      <c r="C1412">
        <v>202112</v>
      </c>
      <c r="D1412" t="str">
        <f t="shared" si="22"/>
        <v>2021</v>
      </c>
      <c r="E1412">
        <v>98363</v>
      </c>
      <c r="F1412">
        <v>11119476</v>
      </c>
      <c r="G1412">
        <v>0.88</v>
      </c>
      <c r="H1412" t="s">
        <v>10</v>
      </c>
      <c r="I1412" t="s">
        <v>11</v>
      </c>
    </row>
    <row r="1413" spans="1:9" hidden="1" x14ac:dyDescent="0.25">
      <c r="A1413" t="s">
        <v>8</v>
      </c>
      <c r="B1413" t="s">
        <v>36</v>
      </c>
      <c r="C1413">
        <v>202201</v>
      </c>
      <c r="D1413" t="str">
        <f t="shared" si="22"/>
        <v>2022</v>
      </c>
      <c r="E1413">
        <v>74900</v>
      </c>
      <c r="F1413">
        <v>11119476</v>
      </c>
      <c r="G1413">
        <v>0.67</v>
      </c>
      <c r="H1413" t="s">
        <v>10</v>
      </c>
      <c r="I1413" t="s">
        <v>11</v>
      </c>
    </row>
    <row r="1414" spans="1:9" hidden="1" x14ac:dyDescent="0.25">
      <c r="A1414" t="s">
        <v>8</v>
      </c>
      <c r="B1414" t="s">
        <v>36</v>
      </c>
      <c r="C1414">
        <v>202202</v>
      </c>
      <c r="D1414" t="str">
        <f t="shared" si="22"/>
        <v>2022</v>
      </c>
      <c r="E1414">
        <v>59861</v>
      </c>
      <c r="F1414">
        <v>11119476</v>
      </c>
      <c r="G1414">
        <v>0.54</v>
      </c>
      <c r="H1414" t="s">
        <v>10</v>
      </c>
      <c r="I1414" t="s">
        <v>11</v>
      </c>
    </row>
    <row r="1415" spans="1:9" hidden="1" x14ac:dyDescent="0.25">
      <c r="A1415" t="s">
        <v>8</v>
      </c>
      <c r="B1415" t="s">
        <v>36</v>
      </c>
      <c r="C1415">
        <v>202203</v>
      </c>
      <c r="D1415" t="str">
        <f t="shared" si="22"/>
        <v>2022</v>
      </c>
      <c r="E1415">
        <v>75344</v>
      </c>
      <c r="F1415">
        <v>11119476</v>
      </c>
      <c r="G1415">
        <v>0.68</v>
      </c>
      <c r="H1415" t="s">
        <v>10</v>
      </c>
      <c r="I1415" t="s">
        <v>11</v>
      </c>
    </row>
    <row r="1416" spans="1:9" hidden="1" x14ac:dyDescent="0.25">
      <c r="A1416" t="s">
        <v>8</v>
      </c>
      <c r="B1416" t="s">
        <v>36</v>
      </c>
      <c r="C1416">
        <v>202204</v>
      </c>
      <c r="D1416" t="str">
        <f t="shared" si="22"/>
        <v>2022</v>
      </c>
      <c r="E1416">
        <v>87972</v>
      </c>
      <c r="F1416">
        <v>11119476</v>
      </c>
      <c r="G1416">
        <v>0.79</v>
      </c>
      <c r="H1416" t="s">
        <v>10</v>
      </c>
      <c r="I1416" t="s">
        <v>11</v>
      </c>
    </row>
    <row r="1417" spans="1:9" hidden="1" x14ac:dyDescent="0.25">
      <c r="A1417" t="s">
        <v>8</v>
      </c>
      <c r="B1417" t="s">
        <v>36</v>
      </c>
      <c r="C1417">
        <v>202205</v>
      </c>
      <c r="D1417" t="str">
        <f t="shared" si="22"/>
        <v>2022</v>
      </c>
      <c r="E1417">
        <v>173489</v>
      </c>
      <c r="F1417">
        <v>11119476</v>
      </c>
      <c r="G1417">
        <v>1.56</v>
      </c>
      <c r="H1417" t="s">
        <v>10</v>
      </c>
      <c r="I1417" t="s">
        <v>11</v>
      </c>
    </row>
    <row r="1418" spans="1:9" hidden="1" x14ac:dyDescent="0.25">
      <c r="A1418" t="s">
        <v>8</v>
      </c>
      <c r="B1418" t="s">
        <v>36</v>
      </c>
      <c r="C1418">
        <v>202206</v>
      </c>
      <c r="D1418" t="str">
        <f t="shared" si="22"/>
        <v>2022</v>
      </c>
      <c r="E1418">
        <v>185656</v>
      </c>
      <c r="F1418">
        <v>11119476</v>
      </c>
      <c r="G1418">
        <v>1.67</v>
      </c>
      <c r="H1418" t="s">
        <v>10</v>
      </c>
      <c r="I1418" t="s">
        <v>11</v>
      </c>
    </row>
    <row r="1419" spans="1:9" hidden="1" x14ac:dyDescent="0.25">
      <c r="A1419" t="s">
        <v>8</v>
      </c>
      <c r="B1419" t="s">
        <v>36</v>
      </c>
      <c r="C1419">
        <v>202207</v>
      </c>
      <c r="D1419" t="str">
        <f t="shared" si="22"/>
        <v>2022</v>
      </c>
      <c r="E1419">
        <v>174208</v>
      </c>
      <c r="F1419">
        <v>11119476</v>
      </c>
      <c r="G1419">
        <v>1.57</v>
      </c>
      <c r="H1419" t="s">
        <v>10</v>
      </c>
      <c r="I1419" t="s">
        <v>11</v>
      </c>
    </row>
    <row r="1420" spans="1:9" hidden="1" x14ac:dyDescent="0.25">
      <c r="A1420" t="s">
        <v>8</v>
      </c>
      <c r="B1420" t="s">
        <v>36</v>
      </c>
      <c r="C1420">
        <v>202208</v>
      </c>
      <c r="D1420" t="str">
        <f t="shared" si="22"/>
        <v>2022</v>
      </c>
      <c r="E1420">
        <v>192292</v>
      </c>
      <c r="F1420">
        <v>11119476</v>
      </c>
      <c r="G1420">
        <v>1.73</v>
      </c>
      <c r="H1420" t="s">
        <v>10</v>
      </c>
      <c r="I1420" t="s">
        <v>11</v>
      </c>
    </row>
    <row r="1421" spans="1:9" hidden="1" x14ac:dyDescent="0.25">
      <c r="A1421" t="s">
        <v>8</v>
      </c>
      <c r="B1421" t="s">
        <v>36</v>
      </c>
      <c r="C1421">
        <v>202209</v>
      </c>
      <c r="D1421" t="str">
        <f t="shared" si="22"/>
        <v>2022</v>
      </c>
      <c r="E1421">
        <v>179232</v>
      </c>
      <c r="F1421">
        <v>11119476</v>
      </c>
      <c r="G1421">
        <v>1.61</v>
      </c>
      <c r="H1421" t="s">
        <v>10</v>
      </c>
      <c r="I1421" t="s">
        <v>11</v>
      </c>
    </row>
    <row r="1422" spans="1:9" hidden="1" x14ac:dyDescent="0.25">
      <c r="A1422" t="s">
        <v>8</v>
      </c>
      <c r="B1422" t="s">
        <v>36</v>
      </c>
      <c r="C1422">
        <v>202210</v>
      </c>
      <c r="D1422" t="str">
        <f t="shared" si="22"/>
        <v>2022</v>
      </c>
      <c r="E1422">
        <v>182208</v>
      </c>
      <c r="F1422">
        <v>11119476</v>
      </c>
      <c r="G1422">
        <v>1.64</v>
      </c>
      <c r="H1422" t="s">
        <v>10</v>
      </c>
      <c r="I1422" t="s">
        <v>11</v>
      </c>
    </row>
    <row r="1423" spans="1:9" hidden="1" x14ac:dyDescent="0.25">
      <c r="A1423" t="s">
        <v>8</v>
      </c>
      <c r="B1423" t="s">
        <v>36</v>
      </c>
      <c r="C1423">
        <v>202211</v>
      </c>
      <c r="D1423" t="str">
        <f t="shared" si="22"/>
        <v>2022</v>
      </c>
      <c r="E1423">
        <v>179707</v>
      </c>
      <c r="F1423">
        <v>11119476</v>
      </c>
      <c r="G1423">
        <v>1.62</v>
      </c>
      <c r="H1423" t="s">
        <v>10</v>
      </c>
      <c r="I1423" t="s">
        <v>11</v>
      </c>
    </row>
    <row r="1424" spans="1:9" hidden="1" x14ac:dyDescent="0.25">
      <c r="A1424" t="s">
        <v>8</v>
      </c>
      <c r="B1424" t="s">
        <v>36</v>
      </c>
      <c r="C1424">
        <v>202212</v>
      </c>
      <c r="D1424" t="str">
        <f t="shared" si="22"/>
        <v>2022</v>
      </c>
      <c r="E1424">
        <v>169837</v>
      </c>
      <c r="F1424">
        <v>11119476</v>
      </c>
      <c r="G1424">
        <v>1.53</v>
      </c>
      <c r="H1424" t="s">
        <v>10</v>
      </c>
      <c r="I1424" t="s">
        <v>11</v>
      </c>
    </row>
    <row r="1425" spans="1:9" hidden="1" x14ac:dyDescent="0.25">
      <c r="A1425" t="s">
        <v>8</v>
      </c>
      <c r="B1425" t="s">
        <v>36</v>
      </c>
      <c r="C1425">
        <v>202301</v>
      </c>
      <c r="D1425" t="str">
        <f t="shared" si="22"/>
        <v>2023</v>
      </c>
      <c r="E1425">
        <v>232226</v>
      </c>
      <c r="F1425">
        <v>11119476</v>
      </c>
      <c r="G1425">
        <v>2.09</v>
      </c>
      <c r="H1425" t="s">
        <v>10</v>
      </c>
      <c r="I1425" t="s">
        <v>11</v>
      </c>
    </row>
    <row r="1426" spans="1:9" hidden="1" x14ac:dyDescent="0.25">
      <c r="A1426" t="s">
        <v>8</v>
      </c>
      <c r="B1426" t="s">
        <v>36</v>
      </c>
      <c r="C1426">
        <v>202302</v>
      </c>
      <c r="D1426" t="str">
        <f t="shared" si="22"/>
        <v>2023</v>
      </c>
      <c r="E1426">
        <v>226684</v>
      </c>
      <c r="F1426">
        <v>11119476</v>
      </c>
      <c r="G1426">
        <v>2.04</v>
      </c>
      <c r="H1426" t="s">
        <v>10</v>
      </c>
      <c r="I1426" t="s">
        <v>11</v>
      </c>
    </row>
    <row r="1427" spans="1:9" hidden="1" x14ac:dyDescent="0.25">
      <c r="A1427" t="s">
        <v>8</v>
      </c>
      <c r="B1427" t="s">
        <v>36</v>
      </c>
      <c r="C1427">
        <v>202303</v>
      </c>
      <c r="D1427" t="str">
        <f t="shared" si="22"/>
        <v>2023</v>
      </c>
      <c r="E1427">
        <v>251026</v>
      </c>
      <c r="F1427">
        <v>11119476</v>
      </c>
      <c r="G1427">
        <v>2.2599999999999998</v>
      </c>
      <c r="H1427" t="s">
        <v>10</v>
      </c>
      <c r="I1427" t="s">
        <v>11</v>
      </c>
    </row>
    <row r="1428" spans="1:9" hidden="1" x14ac:dyDescent="0.25">
      <c r="A1428" t="s">
        <v>8</v>
      </c>
      <c r="B1428" t="s">
        <v>36</v>
      </c>
      <c r="C1428">
        <v>202304</v>
      </c>
      <c r="D1428" t="str">
        <f t="shared" si="22"/>
        <v>2023</v>
      </c>
      <c r="E1428">
        <v>227634</v>
      </c>
      <c r="F1428">
        <v>11119476</v>
      </c>
      <c r="G1428">
        <v>2.0499999999999998</v>
      </c>
      <c r="H1428" t="s">
        <v>10</v>
      </c>
      <c r="I1428" t="s">
        <v>11</v>
      </c>
    </row>
    <row r="1429" spans="1:9" hidden="1" x14ac:dyDescent="0.25">
      <c r="A1429" t="s">
        <v>8</v>
      </c>
      <c r="B1429" t="s">
        <v>36</v>
      </c>
      <c r="C1429">
        <v>202305</v>
      </c>
      <c r="D1429" t="str">
        <f t="shared" si="22"/>
        <v>2023</v>
      </c>
      <c r="E1429">
        <v>241213</v>
      </c>
      <c r="F1429">
        <v>11119476</v>
      </c>
      <c r="G1429">
        <v>2.17</v>
      </c>
      <c r="H1429" t="s">
        <v>10</v>
      </c>
      <c r="I1429" t="s">
        <v>11</v>
      </c>
    </row>
    <row r="1430" spans="1:9" hidden="1" x14ac:dyDescent="0.25">
      <c r="A1430" t="s">
        <v>8</v>
      </c>
      <c r="B1430" t="s">
        <v>36</v>
      </c>
      <c r="C1430">
        <v>202306</v>
      </c>
      <c r="D1430" t="str">
        <f t="shared" si="22"/>
        <v>2023</v>
      </c>
      <c r="E1430">
        <v>234158</v>
      </c>
      <c r="F1430">
        <v>11119476</v>
      </c>
      <c r="G1430">
        <v>2.11</v>
      </c>
      <c r="H1430" t="s">
        <v>10</v>
      </c>
      <c r="I1430" t="s">
        <v>11</v>
      </c>
    </row>
    <row r="1431" spans="1:9" hidden="1" x14ac:dyDescent="0.25">
      <c r="A1431" t="s">
        <v>8</v>
      </c>
      <c r="B1431" t="s">
        <v>36</v>
      </c>
      <c r="C1431">
        <v>202307</v>
      </c>
      <c r="D1431" t="str">
        <f t="shared" si="22"/>
        <v>2023</v>
      </c>
      <c r="E1431">
        <v>218140</v>
      </c>
      <c r="F1431">
        <v>11119476</v>
      </c>
      <c r="G1431">
        <v>1.96</v>
      </c>
      <c r="H1431" t="s">
        <v>10</v>
      </c>
      <c r="I1431" t="s">
        <v>11</v>
      </c>
    </row>
    <row r="1432" spans="1:9" hidden="1" x14ac:dyDescent="0.25">
      <c r="A1432" t="s">
        <v>8</v>
      </c>
      <c r="B1432" t="s">
        <v>36</v>
      </c>
      <c r="C1432">
        <v>202308</v>
      </c>
      <c r="D1432" t="str">
        <f t="shared" si="22"/>
        <v>2023</v>
      </c>
      <c r="E1432">
        <v>249670</v>
      </c>
      <c r="F1432">
        <v>11119476</v>
      </c>
      <c r="G1432">
        <v>2.25</v>
      </c>
      <c r="H1432" t="s">
        <v>10</v>
      </c>
      <c r="I1432" t="s">
        <v>11</v>
      </c>
    </row>
    <row r="1433" spans="1:9" hidden="1" x14ac:dyDescent="0.25">
      <c r="A1433" t="s">
        <v>8</v>
      </c>
      <c r="B1433" t="s">
        <v>36</v>
      </c>
      <c r="C1433">
        <v>202309</v>
      </c>
      <c r="D1433" t="str">
        <f t="shared" si="22"/>
        <v>2023</v>
      </c>
      <c r="E1433">
        <v>233511</v>
      </c>
      <c r="F1433">
        <v>11119476</v>
      </c>
      <c r="G1433">
        <v>2.1</v>
      </c>
      <c r="H1433" t="s">
        <v>10</v>
      </c>
      <c r="I1433" t="s">
        <v>11</v>
      </c>
    </row>
    <row r="1434" spans="1:9" hidden="1" x14ac:dyDescent="0.25">
      <c r="A1434" t="s">
        <v>8</v>
      </c>
      <c r="B1434" t="s">
        <v>36</v>
      </c>
      <c r="C1434">
        <v>202310</v>
      </c>
      <c r="D1434" t="str">
        <f t="shared" si="22"/>
        <v>2023</v>
      </c>
      <c r="E1434">
        <v>255451</v>
      </c>
      <c r="F1434">
        <v>11119476</v>
      </c>
      <c r="G1434">
        <v>2.2999999999999998</v>
      </c>
      <c r="H1434" t="s">
        <v>10</v>
      </c>
      <c r="I1434" t="s">
        <v>11</v>
      </c>
    </row>
    <row r="1435" spans="1:9" hidden="1" x14ac:dyDescent="0.25">
      <c r="A1435" t="s">
        <v>8</v>
      </c>
      <c r="B1435" t="s">
        <v>36</v>
      </c>
      <c r="C1435">
        <v>202311</v>
      </c>
      <c r="D1435" t="str">
        <f t="shared" si="22"/>
        <v>2023</v>
      </c>
      <c r="E1435">
        <v>240036</v>
      </c>
      <c r="F1435">
        <v>11119476</v>
      </c>
      <c r="G1435">
        <v>2.16</v>
      </c>
      <c r="H1435" t="s">
        <v>10</v>
      </c>
      <c r="I1435" t="s">
        <v>11</v>
      </c>
    </row>
    <row r="1436" spans="1:9" hidden="1" x14ac:dyDescent="0.25">
      <c r="A1436" t="s">
        <v>8</v>
      </c>
      <c r="B1436" t="s">
        <v>36</v>
      </c>
      <c r="C1436">
        <v>202312</v>
      </c>
      <c r="D1436" t="str">
        <f t="shared" si="22"/>
        <v>2023</v>
      </c>
      <c r="E1436">
        <v>226667</v>
      </c>
      <c r="F1436">
        <v>11119476</v>
      </c>
      <c r="G1436">
        <v>2.04</v>
      </c>
      <c r="H1436" t="s">
        <v>10</v>
      </c>
      <c r="I1436" t="s">
        <v>11</v>
      </c>
    </row>
    <row r="1437" spans="1:9" hidden="1" x14ac:dyDescent="0.25">
      <c r="A1437" t="s">
        <v>8</v>
      </c>
      <c r="B1437" t="s">
        <v>36</v>
      </c>
      <c r="C1437">
        <v>202401</v>
      </c>
      <c r="D1437" t="str">
        <f t="shared" si="22"/>
        <v>2024</v>
      </c>
      <c r="E1437">
        <v>370734</v>
      </c>
      <c r="F1437">
        <v>11119476</v>
      </c>
      <c r="G1437">
        <v>3.33</v>
      </c>
      <c r="H1437" t="s">
        <v>10</v>
      </c>
      <c r="I1437" t="s">
        <v>11</v>
      </c>
    </row>
    <row r="1438" spans="1:9" hidden="1" x14ac:dyDescent="0.25">
      <c r="A1438" t="s">
        <v>8</v>
      </c>
      <c r="B1438" t="s">
        <v>36</v>
      </c>
      <c r="C1438">
        <v>202402</v>
      </c>
      <c r="D1438" t="str">
        <f t="shared" si="22"/>
        <v>2024</v>
      </c>
      <c r="E1438">
        <v>404268</v>
      </c>
      <c r="F1438">
        <v>11119476</v>
      </c>
      <c r="G1438">
        <v>3.64</v>
      </c>
      <c r="H1438" t="s">
        <v>10</v>
      </c>
      <c r="I1438" t="s">
        <v>11</v>
      </c>
    </row>
    <row r="1439" spans="1:9" hidden="1" x14ac:dyDescent="0.25">
      <c r="A1439" t="s">
        <v>8</v>
      </c>
      <c r="B1439" t="s">
        <v>36</v>
      </c>
      <c r="C1439">
        <v>202403</v>
      </c>
      <c r="D1439" t="str">
        <f t="shared" si="22"/>
        <v>2024</v>
      </c>
      <c r="E1439">
        <v>409555</v>
      </c>
      <c r="F1439">
        <v>11119476</v>
      </c>
      <c r="G1439">
        <v>3.68</v>
      </c>
      <c r="H1439" t="s">
        <v>10</v>
      </c>
      <c r="I1439" t="s">
        <v>11</v>
      </c>
    </row>
    <row r="1440" spans="1:9" hidden="1" x14ac:dyDescent="0.25">
      <c r="A1440" t="s">
        <v>8</v>
      </c>
      <c r="B1440" t="s">
        <v>36</v>
      </c>
      <c r="C1440">
        <v>202404</v>
      </c>
      <c r="D1440" t="str">
        <f t="shared" si="22"/>
        <v>2024</v>
      </c>
      <c r="E1440">
        <v>436796</v>
      </c>
      <c r="F1440">
        <v>11119476</v>
      </c>
      <c r="G1440">
        <v>3.93</v>
      </c>
      <c r="H1440" t="s">
        <v>10</v>
      </c>
      <c r="I1440" t="s">
        <v>11</v>
      </c>
    </row>
    <row r="1441" spans="1:9" hidden="1" x14ac:dyDescent="0.25">
      <c r="A1441" t="s">
        <v>8</v>
      </c>
      <c r="B1441" t="s">
        <v>36</v>
      </c>
      <c r="C1441">
        <v>202405</v>
      </c>
      <c r="D1441" t="str">
        <f t="shared" si="22"/>
        <v>2024</v>
      </c>
      <c r="E1441">
        <v>399422</v>
      </c>
      <c r="F1441">
        <v>11119476</v>
      </c>
      <c r="G1441">
        <v>3.59</v>
      </c>
      <c r="H1441" t="s">
        <v>10</v>
      </c>
      <c r="I1441" t="s">
        <v>11</v>
      </c>
    </row>
    <row r="1442" spans="1:9" hidden="1" x14ac:dyDescent="0.25">
      <c r="A1442" t="s">
        <v>8</v>
      </c>
      <c r="B1442" t="s">
        <v>36</v>
      </c>
      <c r="C1442">
        <v>202406</v>
      </c>
      <c r="D1442" t="str">
        <f t="shared" si="22"/>
        <v>2024</v>
      </c>
      <c r="E1442">
        <v>347698</v>
      </c>
      <c r="F1442">
        <v>11119476</v>
      </c>
      <c r="G1442">
        <v>3.13</v>
      </c>
      <c r="H1442" t="s">
        <v>10</v>
      </c>
      <c r="I1442" t="s">
        <v>11</v>
      </c>
    </row>
    <row r="1443" spans="1:9" hidden="1" x14ac:dyDescent="0.25">
      <c r="A1443" t="s">
        <v>8</v>
      </c>
      <c r="B1443" t="s">
        <v>36</v>
      </c>
      <c r="C1443">
        <v>202407</v>
      </c>
      <c r="D1443" t="str">
        <f t="shared" si="22"/>
        <v>2024</v>
      </c>
      <c r="E1443">
        <v>365814</v>
      </c>
      <c r="F1443">
        <v>11119476</v>
      </c>
      <c r="G1443">
        <v>3.29</v>
      </c>
      <c r="H1443" t="s">
        <v>10</v>
      </c>
      <c r="I1443" t="s">
        <v>11</v>
      </c>
    </row>
    <row r="1444" spans="1:9" hidden="1" x14ac:dyDescent="0.25">
      <c r="A1444" t="s">
        <v>8</v>
      </c>
      <c r="B1444" t="s">
        <v>36</v>
      </c>
      <c r="C1444">
        <v>202408</v>
      </c>
      <c r="D1444" t="str">
        <f t="shared" si="22"/>
        <v>2024</v>
      </c>
      <c r="E1444">
        <v>372442</v>
      </c>
      <c r="F1444">
        <v>11119476</v>
      </c>
      <c r="G1444">
        <v>3.35</v>
      </c>
      <c r="H1444" t="s">
        <v>10</v>
      </c>
      <c r="I1444" t="s">
        <v>11</v>
      </c>
    </row>
    <row r="1445" spans="1:9" hidden="1" x14ac:dyDescent="0.25">
      <c r="A1445" t="s">
        <v>8</v>
      </c>
      <c r="B1445" t="s">
        <v>36</v>
      </c>
      <c r="C1445">
        <v>202409</v>
      </c>
      <c r="D1445" t="str">
        <f t="shared" si="22"/>
        <v>2024</v>
      </c>
      <c r="E1445">
        <v>387846</v>
      </c>
      <c r="F1445">
        <v>11119476</v>
      </c>
      <c r="G1445">
        <v>3.49</v>
      </c>
      <c r="H1445" t="s">
        <v>10</v>
      </c>
      <c r="I1445" t="s">
        <v>11</v>
      </c>
    </row>
    <row r="1446" spans="1:9" hidden="1" x14ac:dyDescent="0.25">
      <c r="A1446" t="s">
        <v>8</v>
      </c>
      <c r="B1446" t="s">
        <v>36</v>
      </c>
      <c r="C1446">
        <v>202410</v>
      </c>
      <c r="D1446" t="str">
        <f t="shared" si="22"/>
        <v>2024</v>
      </c>
      <c r="E1446">
        <v>500160</v>
      </c>
      <c r="F1446">
        <v>11119476</v>
      </c>
      <c r="G1446">
        <v>4.5</v>
      </c>
      <c r="H1446" t="s">
        <v>10</v>
      </c>
      <c r="I1446" t="s">
        <v>11</v>
      </c>
    </row>
    <row r="1447" spans="1:9" hidden="1" x14ac:dyDescent="0.25">
      <c r="A1447" t="s">
        <v>8</v>
      </c>
      <c r="B1447" t="s">
        <v>36</v>
      </c>
      <c r="C1447">
        <v>202411</v>
      </c>
      <c r="D1447" t="str">
        <f t="shared" si="22"/>
        <v>2024</v>
      </c>
      <c r="E1447">
        <v>446782</v>
      </c>
      <c r="F1447">
        <v>11119476</v>
      </c>
      <c r="G1447">
        <v>4.0199999999999996</v>
      </c>
      <c r="H1447" t="s">
        <v>10</v>
      </c>
      <c r="I1447" t="s">
        <v>11</v>
      </c>
    </row>
    <row r="1448" spans="1:9" hidden="1" x14ac:dyDescent="0.25">
      <c r="A1448" t="s">
        <v>8</v>
      </c>
      <c r="B1448" t="s">
        <v>36</v>
      </c>
      <c r="C1448">
        <v>202412</v>
      </c>
      <c r="D1448" t="str">
        <f t="shared" si="22"/>
        <v>2024</v>
      </c>
      <c r="E1448">
        <v>446142</v>
      </c>
      <c r="F1448">
        <v>11119476</v>
      </c>
      <c r="G1448">
        <v>4.01</v>
      </c>
      <c r="H1448" t="s">
        <v>10</v>
      </c>
      <c r="I1448" t="s">
        <v>11</v>
      </c>
    </row>
    <row r="1449" spans="1:9" x14ac:dyDescent="0.25">
      <c r="A1449" t="s">
        <v>8</v>
      </c>
      <c r="B1449" t="s">
        <v>36</v>
      </c>
      <c r="C1449">
        <v>202501</v>
      </c>
      <c r="D1449" t="str">
        <f t="shared" si="22"/>
        <v>2025</v>
      </c>
      <c r="E1449">
        <v>380046</v>
      </c>
      <c r="F1449">
        <v>11119476</v>
      </c>
      <c r="G1449">
        <v>3.42</v>
      </c>
      <c r="H1449" t="s">
        <v>10</v>
      </c>
      <c r="I1449" t="s">
        <v>11</v>
      </c>
    </row>
    <row r="1450" spans="1:9" x14ac:dyDescent="0.25">
      <c r="A1450" t="s">
        <v>8</v>
      </c>
      <c r="B1450" t="s">
        <v>36</v>
      </c>
      <c r="C1450">
        <v>202502</v>
      </c>
      <c r="D1450" t="str">
        <f t="shared" si="22"/>
        <v>2025</v>
      </c>
      <c r="E1450">
        <v>290236</v>
      </c>
      <c r="F1450">
        <v>11119476</v>
      </c>
      <c r="G1450">
        <v>2.61</v>
      </c>
      <c r="H1450" t="s">
        <v>10</v>
      </c>
      <c r="I1450" t="s">
        <v>11</v>
      </c>
    </row>
    <row r="1451" spans="1:9" x14ac:dyDescent="0.25">
      <c r="A1451" t="s">
        <v>8</v>
      </c>
      <c r="B1451" t="s">
        <v>36</v>
      </c>
      <c r="C1451">
        <v>202503</v>
      </c>
      <c r="D1451" t="str">
        <f t="shared" si="22"/>
        <v>2025</v>
      </c>
      <c r="E1451">
        <v>21381</v>
      </c>
      <c r="F1451">
        <v>11119476</v>
      </c>
      <c r="G1451">
        <v>0.19</v>
      </c>
      <c r="H1451" t="s">
        <v>10</v>
      </c>
      <c r="I1451" t="s">
        <v>11</v>
      </c>
    </row>
    <row r="1452" spans="1:9" hidden="1" x14ac:dyDescent="0.25">
      <c r="A1452" t="s">
        <v>8</v>
      </c>
      <c r="B1452" t="s">
        <v>16</v>
      </c>
      <c r="C1452">
        <v>201807</v>
      </c>
      <c r="D1452" t="str">
        <f t="shared" si="22"/>
        <v>2018</v>
      </c>
      <c r="E1452">
        <v>6</v>
      </c>
      <c r="F1452">
        <v>11807451</v>
      </c>
      <c r="G1452">
        <v>0</v>
      </c>
      <c r="H1452" t="s">
        <v>10</v>
      </c>
      <c r="I1452" t="s">
        <v>11</v>
      </c>
    </row>
    <row r="1453" spans="1:9" hidden="1" x14ac:dyDescent="0.25">
      <c r="A1453" t="s">
        <v>8</v>
      </c>
      <c r="B1453" t="s">
        <v>16</v>
      </c>
      <c r="C1453">
        <v>201808</v>
      </c>
      <c r="D1453" t="str">
        <f t="shared" si="22"/>
        <v>2018</v>
      </c>
      <c r="E1453">
        <v>17</v>
      </c>
      <c r="F1453">
        <v>11807451</v>
      </c>
      <c r="G1453">
        <v>0</v>
      </c>
      <c r="H1453" t="s">
        <v>10</v>
      </c>
      <c r="I1453" t="s">
        <v>11</v>
      </c>
    </row>
    <row r="1454" spans="1:9" hidden="1" x14ac:dyDescent="0.25">
      <c r="A1454" t="s">
        <v>8</v>
      </c>
      <c r="B1454" t="s">
        <v>16</v>
      </c>
      <c r="C1454">
        <v>201901</v>
      </c>
      <c r="D1454" t="str">
        <f t="shared" si="22"/>
        <v>2019</v>
      </c>
      <c r="E1454">
        <v>418</v>
      </c>
      <c r="F1454">
        <v>11807451</v>
      </c>
      <c r="G1454">
        <v>0</v>
      </c>
      <c r="H1454" t="s">
        <v>10</v>
      </c>
      <c r="I1454" t="s">
        <v>11</v>
      </c>
    </row>
    <row r="1455" spans="1:9" hidden="1" x14ac:dyDescent="0.25">
      <c r="A1455" t="s">
        <v>8</v>
      </c>
      <c r="B1455" t="s">
        <v>16</v>
      </c>
      <c r="C1455">
        <v>201902</v>
      </c>
      <c r="D1455" t="str">
        <f t="shared" si="22"/>
        <v>2019</v>
      </c>
      <c r="E1455">
        <v>304</v>
      </c>
      <c r="F1455">
        <v>11807451</v>
      </c>
      <c r="G1455">
        <v>0</v>
      </c>
      <c r="H1455" t="s">
        <v>10</v>
      </c>
      <c r="I1455" t="s">
        <v>11</v>
      </c>
    </row>
    <row r="1456" spans="1:9" hidden="1" x14ac:dyDescent="0.25">
      <c r="A1456" t="s">
        <v>8</v>
      </c>
      <c r="B1456" t="s">
        <v>16</v>
      </c>
      <c r="C1456">
        <v>201903</v>
      </c>
      <c r="D1456" t="str">
        <f t="shared" si="22"/>
        <v>2019</v>
      </c>
      <c r="E1456">
        <v>423</v>
      </c>
      <c r="F1456">
        <v>11807451</v>
      </c>
      <c r="G1456">
        <v>0</v>
      </c>
      <c r="H1456" t="s">
        <v>10</v>
      </c>
      <c r="I1456" t="s">
        <v>11</v>
      </c>
    </row>
    <row r="1457" spans="1:9" hidden="1" x14ac:dyDescent="0.25">
      <c r="A1457" t="s">
        <v>8</v>
      </c>
      <c r="B1457" t="s">
        <v>16</v>
      </c>
      <c r="C1457">
        <v>201904</v>
      </c>
      <c r="D1457" t="str">
        <f t="shared" si="22"/>
        <v>2019</v>
      </c>
      <c r="E1457">
        <v>532</v>
      </c>
      <c r="F1457">
        <v>11807451</v>
      </c>
      <c r="G1457">
        <v>0</v>
      </c>
      <c r="H1457" t="s">
        <v>10</v>
      </c>
      <c r="I1457" t="s">
        <v>11</v>
      </c>
    </row>
    <row r="1458" spans="1:9" hidden="1" x14ac:dyDescent="0.25">
      <c r="A1458" t="s">
        <v>8</v>
      </c>
      <c r="B1458" t="s">
        <v>16</v>
      </c>
      <c r="C1458">
        <v>201905</v>
      </c>
      <c r="D1458" t="str">
        <f t="shared" si="22"/>
        <v>2019</v>
      </c>
      <c r="E1458">
        <v>381</v>
      </c>
      <c r="F1458">
        <v>11807451</v>
      </c>
      <c r="G1458">
        <v>0</v>
      </c>
      <c r="H1458" t="s">
        <v>10</v>
      </c>
      <c r="I1458" t="s">
        <v>11</v>
      </c>
    </row>
    <row r="1459" spans="1:9" hidden="1" x14ac:dyDescent="0.25">
      <c r="A1459" t="s">
        <v>8</v>
      </c>
      <c r="B1459" t="s">
        <v>16</v>
      </c>
      <c r="C1459">
        <v>201906</v>
      </c>
      <c r="D1459" t="str">
        <f t="shared" si="22"/>
        <v>2019</v>
      </c>
      <c r="E1459">
        <v>497</v>
      </c>
      <c r="F1459">
        <v>11807451</v>
      </c>
      <c r="G1459">
        <v>0</v>
      </c>
      <c r="H1459" t="s">
        <v>10</v>
      </c>
      <c r="I1459" t="s">
        <v>11</v>
      </c>
    </row>
    <row r="1460" spans="1:9" hidden="1" x14ac:dyDescent="0.25">
      <c r="A1460" t="s">
        <v>8</v>
      </c>
      <c r="B1460" t="s">
        <v>16</v>
      </c>
      <c r="C1460">
        <v>201907</v>
      </c>
      <c r="D1460" t="str">
        <f t="shared" si="22"/>
        <v>2019</v>
      </c>
      <c r="E1460">
        <v>422</v>
      </c>
      <c r="F1460">
        <v>11807451</v>
      </c>
      <c r="G1460">
        <v>0</v>
      </c>
      <c r="H1460" t="s">
        <v>10</v>
      </c>
      <c r="I1460" t="s">
        <v>11</v>
      </c>
    </row>
    <row r="1461" spans="1:9" hidden="1" x14ac:dyDescent="0.25">
      <c r="A1461" t="s">
        <v>8</v>
      </c>
      <c r="B1461" t="s">
        <v>16</v>
      </c>
      <c r="C1461">
        <v>201908</v>
      </c>
      <c r="D1461" t="str">
        <f t="shared" si="22"/>
        <v>2019</v>
      </c>
      <c r="E1461">
        <v>459</v>
      </c>
      <c r="F1461">
        <v>11807451</v>
      </c>
      <c r="G1461">
        <v>0</v>
      </c>
      <c r="H1461" t="s">
        <v>10</v>
      </c>
      <c r="I1461" t="s">
        <v>11</v>
      </c>
    </row>
    <row r="1462" spans="1:9" hidden="1" x14ac:dyDescent="0.25">
      <c r="A1462" t="s">
        <v>8</v>
      </c>
      <c r="B1462" t="s">
        <v>16</v>
      </c>
      <c r="C1462">
        <v>201909</v>
      </c>
      <c r="D1462" t="str">
        <f t="shared" si="22"/>
        <v>2019</v>
      </c>
      <c r="E1462">
        <v>285</v>
      </c>
      <c r="F1462">
        <v>11807451</v>
      </c>
      <c r="G1462">
        <v>0</v>
      </c>
      <c r="H1462" t="s">
        <v>10</v>
      </c>
      <c r="I1462" t="s">
        <v>11</v>
      </c>
    </row>
    <row r="1463" spans="1:9" hidden="1" x14ac:dyDescent="0.25">
      <c r="A1463" t="s">
        <v>8</v>
      </c>
      <c r="B1463" t="s">
        <v>16</v>
      </c>
      <c r="C1463">
        <v>201910</v>
      </c>
      <c r="D1463" t="str">
        <f t="shared" si="22"/>
        <v>2019</v>
      </c>
      <c r="E1463">
        <v>378</v>
      </c>
      <c r="F1463">
        <v>11807451</v>
      </c>
      <c r="G1463">
        <v>0</v>
      </c>
      <c r="H1463" t="s">
        <v>10</v>
      </c>
      <c r="I1463" t="s">
        <v>11</v>
      </c>
    </row>
    <row r="1464" spans="1:9" hidden="1" x14ac:dyDescent="0.25">
      <c r="A1464" t="s">
        <v>8</v>
      </c>
      <c r="B1464" t="s">
        <v>16</v>
      </c>
      <c r="C1464">
        <v>201911</v>
      </c>
      <c r="D1464" t="str">
        <f t="shared" si="22"/>
        <v>2019</v>
      </c>
      <c r="E1464">
        <v>401</v>
      </c>
      <c r="F1464">
        <v>11807451</v>
      </c>
      <c r="G1464">
        <v>0</v>
      </c>
      <c r="H1464" t="s">
        <v>10</v>
      </c>
      <c r="I1464" t="s">
        <v>11</v>
      </c>
    </row>
    <row r="1465" spans="1:9" hidden="1" x14ac:dyDescent="0.25">
      <c r="A1465" t="s">
        <v>8</v>
      </c>
      <c r="B1465" t="s">
        <v>16</v>
      </c>
      <c r="C1465">
        <v>201912</v>
      </c>
      <c r="D1465" t="str">
        <f t="shared" si="22"/>
        <v>2019</v>
      </c>
      <c r="E1465">
        <v>384</v>
      </c>
      <c r="F1465">
        <v>11807451</v>
      </c>
      <c r="G1465">
        <v>0</v>
      </c>
      <c r="H1465" t="s">
        <v>10</v>
      </c>
      <c r="I1465" t="s">
        <v>11</v>
      </c>
    </row>
    <row r="1466" spans="1:9" hidden="1" x14ac:dyDescent="0.25">
      <c r="A1466" t="s">
        <v>8</v>
      </c>
      <c r="B1466" t="s">
        <v>16</v>
      </c>
      <c r="C1466">
        <v>202001</v>
      </c>
      <c r="D1466" t="str">
        <f t="shared" si="22"/>
        <v>2020</v>
      </c>
      <c r="E1466">
        <v>21544</v>
      </c>
      <c r="F1466">
        <v>11807451</v>
      </c>
      <c r="G1466">
        <v>0.18</v>
      </c>
      <c r="H1466" t="s">
        <v>10</v>
      </c>
      <c r="I1466" t="s">
        <v>11</v>
      </c>
    </row>
    <row r="1467" spans="1:9" hidden="1" x14ac:dyDescent="0.25">
      <c r="A1467" t="s">
        <v>8</v>
      </c>
      <c r="B1467" t="s">
        <v>16</v>
      </c>
      <c r="C1467">
        <v>202002</v>
      </c>
      <c r="D1467" t="str">
        <f t="shared" si="22"/>
        <v>2020</v>
      </c>
      <c r="E1467">
        <v>19668</v>
      </c>
      <c r="F1467">
        <v>11807451</v>
      </c>
      <c r="G1467">
        <v>0.17</v>
      </c>
      <c r="H1467" t="s">
        <v>10</v>
      </c>
      <c r="I1467" t="s">
        <v>11</v>
      </c>
    </row>
    <row r="1468" spans="1:9" hidden="1" x14ac:dyDescent="0.25">
      <c r="A1468" t="s">
        <v>8</v>
      </c>
      <c r="B1468" t="s">
        <v>16</v>
      </c>
      <c r="C1468">
        <v>202003</v>
      </c>
      <c r="D1468" t="str">
        <f t="shared" si="22"/>
        <v>2020</v>
      </c>
      <c r="E1468">
        <v>16953</v>
      </c>
      <c r="F1468">
        <v>11807451</v>
      </c>
      <c r="G1468">
        <v>0.14000000000000001</v>
      </c>
      <c r="H1468" t="s">
        <v>10</v>
      </c>
      <c r="I1468" t="s">
        <v>11</v>
      </c>
    </row>
    <row r="1469" spans="1:9" hidden="1" x14ac:dyDescent="0.25">
      <c r="A1469" t="s">
        <v>8</v>
      </c>
      <c r="B1469" t="s">
        <v>16</v>
      </c>
      <c r="C1469">
        <v>202004</v>
      </c>
      <c r="D1469" t="str">
        <f t="shared" si="22"/>
        <v>2020</v>
      </c>
      <c r="E1469">
        <v>8296</v>
      </c>
      <c r="F1469">
        <v>11807451</v>
      </c>
      <c r="G1469">
        <v>7.0000000000000007E-2</v>
      </c>
      <c r="H1469" t="s">
        <v>10</v>
      </c>
      <c r="I1469" t="s">
        <v>11</v>
      </c>
    </row>
    <row r="1470" spans="1:9" hidden="1" x14ac:dyDescent="0.25">
      <c r="A1470" t="s">
        <v>8</v>
      </c>
      <c r="B1470" t="s">
        <v>16</v>
      </c>
      <c r="C1470">
        <v>202005</v>
      </c>
      <c r="D1470" t="str">
        <f t="shared" si="22"/>
        <v>2020</v>
      </c>
      <c r="E1470">
        <v>16558</v>
      </c>
      <c r="F1470">
        <v>11807451</v>
      </c>
      <c r="G1470">
        <v>0.14000000000000001</v>
      </c>
      <c r="H1470" t="s">
        <v>10</v>
      </c>
      <c r="I1470" t="s">
        <v>11</v>
      </c>
    </row>
    <row r="1471" spans="1:9" hidden="1" x14ac:dyDescent="0.25">
      <c r="A1471" t="s">
        <v>8</v>
      </c>
      <c r="B1471" t="s">
        <v>16</v>
      </c>
      <c r="C1471">
        <v>202006</v>
      </c>
      <c r="D1471" t="str">
        <f t="shared" si="22"/>
        <v>2020</v>
      </c>
      <c r="E1471">
        <v>21991</v>
      </c>
      <c r="F1471">
        <v>11807451</v>
      </c>
      <c r="G1471">
        <v>0.19</v>
      </c>
      <c r="H1471" t="s">
        <v>10</v>
      </c>
      <c r="I1471" t="s">
        <v>11</v>
      </c>
    </row>
    <row r="1472" spans="1:9" hidden="1" x14ac:dyDescent="0.25">
      <c r="A1472" t="s">
        <v>8</v>
      </c>
      <c r="B1472" t="s">
        <v>16</v>
      </c>
      <c r="C1472">
        <v>202007</v>
      </c>
      <c r="D1472" t="str">
        <f t="shared" si="22"/>
        <v>2020</v>
      </c>
      <c r="E1472">
        <v>13865</v>
      </c>
      <c r="F1472">
        <v>11807451</v>
      </c>
      <c r="G1472">
        <v>0.12</v>
      </c>
      <c r="H1472" t="s">
        <v>10</v>
      </c>
      <c r="I1472" t="s">
        <v>11</v>
      </c>
    </row>
    <row r="1473" spans="1:9" hidden="1" x14ac:dyDescent="0.25">
      <c r="A1473" t="s">
        <v>8</v>
      </c>
      <c r="B1473" t="s">
        <v>16</v>
      </c>
      <c r="C1473">
        <v>202008</v>
      </c>
      <c r="D1473" t="str">
        <f t="shared" si="22"/>
        <v>2020</v>
      </c>
      <c r="E1473">
        <v>12893</v>
      </c>
      <c r="F1473">
        <v>11807451</v>
      </c>
      <c r="G1473">
        <v>0.11</v>
      </c>
      <c r="H1473" t="s">
        <v>10</v>
      </c>
      <c r="I1473" t="s">
        <v>11</v>
      </c>
    </row>
    <row r="1474" spans="1:9" hidden="1" x14ac:dyDescent="0.25">
      <c r="A1474" t="s">
        <v>8</v>
      </c>
      <c r="B1474" t="s">
        <v>16</v>
      </c>
      <c r="C1474">
        <v>202009</v>
      </c>
      <c r="D1474" t="str">
        <f t="shared" si="22"/>
        <v>2020</v>
      </c>
      <c r="E1474">
        <v>14887</v>
      </c>
      <c r="F1474">
        <v>11807451</v>
      </c>
      <c r="G1474">
        <v>0.13</v>
      </c>
      <c r="H1474" t="s">
        <v>10</v>
      </c>
      <c r="I1474" t="s">
        <v>11</v>
      </c>
    </row>
    <row r="1475" spans="1:9" hidden="1" x14ac:dyDescent="0.25">
      <c r="A1475" t="s">
        <v>8</v>
      </c>
      <c r="B1475" t="s">
        <v>16</v>
      </c>
      <c r="C1475">
        <v>202010</v>
      </c>
      <c r="D1475" t="str">
        <f t="shared" ref="D1475:D1538" si="23">LEFT(C1475,4)</f>
        <v>2020</v>
      </c>
      <c r="E1475">
        <v>14110</v>
      </c>
      <c r="F1475">
        <v>11807451</v>
      </c>
      <c r="G1475">
        <v>0.12</v>
      </c>
      <c r="H1475" t="s">
        <v>10</v>
      </c>
      <c r="I1475" t="s">
        <v>11</v>
      </c>
    </row>
    <row r="1476" spans="1:9" hidden="1" x14ac:dyDescent="0.25">
      <c r="A1476" t="s">
        <v>8</v>
      </c>
      <c r="B1476" t="s">
        <v>16</v>
      </c>
      <c r="C1476">
        <v>202011</v>
      </c>
      <c r="D1476" t="str">
        <f t="shared" si="23"/>
        <v>2020</v>
      </c>
      <c r="E1476">
        <v>11742</v>
      </c>
      <c r="F1476">
        <v>11807451</v>
      </c>
      <c r="G1476">
        <v>0.1</v>
      </c>
      <c r="H1476" t="s">
        <v>10</v>
      </c>
      <c r="I1476" t="s">
        <v>11</v>
      </c>
    </row>
    <row r="1477" spans="1:9" hidden="1" x14ac:dyDescent="0.25">
      <c r="A1477" t="s">
        <v>8</v>
      </c>
      <c r="B1477" t="s">
        <v>16</v>
      </c>
      <c r="C1477">
        <v>202012</v>
      </c>
      <c r="D1477" t="str">
        <f t="shared" si="23"/>
        <v>2020</v>
      </c>
      <c r="E1477">
        <v>11773</v>
      </c>
      <c r="F1477">
        <v>11807451</v>
      </c>
      <c r="G1477">
        <v>0.1</v>
      </c>
      <c r="H1477" t="s">
        <v>10</v>
      </c>
      <c r="I1477" t="s">
        <v>11</v>
      </c>
    </row>
    <row r="1478" spans="1:9" hidden="1" x14ac:dyDescent="0.25">
      <c r="A1478" t="s">
        <v>8</v>
      </c>
      <c r="B1478" t="s">
        <v>16</v>
      </c>
      <c r="C1478">
        <v>202101</v>
      </c>
      <c r="D1478" t="str">
        <f t="shared" si="23"/>
        <v>2021</v>
      </c>
      <c r="E1478">
        <v>39001</v>
      </c>
      <c r="F1478">
        <v>11807451</v>
      </c>
      <c r="G1478">
        <v>0.33</v>
      </c>
      <c r="H1478" t="s">
        <v>10</v>
      </c>
      <c r="I1478" t="s">
        <v>11</v>
      </c>
    </row>
    <row r="1479" spans="1:9" hidden="1" x14ac:dyDescent="0.25">
      <c r="A1479" t="s">
        <v>8</v>
      </c>
      <c r="B1479" t="s">
        <v>16</v>
      </c>
      <c r="C1479">
        <v>202102</v>
      </c>
      <c r="D1479" t="str">
        <f t="shared" si="23"/>
        <v>2021</v>
      </c>
      <c r="E1479">
        <v>28780</v>
      </c>
      <c r="F1479">
        <v>11807451</v>
      </c>
      <c r="G1479">
        <v>0.24</v>
      </c>
      <c r="H1479" t="s">
        <v>10</v>
      </c>
      <c r="I1479" t="s">
        <v>11</v>
      </c>
    </row>
    <row r="1480" spans="1:9" hidden="1" x14ac:dyDescent="0.25">
      <c r="A1480" t="s">
        <v>8</v>
      </c>
      <c r="B1480" t="s">
        <v>16</v>
      </c>
      <c r="C1480">
        <v>202103</v>
      </c>
      <c r="D1480" t="str">
        <f t="shared" si="23"/>
        <v>2021</v>
      </c>
      <c r="E1480">
        <v>35934</v>
      </c>
      <c r="F1480">
        <v>11807451</v>
      </c>
      <c r="G1480">
        <v>0.3</v>
      </c>
      <c r="H1480" t="s">
        <v>10</v>
      </c>
      <c r="I1480" t="s">
        <v>11</v>
      </c>
    </row>
    <row r="1481" spans="1:9" hidden="1" x14ac:dyDescent="0.25">
      <c r="A1481" t="s">
        <v>8</v>
      </c>
      <c r="B1481" t="s">
        <v>16</v>
      </c>
      <c r="C1481">
        <v>202104</v>
      </c>
      <c r="D1481" t="str">
        <f t="shared" si="23"/>
        <v>2021</v>
      </c>
      <c r="E1481">
        <v>33683</v>
      </c>
      <c r="F1481">
        <v>11807451</v>
      </c>
      <c r="G1481">
        <v>0.28999999999999998</v>
      </c>
      <c r="H1481" t="s">
        <v>10</v>
      </c>
      <c r="I1481" t="s">
        <v>11</v>
      </c>
    </row>
    <row r="1482" spans="1:9" hidden="1" x14ac:dyDescent="0.25">
      <c r="A1482" t="s">
        <v>8</v>
      </c>
      <c r="B1482" t="s">
        <v>16</v>
      </c>
      <c r="C1482">
        <v>202105</v>
      </c>
      <c r="D1482" t="str">
        <f t="shared" si="23"/>
        <v>2021</v>
      </c>
      <c r="E1482">
        <v>32723</v>
      </c>
      <c r="F1482">
        <v>11807451</v>
      </c>
      <c r="G1482">
        <v>0.28000000000000003</v>
      </c>
      <c r="H1482" t="s">
        <v>10</v>
      </c>
      <c r="I1482" t="s">
        <v>11</v>
      </c>
    </row>
    <row r="1483" spans="1:9" hidden="1" x14ac:dyDescent="0.25">
      <c r="A1483" t="s">
        <v>8</v>
      </c>
      <c r="B1483" t="s">
        <v>16</v>
      </c>
      <c r="C1483">
        <v>202106</v>
      </c>
      <c r="D1483" t="str">
        <f t="shared" si="23"/>
        <v>2021</v>
      </c>
      <c r="E1483">
        <v>35385</v>
      </c>
      <c r="F1483">
        <v>11807451</v>
      </c>
      <c r="G1483">
        <v>0.3</v>
      </c>
      <c r="H1483" t="s">
        <v>10</v>
      </c>
      <c r="I1483" t="s">
        <v>11</v>
      </c>
    </row>
    <row r="1484" spans="1:9" hidden="1" x14ac:dyDescent="0.25">
      <c r="A1484" t="s">
        <v>8</v>
      </c>
      <c r="B1484" t="s">
        <v>16</v>
      </c>
      <c r="C1484">
        <v>202107</v>
      </c>
      <c r="D1484" t="str">
        <f t="shared" si="23"/>
        <v>2021</v>
      </c>
      <c r="E1484">
        <v>77866</v>
      </c>
      <c r="F1484">
        <v>11807451</v>
      </c>
      <c r="G1484">
        <v>0.66</v>
      </c>
      <c r="H1484" t="s">
        <v>10</v>
      </c>
      <c r="I1484" t="s">
        <v>11</v>
      </c>
    </row>
    <row r="1485" spans="1:9" hidden="1" x14ac:dyDescent="0.25">
      <c r="A1485" t="s">
        <v>8</v>
      </c>
      <c r="B1485" t="s">
        <v>16</v>
      </c>
      <c r="C1485">
        <v>202108</v>
      </c>
      <c r="D1485" t="str">
        <f t="shared" si="23"/>
        <v>2021</v>
      </c>
      <c r="E1485">
        <v>79795</v>
      </c>
      <c r="F1485">
        <v>11807451</v>
      </c>
      <c r="G1485">
        <v>0.68</v>
      </c>
      <c r="H1485" t="s">
        <v>10</v>
      </c>
      <c r="I1485" t="s">
        <v>11</v>
      </c>
    </row>
    <row r="1486" spans="1:9" hidden="1" x14ac:dyDescent="0.25">
      <c r="A1486" t="s">
        <v>8</v>
      </c>
      <c r="B1486" t="s">
        <v>16</v>
      </c>
      <c r="C1486">
        <v>202109</v>
      </c>
      <c r="D1486" t="str">
        <f t="shared" si="23"/>
        <v>2021</v>
      </c>
      <c r="E1486">
        <v>82831</v>
      </c>
      <c r="F1486">
        <v>11807451</v>
      </c>
      <c r="G1486">
        <v>0.7</v>
      </c>
      <c r="H1486" t="s">
        <v>10</v>
      </c>
      <c r="I1486" t="s">
        <v>11</v>
      </c>
    </row>
    <row r="1487" spans="1:9" hidden="1" x14ac:dyDescent="0.25">
      <c r="A1487" t="s">
        <v>8</v>
      </c>
      <c r="B1487" t="s">
        <v>16</v>
      </c>
      <c r="C1487">
        <v>202110</v>
      </c>
      <c r="D1487" t="str">
        <f t="shared" si="23"/>
        <v>2021</v>
      </c>
      <c r="E1487">
        <v>80334</v>
      </c>
      <c r="F1487">
        <v>11807451</v>
      </c>
      <c r="G1487">
        <v>0.68</v>
      </c>
      <c r="H1487" t="s">
        <v>10</v>
      </c>
      <c r="I1487" t="s">
        <v>11</v>
      </c>
    </row>
    <row r="1488" spans="1:9" hidden="1" x14ac:dyDescent="0.25">
      <c r="A1488" t="s">
        <v>8</v>
      </c>
      <c r="B1488" t="s">
        <v>16</v>
      </c>
      <c r="C1488">
        <v>202111</v>
      </c>
      <c r="D1488" t="str">
        <f t="shared" si="23"/>
        <v>2021</v>
      </c>
      <c r="E1488">
        <v>82320</v>
      </c>
      <c r="F1488">
        <v>11807451</v>
      </c>
      <c r="G1488">
        <v>0.7</v>
      </c>
      <c r="H1488" t="s">
        <v>10</v>
      </c>
      <c r="I1488" t="s">
        <v>11</v>
      </c>
    </row>
    <row r="1489" spans="1:9" hidden="1" x14ac:dyDescent="0.25">
      <c r="A1489" t="s">
        <v>8</v>
      </c>
      <c r="B1489" t="s">
        <v>16</v>
      </c>
      <c r="C1489">
        <v>202112</v>
      </c>
      <c r="D1489" t="str">
        <f t="shared" si="23"/>
        <v>2021</v>
      </c>
      <c r="E1489">
        <v>83665</v>
      </c>
      <c r="F1489">
        <v>11807451</v>
      </c>
      <c r="G1489">
        <v>0.71</v>
      </c>
      <c r="H1489" t="s">
        <v>10</v>
      </c>
      <c r="I1489" t="s">
        <v>11</v>
      </c>
    </row>
    <row r="1490" spans="1:9" hidden="1" x14ac:dyDescent="0.25">
      <c r="A1490" t="s">
        <v>8</v>
      </c>
      <c r="B1490" t="s">
        <v>16</v>
      </c>
      <c r="C1490">
        <v>202201</v>
      </c>
      <c r="D1490" t="str">
        <f t="shared" si="23"/>
        <v>2022</v>
      </c>
      <c r="E1490">
        <v>71825</v>
      </c>
      <c r="F1490">
        <v>11807451</v>
      </c>
      <c r="G1490">
        <v>0.61</v>
      </c>
      <c r="H1490" t="s">
        <v>10</v>
      </c>
      <c r="I1490" t="s">
        <v>11</v>
      </c>
    </row>
    <row r="1491" spans="1:9" hidden="1" x14ac:dyDescent="0.25">
      <c r="A1491" t="s">
        <v>8</v>
      </c>
      <c r="B1491" t="s">
        <v>16</v>
      </c>
      <c r="C1491">
        <v>202202</v>
      </c>
      <c r="D1491" t="str">
        <f t="shared" si="23"/>
        <v>2022</v>
      </c>
      <c r="E1491">
        <v>58003</v>
      </c>
      <c r="F1491">
        <v>11807451</v>
      </c>
      <c r="G1491">
        <v>0.49</v>
      </c>
      <c r="H1491" t="s">
        <v>10</v>
      </c>
      <c r="I1491" t="s">
        <v>11</v>
      </c>
    </row>
    <row r="1492" spans="1:9" hidden="1" x14ac:dyDescent="0.25">
      <c r="A1492" t="s">
        <v>8</v>
      </c>
      <c r="B1492" t="s">
        <v>16</v>
      </c>
      <c r="C1492">
        <v>202203</v>
      </c>
      <c r="D1492" t="str">
        <f t="shared" si="23"/>
        <v>2022</v>
      </c>
      <c r="E1492">
        <v>71416</v>
      </c>
      <c r="F1492">
        <v>11807451</v>
      </c>
      <c r="G1492">
        <v>0.6</v>
      </c>
      <c r="H1492" t="s">
        <v>10</v>
      </c>
      <c r="I1492" t="s">
        <v>11</v>
      </c>
    </row>
    <row r="1493" spans="1:9" hidden="1" x14ac:dyDescent="0.25">
      <c r="A1493" t="s">
        <v>8</v>
      </c>
      <c r="B1493" t="s">
        <v>16</v>
      </c>
      <c r="C1493">
        <v>202204</v>
      </c>
      <c r="D1493" t="str">
        <f t="shared" si="23"/>
        <v>2022</v>
      </c>
      <c r="E1493">
        <v>74595</v>
      </c>
      <c r="F1493">
        <v>11807451</v>
      </c>
      <c r="G1493">
        <v>0.63</v>
      </c>
      <c r="H1493" t="s">
        <v>10</v>
      </c>
      <c r="I1493" t="s">
        <v>11</v>
      </c>
    </row>
    <row r="1494" spans="1:9" hidden="1" x14ac:dyDescent="0.25">
      <c r="A1494" t="s">
        <v>8</v>
      </c>
      <c r="B1494" t="s">
        <v>16</v>
      </c>
      <c r="C1494">
        <v>202205</v>
      </c>
      <c r="D1494" t="str">
        <f t="shared" si="23"/>
        <v>2022</v>
      </c>
      <c r="E1494">
        <v>126054</v>
      </c>
      <c r="F1494">
        <v>11807451</v>
      </c>
      <c r="G1494">
        <v>1.07</v>
      </c>
      <c r="H1494" t="s">
        <v>10</v>
      </c>
      <c r="I1494" t="s">
        <v>11</v>
      </c>
    </row>
    <row r="1495" spans="1:9" hidden="1" x14ac:dyDescent="0.25">
      <c r="A1495" t="s">
        <v>8</v>
      </c>
      <c r="B1495" t="s">
        <v>16</v>
      </c>
      <c r="C1495">
        <v>202206</v>
      </c>
      <c r="D1495" t="str">
        <f t="shared" si="23"/>
        <v>2022</v>
      </c>
      <c r="E1495">
        <v>185919</v>
      </c>
      <c r="F1495">
        <v>11807451</v>
      </c>
      <c r="G1495">
        <v>1.57</v>
      </c>
      <c r="H1495" t="s">
        <v>10</v>
      </c>
      <c r="I1495" t="s">
        <v>11</v>
      </c>
    </row>
    <row r="1496" spans="1:9" hidden="1" x14ac:dyDescent="0.25">
      <c r="A1496" t="s">
        <v>8</v>
      </c>
      <c r="B1496" t="s">
        <v>16</v>
      </c>
      <c r="C1496">
        <v>202207</v>
      </c>
      <c r="D1496" t="str">
        <f t="shared" si="23"/>
        <v>2022</v>
      </c>
      <c r="E1496">
        <v>174367</v>
      </c>
      <c r="F1496">
        <v>11807451</v>
      </c>
      <c r="G1496">
        <v>1.48</v>
      </c>
      <c r="H1496" t="s">
        <v>10</v>
      </c>
      <c r="I1496" t="s">
        <v>11</v>
      </c>
    </row>
    <row r="1497" spans="1:9" hidden="1" x14ac:dyDescent="0.25">
      <c r="A1497" t="s">
        <v>8</v>
      </c>
      <c r="B1497" t="s">
        <v>16</v>
      </c>
      <c r="C1497">
        <v>202208</v>
      </c>
      <c r="D1497" t="str">
        <f t="shared" si="23"/>
        <v>2022</v>
      </c>
      <c r="E1497">
        <v>192618</v>
      </c>
      <c r="F1497">
        <v>11807451</v>
      </c>
      <c r="G1497">
        <v>1.63</v>
      </c>
      <c r="H1497" t="s">
        <v>10</v>
      </c>
      <c r="I1497" t="s">
        <v>11</v>
      </c>
    </row>
    <row r="1498" spans="1:9" hidden="1" x14ac:dyDescent="0.25">
      <c r="A1498" t="s">
        <v>8</v>
      </c>
      <c r="B1498" t="s">
        <v>16</v>
      </c>
      <c r="C1498">
        <v>202209</v>
      </c>
      <c r="D1498" t="str">
        <f t="shared" si="23"/>
        <v>2022</v>
      </c>
      <c r="E1498">
        <v>179710</v>
      </c>
      <c r="F1498">
        <v>11807451</v>
      </c>
      <c r="G1498">
        <v>1.52</v>
      </c>
      <c r="H1498" t="s">
        <v>10</v>
      </c>
      <c r="I1498" t="s">
        <v>11</v>
      </c>
    </row>
    <row r="1499" spans="1:9" hidden="1" x14ac:dyDescent="0.25">
      <c r="A1499" t="s">
        <v>8</v>
      </c>
      <c r="B1499" t="s">
        <v>16</v>
      </c>
      <c r="C1499">
        <v>202210</v>
      </c>
      <c r="D1499" t="str">
        <f t="shared" si="23"/>
        <v>2022</v>
      </c>
      <c r="E1499">
        <v>182525</v>
      </c>
      <c r="F1499">
        <v>11807451</v>
      </c>
      <c r="G1499">
        <v>1.55</v>
      </c>
      <c r="H1499" t="s">
        <v>10</v>
      </c>
      <c r="I1499" t="s">
        <v>11</v>
      </c>
    </row>
    <row r="1500" spans="1:9" hidden="1" x14ac:dyDescent="0.25">
      <c r="A1500" t="s">
        <v>8</v>
      </c>
      <c r="B1500" t="s">
        <v>16</v>
      </c>
      <c r="C1500">
        <v>202211</v>
      </c>
      <c r="D1500" t="str">
        <f t="shared" si="23"/>
        <v>2022</v>
      </c>
      <c r="E1500">
        <v>180198</v>
      </c>
      <c r="F1500">
        <v>11807451</v>
      </c>
      <c r="G1500">
        <v>1.53</v>
      </c>
      <c r="H1500" t="s">
        <v>10</v>
      </c>
      <c r="I1500" t="s">
        <v>11</v>
      </c>
    </row>
    <row r="1501" spans="1:9" hidden="1" x14ac:dyDescent="0.25">
      <c r="A1501" t="s">
        <v>8</v>
      </c>
      <c r="B1501" t="s">
        <v>16</v>
      </c>
      <c r="C1501">
        <v>202212</v>
      </c>
      <c r="D1501" t="str">
        <f t="shared" si="23"/>
        <v>2022</v>
      </c>
      <c r="E1501">
        <v>170163</v>
      </c>
      <c r="F1501">
        <v>11807451</v>
      </c>
      <c r="G1501">
        <v>1.44</v>
      </c>
      <c r="H1501" t="s">
        <v>10</v>
      </c>
      <c r="I1501" t="s">
        <v>11</v>
      </c>
    </row>
    <row r="1502" spans="1:9" hidden="1" x14ac:dyDescent="0.25">
      <c r="A1502" t="s">
        <v>8</v>
      </c>
      <c r="B1502" t="s">
        <v>16</v>
      </c>
      <c r="C1502">
        <v>202301</v>
      </c>
      <c r="D1502" t="str">
        <f t="shared" si="23"/>
        <v>2023</v>
      </c>
      <c r="E1502">
        <v>233123</v>
      </c>
      <c r="F1502">
        <v>11807451</v>
      </c>
      <c r="G1502">
        <v>1.97</v>
      </c>
      <c r="H1502" t="s">
        <v>10</v>
      </c>
      <c r="I1502" t="s">
        <v>11</v>
      </c>
    </row>
    <row r="1503" spans="1:9" hidden="1" x14ac:dyDescent="0.25">
      <c r="A1503" t="s">
        <v>8</v>
      </c>
      <c r="B1503" t="s">
        <v>16</v>
      </c>
      <c r="C1503">
        <v>202302</v>
      </c>
      <c r="D1503" t="str">
        <f t="shared" si="23"/>
        <v>2023</v>
      </c>
      <c r="E1503">
        <v>227235</v>
      </c>
      <c r="F1503">
        <v>11807451</v>
      </c>
      <c r="G1503">
        <v>1.92</v>
      </c>
      <c r="H1503" t="s">
        <v>10</v>
      </c>
      <c r="I1503" t="s">
        <v>11</v>
      </c>
    </row>
    <row r="1504" spans="1:9" hidden="1" x14ac:dyDescent="0.25">
      <c r="A1504" t="s">
        <v>8</v>
      </c>
      <c r="B1504" t="s">
        <v>16</v>
      </c>
      <c r="C1504">
        <v>202303</v>
      </c>
      <c r="D1504" t="str">
        <f t="shared" si="23"/>
        <v>2023</v>
      </c>
      <c r="E1504">
        <v>251756</v>
      </c>
      <c r="F1504">
        <v>11807451</v>
      </c>
      <c r="G1504">
        <v>2.13</v>
      </c>
      <c r="H1504" t="s">
        <v>10</v>
      </c>
      <c r="I1504" t="s">
        <v>11</v>
      </c>
    </row>
    <row r="1505" spans="1:9" hidden="1" x14ac:dyDescent="0.25">
      <c r="A1505" t="s">
        <v>8</v>
      </c>
      <c r="B1505" t="s">
        <v>16</v>
      </c>
      <c r="C1505">
        <v>202304</v>
      </c>
      <c r="D1505" t="str">
        <f t="shared" si="23"/>
        <v>2023</v>
      </c>
      <c r="E1505">
        <v>228070</v>
      </c>
      <c r="F1505">
        <v>11807451</v>
      </c>
      <c r="G1505">
        <v>1.93</v>
      </c>
      <c r="H1505" t="s">
        <v>10</v>
      </c>
      <c r="I1505" t="s">
        <v>11</v>
      </c>
    </row>
    <row r="1506" spans="1:9" hidden="1" x14ac:dyDescent="0.25">
      <c r="A1506" t="s">
        <v>8</v>
      </c>
      <c r="B1506" t="s">
        <v>16</v>
      </c>
      <c r="C1506">
        <v>202305</v>
      </c>
      <c r="D1506" t="str">
        <f t="shared" si="23"/>
        <v>2023</v>
      </c>
      <c r="E1506">
        <v>241543</v>
      </c>
      <c r="F1506">
        <v>11807451</v>
      </c>
      <c r="G1506">
        <v>2.0499999999999998</v>
      </c>
      <c r="H1506" t="s">
        <v>10</v>
      </c>
      <c r="I1506" t="s">
        <v>11</v>
      </c>
    </row>
    <row r="1507" spans="1:9" hidden="1" x14ac:dyDescent="0.25">
      <c r="A1507" t="s">
        <v>8</v>
      </c>
      <c r="B1507" t="s">
        <v>16</v>
      </c>
      <c r="C1507">
        <v>202306</v>
      </c>
      <c r="D1507" t="str">
        <f t="shared" si="23"/>
        <v>2023</v>
      </c>
      <c r="E1507">
        <v>234582</v>
      </c>
      <c r="F1507">
        <v>11807451</v>
      </c>
      <c r="G1507">
        <v>1.99</v>
      </c>
      <c r="H1507" t="s">
        <v>10</v>
      </c>
      <c r="I1507" t="s">
        <v>11</v>
      </c>
    </row>
    <row r="1508" spans="1:9" hidden="1" x14ac:dyDescent="0.25">
      <c r="A1508" t="s">
        <v>8</v>
      </c>
      <c r="B1508" t="s">
        <v>16</v>
      </c>
      <c r="C1508">
        <v>202307</v>
      </c>
      <c r="D1508" t="str">
        <f t="shared" si="23"/>
        <v>2023</v>
      </c>
      <c r="E1508">
        <v>218599</v>
      </c>
      <c r="F1508">
        <v>11807451</v>
      </c>
      <c r="G1508">
        <v>1.85</v>
      </c>
      <c r="H1508" t="s">
        <v>10</v>
      </c>
      <c r="I1508" t="s">
        <v>11</v>
      </c>
    </row>
    <row r="1509" spans="1:9" hidden="1" x14ac:dyDescent="0.25">
      <c r="A1509" t="s">
        <v>8</v>
      </c>
      <c r="B1509" t="s">
        <v>16</v>
      </c>
      <c r="C1509">
        <v>202308</v>
      </c>
      <c r="D1509" t="str">
        <f t="shared" si="23"/>
        <v>2023</v>
      </c>
      <c r="E1509">
        <v>250476</v>
      </c>
      <c r="F1509">
        <v>11807451</v>
      </c>
      <c r="G1509">
        <v>2.12</v>
      </c>
      <c r="H1509" t="s">
        <v>10</v>
      </c>
      <c r="I1509" t="s">
        <v>11</v>
      </c>
    </row>
    <row r="1510" spans="1:9" hidden="1" x14ac:dyDescent="0.25">
      <c r="A1510" t="s">
        <v>8</v>
      </c>
      <c r="B1510" t="s">
        <v>16</v>
      </c>
      <c r="C1510">
        <v>202309</v>
      </c>
      <c r="D1510" t="str">
        <f t="shared" si="23"/>
        <v>2023</v>
      </c>
      <c r="E1510">
        <v>234879</v>
      </c>
      <c r="F1510">
        <v>11807451</v>
      </c>
      <c r="G1510">
        <v>1.99</v>
      </c>
      <c r="H1510" t="s">
        <v>10</v>
      </c>
      <c r="I1510" t="s">
        <v>11</v>
      </c>
    </row>
    <row r="1511" spans="1:9" hidden="1" x14ac:dyDescent="0.25">
      <c r="A1511" t="s">
        <v>8</v>
      </c>
      <c r="B1511" t="s">
        <v>16</v>
      </c>
      <c r="C1511">
        <v>202310</v>
      </c>
      <c r="D1511" t="str">
        <f t="shared" si="23"/>
        <v>2023</v>
      </c>
      <c r="E1511">
        <v>256562</v>
      </c>
      <c r="F1511">
        <v>11807451</v>
      </c>
      <c r="G1511">
        <v>2.17</v>
      </c>
      <c r="H1511" t="s">
        <v>10</v>
      </c>
      <c r="I1511" t="s">
        <v>11</v>
      </c>
    </row>
    <row r="1512" spans="1:9" hidden="1" x14ac:dyDescent="0.25">
      <c r="A1512" t="s">
        <v>8</v>
      </c>
      <c r="B1512" t="s">
        <v>16</v>
      </c>
      <c r="C1512">
        <v>202311</v>
      </c>
      <c r="D1512" t="str">
        <f t="shared" si="23"/>
        <v>2023</v>
      </c>
      <c r="E1512">
        <v>240783</v>
      </c>
      <c r="F1512">
        <v>11807451</v>
      </c>
      <c r="G1512">
        <v>2.04</v>
      </c>
      <c r="H1512" t="s">
        <v>10</v>
      </c>
      <c r="I1512" t="s">
        <v>11</v>
      </c>
    </row>
    <row r="1513" spans="1:9" hidden="1" x14ac:dyDescent="0.25">
      <c r="A1513" t="s">
        <v>8</v>
      </c>
      <c r="B1513" t="s">
        <v>16</v>
      </c>
      <c r="C1513">
        <v>202312</v>
      </c>
      <c r="D1513" t="str">
        <f t="shared" si="23"/>
        <v>2023</v>
      </c>
      <c r="E1513">
        <v>227262</v>
      </c>
      <c r="F1513">
        <v>11807451</v>
      </c>
      <c r="G1513">
        <v>1.92</v>
      </c>
      <c r="H1513" t="s">
        <v>10</v>
      </c>
      <c r="I1513" t="s">
        <v>11</v>
      </c>
    </row>
    <row r="1514" spans="1:9" hidden="1" x14ac:dyDescent="0.25">
      <c r="A1514" t="s">
        <v>8</v>
      </c>
      <c r="B1514" t="s">
        <v>16</v>
      </c>
      <c r="C1514">
        <v>202401</v>
      </c>
      <c r="D1514" t="str">
        <f t="shared" si="23"/>
        <v>2024</v>
      </c>
      <c r="E1514">
        <v>371838</v>
      </c>
      <c r="F1514">
        <v>11807451</v>
      </c>
      <c r="G1514">
        <v>3.15</v>
      </c>
      <c r="H1514" t="s">
        <v>10</v>
      </c>
      <c r="I1514" t="s">
        <v>11</v>
      </c>
    </row>
    <row r="1515" spans="1:9" hidden="1" x14ac:dyDescent="0.25">
      <c r="A1515" t="s">
        <v>8</v>
      </c>
      <c r="B1515" t="s">
        <v>16</v>
      </c>
      <c r="C1515">
        <v>202402</v>
      </c>
      <c r="D1515" t="str">
        <f t="shared" si="23"/>
        <v>2024</v>
      </c>
      <c r="E1515">
        <v>406162</v>
      </c>
      <c r="F1515">
        <v>11807451</v>
      </c>
      <c r="G1515">
        <v>3.44</v>
      </c>
      <c r="H1515" t="s">
        <v>10</v>
      </c>
      <c r="I1515" t="s">
        <v>11</v>
      </c>
    </row>
    <row r="1516" spans="1:9" hidden="1" x14ac:dyDescent="0.25">
      <c r="A1516" t="s">
        <v>8</v>
      </c>
      <c r="B1516" t="s">
        <v>16</v>
      </c>
      <c r="C1516">
        <v>202403</v>
      </c>
      <c r="D1516" t="str">
        <f t="shared" si="23"/>
        <v>2024</v>
      </c>
      <c r="E1516">
        <v>434559</v>
      </c>
      <c r="F1516">
        <v>11807451</v>
      </c>
      <c r="G1516">
        <v>3.68</v>
      </c>
      <c r="H1516" t="s">
        <v>10</v>
      </c>
      <c r="I1516" t="s">
        <v>11</v>
      </c>
    </row>
    <row r="1517" spans="1:9" hidden="1" x14ac:dyDescent="0.25">
      <c r="A1517" t="s">
        <v>8</v>
      </c>
      <c r="B1517" t="s">
        <v>16</v>
      </c>
      <c r="C1517">
        <v>202404</v>
      </c>
      <c r="D1517" t="str">
        <f t="shared" si="23"/>
        <v>2024</v>
      </c>
      <c r="E1517">
        <v>461730</v>
      </c>
      <c r="F1517">
        <v>11807451</v>
      </c>
      <c r="G1517">
        <v>3.91</v>
      </c>
      <c r="H1517" t="s">
        <v>10</v>
      </c>
      <c r="I1517" t="s">
        <v>11</v>
      </c>
    </row>
    <row r="1518" spans="1:9" hidden="1" x14ac:dyDescent="0.25">
      <c r="A1518" t="s">
        <v>8</v>
      </c>
      <c r="B1518" t="s">
        <v>16</v>
      </c>
      <c r="C1518">
        <v>202405</v>
      </c>
      <c r="D1518" t="str">
        <f t="shared" si="23"/>
        <v>2024</v>
      </c>
      <c r="E1518">
        <v>423409</v>
      </c>
      <c r="F1518">
        <v>11807451</v>
      </c>
      <c r="G1518">
        <v>3.59</v>
      </c>
      <c r="H1518" t="s">
        <v>10</v>
      </c>
      <c r="I1518" t="s">
        <v>11</v>
      </c>
    </row>
    <row r="1519" spans="1:9" hidden="1" x14ac:dyDescent="0.25">
      <c r="A1519" t="s">
        <v>8</v>
      </c>
      <c r="B1519" t="s">
        <v>16</v>
      </c>
      <c r="C1519">
        <v>202406</v>
      </c>
      <c r="D1519" t="str">
        <f t="shared" si="23"/>
        <v>2024</v>
      </c>
      <c r="E1519">
        <v>376669</v>
      </c>
      <c r="F1519">
        <v>11807451</v>
      </c>
      <c r="G1519">
        <v>3.19</v>
      </c>
      <c r="H1519" t="s">
        <v>10</v>
      </c>
      <c r="I1519" t="s">
        <v>11</v>
      </c>
    </row>
    <row r="1520" spans="1:9" hidden="1" x14ac:dyDescent="0.25">
      <c r="A1520" t="s">
        <v>8</v>
      </c>
      <c r="B1520" t="s">
        <v>16</v>
      </c>
      <c r="C1520">
        <v>202407</v>
      </c>
      <c r="D1520" t="str">
        <f t="shared" si="23"/>
        <v>2024</v>
      </c>
      <c r="E1520">
        <v>407715</v>
      </c>
      <c r="F1520">
        <v>11807451</v>
      </c>
      <c r="G1520">
        <v>3.45</v>
      </c>
      <c r="H1520" t="s">
        <v>10</v>
      </c>
      <c r="I1520" t="s">
        <v>11</v>
      </c>
    </row>
    <row r="1521" spans="1:9" hidden="1" x14ac:dyDescent="0.25">
      <c r="A1521" t="s">
        <v>8</v>
      </c>
      <c r="B1521" t="s">
        <v>16</v>
      </c>
      <c r="C1521">
        <v>202408</v>
      </c>
      <c r="D1521" t="str">
        <f t="shared" si="23"/>
        <v>2024</v>
      </c>
      <c r="E1521">
        <v>413830</v>
      </c>
      <c r="F1521">
        <v>11807451</v>
      </c>
      <c r="G1521">
        <v>3.5</v>
      </c>
      <c r="H1521" t="s">
        <v>10</v>
      </c>
      <c r="I1521" t="s">
        <v>11</v>
      </c>
    </row>
    <row r="1522" spans="1:9" hidden="1" x14ac:dyDescent="0.25">
      <c r="A1522" t="s">
        <v>8</v>
      </c>
      <c r="B1522" t="s">
        <v>16</v>
      </c>
      <c r="C1522">
        <v>202409</v>
      </c>
      <c r="D1522" t="str">
        <f t="shared" si="23"/>
        <v>2024</v>
      </c>
      <c r="E1522">
        <v>428559</v>
      </c>
      <c r="F1522">
        <v>11807451</v>
      </c>
      <c r="G1522">
        <v>3.63</v>
      </c>
      <c r="H1522" t="s">
        <v>10</v>
      </c>
      <c r="I1522" t="s">
        <v>11</v>
      </c>
    </row>
    <row r="1523" spans="1:9" hidden="1" x14ac:dyDescent="0.25">
      <c r="A1523" t="s">
        <v>8</v>
      </c>
      <c r="B1523" t="s">
        <v>16</v>
      </c>
      <c r="C1523">
        <v>202410</v>
      </c>
      <c r="D1523" t="str">
        <f t="shared" si="23"/>
        <v>2024</v>
      </c>
      <c r="E1523">
        <v>549280</v>
      </c>
      <c r="F1523">
        <v>11807451</v>
      </c>
      <c r="G1523">
        <v>4.6500000000000004</v>
      </c>
      <c r="H1523" t="s">
        <v>10</v>
      </c>
      <c r="I1523" t="s">
        <v>11</v>
      </c>
    </row>
    <row r="1524" spans="1:9" hidden="1" x14ac:dyDescent="0.25">
      <c r="A1524" t="s">
        <v>8</v>
      </c>
      <c r="B1524" t="s">
        <v>16</v>
      </c>
      <c r="C1524">
        <v>202411</v>
      </c>
      <c r="D1524" t="str">
        <f t="shared" si="23"/>
        <v>2024</v>
      </c>
      <c r="E1524">
        <v>495319</v>
      </c>
      <c r="F1524">
        <v>11807451</v>
      </c>
      <c r="G1524">
        <v>4.1900000000000004</v>
      </c>
      <c r="H1524" t="s">
        <v>10</v>
      </c>
      <c r="I1524" t="s">
        <v>11</v>
      </c>
    </row>
    <row r="1525" spans="1:9" hidden="1" x14ac:dyDescent="0.25">
      <c r="A1525" t="s">
        <v>8</v>
      </c>
      <c r="B1525" t="s">
        <v>16</v>
      </c>
      <c r="C1525">
        <v>202412</v>
      </c>
      <c r="D1525" t="str">
        <f t="shared" si="23"/>
        <v>2024</v>
      </c>
      <c r="E1525">
        <v>496947</v>
      </c>
      <c r="F1525">
        <v>11807451</v>
      </c>
      <c r="G1525">
        <v>4.21</v>
      </c>
      <c r="H1525" t="s">
        <v>10</v>
      </c>
      <c r="I1525" t="s">
        <v>11</v>
      </c>
    </row>
    <row r="1526" spans="1:9" x14ac:dyDescent="0.25">
      <c r="A1526" t="s">
        <v>8</v>
      </c>
      <c r="B1526" t="s">
        <v>16</v>
      </c>
      <c r="C1526">
        <v>202501</v>
      </c>
      <c r="D1526" t="str">
        <f t="shared" si="23"/>
        <v>2025</v>
      </c>
      <c r="E1526">
        <v>392592</v>
      </c>
      <c r="F1526">
        <v>11807451</v>
      </c>
      <c r="G1526">
        <v>3.32</v>
      </c>
      <c r="H1526" t="s">
        <v>10</v>
      </c>
      <c r="I1526" t="s">
        <v>11</v>
      </c>
    </row>
    <row r="1527" spans="1:9" x14ac:dyDescent="0.25">
      <c r="A1527" t="s">
        <v>8</v>
      </c>
      <c r="B1527" t="s">
        <v>16</v>
      </c>
      <c r="C1527">
        <v>202502</v>
      </c>
      <c r="D1527" t="str">
        <f t="shared" si="23"/>
        <v>2025</v>
      </c>
      <c r="E1527">
        <v>341099</v>
      </c>
      <c r="F1527">
        <v>11807451</v>
      </c>
      <c r="G1527">
        <v>2.89</v>
      </c>
      <c r="H1527" t="s">
        <v>10</v>
      </c>
      <c r="I1527" t="s">
        <v>11</v>
      </c>
    </row>
    <row r="1528" spans="1:9" x14ac:dyDescent="0.25">
      <c r="A1528" t="s">
        <v>8</v>
      </c>
      <c r="B1528" t="s">
        <v>16</v>
      </c>
      <c r="C1528">
        <v>202503</v>
      </c>
      <c r="D1528" t="str">
        <f t="shared" si="23"/>
        <v>2025</v>
      </c>
      <c r="E1528">
        <v>345040</v>
      </c>
      <c r="F1528">
        <v>11807451</v>
      </c>
      <c r="G1528">
        <v>2.92</v>
      </c>
      <c r="H1528" t="s">
        <v>10</v>
      </c>
      <c r="I1528" t="s">
        <v>11</v>
      </c>
    </row>
    <row r="1529" spans="1:9" x14ac:dyDescent="0.25">
      <c r="A1529" t="s">
        <v>8</v>
      </c>
      <c r="B1529" t="s">
        <v>16</v>
      </c>
      <c r="C1529">
        <v>202504</v>
      </c>
      <c r="D1529" t="str">
        <f t="shared" si="23"/>
        <v>2025</v>
      </c>
      <c r="E1529">
        <v>68936</v>
      </c>
      <c r="F1529">
        <v>11807451</v>
      </c>
      <c r="G1529">
        <v>0.57999999999999996</v>
      </c>
      <c r="H1529" t="s">
        <v>10</v>
      </c>
      <c r="I1529" t="s">
        <v>11</v>
      </c>
    </row>
    <row r="1530" spans="1:9" hidden="1" x14ac:dyDescent="0.25">
      <c r="A1530" t="s">
        <v>8</v>
      </c>
      <c r="B1530" t="s">
        <v>78</v>
      </c>
      <c r="C1530">
        <v>201807</v>
      </c>
      <c r="D1530" t="str">
        <f t="shared" si="23"/>
        <v>2018</v>
      </c>
      <c r="E1530">
        <v>6</v>
      </c>
      <c r="F1530">
        <v>12045768</v>
      </c>
      <c r="G1530">
        <v>0</v>
      </c>
      <c r="H1530" t="s">
        <v>10</v>
      </c>
      <c r="I1530" t="s">
        <v>11</v>
      </c>
    </row>
    <row r="1531" spans="1:9" hidden="1" x14ac:dyDescent="0.25">
      <c r="A1531" t="s">
        <v>8</v>
      </c>
      <c r="B1531" t="s">
        <v>78</v>
      </c>
      <c r="C1531">
        <v>201808</v>
      </c>
      <c r="D1531" t="str">
        <f t="shared" si="23"/>
        <v>2018</v>
      </c>
      <c r="E1531">
        <v>17</v>
      </c>
      <c r="F1531">
        <v>12045768</v>
      </c>
      <c r="G1531">
        <v>0</v>
      </c>
      <c r="H1531" t="s">
        <v>10</v>
      </c>
      <c r="I1531" t="s">
        <v>11</v>
      </c>
    </row>
    <row r="1532" spans="1:9" hidden="1" x14ac:dyDescent="0.25">
      <c r="A1532" t="s">
        <v>8</v>
      </c>
      <c r="B1532" t="s">
        <v>78</v>
      </c>
      <c r="C1532">
        <v>201901</v>
      </c>
      <c r="D1532" t="str">
        <f t="shared" si="23"/>
        <v>2019</v>
      </c>
      <c r="E1532">
        <v>4</v>
      </c>
      <c r="F1532">
        <v>12045768</v>
      </c>
      <c r="G1532">
        <v>0</v>
      </c>
      <c r="H1532" t="s">
        <v>10</v>
      </c>
      <c r="I1532" t="s">
        <v>11</v>
      </c>
    </row>
    <row r="1533" spans="1:9" hidden="1" x14ac:dyDescent="0.25">
      <c r="A1533" t="s">
        <v>8</v>
      </c>
      <c r="B1533" t="s">
        <v>78</v>
      </c>
      <c r="C1533">
        <v>201903</v>
      </c>
      <c r="D1533" t="str">
        <f t="shared" si="23"/>
        <v>2019</v>
      </c>
      <c r="E1533">
        <v>14</v>
      </c>
      <c r="F1533">
        <v>12045768</v>
      </c>
      <c r="G1533">
        <v>0</v>
      </c>
      <c r="H1533" t="s">
        <v>10</v>
      </c>
      <c r="I1533" t="s">
        <v>11</v>
      </c>
    </row>
    <row r="1534" spans="1:9" hidden="1" x14ac:dyDescent="0.25">
      <c r="A1534" t="s">
        <v>8</v>
      </c>
      <c r="B1534" t="s">
        <v>78</v>
      </c>
      <c r="C1534">
        <v>201904</v>
      </c>
      <c r="D1534" t="str">
        <f t="shared" si="23"/>
        <v>2019</v>
      </c>
      <c r="E1534">
        <v>67</v>
      </c>
      <c r="F1534">
        <v>12045768</v>
      </c>
      <c r="G1534">
        <v>0</v>
      </c>
      <c r="H1534" t="s">
        <v>10</v>
      </c>
      <c r="I1534" t="s">
        <v>11</v>
      </c>
    </row>
    <row r="1535" spans="1:9" hidden="1" x14ac:dyDescent="0.25">
      <c r="A1535" t="s">
        <v>8</v>
      </c>
      <c r="B1535" t="s">
        <v>78</v>
      </c>
      <c r="C1535">
        <v>201905</v>
      </c>
      <c r="D1535" t="str">
        <f t="shared" si="23"/>
        <v>2019</v>
      </c>
      <c r="E1535">
        <v>43</v>
      </c>
      <c r="F1535">
        <v>12045768</v>
      </c>
      <c r="G1535">
        <v>0</v>
      </c>
      <c r="H1535" t="s">
        <v>10</v>
      </c>
      <c r="I1535" t="s">
        <v>11</v>
      </c>
    </row>
    <row r="1536" spans="1:9" hidden="1" x14ac:dyDescent="0.25">
      <c r="A1536" t="s">
        <v>8</v>
      </c>
      <c r="B1536" t="s">
        <v>78</v>
      </c>
      <c r="C1536">
        <v>201906</v>
      </c>
      <c r="D1536" t="str">
        <f t="shared" si="23"/>
        <v>2019</v>
      </c>
      <c r="E1536">
        <v>49</v>
      </c>
      <c r="F1536">
        <v>12045768</v>
      </c>
      <c r="G1536">
        <v>0</v>
      </c>
      <c r="H1536" t="s">
        <v>10</v>
      </c>
      <c r="I1536" t="s">
        <v>11</v>
      </c>
    </row>
    <row r="1537" spans="1:9" hidden="1" x14ac:dyDescent="0.25">
      <c r="A1537" t="s">
        <v>8</v>
      </c>
      <c r="B1537" t="s">
        <v>78</v>
      </c>
      <c r="C1537">
        <v>201907</v>
      </c>
      <c r="D1537" t="str">
        <f t="shared" si="23"/>
        <v>2019</v>
      </c>
      <c r="E1537">
        <v>6</v>
      </c>
      <c r="F1537">
        <v>12045768</v>
      </c>
      <c r="G1537">
        <v>0</v>
      </c>
      <c r="H1537" t="s">
        <v>10</v>
      </c>
      <c r="I1537" t="s">
        <v>11</v>
      </c>
    </row>
    <row r="1538" spans="1:9" hidden="1" x14ac:dyDescent="0.25">
      <c r="A1538" t="s">
        <v>8</v>
      </c>
      <c r="B1538" t="s">
        <v>78</v>
      </c>
      <c r="C1538">
        <v>201910</v>
      </c>
      <c r="D1538" t="str">
        <f t="shared" si="23"/>
        <v>2019</v>
      </c>
      <c r="E1538">
        <v>12</v>
      </c>
      <c r="F1538">
        <v>12045768</v>
      </c>
      <c r="G1538">
        <v>0</v>
      </c>
      <c r="H1538" t="s">
        <v>10</v>
      </c>
      <c r="I1538" t="s">
        <v>11</v>
      </c>
    </row>
    <row r="1539" spans="1:9" hidden="1" x14ac:dyDescent="0.25">
      <c r="A1539" t="s">
        <v>8</v>
      </c>
      <c r="B1539" t="s">
        <v>78</v>
      </c>
      <c r="C1539">
        <v>201911</v>
      </c>
      <c r="D1539" t="str">
        <f t="shared" ref="D1539:D1602" si="24">LEFT(C1539,4)</f>
        <v>2019</v>
      </c>
      <c r="E1539">
        <v>1</v>
      </c>
      <c r="F1539">
        <v>12045768</v>
      </c>
      <c r="G1539">
        <v>0</v>
      </c>
      <c r="H1539" t="s">
        <v>10</v>
      </c>
      <c r="I1539" t="s">
        <v>11</v>
      </c>
    </row>
    <row r="1540" spans="1:9" hidden="1" x14ac:dyDescent="0.25">
      <c r="A1540" t="s">
        <v>8</v>
      </c>
      <c r="B1540" t="s">
        <v>78</v>
      </c>
      <c r="C1540">
        <v>201912</v>
      </c>
      <c r="D1540" t="str">
        <f t="shared" si="24"/>
        <v>2019</v>
      </c>
      <c r="E1540">
        <v>13</v>
      </c>
      <c r="F1540">
        <v>12045768</v>
      </c>
      <c r="G1540">
        <v>0</v>
      </c>
      <c r="H1540" t="s">
        <v>10</v>
      </c>
      <c r="I1540" t="s">
        <v>11</v>
      </c>
    </row>
    <row r="1541" spans="1:9" hidden="1" x14ac:dyDescent="0.25">
      <c r="A1541" t="s">
        <v>8</v>
      </c>
      <c r="B1541" t="s">
        <v>78</v>
      </c>
      <c r="C1541">
        <v>202001</v>
      </c>
      <c r="D1541" t="str">
        <f t="shared" si="24"/>
        <v>2020</v>
      </c>
      <c r="E1541">
        <v>869</v>
      </c>
      <c r="F1541">
        <v>12045768</v>
      </c>
      <c r="G1541">
        <v>0.01</v>
      </c>
      <c r="H1541" t="s">
        <v>10</v>
      </c>
      <c r="I1541" t="s">
        <v>11</v>
      </c>
    </row>
    <row r="1542" spans="1:9" hidden="1" x14ac:dyDescent="0.25">
      <c r="A1542" t="s">
        <v>8</v>
      </c>
      <c r="B1542" t="s">
        <v>78</v>
      </c>
      <c r="C1542">
        <v>202002</v>
      </c>
      <c r="D1542" t="str">
        <f t="shared" si="24"/>
        <v>2020</v>
      </c>
      <c r="E1542">
        <v>521</v>
      </c>
      <c r="F1542">
        <v>12045768</v>
      </c>
      <c r="G1542">
        <v>0</v>
      </c>
      <c r="H1542" t="s">
        <v>10</v>
      </c>
      <c r="I1542" t="s">
        <v>11</v>
      </c>
    </row>
    <row r="1543" spans="1:9" hidden="1" x14ac:dyDescent="0.25">
      <c r="A1543" t="s">
        <v>8</v>
      </c>
      <c r="B1543" t="s">
        <v>78</v>
      </c>
      <c r="C1543">
        <v>202003</v>
      </c>
      <c r="D1543" t="str">
        <f t="shared" si="24"/>
        <v>2020</v>
      </c>
      <c r="E1543">
        <v>563</v>
      </c>
      <c r="F1543">
        <v>12045768</v>
      </c>
      <c r="G1543">
        <v>0</v>
      </c>
      <c r="H1543" t="s">
        <v>10</v>
      </c>
      <c r="I1543" t="s">
        <v>11</v>
      </c>
    </row>
    <row r="1544" spans="1:9" hidden="1" x14ac:dyDescent="0.25">
      <c r="A1544" t="s">
        <v>8</v>
      </c>
      <c r="B1544" t="s">
        <v>78</v>
      </c>
      <c r="C1544">
        <v>202004</v>
      </c>
      <c r="D1544" t="str">
        <f t="shared" si="24"/>
        <v>2020</v>
      </c>
      <c r="E1544">
        <v>967</v>
      </c>
      <c r="F1544">
        <v>12045768</v>
      </c>
      <c r="G1544">
        <v>0.01</v>
      </c>
      <c r="H1544" t="s">
        <v>10</v>
      </c>
      <c r="I1544" t="s">
        <v>11</v>
      </c>
    </row>
    <row r="1545" spans="1:9" hidden="1" x14ac:dyDescent="0.25">
      <c r="A1545" t="s">
        <v>8</v>
      </c>
      <c r="B1545" t="s">
        <v>78</v>
      </c>
      <c r="C1545">
        <v>202005</v>
      </c>
      <c r="D1545" t="str">
        <f t="shared" si="24"/>
        <v>2020</v>
      </c>
      <c r="E1545">
        <v>1132</v>
      </c>
      <c r="F1545">
        <v>12045768</v>
      </c>
      <c r="G1545">
        <v>0.01</v>
      </c>
      <c r="H1545" t="s">
        <v>10</v>
      </c>
      <c r="I1545" t="s">
        <v>11</v>
      </c>
    </row>
    <row r="1546" spans="1:9" hidden="1" x14ac:dyDescent="0.25">
      <c r="A1546" t="s">
        <v>8</v>
      </c>
      <c r="B1546" t="s">
        <v>78</v>
      </c>
      <c r="C1546">
        <v>202006</v>
      </c>
      <c r="D1546" t="str">
        <f t="shared" si="24"/>
        <v>2020</v>
      </c>
      <c r="E1546">
        <v>2028</v>
      </c>
      <c r="F1546">
        <v>12045768</v>
      </c>
      <c r="G1546">
        <v>0.02</v>
      </c>
      <c r="H1546" t="s">
        <v>10</v>
      </c>
      <c r="I1546" t="s">
        <v>11</v>
      </c>
    </row>
    <row r="1547" spans="1:9" hidden="1" x14ac:dyDescent="0.25">
      <c r="A1547" t="s">
        <v>8</v>
      </c>
      <c r="B1547" t="s">
        <v>78</v>
      </c>
      <c r="C1547">
        <v>202007</v>
      </c>
      <c r="D1547" t="str">
        <f t="shared" si="24"/>
        <v>2020</v>
      </c>
      <c r="E1547">
        <v>2439</v>
      </c>
      <c r="F1547">
        <v>12045768</v>
      </c>
      <c r="G1547">
        <v>0.02</v>
      </c>
      <c r="H1547" t="s">
        <v>10</v>
      </c>
      <c r="I1547" t="s">
        <v>11</v>
      </c>
    </row>
    <row r="1548" spans="1:9" hidden="1" x14ac:dyDescent="0.25">
      <c r="A1548" t="s">
        <v>8</v>
      </c>
      <c r="B1548" t="s">
        <v>78</v>
      </c>
      <c r="C1548">
        <v>202008</v>
      </c>
      <c r="D1548" t="str">
        <f t="shared" si="24"/>
        <v>2020</v>
      </c>
      <c r="E1548">
        <v>2194</v>
      </c>
      <c r="F1548">
        <v>12045768</v>
      </c>
      <c r="G1548">
        <v>0.02</v>
      </c>
      <c r="H1548" t="s">
        <v>10</v>
      </c>
      <c r="I1548" t="s">
        <v>11</v>
      </c>
    </row>
    <row r="1549" spans="1:9" hidden="1" x14ac:dyDescent="0.25">
      <c r="A1549" t="s">
        <v>8</v>
      </c>
      <c r="B1549" t="s">
        <v>78</v>
      </c>
      <c r="C1549">
        <v>202009</v>
      </c>
      <c r="D1549" t="str">
        <f t="shared" si="24"/>
        <v>2020</v>
      </c>
      <c r="E1549">
        <v>1884</v>
      </c>
      <c r="F1549">
        <v>12045768</v>
      </c>
      <c r="G1549">
        <v>0.02</v>
      </c>
      <c r="H1549" t="s">
        <v>10</v>
      </c>
      <c r="I1549" t="s">
        <v>11</v>
      </c>
    </row>
    <row r="1550" spans="1:9" hidden="1" x14ac:dyDescent="0.25">
      <c r="A1550" t="s">
        <v>8</v>
      </c>
      <c r="B1550" t="s">
        <v>78</v>
      </c>
      <c r="C1550">
        <v>202010</v>
      </c>
      <c r="D1550" t="str">
        <f t="shared" si="24"/>
        <v>2020</v>
      </c>
      <c r="E1550">
        <v>1899</v>
      </c>
      <c r="F1550">
        <v>12045768</v>
      </c>
      <c r="G1550">
        <v>0.02</v>
      </c>
      <c r="H1550" t="s">
        <v>10</v>
      </c>
      <c r="I1550" t="s">
        <v>11</v>
      </c>
    </row>
    <row r="1551" spans="1:9" hidden="1" x14ac:dyDescent="0.25">
      <c r="A1551" t="s">
        <v>8</v>
      </c>
      <c r="B1551" t="s">
        <v>78</v>
      </c>
      <c r="C1551">
        <v>202011</v>
      </c>
      <c r="D1551" t="str">
        <f t="shared" si="24"/>
        <v>2020</v>
      </c>
      <c r="E1551">
        <v>1778</v>
      </c>
      <c r="F1551">
        <v>12045768</v>
      </c>
      <c r="G1551">
        <v>0.01</v>
      </c>
      <c r="H1551" t="s">
        <v>10</v>
      </c>
      <c r="I1551" t="s">
        <v>11</v>
      </c>
    </row>
    <row r="1552" spans="1:9" hidden="1" x14ac:dyDescent="0.25">
      <c r="A1552" t="s">
        <v>8</v>
      </c>
      <c r="B1552" t="s">
        <v>78</v>
      </c>
      <c r="C1552">
        <v>202012</v>
      </c>
      <c r="D1552" t="str">
        <f t="shared" si="24"/>
        <v>2020</v>
      </c>
      <c r="E1552">
        <v>2052</v>
      </c>
      <c r="F1552">
        <v>12045768</v>
      </c>
      <c r="G1552">
        <v>0.02</v>
      </c>
      <c r="H1552" t="s">
        <v>10</v>
      </c>
      <c r="I1552" t="s">
        <v>11</v>
      </c>
    </row>
    <row r="1553" spans="1:9" hidden="1" x14ac:dyDescent="0.25">
      <c r="A1553" t="s">
        <v>8</v>
      </c>
      <c r="B1553" t="s">
        <v>78</v>
      </c>
      <c r="C1553">
        <v>202101</v>
      </c>
      <c r="D1553" t="str">
        <f t="shared" si="24"/>
        <v>2021</v>
      </c>
      <c r="E1553">
        <v>34657</v>
      </c>
      <c r="F1553">
        <v>12045768</v>
      </c>
      <c r="G1553">
        <v>0.28999999999999998</v>
      </c>
      <c r="H1553" t="s">
        <v>10</v>
      </c>
      <c r="I1553" t="s">
        <v>11</v>
      </c>
    </row>
    <row r="1554" spans="1:9" hidden="1" x14ac:dyDescent="0.25">
      <c r="A1554" t="s">
        <v>8</v>
      </c>
      <c r="B1554" t="s">
        <v>78</v>
      </c>
      <c r="C1554">
        <v>202102</v>
      </c>
      <c r="D1554" t="str">
        <f t="shared" si="24"/>
        <v>2021</v>
      </c>
      <c r="E1554">
        <v>25223</v>
      </c>
      <c r="F1554">
        <v>12045768</v>
      </c>
      <c r="G1554">
        <v>0.21</v>
      </c>
      <c r="H1554" t="s">
        <v>10</v>
      </c>
      <c r="I1554" t="s">
        <v>11</v>
      </c>
    </row>
    <row r="1555" spans="1:9" hidden="1" x14ac:dyDescent="0.25">
      <c r="A1555" t="s">
        <v>8</v>
      </c>
      <c r="B1555" t="s">
        <v>78</v>
      </c>
      <c r="C1555">
        <v>202103</v>
      </c>
      <c r="D1555" t="str">
        <f t="shared" si="24"/>
        <v>2021</v>
      </c>
      <c r="E1555">
        <v>30469</v>
      </c>
      <c r="F1555">
        <v>12045768</v>
      </c>
      <c r="G1555">
        <v>0.25</v>
      </c>
      <c r="H1555" t="s">
        <v>10</v>
      </c>
      <c r="I1555" t="s">
        <v>11</v>
      </c>
    </row>
    <row r="1556" spans="1:9" hidden="1" x14ac:dyDescent="0.25">
      <c r="A1556" t="s">
        <v>8</v>
      </c>
      <c r="B1556" t="s">
        <v>78</v>
      </c>
      <c r="C1556">
        <v>202104</v>
      </c>
      <c r="D1556" t="str">
        <f t="shared" si="24"/>
        <v>2021</v>
      </c>
      <c r="E1556">
        <v>28439</v>
      </c>
      <c r="F1556">
        <v>12045768</v>
      </c>
      <c r="G1556">
        <v>0.24</v>
      </c>
      <c r="H1556" t="s">
        <v>10</v>
      </c>
      <c r="I1556" t="s">
        <v>11</v>
      </c>
    </row>
    <row r="1557" spans="1:9" hidden="1" x14ac:dyDescent="0.25">
      <c r="A1557" t="s">
        <v>8</v>
      </c>
      <c r="B1557" t="s">
        <v>78</v>
      </c>
      <c r="C1557">
        <v>202105</v>
      </c>
      <c r="D1557" t="str">
        <f t="shared" si="24"/>
        <v>2021</v>
      </c>
      <c r="E1557">
        <v>27556</v>
      </c>
      <c r="F1557">
        <v>12045768</v>
      </c>
      <c r="G1557">
        <v>0.23</v>
      </c>
      <c r="H1557" t="s">
        <v>10</v>
      </c>
      <c r="I1557" t="s">
        <v>11</v>
      </c>
    </row>
    <row r="1558" spans="1:9" hidden="1" x14ac:dyDescent="0.25">
      <c r="A1558" t="s">
        <v>8</v>
      </c>
      <c r="B1558" t="s">
        <v>78</v>
      </c>
      <c r="C1558">
        <v>202106</v>
      </c>
      <c r="D1558" t="str">
        <f t="shared" si="24"/>
        <v>2021</v>
      </c>
      <c r="E1558">
        <v>30651</v>
      </c>
      <c r="F1558">
        <v>12045768</v>
      </c>
      <c r="G1558">
        <v>0.25</v>
      </c>
      <c r="H1558" t="s">
        <v>10</v>
      </c>
      <c r="I1558" t="s">
        <v>11</v>
      </c>
    </row>
    <row r="1559" spans="1:9" hidden="1" x14ac:dyDescent="0.25">
      <c r="A1559" t="s">
        <v>8</v>
      </c>
      <c r="B1559" t="s">
        <v>78</v>
      </c>
      <c r="C1559">
        <v>202107</v>
      </c>
      <c r="D1559" t="str">
        <f t="shared" si="24"/>
        <v>2021</v>
      </c>
      <c r="E1559">
        <v>70229</v>
      </c>
      <c r="F1559">
        <v>12045768</v>
      </c>
      <c r="G1559">
        <v>0.57999999999999996</v>
      </c>
      <c r="H1559" t="s">
        <v>10</v>
      </c>
      <c r="I1559" t="s">
        <v>11</v>
      </c>
    </row>
    <row r="1560" spans="1:9" hidden="1" x14ac:dyDescent="0.25">
      <c r="A1560" t="s">
        <v>8</v>
      </c>
      <c r="B1560" t="s">
        <v>78</v>
      </c>
      <c r="C1560">
        <v>202108</v>
      </c>
      <c r="D1560" t="str">
        <f t="shared" si="24"/>
        <v>2021</v>
      </c>
      <c r="E1560">
        <v>73390</v>
      </c>
      <c r="F1560">
        <v>12045768</v>
      </c>
      <c r="G1560">
        <v>0.61</v>
      </c>
      <c r="H1560" t="s">
        <v>10</v>
      </c>
      <c r="I1560" t="s">
        <v>11</v>
      </c>
    </row>
    <row r="1561" spans="1:9" hidden="1" x14ac:dyDescent="0.25">
      <c r="A1561" t="s">
        <v>8</v>
      </c>
      <c r="B1561" t="s">
        <v>78</v>
      </c>
      <c r="C1561">
        <v>202109</v>
      </c>
      <c r="D1561" t="str">
        <f t="shared" si="24"/>
        <v>2021</v>
      </c>
      <c r="E1561">
        <v>77700</v>
      </c>
      <c r="F1561">
        <v>12045768</v>
      </c>
      <c r="G1561">
        <v>0.65</v>
      </c>
      <c r="H1561" t="s">
        <v>10</v>
      </c>
      <c r="I1561" t="s">
        <v>11</v>
      </c>
    </row>
    <row r="1562" spans="1:9" hidden="1" x14ac:dyDescent="0.25">
      <c r="A1562" t="s">
        <v>8</v>
      </c>
      <c r="B1562" t="s">
        <v>78</v>
      </c>
      <c r="C1562">
        <v>202110</v>
      </c>
      <c r="D1562" t="str">
        <f t="shared" si="24"/>
        <v>2021</v>
      </c>
      <c r="E1562">
        <v>75170</v>
      </c>
      <c r="F1562">
        <v>12045768</v>
      </c>
      <c r="G1562">
        <v>0.62</v>
      </c>
      <c r="H1562" t="s">
        <v>10</v>
      </c>
      <c r="I1562" t="s">
        <v>11</v>
      </c>
    </row>
    <row r="1563" spans="1:9" hidden="1" x14ac:dyDescent="0.25">
      <c r="A1563" t="s">
        <v>8</v>
      </c>
      <c r="B1563" t="s">
        <v>78</v>
      </c>
      <c r="C1563">
        <v>202111</v>
      </c>
      <c r="D1563" t="str">
        <f t="shared" si="24"/>
        <v>2021</v>
      </c>
      <c r="E1563">
        <v>77652</v>
      </c>
      <c r="F1563">
        <v>12045768</v>
      </c>
      <c r="G1563">
        <v>0.64</v>
      </c>
      <c r="H1563" t="s">
        <v>10</v>
      </c>
      <c r="I1563" t="s">
        <v>11</v>
      </c>
    </row>
    <row r="1564" spans="1:9" hidden="1" x14ac:dyDescent="0.25">
      <c r="A1564" t="s">
        <v>8</v>
      </c>
      <c r="B1564" t="s">
        <v>78</v>
      </c>
      <c r="C1564">
        <v>202112</v>
      </c>
      <c r="D1564" t="str">
        <f t="shared" si="24"/>
        <v>2021</v>
      </c>
      <c r="E1564">
        <v>77149</v>
      </c>
      <c r="F1564">
        <v>12045768</v>
      </c>
      <c r="G1564">
        <v>0.64</v>
      </c>
      <c r="H1564" t="s">
        <v>10</v>
      </c>
      <c r="I1564" t="s">
        <v>11</v>
      </c>
    </row>
    <row r="1565" spans="1:9" hidden="1" x14ac:dyDescent="0.25">
      <c r="A1565" t="s">
        <v>8</v>
      </c>
      <c r="B1565" t="s">
        <v>78</v>
      </c>
      <c r="C1565">
        <v>202201</v>
      </c>
      <c r="D1565" t="str">
        <f t="shared" si="24"/>
        <v>2022</v>
      </c>
      <c r="E1565">
        <v>65912</v>
      </c>
      <c r="F1565">
        <v>12045768</v>
      </c>
      <c r="G1565">
        <v>0.55000000000000004</v>
      </c>
      <c r="H1565" t="s">
        <v>10</v>
      </c>
      <c r="I1565" t="s">
        <v>11</v>
      </c>
    </row>
    <row r="1566" spans="1:9" hidden="1" x14ac:dyDescent="0.25">
      <c r="A1566" t="s">
        <v>8</v>
      </c>
      <c r="B1566" t="s">
        <v>78</v>
      </c>
      <c r="C1566">
        <v>202202</v>
      </c>
      <c r="D1566" t="str">
        <f t="shared" si="24"/>
        <v>2022</v>
      </c>
      <c r="E1566">
        <v>52473</v>
      </c>
      <c r="F1566">
        <v>12045768</v>
      </c>
      <c r="G1566">
        <v>0.44</v>
      </c>
      <c r="H1566" t="s">
        <v>10</v>
      </c>
      <c r="I1566" t="s">
        <v>11</v>
      </c>
    </row>
    <row r="1567" spans="1:9" hidden="1" x14ac:dyDescent="0.25">
      <c r="A1567" t="s">
        <v>8</v>
      </c>
      <c r="B1567" t="s">
        <v>78</v>
      </c>
      <c r="C1567">
        <v>202203</v>
      </c>
      <c r="D1567" t="str">
        <f t="shared" si="24"/>
        <v>2022</v>
      </c>
      <c r="E1567">
        <v>63593</v>
      </c>
      <c r="F1567">
        <v>12045768</v>
      </c>
      <c r="G1567">
        <v>0.53</v>
      </c>
      <c r="H1567" t="s">
        <v>10</v>
      </c>
      <c r="I1567" t="s">
        <v>11</v>
      </c>
    </row>
    <row r="1568" spans="1:9" hidden="1" x14ac:dyDescent="0.25">
      <c r="A1568" t="s">
        <v>8</v>
      </c>
      <c r="B1568" t="s">
        <v>78</v>
      </c>
      <c r="C1568">
        <v>202204</v>
      </c>
      <c r="D1568" t="str">
        <f t="shared" si="24"/>
        <v>2022</v>
      </c>
      <c r="E1568">
        <v>64649</v>
      </c>
      <c r="F1568">
        <v>12045768</v>
      </c>
      <c r="G1568">
        <v>0.54</v>
      </c>
      <c r="H1568" t="s">
        <v>10</v>
      </c>
      <c r="I1568" t="s">
        <v>11</v>
      </c>
    </row>
    <row r="1569" spans="1:9" hidden="1" x14ac:dyDescent="0.25">
      <c r="A1569" t="s">
        <v>8</v>
      </c>
      <c r="B1569" t="s">
        <v>78</v>
      </c>
      <c r="C1569">
        <v>202205</v>
      </c>
      <c r="D1569" t="str">
        <f t="shared" si="24"/>
        <v>2022</v>
      </c>
      <c r="E1569">
        <v>71326</v>
      </c>
      <c r="F1569">
        <v>12045768</v>
      </c>
      <c r="G1569">
        <v>0.59</v>
      </c>
      <c r="H1569" t="s">
        <v>10</v>
      </c>
      <c r="I1569" t="s">
        <v>11</v>
      </c>
    </row>
    <row r="1570" spans="1:9" hidden="1" x14ac:dyDescent="0.25">
      <c r="A1570" t="s">
        <v>8</v>
      </c>
      <c r="B1570" t="s">
        <v>78</v>
      </c>
      <c r="C1570">
        <v>202206</v>
      </c>
      <c r="D1570" t="str">
        <f t="shared" si="24"/>
        <v>2022</v>
      </c>
      <c r="E1570">
        <v>83187</v>
      </c>
      <c r="F1570">
        <v>12045768</v>
      </c>
      <c r="G1570">
        <v>0.69</v>
      </c>
      <c r="H1570" t="s">
        <v>10</v>
      </c>
      <c r="I1570" t="s">
        <v>11</v>
      </c>
    </row>
    <row r="1571" spans="1:9" hidden="1" x14ac:dyDescent="0.25">
      <c r="A1571" t="s">
        <v>8</v>
      </c>
      <c r="B1571" t="s">
        <v>78</v>
      </c>
      <c r="C1571">
        <v>202207</v>
      </c>
      <c r="D1571" t="str">
        <f t="shared" si="24"/>
        <v>2022</v>
      </c>
      <c r="E1571">
        <v>170445</v>
      </c>
      <c r="F1571">
        <v>12045768</v>
      </c>
      <c r="G1571">
        <v>1.41</v>
      </c>
      <c r="H1571" t="s">
        <v>10</v>
      </c>
      <c r="I1571" t="s">
        <v>11</v>
      </c>
    </row>
    <row r="1572" spans="1:9" hidden="1" x14ac:dyDescent="0.25">
      <c r="A1572" t="s">
        <v>8</v>
      </c>
      <c r="B1572" t="s">
        <v>78</v>
      </c>
      <c r="C1572">
        <v>202208</v>
      </c>
      <c r="D1572" t="str">
        <f t="shared" si="24"/>
        <v>2022</v>
      </c>
      <c r="E1572">
        <v>193038</v>
      </c>
      <c r="F1572">
        <v>12045768</v>
      </c>
      <c r="G1572">
        <v>1.6</v>
      </c>
      <c r="H1572" t="s">
        <v>10</v>
      </c>
      <c r="I1572" t="s">
        <v>11</v>
      </c>
    </row>
    <row r="1573" spans="1:9" hidden="1" x14ac:dyDescent="0.25">
      <c r="A1573" t="s">
        <v>8</v>
      </c>
      <c r="B1573" t="s">
        <v>78</v>
      </c>
      <c r="C1573">
        <v>202209</v>
      </c>
      <c r="D1573" t="str">
        <f t="shared" si="24"/>
        <v>2022</v>
      </c>
      <c r="E1573">
        <v>179918</v>
      </c>
      <c r="F1573">
        <v>12045768</v>
      </c>
      <c r="G1573">
        <v>1.49</v>
      </c>
      <c r="H1573" t="s">
        <v>10</v>
      </c>
      <c r="I1573" t="s">
        <v>11</v>
      </c>
    </row>
    <row r="1574" spans="1:9" hidden="1" x14ac:dyDescent="0.25">
      <c r="A1574" t="s">
        <v>8</v>
      </c>
      <c r="B1574" t="s">
        <v>78</v>
      </c>
      <c r="C1574">
        <v>202210</v>
      </c>
      <c r="D1574" t="str">
        <f t="shared" si="24"/>
        <v>2022</v>
      </c>
      <c r="E1574">
        <v>182849</v>
      </c>
      <c r="F1574">
        <v>12045768</v>
      </c>
      <c r="G1574">
        <v>1.52</v>
      </c>
      <c r="H1574" t="s">
        <v>10</v>
      </c>
      <c r="I1574" t="s">
        <v>11</v>
      </c>
    </row>
    <row r="1575" spans="1:9" hidden="1" x14ac:dyDescent="0.25">
      <c r="A1575" t="s">
        <v>8</v>
      </c>
      <c r="B1575" t="s">
        <v>78</v>
      </c>
      <c r="C1575">
        <v>202211</v>
      </c>
      <c r="D1575" t="str">
        <f t="shared" si="24"/>
        <v>2022</v>
      </c>
      <c r="E1575">
        <v>180407</v>
      </c>
      <c r="F1575">
        <v>12045768</v>
      </c>
      <c r="G1575">
        <v>1.5</v>
      </c>
      <c r="H1575" t="s">
        <v>10</v>
      </c>
      <c r="I1575" t="s">
        <v>11</v>
      </c>
    </row>
    <row r="1576" spans="1:9" hidden="1" x14ac:dyDescent="0.25">
      <c r="A1576" t="s">
        <v>8</v>
      </c>
      <c r="B1576" t="s">
        <v>78</v>
      </c>
      <c r="C1576">
        <v>202212</v>
      </c>
      <c r="D1576" t="str">
        <f t="shared" si="24"/>
        <v>2022</v>
      </c>
      <c r="E1576">
        <v>170506</v>
      </c>
      <c r="F1576">
        <v>12045768</v>
      </c>
      <c r="G1576">
        <v>1.42</v>
      </c>
      <c r="H1576" t="s">
        <v>10</v>
      </c>
      <c r="I1576" t="s">
        <v>11</v>
      </c>
    </row>
    <row r="1577" spans="1:9" hidden="1" x14ac:dyDescent="0.25">
      <c r="A1577" t="s">
        <v>8</v>
      </c>
      <c r="B1577" t="s">
        <v>78</v>
      </c>
      <c r="C1577">
        <v>202301</v>
      </c>
      <c r="D1577" t="str">
        <f t="shared" si="24"/>
        <v>2023</v>
      </c>
      <c r="E1577">
        <v>233567</v>
      </c>
      <c r="F1577">
        <v>12045768</v>
      </c>
      <c r="G1577">
        <v>1.94</v>
      </c>
      <c r="H1577" t="s">
        <v>10</v>
      </c>
      <c r="I1577" t="s">
        <v>11</v>
      </c>
    </row>
    <row r="1578" spans="1:9" hidden="1" x14ac:dyDescent="0.25">
      <c r="A1578" t="s">
        <v>8</v>
      </c>
      <c r="B1578" t="s">
        <v>78</v>
      </c>
      <c r="C1578">
        <v>202302</v>
      </c>
      <c r="D1578" t="str">
        <f t="shared" si="24"/>
        <v>2023</v>
      </c>
      <c r="E1578">
        <v>227630</v>
      </c>
      <c r="F1578">
        <v>12045768</v>
      </c>
      <c r="G1578">
        <v>1.89</v>
      </c>
      <c r="H1578" t="s">
        <v>10</v>
      </c>
      <c r="I1578" t="s">
        <v>11</v>
      </c>
    </row>
    <row r="1579" spans="1:9" hidden="1" x14ac:dyDescent="0.25">
      <c r="A1579" t="s">
        <v>8</v>
      </c>
      <c r="B1579" t="s">
        <v>78</v>
      </c>
      <c r="C1579">
        <v>202303</v>
      </c>
      <c r="D1579" t="str">
        <f t="shared" si="24"/>
        <v>2023</v>
      </c>
      <c r="E1579">
        <v>252357</v>
      </c>
      <c r="F1579">
        <v>12045768</v>
      </c>
      <c r="G1579">
        <v>2.09</v>
      </c>
      <c r="H1579" t="s">
        <v>10</v>
      </c>
      <c r="I1579" t="s">
        <v>11</v>
      </c>
    </row>
    <row r="1580" spans="1:9" hidden="1" x14ac:dyDescent="0.25">
      <c r="A1580" t="s">
        <v>8</v>
      </c>
      <c r="B1580" t="s">
        <v>78</v>
      </c>
      <c r="C1580">
        <v>202304</v>
      </c>
      <c r="D1580" t="str">
        <f t="shared" si="24"/>
        <v>2023</v>
      </c>
      <c r="E1580">
        <v>228530</v>
      </c>
      <c r="F1580">
        <v>12045768</v>
      </c>
      <c r="G1580">
        <v>1.9</v>
      </c>
      <c r="H1580" t="s">
        <v>10</v>
      </c>
      <c r="I1580" t="s">
        <v>11</v>
      </c>
    </row>
    <row r="1581" spans="1:9" hidden="1" x14ac:dyDescent="0.25">
      <c r="A1581" t="s">
        <v>8</v>
      </c>
      <c r="B1581" t="s">
        <v>78</v>
      </c>
      <c r="C1581">
        <v>202305</v>
      </c>
      <c r="D1581" t="str">
        <f t="shared" si="24"/>
        <v>2023</v>
      </c>
      <c r="E1581">
        <v>241973</v>
      </c>
      <c r="F1581">
        <v>12045768</v>
      </c>
      <c r="G1581">
        <v>2.0099999999999998</v>
      </c>
      <c r="H1581" t="s">
        <v>10</v>
      </c>
      <c r="I1581" t="s">
        <v>11</v>
      </c>
    </row>
    <row r="1582" spans="1:9" hidden="1" x14ac:dyDescent="0.25">
      <c r="A1582" t="s">
        <v>8</v>
      </c>
      <c r="B1582" t="s">
        <v>78</v>
      </c>
      <c r="C1582">
        <v>202306</v>
      </c>
      <c r="D1582" t="str">
        <f t="shared" si="24"/>
        <v>2023</v>
      </c>
      <c r="E1582">
        <v>235012</v>
      </c>
      <c r="F1582">
        <v>12045768</v>
      </c>
      <c r="G1582">
        <v>1.95</v>
      </c>
      <c r="H1582" t="s">
        <v>10</v>
      </c>
      <c r="I1582" t="s">
        <v>11</v>
      </c>
    </row>
    <row r="1583" spans="1:9" hidden="1" x14ac:dyDescent="0.25">
      <c r="A1583" t="s">
        <v>8</v>
      </c>
      <c r="B1583" t="s">
        <v>78</v>
      </c>
      <c r="C1583">
        <v>202307</v>
      </c>
      <c r="D1583" t="str">
        <f t="shared" si="24"/>
        <v>2023</v>
      </c>
      <c r="E1583">
        <v>218854</v>
      </c>
      <c r="F1583">
        <v>12045768</v>
      </c>
      <c r="G1583">
        <v>1.82</v>
      </c>
      <c r="H1583" t="s">
        <v>10</v>
      </c>
      <c r="I1583" t="s">
        <v>11</v>
      </c>
    </row>
    <row r="1584" spans="1:9" hidden="1" x14ac:dyDescent="0.25">
      <c r="A1584" t="s">
        <v>8</v>
      </c>
      <c r="B1584" t="s">
        <v>78</v>
      </c>
      <c r="C1584">
        <v>202308</v>
      </c>
      <c r="D1584" t="str">
        <f t="shared" si="24"/>
        <v>2023</v>
      </c>
      <c r="E1584">
        <v>251104</v>
      </c>
      <c r="F1584">
        <v>12045768</v>
      </c>
      <c r="G1584">
        <v>2.08</v>
      </c>
      <c r="H1584" t="s">
        <v>10</v>
      </c>
      <c r="I1584" t="s">
        <v>11</v>
      </c>
    </row>
    <row r="1585" spans="1:9" hidden="1" x14ac:dyDescent="0.25">
      <c r="A1585" t="s">
        <v>8</v>
      </c>
      <c r="B1585" t="s">
        <v>78</v>
      </c>
      <c r="C1585">
        <v>202309</v>
      </c>
      <c r="D1585" t="str">
        <f t="shared" si="24"/>
        <v>2023</v>
      </c>
      <c r="E1585">
        <v>235248</v>
      </c>
      <c r="F1585">
        <v>12045768</v>
      </c>
      <c r="G1585">
        <v>1.95</v>
      </c>
      <c r="H1585" t="s">
        <v>10</v>
      </c>
      <c r="I1585" t="s">
        <v>11</v>
      </c>
    </row>
    <row r="1586" spans="1:9" hidden="1" x14ac:dyDescent="0.25">
      <c r="A1586" t="s">
        <v>8</v>
      </c>
      <c r="B1586" t="s">
        <v>78</v>
      </c>
      <c r="C1586">
        <v>202310</v>
      </c>
      <c r="D1586" t="str">
        <f t="shared" si="24"/>
        <v>2023</v>
      </c>
      <c r="E1586">
        <v>256912</v>
      </c>
      <c r="F1586">
        <v>12045768</v>
      </c>
      <c r="G1586">
        <v>2.13</v>
      </c>
      <c r="H1586" t="s">
        <v>10</v>
      </c>
      <c r="I1586" t="s">
        <v>11</v>
      </c>
    </row>
    <row r="1587" spans="1:9" hidden="1" x14ac:dyDescent="0.25">
      <c r="A1587" t="s">
        <v>8</v>
      </c>
      <c r="B1587" t="s">
        <v>78</v>
      </c>
      <c r="C1587">
        <v>202311</v>
      </c>
      <c r="D1587" t="str">
        <f t="shared" si="24"/>
        <v>2023</v>
      </c>
      <c r="E1587">
        <v>241181</v>
      </c>
      <c r="F1587">
        <v>12045768</v>
      </c>
      <c r="G1587">
        <v>2</v>
      </c>
      <c r="H1587" t="s">
        <v>10</v>
      </c>
      <c r="I1587" t="s">
        <v>11</v>
      </c>
    </row>
    <row r="1588" spans="1:9" hidden="1" x14ac:dyDescent="0.25">
      <c r="A1588" t="s">
        <v>8</v>
      </c>
      <c r="B1588" t="s">
        <v>78</v>
      </c>
      <c r="C1588">
        <v>202312</v>
      </c>
      <c r="D1588" t="str">
        <f t="shared" si="24"/>
        <v>2023</v>
      </c>
      <c r="E1588">
        <v>227697</v>
      </c>
      <c r="F1588">
        <v>12045768</v>
      </c>
      <c r="G1588">
        <v>1.89</v>
      </c>
      <c r="H1588" t="s">
        <v>10</v>
      </c>
      <c r="I1588" t="s">
        <v>11</v>
      </c>
    </row>
    <row r="1589" spans="1:9" hidden="1" x14ac:dyDescent="0.25">
      <c r="A1589" t="s">
        <v>8</v>
      </c>
      <c r="B1589" t="s">
        <v>78</v>
      </c>
      <c r="C1589">
        <v>202401</v>
      </c>
      <c r="D1589" t="str">
        <f t="shared" si="24"/>
        <v>2024</v>
      </c>
      <c r="E1589">
        <v>396485</v>
      </c>
      <c r="F1589">
        <v>12045768</v>
      </c>
      <c r="G1589">
        <v>3.29</v>
      </c>
      <c r="H1589" t="s">
        <v>10</v>
      </c>
      <c r="I1589" t="s">
        <v>11</v>
      </c>
    </row>
    <row r="1590" spans="1:9" hidden="1" x14ac:dyDescent="0.25">
      <c r="A1590" t="s">
        <v>8</v>
      </c>
      <c r="B1590" t="s">
        <v>78</v>
      </c>
      <c r="C1590">
        <v>202402</v>
      </c>
      <c r="D1590" t="str">
        <f t="shared" si="24"/>
        <v>2024</v>
      </c>
      <c r="E1590">
        <v>431778</v>
      </c>
      <c r="F1590">
        <v>12045768</v>
      </c>
      <c r="G1590">
        <v>3.58</v>
      </c>
      <c r="H1590" t="s">
        <v>10</v>
      </c>
      <c r="I1590" t="s">
        <v>11</v>
      </c>
    </row>
    <row r="1591" spans="1:9" hidden="1" x14ac:dyDescent="0.25">
      <c r="A1591" t="s">
        <v>8</v>
      </c>
      <c r="B1591" t="s">
        <v>78</v>
      </c>
      <c r="C1591">
        <v>202403</v>
      </c>
      <c r="D1591" t="str">
        <f t="shared" si="24"/>
        <v>2024</v>
      </c>
      <c r="E1591">
        <v>437668</v>
      </c>
      <c r="F1591">
        <v>12045768</v>
      </c>
      <c r="G1591">
        <v>3.63</v>
      </c>
      <c r="H1591" t="s">
        <v>10</v>
      </c>
      <c r="I1591" t="s">
        <v>11</v>
      </c>
    </row>
    <row r="1592" spans="1:9" hidden="1" x14ac:dyDescent="0.25">
      <c r="A1592" t="s">
        <v>8</v>
      </c>
      <c r="B1592" t="s">
        <v>78</v>
      </c>
      <c r="C1592">
        <v>202404</v>
      </c>
      <c r="D1592" t="str">
        <f t="shared" si="24"/>
        <v>2024</v>
      </c>
      <c r="E1592">
        <v>467691</v>
      </c>
      <c r="F1592">
        <v>12045768</v>
      </c>
      <c r="G1592">
        <v>3.88</v>
      </c>
      <c r="H1592" t="s">
        <v>10</v>
      </c>
      <c r="I1592" t="s">
        <v>11</v>
      </c>
    </row>
    <row r="1593" spans="1:9" hidden="1" x14ac:dyDescent="0.25">
      <c r="A1593" t="s">
        <v>8</v>
      </c>
      <c r="B1593" t="s">
        <v>78</v>
      </c>
      <c r="C1593">
        <v>202405</v>
      </c>
      <c r="D1593" t="str">
        <f t="shared" si="24"/>
        <v>2024</v>
      </c>
      <c r="E1593">
        <v>429339</v>
      </c>
      <c r="F1593">
        <v>12045768</v>
      </c>
      <c r="G1593">
        <v>3.56</v>
      </c>
      <c r="H1593" t="s">
        <v>10</v>
      </c>
      <c r="I1593" t="s">
        <v>11</v>
      </c>
    </row>
    <row r="1594" spans="1:9" hidden="1" x14ac:dyDescent="0.25">
      <c r="A1594" t="s">
        <v>8</v>
      </c>
      <c r="B1594" t="s">
        <v>78</v>
      </c>
      <c r="C1594">
        <v>202406</v>
      </c>
      <c r="D1594" t="str">
        <f t="shared" si="24"/>
        <v>2024</v>
      </c>
      <c r="E1594">
        <v>390113</v>
      </c>
      <c r="F1594">
        <v>12045768</v>
      </c>
      <c r="G1594">
        <v>3.24</v>
      </c>
      <c r="H1594" t="s">
        <v>10</v>
      </c>
      <c r="I1594" t="s">
        <v>11</v>
      </c>
    </row>
    <row r="1595" spans="1:9" hidden="1" x14ac:dyDescent="0.25">
      <c r="A1595" t="s">
        <v>8</v>
      </c>
      <c r="B1595" t="s">
        <v>78</v>
      </c>
      <c r="C1595">
        <v>202407</v>
      </c>
      <c r="D1595" t="str">
        <f t="shared" si="24"/>
        <v>2024</v>
      </c>
      <c r="E1595">
        <v>419250</v>
      </c>
      <c r="F1595">
        <v>12045768</v>
      </c>
      <c r="G1595">
        <v>3.48</v>
      </c>
      <c r="H1595" t="s">
        <v>10</v>
      </c>
      <c r="I1595" t="s">
        <v>11</v>
      </c>
    </row>
    <row r="1596" spans="1:9" hidden="1" x14ac:dyDescent="0.25">
      <c r="A1596" t="s">
        <v>8</v>
      </c>
      <c r="B1596" t="s">
        <v>78</v>
      </c>
      <c r="C1596">
        <v>202408</v>
      </c>
      <c r="D1596" t="str">
        <f t="shared" si="24"/>
        <v>2024</v>
      </c>
      <c r="E1596">
        <v>428145</v>
      </c>
      <c r="F1596">
        <v>12045768</v>
      </c>
      <c r="G1596">
        <v>3.55</v>
      </c>
      <c r="H1596" t="s">
        <v>10</v>
      </c>
      <c r="I1596" t="s">
        <v>11</v>
      </c>
    </row>
    <row r="1597" spans="1:9" hidden="1" x14ac:dyDescent="0.25">
      <c r="A1597" t="s">
        <v>8</v>
      </c>
      <c r="B1597" t="s">
        <v>78</v>
      </c>
      <c r="C1597">
        <v>202409</v>
      </c>
      <c r="D1597" t="str">
        <f t="shared" si="24"/>
        <v>2024</v>
      </c>
      <c r="E1597">
        <v>437275</v>
      </c>
      <c r="F1597">
        <v>12045768</v>
      </c>
      <c r="G1597">
        <v>3.63</v>
      </c>
      <c r="H1597" t="s">
        <v>10</v>
      </c>
      <c r="I1597" t="s">
        <v>11</v>
      </c>
    </row>
    <row r="1598" spans="1:9" hidden="1" x14ac:dyDescent="0.25">
      <c r="A1598" t="s">
        <v>8</v>
      </c>
      <c r="B1598" t="s">
        <v>78</v>
      </c>
      <c r="C1598">
        <v>202410</v>
      </c>
      <c r="D1598" t="str">
        <f t="shared" si="24"/>
        <v>2024</v>
      </c>
      <c r="E1598">
        <v>555061</v>
      </c>
      <c r="F1598">
        <v>12045768</v>
      </c>
      <c r="G1598">
        <v>4.6100000000000003</v>
      </c>
      <c r="H1598" t="s">
        <v>10</v>
      </c>
      <c r="I1598" t="s">
        <v>11</v>
      </c>
    </row>
    <row r="1599" spans="1:9" hidden="1" x14ac:dyDescent="0.25">
      <c r="A1599" t="s">
        <v>8</v>
      </c>
      <c r="B1599" t="s">
        <v>78</v>
      </c>
      <c r="C1599">
        <v>202411</v>
      </c>
      <c r="D1599" t="str">
        <f t="shared" si="24"/>
        <v>2024</v>
      </c>
      <c r="E1599">
        <v>501874</v>
      </c>
      <c r="F1599">
        <v>12045768</v>
      </c>
      <c r="G1599">
        <v>4.17</v>
      </c>
      <c r="H1599" t="s">
        <v>10</v>
      </c>
      <c r="I1599" t="s">
        <v>11</v>
      </c>
    </row>
    <row r="1600" spans="1:9" hidden="1" x14ac:dyDescent="0.25">
      <c r="A1600" t="s">
        <v>8</v>
      </c>
      <c r="B1600" t="s">
        <v>78</v>
      </c>
      <c r="C1600">
        <v>202412</v>
      </c>
      <c r="D1600" t="str">
        <f t="shared" si="24"/>
        <v>2024</v>
      </c>
      <c r="E1600">
        <v>509616</v>
      </c>
      <c r="F1600">
        <v>12045768</v>
      </c>
      <c r="G1600">
        <v>4.2300000000000004</v>
      </c>
      <c r="H1600" t="s">
        <v>10</v>
      </c>
      <c r="I1600" t="s">
        <v>11</v>
      </c>
    </row>
    <row r="1601" spans="1:9" x14ac:dyDescent="0.25">
      <c r="A1601" t="s">
        <v>8</v>
      </c>
      <c r="B1601" t="s">
        <v>78</v>
      </c>
      <c r="C1601">
        <v>202501</v>
      </c>
      <c r="D1601" t="str">
        <f t="shared" si="24"/>
        <v>2025</v>
      </c>
      <c r="E1601">
        <v>407665</v>
      </c>
      <c r="F1601">
        <v>12045768</v>
      </c>
      <c r="G1601">
        <v>3.38</v>
      </c>
      <c r="H1601" t="s">
        <v>10</v>
      </c>
      <c r="I1601" t="s">
        <v>11</v>
      </c>
    </row>
    <row r="1602" spans="1:9" x14ac:dyDescent="0.25">
      <c r="A1602" t="s">
        <v>8</v>
      </c>
      <c r="B1602" t="s">
        <v>78</v>
      </c>
      <c r="C1602">
        <v>202502</v>
      </c>
      <c r="D1602" t="str">
        <f t="shared" si="24"/>
        <v>2025</v>
      </c>
      <c r="E1602">
        <v>365113</v>
      </c>
      <c r="F1602">
        <v>12045768</v>
      </c>
      <c r="G1602">
        <v>3.03</v>
      </c>
      <c r="H1602" t="s">
        <v>10</v>
      </c>
      <c r="I1602" t="s">
        <v>11</v>
      </c>
    </row>
    <row r="1603" spans="1:9" x14ac:dyDescent="0.25">
      <c r="A1603" t="s">
        <v>8</v>
      </c>
      <c r="B1603" t="s">
        <v>78</v>
      </c>
      <c r="C1603">
        <v>202503</v>
      </c>
      <c r="D1603" t="str">
        <f t="shared" ref="D1603:D1666" si="25">LEFT(C1603,4)</f>
        <v>2025</v>
      </c>
      <c r="E1603">
        <v>403501</v>
      </c>
      <c r="F1603">
        <v>12045768</v>
      </c>
      <c r="G1603">
        <v>3.35</v>
      </c>
      <c r="H1603" t="s">
        <v>10</v>
      </c>
      <c r="I1603" t="s">
        <v>11</v>
      </c>
    </row>
    <row r="1604" spans="1:9" x14ac:dyDescent="0.25">
      <c r="A1604" t="s">
        <v>8</v>
      </c>
      <c r="B1604" t="s">
        <v>78</v>
      </c>
      <c r="C1604">
        <v>202504</v>
      </c>
      <c r="D1604" t="str">
        <f t="shared" si="25"/>
        <v>2025</v>
      </c>
      <c r="E1604">
        <v>381347</v>
      </c>
      <c r="F1604">
        <v>12045768</v>
      </c>
      <c r="G1604">
        <v>3.17</v>
      </c>
      <c r="H1604" t="s">
        <v>10</v>
      </c>
      <c r="I1604" t="s">
        <v>11</v>
      </c>
    </row>
    <row r="1605" spans="1:9" x14ac:dyDescent="0.25">
      <c r="A1605" t="s">
        <v>8</v>
      </c>
      <c r="B1605" t="s">
        <v>78</v>
      </c>
      <c r="C1605">
        <v>202505</v>
      </c>
      <c r="D1605" t="str">
        <f t="shared" si="25"/>
        <v>2025</v>
      </c>
      <c r="E1605">
        <v>108636</v>
      </c>
      <c r="F1605">
        <v>12045768</v>
      </c>
      <c r="G1605">
        <v>0.9</v>
      </c>
      <c r="H1605" t="s">
        <v>10</v>
      </c>
      <c r="I1605" t="s">
        <v>11</v>
      </c>
    </row>
    <row r="1606" spans="1:9" hidden="1" x14ac:dyDescent="0.25">
      <c r="A1606" t="s">
        <v>8</v>
      </c>
      <c r="B1606" t="s">
        <v>177</v>
      </c>
      <c r="C1606">
        <v>201807</v>
      </c>
      <c r="D1606" t="str">
        <f t="shared" si="25"/>
        <v>2018</v>
      </c>
      <c r="E1606">
        <v>6</v>
      </c>
      <c r="F1606">
        <v>12266669</v>
      </c>
      <c r="G1606">
        <v>0</v>
      </c>
      <c r="H1606" t="s">
        <v>10</v>
      </c>
      <c r="I1606" t="s">
        <v>11</v>
      </c>
    </row>
    <row r="1607" spans="1:9" hidden="1" x14ac:dyDescent="0.25">
      <c r="A1607" t="s">
        <v>8</v>
      </c>
      <c r="B1607" t="s">
        <v>177</v>
      </c>
      <c r="C1607">
        <v>201808</v>
      </c>
      <c r="D1607" t="str">
        <f t="shared" si="25"/>
        <v>2018</v>
      </c>
      <c r="E1607">
        <v>17</v>
      </c>
      <c r="F1607">
        <v>12266669</v>
      </c>
      <c r="G1607">
        <v>0</v>
      </c>
      <c r="H1607" t="s">
        <v>10</v>
      </c>
      <c r="I1607" t="s">
        <v>11</v>
      </c>
    </row>
    <row r="1608" spans="1:9" hidden="1" x14ac:dyDescent="0.25">
      <c r="A1608" t="s">
        <v>8</v>
      </c>
      <c r="B1608" t="s">
        <v>177</v>
      </c>
      <c r="C1608">
        <v>201901</v>
      </c>
      <c r="D1608" t="str">
        <f t="shared" si="25"/>
        <v>2019</v>
      </c>
      <c r="E1608">
        <v>147</v>
      </c>
      <c r="F1608">
        <v>12266669</v>
      </c>
      <c r="G1608">
        <v>0</v>
      </c>
      <c r="H1608" t="s">
        <v>10</v>
      </c>
      <c r="I1608" t="s">
        <v>11</v>
      </c>
    </row>
    <row r="1609" spans="1:9" hidden="1" x14ac:dyDescent="0.25">
      <c r="A1609" t="s">
        <v>8</v>
      </c>
      <c r="B1609" t="s">
        <v>177</v>
      </c>
      <c r="C1609">
        <v>201902</v>
      </c>
      <c r="D1609" t="str">
        <f t="shared" si="25"/>
        <v>2019</v>
      </c>
      <c r="E1609">
        <v>103</v>
      </c>
      <c r="F1609">
        <v>12266669</v>
      </c>
      <c r="G1609">
        <v>0</v>
      </c>
      <c r="H1609" t="s">
        <v>10</v>
      </c>
      <c r="I1609" t="s">
        <v>11</v>
      </c>
    </row>
    <row r="1610" spans="1:9" hidden="1" x14ac:dyDescent="0.25">
      <c r="A1610" t="s">
        <v>8</v>
      </c>
      <c r="B1610" t="s">
        <v>177</v>
      </c>
      <c r="C1610">
        <v>201903</v>
      </c>
      <c r="D1610" t="str">
        <f t="shared" si="25"/>
        <v>2019</v>
      </c>
      <c r="E1610">
        <v>198</v>
      </c>
      <c r="F1610">
        <v>12266669</v>
      </c>
      <c r="G1610">
        <v>0</v>
      </c>
      <c r="H1610" t="s">
        <v>10</v>
      </c>
      <c r="I1610" t="s">
        <v>11</v>
      </c>
    </row>
    <row r="1611" spans="1:9" hidden="1" x14ac:dyDescent="0.25">
      <c r="A1611" t="s">
        <v>8</v>
      </c>
      <c r="B1611" t="s">
        <v>177</v>
      </c>
      <c r="C1611">
        <v>201904</v>
      </c>
      <c r="D1611" t="str">
        <f t="shared" si="25"/>
        <v>2019</v>
      </c>
      <c r="E1611">
        <v>248</v>
      </c>
      <c r="F1611">
        <v>12266669</v>
      </c>
      <c r="G1611">
        <v>0</v>
      </c>
      <c r="H1611" t="s">
        <v>10</v>
      </c>
      <c r="I1611" t="s">
        <v>11</v>
      </c>
    </row>
    <row r="1612" spans="1:9" hidden="1" x14ac:dyDescent="0.25">
      <c r="A1612" t="s">
        <v>8</v>
      </c>
      <c r="B1612" t="s">
        <v>177</v>
      </c>
      <c r="C1612">
        <v>201905</v>
      </c>
      <c r="D1612" t="str">
        <f t="shared" si="25"/>
        <v>2019</v>
      </c>
      <c r="E1612">
        <v>289</v>
      </c>
      <c r="F1612">
        <v>12266669</v>
      </c>
      <c r="G1612">
        <v>0</v>
      </c>
      <c r="H1612" t="s">
        <v>10</v>
      </c>
      <c r="I1612" t="s">
        <v>11</v>
      </c>
    </row>
    <row r="1613" spans="1:9" hidden="1" x14ac:dyDescent="0.25">
      <c r="A1613" t="s">
        <v>8</v>
      </c>
      <c r="B1613" t="s">
        <v>177</v>
      </c>
      <c r="C1613">
        <v>201906</v>
      </c>
      <c r="D1613" t="str">
        <f t="shared" si="25"/>
        <v>2019</v>
      </c>
      <c r="E1613">
        <v>414</v>
      </c>
      <c r="F1613">
        <v>12266669</v>
      </c>
      <c r="G1613">
        <v>0</v>
      </c>
      <c r="H1613" t="s">
        <v>10</v>
      </c>
      <c r="I1613" t="s">
        <v>11</v>
      </c>
    </row>
    <row r="1614" spans="1:9" hidden="1" x14ac:dyDescent="0.25">
      <c r="A1614" t="s">
        <v>8</v>
      </c>
      <c r="B1614" t="s">
        <v>177</v>
      </c>
      <c r="C1614">
        <v>201907</v>
      </c>
      <c r="D1614" t="str">
        <f t="shared" si="25"/>
        <v>2019</v>
      </c>
      <c r="E1614">
        <v>237</v>
      </c>
      <c r="F1614">
        <v>12266669</v>
      </c>
      <c r="G1614">
        <v>0</v>
      </c>
      <c r="H1614" t="s">
        <v>10</v>
      </c>
      <c r="I1614" t="s">
        <v>11</v>
      </c>
    </row>
    <row r="1615" spans="1:9" hidden="1" x14ac:dyDescent="0.25">
      <c r="A1615" t="s">
        <v>8</v>
      </c>
      <c r="B1615" t="s">
        <v>177</v>
      </c>
      <c r="C1615">
        <v>201908</v>
      </c>
      <c r="D1615" t="str">
        <f t="shared" si="25"/>
        <v>2019</v>
      </c>
      <c r="E1615">
        <v>113</v>
      </c>
      <c r="F1615">
        <v>12266669</v>
      </c>
      <c r="G1615">
        <v>0</v>
      </c>
      <c r="H1615" t="s">
        <v>10</v>
      </c>
      <c r="I1615" t="s">
        <v>11</v>
      </c>
    </row>
    <row r="1616" spans="1:9" hidden="1" x14ac:dyDescent="0.25">
      <c r="A1616" t="s">
        <v>8</v>
      </c>
      <c r="B1616" t="s">
        <v>177</v>
      </c>
      <c r="C1616">
        <v>201909</v>
      </c>
      <c r="D1616" t="str">
        <f t="shared" si="25"/>
        <v>2019</v>
      </c>
      <c r="E1616">
        <v>144</v>
      </c>
      <c r="F1616">
        <v>12266669</v>
      </c>
      <c r="G1616">
        <v>0</v>
      </c>
      <c r="H1616" t="s">
        <v>10</v>
      </c>
      <c r="I1616" t="s">
        <v>11</v>
      </c>
    </row>
    <row r="1617" spans="1:9" hidden="1" x14ac:dyDescent="0.25">
      <c r="A1617" t="s">
        <v>8</v>
      </c>
      <c r="B1617" t="s">
        <v>177</v>
      </c>
      <c r="C1617">
        <v>201910</v>
      </c>
      <c r="D1617" t="str">
        <f t="shared" si="25"/>
        <v>2019</v>
      </c>
      <c r="E1617">
        <v>183</v>
      </c>
      <c r="F1617">
        <v>12266669</v>
      </c>
      <c r="G1617">
        <v>0</v>
      </c>
      <c r="H1617" t="s">
        <v>10</v>
      </c>
      <c r="I1617" t="s">
        <v>11</v>
      </c>
    </row>
    <row r="1618" spans="1:9" hidden="1" x14ac:dyDescent="0.25">
      <c r="A1618" t="s">
        <v>8</v>
      </c>
      <c r="B1618" t="s">
        <v>177</v>
      </c>
      <c r="C1618">
        <v>201911</v>
      </c>
      <c r="D1618" t="str">
        <f t="shared" si="25"/>
        <v>2019</v>
      </c>
      <c r="E1618">
        <v>101</v>
      </c>
      <c r="F1618">
        <v>12266669</v>
      </c>
      <c r="G1618">
        <v>0</v>
      </c>
      <c r="H1618" t="s">
        <v>10</v>
      </c>
      <c r="I1618" t="s">
        <v>11</v>
      </c>
    </row>
    <row r="1619" spans="1:9" hidden="1" x14ac:dyDescent="0.25">
      <c r="A1619" t="s">
        <v>8</v>
      </c>
      <c r="B1619" t="s">
        <v>177</v>
      </c>
      <c r="C1619">
        <v>201912</v>
      </c>
      <c r="D1619" t="str">
        <f t="shared" si="25"/>
        <v>2019</v>
      </c>
      <c r="E1619">
        <v>15</v>
      </c>
      <c r="F1619">
        <v>12266669</v>
      </c>
      <c r="G1619">
        <v>0</v>
      </c>
      <c r="H1619" t="s">
        <v>10</v>
      </c>
      <c r="I1619" t="s">
        <v>11</v>
      </c>
    </row>
    <row r="1620" spans="1:9" hidden="1" x14ac:dyDescent="0.25">
      <c r="A1620" t="s">
        <v>8</v>
      </c>
      <c r="B1620" t="s">
        <v>177</v>
      </c>
      <c r="C1620">
        <v>202001</v>
      </c>
      <c r="D1620" t="str">
        <f t="shared" si="25"/>
        <v>2020</v>
      </c>
      <c r="E1620">
        <v>821</v>
      </c>
      <c r="F1620">
        <v>12266669</v>
      </c>
      <c r="G1620">
        <v>0.01</v>
      </c>
      <c r="H1620" t="s">
        <v>10</v>
      </c>
      <c r="I1620" t="s">
        <v>11</v>
      </c>
    </row>
    <row r="1621" spans="1:9" hidden="1" x14ac:dyDescent="0.25">
      <c r="A1621" t="s">
        <v>8</v>
      </c>
      <c r="B1621" t="s">
        <v>177</v>
      </c>
      <c r="C1621">
        <v>202002</v>
      </c>
      <c r="D1621" t="str">
        <f t="shared" si="25"/>
        <v>2020</v>
      </c>
      <c r="E1621">
        <v>434</v>
      </c>
      <c r="F1621">
        <v>12266669</v>
      </c>
      <c r="G1621">
        <v>0</v>
      </c>
      <c r="H1621" t="s">
        <v>10</v>
      </c>
      <c r="I1621" t="s">
        <v>11</v>
      </c>
    </row>
    <row r="1622" spans="1:9" hidden="1" x14ac:dyDescent="0.25">
      <c r="A1622" t="s">
        <v>8</v>
      </c>
      <c r="B1622" t="s">
        <v>177</v>
      </c>
      <c r="C1622">
        <v>202003</v>
      </c>
      <c r="D1622" t="str">
        <f t="shared" si="25"/>
        <v>2020</v>
      </c>
      <c r="E1622">
        <v>548</v>
      </c>
      <c r="F1622">
        <v>12266669</v>
      </c>
      <c r="G1622">
        <v>0</v>
      </c>
      <c r="H1622" t="s">
        <v>10</v>
      </c>
      <c r="I1622" t="s">
        <v>11</v>
      </c>
    </row>
    <row r="1623" spans="1:9" hidden="1" x14ac:dyDescent="0.25">
      <c r="A1623" t="s">
        <v>8</v>
      </c>
      <c r="B1623" t="s">
        <v>177</v>
      </c>
      <c r="C1623">
        <v>202004</v>
      </c>
      <c r="D1623" t="str">
        <f t="shared" si="25"/>
        <v>2020</v>
      </c>
      <c r="E1623">
        <v>835</v>
      </c>
      <c r="F1623">
        <v>12266669</v>
      </c>
      <c r="G1623">
        <v>0.01</v>
      </c>
      <c r="H1623" t="s">
        <v>10</v>
      </c>
      <c r="I1623" t="s">
        <v>11</v>
      </c>
    </row>
    <row r="1624" spans="1:9" hidden="1" x14ac:dyDescent="0.25">
      <c r="A1624" t="s">
        <v>8</v>
      </c>
      <c r="B1624" t="s">
        <v>177</v>
      </c>
      <c r="C1624">
        <v>202005</v>
      </c>
      <c r="D1624" t="str">
        <f t="shared" si="25"/>
        <v>2020</v>
      </c>
      <c r="E1624">
        <v>1062</v>
      </c>
      <c r="F1624">
        <v>12266669</v>
      </c>
      <c r="G1624">
        <v>0.01</v>
      </c>
      <c r="H1624" t="s">
        <v>10</v>
      </c>
      <c r="I1624" t="s">
        <v>11</v>
      </c>
    </row>
    <row r="1625" spans="1:9" hidden="1" x14ac:dyDescent="0.25">
      <c r="A1625" t="s">
        <v>8</v>
      </c>
      <c r="B1625" t="s">
        <v>177</v>
      </c>
      <c r="C1625">
        <v>202006</v>
      </c>
      <c r="D1625" t="str">
        <f t="shared" si="25"/>
        <v>2020</v>
      </c>
      <c r="E1625">
        <v>1815</v>
      </c>
      <c r="F1625">
        <v>12266669</v>
      </c>
      <c r="G1625">
        <v>0.01</v>
      </c>
      <c r="H1625" t="s">
        <v>10</v>
      </c>
      <c r="I1625" t="s">
        <v>11</v>
      </c>
    </row>
    <row r="1626" spans="1:9" hidden="1" x14ac:dyDescent="0.25">
      <c r="A1626" t="s">
        <v>8</v>
      </c>
      <c r="B1626" t="s">
        <v>177</v>
      </c>
      <c r="C1626">
        <v>202007</v>
      </c>
      <c r="D1626" t="str">
        <f t="shared" si="25"/>
        <v>2020</v>
      </c>
      <c r="E1626">
        <v>2128</v>
      </c>
      <c r="F1626">
        <v>12266669</v>
      </c>
      <c r="G1626">
        <v>0.02</v>
      </c>
      <c r="H1626" t="s">
        <v>10</v>
      </c>
      <c r="I1626" t="s">
        <v>11</v>
      </c>
    </row>
    <row r="1627" spans="1:9" hidden="1" x14ac:dyDescent="0.25">
      <c r="A1627" t="s">
        <v>8</v>
      </c>
      <c r="B1627" t="s">
        <v>177</v>
      </c>
      <c r="C1627">
        <v>202008</v>
      </c>
      <c r="D1627" t="str">
        <f t="shared" si="25"/>
        <v>2020</v>
      </c>
      <c r="E1627">
        <v>1981</v>
      </c>
      <c r="F1627">
        <v>12266669</v>
      </c>
      <c r="G1627">
        <v>0.02</v>
      </c>
      <c r="H1627" t="s">
        <v>10</v>
      </c>
      <c r="I1627" t="s">
        <v>11</v>
      </c>
    </row>
    <row r="1628" spans="1:9" hidden="1" x14ac:dyDescent="0.25">
      <c r="A1628" t="s">
        <v>8</v>
      </c>
      <c r="B1628" t="s">
        <v>177</v>
      </c>
      <c r="C1628">
        <v>202009</v>
      </c>
      <c r="D1628" t="str">
        <f t="shared" si="25"/>
        <v>2020</v>
      </c>
      <c r="E1628">
        <v>1715</v>
      </c>
      <c r="F1628">
        <v>12266669</v>
      </c>
      <c r="G1628">
        <v>0.01</v>
      </c>
      <c r="H1628" t="s">
        <v>10</v>
      </c>
      <c r="I1628" t="s">
        <v>11</v>
      </c>
    </row>
    <row r="1629" spans="1:9" hidden="1" x14ac:dyDescent="0.25">
      <c r="A1629" t="s">
        <v>8</v>
      </c>
      <c r="B1629" t="s">
        <v>177</v>
      </c>
      <c r="C1629">
        <v>202010</v>
      </c>
      <c r="D1629" t="str">
        <f t="shared" si="25"/>
        <v>2020</v>
      </c>
      <c r="E1629">
        <v>1654</v>
      </c>
      <c r="F1629">
        <v>12266669</v>
      </c>
      <c r="G1629">
        <v>0.01</v>
      </c>
      <c r="H1629" t="s">
        <v>10</v>
      </c>
      <c r="I1629" t="s">
        <v>11</v>
      </c>
    </row>
    <row r="1630" spans="1:9" hidden="1" x14ac:dyDescent="0.25">
      <c r="A1630" t="s">
        <v>8</v>
      </c>
      <c r="B1630" t="s">
        <v>177</v>
      </c>
      <c r="C1630">
        <v>202011</v>
      </c>
      <c r="D1630" t="str">
        <f t="shared" si="25"/>
        <v>2020</v>
      </c>
      <c r="E1630">
        <v>1594</v>
      </c>
      <c r="F1630">
        <v>12266669</v>
      </c>
      <c r="G1630">
        <v>0.01</v>
      </c>
      <c r="H1630" t="s">
        <v>10</v>
      </c>
      <c r="I1630" t="s">
        <v>11</v>
      </c>
    </row>
    <row r="1631" spans="1:9" hidden="1" x14ac:dyDescent="0.25">
      <c r="A1631" t="s">
        <v>8</v>
      </c>
      <c r="B1631" t="s">
        <v>177</v>
      </c>
      <c r="C1631">
        <v>202012</v>
      </c>
      <c r="D1631" t="str">
        <f t="shared" si="25"/>
        <v>2020</v>
      </c>
      <c r="E1631">
        <v>1853</v>
      </c>
      <c r="F1631">
        <v>12266669</v>
      </c>
      <c r="G1631">
        <v>0.02</v>
      </c>
      <c r="H1631" t="s">
        <v>10</v>
      </c>
      <c r="I1631" t="s">
        <v>11</v>
      </c>
    </row>
    <row r="1632" spans="1:9" hidden="1" x14ac:dyDescent="0.25">
      <c r="A1632" t="s">
        <v>8</v>
      </c>
      <c r="B1632" t="s">
        <v>177</v>
      </c>
      <c r="C1632">
        <v>202101</v>
      </c>
      <c r="D1632" t="str">
        <f t="shared" si="25"/>
        <v>2021</v>
      </c>
      <c r="E1632">
        <v>30856</v>
      </c>
      <c r="F1632">
        <v>12266669</v>
      </c>
      <c r="G1632">
        <v>0.25</v>
      </c>
      <c r="H1632" t="s">
        <v>10</v>
      </c>
      <c r="I1632" t="s">
        <v>11</v>
      </c>
    </row>
    <row r="1633" spans="1:9" hidden="1" x14ac:dyDescent="0.25">
      <c r="A1633" t="s">
        <v>8</v>
      </c>
      <c r="B1633" t="s">
        <v>177</v>
      </c>
      <c r="C1633">
        <v>202102</v>
      </c>
      <c r="D1633" t="str">
        <f t="shared" si="25"/>
        <v>2021</v>
      </c>
      <c r="E1633">
        <v>21722</v>
      </c>
      <c r="F1633">
        <v>12266669</v>
      </c>
      <c r="G1633">
        <v>0.18</v>
      </c>
      <c r="H1633" t="s">
        <v>10</v>
      </c>
      <c r="I1633" t="s">
        <v>11</v>
      </c>
    </row>
    <row r="1634" spans="1:9" hidden="1" x14ac:dyDescent="0.25">
      <c r="A1634" t="s">
        <v>8</v>
      </c>
      <c r="B1634" t="s">
        <v>177</v>
      </c>
      <c r="C1634">
        <v>202103</v>
      </c>
      <c r="D1634" t="str">
        <f t="shared" si="25"/>
        <v>2021</v>
      </c>
      <c r="E1634">
        <v>26090</v>
      </c>
      <c r="F1634">
        <v>12266669</v>
      </c>
      <c r="G1634">
        <v>0.21</v>
      </c>
      <c r="H1634" t="s">
        <v>10</v>
      </c>
      <c r="I1634" t="s">
        <v>11</v>
      </c>
    </row>
    <row r="1635" spans="1:9" hidden="1" x14ac:dyDescent="0.25">
      <c r="A1635" t="s">
        <v>8</v>
      </c>
      <c r="B1635" t="s">
        <v>177</v>
      </c>
      <c r="C1635">
        <v>202104</v>
      </c>
      <c r="D1635" t="str">
        <f t="shared" si="25"/>
        <v>2021</v>
      </c>
      <c r="E1635">
        <v>24173</v>
      </c>
      <c r="F1635">
        <v>12266669</v>
      </c>
      <c r="G1635">
        <v>0.2</v>
      </c>
      <c r="H1635" t="s">
        <v>10</v>
      </c>
      <c r="I1635" t="s">
        <v>11</v>
      </c>
    </row>
    <row r="1636" spans="1:9" hidden="1" x14ac:dyDescent="0.25">
      <c r="A1636" t="s">
        <v>8</v>
      </c>
      <c r="B1636" t="s">
        <v>177</v>
      </c>
      <c r="C1636">
        <v>202105</v>
      </c>
      <c r="D1636" t="str">
        <f t="shared" si="25"/>
        <v>2021</v>
      </c>
      <c r="E1636">
        <v>22977</v>
      </c>
      <c r="F1636">
        <v>12266669</v>
      </c>
      <c r="G1636">
        <v>0.19</v>
      </c>
      <c r="H1636" t="s">
        <v>10</v>
      </c>
      <c r="I1636" t="s">
        <v>11</v>
      </c>
    </row>
    <row r="1637" spans="1:9" hidden="1" x14ac:dyDescent="0.25">
      <c r="A1637" t="s">
        <v>8</v>
      </c>
      <c r="B1637" t="s">
        <v>177</v>
      </c>
      <c r="C1637">
        <v>202106</v>
      </c>
      <c r="D1637" t="str">
        <f t="shared" si="25"/>
        <v>2021</v>
      </c>
      <c r="E1637">
        <v>25343</v>
      </c>
      <c r="F1637">
        <v>12266669</v>
      </c>
      <c r="G1637">
        <v>0.21</v>
      </c>
      <c r="H1637" t="s">
        <v>10</v>
      </c>
      <c r="I1637" t="s">
        <v>11</v>
      </c>
    </row>
    <row r="1638" spans="1:9" hidden="1" x14ac:dyDescent="0.25">
      <c r="A1638" t="s">
        <v>8</v>
      </c>
      <c r="B1638" t="s">
        <v>177</v>
      </c>
      <c r="C1638">
        <v>202107</v>
      </c>
      <c r="D1638" t="str">
        <f t="shared" si="25"/>
        <v>2021</v>
      </c>
      <c r="E1638">
        <v>59952</v>
      </c>
      <c r="F1638">
        <v>12266669</v>
      </c>
      <c r="G1638">
        <v>0.49</v>
      </c>
      <c r="H1638" t="s">
        <v>10</v>
      </c>
      <c r="I1638" t="s">
        <v>11</v>
      </c>
    </row>
    <row r="1639" spans="1:9" hidden="1" x14ac:dyDescent="0.25">
      <c r="A1639" t="s">
        <v>8</v>
      </c>
      <c r="B1639" t="s">
        <v>177</v>
      </c>
      <c r="C1639">
        <v>202108</v>
      </c>
      <c r="D1639" t="str">
        <f t="shared" si="25"/>
        <v>2021</v>
      </c>
      <c r="E1639">
        <v>63602</v>
      </c>
      <c r="F1639">
        <v>12266669</v>
      </c>
      <c r="G1639">
        <v>0.52</v>
      </c>
      <c r="H1639" t="s">
        <v>10</v>
      </c>
      <c r="I1639" t="s">
        <v>11</v>
      </c>
    </row>
    <row r="1640" spans="1:9" hidden="1" x14ac:dyDescent="0.25">
      <c r="A1640" t="s">
        <v>8</v>
      </c>
      <c r="B1640" t="s">
        <v>177</v>
      </c>
      <c r="C1640">
        <v>202109</v>
      </c>
      <c r="D1640" t="str">
        <f t="shared" si="25"/>
        <v>2021</v>
      </c>
      <c r="E1640">
        <v>66853</v>
      </c>
      <c r="F1640">
        <v>12266669</v>
      </c>
      <c r="G1640">
        <v>0.54</v>
      </c>
      <c r="H1640" t="s">
        <v>10</v>
      </c>
      <c r="I1640" t="s">
        <v>11</v>
      </c>
    </row>
    <row r="1641" spans="1:9" hidden="1" x14ac:dyDescent="0.25">
      <c r="A1641" t="s">
        <v>8</v>
      </c>
      <c r="B1641" t="s">
        <v>177</v>
      </c>
      <c r="C1641">
        <v>202110</v>
      </c>
      <c r="D1641" t="str">
        <f t="shared" si="25"/>
        <v>2021</v>
      </c>
      <c r="E1641">
        <v>65011</v>
      </c>
      <c r="F1641">
        <v>12266669</v>
      </c>
      <c r="G1641">
        <v>0.53</v>
      </c>
      <c r="H1641" t="s">
        <v>10</v>
      </c>
      <c r="I1641" t="s">
        <v>11</v>
      </c>
    </row>
    <row r="1642" spans="1:9" hidden="1" x14ac:dyDescent="0.25">
      <c r="A1642" t="s">
        <v>8</v>
      </c>
      <c r="B1642" t="s">
        <v>177</v>
      </c>
      <c r="C1642">
        <v>202111</v>
      </c>
      <c r="D1642" t="str">
        <f t="shared" si="25"/>
        <v>2021</v>
      </c>
      <c r="E1642">
        <v>66738</v>
      </c>
      <c r="F1642">
        <v>12266669</v>
      </c>
      <c r="G1642">
        <v>0.54</v>
      </c>
      <c r="H1642" t="s">
        <v>10</v>
      </c>
      <c r="I1642" t="s">
        <v>11</v>
      </c>
    </row>
    <row r="1643" spans="1:9" hidden="1" x14ac:dyDescent="0.25">
      <c r="A1643" t="s">
        <v>8</v>
      </c>
      <c r="B1643" t="s">
        <v>177</v>
      </c>
      <c r="C1643">
        <v>202112</v>
      </c>
      <c r="D1643" t="str">
        <f t="shared" si="25"/>
        <v>2021</v>
      </c>
      <c r="E1643">
        <v>67203</v>
      </c>
      <c r="F1643">
        <v>12266669</v>
      </c>
      <c r="G1643">
        <v>0.55000000000000004</v>
      </c>
      <c r="H1643" t="s">
        <v>10</v>
      </c>
      <c r="I1643" t="s">
        <v>11</v>
      </c>
    </row>
    <row r="1644" spans="1:9" hidden="1" x14ac:dyDescent="0.25">
      <c r="A1644" t="s">
        <v>8</v>
      </c>
      <c r="B1644" t="s">
        <v>177</v>
      </c>
      <c r="C1644">
        <v>202201</v>
      </c>
      <c r="D1644" t="str">
        <f t="shared" si="25"/>
        <v>2022</v>
      </c>
      <c r="E1644">
        <v>54849</v>
      </c>
      <c r="F1644">
        <v>12266669</v>
      </c>
      <c r="G1644">
        <v>0.45</v>
      </c>
      <c r="H1644" t="s">
        <v>10</v>
      </c>
      <c r="I1644" t="s">
        <v>11</v>
      </c>
    </row>
    <row r="1645" spans="1:9" hidden="1" x14ac:dyDescent="0.25">
      <c r="A1645" t="s">
        <v>8</v>
      </c>
      <c r="B1645" t="s">
        <v>177</v>
      </c>
      <c r="C1645">
        <v>202202</v>
      </c>
      <c r="D1645" t="str">
        <f t="shared" si="25"/>
        <v>2022</v>
      </c>
      <c r="E1645">
        <v>44253</v>
      </c>
      <c r="F1645">
        <v>12266669</v>
      </c>
      <c r="G1645">
        <v>0.36</v>
      </c>
      <c r="H1645" t="s">
        <v>10</v>
      </c>
      <c r="I1645" t="s">
        <v>11</v>
      </c>
    </row>
    <row r="1646" spans="1:9" hidden="1" x14ac:dyDescent="0.25">
      <c r="A1646" t="s">
        <v>8</v>
      </c>
      <c r="B1646" t="s">
        <v>177</v>
      </c>
      <c r="C1646">
        <v>202203</v>
      </c>
      <c r="D1646" t="str">
        <f t="shared" si="25"/>
        <v>2022</v>
      </c>
      <c r="E1646">
        <v>58127</v>
      </c>
      <c r="F1646">
        <v>12266669</v>
      </c>
      <c r="G1646">
        <v>0.47</v>
      </c>
      <c r="H1646" t="s">
        <v>10</v>
      </c>
      <c r="I1646" t="s">
        <v>11</v>
      </c>
    </row>
    <row r="1647" spans="1:9" hidden="1" x14ac:dyDescent="0.25">
      <c r="A1647" t="s">
        <v>8</v>
      </c>
      <c r="B1647" t="s">
        <v>177</v>
      </c>
      <c r="C1647">
        <v>202204</v>
      </c>
      <c r="D1647" t="str">
        <f t="shared" si="25"/>
        <v>2022</v>
      </c>
      <c r="E1647">
        <v>54397</v>
      </c>
      <c r="F1647">
        <v>12266669</v>
      </c>
      <c r="G1647">
        <v>0.44</v>
      </c>
      <c r="H1647" t="s">
        <v>10</v>
      </c>
      <c r="I1647" t="s">
        <v>11</v>
      </c>
    </row>
    <row r="1648" spans="1:9" hidden="1" x14ac:dyDescent="0.25">
      <c r="A1648" t="s">
        <v>8</v>
      </c>
      <c r="B1648" t="s">
        <v>177</v>
      </c>
      <c r="C1648">
        <v>202205</v>
      </c>
      <c r="D1648" t="str">
        <f t="shared" si="25"/>
        <v>2022</v>
      </c>
      <c r="E1648">
        <v>53963</v>
      </c>
      <c r="F1648">
        <v>12266669</v>
      </c>
      <c r="G1648">
        <v>0.44</v>
      </c>
      <c r="H1648" t="s">
        <v>10</v>
      </c>
      <c r="I1648" t="s">
        <v>11</v>
      </c>
    </row>
    <row r="1649" spans="1:9" hidden="1" x14ac:dyDescent="0.25">
      <c r="A1649" t="s">
        <v>8</v>
      </c>
      <c r="B1649" t="s">
        <v>177</v>
      </c>
      <c r="C1649">
        <v>202206</v>
      </c>
      <c r="D1649" t="str">
        <f t="shared" si="25"/>
        <v>2022</v>
      </c>
      <c r="E1649">
        <v>54457</v>
      </c>
      <c r="F1649">
        <v>12266669</v>
      </c>
      <c r="G1649">
        <v>0.44</v>
      </c>
      <c r="H1649" t="s">
        <v>10</v>
      </c>
      <c r="I1649" t="s">
        <v>11</v>
      </c>
    </row>
    <row r="1650" spans="1:9" hidden="1" x14ac:dyDescent="0.25">
      <c r="A1650" t="s">
        <v>8</v>
      </c>
      <c r="B1650" t="s">
        <v>177</v>
      </c>
      <c r="C1650">
        <v>202207</v>
      </c>
      <c r="D1650" t="str">
        <f t="shared" si="25"/>
        <v>2022</v>
      </c>
      <c r="E1650">
        <v>66214</v>
      </c>
      <c r="F1650">
        <v>12266669</v>
      </c>
      <c r="G1650">
        <v>0.54</v>
      </c>
      <c r="H1650" t="s">
        <v>10</v>
      </c>
      <c r="I1650" t="s">
        <v>11</v>
      </c>
    </row>
    <row r="1651" spans="1:9" hidden="1" x14ac:dyDescent="0.25">
      <c r="A1651" t="s">
        <v>8</v>
      </c>
      <c r="B1651" t="s">
        <v>177</v>
      </c>
      <c r="C1651">
        <v>202208</v>
      </c>
      <c r="D1651" t="str">
        <f t="shared" si="25"/>
        <v>2022</v>
      </c>
      <c r="E1651">
        <v>169549</v>
      </c>
      <c r="F1651">
        <v>12266669</v>
      </c>
      <c r="G1651">
        <v>1.38</v>
      </c>
      <c r="H1651" t="s">
        <v>10</v>
      </c>
      <c r="I1651" t="s">
        <v>11</v>
      </c>
    </row>
    <row r="1652" spans="1:9" hidden="1" x14ac:dyDescent="0.25">
      <c r="A1652" t="s">
        <v>8</v>
      </c>
      <c r="B1652" t="s">
        <v>177</v>
      </c>
      <c r="C1652">
        <v>202209</v>
      </c>
      <c r="D1652" t="str">
        <f t="shared" si="25"/>
        <v>2022</v>
      </c>
      <c r="E1652">
        <v>179678</v>
      </c>
      <c r="F1652">
        <v>12266669</v>
      </c>
      <c r="G1652">
        <v>1.46</v>
      </c>
      <c r="H1652" t="s">
        <v>10</v>
      </c>
      <c r="I1652" t="s">
        <v>11</v>
      </c>
    </row>
    <row r="1653" spans="1:9" hidden="1" x14ac:dyDescent="0.25">
      <c r="A1653" t="s">
        <v>8</v>
      </c>
      <c r="B1653" t="s">
        <v>177</v>
      </c>
      <c r="C1653">
        <v>202210</v>
      </c>
      <c r="D1653" t="str">
        <f t="shared" si="25"/>
        <v>2022</v>
      </c>
      <c r="E1653">
        <v>182479</v>
      </c>
      <c r="F1653">
        <v>12266669</v>
      </c>
      <c r="G1653">
        <v>1.49</v>
      </c>
      <c r="H1653" t="s">
        <v>10</v>
      </c>
      <c r="I1653" t="s">
        <v>11</v>
      </c>
    </row>
    <row r="1654" spans="1:9" hidden="1" x14ac:dyDescent="0.25">
      <c r="A1654" t="s">
        <v>8</v>
      </c>
      <c r="B1654" t="s">
        <v>177</v>
      </c>
      <c r="C1654">
        <v>202211</v>
      </c>
      <c r="D1654" t="str">
        <f t="shared" si="25"/>
        <v>2022</v>
      </c>
      <c r="E1654">
        <v>180075</v>
      </c>
      <c r="F1654">
        <v>12266669</v>
      </c>
      <c r="G1654">
        <v>1.47</v>
      </c>
      <c r="H1654" t="s">
        <v>10</v>
      </c>
      <c r="I1654" t="s">
        <v>11</v>
      </c>
    </row>
    <row r="1655" spans="1:9" hidden="1" x14ac:dyDescent="0.25">
      <c r="A1655" t="s">
        <v>8</v>
      </c>
      <c r="B1655" t="s">
        <v>177</v>
      </c>
      <c r="C1655">
        <v>202212</v>
      </c>
      <c r="D1655" t="str">
        <f t="shared" si="25"/>
        <v>2022</v>
      </c>
      <c r="E1655">
        <v>170110</v>
      </c>
      <c r="F1655">
        <v>12266669</v>
      </c>
      <c r="G1655">
        <v>1.39</v>
      </c>
      <c r="H1655" t="s">
        <v>10</v>
      </c>
      <c r="I1655" t="s">
        <v>11</v>
      </c>
    </row>
    <row r="1656" spans="1:9" hidden="1" x14ac:dyDescent="0.25">
      <c r="A1656" t="s">
        <v>8</v>
      </c>
      <c r="B1656" t="s">
        <v>177</v>
      </c>
      <c r="C1656">
        <v>202301</v>
      </c>
      <c r="D1656" t="str">
        <f t="shared" si="25"/>
        <v>2023</v>
      </c>
      <c r="E1656">
        <v>233056</v>
      </c>
      <c r="F1656">
        <v>12266669</v>
      </c>
      <c r="G1656">
        <v>1.9</v>
      </c>
      <c r="H1656" t="s">
        <v>10</v>
      </c>
      <c r="I1656" t="s">
        <v>11</v>
      </c>
    </row>
    <row r="1657" spans="1:9" hidden="1" x14ac:dyDescent="0.25">
      <c r="A1657" t="s">
        <v>8</v>
      </c>
      <c r="B1657" t="s">
        <v>177</v>
      </c>
      <c r="C1657">
        <v>202302</v>
      </c>
      <c r="D1657" t="str">
        <f t="shared" si="25"/>
        <v>2023</v>
      </c>
      <c r="E1657">
        <v>227394</v>
      </c>
      <c r="F1657">
        <v>12266669</v>
      </c>
      <c r="G1657">
        <v>1.85</v>
      </c>
      <c r="H1657" t="s">
        <v>10</v>
      </c>
      <c r="I1657" t="s">
        <v>11</v>
      </c>
    </row>
    <row r="1658" spans="1:9" hidden="1" x14ac:dyDescent="0.25">
      <c r="A1658" t="s">
        <v>8</v>
      </c>
      <c r="B1658" t="s">
        <v>177</v>
      </c>
      <c r="C1658">
        <v>202303</v>
      </c>
      <c r="D1658" t="str">
        <f t="shared" si="25"/>
        <v>2023</v>
      </c>
      <c r="E1658">
        <v>251900</v>
      </c>
      <c r="F1658">
        <v>12266669</v>
      </c>
      <c r="G1658">
        <v>2.0499999999999998</v>
      </c>
      <c r="H1658" t="s">
        <v>10</v>
      </c>
      <c r="I1658" t="s">
        <v>11</v>
      </c>
    </row>
    <row r="1659" spans="1:9" hidden="1" x14ac:dyDescent="0.25">
      <c r="A1659" t="s">
        <v>8</v>
      </c>
      <c r="B1659" t="s">
        <v>177</v>
      </c>
      <c r="C1659">
        <v>202304</v>
      </c>
      <c r="D1659" t="str">
        <f t="shared" si="25"/>
        <v>2023</v>
      </c>
      <c r="E1659">
        <v>228362</v>
      </c>
      <c r="F1659">
        <v>12266669</v>
      </c>
      <c r="G1659">
        <v>1.86</v>
      </c>
      <c r="H1659" t="s">
        <v>10</v>
      </c>
      <c r="I1659" t="s">
        <v>11</v>
      </c>
    </row>
    <row r="1660" spans="1:9" hidden="1" x14ac:dyDescent="0.25">
      <c r="A1660" t="s">
        <v>8</v>
      </c>
      <c r="B1660" t="s">
        <v>177</v>
      </c>
      <c r="C1660">
        <v>202305</v>
      </c>
      <c r="D1660" t="str">
        <f t="shared" si="25"/>
        <v>2023</v>
      </c>
      <c r="E1660">
        <v>241835</v>
      </c>
      <c r="F1660">
        <v>12266669</v>
      </c>
      <c r="G1660">
        <v>1.97</v>
      </c>
      <c r="H1660" t="s">
        <v>10</v>
      </c>
      <c r="I1660" t="s">
        <v>11</v>
      </c>
    </row>
    <row r="1661" spans="1:9" hidden="1" x14ac:dyDescent="0.25">
      <c r="A1661" t="s">
        <v>8</v>
      </c>
      <c r="B1661" t="s">
        <v>177</v>
      </c>
      <c r="C1661">
        <v>202306</v>
      </c>
      <c r="D1661" t="str">
        <f t="shared" si="25"/>
        <v>2023</v>
      </c>
      <c r="E1661">
        <v>234984</v>
      </c>
      <c r="F1661">
        <v>12266669</v>
      </c>
      <c r="G1661">
        <v>1.92</v>
      </c>
      <c r="H1661" t="s">
        <v>10</v>
      </c>
      <c r="I1661" t="s">
        <v>11</v>
      </c>
    </row>
    <row r="1662" spans="1:9" hidden="1" x14ac:dyDescent="0.25">
      <c r="A1662" t="s">
        <v>8</v>
      </c>
      <c r="B1662" t="s">
        <v>177</v>
      </c>
      <c r="C1662">
        <v>202307</v>
      </c>
      <c r="D1662" t="str">
        <f t="shared" si="25"/>
        <v>2023</v>
      </c>
      <c r="E1662">
        <v>218849</v>
      </c>
      <c r="F1662">
        <v>12266669</v>
      </c>
      <c r="G1662">
        <v>1.78</v>
      </c>
      <c r="H1662" t="s">
        <v>10</v>
      </c>
      <c r="I1662" t="s">
        <v>11</v>
      </c>
    </row>
    <row r="1663" spans="1:9" hidden="1" x14ac:dyDescent="0.25">
      <c r="A1663" t="s">
        <v>8</v>
      </c>
      <c r="B1663" t="s">
        <v>177</v>
      </c>
      <c r="C1663">
        <v>202308</v>
      </c>
      <c r="D1663" t="str">
        <f t="shared" si="25"/>
        <v>2023</v>
      </c>
      <c r="E1663">
        <v>250229</v>
      </c>
      <c r="F1663">
        <v>12266669</v>
      </c>
      <c r="G1663">
        <v>2.04</v>
      </c>
      <c r="H1663" t="s">
        <v>10</v>
      </c>
      <c r="I1663" t="s">
        <v>11</v>
      </c>
    </row>
    <row r="1664" spans="1:9" hidden="1" x14ac:dyDescent="0.25">
      <c r="A1664" t="s">
        <v>8</v>
      </c>
      <c r="B1664" t="s">
        <v>177</v>
      </c>
      <c r="C1664">
        <v>202309</v>
      </c>
      <c r="D1664" t="str">
        <f t="shared" si="25"/>
        <v>2023</v>
      </c>
      <c r="E1664">
        <v>234795</v>
      </c>
      <c r="F1664">
        <v>12266669</v>
      </c>
      <c r="G1664">
        <v>1.91</v>
      </c>
      <c r="H1664" t="s">
        <v>10</v>
      </c>
      <c r="I1664" t="s">
        <v>11</v>
      </c>
    </row>
    <row r="1665" spans="1:9" hidden="1" x14ac:dyDescent="0.25">
      <c r="A1665" t="s">
        <v>8</v>
      </c>
      <c r="B1665" t="s">
        <v>177</v>
      </c>
      <c r="C1665">
        <v>202310</v>
      </c>
      <c r="D1665" t="str">
        <f t="shared" si="25"/>
        <v>2023</v>
      </c>
      <c r="E1665">
        <v>256575</v>
      </c>
      <c r="F1665">
        <v>12266669</v>
      </c>
      <c r="G1665">
        <v>2.09</v>
      </c>
      <c r="H1665" t="s">
        <v>10</v>
      </c>
      <c r="I1665" t="s">
        <v>11</v>
      </c>
    </row>
    <row r="1666" spans="1:9" hidden="1" x14ac:dyDescent="0.25">
      <c r="A1666" t="s">
        <v>8</v>
      </c>
      <c r="B1666" t="s">
        <v>177</v>
      </c>
      <c r="C1666">
        <v>202311</v>
      </c>
      <c r="D1666" t="str">
        <f t="shared" si="25"/>
        <v>2023</v>
      </c>
      <c r="E1666">
        <v>240981</v>
      </c>
      <c r="F1666">
        <v>12266669</v>
      </c>
      <c r="G1666">
        <v>1.96</v>
      </c>
      <c r="H1666" t="s">
        <v>10</v>
      </c>
      <c r="I1666" t="s">
        <v>11</v>
      </c>
    </row>
    <row r="1667" spans="1:9" hidden="1" x14ac:dyDescent="0.25">
      <c r="A1667" t="s">
        <v>8</v>
      </c>
      <c r="B1667" t="s">
        <v>177</v>
      </c>
      <c r="C1667">
        <v>202312</v>
      </c>
      <c r="D1667" t="str">
        <f t="shared" ref="D1667:D1730" si="26">LEFT(C1667,4)</f>
        <v>2023</v>
      </c>
      <c r="E1667">
        <v>227355</v>
      </c>
      <c r="F1667">
        <v>12266669</v>
      </c>
      <c r="G1667">
        <v>1.85</v>
      </c>
      <c r="H1667" t="s">
        <v>10</v>
      </c>
      <c r="I1667" t="s">
        <v>11</v>
      </c>
    </row>
    <row r="1668" spans="1:9" hidden="1" x14ac:dyDescent="0.25">
      <c r="A1668" t="s">
        <v>8</v>
      </c>
      <c r="B1668" t="s">
        <v>177</v>
      </c>
      <c r="C1668">
        <v>202401</v>
      </c>
      <c r="D1668" t="str">
        <f t="shared" si="26"/>
        <v>2024</v>
      </c>
      <c r="E1668">
        <v>397997</v>
      </c>
      <c r="F1668">
        <v>12266669</v>
      </c>
      <c r="G1668">
        <v>3.24</v>
      </c>
      <c r="H1668" t="s">
        <v>10</v>
      </c>
      <c r="I1668" t="s">
        <v>11</v>
      </c>
    </row>
    <row r="1669" spans="1:9" hidden="1" x14ac:dyDescent="0.25">
      <c r="A1669" t="s">
        <v>8</v>
      </c>
      <c r="B1669" t="s">
        <v>177</v>
      </c>
      <c r="C1669">
        <v>202402</v>
      </c>
      <c r="D1669" t="str">
        <f t="shared" si="26"/>
        <v>2024</v>
      </c>
      <c r="E1669">
        <v>433709</v>
      </c>
      <c r="F1669">
        <v>12266669</v>
      </c>
      <c r="G1669">
        <v>3.54</v>
      </c>
      <c r="H1669" t="s">
        <v>10</v>
      </c>
      <c r="I1669" t="s">
        <v>11</v>
      </c>
    </row>
    <row r="1670" spans="1:9" hidden="1" x14ac:dyDescent="0.25">
      <c r="A1670" t="s">
        <v>8</v>
      </c>
      <c r="B1670" t="s">
        <v>177</v>
      </c>
      <c r="C1670">
        <v>202403</v>
      </c>
      <c r="D1670" t="str">
        <f t="shared" si="26"/>
        <v>2024</v>
      </c>
      <c r="E1670">
        <v>439721</v>
      </c>
      <c r="F1670">
        <v>12266669</v>
      </c>
      <c r="G1670">
        <v>3.58</v>
      </c>
      <c r="H1670" t="s">
        <v>10</v>
      </c>
      <c r="I1670" t="s">
        <v>11</v>
      </c>
    </row>
    <row r="1671" spans="1:9" hidden="1" x14ac:dyDescent="0.25">
      <c r="A1671" t="s">
        <v>8</v>
      </c>
      <c r="B1671" t="s">
        <v>177</v>
      </c>
      <c r="C1671">
        <v>202404</v>
      </c>
      <c r="D1671" t="str">
        <f t="shared" si="26"/>
        <v>2024</v>
      </c>
      <c r="E1671">
        <v>470449</v>
      </c>
      <c r="F1671">
        <v>12266669</v>
      </c>
      <c r="G1671">
        <v>3.84</v>
      </c>
      <c r="H1671" t="s">
        <v>10</v>
      </c>
      <c r="I1671" t="s">
        <v>11</v>
      </c>
    </row>
    <row r="1672" spans="1:9" hidden="1" x14ac:dyDescent="0.25">
      <c r="A1672" t="s">
        <v>8</v>
      </c>
      <c r="B1672" t="s">
        <v>177</v>
      </c>
      <c r="C1672">
        <v>202405</v>
      </c>
      <c r="D1672" t="str">
        <f t="shared" si="26"/>
        <v>2024</v>
      </c>
      <c r="E1672">
        <v>433380</v>
      </c>
      <c r="F1672">
        <v>12266669</v>
      </c>
      <c r="G1672">
        <v>3.53</v>
      </c>
      <c r="H1672" t="s">
        <v>10</v>
      </c>
      <c r="I1672" t="s">
        <v>11</v>
      </c>
    </row>
    <row r="1673" spans="1:9" hidden="1" x14ac:dyDescent="0.25">
      <c r="A1673" t="s">
        <v>8</v>
      </c>
      <c r="B1673" t="s">
        <v>177</v>
      </c>
      <c r="C1673">
        <v>202406</v>
      </c>
      <c r="D1673" t="str">
        <f t="shared" si="26"/>
        <v>2024</v>
      </c>
      <c r="E1673">
        <v>393891</v>
      </c>
      <c r="F1673">
        <v>12266669</v>
      </c>
      <c r="G1673">
        <v>3.21</v>
      </c>
      <c r="H1673" t="s">
        <v>10</v>
      </c>
      <c r="I1673" t="s">
        <v>11</v>
      </c>
    </row>
    <row r="1674" spans="1:9" hidden="1" x14ac:dyDescent="0.25">
      <c r="A1674" t="s">
        <v>8</v>
      </c>
      <c r="B1674" t="s">
        <v>177</v>
      </c>
      <c r="C1674">
        <v>202407</v>
      </c>
      <c r="D1674" t="str">
        <f t="shared" si="26"/>
        <v>2024</v>
      </c>
      <c r="E1674">
        <v>423734</v>
      </c>
      <c r="F1674">
        <v>12266669</v>
      </c>
      <c r="G1674">
        <v>3.45</v>
      </c>
      <c r="H1674" t="s">
        <v>10</v>
      </c>
      <c r="I1674" t="s">
        <v>11</v>
      </c>
    </row>
    <row r="1675" spans="1:9" hidden="1" x14ac:dyDescent="0.25">
      <c r="A1675" t="s">
        <v>8</v>
      </c>
      <c r="B1675" t="s">
        <v>177</v>
      </c>
      <c r="C1675">
        <v>202408</v>
      </c>
      <c r="D1675" t="str">
        <f t="shared" si="26"/>
        <v>2024</v>
      </c>
      <c r="E1675">
        <v>432906</v>
      </c>
      <c r="F1675">
        <v>12266669</v>
      </c>
      <c r="G1675">
        <v>3.53</v>
      </c>
      <c r="H1675" t="s">
        <v>10</v>
      </c>
      <c r="I1675" t="s">
        <v>11</v>
      </c>
    </row>
    <row r="1676" spans="1:9" hidden="1" x14ac:dyDescent="0.25">
      <c r="A1676" t="s">
        <v>8</v>
      </c>
      <c r="B1676" t="s">
        <v>177</v>
      </c>
      <c r="C1676">
        <v>202409</v>
      </c>
      <c r="D1676" t="str">
        <f t="shared" si="26"/>
        <v>2024</v>
      </c>
      <c r="E1676">
        <v>441479</v>
      </c>
      <c r="F1676">
        <v>12266669</v>
      </c>
      <c r="G1676">
        <v>3.6</v>
      </c>
      <c r="H1676" t="s">
        <v>10</v>
      </c>
      <c r="I1676" t="s">
        <v>11</v>
      </c>
    </row>
    <row r="1677" spans="1:9" hidden="1" x14ac:dyDescent="0.25">
      <c r="A1677" t="s">
        <v>8</v>
      </c>
      <c r="B1677" t="s">
        <v>177</v>
      </c>
      <c r="C1677">
        <v>202410</v>
      </c>
      <c r="D1677" t="str">
        <f t="shared" si="26"/>
        <v>2024</v>
      </c>
      <c r="E1677">
        <v>560128</v>
      </c>
      <c r="F1677">
        <v>12266669</v>
      </c>
      <c r="G1677">
        <v>4.57</v>
      </c>
      <c r="H1677" t="s">
        <v>10</v>
      </c>
      <c r="I1677" t="s">
        <v>11</v>
      </c>
    </row>
    <row r="1678" spans="1:9" hidden="1" x14ac:dyDescent="0.25">
      <c r="A1678" t="s">
        <v>8</v>
      </c>
      <c r="B1678" t="s">
        <v>177</v>
      </c>
      <c r="C1678">
        <v>202411</v>
      </c>
      <c r="D1678" t="str">
        <f t="shared" si="26"/>
        <v>2024</v>
      </c>
      <c r="E1678">
        <v>505412</v>
      </c>
      <c r="F1678">
        <v>12266669</v>
      </c>
      <c r="G1678">
        <v>4.12</v>
      </c>
      <c r="H1678" t="s">
        <v>10</v>
      </c>
      <c r="I1678" t="s">
        <v>11</v>
      </c>
    </row>
    <row r="1679" spans="1:9" hidden="1" x14ac:dyDescent="0.25">
      <c r="A1679" t="s">
        <v>8</v>
      </c>
      <c r="B1679" t="s">
        <v>177</v>
      </c>
      <c r="C1679">
        <v>202412</v>
      </c>
      <c r="D1679" t="str">
        <f t="shared" si="26"/>
        <v>2024</v>
      </c>
      <c r="E1679">
        <v>513675</v>
      </c>
      <c r="F1679">
        <v>12266669</v>
      </c>
      <c r="G1679">
        <v>4.1900000000000004</v>
      </c>
      <c r="H1679" t="s">
        <v>10</v>
      </c>
      <c r="I1679" t="s">
        <v>11</v>
      </c>
    </row>
    <row r="1680" spans="1:9" x14ac:dyDescent="0.25">
      <c r="A1680" t="s">
        <v>8</v>
      </c>
      <c r="B1680" t="s">
        <v>177</v>
      </c>
      <c r="C1680">
        <v>202501</v>
      </c>
      <c r="D1680" t="str">
        <f t="shared" si="26"/>
        <v>2025</v>
      </c>
      <c r="E1680">
        <v>451699</v>
      </c>
      <c r="F1680">
        <v>12266669</v>
      </c>
      <c r="G1680">
        <v>3.68</v>
      </c>
      <c r="H1680" t="s">
        <v>10</v>
      </c>
      <c r="I1680" t="s">
        <v>11</v>
      </c>
    </row>
    <row r="1681" spans="1:9" x14ac:dyDescent="0.25">
      <c r="A1681" t="s">
        <v>8</v>
      </c>
      <c r="B1681" t="s">
        <v>177</v>
      </c>
      <c r="C1681">
        <v>202502</v>
      </c>
      <c r="D1681" t="str">
        <f t="shared" si="26"/>
        <v>2025</v>
      </c>
      <c r="E1681">
        <v>411821</v>
      </c>
      <c r="F1681">
        <v>12266669</v>
      </c>
      <c r="G1681">
        <v>3.36</v>
      </c>
      <c r="H1681" t="s">
        <v>10</v>
      </c>
      <c r="I1681" t="s">
        <v>11</v>
      </c>
    </row>
    <row r="1682" spans="1:9" x14ac:dyDescent="0.25">
      <c r="A1682" t="s">
        <v>8</v>
      </c>
      <c r="B1682" t="s">
        <v>177</v>
      </c>
      <c r="C1682">
        <v>202503</v>
      </c>
      <c r="D1682" t="str">
        <f t="shared" si="26"/>
        <v>2025</v>
      </c>
      <c r="E1682">
        <v>454817</v>
      </c>
      <c r="F1682">
        <v>12266669</v>
      </c>
      <c r="G1682">
        <v>3.71</v>
      </c>
      <c r="H1682" t="s">
        <v>10</v>
      </c>
      <c r="I1682" t="s">
        <v>11</v>
      </c>
    </row>
    <row r="1683" spans="1:9" x14ac:dyDescent="0.25">
      <c r="A1683" t="s">
        <v>8</v>
      </c>
      <c r="B1683" t="s">
        <v>177</v>
      </c>
      <c r="C1683">
        <v>202504</v>
      </c>
      <c r="D1683" t="str">
        <f t="shared" si="26"/>
        <v>2025</v>
      </c>
      <c r="E1683">
        <v>395502</v>
      </c>
      <c r="F1683">
        <v>12266669</v>
      </c>
      <c r="G1683">
        <v>3.22</v>
      </c>
      <c r="H1683" t="s">
        <v>10</v>
      </c>
      <c r="I1683" t="s">
        <v>11</v>
      </c>
    </row>
    <row r="1684" spans="1:9" x14ac:dyDescent="0.25">
      <c r="A1684" t="s">
        <v>8</v>
      </c>
      <c r="B1684" t="s">
        <v>177</v>
      </c>
      <c r="C1684">
        <v>202505</v>
      </c>
      <c r="D1684" t="str">
        <f t="shared" si="26"/>
        <v>2025</v>
      </c>
      <c r="E1684">
        <v>347658</v>
      </c>
      <c r="F1684">
        <v>12266669</v>
      </c>
      <c r="G1684">
        <v>2.83</v>
      </c>
      <c r="H1684" t="s">
        <v>10</v>
      </c>
      <c r="I1684" t="s">
        <v>11</v>
      </c>
    </row>
    <row r="1685" spans="1:9" x14ac:dyDescent="0.25">
      <c r="A1685" t="s">
        <v>8</v>
      </c>
      <c r="B1685" t="s">
        <v>177</v>
      </c>
      <c r="C1685">
        <v>202506</v>
      </c>
      <c r="D1685" t="str">
        <f t="shared" si="26"/>
        <v>2025</v>
      </c>
      <c r="E1685">
        <v>85050</v>
      </c>
      <c r="F1685">
        <v>12266669</v>
      </c>
      <c r="G1685">
        <v>0.69</v>
      </c>
      <c r="H1685" t="s">
        <v>10</v>
      </c>
      <c r="I1685" t="s">
        <v>11</v>
      </c>
    </row>
    <row r="1686" spans="1:9" hidden="1" x14ac:dyDescent="0.25">
      <c r="A1686" t="s">
        <v>8</v>
      </c>
      <c r="B1686" t="s">
        <v>57</v>
      </c>
      <c r="C1686">
        <v>201807</v>
      </c>
      <c r="D1686" t="str">
        <f t="shared" si="26"/>
        <v>2018</v>
      </c>
      <c r="E1686">
        <v>6</v>
      </c>
      <c r="F1686">
        <v>12619878</v>
      </c>
      <c r="G1686">
        <v>0</v>
      </c>
      <c r="H1686" t="s">
        <v>10</v>
      </c>
      <c r="I1686" t="s">
        <v>11</v>
      </c>
    </row>
    <row r="1687" spans="1:9" hidden="1" x14ac:dyDescent="0.25">
      <c r="A1687" t="s">
        <v>8</v>
      </c>
      <c r="B1687" t="s">
        <v>57</v>
      </c>
      <c r="C1687">
        <v>201808</v>
      </c>
      <c r="D1687" t="str">
        <f t="shared" si="26"/>
        <v>2018</v>
      </c>
      <c r="E1687">
        <v>17</v>
      </c>
      <c r="F1687">
        <v>12619878</v>
      </c>
      <c r="G1687">
        <v>0</v>
      </c>
      <c r="H1687" t="s">
        <v>10</v>
      </c>
      <c r="I1687" t="s">
        <v>11</v>
      </c>
    </row>
    <row r="1688" spans="1:9" hidden="1" x14ac:dyDescent="0.25">
      <c r="A1688" t="s">
        <v>8</v>
      </c>
      <c r="B1688" t="s">
        <v>57</v>
      </c>
      <c r="C1688">
        <v>201901</v>
      </c>
      <c r="D1688" t="str">
        <f t="shared" si="26"/>
        <v>2019</v>
      </c>
      <c r="E1688">
        <v>137</v>
      </c>
      <c r="F1688">
        <v>12619878</v>
      </c>
      <c r="G1688">
        <v>0</v>
      </c>
      <c r="H1688" t="s">
        <v>10</v>
      </c>
      <c r="I1688" t="s">
        <v>11</v>
      </c>
    </row>
    <row r="1689" spans="1:9" hidden="1" x14ac:dyDescent="0.25">
      <c r="A1689" t="s">
        <v>8</v>
      </c>
      <c r="B1689" t="s">
        <v>57</v>
      </c>
      <c r="C1689">
        <v>201902</v>
      </c>
      <c r="D1689" t="str">
        <f t="shared" si="26"/>
        <v>2019</v>
      </c>
      <c r="E1689">
        <v>103</v>
      </c>
      <c r="F1689">
        <v>12619878</v>
      </c>
      <c r="G1689">
        <v>0</v>
      </c>
      <c r="H1689" t="s">
        <v>10</v>
      </c>
      <c r="I1689" t="s">
        <v>11</v>
      </c>
    </row>
    <row r="1690" spans="1:9" hidden="1" x14ac:dyDescent="0.25">
      <c r="A1690" t="s">
        <v>8</v>
      </c>
      <c r="B1690" t="s">
        <v>57</v>
      </c>
      <c r="C1690">
        <v>201903</v>
      </c>
      <c r="D1690" t="str">
        <f t="shared" si="26"/>
        <v>2019</v>
      </c>
      <c r="E1690">
        <v>198</v>
      </c>
      <c r="F1690">
        <v>12619878</v>
      </c>
      <c r="G1690">
        <v>0</v>
      </c>
      <c r="H1690" t="s">
        <v>10</v>
      </c>
      <c r="I1690" t="s">
        <v>11</v>
      </c>
    </row>
    <row r="1691" spans="1:9" hidden="1" x14ac:dyDescent="0.25">
      <c r="A1691" t="s">
        <v>8</v>
      </c>
      <c r="B1691" t="s">
        <v>57</v>
      </c>
      <c r="C1691">
        <v>201904</v>
      </c>
      <c r="D1691" t="str">
        <f t="shared" si="26"/>
        <v>2019</v>
      </c>
      <c r="E1691">
        <v>247</v>
      </c>
      <c r="F1691">
        <v>12619878</v>
      </c>
      <c r="G1691">
        <v>0</v>
      </c>
      <c r="H1691" t="s">
        <v>10</v>
      </c>
      <c r="I1691" t="s">
        <v>11</v>
      </c>
    </row>
    <row r="1692" spans="1:9" hidden="1" x14ac:dyDescent="0.25">
      <c r="A1692" t="s">
        <v>8</v>
      </c>
      <c r="B1692" t="s">
        <v>57</v>
      </c>
      <c r="C1692">
        <v>201905</v>
      </c>
      <c r="D1692" t="str">
        <f t="shared" si="26"/>
        <v>2019</v>
      </c>
      <c r="E1692">
        <v>270</v>
      </c>
      <c r="F1692">
        <v>12619878</v>
      </c>
      <c r="G1692">
        <v>0</v>
      </c>
      <c r="H1692" t="s">
        <v>10</v>
      </c>
      <c r="I1692" t="s">
        <v>11</v>
      </c>
    </row>
    <row r="1693" spans="1:9" hidden="1" x14ac:dyDescent="0.25">
      <c r="A1693" t="s">
        <v>8</v>
      </c>
      <c r="B1693" t="s">
        <v>57</v>
      </c>
      <c r="C1693">
        <v>201906</v>
      </c>
      <c r="D1693" t="str">
        <f t="shared" si="26"/>
        <v>2019</v>
      </c>
      <c r="E1693">
        <v>414</v>
      </c>
      <c r="F1693">
        <v>12619878</v>
      </c>
      <c r="G1693">
        <v>0</v>
      </c>
      <c r="H1693" t="s">
        <v>10</v>
      </c>
      <c r="I1693" t="s">
        <v>11</v>
      </c>
    </row>
    <row r="1694" spans="1:9" hidden="1" x14ac:dyDescent="0.25">
      <c r="A1694" t="s">
        <v>8</v>
      </c>
      <c r="B1694" t="s">
        <v>57</v>
      </c>
      <c r="C1694">
        <v>201907</v>
      </c>
      <c r="D1694" t="str">
        <f t="shared" si="26"/>
        <v>2019</v>
      </c>
      <c r="E1694">
        <v>224</v>
      </c>
      <c r="F1694">
        <v>12619878</v>
      </c>
      <c r="G1694">
        <v>0</v>
      </c>
      <c r="H1694" t="s">
        <v>10</v>
      </c>
      <c r="I1694" t="s">
        <v>11</v>
      </c>
    </row>
    <row r="1695" spans="1:9" hidden="1" x14ac:dyDescent="0.25">
      <c r="A1695" t="s">
        <v>8</v>
      </c>
      <c r="B1695" t="s">
        <v>57</v>
      </c>
      <c r="C1695">
        <v>201908</v>
      </c>
      <c r="D1695" t="str">
        <f t="shared" si="26"/>
        <v>2019</v>
      </c>
      <c r="E1695">
        <v>113</v>
      </c>
      <c r="F1695">
        <v>12619878</v>
      </c>
      <c r="G1695">
        <v>0</v>
      </c>
      <c r="H1695" t="s">
        <v>10</v>
      </c>
      <c r="I1695" t="s">
        <v>11</v>
      </c>
    </row>
    <row r="1696" spans="1:9" hidden="1" x14ac:dyDescent="0.25">
      <c r="A1696" t="s">
        <v>8</v>
      </c>
      <c r="B1696" t="s">
        <v>57</v>
      </c>
      <c r="C1696">
        <v>201909</v>
      </c>
      <c r="D1696" t="str">
        <f t="shared" si="26"/>
        <v>2019</v>
      </c>
      <c r="E1696">
        <v>129</v>
      </c>
      <c r="F1696">
        <v>12619878</v>
      </c>
      <c r="G1696">
        <v>0</v>
      </c>
      <c r="H1696" t="s">
        <v>10</v>
      </c>
      <c r="I1696" t="s">
        <v>11</v>
      </c>
    </row>
    <row r="1697" spans="1:9" hidden="1" x14ac:dyDescent="0.25">
      <c r="A1697" t="s">
        <v>8</v>
      </c>
      <c r="B1697" t="s">
        <v>57</v>
      </c>
      <c r="C1697">
        <v>201910</v>
      </c>
      <c r="D1697" t="str">
        <f t="shared" si="26"/>
        <v>2019</v>
      </c>
      <c r="E1697">
        <v>169</v>
      </c>
      <c r="F1697">
        <v>12619878</v>
      </c>
      <c r="G1697">
        <v>0</v>
      </c>
      <c r="H1697" t="s">
        <v>10</v>
      </c>
      <c r="I1697" t="s">
        <v>11</v>
      </c>
    </row>
    <row r="1698" spans="1:9" hidden="1" x14ac:dyDescent="0.25">
      <c r="A1698" t="s">
        <v>8</v>
      </c>
      <c r="B1698" t="s">
        <v>57</v>
      </c>
      <c r="C1698">
        <v>201911</v>
      </c>
      <c r="D1698" t="str">
        <f t="shared" si="26"/>
        <v>2019</v>
      </c>
      <c r="E1698">
        <v>100</v>
      </c>
      <c r="F1698">
        <v>12619878</v>
      </c>
      <c r="G1698">
        <v>0</v>
      </c>
      <c r="H1698" t="s">
        <v>10</v>
      </c>
      <c r="I1698" t="s">
        <v>11</v>
      </c>
    </row>
    <row r="1699" spans="1:9" hidden="1" x14ac:dyDescent="0.25">
      <c r="A1699" t="s">
        <v>8</v>
      </c>
      <c r="B1699" t="s">
        <v>57</v>
      </c>
      <c r="C1699">
        <v>201912</v>
      </c>
      <c r="D1699" t="str">
        <f t="shared" si="26"/>
        <v>2019</v>
      </c>
      <c r="E1699">
        <v>15</v>
      </c>
      <c r="F1699">
        <v>12619878</v>
      </c>
      <c r="G1699">
        <v>0</v>
      </c>
      <c r="H1699" t="s">
        <v>10</v>
      </c>
      <c r="I1699" t="s">
        <v>11</v>
      </c>
    </row>
    <row r="1700" spans="1:9" hidden="1" x14ac:dyDescent="0.25">
      <c r="A1700" t="s">
        <v>8</v>
      </c>
      <c r="B1700" t="s">
        <v>57</v>
      </c>
      <c r="C1700">
        <v>202001</v>
      </c>
      <c r="D1700" t="str">
        <f t="shared" si="26"/>
        <v>2020</v>
      </c>
      <c r="E1700">
        <v>713</v>
      </c>
      <c r="F1700">
        <v>12619878</v>
      </c>
      <c r="G1700">
        <v>0.01</v>
      </c>
      <c r="H1700" t="s">
        <v>10</v>
      </c>
      <c r="I1700" t="s">
        <v>11</v>
      </c>
    </row>
    <row r="1701" spans="1:9" hidden="1" x14ac:dyDescent="0.25">
      <c r="A1701" t="s">
        <v>8</v>
      </c>
      <c r="B1701" t="s">
        <v>57</v>
      </c>
      <c r="C1701">
        <v>202002</v>
      </c>
      <c r="D1701" t="str">
        <f t="shared" si="26"/>
        <v>2020</v>
      </c>
      <c r="E1701">
        <v>363</v>
      </c>
      <c r="F1701">
        <v>12619878</v>
      </c>
      <c r="G1701">
        <v>0</v>
      </c>
      <c r="H1701" t="s">
        <v>10</v>
      </c>
      <c r="I1701" t="s">
        <v>11</v>
      </c>
    </row>
    <row r="1702" spans="1:9" hidden="1" x14ac:dyDescent="0.25">
      <c r="A1702" t="s">
        <v>8</v>
      </c>
      <c r="B1702" t="s">
        <v>57</v>
      </c>
      <c r="C1702">
        <v>202003</v>
      </c>
      <c r="D1702" t="str">
        <f t="shared" si="26"/>
        <v>2020</v>
      </c>
      <c r="E1702">
        <v>482</v>
      </c>
      <c r="F1702">
        <v>12619878</v>
      </c>
      <c r="G1702">
        <v>0</v>
      </c>
      <c r="H1702" t="s">
        <v>10</v>
      </c>
      <c r="I1702" t="s">
        <v>11</v>
      </c>
    </row>
    <row r="1703" spans="1:9" hidden="1" x14ac:dyDescent="0.25">
      <c r="A1703" t="s">
        <v>8</v>
      </c>
      <c r="B1703" t="s">
        <v>57</v>
      </c>
      <c r="C1703">
        <v>202004</v>
      </c>
      <c r="D1703" t="str">
        <f t="shared" si="26"/>
        <v>2020</v>
      </c>
      <c r="E1703">
        <v>635</v>
      </c>
      <c r="F1703">
        <v>12619878</v>
      </c>
      <c r="G1703">
        <v>0.01</v>
      </c>
      <c r="H1703" t="s">
        <v>10</v>
      </c>
      <c r="I1703" t="s">
        <v>11</v>
      </c>
    </row>
    <row r="1704" spans="1:9" hidden="1" x14ac:dyDescent="0.25">
      <c r="A1704" t="s">
        <v>8</v>
      </c>
      <c r="B1704" t="s">
        <v>57</v>
      </c>
      <c r="C1704">
        <v>202005</v>
      </c>
      <c r="D1704" t="str">
        <f t="shared" si="26"/>
        <v>2020</v>
      </c>
      <c r="E1704">
        <v>853</v>
      </c>
      <c r="F1704">
        <v>12619878</v>
      </c>
      <c r="G1704">
        <v>0.01</v>
      </c>
      <c r="H1704" t="s">
        <v>10</v>
      </c>
      <c r="I1704" t="s">
        <v>11</v>
      </c>
    </row>
    <row r="1705" spans="1:9" hidden="1" x14ac:dyDescent="0.25">
      <c r="A1705" t="s">
        <v>8</v>
      </c>
      <c r="B1705" t="s">
        <v>57</v>
      </c>
      <c r="C1705">
        <v>202006</v>
      </c>
      <c r="D1705" t="str">
        <f t="shared" si="26"/>
        <v>2020</v>
      </c>
      <c r="E1705">
        <v>1426</v>
      </c>
      <c r="F1705">
        <v>12619878</v>
      </c>
      <c r="G1705">
        <v>0.01</v>
      </c>
      <c r="H1705" t="s">
        <v>10</v>
      </c>
      <c r="I1705" t="s">
        <v>11</v>
      </c>
    </row>
    <row r="1706" spans="1:9" hidden="1" x14ac:dyDescent="0.25">
      <c r="A1706" t="s">
        <v>8</v>
      </c>
      <c r="B1706" t="s">
        <v>57</v>
      </c>
      <c r="C1706">
        <v>202007</v>
      </c>
      <c r="D1706" t="str">
        <f t="shared" si="26"/>
        <v>2020</v>
      </c>
      <c r="E1706">
        <v>1666</v>
      </c>
      <c r="F1706">
        <v>12619878</v>
      </c>
      <c r="G1706">
        <v>0.01</v>
      </c>
      <c r="H1706" t="s">
        <v>10</v>
      </c>
      <c r="I1706" t="s">
        <v>11</v>
      </c>
    </row>
    <row r="1707" spans="1:9" hidden="1" x14ac:dyDescent="0.25">
      <c r="A1707" t="s">
        <v>8</v>
      </c>
      <c r="B1707" t="s">
        <v>57</v>
      </c>
      <c r="C1707">
        <v>202008</v>
      </c>
      <c r="D1707" t="str">
        <f t="shared" si="26"/>
        <v>2020</v>
      </c>
      <c r="E1707">
        <v>1564</v>
      </c>
      <c r="F1707">
        <v>12619878</v>
      </c>
      <c r="G1707">
        <v>0.01</v>
      </c>
      <c r="H1707" t="s">
        <v>10</v>
      </c>
      <c r="I1707" t="s">
        <v>11</v>
      </c>
    </row>
    <row r="1708" spans="1:9" hidden="1" x14ac:dyDescent="0.25">
      <c r="A1708" t="s">
        <v>8</v>
      </c>
      <c r="B1708" t="s">
        <v>57</v>
      </c>
      <c r="C1708">
        <v>202009</v>
      </c>
      <c r="D1708" t="str">
        <f t="shared" si="26"/>
        <v>2020</v>
      </c>
      <c r="E1708">
        <v>1252</v>
      </c>
      <c r="F1708">
        <v>12619878</v>
      </c>
      <c r="G1708">
        <v>0.01</v>
      </c>
      <c r="H1708" t="s">
        <v>10</v>
      </c>
      <c r="I1708" t="s">
        <v>11</v>
      </c>
    </row>
    <row r="1709" spans="1:9" hidden="1" x14ac:dyDescent="0.25">
      <c r="A1709" t="s">
        <v>8</v>
      </c>
      <c r="B1709" t="s">
        <v>57</v>
      </c>
      <c r="C1709">
        <v>202010</v>
      </c>
      <c r="D1709" t="str">
        <f t="shared" si="26"/>
        <v>2020</v>
      </c>
      <c r="E1709">
        <v>1244</v>
      </c>
      <c r="F1709">
        <v>12619878</v>
      </c>
      <c r="G1709">
        <v>0.01</v>
      </c>
      <c r="H1709" t="s">
        <v>10</v>
      </c>
      <c r="I1709" t="s">
        <v>11</v>
      </c>
    </row>
    <row r="1710" spans="1:9" hidden="1" x14ac:dyDescent="0.25">
      <c r="A1710" t="s">
        <v>8</v>
      </c>
      <c r="B1710" t="s">
        <v>57</v>
      </c>
      <c r="C1710">
        <v>202011</v>
      </c>
      <c r="D1710" t="str">
        <f t="shared" si="26"/>
        <v>2020</v>
      </c>
      <c r="E1710">
        <v>1229</v>
      </c>
      <c r="F1710">
        <v>12619878</v>
      </c>
      <c r="G1710">
        <v>0.01</v>
      </c>
      <c r="H1710" t="s">
        <v>10</v>
      </c>
      <c r="I1710" t="s">
        <v>11</v>
      </c>
    </row>
    <row r="1711" spans="1:9" hidden="1" x14ac:dyDescent="0.25">
      <c r="A1711" t="s">
        <v>8</v>
      </c>
      <c r="B1711" t="s">
        <v>57</v>
      </c>
      <c r="C1711">
        <v>202012</v>
      </c>
      <c r="D1711" t="str">
        <f t="shared" si="26"/>
        <v>2020</v>
      </c>
      <c r="E1711">
        <v>1503</v>
      </c>
      <c r="F1711">
        <v>12619878</v>
      </c>
      <c r="G1711">
        <v>0.01</v>
      </c>
      <c r="H1711" t="s">
        <v>10</v>
      </c>
      <c r="I1711" t="s">
        <v>11</v>
      </c>
    </row>
    <row r="1712" spans="1:9" hidden="1" x14ac:dyDescent="0.25">
      <c r="A1712" t="s">
        <v>8</v>
      </c>
      <c r="B1712" t="s">
        <v>57</v>
      </c>
      <c r="C1712">
        <v>202101</v>
      </c>
      <c r="D1712" t="str">
        <f t="shared" si="26"/>
        <v>2021</v>
      </c>
      <c r="E1712">
        <v>29944</v>
      </c>
      <c r="F1712">
        <v>12619878</v>
      </c>
      <c r="G1712">
        <v>0.24</v>
      </c>
      <c r="H1712" t="s">
        <v>10</v>
      </c>
      <c r="I1712" t="s">
        <v>11</v>
      </c>
    </row>
    <row r="1713" spans="1:9" hidden="1" x14ac:dyDescent="0.25">
      <c r="A1713" t="s">
        <v>8</v>
      </c>
      <c r="B1713" t="s">
        <v>57</v>
      </c>
      <c r="C1713">
        <v>202102</v>
      </c>
      <c r="D1713" t="str">
        <f t="shared" si="26"/>
        <v>2021</v>
      </c>
      <c r="E1713">
        <v>21061</v>
      </c>
      <c r="F1713">
        <v>12619878</v>
      </c>
      <c r="G1713">
        <v>0.17</v>
      </c>
      <c r="H1713" t="s">
        <v>10</v>
      </c>
      <c r="I1713" t="s">
        <v>11</v>
      </c>
    </row>
    <row r="1714" spans="1:9" hidden="1" x14ac:dyDescent="0.25">
      <c r="A1714" t="s">
        <v>8</v>
      </c>
      <c r="B1714" t="s">
        <v>57</v>
      </c>
      <c r="C1714">
        <v>202103</v>
      </c>
      <c r="D1714" t="str">
        <f t="shared" si="26"/>
        <v>2021</v>
      </c>
      <c r="E1714">
        <v>25293</v>
      </c>
      <c r="F1714">
        <v>12619878</v>
      </c>
      <c r="G1714">
        <v>0.2</v>
      </c>
      <c r="H1714" t="s">
        <v>10</v>
      </c>
      <c r="I1714" t="s">
        <v>11</v>
      </c>
    </row>
    <row r="1715" spans="1:9" hidden="1" x14ac:dyDescent="0.25">
      <c r="A1715" t="s">
        <v>8</v>
      </c>
      <c r="B1715" t="s">
        <v>57</v>
      </c>
      <c r="C1715">
        <v>202104</v>
      </c>
      <c r="D1715" t="str">
        <f t="shared" si="26"/>
        <v>2021</v>
      </c>
      <c r="E1715">
        <v>23042</v>
      </c>
      <c r="F1715">
        <v>12619878</v>
      </c>
      <c r="G1715">
        <v>0.18</v>
      </c>
      <c r="H1715" t="s">
        <v>10</v>
      </c>
      <c r="I1715" t="s">
        <v>11</v>
      </c>
    </row>
    <row r="1716" spans="1:9" hidden="1" x14ac:dyDescent="0.25">
      <c r="A1716" t="s">
        <v>8</v>
      </c>
      <c r="B1716" t="s">
        <v>57</v>
      </c>
      <c r="C1716">
        <v>202105</v>
      </c>
      <c r="D1716" t="str">
        <f t="shared" si="26"/>
        <v>2021</v>
      </c>
      <c r="E1716">
        <v>21881</v>
      </c>
      <c r="F1716">
        <v>12619878</v>
      </c>
      <c r="G1716">
        <v>0.17</v>
      </c>
      <c r="H1716" t="s">
        <v>10</v>
      </c>
      <c r="I1716" t="s">
        <v>11</v>
      </c>
    </row>
    <row r="1717" spans="1:9" hidden="1" x14ac:dyDescent="0.25">
      <c r="A1717" t="s">
        <v>8</v>
      </c>
      <c r="B1717" t="s">
        <v>57</v>
      </c>
      <c r="C1717">
        <v>202106</v>
      </c>
      <c r="D1717" t="str">
        <f t="shared" si="26"/>
        <v>2021</v>
      </c>
      <c r="E1717">
        <v>24210</v>
      </c>
      <c r="F1717">
        <v>12619878</v>
      </c>
      <c r="G1717">
        <v>0.19</v>
      </c>
      <c r="H1717" t="s">
        <v>10</v>
      </c>
      <c r="I1717" t="s">
        <v>11</v>
      </c>
    </row>
    <row r="1718" spans="1:9" hidden="1" x14ac:dyDescent="0.25">
      <c r="A1718" t="s">
        <v>8</v>
      </c>
      <c r="B1718" t="s">
        <v>57</v>
      </c>
      <c r="C1718">
        <v>202107</v>
      </c>
      <c r="D1718" t="str">
        <f t="shared" si="26"/>
        <v>2021</v>
      </c>
      <c r="E1718">
        <v>57768</v>
      </c>
      <c r="F1718">
        <v>12619878</v>
      </c>
      <c r="G1718">
        <v>0.46</v>
      </c>
      <c r="H1718" t="s">
        <v>10</v>
      </c>
      <c r="I1718" t="s">
        <v>11</v>
      </c>
    </row>
    <row r="1719" spans="1:9" hidden="1" x14ac:dyDescent="0.25">
      <c r="A1719" t="s">
        <v>8</v>
      </c>
      <c r="B1719" t="s">
        <v>57</v>
      </c>
      <c r="C1719">
        <v>202108</v>
      </c>
      <c r="D1719" t="str">
        <f t="shared" si="26"/>
        <v>2021</v>
      </c>
      <c r="E1719">
        <v>63051</v>
      </c>
      <c r="F1719">
        <v>12619878</v>
      </c>
      <c r="G1719">
        <v>0.5</v>
      </c>
      <c r="H1719" t="s">
        <v>10</v>
      </c>
      <c r="I1719" t="s">
        <v>11</v>
      </c>
    </row>
    <row r="1720" spans="1:9" hidden="1" x14ac:dyDescent="0.25">
      <c r="A1720" t="s">
        <v>8</v>
      </c>
      <c r="B1720" t="s">
        <v>57</v>
      </c>
      <c r="C1720">
        <v>202109</v>
      </c>
      <c r="D1720" t="str">
        <f t="shared" si="26"/>
        <v>2021</v>
      </c>
      <c r="E1720">
        <v>66304</v>
      </c>
      <c r="F1720">
        <v>12619878</v>
      </c>
      <c r="G1720">
        <v>0.53</v>
      </c>
      <c r="H1720" t="s">
        <v>10</v>
      </c>
      <c r="I1720" t="s">
        <v>11</v>
      </c>
    </row>
    <row r="1721" spans="1:9" hidden="1" x14ac:dyDescent="0.25">
      <c r="A1721" t="s">
        <v>8</v>
      </c>
      <c r="B1721" t="s">
        <v>57</v>
      </c>
      <c r="C1721">
        <v>202110</v>
      </c>
      <c r="D1721" t="str">
        <f t="shared" si="26"/>
        <v>2021</v>
      </c>
      <c r="E1721">
        <v>64434</v>
      </c>
      <c r="F1721">
        <v>12619878</v>
      </c>
      <c r="G1721">
        <v>0.51</v>
      </c>
      <c r="H1721" t="s">
        <v>10</v>
      </c>
      <c r="I1721" t="s">
        <v>11</v>
      </c>
    </row>
    <row r="1722" spans="1:9" hidden="1" x14ac:dyDescent="0.25">
      <c r="A1722" t="s">
        <v>8</v>
      </c>
      <c r="B1722" t="s">
        <v>57</v>
      </c>
      <c r="C1722">
        <v>202111</v>
      </c>
      <c r="D1722" t="str">
        <f t="shared" si="26"/>
        <v>2021</v>
      </c>
      <c r="E1722">
        <v>66027</v>
      </c>
      <c r="F1722">
        <v>12619878</v>
      </c>
      <c r="G1722">
        <v>0.52</v>
      </c>
      <c r="H1722" t="s">
        <v>10</v>
      </c>
      <c r="I1722" t="s">
        <v>11</v>
      </c>
    </row>
    <row r="1723" spans="1:9" hidden="1" x14ac:dyDescent="0.25">
      <c r="A1723" t="s">
        <v>8</v>
      </c>
      <c r="B1723" t="s">
        <v>57</v>
      </c>
      <c r="C1723">
        <v>202112</v>
      </c>
      <c r="D1723" t="str">
        <f t="shared" si="26"/>
        <v>2021</v>
      </c>
      <c r="E1723">
        <v>66439</v>
      </c>
      <c r="F1723">
        <v>12619878</v>
      </c>
      <c r="G1723">
        <v>0.53</v>
      </c>
      <c r="H1723" t="s">
        <v>10</v>
      </c>
      <c r="I1723" t="s">
        <v>11</v>
      </c>
    </row>
    <row r="1724" spans="1:9" hidden="1" x14ac:dyDescent="0.25">
      <c r="A1724" t="s">
        <v>8</v>
      </c>
      <c r="B1724" t="s">
        <v>57</v>
      </c>
      <c r="C1724">
        <v>202201</v>
      </c>
      <c r="D1724" t="str">
        <f t="shared" si="26"/>
        <v>2022</v>
      </c>
      <c r="E1724">
        <v>53719</v>
      </c>
      <c r="F1724">
        <v>12619878</v>
      </c>
      <c r="G1724">
        <v>0.43</v>
      </c>
      <c r="H1724" t="s">
        <v>10</v>
      </c>
      <c r="I1724" t="s">
        <v>11</v>
      </c>
    </row>
    <row r="1725" spans="1:9" hidden="1" x14ac:dyDescent="0.25">
      <c r="A1725" t="s">
        <v>8</v>
      </c>
      <c r="B1725" t="s">
        <v>57</v>
      </c>
      <c r="C1725">
        <v>202202</v>
      </c>
      <c r="D1725" t="str">
        <f t="shared" si="26"/>
        <v>2022</v>
      </c>
      <c r="E1725">
        <v>42878</v>
      </c>
      <c r="F1725">
        <v>12619878</v>
      </c>
      <c r="G1725">
        <v>0.34</v>
      </c>
      <c r="H1725" t="s">
        <v>10</v>
      </c>
      <c r="I1725" t="s">
        <v>11</v>
      </c>
    </row>
    <row r="1726" spans="1:9" hidden="1" x14ac:dyDescent="0.25">
      <c r="A1726" t="s">
        <v>8</v>
      </c>
      <c r="B1726" t="s">
        <v>57</v>
      </c>
      <c r="C1726">
        <v>202203</v>
      </c>
      <c r="D1726" t="str">
        <f t="shared" si="26"/>
        <v>2022</v>
      </c>
      <c r="E1726">
        <v>49692</v>
      </c>
      <c r="F1726">
        <v>12619878</v>
      </c>
      <c r="G1726">
        <v>0.39</v>
      </c>
      <c r="H1726" t="s">
        <v>10</v>
      </c>
      <c r="I1726" t="s">
        <v>11</v>
      </c>
    </row>
    <row r="1727" spans="1:9" hidden="1" x14ac:dyDescent="0.25">
      <c r="A1727" t="s">
        <v>8</v>
      </c>
      <c r="B1727" t="s">
        <v>57</v>
      </c>
      <c r="C1727">
        <v>202204</v>
      </c>
      <c r="D1727" t="str">
        <f t="shared" si="26"/>
        <v>2022</v>
      </c>
      <c r="E1727">
        <v>52961</v>
      </c>
      <c r="F1727">
        <v>12619878</v>
      </c>
      <c r="G1727">
        <v>0.42</v>
      </c>
      <c r="H1727" t="s">
        <v>10</v>
      </c>
      <c r="I1727" t="s">
        <v>11</v>
      </c>
    </row>
    <row r="1728" spans="1:9" hidden="1" x14ac:dyDescent="0.25">
      <c r="A1728" t="s">
        <v>8</v>
      </c>
      <c r="B1728" t="s">
        <v>57</v>
      </c>
      <c r="C1728">
        <v>202205</v>
      </c>
      <c r="D1728" t="str">
        <f t="shared" si="26"/>
        <v>2022</v>
      </c>
      <c r="E1728">
        <v>51634</v>
      </c>
      <c r="F1728">
        <v>12619878</v>
      </c>
      <c r="G1728">
        <v>0.41</v>
      </c>
      <c r="H1728" t="s">
        <v>10</v>
      </c>
      <c r="I1728" t="s">
        <v>11</v>
      </c>
    </row>
    <row r="1729" spans="1:9" hidden="1" x14ac:dyDescent="0.25">
      <c r="A1729" t="s">
        <v>8</v>
      </c>
      <c r="B1729" t="s">
        <v>57</v>
      </c>
      <c r="C1729">
        <v>202206</v>
      </c>
      <c r="D1729" t="str">
        <f t="shared" si="26"/>
        <v>2022</v>
      </c>
      <c r="E1729">
        <v>50003</v>
      </c>
      <c r="F1729">
        <v>12619878</v>
      </c>
      <c r="G1729">
        <v>0.4</v>
      </c>
      <c r="H1729" t="s">
        <v>10</v>
      </c>
      <c r="I1729" t="s">
        <v>11</v>
      </c>
    </row>
    <row r="1730" spans="1:9" hidden="1" x14ac:dyDescent="0.25">
      <c r="A1730" t="s">
        <v>8</v>
      </c>
      <c r="B1730" t="s">
        <v>57</v>
      </c>
      <c r="C1730">
        <v>202207</v>
      </c>
      <c r="D1730" t="str">
        <f t="shared" si="26"/>
        <v>2022</v>
      </c>
      <c r="E1730">
        <v>51723</v>
      </c>
      <c r="F1730">
        <v>12619878</v>
      </c>
      <c r="G1730">
        <v>0.41</v>
      </c>
      <c r="H1730" t="s">
        <v>10</v>
      </c>
      <c r="I1730" t="s">
        <v>11</v>
      </c>
    </row>
    <row r="1731" spans="1:9" hidden="1" x14ac:dyDescent="0.25">
      <c r="A1731" t="s">
        <v>8</v>
      </c>
      <c r="B1731" t="s">
        <v>57</v>
      </c>
      <c r="C1731">
        <v>202208</v>
      </c>
      <c r="D1731" t="str">
        <f t="shared" ref="D1731:D1794" si="27">LEFT(C1731,4)</f>
        <v>2022</v>
      </c>
      <c r="E1731">
        <v>68757</v>
      </c>
      <c r="F1731">
        <v>12619878</v>
      </c>
      <c r="G1731">
        <v>0.54</v>
      </c>
      <c r="H1731" t="s">
        <v>10</v>
      </c>
      <c r="I1731" t="s">
        <v>11</v>
      </c>
    </row>
    <row r="1732" spans="1:9" hidden="1" x14ac:dyDescent="0.25">
      <c r="A1732" t="s">
        <v>8</v>
      </c>
      <c r="B1732" t="s">
        <v>57</v>
      </c>
      <c r="C1732">
        <v>202209</v>
      </c>
      <c r="D1732" t="str">
        <f t="shared" si="27"/>
        <v>2022</v>
      </c>
      <c r="E1732">
        <v>163319</v>
      </c>
      <c r="F1732">
        <v>12619878</v>
      </c>
      <c r="G1732">
        <v>1.29</v>
      </c>
      <c r="H1732" t="s">
        <v>10</v>
      </c>
      <c r="I1732" t="s">
        <v>11</v>
      </c>
    </row>
    <row r="1733" spans="1:9" hidden="1" x14ac:dyDescent="0.25">
      <c r="A1733" t="s">
        <v>8</v>
      </c>
      <c r="B1733" t="s">
        <v>57</v>
      </c>
      <c r="C1733">
        <v>202210</v>
      </c>
      <c r="D1733" t="str">
        <f t="shared" si="27"/>
        <v>2022</v>
      </c>
      <c r="E1733">
        <v>182500</v>
      </c>
      <c r="F1733">
        <v>12619878</v>
      </c>
      <c r="G1733">
        <v>1.45</v>
      </c>
      <c r="H1733" t="s">
        <v>10</v>
      </c>
      <c r="I1733" t="s">
        <v>11</v>
      </c>
    </row>
    <row r="1734" spans="1:9" hidden="1" x14ac:dyDescent="0.25">
      <c r="A1734" t="s">
        <v>8</v>
      </c>
      <c r="B1734" t="s">
        <v>57</v>
      </c>
      <c r="C1734">
        <v>202211</v>
      </c>
      <c r="D1734" t="str">
        <f t="shared" si="27"/>
        <v>2022</v>
      </c>
      <c r="E1734">
        <v>180090</v>
      </c>
      <c r="F1734">
        <v>12619878</v>
      </c>
      <c r="G1734">
        <v>1.43</v>
      </c>
      <c r="H1734" t="s">
        <v>10</v>
      </c>
      <c r="I1734" t="s">
        <v>11</v>
      </c>
    </row>
    <row r="1735" spans="1:9" hidden="1" x14ac:dyDescent="0.25">
      <c r="A1735" t="s">
        <v>8</v>
      </c>
      <c r="B1735" t="s">
        <v>57</v>
      </c>
      <c r="C1735">
        <v>202212</v>
      </c>
      <c r="D1735" t="str">
        <f t="shared" si="27"/>
        <v>2022</v>
      </c>
      <c r="E1735">
        <v>170288</v>
      </c>
      <c r="F1735">
        <v>12619878</v>
      </c>
      <c r="G1735">
        <v>1.35</v>
      </c>
      <c r="H1735" t="s">
        <v>10</v>
      </c>
      <c r="I1735" t="s">
        <v>11</v>
      </c>
    </row>
    <row r="1736" spans="1:9" hidden="1" x14ac:dyDescent="0.25">
      <c r="A1736" t="s">
        <v>8</v>
      </c>
      <c r="B1736" t="s">
        <v>57</v>
      </c>
      <c r="C1736">
        <v>202301</v>
      </c>
      <c r="D1736" t="str">
        <f t="shared" si="27"/>
        <v>2023</v>
      </c>
      <c r="E1736">
        <v>233627</v>
      </c>
      <c r="F1736">
        <v>12619878</v>
      </c>
      <c r="G1736">
        <v>1.85</v>
      </c>
      <c r="H1736" t="s">
        <v>10</v>
      </c>
      <c r="I1736" t="s">
        <v>11</v>
      </c>
    </row>
    <row r="1737" spans="1:9" hidden="1" x14ac:dyDescent="0.25">
      <c r="A1737" t="s">
        <v>8</v>
      </c>
      <c r="B1737" t="s">
        <v>57</v>
      </c>
      <c r="C1737">
        <v>202302</v>
      </c>
      <c r="D1737" t="str">
        <f t="shared" si="27"/>
        <v>2023</v>
      </c>
      <c r="E1737">
        <v>227544</v>
      </c>
      <c r="F1737">
        <v>12619878</v>
      </c>
      <c r="G1737">
        <v>1.8</v>
      </c>
      <c r="H1737" t="s">
        <v>10</v>
      </c>
      <c r="I1737" t="s">
        <v>11</v>
      </c>
    </row>
    <row r="1738" spans="1:9" hidden="1" x14ac:dyDescent="0.25">
      <c r="A1738" t="s">
        <v>8</v>
      </c>
      <c r="B1738" t="s">
        <v>57</v>
      </c>
      <c r="C1738">
        <v>202303</v>
      </c>
      <c r="D1738" t="str">
        <f t="shared" si="27"/>
        <v>2023</v>
      </c>
      <c r="E1738">
        <v>252334</v>
      </c>
      <c r="F1738">
        <v>12619878</v>
      </c>
      <c r="G1738">
        <v>2</v>
      </c>
      <c r="H1738" t="s">
        <v>10</v>
      </c>
      <c r="I1738" t="s">
        <v>11</v>
      </c>
    </row>
    <row r="1739" spans="1:9" hidden="1" x14ac:dyDescent="0.25">
      <c r="A1739" t="s">
        <v>8</v>
      </c>
      <c r="B1739" t="s">
        <v>57</v>
      </c>
      <c r="C1739">
        <v>202304</v>
      </c>
      <c r="D1739" t="str">
        <f t="shared" si="27"/>
        <v>2023</v>
      </c>
      <c r="E1739">
        <v>228831</v>
      </c>
      <c r="F1739">
        <v>12619878</v>
      </c>
      <c r="G1739">
        <v>1.81</v>
      </c>
      <c r="H1739" t="s">
        <v>10</v>
      </c>
      <c r="I1739" t="s">
        <v>11</v>
      </c>
    </row>
    <row r="1740" spans="1:9" hidden="1" x14ac:dyDescent="0.25">
      <c r="A1740" t="s">
        <v>8</v>
      </c>
      <c r="B1740" t="s">
        <v>57</v>
      </c>
      <c r="C1740">
        <v>202305</v>
      </c>
      <c r="D1740" t="str">
        <f t="shared" si="27"/>
        <v>2023</v>
      </c>
      <c r="E1740">
        <v>242262</v>
      </c>
      <c r="F1740">
        <v>12619878</v>
      </c>
      <c r="G1740">
        <v>1.92</v>
      </c>
      <c r="H1740" t="s">
        <v>10</v>
      </c>
      <c r="I1740" t="s">
        <v>11</v>
      </c>
    </row>
    <row r="1741" spans="1:9" hidden="1" x14ac:dyDescent="0.25">
      <c r="A1741" t="s">
        <v>8</v>
      </c>
      <c r="B1741" t="s">
        <v>57</v>
      </c>
      <c r="C1741">
        <v>202306</v>
      </c>
      <c r="D1741" t="str">
        <f t="shared" si="27"/>
        <v>2023</v>
      </c>
      <c r="E1741">
        <v>235369</v>
      </c>
      <c r="F1741">
        <v>12619878</v>
      </c>
      <c r="G1741">
        <v>1.87</v>
      </c>
      <c r="H1741" t="s">
        <v>10</v>
      </c>
      <c r="I1741" t="s">
        <v>11</v>
      </c>
    </row>
    <row r="1742" spans="1:9" hidden="1" x14ac:dyDescent="0.25">
      <c r="A1742" t="s">
        <v>8</v>
      </c>
      <c r="B1742" t="s">
        <v>57</v>
      </c>
      <c r="C1742">
        <v>202307</v>
      </c>
      <c r="D1742" t="str">
        <f t="shared" si="27"/>
        <v>2023</v>
      </c>
      <c r="E1742">
        <v>219281</v>
      </c>
      <c r="F1742">
        <v>12619878</v>
      </c>
      <c r="G1742">
        <v>1.74</v>
      </c>
      <c r="H1742" t="s">
        <v>10</v>
      </c>
      <c r="I1742" t="s">
        <v>11</v>
      </c>
    </row>
    <row r="1743" spans="1:9" hidden="1" x14ac:dyDescent="0.25">
      <c r="A1743" t="s">
        <v>8</v>
      </c>
      <c r="B1743" t="s">
        <v>57</v>
      </c>
      <c r="C1743">
        <v>202308</v>
      </c>
      <c r="D1743" t="str">
        <f t="shared" si="27"/>
        <v>2023</v>
      </c>
      <c r="E1743">
        <v>250798</v>
      </c>
      <c r="F1743">
        <v>12619878</v>
      </c>
      <c r="G1743">
        <v>1.99</v>
      </c>
      <c r="H1743" t="s">
        <v>10</v>
      </c>
      <c r="I1743" t="s">
        <v>11</v>
      </c>
    </row>
    <row r="1744" spans="1:9" hidden="1" x14ac:dyDescent="0.25">
      <c r="A1744" t="s">
        <v>8</v>
      </c>
      <c r="B1744" t="s">
        <v>57</v>
      </c>
      <c r="C1744">
        <v>202309</v>
      </c>
      <c r="D1744" t="str">
        <f t="shared" si="27"/>
        <v>2023</v>
      </c>
      <c r="E1744">
        <v>235451</v>
      </c>
      <c r="F1744">
        <v>12619878</v>
      </c>
      <c r="G1744">
        <v>1.87</v>
      </c>
      <c r="H1744" t="s">
        <v>10</v>
      </c>
      <c r="I1744" t="s">
        <v>11</v>
      </c>
    </row>
    <row r="1745" spans="1:9" hidden="1" x14ac:dyDescent="0.25">
      <c r="A1745" t="s">
        <v>8</v>
      </c>
      <c r="B1745" t="s">
        <v>57</v>
      </c>
      <c r="C1745">
        <v>202310</v>
      </c>
      <c r="D1745" t="str">
        <f t="shared" si="27"/>
        <v>2023</v>
      </c>
      <c r="E1745">
        <v>257132</v>
      </c>
      <c r="F1745">
        <v>12619878</v>
      </c>
      <c r="G1745">
        <v>2.04</v>
      </c>
      <c r="H1745" t="s">
        <v>10</v>
      </c>
      <c r="I1745" t="s">
        <v>11</v>
      </c>
    </row>
    <row r="1746" spans="1:9" hidden="1" x14ac:dyDescent="0.25">
      <c r="A1746" t="s">
        <v>8</v>
      </c>
      <c r="B1746" t="s">
        <v>57</v>
      </c>
      <c r="C1746">
        <v>202311</v>
      </c>
      <c r="D1746" t="str">
        <f t="shared" si="27"/>
        <v>2023</v>
      </c>
      <c r="E1746">
        <v>241253</v>
      </c>
      <c r="F1746">
        <v>12619878</v>
      </c>
      <c r="G1746">
        <v>1.91</v>
      </c>
      <c r="H1746" t="s">
        <v>10</v>
      </c>
      <c r="I1746" t="s">
        <v>11</v>
      </c>
    </row>
    <row r="1747" spans="1:9" hidden="1" x14ac:dyDescent="0.25">
      <c r="A1747" t="s">
        <v>8</v>
      </c>
      <c r="B1747" t="s">
        <v>57</v>
      </c>
      <c r="C1747">
        <v>202312</v>
      </c>
      <c r="D1747" t="str">
        <f t="shared" si="27"/>
        <v>2023</v>
      </c>
      <c r="E1747">
        <v>227630</v>
      </c>
      <c r="F1747">
        <v>12619878</v>
      </c>
      <c r="G1747">
        <v>1.8</v>
      </c>
      <c r="H1747" t="s">
        <v>10</v>
      </c>
      <c r="I1747" t="s">
        <v>11</v>
      </c>
    </row>
    <row r="1748" spans="1:9" hidden="1" x14ac:dyDescent="0.25">
      <c r="A1748" t="s">
        <v>8</v>
      </c>
      <c r="B1748" t="s">
        <v>57</v>
      </c>
      <c r="C1748">
        <v>202401</v>
      </c>
      <c r="D1748" t="str">
        <f t="shared" si="27"/>
        <v>2024</v>
      </c>
      <c r="E1748">
        <v>401339</v>
      </c>
      <c r="F1748">
        <v>12619878</v>
      </c>
      <c r="G1748">
        <v>3.18</v>
      </c>
      <c r="H1748" t="s">
        <v>10</v>
      </c>
      <c r="I1748" t="s">
        <v>11</v>
      </c>
    </row>
    <row r="1749" spans="1:9" hidden="1" x14ac:dyDescent="0.25">
      <c r="A1749" t="s">
        <v>8</v>
      </c>
      <c r="B1749" t="s">
        <v>57</v>
      </c>
      <c r="C1749">
        <v>202402</v>
      </c>
      <c r="D1749" t="str">
        <f t="shared" si="27"/>
        <v>2024</v>
      </c>
      <c r="E1749">
        <v>438031</v>
      </c>
      <c r="F1749">
        <v>12619878</v>
      </c>
      <c r="G1749">
        <v>3.47</v>
      </c>
      <c r="H1749" t="s">
        <v>10</v>
      </c>
      <c r="I1749" t="s">
        <v>11</v>
      </c>
    </row>
    <row r="1750" spans="1:9" hidden="1" x14ac:dyDescent="0.25">
      <c r="A1750" t="s">
        <v>8</v>
      </c>
      <c r="B1750" t="s">
        <v>57</v>
      </c>
      <c r="C1750">
        <v>202403</v>
      </c>
      <c r="D1750" t="str">
        <f t="shared" si="27"/>
        <v>2024</v>
      </c>
      <c r="E1750">
        <v>457601</v>
      </c>
      <c r="F1750">
        <v>12619878</v>
      </c>
      <c r="G1750">
        <v>3.63</v>
      </c>
      <c r="H1750" t="s">
        <v>10</v>
      </c>
      <c r="I1750" t="s">
        <v>11</v>
      </c>
    </row>
    <row r="1751" spans="1:9" hidden="1" x14ac:dyDescent="0.25">
      <c r="A1751" t="s">
        <v>8</v>
      </c>
      <c r="B1751" t="s">
        <v>57</v>
      </c>
      <c r="C1751">
        <v>202404</v>
      </c>
      <c r="D1751" t="str">
        <f t="shared" si="27"/>
        <v>2024</v>
      </c>
      <c r="E1751">
        <v>475570</v>
      </c>
      <c r="F1751">
        <v>12619878</v>
      </c>
      <c r="G1751">
        <v>3.77</v>
      </c>
      <c r="H1751" t="s">
        <v>10</v>
      </c>
      <c r="I1751" t="s">
        <v>11</v>
      </c>
    </row>
    <row r="1752" spans="1:9" hidden="1" x14ac:dyDescent="0.25">
      <c r="A1752" t="s">
        <v>8</v>
      </c>
      <c r="B1752" t="s">
        <v>57</v>
      </c>
      <c r="C1752">
        <v>202405</v>
      </c>
      <c r="D1752" t="str">
        <f t="shared" si="27"/>
        <v>2024</v>
      </c>
      <c r="E1752">
        <v>439499</v>
      </c>
      <c r="F1752">
        <v>12619878</v>
      </c>
      <c r="G1752">
        <v>3.48</v>
      </c>
      <c r="H1752" t="s">
        <v>10</v>
      </c>
      <c r="I1752" t="s">
        <v>11</v>
      </c>
    </row>
    <row r="1753" spans="1:9" hidden="1" x14ac:dyDescent="0.25">
      <c r="A1753" t="s">
        <v>8</v>
      </c>
      <c r="B1753" t="s">
        <v>57</v>
      </c>
      <c r="C1753">
        <v>202406</v>
      </c>
      <c r="D1753" t="str">
        <f t="shared" si="27"/>
        <v>2024</v>
      </c>
      <c r="E1753">
        <v>413881</v>
      </c>
      <c r="F1753">
        <v>12619878</v>
      </c>
      <c r="G1753">
        <v>3.28</v>
      </c>
      <c r="H1753" t="s">
        <v>10</v>
      </c>
      <c r="I1753" t="s">
        <v>11</v>
      </c>
    </row>
    <row r="1754" spans="1:9" hidden="1" x14ac:dyDescent="0.25">
      <c r="A1754" t="s">
        <v>8</v>
      </c>
      <c r="B1754" t="s">
        <v>57</v>
      </c>
      <c r="C1754">
        <v>202407</v>
      </c>
      <c r="D1754" t="str">
        <f t="shared" si="27"/>
        <v>2024</v>
      </c>
      <c r="E1754">
        <v>430491</v>
      </c>
      <c r="F1754">
        <v>12619878</v>
      </c>
      <c r="G1754">
        <v>3.41</v>
      </c>
      <c r="H1754" t="s">
        <v>10</v>
      </c>
      <c r="I1754" t="s">
        <v>11</v>
      </c>
    </row>
    <row r="1755" spans="1:9" hidden="1" x14ac:dyDescent="0.25">
      <c r="A1755" t="s">
        <v>8</v>
      </c>
      <c r="B1755" t="s">
        <v>57</v>
      </c>
      <c r="C1755">
        <v>202408</v>
      </c>
      <c r="D1755" t="str">
        <f t="shared" si="27"/>
        <v>2024</v>
      </c>
      <c r="E1755">
        <v>440106</v>
      </c>
      <c r="F1755">
        <v>12619878</v>
      </c>
      <c r="G1755">
        <v>3.49</v>
      </c>
      <c r="H1755" t="s">
        <v>10</v>
      </c>
      <c r="I1755" t="s">
        <v>11</v>
      </c>
    </row>
    <row r="1756" spans="1:9" hidden="1" x14ac:dyDescent="0.25">
      <c r="A1756" t="s">
        <v>8</v>
      </c>
      <c r="B1756" t="s">
        <v>57</v>
      </c>
      <c r="C1756">
        <v>202409</v>
      </c>
      <c r="D1756" t="str">
        <f t="shared" si="27"/>
        <v>2024</v>
      </c>
      <c r="E1756">
        <v>463240</v>
      </c>
      <c r="F1756">
        <v>12619878</v>
      </c>
      <c r="G1756">
        <v>3.67</v>
      </c>
      <c r="H1756" t="s">
        <v>10</v>
      </c>
      <c r="I1756" t="s">
        <v>11</v>
      </c>
    </row>
    <row r="1757" spans="1:9" hidden="1" x14ac:dyDescent="0.25">
      <c r="A1757" t="s">
        <v>8</v>
      </c>
      <c r="B1757" t="s">
        <v>57</v>
      </c>
      <c r="C1757">
        <v>202410</v>
      </c>
      <c r="D1757" t="str">
        <f t="shared" si="27"/>
        <v>2024</v>
      </c>
      <c r="E1757">
        <v>569841</v>
      </c>
      <c r="F1757">
        <v>12619878</v>
      </c>
      <c r="G1757">
        <v>4.5199999999999996</v>
      </c>
      <c r="H1757" t="s">
        <v>10</v>
      </c>
      <c r="I1757" t="s">
        <v>11</v>
      </c>
    </row>
    <row r="1758" spans="1:9" hidden="1" x14ac:dyDescent="0.25">
      <c r="A1758" t="s">
        <v>8</v>
      </c>
      <c r="B1758" t="s">
        <v>57</v>
      </c>
      <c r="C1758">
        <v>202411</v>
      </c>
      <c r="D1758" t="str">
        <f t="shared" si="27"/>
        <v>2024</v>
      </c>
      <c r="E1758">
        <v>513544</v>
      </c>
      <c r="F1758">
        <v>12619878</v>
      </c>
      <c r="G1758">
        <v>4.07</v>
      </c>
      <c r="H1758" t="s">
        <v>10</v>
      </c>
      <c r="I1758" t="s">
        <v>11</v>
      </c>
    </row>
    <row r="1759" spans="1:9" hidden="1" x14ac:dyDescent="0.25">
      <c r="A1759" t="s">
        <v>8</v>
      </c>
      <c r="B1759" t="s">
        <v>57</v>
      </c>
      <c r="C1759">
        <v>202412</v>
      </c>
      <c r="D1759" t="str">
        <f t="shared" si="27"/>
        <v>2024</v>
      </c>
      <c r="E1759">
        <v>541599</v>
      </c>
      <c r="F1759">
        <v>12619878</v>
      </c>
      <c r="G1759">
        <v>4.29</v>
      </c>
      <c r="H1759" t="s">
        <v>10</v>
      </c>
      <c r="I1759" t="s">
        <v>11</v>
      </c>
    </row>
    <row r="1760" spans="1:9" x14ac:dyDescent="0.25">
      <c r="A1760" t="s">
        <v>8</v>
      </c>
      <c r="B1760" t="s">
        <v>57</v>
      </c>
      <c r="C1760">
        <v>202501</v>
      </c>
      <c r="D1760" t="str">
        <f t="shared" si="27"/>
        <v>2025</v>
      </c>
      <c r="E1760">
        <v>459368</v>
      </c>
      <c r="F1760">
        <v>12619878</v>
      </c>
      <c r="G1760">
        <v>3.64</v>
      </c>
      <c r="H1760" t="s">
        <v>10</v>
      </c>
      <c r="I1760" t="s">
        <v>11</v>
      </c>
    </row>
    <row r="1761" spans="1:9" x14ac:dyDescent="0.25">
      <c r="A1761" t="s">
        <v>8</v>
      </c>
      <c r="B1761" t="s">
        <v>57</v>
      </c>
      <c r="C1761">
        <v>202502</v>
      </c>
      <c r="D1761" t="str">
        <f t="shared" si="27"/>
        <v>2025</v>
      </c>
      <c r="E1761">
        <v>418695</v>
      </c>
      <c r="F1761">
        <v>12619878</v>
      </c>
      <c r="G1761">
        <v>3.32</v>
      </c>
      <c r="H1761" t="s">
        <v>10</v>
      </c>
      <c r="I1761" t="s">
        <v>11</v>
      </c>
    </row>
    <row r="1762" spans="1:9" x14ac:dyDescent="0.25">
      <c r="A1762" t="s">
        <v>8</v>
      </c>
      <c r="B1762" t="s">
        <v>57</v>
      </c>
      <c r="C1762">
        <v>202503</v>
      </c>
      <c r="D1762" t="str">
        <f t="shared" si="27"/>
        <v>2025</v>
      </c>
      <c r="E1762">
        <v>464893</v>
      </c>
      <c r="F1762">
        <v>12619878</v>
      </c>
      <c r="G1762">
        <v>3.68</v>
      </c>
      <c r="H1762" t="s">
        <v>10</v>
      </c>
      <c r="I1762" t="s">
        <v>11</v>
      </c>
    </row>
    <row r="1763" spans="1:9" x14ac:dyDescent="0.25">
      <c r="A1763" t="s">
        <v>8</v>
      </c>
      <c r="B1763" t="s">
        <v>57</v>
      </c>
      <c r="C1763">
        <v>202504</v>
      </c>
      <c r="D1763" t="str">
        <f t="shared" si="27"/>
        <v>2025</v>
      </c>
      <c r="E1763">
        <v>410919</v>
      </c>
      <c r="F1763">
        <v>12619878</v>
      </c>
      <c r="G1763">
        <v>3.26</v>
      </c>
      <c r="H1763" t="s">
        <v>10</v>
      </c>
      <c r="I1763" t="s">
        <v>11</v>
      </c>
    </row>
    <row r="1764" spans="1:9" x14ac:dyDescent="0.25">
      <c r="A1764" t="s">
        <v>8</v>
      </c>
      <c r="B1764" t="s">
        <v>57</v>
      </c>
      <c r="C1764">
        <v>202505</v>
      </c>
      <c r="D1764" t="str">
        <f t="shared" si="27"/>
        <v>2025</v>
      </c>
      <c r="E1764">
        <v>384007</v>
      </c>
      <c r="F1764">
        <v>12619878</v>
      </c>
      <c r="G1764">
        <v>3.04</v>
      </c>
      <c r="H1764" t="s">
        <v>10</v>
      </c>
      <c r="I1764" t="s">
        <v>11</v>
      </c>
    </row>
    <row r="1765" spans="1:9" x14ac:dyDescent="0.25">
      <c r="A1765" t="s">
        <v>8</v>
      </c>
      <c r="B1765" t="s">
        <v>57</v>
      </c>
      <c r="C1765">
        <v>202506</v>
      </c>
      <c r="D1765" t="str">
        <f t="shared" si="27"/>
        <v>2025</v>
      </c>
      <c r="E1765">
        <v>334192</v>
      </c>
      <c r="F1765">
        <v>12619878</v>
      </c>
      <c r="G1765">
        <v>2.65</v>
      </c>
      <c r="H1765" t="s">
        <v>10</v>
      </c>
      <c r="I1765" t="s">
        <v>11</v>
      </c>
    </row>
    <row r="1766" spans="1:9" x14ac:dyDescent="0.25">
      <c r="A1766" t="s">
        <v>8</v>
      </c>
      <c r="B1766" t="s">
        <v>57</v>
      </c>
      <c r="C1766">
        <v>202507</v>
      </c>
      <c r="D1766" t="str">
        <f t="shared" si="27"/>
        <v>2025</v>
      </c>
      <c r="E1766">
        <v>49460</v>
      </c>
      <c r="F1766">
        <v>12619878</v>
      </c>
      <c r="G1766">
        <v>0.39</v>
      </c>
      <c r="H1766" t="s">
        <v>10</v>
      </c>
      <c r="I1766" t="s">
        <v>11</v>
      </c>
    </row>
    <row r="1767" spans="1:9" hidden="1" x14ac:dyDescent="0.25">
      <c r="A1767" t="s">
        <v>8</v>
      </c>
      <c r="B1767" t="s">
        <v>62</v>
      </c>
      <c r="C1767">
        <v>201807</v>
      </c>
      <c r="D1767" t="str">
        <f t="shared" si="27"/>
        <v>2018</v>
      </c>
      <c r="E1767">
        <v>6</v>
      </c>
      <c r="F1767">
        <v>13041229</v>
      </c>
      <c r="G1767">
        <v>0</v>
      </c>
      <c r="H1767" t="s">
        <v>10</v>
      </c>
      <c r="I1767" t="s">
        <v>11</v>
      </c>
    </row>
    <row r="1768" spans="1:9" hidden="1" x14ac:dyDescent="0.25">
      <c r="A1768" t="s">
        <v>8</v>
      </c>
      <c r="B1768" t="s">
        <v>62</v>
      </c>
      <c r="C1768">
        <v>201808</v>
      </c>
      <c r="D1768" t="str">
        <f t="shared" si="27"/>
        <v>2018</v>
      </c>
      <c r="E1768">
        <v>17</v>
      </c>
      <c r="F1768">
        <v>13041229</v>
      </c>
      <c r="G1768">
        <v>0</v>
      </c>
      <c r="H1768" t="s">
        <v>10</v>
      </c>
      <c r="I1768" t="s">
        <v>11</v>
      </c>
    </row>
    <row r="1769" spans="1:9" hidden="1" x14ac:dyDescent="0.25">
      <c r="A1769" t="s">
        <v>8</v>
      </c>
      <c r="B1769" t="s">
        <v>62</v>
      </c>
      <c r="C1769">
        <v>201901</v>
      </c>
      <c r="D1769" t="str">
        <f t="shared" si="27"/>
        <v>2019</v>
      </c>
      <c r="E1769">
        <v>137</v>
      </c>
      <c r="F1769">
        <v>13041229</v>
      </c>
      <c r="G1769">
        <v>0</v>
      </c>
      <c r="H1769" t="s">
        <v>10</v>
      </c>
      <c r="I1769" t="s">
        <v>11</v>
      </c>
    </row>
    <row r="1770" spans="1:9" hidden="1" x14ac:dyDescent="0.25">
      <c r="A1770" t="s">
        <v>8</v>
      </c>
      <c r="B1770" t="s">
        <v>62</v>
      </c>
      <c r="C1770">
        <v>201902</v>
      </c>
      <c r="D1770" t="str">
        <f t="shared" si="27"/>
        <v>2019</v>
      </c>
      <c r="E1770">
        <v>103</v>
      </c>
      <c r="F1770">
        <v>13041229</v>
      </c>
      <c r="G1770">
        <v>0</v>
      </c>
      <c r="H1770" t="s">
        <v>10</v>
      </c>
      <c r="I1770" t="s">
        <v>11</v>
      </c>
    </row>
    <row r="1771" spans="1:9" hidden="1" x14ac:dyDescent="0.25">
      <c r="A1771" t="s">
        <v>8</v>
      </c>
      <c r="B1771" t="s">
        <v>62</v>
      </c>
      <c r="C1771">
        <v>201903</v>
      </c>
      <c r="D1771" t="str">
        <f t="shared" si="27"/>
        <v>2019</v>
      </c>
      <c r="E1771">
        <v>198</v>
      </c>
      <c r="F1771">
        <v>13041229</v>
      </c>
      <c r="G1771">
        <v>0</v>
      </c>
      <c r="H1771" t="s">
        <v>10</v>
      </c>
      <c r="I1771" t="s">
        <v>11</v>
      </c>
    </row>
    <row r="1772" spans="1:9" hidden="1" x14ac:dyDescent="0.25">
      <c r="A1772" t="s">
        <v>8</v>
      </c>
      <c r="B1772" t="s">
        <v>62</v>
      </c>
      <c r="C1772">
        <v>201904</v>
      </c>
      <c r="D1772" t="str">
        <f t="shared" si="27"/>
        <v>2019</v>
      </c>
      <c r="E1772">
        <v>242</v>
      </c>
      <c r="F1772">
        <v>13041229</v>
      </c>
      <c r="G1772">
        <v>0</v>
      </c>
      <c r="H1772" t="s">
        <v>10</v>
      </c>
      <c r="I1772" t="s">
        <v>11</v>
      </c>
    </row>
    <row r="1773" spans="1:9" hidden="1" x14ac:dyDescent="0.25">
      <c r="A1773" t="s">
        <v>8</v>
      </c>
      <c r="B1773" t="s">
        <v>62</v>
      </c>
      <c r="C1773">
        <v>201905</v>
      </c>
      <c r="D1773" t="str">
        <f t="shared" si="27"/>
        <v>2019</v>
      </c>
      <c r="E1773">
        <v>270</v>
      </c>
      <c r="F1773">
        <v>13041229</v>
      </c>
      <c r="G1773">
        <v>0</v>
      </c>
      <c r="H1773" t="s">
        <v>10</v>
      </c>
      <c r="I1773" t="s">
        <v>11</v>
      </c>
    </row>
    <row r="1774" spans="1:9" hidden="1" x14ac:dyDescent="0.25">
      <c r="A1774" t="s">
        <v>8</v>
      </c>
      <c r="B1774" t="s">
        <v>62</v>
      </c>
      <c r="C1774">
        <v>201906</v>
      </c>
      <c r="D1774" t="str">
        <f t="shared" si="27"/>
        <v>2019</v>
      </c>
      <c r="E1774">
        <v>414</v>
      </c>
      <c r="F1774">
        <v>13041229</v>
      </c>
      <c r="G1774">
        <v>0</v>
      </c>
      <c r="H1774" t="s">
        <v>10</v>
      </c>
      <c r="I1774" t="s">
        <v>11</v>
      </c>
    </row>
    <row r="1775" spans="1:9" hidden="1" x14ac:dyDescent="0.25">
      <c r="A1775" t="s">
        <v>8</v>
      </c>
      <c r="B1775" t="s">
        <v>62</v>
      </c>
      <c r="C1775">
        <v>201907</v>
      </c>
      <c r="D1775" t="str">
        <f t="shared" si="27"/>
        <v>2019</v>
      </c>
      <c r="E1775">
        <v>218</v>
      </c>
      <c r="F1775">
        <v>13041229</v>
      </c>
      <c r="G1775">
        <v>0</v>
      </c>
      <c r="H1775" t="s">
        <v>10</v>
      </c>
      <c r="I1775" t="s">
        <v>11</v>
      </c>
    </row>
    <row r="1776" spans="1:9" hidden="1" x14ac:dyDescent="0.25">
      <c r="A1776" t="s">
        <v>8</v>
      </c>
      <c r="B1776" t="s">
        <v>62</v>
      </c>
      <c r="C1776">
        <v>201908</v>
      </c>
      <c r="D1776" t="str">
        <f t="shared" si="27"/>
        <v>2019</v>
      </c>
      <c r="E1776">
        <v>113</v>
      </c>
      <c r="F1776">
        <v>13041229</v>
      </c>
      <c r="G1776">
        <v>0</v>
      </c>
      <c r="H1776" t="s">
        <v>10</v>
      </c>
      <c r="I1776" t="s">
        <v>11</v>
      </c>
    </row>
    <row r="1777" spans="1:9" hidden="1" x14ac:dyDescent="0.25">
      <c r="A1777" t="s">
        <v>8</v>
      </c>
      <c r="B1777" t="s">
        <v>62</v>
      </c>
      <c r="C1777">
        <v>201909</v>
      </c>
      <c r="D1777" t="str">
        <f t="shared" si="27"/>
        <v>2019</v>
      </c>
      <c r="E1777">
        <v>123</v>
      </c>
      <c r="F1777">
        <v>13041229</v>
      </c>
      <c r="G1777">
        <v>0</v>
      </c>
      <c r="H1777" t="s">
        <v>10</v>
      </c>
      <c r="I1777" t="s">
        <v>11</v>
      </c>
    </row>
    <row r="1778" spans="1:9" hidden="1" x14ac:dyDescent="0.25">
      <c r="A1778" t="s">
        <v>8</v>
      </c>
      <c r="B1778" t="s">
        <v>62</v>
      </c>
      <c r="C1778">
        <v>201910</v>
      </c>
      <c r="D1778" t="str">
        <f t="shared" si="27"/>
        <v>2019</v>
      </c>
      <c r="E1778">
        <v>153</v>
      </c>
      <c r="F1778">
        <v>13041229</v>
      </c>
      <c r="G1778">
        <v>0</v>
      </c>
      <c r="H1778" t="s">
        <v>10</v>
      </c>
      <c r="I1778" t="s">
        <v>11</v>
      </c>
    </row>
    <row r="1779" spans="1:9" hidden="1" x14ac:dyDescent="0.25">
      <c r="A1779" t="s">
        <v>8</v>
      </c>
      <c r="B1779" t="s">
        <v>62</v>
      </c>
      <c r="C1779">
        <v>201911</v>
      </c>
      <c r="D1779" t="str">
        <f t="shared" si="27"/>
        <v>2019</v>
      </c>
      <c r="E1779">
        <v>99</v>
      </c>
      <c r="F1779">
        <v>13041229</v>
      </c>
      <c r="G1779">
        <v>0</v>
      </c>
      <c r="H1779" t="s">
        <v>10</v>
      </c>
      <c r="I1779" t="s">
        <v>11</v>
      </c>
    </row>
    <row r="1780" spans="1:9" hidden="1" x14ac:dyDescent="0.25">
      <c r="A1780" t="s">
        <v>8</v>
      </c>
      <c r="B1780" t="s">
        <v>62</v>
      </c>
      <c r="C1780">
        <v>201912</v>
      </c>
      <c r="D1780" t="str">
        <f t="shared" si="27"/>
        <v>2019</v>
      </c>
      <c r="E1780">
        <v>14</v>
      </c>
      <c r="F1780">
        <v>13041229</v>
      </c>
      <c r="G1780">
        <v>0</v>
      </c>
      <c r="H1780" t="s">
        <v>10</v>
      </c>
      <c r="I1780" t="s">
        <v>11</v>
      </c>
    </row>
    <row r="1781" spans="1:9" hidden="1" x14ac:dyDescent="0.25">
      <c r="A1781" t="s">
        <v>8</v>
      </c>
      <c r="B1781" t="s">
        <v>62</v>
      </c>
      <c r="C1781">
        <v>202001</v>
      </c>
      <c r="D1781" t="str">
        <f t="shared" si="27"/>
        <v>2020</v>
      </c>
      <c r="E1781">
        <v>686</v>
      </c>
      <c r="F1781">
        <v>13041229</v>
      </c>
      <c r="G1781">
        <v>0.01</v>
      </c>
      <c r="H1781" t="s">
        <v>10</v>
      </c>
      <c r="I1781" t="s">
        <v>11</v>
      </c>
    </row>
    <row r="1782" spans="1:9" hidden="1" x14ac:dyDescent="0.25">
      <c r="A1782" t="s">
        <v>8</v>
      </c>
      <c r="B1782" t="s">
        <v>62</v>
      </c>
      <c r="C1782">
        <v>202002</v>
      </c>
      <c r="D1782" t="str">
        <f t="shared" si="27"/>
        <v>2020</v>
      </c>
      <c r="E1782">
        <v>362</v>
      </c>
      <c r="F1782">
        <v>13041229</v>
      </c>
      <c r="G1782">
        <v>0</v>
      </c>
      <c r="H1782" t="s">
        <v>10</v>
      </c>
      <c r="I1782" t="s">
        <v>11</v>
      </c>
    </row>
    <row r="1783" spans="1:9" hidden="1" x14ac:dyDescent="0.25">
      <c r="A1783" t="s">
        <v>8</v>
      </c>
      <c r="B1783" t="s">
        <v>62</v>
      </c>
      <c r="C1783">
        <v>202003</v>
      </c>
      <c r="D1783" t="str">
        <f t="shared" si="27"/>
        <v>2020</v>
      </c>
      <c r="E1783">
        <v>449</v>
      </c>
      <c r="F1783">
        <v>13041229</v>
      </c>
      <c r="G1783">
        <v>0</v>
      </c>
      <c r="H1783" t="s">
        <v>10</v>
      </c>
      <c r="I1783" t="s">
        <v>11</v>
      </c>
    </row>
    <row r="1784" spans="1:9" hidden="1" x14ac:dyDescent="0.25">
      <c r="A1784" t="s">
        <v>8</v>
      </c>
      <c r="B1784" t="s">
        <v>62</v>
      </c>
      <c r="C1784">
        <v>202004</v>
      </c>
      <c r="D1784" t="str">
        <f t="shared" si="27"/>
        <v>2020</v>
      </c>
      <c r="E1784">
        <v>393</v>
      </c>
      <c r="F1784">
        <v>13041229</v>
      </c>
      <c r="G1784">
        <v>0</v>
      </c>
      <c r="H1784" t="s">
        <v>10</v>
      </c>
      <c r="I1784" t="s">
        <v>11</v>
      </c>
    </row>
    <row r="1785" spans="1:9" hidden="1" x14ac:dyDescent="0.25">
      <c r="A1785" t="s">
        <v>8</v>
      </c>
      <c r="B1785" t="s">
        <v>62</v>
      </c>
      <c r="C1785">
        <v>202005</v>
      </c>
      <c r="D1785" t="str">
        <f t="shared" si="27"/>
        <v>2020</v>
      </c>
      <c r="E1785">
        <v>553</v>
      </c>
      <c r="F1785">
        <v>13041229</v>
      </c>
      <c r="G1785">
        <v>0</v>
      </c>
      <c r="H1785" t="s">
        <v>10</v>
      </c>
      <c r="I1785" t="s">
        <v>11</v>
      </c>
    </row>
    <row r="1786" spans="1:9" hidden="1" x14ac:dyDescent="0.25">
      <c r="A1786" t="s">
        <v>8</v>
      </c>
      <c r="B1786" t="s">
        <v>62</v>
      </c>
      <c r="C1786">
        <v>202006</v>
      </c>
      <c r="D1786" t="str">
        <f t="shared" si="27"/>
        <v>2020</v>
      </c>
      <c r="E1786">
        <v>757</v>
      </c>
      <c r="F1786">
        <v>13041229</v>
      </c>
      <c r="G1786">
        <v>0.01</v>
      </c>
      <c r="H1786" t="s">
        <v>10</v>
      </c>
      <c r="I1786" t="s">
        <v>11</v>
      </c>
    </row>
    <row r="1787" spans="1:9" hidden="1" x14ac:dyDescent="0.25">
      <c r="A1787" t="s">
        <v>8</v>
      </c>
      <c r="B1787" t="s">
        <v>62</v>
      </c>
      <c r="C1787">
        <v>202007</v>
      </c>
      <c r="D1787" t="str">
        <f t="shared" si="27"/>
        <v>2020</v>
      </c>
      <c r="E1787">
        <v>668</v>
      </c>
      <c r="F1787">
        <v>13041229</v>
      </c>
      <c r="G1787">
        <v>0.01</v>
      </c>
      <c r="H1787" t="s">
        <v>10</v>
      </c>
      <c r="I1787" t="s">
        <v>11</v>
      </c>
    </row>
    <row r="1788" spans="1:9" hidden="1" x14ac:dyDescent="0.25">
      <c r="A1788" t="s">
        <v>8</v>
      </c>
      <c r="B1788" t="s">
        <v>62</v>
      </c>
      <c r="C1788">
        <v>202008</v>
      </c>
      <c r="D1788" t="str">
        <f t="shared" si="27"/>
        <v>2020</v>
      </c>
      <c r="E1788">
        <v>772</v>
      </c>
      <c r="F1788">
        <v>13041229</v>
      </c>
      <c r="G1788">
        <v>0.01</v>
      </c>
      <c r="H1788" t="s">
        <v>10</v>
      </c>
      <c r="I1788" t="s">
        <v>11</v>
      </c>
    </row>
    <row r="1789" spans="1:9" hidden="1" x14ac:dyDescent="0.25">
      <c r="A1789" t="s">
        <v>8</v>
      </c>
      <c r="B1789" t="s">
        <v>62</v>
      </c>
      <c r="C1789">
        <v>202009</v>
      </c>
      <c r="D1789" t="str">
        <f t="shared" si="27"/>
        <v>2020</v>
      </c>
      <c r="E1789">
        <v>712</v>
      </c>
      <c r="F1789">
        <v>13041229</v>
      </c>
      <c r="G1789">
        <v>0.01</v>
      </c>
      <c r="H1789" t="s">
        <v>10</v>
      </c>
      <c r="I1789" t="s">
        <v>11</v>
      </c>
    </row>
    <row r="1790" spans="1:9" hidden="1" x14ac:dyDescent="0.25">
      <c r="A1790" t="s">
        <v>8</v>
      </c>
      <c r="B1790" t="s">
        <v>62</v>
      </c>
      <c r="C1790">
        <v>202010</v>
      </c>
      <c r="D1790" t="str">
        <f t="shared" si="27"/>
        <v>2020</v>
      </c>
      <c r="E1790">
        <v>618</v>
      </c>
      <c r="F1790">
        <v>13041229</v>
      </c>
      <c r="G1790">
        <v>0</v>
      </c>
      <c r="H1790" t="s">
        <v>10</v>
      </c>
      <c r="I1790" t="s">
        <v>11</v>
      </c>
    </row>
    <row r="1791" spans="1:9" hidden="1" x14ac:dyDescent="0.25">
      <c r="A1791" t="s">
        <v>8</v>
      </c>
      <c r="B1791" t="s">
        <v>62</v>
      </c>
      <c r="C1791">
        <v>202011</v>
      </c>
      <c r="D1791" t="str">
        <f t="shared" si="27"/>
        <v>2020</v>
      </c>
      <c r="E1791">
        <v>686</v>
      </c>
      <c r="F1791">
        <v>13041229</v>
      </c>
      <c r="G1791">
        <v>0.01</v>
      </c>
      <c r="H1791" t="s">
        <v>10</v>
      </c>
      <c r="I1791" t="s">
        <v>11</v>
      </c>
    </row>
    <row r="1792" spans="1:9" hidden="1" x14ac:dyDescent="0.25">
      <c r="A1792" t="s">
        <v>8</v>
      </c>
      <c r="B1792" t="s">
        <v>62</v>
      </c>
      <c r="C1792">
        <v>202012</v>
      </c>
      <c r="D1792" t="str">
        <f t="shared" si="27"/>
        <v>2020</v>
      </c>
      <c r="E1792">
        <v>914</v>
      </c>
      <c r="F1792">
        <v>13041229</v>
      </c>
      <c r="G1792">
        <v>0.01</v>
      </c>
      <c r="H1792" t="s">
        <v>10</v>
      </c>
      <c r="I1792" t="s">
        <v>11</v>
      </c>
    </row>
    <row r="1793" spans="1:9" hidden="1" x14ac:dyDescent="0.25">
      <c r="A1793" t="s">
        <v>8</v>
      </c>
      <c r="B1793" t="s">
        <v>62</v>
      </c>
      <c r="C1793">
        <v>202101</v>
      </c>
      <c r="D1793" t="str">
        <f t="shared" si="27"/>
        <v>2021</v>
      </c>
      <c r="E1793">
        <v>16325</v>
      </c>
      <c r="F1793">
        <v>13041229</v>
      </c>
      <c r="G1793">
        <v>0.13</v>
      </c>
      <c r="H1793" t="s">
        <v>10</v>
      </c>
      <c r="I1793" t="s">
        <v>11</v>
      </c>
    </row>
    <row r="1794" spans="1:9" hidden="1" x14ac:dyDescent="0.25">
      <c r="A1794" t="s">
        <v>8</v>
      </c>
      <c r="B1794" t="s">
        <v>62</v>
      </c>
      <c r="C1794">
        <v>202102</v>
      </c>
      <c r="D1794" t="str">
        <f t="shared" si="27"/>
        <v>2021</v>
      </c>
      <c r="E1794">
        <v>15707</v>
      </c>
      <c r="F1794">
        <v>13041229</v>
      </c>
      <c r="G1794">
        <v>0.12</v>
      </c>
      <c r="H1794" t="s">
        <v>10</v>
      </c>
      <c r="I1794" t="s">
        <v>11</v>
      </c>
    </row>
    <row r="1795" spans="1:9" hidden="1" x14ac:dyDescent="0.25">
      <c r="A1795" t="s">
        <v>8</v>
      </c>
      <c r="B1795" t="s">
        <v>62</v>
      </c>
      <c r="C1795">
        <v>202103</v>
      </c>
      <c r="D1795" t="str">
        <f t="shared" ref="D1795:D1858" si="28">LEFT(C1795,4)</f>
        <v>2021</v>
      </c>
      <c r="E1795">
        <v>19690</v>
      </c>
      <c r="F1795">
        <v>13041229</v>
      </c>
      <c r="G1795">
        <v>0.15</v>
      </c>
      <c r="H1795" t="s">
        <v>10</v>
      </c>
      <c r="I1795" t="s">
        <v>11</v>
      </c>
    </row>
    <row r="1796" spans="1:9" hidden="1" x14ac:dyDescent="0.25">
      <c r="A1796" t="s">
        <v>8</v>
      </c>
      <c r="B1796" t="s">
        <v>62</v>
      </c>
      <c r="C1796">
        <v>202104</v>
      </c>
      <c r="D1796" t="str">
        <f t="shared" si="28"/>
        <v>2021</v>
      </c>
      <c r="E1796">
        <v>18946</v>
      </c>
      <c r="F1796">
        <v>13041229</v>
      </c>
      <c r="G1796">
        <v>0.15</v>
      </c>
      <c r="H1796" t="s">
        <v>10</v>
      </c>
      <c r="I1796" t="s">
        <v>11</v>
      </c>
    </row>
    <row r="1797" spans="1:9" hidden="1" x14ac:dyDescent="0.25">
      <c r="A1797" t="s">
        <v>8</v>
      </c>
      <c r="B1797" t="s">
        <v>62</v>
      </c>
      <c r="C1797">
        <v>202105</v>
      </c>
      <c r="D1797" t="str">
        <f t="shared" si="28"/>
        <v>2021</v>
      </c>
      <c r="E1797">
        <v>18022</v>
      </c>
      <c r="F1797">
        <v>13041229</v>
      </c>
      <c r="G1797">
        <v>0.14000000000000001</v>
      </c>
      <c r="H1797" t="s">
        <v>10</v>
      </c>
      <c r="I1797" t="s">
        <v>11</v>
      </c>
    </row>
    <row r="1798" spans="1:9" hidden="1" x14ac:dyDescent="0.25">
      <c r="A1798" t="s">
        <v>8</v>
      </c>
      <c r="B1798" t="s">
        <v>62</v>
      </c>
      <c r="C1798">
        <v>202106</v>
      </c>
      <c r="D1798" t="str">
        <f t="shared" si="28"/>
        <v>2021</v>
      </c>
      <c r="E1798">
        <v>20569</v>
      </c>
      <c r="F1798">
        <v>13041229</v>
      </c>
      <c r="G1798">
        <v>0.16</v>
      </c>
      <c r="H1798" t="s">
        <v>10</v>
      </c>
      <c r="I1798" t="s">
        <v>11</v>
      </c>
    </row>
    <row r="1799" spans="1:9" hidden="1" x14ac:dyDescent="0.25">
      <c r="A1799" t="s">
        <v>8</v>
      </c>
      <c r="B1799" t="s">
        <v>62</v>
      </c>
      <c r="C1799">
        <v>202107</v>
      </c>
      <c r="D1799" t="str">
        <f t="shared" si="28"/>
        <v>2021</v>
      </c>
      <c r="E1799">
        <v>53664</v>
      </c>
      <c r="F1799">
        <v>13041229</v>
      </c>
      <c r="G1799">
        <v>0.41</v>
      </c>
      <c r="H1799" t="s">
        <v>10</v>
      </c>
      <c r="I1799" t="s">
        <v>11</v>
      </c>
    </row>
    <row r="1800" spans="1:9" hidden="1" x14ac:dyDescent="0.25">
      <c r="A1800" t="s">
        <v>8</v>
      </c>
      <c r="B1800" t="s">
        <v>62</v>
      </c>
      <c r="C1800">
        <v>202108</v>
      </c>
      <c r="D1800" t="str">
        <f t="shared" si="28"/>
        <v>2021</v>
      </c>
      <c r="E1800">
        <v>59003</v>
      </c>
      <c r="F1800">
        <v>13041229</v>
      </c>
      <c r="G1800">
        <v>0.45</v>
      </c>
      <c r="H1800" t="s">
        <v>10</v>
      </c>
      <c r="I1800" t="s">
        <v>11</v>
      </c>
    </row>
    <row r="1801" spans="1:9" hidden="1" x14ac:dyDescent="0.25">
      <c r="A1801" t="s">
        <v>8</v>
      </c>
      <c r="B1801" t="s">
        <v>62</v>
      </c>
      <c r="C1801">
        <v>202109</v>
      </c>
      <c r="D1801" t="str">
        <f t="shared" si="28"/>
        <v>2021</v>
      </c>
      <c r="E1801">
        <v>63652</v>
      </c>
      <c r="F1801">
        <v>13041229</v>
      </c>
      <c r="G1801">
        <v>0.49</v>
      </c>
      <c r="H1801" t="s">
        <v>10</v>
      </c>
      <c r="I1801" t="s">
        <v>11</v>
      </c>
    </row>
    <row r="1802" spans="1:9" hidden="1" x14ac:dyDescent="0.25">
      <c r="A1802" t="s">
        <v>8</v>
      </c>
      <c r="B1802" t="s">
        <v>62</v>
      </c>
      <c r="C1802">
        <v>202110</v>
      </c>
      <c r="D1802" t="str">
        <f t="shared" si="28"/>
        <v>2021</v>
      </c>
      <c r="E1802">
        <v>62367</v>
      </c>
      <c r="F1802">
        <v>13041229</v>
      </c>
      <c r="G1802">
        <v>0.48</v>
      </c>
      <c r="H1802" t="s">
        <v>10</v>
      </c>
      <c r="I1802" t="s">
        <v>11</v>
      </c>
    </row>
    <row r="1803" spans="1:9" hidden="1" x14ac:dyDescent="0.25">
      <c r="A1803" t="s">
        <v>8</v>
      </c>
      <c r="B1803" t="s">
        <v>62</v>
      </c>
      <c r="C1803">
        <v>202111</v>
      </c>
      <c r="D1803" t="str">
        <f t="shared" si="28"/>
        <v>2021</v>
      </c>
      <c r="E1803">
        <v>64605</v>
      </c>
      <c r="F1803">
        <v>13041229</v>
      </c>
      <c r="G1803">
        <v>0.5</v>
      </c>
      <c r="H1803" t="s">
        <v>10</v>
      </c>
      <c r="I1803" t="s">
        <v>11</v>
      </c>
    </row>
    <row r="1804" spans="1:9" hidden="1" x14ac:dyDescent="0.25">
      <c r="A1804" t="s">
        <v>8</v>
      </c>
      <c r="B1804" t="s">
        <v>62</v>
      </c>
      <c r="C1804">
        <v>202112</v>
      </c>
      <c r="D1804" t="str">
        <f t="shared" si="28"/>
        <v>2021</v>
      </c>
      <c r="E1804">
        <v>65119</v>
      </c>
      <c r="F1804">
        <v>13041229</v>
      </c>
      <c r="G1804">
        <v>0.5</v>
      </c>
      <c r="H1804" t="s">
        <v>10</v>
      </c>
      <c r="I1804" t="s">
        <v>11</v>
      </c>
    </row>
    <row r="1805" spans="1:9" hidden="1" x14ac:dyDescent="0.25">
      <c r="A1805" t="s">
        <v>8</v>
      </c>
      <c r="B1805" t="s">
        <v>62</v>
      </c>
      <c r="C1805">
        <v>202201</v>
      </c>
      <c r="D1805" t="str">
        <f t="shared" si="28"/>
        <v>2022</v>
      </c>
      <c r="E1805">
        <v>52236</v>
      </c>
      <c r="F1805">
        <v>13041229</v>
      </c>
      <c r="G1805">
        <v>0.4</v>
      </c>
      <c r="H1805" t="s">
        <v>10</v>
      </c>
      <c r="I1805" t="s">
        <v>11</v>
      </c>
    </row>
    <row r="1806" spans="1:9" hidden="1" x14ac:dyDescent="0.25">
      <c r="A1806" t="s">
        <v>8</v>
      </c>
      <c r="B1806" t="s">
        <v>62</v>
      </c>
      <c r="C1806">
        <v>202202</v>
      </c>
      <c r="D1806" t="str">
        <f t="shared" si="28"/>
        <v>2022</v>
      </c>
      <c r="E1806">
        <v>42060</v>
      </c>
      <c r="F1806">
        <v>13041229</v>
      </c>
      <c r="G1806">
        <v>0.32</v>
      </c>
      <c r="H1806" t="s">
        <v>10</v>
      </c>
      <c r="I1806" t="s">
        <v>11</v>
      </c>
    </row>
    <row r="1807" spans="1:9" hidden="1" x14ac:dyDescent="0.25">
      <c r="A1807" t="s">
        <v>8</v>
      </c>
      <c r="B1807" t="s">
        <v>62</v>
      </c>
      <c r="C1807">
        <v>202203</v>
      </c>
      <c r="D1807" t="str">
        <f t="shared" si="28"/>
        <v>2022</v>
      </c>
      <c r="E1807">
        <v>47678</v>
      </c>
      <c r="F1807">
        <v>13041229</v>
      </c>
      <c r="G1807">
        <v>0.37</v>
      </c>
      <c r="H1807" t="s">
        <v>10</v>
      </c>
      <c r="I1807" t="s">
        <v>11</v>
      </c>
    </row>
    <row r="1808" spans="1:9" hidden="1" x14ac:dyDescent="0.25">
      <c r="A1808" t="s">
        <v>8</v>
      </c>
      <c r="B1808" t="s">
        <v>62</v>
      </c>
      <c r="C1808">
        <v>202204</v>
      </c>
      <c r="D1808" t="str">
        <f t="shared" si="28"/>
        <v>2022</v>
      </c>
      <c r="E1808">
        <v>45037</v>
      </c>
      <c r="F1808">
        <v>13041229</v>
      </c>
      <c r="G1808">
        <v>0.35</v>
      </c>
      <c r="H1808" t="s">
        <v>10</v>
      </c>
      <c r="I1808" t="s">
        <v>11</v>
      </c>
    </row>
    <row r="1809" spans="1:9" hidden="1" x14ac:dyDescent="0.25">
      <c r="A1809" t="s">
        <v>8</v>
      </c>
      <c r="B1809" t="s">
        <v>62</v>
      </c>
      <c r="C1809">
        <v>202205</v>
      </c>
      <c r="D1809" t="str">
        <f t="shared" si="28"/>
        <v>2022</v>
      </c>
      <c r="E1809">
        <v>50814</v>
      </c>
      <c r="F1809">
        <v>13041229</v>
      </c>
      <c r="G1809">
        <v>0.39</v>
      </c>
      <c r="H1809" t="s">
        <v>10</v>
      </c>
      <c r="I1809" t="s">
        <v>11</v>
      </c>
    </row>
    <row r="1810" spans="1:9" hidden="1" x14ac:dyDescent="0.25">
      <c r="A1810" t="s">
        <v>8</v>
      </c>
      <c r="B1810" t="s">
        <v>62</v>
      </c>
      <c r="C1810">
        <v>202206</v>
      </c>
      <c r="D1810" t="str">
        <f t="shared" si="28"/>
        <v>2022</v>
      </c>
      <c r="E1810">
        <v>48583</v>
      </c>
      <c r="F1810">
        <v>13041229</v>
      </c>
      <c r="G1810">
        <v>0.37</v>
      </c>
      <c r="H1810" t="s">
        <v>10</v>
      </c>
      <c r="I1810" t="s">
        <v>11</v>
      </c>
    </row>
    <row r="1811" spans="1:9" hidden="1" x14ac:dyDescent="0.25">
      <c r="A1811" t="s">
        <v>8</v>
      </c>
      <c r="B1811" t="s">
        <v>62</v>
      </c>
      <c r="C1811">
        <v>202207</v>
      </c>
      <c r="D1811" t="str">
        <f t="shared" si="28"/>
        <v>2022</v>
      </c>
      <c r="E1811">
        <v>48423</v>
      </c>
      <c r="F1811">
        <v>13041229</v>
      </c>
      <c r="G1811">
        <v>0.37</v>
      </c>
      <c r="H1811" t="s">
        <v>10</v>
      </c>
      <c r="I1811" t="s">
        <v>11</v>
      </c>
    </row>
    <row r="1812" spans="1:9" hidden="1" x14ac:dyDescent="0.25">
      <c r="A1812" t="s">
        <v>8</v>
      </c>
      <c r="B1812" t="s">
        <v>62</v>
      </c>
      <c r="C1812">
        <v>202208</v>
      </c>
      <c r="D1812" t="str">
        <f t="shared" si="28"/>
        <v>2022</v>
      </c>
      <c r="E1812">
        <v>54460</v>
      </c>
      <c r="F1812">
        <v>13041229</v>
      </c>
      <c r="G1812">
        <v>0.42</v>
      </c>
      <c r="H1812" t="s">
        <v>10</v>
      </c>
      <c r="I1812" t="s">
        <v>11</v>
      </c>
    </row>
    <row r="1813" spans="1:9" hidden="1" x14ac:dyDescent="0.25">
      <c r="A1813" t="s">
        <v>8</v>
      </c>
      <c r="B1813" t="s">
        <v>62</v>
      </c>
      <c r="C1813">
        <v>202209</v>
      </c>
      <c r="D1813" t="str">
        <f t="shared" si="28"/>
        <v>2022</v>
      </c>
      <c r="E1813">
        <v>70001</v>
      </c>
      <c r="F1813">
        <v>13041229</v>
      </c>
      <c r="G1813">
        <v>0.54</v>
      </c>
      <c r="H1813" t="s">
        <v>10</v>
      </c>
      <c r="I1813" t="s">
        <v>11</v>
      </c>
    </row>
    <row r="1814" spans="1:9" hidden="1" x14ac:dyDescent="0.25">
      <c r="A1814" t="s">
        <v>8</v>
      </c>
      <c r="B1814" t="s">
        <v>62</v>
      </c>
      <c r="C1814">
        <v>202210</v>
      </c>
      <c r="D1814" t="str">
        <f t="shared" si="28"/>
        <v>2022</v>
      </c>
      <c r="E1814">
        <v>166595</v>
      </c>
      <c r="F1814">
        <v>13041229</v>
      </c>
      <c r="G1814">
        <v>1.28</v>
      </c>
      <c r="H1814" t="s">
        <v>10</v>
      </c>
      <c r="I1814" t="s">
        <v>11</v>
      </c>
    </row>
    <row r="1815" spans="1:9" hidden="1" x14ac:dyDescent="0.25">
      <c r="A1815" t="s">
        <v>8</v>
      </c>
      <c r="B1815" t="s">
        <v>62</v>
      </c>
      <c r="C1815">
        <v>202211</v>
      </c>
      <c r="D1815" t="str">
        <f t="shared" si="28"/>
        <v>2022</v>
      </c>
      <c r="E1815">
        <v>180077</v>
      </c>
      <c r="F1815">
        <v>13041229</v>
      </c>
      <c r="G1815">
        <v>1.38</v>
      </c>
      <c r="H1815" t="s">
        <v>10</v>
      </c>
      <c r="I1815" t="s">
        <v>11</v>
      </c>
    </row>
    <row r="1816" spans="1:9" hidden="1" x14ac:dyDescent="0.25">
      <c r="A1816" t="s">
        <v>8</v>
      </c>
      <c r="B1816" t="s">
        <v>62</v>
      </c>
      <c r="C1816">
        <v>202212</v>
      </c>
      <c r="D1816" t="str">
        <f t="shared" si="28"/>
        <v>2022</v>
      </c>
      <c r="E1816">
        <v>170386</v>
      </c>
      <c r="F1816">
        <v>13041229</v>
      </c>
      <c r="G1816">
        <v>1.31</v>
      </c>
      <c r="H1816" t="s">
        <v>10</v>
      </c>
      <c r="I1816" t="s">
        <v>11</v>
      </c>
    </row>
    <row r="1817" spans="1:9" hidden="1" x14ac:dyDescent="0.25">
      <c r="A1817" t="s">
        <v>8</v>
      </c>
      <c r="B1817" t="s">
        <v>62</v>
      </c>
      <c r="C1817">
        <v>202301</v>
      </c>
      <c r="D1817" t="str">
        <f t="shared" si="28"/>
        <v>2023</v>
      </c>
      <c r="E1817">
        <v>234120</v>
      </c>
      <c r="F1817">
        <v>13041229</v>
      </c>
      <c r="G1817">
        <v>1.8</v>
      </c>
      <c r="H1817" t="s">
        <v>10</v>
      </c>
      <c r="I1817" t="s">
        <v>11</v>
      </c>
    </row>
    <row r="1818" spans="1:9" hidden="1" x14ac:dyDescent="0.25">
      <c r="A1818" t="s">
        <v>8</v>
      </c>
      <c r="B1818" t="s">
        <v>62</v>
      </c>
      <c r="C1818">
        <v>202302</v>
      </c>
      <c r="D1818" t="str">
        <f t="shared" si="28"/>
        <v>2023</v>
      </c>
      <c r="E1818">
        <v>227747</v>
      </c>
      <c r="F1818">
        <v>13041229</v>
      </c>
      <c r="G1818">
        <v>1.75</v>
      </c>
      <c r="H1818" t="s">
        <v>10</v>
      </c>
      <c r="I1818" t="s">
        <v>11</v>
      </c>
    </row>
    <row r="1819" spans="1:9" hidden="1" x14ac:dyDescent="0.25">
      <c r="A1819" t="s">
        <v>8</v>
      </c>
      <c r="B1819" t="s">
        <v>62</v>
      </c>
      <c r="C1819">
        <v>202303</v>
      </c>
      <c r="D1819" t="str">
        <f t="shared" si="28"/>
        <v>2023</v>
      </c>
      <c r="E1819">
        <v>252645</v>
      </c>
      <c r="F1819">
        <v>13041229</v>
      </c>
      <c r="G1819">
        <v>1.94</v>
      </c>
      <c r="H1819" t="s">
        <v>10</v>
      </c>
      <c r="I1819" t="s">
        <v>11</v>
      </c>
    </row>
    <row r="1820" spans="1:9" hidden="1" x14ac:dyDescent="0.25">
      <c r="A1820" t="s">
        <v>8</v>
      </c>
      <c r="B1820" t="s">
        <v>62</v>
      </c>
      <c r="C1820">
        <v>202304</v>
      </c>
      <c r="D1820" t="str">
        <f t="shared" si="28"/>
        <v>2023</v>
      </c>
      <c r="E1820">
        <v>228317</v>
      </c>
      <c r="F1820">
        <v>13041229</v>
      </c>
      <c r="G1820">
        <v>1.75</v>
      </c>
      <c r="H1820" t="s">
        <v>10</v>
      </c>
      <c r="I1820" t="s">
        <v>11</v>
      </c>
    </row>
    <row r="1821" spans="1:9" hidden="1" x14ac:dyDescent="0.25">
      <c r="A1821" t="s">
        <v>8</v>
      </c>
      <c r="B1821" t="s">
        <v>62</v>
      </c>
      <c r="C1821">
        <v>202305</v>
      </c>
      <c r="D1821" t="str">
        <f t="shared" si="28"/>
        <v>2023</v>
      </c>
      <c r="E1821">
        <v>242236</v>
      </c>
      <c r="F1821">
        <v>13041229</v>
      </c>
      <c r="G1821">
        <v>1.86</v>
      </c>
      <c r="H1821" t="s">
        <v>10</v>
      </c>
      <c r="I1821" t="s">
        <v>11</v>
      </c>
    </row>
    <row r="1822" spans="1:9" hidden="1" x14ac:dyDescent="0.25">
      <c r="A1822" t="s">
        <v>8</v>
      </c>
      <c r="B1822" t="s">
        <v>62</v>
      </c>
      <c r="C1822">
        <v>202306</v>
      </c>
      <c r="D1822" t="str">
        <f t="shared" si="28"/>
        <v>2023</v>
      </c>
      <c r="E1822">
        <v>235222</v>
      </c>
      <c r="F1822">
        <v>13041229</v>
      </c>
      <c r="G1822">
        <v>1.8</v>
      </c>
      <c r="H1822" t="s">
        <v>10</v>
      </c>
      <c r="I1822" t="s">
        <v>11</v>
      </c>
    </row>
    <row r="1823" spans="1:9" hidden="1" x14ac:dyDescent="0.25">
      <c r="A1823" t="s">
        <v>8</v>
      </c>
      <c r="B1823" t="s">
        <v>62</v>
      </c>
      <c r="C1823">
        <v>202307</v>
      </c>
      <c r="D1823" t="str">
        <f t="shared" si="28"/>
        <v>2023</v>
      </c>
      <c r="E1823">
        <v>219263</v>
      </c>
      <c r="F1823">
        <v>13041229</v>
      </c>
      <c r="G1823">
        <v>1.68</v>
      </c>
      <c r="H1823" t="s">
        <v>10</v>
      </c>
      <c r="I1823" t="s">
        <v>11</v>
      </c>
    </row>
    <row r="1824" spans="1:9" hidden="1" x14ac:dyDescent="0.25">
      <c r="A1824" t="s">
        <v>8</v>
      </c>
      <c r="B1824" t="s">
        <v>62</v>
      </c>
      <c r="C1824">
        <v>202308</v>
      </c>
      <c r="D1824" t="str">
        <f t="shared" si="28"/>
        <v>2023</v>
      </c>
      <c r="E1824">
        <v>250798</v>
      </c>
      <c r="F1824">
        <v>13041229</v>
      </c>
      <c r="G1824">
        <v>1.92</v>
      </c>
      <c r="H1824" t="s">
        <v>10</v>
      </c>
      <c r="I1824" t="s">
        <v>11</v>
      </c>
    </row>
    <row r="1825" spans="1:9" hidden="1" x14ac:dyDescent="0.25">
      <c r="A1825" t="s">
        <v>8</v>
      </c>
      <c r="B1825" t="s">
        <v>62</v>
      </c>
      <c r="C1825">
        <v>202309</v>
      </c>
      <c r="D1825" t="str">
        <f t="shared" si="28"/>
        <v>2023</v>
      </c>
      <c r="E1825">
        <v>235425</v>
      </c>
      <c r="F1825">
        <v>13041229</v>
      </c>
      <c r="G1825">
        <v>1.81</v>
      </c>
      <c r="H1825" t="s">
        <v>10</v>
      </c>
      <c r="I1825" t="s">
        <v>11</v>
      </c>
    </row>
    <row r="1826" spans="1:9" hidden="1" x14ac:dyDescent="0.25">
      <c r="A1826" t="s">
        <v>8</v>
      </c>
      <c r="B1826" t="s">
        <v>62</v>
      </c>
      <c r="C1826">
        <v>202310</v>
      </c>
      <c r="D1826" t="str">
        <f t="shared" si="28"/>
        <v>2023</v>
      </c>
      <c r="E1826">
        <v>256941</v>
      </c>
      <c r="F1826">
        <v>13041229</v>
      </c>
      <c r="G1826">
        <v>1.97</v>
      </c>
      <c r="H1826" t="s">
        <v>10</v>
      </c>
      <c r="I1826" t="s">
        <v>11</v>
      </c>
    </row>
    <row r="1827" spans="1:9" hidden="1" x14ac:dyDescent="0.25">
      <c r="A1827" t="s">
        <v>8</v>
      </c>
      <c r="B1827" t="s">
        <v>62</v>
      </c>
      <c r="C1827">
        <v>202311</v>
      </c>
      <c r="D1827" t="str">
        <f t="shared" si="28"/>
        <v>2023</v>
      </c>
      <c r="E1827">
        <v>241047</v>
      </c>
      <c r="F1827">
        <v>13041229</v>
      </c>
      <c r="G1827">
        <v>1.85</v>
      </c>
      <c r="H1827" t="s">
        <v>10</v>
      </c>
      <c r="I1827" t="s">
        <v>11</v>
      </c>
    </row>
    <row r="1828" spans="1:9" hidden="1" x14ac:dyDescent="0.25">
      <c r="A1828" t="s">
        <v>8</v>
      </c>
      <c r="B1828" t="s">
        <v>62</v>
      </c>
      <c r="C1828">
        <v>202312</v>
      </c>
      <c r="D1828" t="str">
        <f t="shared" si="28"/>
        <v>2023</v>
      </c>
      <c r="E1828">
        <v>227666</v>
      </c>
      <c r="F1828">
        <v>13041229</v>
      </c>
      <c r="G1828">
        <v>1.75</v>
      </c>
      <c r="H1828" t="s">
        <v>10</v>
      </c>
      <c r="I1828" t="s">
        <v>11</v>
      </c>
    </row>
    <row r="1829" spans="1:9" hidden="1" x14ac:dyDescent="0.25">
      <c r="A1829" t="s">
        <v>8</v>
      </c>
      <c r="B1829" t="s">
        <v>62</v>
      </c>
      <c r="C1829">
        <v>202401</v>
      </c>
      <c r="D1829" t="str">
        <f t="shared" si="28"/>
        <v>2024</v>
      </c>
      <c r="E1829">
        <v>407484</v>
      </c>
      <c r="F1829">
        <v>13041229</v>
      </c>
      <c r="G1829">
        <v>3.12</v>
      </c>
      <c r="H1829" t="s">
        <v>10</v>
      </c>
      <c r="I1829" t="s">
        <v>11</v>
      </c>
    </row>
    <row r="1830" spans="1:9" hidden="1" x14ac:dyDescent="0.25">
      <c r="A1830" t="s">
        <v>8</v>
      </c>
      <c r="B1830" t="s">
        <v>62</v>
      </c>
      <c r="C1830">
        <v>202402</v>
      </c>
      <c r="D1830" t="str">
        <f t="shared" si="28"/>
        <v>2024</v>
      </c>
      <c r="E1830">
        <v>457496</v>
      </c>
      <c r="F1830">
        <v>13041229</v>
      </c>
      <c r="G1830">
        <v>3.51</v>
      </c>
      <c r="H1830" t="s">
        <v>10</v>
      </c>
      <c r="I1830" t="s">
        <v>11</v>
      </c>
    </row>
    <row r="1831" spans="1:9" hidden="1" x14ac:dyDescent="0.25">
      <c r="A1831" t="s">
        <v>8</v>
      </c>
      <c r="B1831" t="s">
        <v>62</v>
      </c>
      <c r="C1831">
        <v>202403</v>
      </c>
      <c r="D1831" t="str">
        <f t="shared" si="28"/>
        <v>2024</v>
      </c>
      <c r="E1831">
        <v>482323</v>
      </c>
      <c r="F1831">
        <v>13041229</v>
      </c>
      <c r="G1831">
        <v>3.7</v>
      </c>
      <c r="H1831" t="s">
        <v>10</v>
      </c>
      <c r="I1831" t="s">
        <v>11</v>
      </c>
    </row>
    <row r="1832" spans="1:9" hidden="1" x14ac:dyDescent="0.25">
      <c r="A1832" t="s">
        <v>8</v>
      </c>
      <c r="B1832" t="s">
        <v>62</v>
      </c>
      <c r="C1832">
        <v>202404</v>
      </c>
      <c r="D1832" t="str">
        <f t="shared" si="28"/>
        <v>2024</v>
      </c>
      <c r="E1832">
        <v>484253</v>
      </c>
      <c r="F1832">
        <v>13041229</v>
      </c>
      <c r="G1832">
        <v>3.71</v>
      </c>
      <c r="H1832" t="s">
        <v>10</v>
      </c>
      <c r="I1832" t="s">
        <v>11</v>
      </c>
    </row>
    <row r="1833" spans="1:9" hidden="1" x14ac:dyDescent="0.25">
      <c r="A1833" t="s">
        <v>8</v>
      </c>
      <c r="B1833" t="s">
        <v>62</v>
      </c>
      <c r="C1833">
        <v>202405</v>
      </c>
      <c r="D1833" t="str">
        <f t="shared" si="28"/>
        <v>2024</v>
      </c>
      <c r="E1833">
        <v>452215</v>
      </c>
      <c r="F1833">
        <v>13041229</v>
      </c>
      <c r="G1833">
        <v>3.47</v>
      </c>
      <c r="H1833" t="s">
        <v>10</v>
      </c>
      <c r="I1833" t="s">
        <v>11</v>
      </c>
    </row>
    <row r="1834" spans="1:9" hidden="1" x14ac:dyDescent="0.25">
      <c r="A1834" t="s">
        <v>8</v>
      </c>
      <c r="B1834" t="s">
        <v>62</v>
      </c>
      <c r="C1834">
        <v>202406</v>
      </c>
      <c r="D1834" t="str">
        <f t="shared" si="28"/>
        <v>2024</v>
      </c>
      <c r="E1834">
        <v>430902</v>
      </c>
      <c r="F1834">
        <v>13041229</v>
      </c>
      <c r="G1834">
        <v>3.3</v>
      </c>
      <c r="H1834" t="s">
        <v>10</v>
      </c>
      <c r="I1834" t="s">
        <v>11</v>
      </c>
    </row>
    <row r="1835" spans="1:9" hidden="1" x14ac:dyDescent="0.25">
      <c r="A1835" t="s">
        <v>8</v>
      </c>
      <c r="B1835" t="s">
        <v>62</v>
      </c>
      <c r="C1835">
        <v>202407</v>
      </c>
      <c r="D1835" t="str">
        <f t="shared" si="28"/>
        <v>2024</v>
      </c>
      <c r="E1835">
        <v>445408</v>
      </c>
      <c r="F1835">
        <v>13041229</v>
      </c>
      <c r="G1835">
        <v>3.42</v>
      </c>
      <c r="H1835" t="s">
        <v>10</v>
      </c>
      <c r="I1835" t="s">
        <v>11</v>
      </c>
    </row>
    <row r="1836" spans="1:9" hidden="1" x14ac:dyDescent="0.25">
      <c r="A1836" t="s">
        <v>8</v>
      </c>
      <c r="B1836" t="s">
        <v>62</v>
      </c>
      <c r="C1836">
        <v>202408</v>
      </c>
      <c r="D1836" t="str">
        <f t="shared" si="28"/>
        <v>2024</v>
      </c>
      <c r="E1836">
        <v>455174</v>
      </c>
      <c r="F1836">
        <v>13041229</v>
      </c>
      <c r="G1836">
        <v>3.49</v>
      </c>
      <c r="H1836" t="s">
        <v>10</v>
      </c>
      <c r="I1836" t="s">
        <v>11</v>
      </c>
    </row>
    <row r="1837" spans="1:9" hidden="1" x14ac:dyDescent="0.25">
      <c r="A1837" t="s">
        <v>8</v>
      </c>
      <c r="B1837" t="s">
        <v>62</v>
      </c>
      <c r="C1837">
        <v>202409</v>
      </c>
      <c r="D1837" t="str">
        <f t="shared" si="28"/>
        <v>2024</v>
      </c>
      <c r="E1837">
        <v>483842</v>
      </c>
      <c r="F1837">
        <v>13041229</v>
      </c>
      <c r="G1837">
        <v>3.71</v>
      </c>
      <c r="H1837" t="s">
        <v>10</v>
      </c>
      <c r="I1837" t="s">
        <v>11</v>
      </c>
    </row>
    <row r="1838" spans="1:9" hidden="1" x14ac:dyDescent="0.25">
      <c r="A1838" t="s">
        <v>8</v>
      </c>
      <c r="B1838" t="s">
        <v>62</v>
      </c>
      <c r="C1838">
        <v>202410</v>
      </c>
      <c r="D1838" t="str">
        <f t="shared" si="28"/>
        <v>2024</v>
      </c>
      <c r="E1838">
        <v>590383</v>
      </c>
      <c r="F1838">
        <v>13041229</v>
      </c>
      <c r="G1838">
        <v>4.53</v>
      </c>
      <c r="H1838" t="s">
        <v>10</v>
      </c>
      <c r="I1838" t="s">
        <v>11</v>
      </c>
    </row>
    <row r="1839" spans="1:9" hidden="1" x14ac:dyDescent="0.25">
      <c r="A1839" t="s">
        <v>8</v>
      </c>
      <c r="B1839" t="s">
        <v>62</v>
      </c>
      <c r="C1839">
        <v>202411</v>
      </c>
      <c r="D1839" t="str">
        <f t="shared" si="28"/>
        <v>2024</v>
      </c>
      <c r="E1839">
        <v>524728</v>
      </c>
      <c r="F1839">
        <v>13041229</v>
      </c>
      <c r="G1839">
        <v>4.0199999999999996</v>
      </c>
      <c r="H1839" t="s">
        <v>10</v>
      </c>
      <c r="I1839" t="s">
        <v>11</v>
      </c>
    </row>
    <row r="1840" spans="1:9" hidden="1" x14ac:dyDescent="0.25">
      <c r="A1840" t="s">
        <v>8</v>
      </c>
      <c r="B1840" t="s">
        <v>62</v>
      </c>
      <c r="C1840">
        <v>202412</v>
      </c>
      <c r="D1840" t="str">
        <f t="shared" si="28"/>
        <v>2024</v>
      </c>
      <c r="E1840">
        <v>566091</v>
      </c>
      <c r="F1840">
        <v>13041229</v>
      </c>
      <c r="G1840">
        <v>4.34</v>
      </c>
      <c r="H1840" t="s">
        <v>10</v>
      </c>
      <c r="I1840" t="s">
        <v>11</v>
      </c>
    </row>
    <row r="1841" spans="1:9" x14ac:dyDescent="0.25">
      <c r="A1841" t="s">
        <v>8</v>
      </c>
      <c r="B1841" t="s">
        <v>62</v>
      </c>
      <c r="C1841">
        <v>202501</v>
      </c>
      <c r="D1841" t="str">
        <f t="shared" si="28"/>
        <v>2025</v>
      </c>
      <c r="E1841">
        <v>465162</v>
      </c>
      <c r="F1841">
        <v>13041229</v>
      </c>
      <c r="G1841">
        <v>3.57</v>
      </c>
      <c r="H1841" t="s">
        <v>10</v>
      </c>
      <c r="I1841" t="s">
        <v>11</v>
      </c>
    </row>
    <row r="1842" spans="1:9" x14ac:dyDescent="0.25">
      <c r="A1842" t="s">
        <v>8</v>
      </c>
      <c r="B1842" t="s">
        <v>62</v>
      </c>
      <c r="C1842">
        <v>202502</v>
      </c>
      <c r="D1842" t="str">
        <f t="shared" si="28"/>
        <v>2025</v>
      </c>
      <c r="E1842">
        <v>424519</v>
      </c>
      <c r="F1842">
        <v>13041229</v>
      </c>
      <c r="G1842">
        <v>3.26</v>
      </c>
      <c r="H1842" t="s">
        <v>10</v>
      </c>
      <c r="I1842" t="s">
        <v>11</v>
      </c>
    </row>
    <row r="1843" spans="1:9" x14ac:dyDescent="0.25">
      <c r="A1843" t="s">
        <v>8</v>
      </c>
      <c r="B1843" t="s">
        <v>62</v>
      </c>
      <c r="C1843">
        <v>202503</v>
      </c>
      <c r="D1843" t="str">
        <f t="shared" si="28"/>
        <v>2025</v>
      </c>
      <c r="E1843">
        <v>473319</v>
      </c>
      <c r="F1843">
        <v>13041229</v>
      </c>
      <c r="G1843">
        <v>3.63</v>
      </c>
      <c r="H1843" t="s">
        <v>10</v>
      </c>
      <c r="I1843" t="s">
        <v>11</v>
      </c>
    </row>
    <row r="1844" spans="1:9" x14ac:dyDescent="0.25">
      <c r="A1844" t="s">
        <v>8</v>
      </c>
      <c r="B1844" t="s">
        <v>62</v>
      </c>
      <c r="C1844">
        <v>202504</v>
      </c>
      <c r="D1844" t="str">
        <f t="shared" si="28"/>
        <v>2025</v>
      </c>
      <c r="E1844">
        <v>420149</v>
      </c>
      <c r="F1844">
        <v>13041229</v>
      </c>
      <c r="G1844">
        <v>3.22</v>
      </c>
      <c r="H1844" t="s">
        <v>10</v>
      </c>
      <c r="I1844" t="s">
        <v>11</v>
      </c>
    </row>
    <row r="1845" spans="1:9" x14ac:dyDescent="0.25">
      <c r="A1845" t="s">
        <v>8</v>
      </c>
      <c r="B1845" t="s">
        <v>62</v>
      </c>
      <c r="C1845">
        <v>202505</v>
      </c>
      <c r="D1845" t="str">
        <f t="shared" si="28"/>
        <v>2025</v>
      </c>
      <c r="E1845">
        <v>390561</v>
      </c>
      <c r="F1845">
        <v>13041229</v>
      </c>
      <c r="G1845">
        <v>2.99</v>
      </c>
      <c r="H1845" t="s">
        <v>10</v>
      </c>
      <c r="I1845" t="s">
        <v>11</v>
      </c>
    </row>
    <row r="1846" spans="1:9" x14ac:dyDescent="0.25">
      <c r="A1846" t="s">
        <v>8</v>
      </c>
      <c r="B1846" t="s">
        <v>62</v>
      </c>
      <c r="C1846">
        <v>202506</v>
      </c>
      <c r="D1846" t="str">
        <f t="shared" si="28"/>
        <v>2025</v>
      </c>
      <c r="E1846">
        <v>386080</v>
      </c>
      <c r="F1846">
        <v>13041229</v>
      </c>
      <c r="G1846">
        <v>2.96</v>
      </c>
      <c r="H1846" t="s">
        <v>10</v>
      </c>
      <c r="I1846" t="s">
        <v>11</v>
      </c>
    </row>
    <row r="1847" spans="1:9" x14ac:dyDescent="0.25">
      <c r="A1847" t="s">
        <v>8</v>
      </c>
      <c r="B1847" t="s">
        <v>62</v>
      </c>
      <c r="C1847">
        <v>202507</v>
      </c>
      <c r="D1847" t="str">
        <f t="shared" si="28"/>
        <v>2025</v>
      </c>
      <c r="E1847">
        <v>339914</v>
      </c>
      <c r="F1847">
        <v>13041229</v>
      </c>
      <c r="G1847">
        <v>2.61</v>
      </c>
      <c r="H1847" t="s">
        <v>10</v>
      </c>
      <c r="I1847" t="s">
        <v>11</v>
      </c>
    </row>
    <row r="1848" spans="1:9" x14ac:dyDescent="0.25">
      <c r="A1848" t="s">
        <v>8</v>
      </c>
      <c r="B1848" t="s">
        <v>62</v>
      </c>
      <c r="C1848">
        <v>202508</v>
      </c>
      <c r="D1848" t="str">
        <f t="shared" si="28"/>
        <v>2025</v>
      </c>
      <c r="E1848">
        <v>46103</v>
      </c>
      <c r="F1848">
        <v>13041229</v>
      </c>
      <c r="G1848">
        <v>0.35</v>
      </c>
      <c r="H1848" t="s">
        <v>10</v>
      </c>
      <c r="I1848" t="s">
        <v>11</v>
      </c>
    </row>
    <row r="1849" spans="1:9" hidden="1" x14ac:dyDescent="0.25">
      <c r="A1849" t="s">
        <v>8</v>
      </c>
      <c r="B1849" t="s">
        <v>37</v>
      </c>
      <c r="C1849">
        <v>201807</v>
      </c>
      <c r="D1849" t="str">
        <f t="shared" si="28"/>
        <v>2018</v>
      </c>
      <c r="E1849">
        <v>6</v>
      </c>
      <c r="F1849">
        <v>13907307</v>
      </c>
      <c r="G1849">
        <v>0</v>
      </c>
      <c r="H1849" t="s">
        <v>10</v>
      </c>
      <c r="I1849" t="s">
        <v>11</v>
      </c>
    </row>
    <row r="1850" spans="1:9" hidden="1" x14ac:dyDescent="0.25">
      <c r="A1850" t="s">
        <v>8</v>
      </c>
      <c r="B1850" t="s">
        <v>37</v>
      </c>
      <c r="C1850">
        <v>201808</v>
      </c>
      <c r="D1850" t="str">
        <f t="shared" si="28"/>
        <v>2018</v>
      </c>
      <c r="E1850">
        <v>16</v>
      </c>
      <c r="F1850">
        <v>13907307</v>
      </c>
      <c r="G1850">
        <v>0</v>
      </c>
      <c r="H1850" t="s">
        <v>10</v>
      </c>
      <c r="I1850" t="s">
        <v>11</v>
      </c>
    </row>
    <row r="1851" spans="1:9" hidden="1" x14ac:dyDescent="0.25">
      <c r="A1851" t="s">
        <v>8</v>
      </c>
      <c r="B1851" t="s">
        <v>37</v>
      </c>
      <c r="C1851">
        <v>201901</v>
      </c>
      <c r="D1851" t="str">
        <f t="shared" si="28"/>
        <v>2019</v>
      </c>
      <c r="E1851">
        <v>134</v>
      </c>
      <c r="F1851">
        <v>13907307</v>
      </c>
      <c r="G1851">
        <v>0</v>
      </c>
      <c r="H1851" t="s">
        <v>10</v>
      </c>
      <c r="I1851" t="s">
        <v>11</v>
      </c>
    </row>
    <row r="1852" spans="1:9" hidden="1" x14ac:dyDescent="0.25">
      <c r="A1852" t="s">
        <v>8</v>
      </c>
      <c r="B1852" t="s">
        <v>37</v>
      </c>
      <c r="C1852">
        <v>201902</v>
      </c>
      <c r="D1852" t="str">
        <f t="shared" si="28"/>
        <v>2019</v>
      </c>
      <c r="E1852">
        <v>103</v>
      </c>
      <c r="F1852">
        <v>13907307</v>
      </c>
      <c r="G1852">
        <v>0</v>
      </c>
      <c r="H1852" t="s">
        <v>10</v>
      </c>
      <c r="I1852" t="s">
        <v>11</v>
      </c>
    </row>
    <row r="1853" spans="1:9" hidden="1" x14ac:dyDescent="0.25">
      <c r="A1853" t="s">
        <v>8</v>
      </c>
      <c r="B1853" t="s">
        <v>37</v>
      </c>
      <c r="C1853">
        <v>201903</v>
      </c>
      <c r="D1853" t="str">
        <f t="shared" si="28"/>
        <v>2019</v>
      </c>
      <c r="E1853">
        <v>198</v>
      </c>
      <c r="F1853">
        <v>13907307</v>
      </c>
      <c r="G1853">
        <v>0</v>
      </c>
      <c r="H1853" t="s">
        <v>10</v>
      </c>
      <c r="I1853" t="s">
        <v>11</v>
      </c>
    </row>
    <row r="1854" spans="1:9" hidden="1" x14ac:dyDescent="0.25">
      <c r="A1854" t="s">
        <v>8</v>
      </c>
      <c r="B1854" t="s">
        <v>37</v>
      </c>
      <c r="C1854">
        <v>201904</v>
      </c>
      <c r="D1854" t="str">
        <f t="shared" si="28"/>
        <v>2019</v>
      </c>
      <c r="E1854">
        <v>242</v>
      </c>
      <c r="F1854">
        <v>13907307</v>
      </c>
      <c r="G1854">
        <v>0</v>
      </c>
      <c r="H1854" t="s">
        <v>10</v>
      </c>
      <c r="I1854" t="s">
        <v>11</v>
      </c>
    </row>
    <row r="1855" spans="1:9" hidden="1" x14ac:dyDescent="0.25">
      <c r="A1855" t="s">
        <v>8</v>
      </c>
      <c r="B1855" t="s">
        <v>37</v>
      </c>
      <c r="C1855">
        <v>201905</v>
      </c>
      <c r="D1855" t="str">
        <f t="shared" si="28"/>
        <v>2019</v>
      </c>
      <c r="E1855">
        <v>270</v>
      </c>
      <c r="F1855">
        <v>13907307</v>
      </c>
      <c r="G1855">
        <v>0</v>
      </c>
      <c r="H1855" t="s">
        <v>10</v>
      </c>
      <c r="I1855" t="s">
        <v>11</v>
      </c>
    </row>
    <row r="1856" spans="1:9" hidden="1" x14ac:dyDescent="0.25">
      <c r="A1856" t="s">
        <v>8</v>
      </c>
      <c r="B1856" t="s">
        <v>37</v>
      </c>
      <c r="C1856">
        <v>201906</v>
      </c>
      <c r="D1856" t="str">
        <f t="shared" si="28"/>
        <v>2019</v>
      </c>
      <c r="E1856">
        <v>419</v>
      </c>
      <c r="F1856">
        <v>13907307</v>
      </c>
      <c r="G1856">
        <v>0</v>
      </c>
      <c r="H1856" t="s">
        <v>10</v>
      </c>
      <c r="I1856" t="s">
        <v>11</v>
      </c>
    </row>
    <row r="1857" spans="1:9" hidden="1" x14ac:dyDescent="0.25">
      <c r="A1857" t="s">
        <v>8</v>
      </c>
      <c r="B1857" t="s">
        <v>37</v>
      </c>
      <c r="C1857">
        <v>201907</v>
      </c>
      <c r="D1857" t="str">
        <f t="shared" si="28"/>
        <v>2019</v>
      </c>
      <c r="E1857">
        <v>218</v>
      </c>
      <c r="F1857">
        <v>13907307</v>
      </c>
      <c r="G1857">
        <v>0</v>
      </c>
      <c r="H1857" t="s">
        <v>10</v>
      </c>
      <c r="I1857" t="s">
        <v>11</v>
      </c>
    </row>
    <row r="1858" spans="1:9" hidden="1" x14ac:dyDescent="0.25">
      <c r="A1858" t="s">
        <v>8</v>
      </c>
      <c r="B1858" t="s">
        <v>37</v>
      </c>
      <c r="C1858">
        <v>201908</v>
      </c>
      <c r="D1858" t="str">
        <f t="shared" si="28"/>
        <v>2019</v>
      </c>
      <c r="E1858">
        <v>113</v>
      </c>
      <c r="F1858">
        <v>13907307</v>
      </c>
      <c r="G1858">
        <v>0</v>
      </c>
      <c r="H1858" t="s">
        <v>10</v>
      </c>
      <c r="I1858" t="s">
        <v>11</v>
      </c>
    </row>
    <row r="1859" spans="1:9" hidden="1" x14ac:dyDescent="0.25">
      <c r="A1859" t="s">
        <v>8</v>
      </c>
      <c r="B1859" t="s">
        <v>37</v>
      </c>
      <c r="C1859">
        <v>201909</v>
      </c>
      <c r="D1859" t="str">
        <f t="shared" ref="D1859:D1922" si="29">LEFT(C1859,4)</f>
        <v>2019</v>
      </c>
      <c r="E1859">
        <v>123</v>
      </c>
      <c r="F1859">
        <v>13907307</v>
      </c>
      <c r="G1859">
        <v>0</v>
      </c>
      <c r="H1859" t="s">
        <v>10</v>
      </c>
      <c r="I1859" t="s">
        <v>11</v>
      </c>
    </row>
    <row r="1860" spans="1:9" hidden="1" x14ac:dyDescent="0.25">
      <c r="A1860" t="s">
        <v>8</v>
      </c>
      <c r="B1860" t="s">
        <v>37</v>
      </c>
      <c r="C1860">
        <v>201910</v>
      </c>
      <c r="D1860" t="str">
        <f t="shared" si="29"/>
        <v>2019</v>
      </c>
      <c r="E1860">
        <v>153</v>
      </c>
      <c r="F1860">
        <v>13907307</v>
      </c>
      <c r="G1860">
        <v>0</v>
      </c>
      <c r="H1860" t="s">
        <v>10</v>
      </c>
      <c r="I1860" t="s">
        <v>11</v>
      </c>
    </row>
    <row r="1861" spans="1:9" hidden="1" x14ac:dyDescent="0.25">
      <c r="A1861" t="s">
        <v>8</v>
      </c>
      <c r="B1861" t="s">
        <v>37</v>
      </c>
      <c r="C1861">
        <v>201911</v>
      </c>
      <c r="D1861" t="str">
        <f t="shared" si="29"/>
        <v>2019</v>
      </c>
      <c r="E1861">
        <v>99</v>
      </c>
      <c r="F1861">
        <v>13907307</v>
      </c>
      <c r="G1861">
        <v>0</v>
      </c>
      <c r="H1861" t="s">
        <v>10</v>
      </c>
      <c r="I1861" t="s">
        <v>11</v>
      </c>
    </row>
    <row r="1862" spans="1:9" hidden="1" x14ac:dyDescent="0.25">
      <c r="A1862" t="s">
        <v>8</v>
      </c>
      <c r="B1862" t="s">
        <v>37</v>
      </c>
      <c r="C1862">
        <v>201912</v>
      </c>
      <c r="D1862" t="str">
        <f t="shared" si="29"/>
        <v>2019</v>
      </c>
      <c r="E1862">
        <v>14</v>
      </c>
      <c r="F1862">
        <v>13907307</v>
      </c>
      <c r="G1862">
        <v>0</v>
      </c>
      <c r="H1862" t="s">
        <v>10</v>
      </c>
      <c r="I1862" t="s">
        <v>11</v>
      </c>
    </row>
    <row r="1863" spans="1:9" hidden="1" x14ac:dyDescent="0.25">
      <c r="A1863" t="s">
        <v>8</v>
      </c>
      <c r="B1863" t="s">
        <v>37</v>
      </c>
      <c r="C1863">
        <v>202001</v>
      </c>
      <c r="D1863" t="str">
        <f t="shared" si="29"/>
        <v>2020</v>
      </c>
      <c r="E1863">
        <v>636</v>
      </c>
      <c r="F1863">
        <v>13907307</v>
      </c>
      <c r="G1863">
        <v>0</v>
      </c>
      <c r="H1863" t="s">
        <v>10</v>
      </c>
      <c r="I1863" t="s">
        <v>11</v>
      </c>
    </row>
    <row r="1864" spans="1:9" hidden="1" x14ac:dyDescent="0.25">
      <c r="A1864" t="s">
        <v>8</v>
      </c>
      <c r="B1864" t="s">
        <v>37</v>
      </c>
      <c r="C1864">
        <v>202002</v>
      </c>
      <c r="D1864" t="str">
        <f t="shared" si="29"/>
        <v>2020</v>
      </c>
      <c r="E1864">
        <v>310</v>
      </c>
      <c r="F1864">
        <v>13907307</v>
      </c>
      <c r="G1864">
        <v>0</v>
      </c>
      <c r="H1864" t="s">
        <v>10</v>
      </c>
      <c r="I1864" t="s">
        <v>11</v>
      </c>
    </row>
    <row r="1865" spans="1:9" hidden="1" x14ac:dyDescent="0.25">
      <c r="A1865" t="s">
        <v>8</v>
      </c>
      <c r="B1865" t="s">
        <v>37</v>
      </c>
      <c r="C1865">
        <v>202003</v>
      </c>
      <c r="D1865" t="str">
        <f t="shared" si="29"/>
        <v>2020</v>
      </c>
      <c r="E1865">
        <v>423</v>
      </c>
      <c r="F1865">
        <v>13907307</v>
      </c>
      <c r="G1865">
        <v>0</v>
      </c>
      <c r="H1865" t="s">
        <v>10</v>
      </c>
      <c r="I1865" t="s">
        <v>11</v>
      </c>
    </row>
    <row r="1866" spans="1:9" hidden="1" x14ac:dyDescent="0.25">
      <c r="A1866" t="s">
        <v>8</v>
      </c>
      <c r="B1866" t="s">
        <v>37</v>
      </c>
      <c r="C1866">
        <v>202004</v>
      </c>
      <c r="D1866" t="str">
        <f t="shared" si="29"/>
        <v>2020</v>
      </c>
      <c r="E1866">
        <v>339</v>
      </c>
      <c r="F1866">
        <v>13907307</v>
      </c>
      <c r="G1866">
        <v>0</v>
      </c>
      <c r="H1866" t="s">
        <v>10</v>
      </c>
      <c r="I1866" t="s">
        <v>11</v>
      </c>
    </row>
    <row r="1867" spans="1:9" hidden="1" x14ac:dyDescent="0.25">
      <c r="A1867" t="s">
        <v>8</v>
      </c>
      <c r="B1867" t="s">
        <v>37</v>
      </c>
      <c r="C1867">
        <v>202005</v>
      </c>
      <c r="D1867" t="str">
        <f t="shared" si="29"/>
        <v>2020</v>
      </c>
      <c r="E1867">
        <v>437</v>
      </c>
      <c r="F1867">
        <v>13907307</v>
      </c>
      <c r="G1867">
        <v>0</v>
      </c>
      <c r="H1867" t="s">
        <v>10</v>
      </c>
      <c r="I1867" t="s">
        <v>11</v>
      </c>
    </row>
    <row r="1868" spans="1:9" hidden="1" x14ac:dyDescent="0.25">
      <c r="A1868" t="s">
        <v>8</v>
      </c>
      <c r="B1868" t="s">
        <v>37</v>
      </c>
      <c r="C1868">
        <v>202006</v>
      </c>
      <c r="D1868" t="str">
        <f t="shared" si="29"/>
        <v>2020</v>
      </c>
      <c r="E1868">
        <v>558</v>
      </c>
      <c r="F1868">
        <v>13907307</v>
      </c>
      <c r="G1868">
        <v>0</v>
      </c>
      <c r="H1868" t="s">
        <v>10</v>
      </c>
      <c r="I1868" t="s">
        <v>11</v>
      </c>
    </row>
    <row r="1869" spans="1:9" hidden="1" x14ac:dyDescent="0.25">
      <c r="A1869" t="s">
        <v>8</v>
      </c>
      <c r="B1869" t="s">
        <v>37</v>
      </c>
      <c r="C1869">
        <v>202007</v>
      </c>
      <c r="D1869" t="str">
        <f t="shared" si="29"/>
        <v>2020</v>
      </c>
      <c r="E1869">
        <v>478</v>
      </c>
      <c r="F1869">
        <v>13907307</v>
      </c>
      <c r="G1869">
        <v>0</v>
      </c>
      <c r="H1869" t="s">
        <v>10</v>
      </c>
      <c r="I1869" t="s">
        <v>11</v>
      </c>
    </row>
    <row r="1870" spans="1:9" hidden="1" x14ac:dyDescent="0.25">
      <c r="A1870" t="s">
        <v>8</v>
      </c>
      <c r="B1870" t="s">
        <v>37</v>
      </c>
      <c r="C1870">
        <v>202008</v>
      </c>
      <c r="D1870" t="str">
        <f t="shared" si="29"/>
        <v>2020</v>
      </c>
      <c r="E1870">
        <v>511</v>
      </c>
      <c r="F1870">
        <v>13907307</v>
      </c>
      <c r="G1870">
        <v>0</v>
      </c>
      <c r="H1870" t="s">
        <v>10</v>
      </c>
      <c r="I1870" t="s">
        <v>11</v>
      </c>
    </row>
    <row r="1871" spans="1:9" hidden="1" x14ac:dyDescent="0.25">
      <c r="A1871" t="s">
        <v>8</v>
      </c>
      <c r="B1871" t="s">
        <v>37</v>
      </c>
      <c r="C1871">
        <v>202009</v>
      </c>
      <c r="D1871" t="str">
        <f t="shared" si="29"/>
        <v>2020</v>
      </c>
      <c r="E1871">
        <v>436</v>
      </c>
      <c r="F1871">
        <v>13907307</v>
      </c>
      <c r="G1871">
        <v>0</v>
      </c>
      <c r="H1871" t="s">
        <v>10</v>
      </c>
      <c r="I1871" t="s">
        <v>11</v>
      </c>
    </row>
    <row r="1872" spans="1:9" hidden="1" x14ac:dyDescent="0.25">
      <c r="A1872" t="s">
        <v>8</v>
      </c>
      <c r="B1872" t="s">
        <v>37</v>
      </c>
      <c r="C1872">
        <v>202010</v>
      </c>
      <c r="D1872" t="str">
        <f t="shared" si="29"/>
        <v>2020</v>
      </c>
      <c r="E1872">
        <v>450</v>
      </c>
      <c r="F1872">
        <v>13907307</v>
      </c>
      <c r="G1872">
        <v>0</v>
      </c>
      <c r="H1872" t="s">
        <v>10</v>
      </c>
      <c r="I1872" t="s">
        <v>11</v>
      </c>
    </row>
    <row r="1873" spans="1:9" hidden="1" x14ac:dyDescent="0.25">
      <c r="A1873" t="s">
        <v>8</v>
      </c>
      <c r="B1873" t="s">
        <v>37</v>
      </c>
      <c r="C1873">
        <v>202011</v>
      </c>
      <c r="D1873" t="str">
        <f t="shared" si="29"/>
        <v>2020</v>
      </c>
      <c r="E1873">
        <v>444</v>
      </c>
      <c r="F1873">
        <v>13907307</v>
      </c>
      <c r="G1873">
        <v>0</v>
      </c>
      <c r="H1873" t="s">
        <v>10</v>
      </c>
      <c r="I1873" t="s">
        <v>11</v>
      </c>
    </row>
    <row r="1874" spans="1:9" hidden="1" x14ac:dyDescent="0.25">
      <c r="A1874" t="s">
        <v>8</v>
      </c>
      <c r="B1874" t="s">
        <v>37</v>
      </c>
      <c r="C1874">
        <v>202012</v>
      </c>
      <c r="D1874" t="str">
        <f t="shared" si="29"/>
        <v>2020</v>
      </c>
      <c r="E1874">
        <v>717</v>
      </c>
      <c r="F1874">
        <v>13907307</v>
      </c>
      <c r="G1874">
        <v>0.01</v>
      </c>
      <c r="H1874" t="s">
        <v>10</v>
      </c>
      <c r="I1874" t="s">
        <v>11</v>
      </c>
    </row>
    <row r="1875" spans="1:9" hidden="1" x14ac:dyDescent="0.25">
      <c r="A1875" t="s">
        <v>8</v>
      </c>
      <c r="B1875" t="s">
        <v>37</v>
      </c>
      <c r="C1875">
        <v>202101</v>
      </c>
      <c r="D1875" t="str">
        <f t="shared" si="29"/>
        <v>2021</v>
      </c>
      <c r="E1875">
        <v>15513</v>
      </c>
      <c r="F1875">
        <v>13907307</v>
      </c>
      <c r="G1875">
        <v>0.11</v>
      </c>
      <c r="H1875" t="s">
        <v>10</v>
      </c>
      <c r="I1875" t="s">
        <v>11</v>
      </c>
    </row>
    <row r="1876" spans="1:9" hidden="1" x14ac:dyDescent="0.25">
      <c r="A1876" t="s">
        <v>8</v>
      </c>
      <c r="B1876" t="s">
        <v>37</v>
      </c>
      <c r="C1876">
        <v>202102</v>
      </c>
      <c r="D1876" t="str">
        <f t="shared" si="29"/>
        <v>2021</v>
      </c>
      <c r="E1876">
        <v>15158</v>
      </c>
      <c r="F1876">
        <v>13907307</v>
      </c>
      <c r="G1876">
        <v>0.11</v>
      </c>
      <c r="H1876" t="s">
        <v>10</v>
      </c>
      <c r="I1876" t="s">
        <v>11</v>
      </c>
    </row>
    <row r="1877" spans="1:9" hidden="1" x14ac:dyDescent="0.25">
      <c r="A1877" t="s">
        <v>8</v>
      </c>
      <c r="B1877" t="s">
        <v>37</v>
      </c>
      <c r="C1877">
        <v>202103</v>
      </c>
      <c r="D1877" t="str">
        <f t="shared" si="29"/>
        <v>2021</v>
      </c>
      <c r="E1877">
        <v>18954</v>
      </c>
      <c r="F1877">
        <v>13907307</v>
      </c>
      <c r="G1877">
        <v>0.14000000000000001</v>
      </c>
      <c r="H1877" t="s">
        <v>10</v>
      </c>
      <c r="I1877" t="s">
        <v>11</v>
      </c>
    </row>
    <row r="1878" spans="1:9" hidden="1" x14ac:dyDescent="0.25">
      <c r="A1878" t="s">
        <v>8</v>
      </c>
      <c r="B1878" t="s">
        <v>37</v>
      </c>
      <c r="C1878">
        <v>202104</v>
      </c>
      <c r="D1878" t="str">
        <f t="shared" si="29"/>
        <v>2021</v>
      </c>
      <c r="E1878">
        <v>18191</v>
      </c>
      <c r="F1878">
        <v>13907307</v>
      </c>
      <c r="G1878">
        <v>0.13</v>
      </c>
      <c r="H1878" t="s">
        <v>10</v>
      </c>
      <c r="I1878" t="s">
        <v>11</v>
      </c>
    </row>
    <row r="1879" spans="1:9" hidden="1" x14ac:dyDescent="0.25">
      <c r="A1879" t="s">
        <v>8</v>
      </c>
      <c r="B1879" t="s">
        <v>37</v>
      </c>
      <c r="C1879">
        <v>202105</v>
      </c>
      <c r="D1879" t="str">
        <f t="shared" si="29"/>
        <v>2021</v>
      </c>
      <c r="E1879">
        <v>17136</v>
      </c>
      <c r="F1879">
        <v>13907307</v>
      </c>
      <c r="G1879">
        <v>0.12</v>
      </c>
      <c r="H1879" t="s">
        <v>10</v>
      </c>
      <c r="I1879" t="s">
        <v>11</v>
      </c>
    </row>
    <row r="1880" spans="1:9" hidden="1" x14ac:dyDescent="0.25">
      <c r="A1880" t="s">
        <v>8</v>
      </c>
      <c r="B1880" t="s">
        <v>37</v>
      </c>
      <c r="C1880">
        <v>202106</v>
      </c>
      <c r="D1880" t="str">
        <f t="shared" si="29"/>
        <v>2021</v>
      </c>
      <c r="E1880">
        <v>19386</v>
      </c>
      <c r="F1880">
        <v>13907307</v>
      </c>
      <c r="G1880">
        <v>0.14000000000000001</v>
      </c>
      <c r="H1880" t="s">
        <v>10</v>
      </c>
      <c r="I1880" t="s">
        <v>11</v>
      </c>
    </row>
    <row r="1881" spans="1:9" hidden="1" x14ac:dyDescent="0.25">
      <c r="A1881" t="s">
        <v>8</v>
      </c>
      <c r="B1881" t="s">
        <v>37</v>
      </c>
      <c r="C1881">
        <v>202107</v>
      </c>
      <c r="D1881" t="str">
        <f t="shared" si="29"/>
        <v>2021</v>
      </c>
      <c r="E1881">
        <v>52132</v>
      </c>
      <c r="F1881">
        <v>13907307</v>
      </c>
      <c r="G1881">
        <v>0.37</v>
      </c>
      <c r="H1881" t="s">
        <v>10</v>
      </c>
      <c r="I1881" t="s">
        <v>11</v>
      </c>
    </row>
    <row r="1882" spans="1:9" hidden="1" x14ac:dyDescent="0.25">
      <c r="A1882" t="s">
        <v>8</v>
      </c>
      <c r="B1882" t="s">
        <v>37</v>
      </c>
      <c r="C1882">
        <v>202108</v>
      </c>
      <c r="D1882" t="str">
        <f t="shared" si="29"/>
        <v>2021</v>
      </c>
      <c r="E1882">
        <v>56712</v>
      </c>
      <c r="F1882">
        <v>13907307</v>
      </c>
      <c r="G1882">
        <v>0.41</v>
      </c>
      <c r="H1882" t="s">
        <v>10</v>
      </c>
      <c r="I1882" t="s">
        <v>11</v>
      </c>
    </row>
    <row r="1883" spans="1:9" hidden="1" x14ac:dyDescent="0.25">
      <c r="A1883" t="s">
        <v>8</v>
      </c>
      <c r="B1883" t="s">
        <v>37</v>
      </c>
      <c r="C1883">
        <v>202109</v>
      </c>
      <c r="D1883" t="str">
        <f t="shared" si="29"/>
        <v>2021</v>
      </c>
      <c r="E1883">
        <v>61259</v>
      </c>
      <c r="F1883">
        <v>13907307</v>
      </c>
      <c r="G1883">
        <v>0.44</v>
      </c>
      <c r="H1883" t="s">
        <v>10</v>
      </c>
      <c r="I1883" t="s">
        <v>11</v>
      </c>
    </row>
    <row r="1884" spans="1:9" hidden="1" x14ac:dyDescent="0.25">
      <c r="A1884" t="s">
        <v>8</v>
      </c>
      <c r="B1884" t="s">
        <v>37</v>
      </c>
      <c r="C1884">
        <v>202110</v>
      </c>
      <c r="D1884" t="str">
        <f t="shared" si="29"/>
        <v>2021</v>
      </c>
      <c r="E1884">
        <v>60761</v>
      </c>
      <c r="F1884">
        <v>13907307</v>
      </c>
      <c r="G1884">
        <v>0.44</v>
      </c>
      <c r="H1884" t="s">
        <v>10</v>
      </c>
      <c r="I1884" t="s">
        <v>11</v>
      </c>
    </row>
    <row r="1885" spans="1:9" hidden="1" x14ac:dyDescent="0.25">
      <c r="A1885" t="s">
        <v>8</v>
      </c>
      <c r="B1885" t="s">
        <v>37</v>
      </c>
      <c r="C1885">
        <v>202111</v>
      </c>
      <c r="D1885" t="str">
        <f t="shared" si="29"/>
        <v>2021</v>
      </c>
      <c r="E1885">
        <v>62780</v>
      </c>
      <c r="F1885">
        <v>13907307</v>
      </c>
      <c r="G1885">
        <v>0.45</v>
      </c>
      <c r="H1885" t="s">
        <v>10</v>
      </c>
      <c r="I1885" t="s">
        <v>11</v>
      </c>
    </row>
    <row r="1886" spans="1:9" hidden="1" x14ac:dyDescent="0.25">
      <c r="A1886" t="s">
        <v>8</v>
      </c>
      <c r="B1886" t="s">
        <v>37</v>
      </c>
      <c r="C1886">
        <v>202112</v>
      </c>
      <c r="D1886" t="str">
        <f t="shared" si="29"/>
        <v>2021</v>
      </c>
      <c r="E1886">
        <v>63628</v>
      </c>
      <c r="F1886">
        <v>13907307</v>
      </c>
      <c r="G1886">
        <v>0.46</v>
      </c>
      <c r="H1886" t="s">
        <v>10</v>
      </c>
      <c r="I1886" t="s">
        <v>11</v>
      </c>
    </row>
    <row r="1887" spans="1:9" hidden="1" x14ac:dyDescent="0.25">
      <c r="A1887" t="s">
        <v>8</v>
      </c>
      <c r="B1887" t="s">
        <v>37</v>
      </c>
      <c r="C1887">
        <v>202201</v>
      </c>
      <c r="D1887" t="str">
        <f t="shared" si="29"/>
        <v>2022</v>
      </c>
      <c r="E1887">
        <v>50579</v>
      </c>
      <c r="F1887">
        <v>13907307</v>
      </c>
      <c r="G1887">
        <v>0.36</v>
      </c>
      <c r="H1887" t="s">
        <v>10</v>
      </c>
      <c r="I1887" t="s">
        <v>11</v>
      </c>
    </row>
    <row r="1888" spans="1:9" hidden="1" x14ac:dyDescent="0.25">
      <c r="A1888" t="s">
        <v>8</v>
      </c>
      <c r="B1888" t="s">
        <v>37</v>
      </c>
      <c r="C1888">
        <v>202202</v>
      </c>
      <c r="D1888" t="str">
        <f t="shared" si="29"/>
        <v>2022</v>
      </c>
      <c r="E1888">
        <v>40752</v>
      </c>
      <c r="F1888">
        <v>13907307</v>
      </c>
      <c r="G1888">
        <v>0.28999999999999998</v>
      </c>
      <c r="H1888" t="s">
        <v>10</v>
      </c>
      <c r="I1888" t="s">
        <v>11</v>
      </c>
    </row>
    <row r="1889" spans="1:9" hidden="1" x14ac:dyDescent="0.25">
      <c r="A1889" t="s">
        <v>8</v>
      </c>
      <c r="B1889" t="s">
        <v>37</v>
      </c>
      <c r="C1889">
        <v>202203</v>
      </c>
      <c r="D1889" t="str">
        <f t="shared" si="29"/>
        <v>2022</v>
      </c>
      <c r="E1889">
        <v>46243</v>
      </c>
      <c r="F1889">
        <v>13907307</v>
      </c>
      <c r="G1889">
        <v>0.33</v>
      </c>
      <c r="H1889" t="s">
        <v>10</v>
      </c>
      <c r="I1889" t="s">
        <v>11</v>
      </c>
    </row>
    <row r="1890" spans="1:9" hidden="1" x14ac:dyDescent="0.25">
      <c r="A1890" t="s">
        <v>8</v>
      </c>
      <c r="B1890" t="s">
        <v>37</v>
      </c>
      <c r="C1890">
        <v>202204</v>
      </c>
      <c r="D1890" t="str">
        <f t="shared" si="29"/>
        <v>2022</v>
      </c>
      <c r="E1890">
        <v>43661</v>
      </c>
      <c r="F1890">
        <v>13907307</v>
      </c>
      <c r="G1890">
        <v>0.31</v>
      </c>
      <c r="H1890" t="s">
        <v>10</v>
      </c>
      <c r="I1890" t="s">
        <v>11</v>
      </c>
    </row>
    <row r="1891" spans="1:9" hidden="1" x14ac:dyDescent="0.25">
      <c r="A1891" t="s">
        <v>8</v>
      </c>
      <c r="B1891" t="s">
        <v>37</v>
      </c>
      <c r="C1891">
        <v>202205</v>
      </c>
      <c r="D1891" t="str">
        <f t="shared" si="29"/>
        <v>2022</v>
      </c>
      <c r="E1891">
        <v>42344</v>
      </c>
      <c r="F1891">
        <v>13907307</v>
      </c>
      <c r="G1891">
        <v>0.3</v>
      </c>
      <c r="H1891" t="s">
        <v>10</v>
      </c>
      <c r="I1891" t="s">
        <v>11</v>
      </c>
    </row>
    <row r="1892" spans="1:9" hidden="1" x14ac:dyDescent="0.25">
      <c r="A1892" t="s">
        <v>8</v>
      </c>
      <c r="B1892" t="s">
        <v>37</v>
      </c>
      <c r="C1892">
        <v>202206</v>
      </c>
      <c r="D1892" t="str">
        <f t="shared" si="29"/>
        <v>2022</v>
      </c>
      <c r="E1892">
        <v>47169</v>
      </c>
      <c r="F1892">
        <v>13907307</v>
      </c>
      <c r="G1892">
        <v>0.34</v>
      </c>
      <c r="H1892" t="s">
        <v>10</v>
      </c>
      <c r="I1892" t="s">
        <v>11</v>
      </c>
    </row>
    <row r="1893" spans="1:9" hidden="1" x14ac:dyDescent="0.25">
      <c r="A1893" t="s">
        <v>8</v>
      </c>
      <c r="B1893" t="s">
        <v>37</v>
      </c>
      <c r="C1893">
        <v>202207</v>
      </c>
      <c r="D1893" t="str">
        <f t="shared" si="29"/>
        <v>2022</v>
      </c>
      <c r="E1893">
        <v>45924</v>
      </c>
      <c r="F1893">
        <v>13907307</v>
      </c>
      <c r="G1893">
        <v>0.33</v>
      </c>
      <c r="H1893" t="s">
        <v>10</v>
      </c>
      <c r="I1893" t="s">
        <v>11</v>
      </c>
    </row>
    <row r="1894" spans="1:9" hidden="1" x14ac:dyDescent="0.25">
      <c r="A1894" t="s">
        <v>8</v>
      </c>
      <c r="B1894" t="s">
        <v>37</v>
      </c>
      <c r="C1894">
        <v>202208</v>
      </c>
      <c r="D1894" t="str">
        <f t="shared" si="29"/>
        <v>2022</v>
      </c>
      <c r="E1894">
        <v>49867</v>
      </c>
      <c r="F1894">
        <v>13907307</v>
      </c>
      <c r="G1894">
        <v>0.36</v>
      </c>
      <c r="H1894" t="s">
        <v>10</v>
      </c>
      <c r="I1894" t="s">
        <v>11</v>
      </c>
    </row>
    <row r="1895" spans="1:9" hidden="1" x14ac:dyDescent="0.25">
      <c r="A1895" t="s">
        <v>8</v>
      </c>
      <c r="B1895" t="s">
        <v>37</v>
      </c>
      <c r="C1895">
        <v>202209</v>
      </c>
      <c r="D1895" t="str">
        <f t="shared" si="29"/>
        <v>2022</v>
      </c>
      <c r="E1895">
        <v>51636</v>
      </c>
      <c r="F1895">
        <v>13907307</v>
      </c>
      <c r="G1895">
        <v>0.37</v>
      </c>
      <c r="H1895" t="s">
        <v>10</v>
      </c>
      <c r="I1895" t="s">
        <v>11</v>
      </c>
    </row>
    <row r="1896" spans="1:9" hidden="1" x14ac:dyDescent="0.25">
      <c r="A1896" t="s">
        <v>8</v>
      </c>
      <c r="B1896" t="s">
        <v>37</v>
      </c>
      <c r="C1896">
        <v>202210</v>
      </c>
      <c r="D1896" t="str">
        <f t="shared" si="29"/>
        <v>2022</v>
      </c>
      <c r="E1896">
        <v>72744</v>
      </c>
      <c r="F1896">
        <v>13907307</v>
      </c>
      <c r="G1896">
        <v>0.52</v>
      </c>
      <c r="H1896" t="s">
        <v>10</v>
      </c>
      <c r="I1896" t="s">
        <v>11</v>
      </c>
    </row>
    <row r="1897" spans="1:9" hidden="1" x14ac:dyDescent="0.25">
      <c r="A1897" t="s">
        <v>8</v>
      </c>
      <c r="B1897" t="s">
        <v>37</v>
      </c>
      <c r="C1897">
        <v>202211</v>
      </c>
      <c r="D1897" t="str">
        <f t="shared" si="29"/>
        <v>2022</v>
      </c>
      <c r="E1897">
        <v>160489</v>
      </c>
      <c r="F1897">
        <v>13907307</v>
      </c>
      <c r="G1897">
        <v>1.1499999999999999</v>
      </c>
      <c r="H1897" t="s">
        <v>10</v>
      </c>
      <c r="I1897" t="s">
        <v>11</v>
      </c>
    </row>
    <row r="1898" spans="1:9" hidden="1" x14ac:dyDescent="0.25">
      <c r="A1898" t="s">
        <v>8</v>
      </c>
      <c r="B1898" t="s">
        <v>37</v>
      </c>
      <c r="C1898">
        <v>202212</v>
      </c>
      <c r="D1898" t="str">
        <f t="shared" si="29"/>
        <v>2022</v>
      </c>
      <c r="E1898">
        <v>170863</v>
      </c>
      <c r="F1898">
        <v>13907307</v>
      </c>
      <c r="G1898">
        <v>1.23</v>
      </c>
      <c r="H1898" t="s">
        <v>10</v>
      </c>
      <c r="I1898" t="s">
        <v>11</v>
      </c>
    </row>
    <row r="1899" spans="1:9" hidden="1" x14ac:dyDescent="0.25">
      <c r="A1899" t="s">
        <v>8</v>
      </c>
      <c r="B1899" t="s">
        <v>37</v>
      </c>
      <c r="C1899">
        <v>202301</v>
      </c>
      <c r="D1899" t="str">
        <f t="shared" si="29"/>
        <v>2023</v>
      </c>
      <c r="E1899">
        <v>234590</v>
      </c>
      <c r="F1899">
        <v>13907307</v>
      </c>
      <c r="G1899">
        <v>1.69</v>
      </c>
      <c r="H1899" t="s">
        <v>10</v>
      </c>
      <c r="I1899" t="s">
        <v>11</v>
      </c>
    </row>
    <row r="1900" spans="1:9" hidden="1" x14ac:dyDescent="0.25">
      <c r="A1900" t="s">
        <v>8</v>
      </c>
      <c r="B1900" t="s">
        <v>37</v>
      </c>
      <c r="C1900">
        <v>202302</v>
      </c>
      <c r="D1900" t="str">
        <f t="shared" si="29"/>
        <v>2023</v>
      </c>
      <c r="E1900">
        <v>228265</v>
      </c>
      <c r="F1900">
        <v>13907307</v>
      </c>
      <c r="G1900">
        <v>1.64</v>
      </c>
      <c r="H1900" t="s">
        <v>10</v>
      </c>
      <c r="I1900" t="s">
        <v>11</v>
      </c>
    </row>
    <row r="1901" spans="1:9" hidden="1" x14ac:dyDescent="0.25">
      <c r="A1901" t="s">
        <v>8</v>
      </c>
      <c r="B1901" t="s">
        <v>37</v>
      </c>
      <c r="C1901">
        <v>202303</v>
      </c>
      <c r="D1901" t="str">
        <f t="shared" si="29"/>
        <v>2023</v>
      </c>
      <c r="E1901">
        <v>253250</v>
      </c>
      <c r="F1901">
        <v>13907307</v>
      </c>
      <c r="G1901">
        <v>1.82</v>
      </c>
      <c r="H1901" t="s">
        <v>10</v>
      </c>
      <c r="I1901" t="s">
        <v>11</v>
      </c>
    </row>
    <row r="1902" spans="1:9" hidden="1" x14ac:dyDescent="0.25">
      <c r="A1902" t="s">
        <v>8</v>
      </c>
      <c r="B1902" t="s">
        <v>37</v>
      </c>
      <c r="C1902">
        <v>202304</v>
      </c>
      <c r="D1902" t="str">
        <f t="shared" si="29"/>
        <v>2023</v>
      </c>
      <c r="E1902">
        <v>229351</v>
      </c>
      <c r="F1902">
        <v>13907307</v>
      </c>
      <c r="G1902">
        <v>1.65</v>
      </c>
      <c r="H1902" t="s">
        <v>10</v>
      </c>
      <c r="I1902" t="s">
        <v>11</v>
      </c>
    </row>
    <row r="1903" spans="1:9" hidden="1" x14ac:dyDescent="0.25">
      <c r="A1903" t="s">
        <v>8</v>
      </c>
      <c r="B1903" t="s">
        <v>37</v>
      </c>
      <c r="C1903">
        <v>202305</v>
      </c>
      <c r="D1903" t="str">
        <f t="shared" si="29"/>
        <v>2023</v>
      </c>
      <c r="E1903">
        <v>242968</v>
      </c>
      <c r="F1903">
        <v>13907307</v>
      </c>
      <c r="G1903">
        <v>1.75</v>
      </c>
      <c r="H1903" t="s">
        <v>10</v>
      </c>
      <c r="I1903" t="s">
        <v>11</v>
      </c>
    </row>
    <row r="1904" spans="1:9" hidden="1" x14ac:dyDescent="0.25">
      <c r="A1904" t="s">
        <v>8</v>
      </c>
      <c r="B1904" t="s">
        <v>37</v>
      </c>
      <c r="C1904">
        <v>202306</v>
      </c>
      <c r="D1904" t="str">
        <f t="shared" si="29"/>
        <v>2023</v>
      </c>
      <c r="E1904">
        <v>236079</v>
      </c>
      <c r="F1904">
        <v>13907307</v>
      </c>
      <c r="G1904">
        <v>1.7</v>
      </c>
      <c r="H1904" t="s">
        <v>10</v>
      </c>
      <c r="I1904" t="s">
        <v>11</v>
      </c>
    </row>
    <row r="1905" spans="1:9" hidden="1" x14ac:dyDescent="0.25">
      <c r="A1905" t="s">
        <v>8</v>
      </c>
      <c r="B1905" t="s">
        <v>37</v>
      </c>
      <c r="C1905">
        <v>202307</v>
      </c>
      <c r="D1905" t="str">
        <f t="shared" si="29"/>
        <v>2023</v>
      </c>
      <c r="E1905">
        <v>219807</v>
      </c>
      <c r="F1905">
        <v>13907307</v>
      </c>
      <c r="G1905">
        <v>1.58</v>
      </c>
      <c r="H1905" t="s">
        <v>10</v>
      </c>
      <c r="I1905" t="s">
        <v>11</v>
      </c>
    </row>
    <row r="1906" spans="1:9" hidden="1" x14ac:dyDescent="0.25">
      <c r="A1906" t="s">
        <v>8</v>
      </c>
      <c r="B1906" t="s">
        <v>37</v>
      </c>
      <c r="C1906">
        <v>202308</v>
      </c>
      <c r="D1906" t="str">
        <f t="shared" si="29"/>
        <v>2023</v>
      </c>
      <c r="E1906">
        <v>251356</v>
      </c>
      <c r="F1906">
        <v>13907307</v>
      </c>
      <c r="G1906">
        <v>1.81</v>
      </c>
      <c r="H1906" t="s">
        <v>10</v>
      </c>
      <c r="I1906" t="s">
        <v>11</v>
      </c>
    </row>
    <row r="1907" spans="1:9" hidden="1" x14ac:dyDescent="0.25">
      <c r="A1907" t="s">
        <v>8</v>
      </c>
      <c r="B1907" t="s">
        <v>37</v>
      </c>
      <c r="C1907">
        <v>202309</v>
      </c>
      <c r="D1907" t="str">
        <f t="shared" si="29"/>
        <v>2023</v>
      </c>
      <c r="E1907">
        <v>236054</v>
      </c>
      <c r="F1907">
        <v>13907307</v>
      </c>
      <c r="G1907">
        <v>1.7</v>
      </c>
      <c r="H1907" t="s">
        <v>10</v>
      </c>
      <c r="I1907" t="s">
        <v>11</v>
      </c>
    </row>
    <row r="1908" spans="1:9" hidden="1" x14ac:dyDescent="0.25">
      <c r="A1908" t="s">
        <v>8</v>
      </c>
      <c r="B1908" t="s">
        <v>37</v>
      </c>
      <c r="C1908">
        <v>202310</v>
      </c>
      <c r="D1908" t="str">
        <f t="shared" si="29"/>
        <v>2023</v>
      </c>
      <c r="E1908">
        <v>257702</v>
      </c>
      <c r="F1908">
        <v>13907307</v>
      </c>
      <c r="G1908">
        <v>1.85</v>
      </c>
      <c r="H1908" t="s">
        <v>10</v>
      </c>
      <c r="I1908" t="s">
        <v>11</v>
      </c>
    </row>
    <row r="1909" spans="1:9" hidden="1" x14ac:dyDescent="0.25">
      <c r="A1909" t="s">
        <v>8</v>
      </c>
      <c r="B1909" t="s">
        <v>37</v>
      </c>
      <c r="C1909">
        <v>202311</v>
      </c>
      <c r="D1909" t="str">
        <f t="shared" si="29"/>
        <v>2023</v>
      </c>
      <c r="E1909">
        <v>241920</v>
      </c>
      <c r="F1909">
        <v>13907307</v>
      </c>
      <c r="G1909">
        <v>1.74</v>
      </c>
      <c r="H1909" t="s">
        <v>10</v>
      </c>
      <c r="I1909" t="s">
        <v>11</v>
      </c>
    </row>
    <row r="1910" spans="1:9" hidden="1" x14ac:dyDescent="0.25">
      <c r="A1910" t="s">
        <v>8</v>
      </c>
      <c r="B1910" t="s">
        <v>37</v>
      </c>
      <c r="C1910">
        <v>202312</v>
      </c>
      <c r="D1910" t="str">
        <f t="shared" si="29"/>
        <v>2023</v>
      </c>
      <c r="E1910">
        <v>228351</v>
      </c>
      <c r="F1910">
        <v>13907307</v>
      </c>
      <c r="G1910">
        <v>1.64</v>
      </c>
      <c r="H1910" t="s">
        <v>10</v>
      </c>
      <c r="I1910" t="s">
        <v>11</v>
      </c>
    </row>
    <row r="1911" spans="1:9" hidden="1" x14ac:dyDescent="0.25">
      <c r="A1911" t="s">
        <v>8</v>
      </c>
      <c r="B1911" t="s">
        <v>37</v>
      </c>
      <c r="C1911">
        <v>202401</v>
      </c>
      <c r="D1911" t="str">
        <f t="shared" si="29"/>
        <v>2024</v>
      </c>
      <c r="E1911">
        <v>419081</v>
      </c>
      <c r="F1911">
        <v>13907307</v>
      </c>
      <c r="G1911">
        <v>3.01</v>
      </c>
      <c r="H1911" t="s">
        <v>10</v>
      </c>
      <c r="I1911" t="s">
        <v>11</v>
      </c>
    </row>
    <row r="1912" spans="1:9" hidden="1" x14ac:dyDescent="0.25">
      <c r="A1912" t="s">
        <v>8</v>
      </c>
      <c r="B1912" t="s">
        <v>37</v>
      </c>
      <c r="C1912">
        <v>202402</v>
      </c>
      <c r="D1912" t="str">
        <f t="shared" si="29"/>
        <v>2024</v>
      </c>
      <c r="E1912">
        <v>472708</v>
      </c>
      <c r="F1912">
        <v>13907307</v>
      </c>
      <c r="G1912">
        <v>3.4</v>
      </c>
      <c r="H1912" t="s">
        <v>10</v>
      </c>
      <c r="I1912" t="s">
        <v>11</v>
      </c>
    </row>
    <row r="1913" spans="1:9" hidden="1" x14ac:dyDescent="0.25">
      <c r="A1913" t="s">
        <v>8</v>
      </c>
      <c r="B1913" t="s">
        <v>37</v>
      </c>
      <c r="C1913">
        <v>202403</v>
      </c>
      <c r="D1913" t="str">
        <f t="shared" si="29"/>
        <v>2024</v>
      </c>
      <c r="E1913">
        <v>498805</v>
      </c>
      <c r="F1913">
        <v>13907307</v>
      </c>
      <c r="G1913">
        <v>3.59</v>
      </c>
      <c r="H1913" t="s">
        <v>10</v>
      </c>
      <c r="I1913" t="s">
        <v>11</v>
      </c>
    </row>
    <row r="1914" spans="1:9" hidden="1" x14ac:dyDescent="0.25">
      <c r="A1914" t="s">
        <v>8</v>
      </c>
      <c r="B1914" t="s">
        <v>37</v>
      </c>
      <c r="C1914">
        <v>202404</v>
      </c>
      <c r="D1914" t="str">
        <f t="shared" si="29"/>
        <v>2024</v>
      </c>
      <c r="E1914">
        <v>517151</v>
      </c>
      <c r="F1914">
        <v>13907307</v>
      </c>
      <c r="G1914">
        <v>3.72</v>
      </c>
      <c r="H1914" t="s">
        <v>10</v>
      </c>
      <c r="I1914" t="s">
        <v>11</v>
      </c>
    </row>
    <row r="1915" spans="1:9" hidden="1" x14ac:dyDescent="0.25">
      <c r="A1915" t="s">
        <v>8</v>
      </c>
      <c r="B1915" t="s">
        <v>37</v>
      </c>
      <c r="C1915">
        <v>202405</v>
      </c>
      <c r="D1915" t="str">
        <f t="shared" si="29"/>
        <v>2024</v>
      </c>
      <c r="E1915">
        <v>493044</v>
      </c>
      <c r="F1915">
        <v>13907307</v>
      </c>
      <c r="G1915">
        <v>3.55</v>
      </c>
      <c r="H1915" t="s">
        <v>10</v>
      </c>
      <c r="I1915" t="s">
        <v>11</v>
      </c>
    </row>
    <row r="1916" spans="1:9" hidden="1" x14ac:dyDescent="0.25">
      <c r="A1916" t="s">
        <v>8</v>
      </c>
      <c r="B1916" t="s">
        <v>37</v>
      </c>
      <c r="C1916">
        <v>202406</v>
      </c>
      <c r="D1916" t="str">
        <f t="shared" si="29"/>
        <v>2024</v>
      </c>
      <c r="E1916">
        <v>469390</v>
      </c>
      <c r="F1916">
        <v>13907307</v>
      </c>
      <c r="G1916">
        <v>3.38</v>
      </c>
      <c r="H1916" t="s">
        <v>10</v>
      </c>
      <c r="I1916" t="s">
        <v>11</v>
      </c>
    </row>
    <row r="1917" spans="1:9" hidden="1" x14ac:dyDescent="0.25">
      <c r="A1917" t="s">
        <v>8</v>
      </c>
      <c r="B1917" t="s">
        <v>37</v>
      </c>
      <c r="C1917">
        <v>202407</v>
      </c>
      <c r="D1917" t="str">
        <f t="shared" si="29"/>
        <v>2024</v>
      </c>
      <c r="E1917">
        <v>486900</v>
      </c>
      <c r="F1917">
        <v>13907307</v>
      </c>
      <c r="G1917">
        <v>3.5</v>
      </c>
      <c r="H1917" t="s">
        <v>10</v>
      </c>
      <c r="I1917" t="s">
        <v>11</v>
      </c>
    </row>
    <row r="1918" spans="1:9" hidden="1" x14ac:dyDescent="0.25">
      <c r="A1918" t="s">
        <v>8</v>
      </c>
      <c r="B1918" t="s">
        <v>37</v>
      </c>
      <c r="C1918">
        <v>202408</v>
      </c>
      <c r="D1918" t="str">
        <f t="shared" si="29"/>
        <v>2024</v>
      </c>
      <c r="E1918">
        <v>488644</v>
      </c>
      <c r="F1918">
        <v>13907307</v>
      </c>
      <c r="G1918">
        <v>3.51</v>
      </c>
      <c r="H1918" t="s">
        <v>10</v>
      </c>
      <c r="I1918" t="s">
        <v>11</v>
      </c>
    </row>
    <row r="1919" spans="1:9" hidden="1" x14ac:dyDescent="0.25">
      <c r="A1919" t="s">
        <v>8</v>
      </c>
      <c r="B1919" t="s">
        <v>37</v>
      </c>
      <c r="C1919">
        <v>202409</v>
      </c>
      <c r="D1919" t="str">
        <f t="shared" si="29"/>
        <v>2024</v>
      </c>
      <c r="E1919">
        <v>520735</v>
      </c>
      <c r="F1919">
        <v>13907307</v>
      </c>
      <c r="G1919">
        <v>3.74</v>
      </c>
      <c r="H1919" t="s">
        <v>10</v>
      </c>
      <c r="I1919" t="s">
        <v>11</v>
      </c>
    </row>
    <row r="1920" spans="1:9" hidden="1" x14ac:dyDescent="0.25">
      <c r="A1920" t="s">
        <v>8</v>
      </c>
      <c r="B1920" t="s">
        <v>37</v>
      </c>
      <c r="C1920">
        <v>202410</v>
      </c>
      <c r="D1920" t="str">
        <f t="shared" si="29"/>
        <v>2024</v>
      </c>
      <c r="E1920">
        <v>639754</v>
      </c>
      <c r="F1920">
        <v>13907307</v>
      </c>
      <c r="G1920">
        <v>4.5999999999999996</v>
      </c>
      <c r="H1920" t="s">
        <v>10</v>
      </c>
      <c r="I1920" t="s">
        <v>11</v>
      </c>
    </row>
    <row r="1921" spans="1:9" hidden="1" x14ac:dyDescent="0.25">
      <c r="A1921" t="s">
        <v>8</v>
      </c>
      <c r="B1921" t="s">
        <v>37</v>
      </c>
      <c r="C1921">
        <v>202411</v>
      </c>
      <c r="D1921" t="str">
        <f t="shared" si="29"/>
        <v>2024</v>
      </c>
      <c r="E1921">
        <v>566348</v>
      </c>
      <c r="F1921">
        <v>13907307</v>
      </c>
      <c r="G1921">
        <v>4.07</v>
      </c>
      <c r="H1921" t="s">
        <v>10</v>
      </c>
      <c r="I1921" t="s">
        <v>11</v>
      </c>
    </row>
    <row r="1922" spans="1:9" hidden="1" x14ac:dyDescent="0.25">
      <c r="A1922" t="s">
        <v>8</v>
      </c>
      <c r="B1922" t="s">
        <v>37</v>
      </c>
      <c r="C1922">
        <v>202412</v>
      </c>
      <c r="D1922" t="str">
        <f t="shared" si="29"/>
        <v>2024</v>
      </c>
      <c r="E1922">
        <v>599579</v>
      </c>
      <c r="F1922">
        <v>13907307</v>
      </c>
      <c r="G1922">
        <v>4.3099999999999996</v>
      </c>
      <c r="H1922" t="s">
        <v>10</v>
      </c>
      <c r="I1922" t="s">
        <v>11</v>
      </c>
    </row>
    <row r="1923" spans="1:9" x14ac:dyDescent="0.25">
      <c r="A1923" t="s">
        <v>8</v>
      </c>
      <c r="B1923" t="s">
        <v>37</v>
      </c>
      <c r="C1923">
        <v>202501</v>
      </c>
      <c r="D1923" t="str">
        <f t="shared" ref="D1923:D1986" si="30">LEFT(C1923,4)</f>
        <v>2025</v>
      </c>
      <c r="E1923">
        <v>517907</v>
      </c>
      <c r="F1923">
        <v>13907307</v>
      </c>
      <c r="G1923">
        <v>3.72</v>
      </c>
      <c r="H1923" t="s">
        <v>10</v>
      </c>
      <c r="I1923" t="s">
        <v>11</v>
      </c>
    </row>
    <row r="1924" spans="1:9" x14ac:dyDescent="0.25">
      <c r="A1924" t="s">
        <v>8</v>
      </c>
      <c r="B1924" t="s">
        <v>37</v>
      </c>
      <c r="C1924">
        <v>202502</v>
      </c>
      <c r="D1924" t="str">
        <f t="shared" si="30"/>
        <v>2025</v>
      </c>
      <c r="E1924">
        <v>474242</v>
      </c>
      <c r="F1924">
        <v>13907307</v>
      </c>
      <c r="G1924">
        <v>3.41</v>
      </c>
      <c r="H1924" t="s">
        <v>10</v>
      </c>
      <c r="I1924" t="s">
        <v>11</v>
      </c>
    </row>
    <row r="1925" spans="1:9" x14ac:dyDescent="0.25">
      <c r="A1925" t="s">
        <v>8</v>
      </c>
      <c r="B1925" t="s">
        <v>37</v>
      </c>
      <c r="C1925">
        <v>202503</v>
      </c>
      <c r="D1925" t="str">
        <f t="shared" si="30"/>
        <v>2025</v>
      </c>
      <c r="E1925">
        <v>530461</v>
      </c>
      <c r="F1925">
        <v>13907307</v>
      </c>
      <c r="G1925">
        <v>3.81</v>
      </c>
      <c r="H1925" t="s">
        <v>10</v>
      </c>
      <c r="I1925" t="s">
        <v>11</v>
      </c>
    </row>
    <row r="1926" spans="1:9" x14ac:dyDescent="0.25">
      <c r="A1926" t="s">
        <v>8</v>
      </c>
      <c r="B1926" t="s">
        <v>37</v>
      </c>
      <c r="C1926">
        <v>202504</v>
      </c>
      <c r="D1926" t="str">
        <f t="shared" si="30"/>
        <v>2025</v>
      </c>
      <c r="E1926">
        <v>462395</v>
      </c>
      <c r="F1926">
        <v>13907307</v>
      </c>
      <c r="G1926">
        <v>3.32</v>
      </c>
      <c r="H1926" t="s">
        <v>10</v>
      </c>
      <c r="I1926" t="s">
        <v>11</v>
      </c>
    </row>
    <row r="1927" spans="1:9" x14ac:dyDescent="0.25">
      <c r="A1927" t="s">
        <v>8</v>
      </c>
      <c r="B1927" t="s">
        <v>37</v>
      </c>
      <c r="C1927">
        <v>202505</v>
      </c>
      <c r="D1927" t="str">
        <f t="shared" si="30"/>
        <v>2025</v>
      </c>
      <c r="E1927">
        <v>403933</v>
      </c>
      <c r="F1927">
        <v>13907307</v>
      </c>
      <c r="G1927">
        <v>2.9</v>
      </c>
      <c r="H1927" t="s">
        <v>10</v>
      </c>
      <c r="I1927" t="s">
        <v>11</v>
      </c>
    </row>
    <row r="1928" spans="1:9" x14ac:dyDescent="0.25">
      <c r="A1928" t="s">
        <v>8</v>
      </c>
      <c r="B1928" t="s">
        <v>37</v>
      </c>
      <c r="C1928">
        <v>202506</v>
      </c>
      <c r="D1928" t="str">
        <f t="shared" si="30"/>
        <v>2025</v>
      </c>
      <c r="E1928">
        <v>401761</v>
      </c>
      <c r="F1928">
        <v>13907307</v>
      </c>
      <c r="G1928">
        <v>2.89</v>
      </c>
      <c r="H1928" t="s">
        <v>10</v>
      </c>
      <c r="I1928" t="s">
        <v>11</v>
      </c>
    </row>
    <row r="1929" spans="1:9" x14ac:dyDescent="0.25">
      <c r="A1929" t="s">
        <v>8</v>
      </c>
      <c r="B1929" t="s">
        <v>37</v>
      </c>
      <c r="C1929">
        <v>202507</v>
      </c>
      <c r="D1929" t="str">
        <f t="shared" si="30"/>
        <v>2025</v>
      </c>
      <c r="E1929">
        <v>383340</v>
      </c>
      <c r="F1929">
        <v>13907307</v>
      </c>
      <c r="G1929">
        <v>2.76</v>
      </c>
      <c r="H1929" t="s">
        <v>10</v>
      </c>
      <c r="I1929" t="s">
        <v>11</v>
      </c>
    </row>
    <row r="1930" spans="1:9" x14ac:dyDescent="0.25">
      <c r="A1930" t="s">
        <v>8</v>
      </c>
      <c r="B1930" t="s">
        <v>37</v>
      </c>
      <c r="C1930">
        <v>202508</v>
      </c>
      <c r="D1930" t="str">
        <f t="shared" si="30"/>
        <v>2025</v>
      </c>
      <c r="E1930">
        <v>334424</v>
      </c>
      <c r="F1930">
        <v>13907307</v>
      </c>
      <c r="G1930">
        <v>2.4</v>
      </c>
      <c r="H1930" t="s">
        <v>10</v>
      </c>
      <c r="I1930" t="s">
        <v>11</v>
      </c>
    </row>
    <row r="1931" spans="1:9" x14ac:dyDescent="0.25">
      <c r="A1931" t="s">
        <v>8</v>
      </c>
      <c r="B1931" t="s">
        <v>37</v>
      </c>
      <c r="C1931">
        <v>202509</v>
      </c>
      <c r="D1931" t="str">
        <f t="shared" si="30"/>
        <v>2025</v>
      </c>
      <c r="E1931">
        <v>75284</v>
      </c>
      <c r="F1931">
        <v>13907307</v>
      </c>
      <c r="G1931">
        <v>0.54</v>
      </c>
      <c r="H1931" t="s">
        <v>10</v>
      </c>
      <c r="I1931" t="s">
        <v>11</v>
      </c>
    </row>
    <row r="1932" spans="1:9" hidden="1" x14ac:dyDescent="0.25">
      <c r="A1932" t="s">
        <v>8</v>
      </c>
      <c r="B1932" t="s">
        <v>38</v>
      </c>
      <c r="C1932">
        <v>201901</v>
      </c>
      <c r="D1932" t="str">
        <f t="shared" si="30"/>
        <v>2019</v>
      </c>
      <c r="E1932">
        <v>134</v>
      </c>
      <c r="F1932">
        <v>14163403</v>
      </c>
      <c r="G1932">
        <v>0</v>
      </c>
      <c r="H1932" t="s">
        <v>10</v>
      </c>
      <c r="I1932" t="s">
        <v>11</v>
      </c>
    </row>
    <row r="1933" spans="1:9" hidden="1" x14ac:dyDescent="0.25">
      <c r="A1933" t="s">
        <v>8</v>
      </c>
      <c r="B1933" t="s">
        <v>38</v>
      </c>
      <c r="C1933">
        <v>201902</v>
      </c>
      <c r="D1933" t="str">
        <f t="shared" si="30"/>
        <v>2019</v>
      </c>
      <c r="E1933">
        <v>106</v>
      </c>
      <c r="F1933">
        <v>14163403</v>
      </c>
      <c r="G1933">
        <v>0</v>
      </c>
      <c r="H1933" t="s">
        <v>10</v>
      </c>
      <c r="I1933" t="s">
        <v>11</v>
      </c>
    </row>
    <row r="1934" spans="1:9" hidden="1" x14ac:dyDescent="0.25">
      <c r="A1934" t="s">
        <v>8</v>
      </c>
      <c r="B1934" t="s">
        <v>38</v>
      </c>
      <c r="C1934">
        <v>201903</v>
      </c>
      <c r="D1934" t="str">
        <f t="shared" si="30"/>
        <v>2019</v>
      </c>
      <c r="E1934">
        <v>198</v>
      </c>
      <c r="F1934">
        <v>14163403</v>
      </c>
      <c r="G1934">
        <v>0</v>
      </c>
      <c r="H1934" t="s">
        <v>10</v>
      </c>
      <c r="I1934" t="s">
        <v>11</v>
      </c>
    </row>
    <row r="1935" spans="1:9" hidden="1" x14ac:dyDescent="0.25">
      <c r="A1935" t="s">
        <v>8</v>
      </c>
      <c r="B1935" t="s">
        <v>38</v>
      </c>
      <c r="C1935">
        <v>201904</v>
      </c>
      <c r="D1935" t="str">
        <f t="shared" si="30"/>
        <v>2019</v>
      </c>
      <c r="E1935">
        <v>186</v>
      </c>
      <c r="F1935">
        <v>14163403</v>
      </c>
      <c r="G1935">
        <v>0</v>
      </c>
      <c r="H1935" t="s">
        <v>10</v>
      </c>
      <c r="I1935" t="s">
        <v>11</v>
      </c>
    </row>
    <row r="1936" spans="1:9" hidden="1" x14ac:dyDescent="0.25">
      <c r="A1936" t="s">
        <v>8</v>
      </c>
      <c r="B1936" t="s">
        <v>38</v>
      </c>
      <c r="C1936">
        <v>201905</v>
      </c>
      <c r="D1936" t="str">
        <f t="shared" si="30"/>
        <v>2019</v>
      </c>
      <c r="E1936">
        <v>270</v>
      </c>
      <c r="F1936">
        <v>14163403</v>
      </c>
      <c r="G1936">
        <v>0</v>
      </c>
      <c r="H1936" t="s">
        <v>10</v>
      </c>
      <c r="I1936" t="s">
        <v>11</v>
      </c>
    </row>
    <row r="1937" spans="1:9" hidden="1" x14ac:dyDescent="0.25">
      <c r="A1937" t="s">
        <v>8</v>
      </c>
      <c r="B1937" t="s">
        <v>38</v>
      </c>
      <c r="C1937">
        <v>201906</v>
      </c>
      <c r="D1937" t="str">
        <f t="shared" si="30"/>
        <v>2019</v>
      </c>
      <c r="E1937">
        <v>408</v>
      </c>
      <c r="F1937">
        <v>14163403</v>
      </c>
      <c r="G1937">
        <v>0</v>
      </c>
      <c r="H1937" t="s">
        <v>10</v>
      </c>
      <c r="I1937" t="s">
        <v>11</v>
      </c>
    </row>
    <row r="1938" spans="1:9" hidden="1" x14ac:dyDescent="0.25">
      <c r="A1938" t="s">
        <v>8</v>
      </c>
      <c r="B1938" t="s">
        <v>38</v>
      </c>
      <c r="C1938">
        <v>201907</v>
      </c>
      <c r="D1938" t="str">
        <f t="shared" si="30"/>
        <v>2019</v>
      </c>
      <c r="E1938">
        <v>218</v>
      </c>
      <c r="F1938">
        <v>14163403</v>
      </c>
      <c r="G1938">
        <v>0</v>
      </c>
      <c r="H1938" t="s">
        <v>10</v>
      </c>
      <c r="I1938" t="s">
        <v>11</v>
      </c>
    </row>
    <row r="1939" spans="1:9" hidden="1" x14ac:dyDescent="0.25">
      <c r="A1939" t="s">
        <v>8</v>
      </c>
      <c r="B1939" t="s">
        <v>38</v>
      </c>
      <c r="C1939">
        <v>201908</v>
      </c>
      <c r="D1939" t="str">
        <f t="shared" si="30"/>
        <v>2019</v>
      </c>
      <c r="E1939">
        <v>113</v>
      </c>
      <c r="F1939">
        <v>14163403</v>
      </c>
      <c r="G1939">
        <v>0</v>
      </c>
      <c r="H1939" t="s">
        <v>10</v>
      </c>
      <c r="I1939" t="s">
        <v>11</v>
      </c>
    </row>
    <row r="1940" spans="1:9" hidden="1" x14ac:dyDescent="0.25">
      <c r="A1940" t="s">
        <v>8</v>
      </c>
      <c r="B1940" t="s">
        <v>38</v>
      </c>
      <c r="C1940">
        <v>201909</v>
      </c>
      <c r="D1940" t="str">
        <f t="shared" si="30"/>
        <v>2019</v>
      </c>
      <c r="E1940">
        <v>123</v>
      </c>
      <c r="F1940">
        <v>14163403</v>
      </c>
      <c r="G1940">
        <v>0</v>
      </c>
      <c r="H1940" t="s">
        <v>10</v>
      </c>
      <c r="I1940" t="s">
        <v>11</v>
      </c>
    </row>
    <row r="1941" spans="1:9" hidden="1" x14ac:dyDescent="0.25">
      <c r="A1941" t="s">
        <v>8</v>
      </c>
      <c r="B1941" t="s">
        <v>38</v>
      </c>
      <c r="C1941">
        <v>201910</v>
      </c>
      <c r="D1941" t="str">
        <f t="shared" si="30"/>
        <v>2019</v>
      </c>
      <c r="E1941">
        <v>145</v>
      </c>
      <c r="F1941">
        <v>14163403</v>
      </c>
      <c r="G1941">
        <v>0</v>
      </c>
      <c r="H1941" t="s">
        <v>10</v>
      </c>
      <c r="I1941" t="s">
        <v>11</v>
      </c>
    </row>
    <row r="1942" spans="1:9" hidden="1" x14ac:dyDescent="0.25">
      <c r="A1942" t="s">
        <v>8</v>
      </c>
      <c r="B1942" t="s">
        <v>38</v>
      </c>
      <c r="C1942">
        <v>201911</v>
      </c>
      <c r="D1942" t="str">
        <f t="shared" si="30"/>
        <v>2019</v>
      </c>
      <c r="E1942">
        <v>99</v>
      </c>
      <c r="F1942">
        <v>14163403</v>
      </c>
      <c r="G1942">
        <v>0</v>
      </c>
      <c r="H1942" t="s">
        <v>10</v>
      </c>
      <c r="I1942" t="s">
        <v>11</v>
      </c>
    </row>
    <row r="1943" spans="1:9" hidden="1" x14ac:dyDescent="0.25">
      <c r="A1943" t="s">
        <v>8</v>
      </c>
      <c r="B1943" t="s">
        <v>38</v>
      </c>
      <c r="C1943">
        <v>201912</v>
      </c>
      <c r="D1943" t="str">
        <f t="shared" si="30"/>
        <v>2019</v>
      </c>
      <c r="E1943">
        <v>14</v>
      </c>
      <c r="F1943">
        <v>14163403</v>
      </c>
      <c r="G1943">
        <v>0</v>
      </c>
      <c r="H1943" t="s">
        <v>10</v>
      </c>
      <c r="I1943" t="s">
        <v>11</v>
      </c>
    </row>
    <row r="1944" spans="1:9" hidden="1" x14ac:dyDescent="0.25">
      <c r="A1944" t="s">
        <v>8</v>
      </c>
      <c r="B1944" t="s">
        <v>38</v>
      </c>
      <c r="C1944">
        <v>202001</v>
      </c>
      <c r="D1944" t="str">
        <f t="shared" si="30"/>
        <v>2020</v>
      </c>
      <c r="E1944">
        <v>591</v>
      </c>
      <c r="F1944">
        <v>14163403</v>
      </c>
      <c r="G1944">
        <v>0</v>
      </c>
      <c r="H1944" t="s">
        <v>10</v>
      </c>
      <c r="I1944" t="s">
        <v>11</v>
      </c>
    </row>
    <row r="1945" spans="1:9" hidden="1" x14ac:dyDescent="0.25">
      <c r="A1945" t="s">
        <v>8</v>
      </c>
      <c r="B1945" t="s">
        <v>38</v>
      </c>
      <c r="C1945">
        <v>202002</v>
      </c>
      <c r="D1945" t="str">
        <f t="shared" si="30"/>
        <v>2020</v>
      </c>
      <c r="E1945">
        <v>281</v>
      </c>
      <c r="F1945">
        <v>14163403</v>
      </c>
      <c r="G1945">
        <v>0</v>
      </c>
      <c r="H1945" t="s">
        <v>10</v>
      </c>
      <c r="I1945" t="s">
        <v>11</v>
      </c>
    </row>
    <row r="1946" spans="1:9" hidden="1" x14ac:dyDescent="0.25">
      <c r="A1946" t="s">
        <v>8</v>
      </c>
      <c r="B1946" t="s">
        <v>38</v>
      </c>
      <c r="C1946">
        <v>202003</v>
      </c>
      <c r="D1946" t="str">
        <f t="shared" si="30"/>
        <v>2020</v>
      </c>
      <c r="E1946">
        <v>379</v>
      </c>
      <c r="F1946">
        <v>14163403</v>
      </c>
      <c r="G1946">
        <v>0</v>
      </c>
      <c r="H1946" t="s">
        <v>10</v>
      </c>
      <c r="I1946" t="s">
        <v>11</v>
      </c>
    </row>
    <row r="1947" spans="1:9" hidden="1" x14ac:dyDescent="0.25">
      <c r="A1947" t="s">
        <v>8</v>
      </c>
      <c r="B1947" t="s">
        <v>38</v>
      </c>
      <c r="C1947">
        <v>202004</v>
      </c>
      <c r="D1947" t="str">
        <f t="shared" si="30"/>
        <v>2020</v>
      </c>
      <c r="E1947">
        <v>269</v>
      </c>
      <c r="F1947">
        <v>14163403</v>
      </c>
      <c r="G1947">
        <v>0</v>
      </c>
      <c r="H1947" t="s">
        <v>10</v>
      </c>
      <c r="I1947" t="s">
        <v>11</v>
      </c>
    </row>
    <row r="1948" spans="1:9" hidden="1" x14ac:dyDescent="0.25">
      <c r="A1948" t="s">
        <v>8</v>
      </c>
      <c r="B1948" t="s">
        <v>38</v>
      </c>
      <c r="C1948">
        <v>202005</v>
      </c>
      <c r="D1948" t="str">
        <f t="shared" si="30"/>
        <v>2020</v>
      </c>
      <c r="E1948">
        <v>371</v>
      </c>
      <c r="F1948">
        <v>14163403</v>
      </c>
      <c r="G1948">
        <v>0</v>
      </c>
      <c r="H1948" t="s">
        <v>10</v>
      </c>
      <c r="I1948" t="s">
        <v>11</v>
      </c>
    </row>
    <row r="1949" spans="1:9" hidden="1" x14ac:dyDescent="0.25">
      <c r="A1949" t="s">
        <v>8</v>
      </c>
      <c r="B1949" t="s">
        <v>38</v>
      </c>
      <c r="C1949">
        <v>202006</v>
      </c>
      <c r="D1949" t="str">
        <f t="shared" si="30"/>
        <v>2020</v>
      </c>
      <c r="E1949">
        <v>465</v>
      </c>
      <c r="F1949">
        <v>14163403</v>
      </c>
      <c r="G1949">
        <v>0</v>
      </c>
      <c r="H1949" t="s">
        <v>10</v>
      </c>
      <c r="I1949" t="s">
        <v>11</v>
      </c>
    </row>
    <row r="1950" spans="1:9" hidden="1" x14ac:dyDescent="0.25">
      <c r="A1950" t="s">
        <v>8</v>
      </c>
      <c r="B1950" t="s">
        <v>38</v>
      </c>
      <c r="C1950">
        <v>202007</v>
      </c>
      <c r="D1950" t="str">
        <f t="shared" si="30"/>
        <v>2020</v>
      </c>
      <c r="E1950">
        <v>399</v>
      </c>
      <c r="F1950">
        <v>14163403</v>
      </c>
      <c r="G1950">
        <v>0</v>
      </c>
      <c r="H1950" t="s">
        <v>10</v>
      </c>
      <c r="I1950" t="s">
        <v>11</v>
      </c>
    </row>
    <row r="1951" spans="1:9" hidden="1" x14ac:dyDescent="0.25">
      <c r="A1951" t="s">
        <v>8</v>
      </c>
      <c r="B1951" t="s">
        <v>38</v>
      </c>
      <c r="C1951">
        <v>202008</v>
      </c>
      <c r="D1951" t="str">
        <f t="shared" si="30"/>
        <v>2020</v>
      </c>
      <c r="E1951">
        <v>419</v>
      </c>
      <c r="F1951">
        <v>14163403</v>
      </c>
      <c r="G1951">
        <v>0</v>
      </c>
      <c r="H1951" t="s">
        <v>10</v>
      </c>
      <c r="I1951" t="s">
        <v>11</v>
      </c>
    </row>
    <row r="1952" spans="1:9" hidden="1" x14ac:dyDescent="0.25">
      <c r="A1952" t="s">
        <v>8</v>
      </c>
      <c r="B1952" t="s">
        <v>38</v>
      </c>
      <c r="C1952">
        <v>202009</v>
      </c>
      <c r="D1952" t="str">
        <f t="shared" si="30"/>
        <v>2020</v>
      </c>
      <c r="E1952">
        <v>359</v>
      </c>
      <c r="F1952">
        <v>14163403</v>
      </c>
      <c r="G1952">
        <v>0</v>
      </c>
      <c r="H1952" t="s">
        <v>10</v>
      </c>
      <c r="I1952" t="s">
        <v>11</v>
      </c>
    </row>
    <row r="1953" spans="1:9" hidden="1" x14ac:dyDescent="0.25">
      <c r="A1953" t="s">
        <v>8</v>
      </c>
      <c r="B1953" t="s">
        <v>38</v>
      </c>
      <c r="C1953">
        <v>202010</v>
      </c>
      <c r="D1953" t="str">
        <f t="shared" si="30"/>
        <v>2020</v>
      </c>
      <c r="E1953">
        <v>372</v>
      </c>
      <c r="F1953">
        <v>14163403</v>
      </c>
      <c r="G1953">
        <v>0</v>
      </c>
      <c r="H1953" t="s">
        <v>10</v>
      </c>
      <c r="I1953" t="s">
        <v>11</v>
      </c>
    </row>
    <row r="1954" spans="1:9" hidden="1" x14ac:dyDescent="0.25">
      <c r="A1954" t="s">
        <v>8</v>
      </c>
      <c r="B1954" t="s">
        <v>38</v>
      </c>
      <c r="C1954">
        <v>202011</v>
      </c>
      <c r="D1954" t="str">
        <f t="shared" si="30"/>
        <v>2020</v>
      </c>
      <c r="E1954">
        <v>391</v>
      </c>
      <c r="F1954">
        <v>14163403</v>
      </c>
      <c r="G1954">
        <v>0</v>
      </c>
      <c r="H1954" t="s">
        <v>10</v>
      </c>
      <c r="I1954" t="s">
        <v>11</v>
      </c>
    </row>
    <row r="1955" spans="1:9" hidden="1" x14ac:dyDescent="0.25">
      <c r="A1955" t="s">
        <v>8</v>
      </c>
      <c r="B1955" t="s">
        <v>38</v>
      </c>
      <c r="C1955">
        <v>202012</v>
      </c>
      <c r="D1955" t="str">
        <f t="shared" si="30"/>
        <v>2020</v>
      </c>
      <c r="E1955">
        <v>609</v>
      </c>
      <c r="F1955">
        <v>14163403</v>
      </c>
      <c r="G1955">
        <v>0</v>
      </c>
      <c r="H1955" t="s">
        <v>10</v>
      </c>
      <c r="I1955" t="s">
        <v>11</v>
      </c>
    </row>
    <row r="1956" spans="1:9" hidden="1" x14ac:dyDescent="0.25">
      <c r="A1956" t="s">
        <v>8</v>
      </c>
      <c r="B1956" t="s">
        <v>38</v>
      </c>
      <c r="C1956">
        <v>202101</v>
      </c>
      <c r="D1956" t="str">
        <f t="shared" si="30"/>
        <v>2021</v>
      </c>
      <c r="E1956">
        <v>14852</v>
      </c>
      <c r="F1956">
        <v>14163403</v>
      </c>
      <c r="G1956">
        <v>0.1</v>
      </c>
      <c r="H1956" t="s">
        <v>10</v>
      </c>
      <c r="I1956" t="s">
        <v>11</v>
      </c>
    </row>
    <row r="1957" spans="1:9" hidden="1" x14ac:dyDescent="0.25">
      <c r="A1957" t="s">
        <v>8</v>
      </c>
      <c r="B1957" t="s">
        <v>38</v>
      </c>
      <c r="C1957">
        <v>202102</v>
      </c>
      <c r="D1957" t="str">
        <f t="shared" si="30"/>
        <v>2021</v>
      </c>
      <c r="E1957">
        <v>14611</v>
      </c>
      <c r="F1957">
        <v>14163403</v>
      </c>
      <c r="G1957">
        <v>0.1</v>
      </c>
      <c r="H1957" t="s">
        <v>10</v>
      </c>
      <c r="I1957" t="s">
        <v>11</v>
      </c>
    </row>
    <row r="1958" spans="1:9" hidden="1" x14ac:dyDescent="0.25">
      <c r="A1958" t="s">
        <v>8</v>
      </c>
      <c r="B1958" t="s">
        <v>38</v>
      </c>
      <c r="C1958">
        <v>202103</v>
      </c>
      <c r="D1958" t="str">
        <f t="shared" si="30"/>
        <v>2021</v>
      </c>
      <c r="E1958">
        <v>18211</v>
      </c>
      <c r="F1958">
        <v>14163403</v>
      </c>
      <c r="G1958">
        <v>0.13</v>
      </c>
      <c r="H1958" t="s">
        <v>10</v>
      </c>
      <c r="I1958" t="s">
        <v>11</v>
      </c>
    </row>
    <row r="1959" spans="1:9" hidden="1" x14ac:dyDescent="0.25">
      <c r="A1959" t="s">
        <v>8</v>
      </c>
      <c r="B1959" t="s">
        <v>38</v>
      </c>
      <c r="C1959">
        <v>202104</v>
      </c>
      <c r="D1959" t="str">
        <f t="shared" si="30"/>
        <v>2021</v>
      </c>
      <c r="E1959">
        <v>17553</v>
      </c>
      <c r="F1959">
        <v>14163403</v>
      </c>
      <c r="G1959">
        <v>0.12</v>
      </c>
      <c r="H1959" t="s">
        <v>10</v>
      </c>
      <c r="I1959" t="s">
        <v>11</v>
      </c>
    </row>
    <row r="1960" spans="1:9" hidden="1" x14ac:dyDescent="0.25">
      <c r="A1960" t="s">
        <v>8</v>
      </c>
      <c r="B1960" t="s">
        <v>38</v>
      </c>
      <c r="C1960">
        <v>202105</v>
      </c>
      <c r="D1960" t="str">
        <f t="shared" si="30"/>
        <v>2021</v>
      </c>
      <c r="E1960">
        <v>16371</v>
      </c>
      <c r="F1960">
        <v>14163403</v>
      </c>
      <c r="G1960">
        <v>0.12</v>
      </c>
      <c r="H1960" t="s">
        <v>10</v>
      </c>
      <c r="I1960" t="s">
        <v>11</v>
      </c>
    </row>
    <row r="1961" spans="1:9" hidden="1" x14ac:dyDescent="0.25">
      <c r="A1961" t="s">
        <v>8</v>
      </c>
      <c r="B1961" t="s">
        <v>38</v>
      </c>
      <c r="C1961">
        <v>202106</v>
      </c>
      <c r="D1961" t="str">
        <f t="shared" si="30"/>
        <v>2021</v>
      </c>
      <c r="E1961">
        <v>18526</v>
      </c>
      <c r="F1961">
        <v>14163403</v>
      </c>
      <c r="G1961">
        <v>0.13</v>
      </c>
      <c r="H1961" t="s">
        <v>10</v>
      </c>
      <c r="I1961" t="s">
        <v>11</v>
      </c>
    </row>
    <row r="1962" spans="1:9" hidden="1" x14ac:dyDescent="0.25">
      <c r="A1962" t="s">
        <v>8</v>
      </c>
      <c r="B1962" t="s">
        <v>38</v>
      </c>
      <c r="C1962">
        <v>202107</v>
      </c>
      <c r="D1962" t="str">
        <f t="shared" si="30"/>
        <v>2021</v>
      </c>
      <c r="E1962">
        <v>50579</v>
      </c>
      <c r="F1962">
        <v>14163403</v>
      </c>
      <c r="G1962">
        <v>0.36</v>
      </c>
      <c r="H1962" t="s">
        <v>10</v>
      </c>
      <c r="I1962" t="s">
        <v>11</v>
      </c>
    </row>
    <row r="1963" spans="1:9" hidden="1" x14ac:dyDescent="0.25">
      <c r="A1963" t="s">
        <v>8</v>
      </c>
      <c r="B1963" t="s">
        <v>38</v>
      </c>
      <c r="C1963">
        <v>202108</v>
      </c>
      <c r="D1963" t="str">
        <f t="shared" si="30"/>
        <v>2021</v>
      </c>
      <c r="E1963">
        <v>55042</v>
      </c>
      <c r="F1963">
        <v>14163403</v>
      </c>
      <c r="G1963">
        <v>0.39</v>
      </c>
      <c r="H1963" t="s">
        <v>10</v>
      </c>
      <c r="I1963" t="s">
        <v>11</v>
      </c>
    </row>
    <row r="1964" spans="1:9" hidden="1" x14ac:dyDescent="0.25">
      <c r="A1964" t="s">
        <v>8</v>
      </c>
      <c r="B1964" t="s">
        <v>38</v>
      </c>
      <c r="C1964">
        <v>202109</v>
      </c>
      <c r="D1964" t="str">
        <f t="shared" si="30"/>
        <v>2021</v>
      </c>
      <c r="E1964">
        <v>59020</v>
      </c>
      <c r="F1964">
        <v>14163403</v>
      </c>
      <c r="G1964">
        <v>0.42</v>
      </c>
      <c r="H1964" t="s">
        <v>10</v>
      </c>
      <c r="I1964" t="s">
        <v>11</v>
      </c>
    </row>
    <row r="1965" spans="1:9" hidden="1" x14ac:dyDescent="0.25">
      <c r="A1965" t="s">
        <v>8</v>
      </c>
      <c r="B1965" t="s">
        <v>38</v>
      </c>
      <c r="C1965">
        <v>202110</v>
      </c>
      <c r="D1965" t="str">
        <f t="shared" si="30"/>
        <v>2021</v>
      </c>
      <c r="E1965">
        <v>58551</v>
      </c>
      <c r="F1965">
        <v>14163403</v>
      </c>
      <c r="G1965">
        <v>0.41</v>
      </c>
      <c r="H1965" t="s">
        <v>10</v>
      </c>
      <c r="I1965" t="s">
        <v>11</v>
      </c>
    </row>
    <row r="1966" spans="1:9" hidden="1" x14ac:dyDescent="0.25">
      <c r="A1966" t="s">
        <v>8</v>
      </c>
      <c r="B1966" t="s">
        <v>38</v>
      </c>
      <c r="C1966">
        <v>202111</v>
      </c>
      <c r="D1966" t="str">
        <f t="shared" si="30"/>
        <v>2021</v>
      </c>
      <c r="E1966">
        <v>61287</v>
      </c>
      <c r="F1966">
        <v>14163403</v>
      </c>
      <c r="G1966">
        <v>0.43</v>
      </c>
      <c r="H1966" t="s">
        <v>10</v>
      </c>
      <c r="I1966" t="s">
        <v>11</v>
      </c>
    </row>
    <row r="1967" spans="1:9" hidden="1" x14ac:dyDescent="0.25">
      <c r="A1967" t="s">
        <v>8</v>
      </c>
      <c r="B1967" t="s">
        <v>38</v>
      </c>
      <c r="C1967">
        <v>202112</v>
      </c>
      <c r="D1967" t="str">
        <f t="shared" si="30"/>
        <v>2021</v>
      </c>
      <c r="E1967">
        <v>62140</v>
      </c>
      <c r="F1967">
        <v>14163403</v>
      </c>
      <c r="G1967">
        <v>0.44</v>
      </c>
      <c r="H1967" t="s">
        <v>10</v>
      </c>
      <c r="I1967" t="s">
        <v>11</v>
      </c>
    </row>
    <row r="1968" spans="1:9" hidden="1" x14ac:dyDescent="0.25">
      <c r="A1968" t="s">
        <v>8</v>
      </c>
      <c r="B1968" t="s">
        <v>38</v>
      </c>
      <c r="C1968">
        <v>202201</v>
      </c>
      <c r="D1968" t="str">
        <f t="shared" si="30"/>
        <v>2022</v>
      </c>
      <c r="E1968">
        <v>49999</v>
      </c>
      <c r="F1968">
        <v>14163403</v>
      </c>
      <c r="G1968">
        <v>0.35</v>
      </c>
      <c r="H1968" t="s">
        <v>10</v>
      </c>
      <c r="I1968" t="s">
        <v>11</v>
      </c>
    </row>
    <row r="1969" spans="1:9" hidden="1" x14ac:dyDescent="0.25">
      <c r="A1969" t="s">
        <v>8</v>
      </c>
      <c r="B1969" t="s">
        <v>38</v>
      </c>
      <c r="C1969">
        <v>202202</v>
      </c>
      <c r="D1969" t="str">
        <f t="shared" si="30"/>
        <v>2022</v>
      </c>
      <c r="E1969">
        <v>40263</v>
      </c>
      <c r="F1969">
        <v>14163403</v>
      </c>
      <c r="G1969">
        <v>0.28000000000000003</v>
      </c>
      <c r="H1969" t="s">
        <v>10</v>
      </c>
      <c r="I1969" t="s">
        <v>11</v>
      </c>
    </row>
    <row r="1970" spans="1:9" hidden="1" x14ac:dyDescent="0.25">
      <c r="A1970" t="s">
        <v>8</v>
      </c>
      <c r="B1970" t="s">
        <v>38</v>
      </c>
      <c r="C1970">
        <v>202203</v>
      </c>
      <c r="D1970" t="str">
        <f t="shared" si="30"/>
        <v>2022</v>
      </c>
      <c r="E1970">
        <v>45258</v>
      </c>
      <c r="F1970">
        <v>14163403</v>
      </c>
      <c r="G1970">
        <v>0.32</v>
      </c>
      <c r="H1970" t="s">
        <v>10</v>
      </c>
      <c r="I1970" t="s">
        <v>11</v>
      </c>
    </row>
    <row r="1971" spans="1:9" hidden="1" x14ac:dyDescent="0.25">
      <c r="A1971" t="s">
        <v>8</v>
      </c>
      <c r="B1971" t="s">
        <v>38</v>
      </c>
      <c r="C1971">
        <v>202204</v>
      </c>
      <c r="D1971" t="str">
        <f t="shared" si="30"/>
        <v>2022</v>
      </c>
      <c r="E1971">
        <v>42689</v>
      </c>
      <c r="F1971">
        <v>14163403</v>
      </c>
      <c r="G1971">
        <v>0.3</v>
      </c>
      <c r="H1971" t="s">
        <v>10</v>
      </c>
      <c r="I1971" t="s">
        <v>11</v>
      </c>
    </row>
    <row r="1972" spans="1:9" hidden="1" x14ac:dyDescent="0.25">
      <c r="A1972" t="s">
        <v>8</v>
      </c>
      <c r="B1972" t="s">
        <v>38</v>
      </c>
      <c r="C1972">
        <v>202205</v>
      </c>
      <c r="D1972" t="str">
        <f t="shared" si="30"/>
        <v>2022</v>
      </c>
      <c r="E1972">
        <v>40968</v>
      </c>
      <c r="F1972">
        <v>14163403</v>
      </c>
      <c r="G1972">
        <v>0.28999999999999998</v>
      </c>
      <c r="H1972" t="s">
        <v>10</v>
      </c>
      <c r="I1972" t="s">
        <v>11</v>
      </c>
    </row>
    <row r="1973" spans="1:9" hidden="1" x14ac:dyDescent="0.25">
      <c r="A1973" t="s">
        <v>8</v>
      </c>
      <c r="B1973" t="s">
        <v>38</v>
      </c>
      <c r="C1973">
        <v>202206</v>
      </c>
      <c r="D1973" t="str">
        <f t="shared" si="30"/>
        <v>2022</v>
      </c>
      <c r="E1973">
        <v>38355</v>
      </c>
      <c r="F1973">
        <v>14163403</v>
      </c>
      <c r="G1973">
        <v>0.27</v>
      </c>
      <c r="H1973" t="s">
        <v>10</v>
      </c>
      <c r="I1973" t="s">
        <v>11</v>
      </c>
    </row>
    <row r="1974" spans="1:9" hidden="1" x14ac:dyDescent="0.25">
      <c r="A1974" t="s">
        <v>8</v>
      </c>
      <c r="B1974" t="s">
        <v>38</v>
      </c>
      <c r="C1974">
        <v>202207</v>
      </c>
      <c r="D1974" t="str">
        <f t="shared" si="30"/>
        <v>2022</v>
      </c>
      <c r="E1974">
        <v>44514</v>
      </c>
      <c r="F1974">
        <v>14163403</v>
      </c>
      <c r="G1974">
        <v>0.31</v>
      </c>
      <c r="H1974" t="s">
        <v>10</v>
      </c>
      <c r="I1974" t="s">
        <v>11</v>
      </c>
    </row>
    <row r="1975" spans="1:9" hidden="1" x14ac:dyDescent="0.25">
      <c r="A1975" t="s">
        <v>8</v>
      </c>
      <c r="B1975" t="s">
        <v>38</v>
      </c>
      <c r="C1975">
        <v>202208</v>
      </c>
      <c r="D1975" t="str">
        <f t="shared" si="30"/>
        <v>2022</v>
      </c>
      <c r="E1975">
        <v>47824</v>
      </c>
      <c r="F1975">
        <v>14163403</v>
      </c>
      <c r="G1975">
        <v>0.34</v>
      </c>
      <c r="H1975" t="s">
        <v>10</v>
      </c>
      <c r="I1975" t="s">
        <v>11</v>
      </c>
    </row>
    <row r="1976" spans="1:9" hidden="1" x14ac:dyDescent="0.25">
      <c r="A1976" t="s">
        <v>8</v>
      </c>
      <c r="B1976" t="s">
        <v>38</v>
      </c>
      <c r="C1976">
        <v>202209</v>
      </c>
      <c r="D1976" t="str">
        <f t="shared" si="30"/>
        <v>2022</v>
      </c>
      <c r="E1976">
        <v>47212</v>
      </c>
      <c r="F1976">
        <v>14163403</v>
      </c>
      <c r="G1976">
        <v>0.33</v>
      </c>
      <c r="H1976" t="s">
        <v>10</v>
      </c>
      <c r="I1976" t="s">
        <v>11</v>
      </c>
    </row>
    <row r="1977" spans="1:9" hidden="1" x14ac:dyDescent="0.25">
      <c r="A1977" t="s">
        <v>8</v>
      </c>
      <c r="B1977" t="s">
        <v>38</v>
      </c>
      <c r="C1977">
        <v>202210</v>
      </c>
      <c r="D1977" t="str">
        <f t="shared" si="30"/>
        <v>2022</v>
      </c>
      <c r="E1977">
        <v>55991</v>
      </c>
      <c r="F1977">
        <v>14163403</v>
      </c>
      <c r="G1977">
        <v>0.4</v>
      </c>
      <c r="H1977" t="s">
        <v>10</v>
      </c>
      <c r="I1977" t="s">
        <v>11</v>
      </c>
    </row>
    <row r="1978" spans="1:9" hidden="1" x14ac:dyDescent="0.25">
      <c r="A1978" t="s">
        <v>8</v>
      </c>
      <c r="B1978" t="s">
        <v>38</v>
      </c>
      <c r="C1978">
        <v>202211</v>
      </c>
      <c r="D1978" t="str">
        <f t="shared" si="30"/>
        <v>2022</v>
      </c>
      <c r="E1978">
        <v>74611</v>
      </c>
      <c r="F1978">
        <v>14163403</v>
      </c>
      <c r="G1978">
        <v>0.53</v>
      </c>
      <c r="H1978" t="s">
        <v>10</v>
      </c>
      <c r="I1978" t="s">
        <v>11</v>
      </c>
    </row>
    <row r="1979" spans="1:9" hidden="1" x14ac:dyDescent="0.25">
      <c r="A1979" t="s">
        <v>8</v>
      </c>
      <c r="B1979" t="s">
        <v>38</v>
      </c>
      <c r="C1979">
        <v>202212</v>
      </c>
      <c r="D1979" t="str">
        <f t="shared" si="30"/>
        <v>2022</v>
      </c>
      <c r="E1979">
        <v>144434</v>
      </c>
      <c r="F1979">
        <v>14163403</v>
      </c>
      <c r="G1979">
        <v>1.02</v>
      </c>
      <c r="H1979" t="s">
        <v>10</v>
      </c>
      <c r="I1979" t="s">
        <v>11</v>
      </c>
    </row>
    <row r="1980" spans="1:9" hidden="1" x14ac:dyDescent="0.25">
      <c r="A1980" t="s">
        <v>8</v>
      </c>
      <c r="B1980" t="s">
        <v>38</v>
      </c>
      <c r="C1980">
        <v>202301</v>
      </c>
      <c r="D1980" t="str">
        <f t="shared" si="30"/>
        <v>2023</v>
      </c>
      <c r="E1980">
        <v>235121</v>
      </c>
      <c r="F1980">
        <v>14163403</v>
      </c>
      <c r="G1980">
        <v>1.66</v>
      </c>
      <c r="H1980" t="s">
        <v>10</v>
      </c>
      <c r="I1980" t="s">
        <v>11</v>
      </c>
    </row>
    <row r="1981" spans="1:9" hidden="1" x14ac:dyDescent="0.25">
      <c r="A1981" t="s">
        <v>8</v>
      </c>
      <c r="B1981" t="s">
        <v>38</v>
      </c>
      <c r="C1981">
        <v>202302</v>
      </c>
      <c r="D1981" t="str">
        <f t="shared" si="30"/>
        <v>2023</v>
      </c>
      <c r="E1981">
        <v>228830</v>
      </c>
      <c r="F1981">
        <v>14163403</v>
      </c>
      <c r="G1981">
        <v>1.62</v>
      </c>
      <c r="H1981" t="s">
        <v>10</v>
      </c>
      <c r="I1981" t="s">
        <v>11</v>
      </c>
    </row>
    <row r="1982" spans="1:9" hidden="1" x14ac:dyDescent="0.25">
      <c r="A1982" t="s">
        <v>8</v>
      </c>
      <c r="B1982" t="s">
        <v>38</v>
      </c>
      <c r="C1982">
        <v>202303</v>
      </c>
      <c r="D1982" t="str">
        <f t="shared" si="30"/>
        <v>2023</v>
      </c>
      <c r="E1982">
        <v>253749</v>
      </c>
      <c r="F1982">
        <v>14163403</v>
      </c>
      <c r="G1982">
        <v>1.79</v>
      </c>
      <c r="H1982" t="s">
        <v>10</v>
      </c>
      <c r="I1982" t="s">
        <v>11</v>
      </c>
    </row>
    <row r="1983" spans="1:9" hidden="1" x14ac:dyDescent="0.25">
      <c r="A1983" t="s">
        <v>8</v>
      </c>
      <c r="B1983" t="s">
        <v>38</v>
      </c>
      <c r="C1983">
        <v>202304</v>
      </c>
      <c r="D1983" t="str">
        <f t="shared" si="30"/>
        <v>2023</v>
      </c>
      <c r="E1983">
        <v>229629</v>
      </c>
      <c r="F1983">
        <v>14163403</v>
      </c>
      <c r="G1983">
        <v>1.62</v>
      </c>
      <c r="H1983" t="s">
        <v>10</v>
      </c>
      <c r="I1983" t="s">
        <v>11</v>
      </c>
    </row>
    <row r="1984" spans="1:9" hidden="1" x14ac:dyDescent="0.25">
      <c r="A1984" t="s">
        <v>8</v>
      </c>
      <c r="B1984" t="s">
        <v>38</v>
      </c>
      <c r="C1984">
        <v>202305</v>
      </c>
      <c r="D1984" t="str">
        <f t="shared" si="30"/>
        <v>2023</v>
      </c>
      <c r="E1984">
        <v>243445</v>
      </c>
      <c r="F1984">
        <v>14163403</v>
      </c>
      <c r="G1984">
        <v>1.72</v>
      </c>
      <c r="H1984" t="s">
        <v>10</v>
      </c>
      <c r="I1984" t="s">
        <v>11</v>
      </c>
    </row>
    <row r="1985" spans="1:9" hidden="1" x14ac:dyDescent="0.25">
      <c r="A1985" t="s">
        <v>8</v>
      </c>
      <c r="B1985" t="s">
        <v>38</v>
      </c>
      <c r="C1985">
        <v>202306</v>
      </c>
      <c r="D1985" t="str">
        <f t="shared" si="30"/>
        <v>2023</v>
      </c>
      <c r="E1985">
        <v>236349</v>
      </c>
      <c r="F1985">
        <v>14163403</v>
      </c>
      <c r="G1985">
        <v>1.67</v>
      </c>
      <c r="H1985" t="s">
        <v>10</v>
      </c>
      <c r="I1985" t="s">
        <v>11</v>
      </c>
    </row>
    <row r="1986" spans="1:9" hidden="1" x14ac:dyDescent="0.25">
      <c r="A1986" t="s">
        <v>8</v>
      </c>
      <c r="B1986" t="s">
        <v>38</v>
      </c>
      <c r="C1986">
        <v>202307</v>
      </c>
      <c r="D1986" t="str">
        <f t="shared" si="30"/>
        <v>2023</v>
      </c>
      <c r="E1986">
        <v>219970</v>
      </c>
      <c r="F1986">
        <v>14163403</v>
      </c>
      <c r="G1986">
        <v>1.55</v>
      </c>
      <c r="H1986" t="s">
        <v>10</v>
      </c>
      <c r="I1986" t="s">
        <v>11</v>
      </c>
    </row>
    <row r="1987" spans="1:9" hidden="1" x14ac:dyDescent="0.25">
      <c r="A1987" t="s">
        <v>8</v>
      </c>
      <c r="B1987" t="s">
        <v>38</v>
      </c>
      <c r="C1987">
        <v>202308</v>
      </c>
      <c r="D1987" t="str">
        <f t="shared" ref="D1987:D2050" si="31">LEFT(C1987,4)</f>
        <v>2023</v>
      </c>
      <c r="E1987">
        <v>251886</v>
      </c>
      <c r="F1987">
        <v>14163403</v>
      </c>
      <c r="G1987">
        <v>1.78</v>
      </c>
      <c r="H1987" t="s">
        <v>10</v>
      </c>
      <c r="I1987" t="s">
        <v>11</v>
      </c>
    </row>
    <row r="1988" spans="1:9" hidden="1" x14ac:dyDescent="0.25">
      <c r="A1988" t="s">
        <v>8</v>
      </c>
      <c r="B1988" t="s">
        <v>38</v>
      </c>
      <c r="C1988">
        <v>202309</v>
      </c>
      <c r="D1988" t="str">
        <f t="shared" si="31"/>
        <v>2023</v>
      </c>
      <c r="E1988">
        <v>236445</v>
      </c>
      <c r="F1988">
        <v>14163403</v>
      </c>
      <c r="G1988">
        <v>1.67</v>
      </c>
      <c r="H1988" t="s">
        <v>10</v>
      </c>
      <c r="I1988" t="s">
        <v>11</v>
      </c>
    </row>
    <row r="1989" spans="1:9" hidden="1" x14ac:dyDescent="0.25">
      <c r="A1989" t="s">
        <v>8</v>
      </c>
      <c r="B1989" t="s">
        <v>38</v>
      </c>
      <c r="C1989">
        <v>202310</v>
      </c>
      <c r="D1989" t="str">
        <f t="shared" si="31"/>
        <v>2023</v>
      </c>
      <c r="E1989">
        <v>258017</v>
      </c>
      <c r="F1989">
        <v>14163403</v>
      </c>
      <c r="G1989">
        <v>1.82</v>
      </c>
      <c r="H1989" t="s">
        <v>10</v>
      </c>
      <c r="I1989" t="s">
        <v>11</v>
      </c>
    </row>
    <row r="1990" spans="1:9" hidden="1" x14ac:dyDescent="0.25">
      <c r="A1990" t="s">
        <v>8</v>
      </c>
      <c r="B1990" t="s">
        <v>38</v>
      </c>
      <c r="C1990">
        <v>202311</v>
      </c>
      <c r="D1990" t="str">
        <f t="shared" si="31"/>
        <v>2023</v>
      </c>
      <c r="E1990">
        <v>242408</v>
      </c>
      <c r="F1990">
        <v>14163403</v>
      </c>
      <c r="G1990">
        <v>1.71</v>
      </c>
      <c r="H1990" t="s">
        <v>10</v>
      </c>
      <c r="I1990" t="s">
        <v>11</v>
      </c>
    </row>
    <row r="1991" spans="1:9" hidden="1" x14ac:dyDescent="0.25">
      <c r="A1991" t="s">
        <v>8</v>
      </c>
      <c r="B1991" t="s">
        <v>38</v>
      </c>
      <c r="C1991">
        <v>202312</v>
      </c>
      <c r="D1991" t="str">
        <f t="shared" si="31"/>
        <v>2023</v>
      </c>
      <c r="E1991">
        <v>228747</v>
      </c>
      <c r="F1991">
        <v>14163403</v>
      </c>
      <c r="G1991">
        <v>1.62</v>
      </c>
      <c r="H1991" t="s">
        <v>10</v>
      </c>
      <c r="I1991" t="s">
        <v>11</v>
      </c>
    </row>
    <row r="1992" spans="1:9" hidden="1" x14ac:dyDescent="0.25">
      <c r="A1992" t="s">
        <v>8</v>
      </c>
      <c r="B1992" t="s">
        <v>38</v>
      </c>
      <c r="C1992">
        <v>202401</v>
      </c>
      <c r="D1992" t="str">
        <f t="shared" si="31"/>
        <v>2024</v>
      </c>
      <c r="E1992">
        <v>420214</v>
      </c>
      <c r="F1992">
        <v>14163403</v>
      </c>
      <c r="G1992">
        <v>2.97</v>
      </c>
      <c r="H1992" t="s">
        <v>10</v>
      </c>
      <c r="I1992" t="s">
        <v>11</v>
      </c>
    </row>
    <row r="1993" spans="1:9" hidden="1" x14ac:dyDescent="0.25">
      <c r="A1993" t="s">
        <v>8</v>
      </c>
      <c r="B1993" t="s">
        <v>38</v>
      </c>
      <c r="C1993">
        <v>202402</v>
      </c>
      <c r="D1993" t="str">
        <f t="shared" si="31"/>
        <v>2024</v>
      </c>
      <c r="E1993">
        <v>474200</v>
      </c>
      <c r="F1993">
        <v>14163403</v>
      </c>
      <c r="G1993">
        <v>3.35</v>
      </c>
      <c r="H1993" t="s">
        <v>10</v>
      </c>
      <c r="I1993" t="s">
        <v>11</v>
      </c>
    </row>
    <row r="1994" spans="1:9" hidden="1" x14ac:dyDescent="0.25">
      <c r="A1994" t="s">
        <v>8</v>
      </c>
      <c r="B1994" t="s">
        <v>38</v>
      </c>
      <c r="C1994">
        <v>202403</v>
      </c>
      <c r="D1994" t="str">
        <f t="shared" si="31"/>
        <v>2024</v>
      </c>
      <c r="E1994">
        <v>500641</v>
      </c>
      <c r="F1994">
        <v>14163403</v>
      </c>
      <c r="G1994">
        <v>3.53</v>
      </c>
      <c r="H1994" t="s">
        <v>10</v>
      </c>
      <c r="I1994" t="s">
        <v>11</v>
      </c>
    </row>
    <row r="1995" spans="1:9" hidden="1" x14ac:dyDescent="0.25">
      <c r="A1995" t="s">
        <v>8</v>
      </c>
      <c r="B1995" t="s">
        <v>38</v>
      </c>
      <c r="C1995">
        <v>202404</v>
      </c>
      <c r="D1995" t="str">
        <f t="shared" si="31"/>
        <v>2024</v>
      </c>
      <c r="E1995">
        <v>519227</v>
      </c>
      <c r="F1995">
        <v>14163403</v>
      </c>
      <c r="G1995">
        <v>3.67</v>
      </c>
      <c r="H1995" t="s">
        <v>10</v>
      </c>
      <c r="I1995" t="s">
        <v>11</v>
      </c>
    </row>
    <row r="1996" spans="1:9" hidden="1" x14ac:dyDescent="0.25">
      <c r="A1996" t="s">
        <v>8</v>
      </c>
      <c r="B1996" t="s">
        <v>38</v>
      </c>
      <c r="C1996">
        <v>202405</v>
      </c>
      <c r="D1996" t="str">
        <f t="shared" si="31"/>
        <v>2024</v>
      </c>
      <c r="E1996">
        <v>495127</v>
      </c>
      <c r="F1996">
        <v>14163403</v>
      </c>
      <c r="G1996">
        <v>3.5</v>
      </c>
      <c r="H1996" t="s">
        <v>10</v>
      </c>
      <c r="I1996" t="s">
        <v>11</v>
      </c>
    </row>
    <row r="1997" spans="1:9" hidden="1" x14ac:dyDescent="0.25">
      <c r="A1997" t="s">
        <v>8</v>
      </c>
      <c r="B1997" t="s">
        <v>38</v>
      </c>
      <c r="C1997">
        <v>202406</v>
      </c>
      <c r="D1997" t="str">
        <f t="shared" si="31"/>
        <v>2024</v>
      </c>
      <c r="E1997">
        <v>471847</v>
      </c>
      <c r="F1997">
        <v>14163403</v>
      </c>
      <c r="G1997">
        <v>3.33</v>
      </c>
      <c r="H1997" t="s">
        <v>10</v>
      </c>
      <c r="I1997" t="s">
        <v>11</v>
      </c>
    </row>
    <row r="1998" spans="1:9" hidden="1" x14ac:dyDescent="0.25">
      <c r="A1998" t="s">
        <v>8</v>
      </c>
      <c r="B1998" t="s">
        <v>38</v>
      </c>
      <c r="C1998">
        <v>202407</v>
      </c>
      <c r="D1998" t="str">
        <f t="shared" si="31"/>
        <v>2024</v>
      </c>
      <c r="E1998">
        <v>489506</v>
      </c>
      <c r="F1998">
        <v>14163403</v>
      </c>
      <c r="G1998">
        <v>3.46</v>
      </c>
      <c r="H1998" t="s">
        <v>10</v>
      </c>
      <c r="I1998" t="s">
        <v>11</v>
      </c>
    </row>
    <row r="1999" spans="1:9" hidden="1" x14ac:dyDescent="0.25">
      <c r="A1999" t="s">
        <v>8</v>
      </c>
      <c r="B1999" t="s">
        <v>38</v>
      </c>
      <c r="C1999">
        <v>202408</v>
      </c>
      <c r="D1999" t="str">
        <f t="shared" si="31"/>
        <v>2024</v>
      </c>
      <c r="E1999">
        <v>501536</v>
      </c>
      <c r="F1999">
        <v>14163403</v>
      </c>
      <c r="G1999">
        <v>3.54</v>
      </c>
      <c r="H1999" t="s">
        <v>10</v>
      </c>
      <c r="I1999" t="s">
        <v>11</v>
      </c>
    </row>
    <row r="2000" spans="1:9" hidden="1" x14ac:dyDescent="0.25">
      <c r="A2000" t="s">
        <v>8</v>
      </c>
      <c r="B2000" t="s">
        <v>38</v>
      </c>
      <c r="C2000">
        <v>202409</v>
      </c>
      <c r="D2000" t="str">
        <f t="shared" si="31"/>
        <v>2024</v>
      </c>
      <c r="E2000">
        <v>533873</v>
      </c>
      <c r="F2000">
        <v>14163403</v>
      </c>
      <c r="G2000">
        <v>3.77</v>
      </c>
      <c r="H2000" t="s">
        <v>10</v>
      </c>
      <c r="I2000" t="s">
        <v>11</v>
      </c>
    </row>
    <row r="2001" spans="1:9" hidden="1" x14ac:dyDescent="0.25">
      <c r="A2001" t="s">
        <v>8</v>
      </c>
      <c r="B2001" t="s">
        <v>38</v>
      </c>
      <c r="C2001">
        <v>202410</v>
      </c>
      <c r="D2001" t="str">
        <f t="shared" si="31"/>
        <v>2024</v>
      </c>
      <c r="E2001">
        <v>648565</v>
      </c>
      <c r="F2001">
        <v>14163403</v>
      </c>
      <c r="G2001">
        <v>4.58</v>
      </c>
      <c r="H2001" t="s">
        <v>10</v>
      </c>
      <c r="I2001" t="s">
        <v>11</v>
      </c>
    </row>
    <row r="2002" spans="1:9" hidden="1" x14ac:dyDescent="0.25">
      <c r="A2002" t="s">
        <v>8</v>
      </c>
      <c r="B2002" t="s">
        <v>38</v>
      </c>
      <c r="C2002">
        <v>202411</v>
      </c>
      <c r="D2002" t="str">
        <f t="shared" si="31"/>
        <v>2024</v>
      </c>
      <c r="E2002">
        <v>569803</v>
      </c>
      <c r="F2002">
        <v>14163403</v>
      </c>
      <c r="G2002">
        <v>4.0199999999999996</v>
      </c>
      <c r="H2002" t="s">
        <v>10</v>
      </c>
      <c r="I2002" t="s">
        <v>11</v>
      </c>
    </row>
    <row r="2003" spans="1:9" hidden="1" x14ac:dyDescent="0.25">
      <c r="A2003" t="s">
        <v>8</v>
      </c>
      <c r="B2003" t="s">
        <v>38</v>
      </c>
      <c r="C2003">
        <v>202412</v>
      </c>
      <c r="D2003" t="str">
        <f t="shared" si="31"/>
        <v>2024</v>
      </c>
      <c r="E2003">
        <v>603030</v>
      </c>
      <c r="F2003">
        <v>14163403</v>
      </c>
      <c r="G2003">
        <v>4.26</v>
      </c>
      <c r="H2003" t="s">
        <v>10</v>
      </c>
      <c r="I2003" t="s">
        <v>11</v>
      </c>
    </row>
    <row r="2004" spans="1:9" x14ac:dyDescent="0.25">
      <c r="A2004" t="s">
        <v>8</v>
      </c>
      <c r="B2004" t="s">
        <v>38</v>
      </c>
      <c r="C2004">
        <v>202501</v>
      </c>
      <c r="D2004" t="str">
        <f t="shared" si="31"/>
        <v>2025</v>
      </c>
      <c r="E2004">
        <v>523093</v>
      </c>
      <c r="F2004">
        <v>14163403</v>
      </c>
      <c r="G2004">
        <v>3.69</v>
      </c>
      <c r="H2004" t="s">
        <v>10</v>
      </c>
      <c r="I2004" t="s">
        <v>11</v>
      </c>
    </row>
    <row r="2005" spans="1:9" x14ac:dyDescent="0.25">
      <c r="A2005" t="s">
        <v>8</v>
      </c>
      <c r="B2005" t="s">
        <v>38</v>
      </c>
      <c r="C2005">
        <v>202502</v>
      </c>
      <c r="D2005" t="str">
        <f t="shared" si="31"/>
        <v>2025</v>
      </c>
      <c r="E2005">
        <v>477436</v>
      </c>
      <c r="F2005">
        <v>14163403</v>
      </c>
      <c r="G2005">
        <v>3.37</v>
      </c>
      <c r="H2005" t="s">
        <v>10</v>
      </c>
      <c r="I2005" t="s">
        <v>11</v>
      </c>
    </row>
    <row r="2006" spans="1:9" x14ac:dyDescent="0.25">
      <c r="A2006" t="s">
        <v>8</v>
      </c>
      <c r="B2006" t="s">
        <v>38</v>
      </c>
      <c r="C2006">
        <v>202503</v>
      </c>
      <c r="D2006" t="str">
        <f t="shared" si="31"/>
        <v>2025</v>
      </c>
      <c r="E2006">
        <v>533915</v>
      </c>
      <c r="F2006">
        <v>14163403</v>
      </c>
      <c r="G2006">
        <v>3.77</v>
      </c>
      <c r="H2006" t="s">
        <v>10</v>
      </c>
      <c r="I2006" t="s">
        <v>11</v>
      </c>
    </row>
    <row r="2007" spans="1:9" x14ac:dyDescent="0.25">
      <c r="A2007" t="s">
        <v>8</v>
      </c>
      <c r="B2007" t="s">
        <v>38</v>
      </c>
      <c r="C2007">
        <v>202504</v>
      </c>
      <c r="D2007" t="str">
        <f t="shared" si="31"/>
        <v>2025</v>
      </c>
      <c r="E2007">
        <v>466196</v>
      </c>
      <c r="F2007">
        <v>14163403</v>
      </c>
      <c r="G2007">
        <v>3.29</v>
      </c>
      <c r="H2007" t="s">
        <v>10</v>
      </c>
      <c r="I2007" t="s">
        <v>11</v>
      </c>
    </row>
    <row r="2008" spans="1:9" x14ac:dyDescent="0.25">
      <c r="A2008" t="s">
        <v>8</v>
      </c>
      <c r="B2008" t="s">
        <v>38</v>
      </c>
      <c r="C2008">
        <v>202505</v>
      </c>
      <c r="D2008" t="str">
        <f t="shared" si="31"/>
        <v>2025</v>
      </c>
      <c r="E2008">
        <v>408196</v>
      </c>
      <c r="F2008">
        <v>14163403</v>
      </c>
      <c r="G2008">
        <v>2.88</v>
      </c>
      <c r="H2008" t="s">
        <v>10</v>
      </c>
      <c r="I2008" t="s">
        <v>11</v>
      </c>
    </row>
    <row r="2009" spans="1:9" x14ac:dyDescent="0.25">
      <c r="A2009" t="s">
        <v>8</v>
      </c>
      <c r="B2009" t="s">
        <v>38</v>
      </c>
      <c r="C2009">
        <v>202506</v>
      </c>
      <c r="D2009" t="str">
        <f t="shared" si="31"/>
        <v>2025</v>
      </c>
      <c r="E2009">
        <v>409778</v>
      </c>
      <c r="F2009">
        <v>14163403</v>
      </c>
      <c r="G2009">
        <v>2.89</v>
      </c>
      <c r="H2009" t="s">
        <v>10</v>
      </c>
      <c r="I2009" t="s">
        <v>11</v>
      </c>
    </row>
    <row r="2010" spans="1:9" x14ac:dyDescent="0.25">
      <c r="A2010" t="s">
        <v>8</v>
      </c>
      <c r="B2010" t="s">
        <v>38</v>
      </c>
      <c r="C2010">
        <v>202507</v>
      </c>
      <c r="D2010" t="str">
        <f t="shared" si="31"/>
        <v>2025</v>
      </c>
      <c r="E2010">
        <v>398443</v>
      </c>
      <c r="F2010">
        <v>14163403</v>
      </c>
      <c r="G2010">
        <v>2.81</v>
      </c>
      <c r="H2010" t="s">
        <v>10</v>
      </c>
      <c r="I2010" t="s">
        <v>11</v>
      </c>
    </row>
    <row r="2011" spans="1:9" x14ac:dyDescent="0.25">
      <c r="A2011" t="s">
        <v>8</v>
      </c>
      <c r="B2011" t="s">
        <v>38</v>
      </c>
      <c r="C2011">
        <v>202508</v>
      </c>
      <c r="D2011" t="str">
        <f t="shared" si="31"/>
        <v>2025</v>
      </c>
      <c r="E2011">
        <v>363881</v>
      </c>
      <c r="F2011">
        <v>14163403</v>
      </c>
      <c r="G2011">
        <v>2.57</v>
      </c>
      <c r="H2011" t="s">
        <v>10</v>
      </c>
      <c r="I2011" t="s">
        <v>11</v>
      </c>
    </row>
    <row r="2012" spans="1:9" x14ac:dyDescent="0.25">
      <c r="A2012" t="s">
        <v>8</v>
      </c>
      <c r="B2012" t="s">
        <v>38</v>
      </c>
      <c r="C2012">
        <v>202509</v>
      </c>
      <c r="D2012" t="str">
        <f t="shared" si="31"/>
        <v>2025</v>
      </c>
      <c r="E2012">
        <v>325554</v>
      </c>
      <c r="F2012">
        <v>14163403</v>
      </c>
      <c r="G2012">
        <v>2.2999999999999998</v>
      </c>
      <c r="H2012" t="s">
        <v>10</v>
      </c>
      <c r="I2012" t="s">
        <v>11</v>
      </c>
    </row>
    <row r="2013" spans="1:9" x14ac:dyDescent="0.25">
      <c r="A2013" t="s">
        <v>8</v>
      </c>
      <c r="B2013" t="s">
        <v>38</v>
      </c>
      <c r="C2013">
        <v>202510</v>
      </c>
      <c r="D2013" t="str">
        <f t="shared" si="31"/>
        <v>2025</v>
      </c>
      <c r="E2013">
        <v>38966</v>
      </c>
      <c r="F2013">
        <v>14163403</v>
      </c>
      <c r="G2013">
        <v>0.28000000000000003</v>
      </c>
      <c r="H2013" t="s">
        <v>10</v>
      </c>
      <c r="I2013" t="s">
        <v>11</v>
      </c>
    </row>
    <row r="2014" spans="1:9" hidden="1" x14ac:dyDescent="0.25">
      <c r="A2014" t="s">
        <v>8</v>
      </c>
      <c r="B2014" t="s">
        <v>39</v>
      </c>
      <c r="C2014">
        <v>201901</v>
      </c>
      <c r="D2014" t="str">
        <f t="shared" si="31"/>
        <v>2019</v>
      </c>
      <c r="E2014">
        <v>126</v>
      </c>
      <c r="F2014">
        <v>14672300</v>
      </c>
      <c r="G2014">
        <v>0</v>
      </c>
      <c r="H2014" t="s">
        <v>10</v>
      </c>
      <c r="I2014" t="s">
        <v>11</v>
      </c>
    </row>
    <row r="2015" spans="1:9" hidden="1" x14ac:dyDescent="0.25">
      <c r="A2015" t="s">
        <v>8</v>
      </c>
      <c r="B2015" t="s">
        <v>39</v>
      </c>
      <c r="C2015">
        <v>201902</v>
      </c>
      <c r="D2015" t="str">
        <f t="shared" si="31"/>
        <v>2019</v>
      </c>
      <c r="E2015">
        <v>106</v>
      </c>
      <c r="F2015">
        <v>14672300</v>
      </c>
      <c r="G2015">
        <v>0</v>
      </c>
      <c r="H2015" t="s">
        <v>10</v>
      </c>
      <c r="I2015" t="s">
        <v>11</v>
      </c>
    </row>
    <row r="2016" spans="1:9" hidden="1" x14ac:dyDescent="0.25">
      <c r="A2016" t="s">
        <v>8</v>
      </c>
      <c r="B2016" t="s">
        <v>39</v>
      </c>
      <c r="C2016">
        <v>201903</v>
      </c>
      <c r="D2016" t="str">
        <f t="shared" si="31"/>
        <v>2019</v>
      </c>
      <c r="E2016">
        <v>198</v>
      </c>
      <c r="F2016">
        <v>14672300</v>
      </c>
      <c r="G2016">
        <v>0</v>
      </c>
      <c r="H2016" t="s">
        <v>10</v>
      </c>
      <c r="I2016" t="s">
        <v>11</v>
      </c>
    </row>
    <row r="2017" spans="1:9" hidden="1" x14ac:dyDescent="0.25">
      <c r="A2017" t="s">
        <v>8</v>
      </c>
      <c r="B2017" t="s">
        <v>39</v>
      </c>
      <c r="C2017">
        <v>201904</v>
      </c>
      <c r="D2017" t="str">
        <f t="shared" si="31"/>
        <v>2019</v>
      </c>
      <c r="E2017">
        <v>175</v>
      </c>
      <c r="F2017">
        <v>14672300</v>
      </c>
      <c r="G2017">
        <v>0</v>
      </c>
      <c r="H2017" t="s">
        <v>10</v>
      </c>
      <c r="I2017" t="s">
        <v>11</v>
      </c>
    </row>
    <row r="2018" spans="1:9" hidden="1" x14ac:dyDescent="0.25">
      <c r="A2018" t="s">
        <v>8</v>
      </c>
      <c r="B2018" t="s">
        <v>39</v>
      </c>
      <c r="C2018">
        <v>201905</v>
      </c>
      <c r="D2018" t="str">
        <f t="shared" si="31"/>
        <v>2019</v>
      </c>
      <c r="E2018">
        <v>251</v>
      </c>
      <c r="F2018">
        <v>14672300</v>
      </c>
      <c r="G2018">
        <v>0</v>
      </c>
      <c r="H2018" t="s">
        <v>10</v>
      </c>
      <c r="I2018" t="s">
        <v>11</v>
      </c>
    </row>
    <row r="2019" spans="1:9" hidden="1" x14ac:dyDescent="0.25">
      <c r="A2019" t="s">
        <v>8</v>
      </c>
      <c r="B2019" t="s">
        <v>39</v>
      </c>
      <c r="C2019">
        <v>201906</v>
      </c>
      <c r="D2019" t="str">
        <f t="shared" si="31"/>
        <v>2019</v>
      </c>
      <c r="E2019">
        <v>395</v>
      </c>
      <c r="F2019">
        <v>14672300</v>
      </c>
      <c r="G2019">
        <v>0</v>
      </c>
      <c r="H2019" t="s">
        <v>10</v>
      </c>
      <c r="I2019" t="s">
        <v>11</v>
      </c>
    </row>
    <row r="2020" spans="1:9" hidden="1" x14ac:dyDescent="0.25">
      <c r="A2020" t="s">
        <v>8</v>
      </c>
      <c r="B2020" t="s">
        <v>39</v>
      </c>
      <c r="C2020">
        <v>201907</v>
      </c>
      <c r="D2020" t="str">
        <f t="shared" si="31"/>
        <v>2019</v>
      </c>
      <c r="E2020">
        <v>212</v>
      </c>
      <c r="F2020">
        <v>14672300</v>
      </c>
      <c r="G2020">
        <v>0</v>
      </c>
      <c r="H2020" t="s">
        <v>10</v>
      </c>
      <c r="I2020" t="s">
        <v>11</v>
      </c>
    </row>
    <row r="2021" spans="1:9" hidden="1" x14ac:dyDescent="0.25">
      <c r="A2021" t="s">
        <v>8</v>
      </c>
      <c r="B2021" t="s">
        <v>39</v>
      </c>
      <c r="C2021">
        <v>201908</v>
      </c>
      <c r="D2021" t="str">
        <f t="shared" si="31"/>
        <v>2019</v>
      </c>
      <c r="E2021">
        <v>111</v>
      </c>
      <c r="F2021">
        <v>14672300</v>
      </c>
      <c r="G2021">
        <v>0</v>
      </c>
      <c r="H2021" t="s">
        <v>10</v>
      </c>
      <c r="I2021" t="s">
        <v>11</v>
      </c>
    </row>
    <row r="2022" spans="1:9" hidden="1" x14ac:dyDescent="0.25">
      <c r="A2022" t="s">
        <v>8</v>
      </c>
      <c r="B2022" t="s">
        <v>39</v>
      </c>
      <c r="C2022">
        <v>201909</v>
      </c>
      <c r="D2022" t="str">
        <f t="shared" si="31"/>
        <v>2019</v>
      </c>
      <c r="E2022">
        <v>123</v>
      </c>
      <c r="F2022">
        <v>14672300</v>
      </c>
      <c r="G2022">
        <v>0</v>
      </c>
      <c r="H2022" t="s">
        <v>10</v>
      </c>
      <c r="I2022" t="s">
        <v>11</v>
      </c>
    </row>
    <row r="2023" spans="1:9" hidden="1" x14ac:dyDescent="0.25">
      <c r="A2023" t="s">
        <v>8</v>
      </c>
      <c r="B2023" t="s">
        <v>39</v>
      </c>
      <c r="C2023">
        <v>201910</v>
      </c>
      <c r="D2023" t="str">
        <f t="shared" si="31"/>
        <v>2019</v>
      </c>
      <c r="E2023">
        <v>164</v>
      </c>
      <c r="F2023">
        <v>14672300</v>
      </c>
      <c r="G2023">
        <v>0</v>
      </c>
      <c r="H2023" t="s">
        <v>10</v>
      </c>
      <c r="I2023" t="s">
        <v>11</v>
      </c>
    </row>
    <row r="2024" spans="1:9" hidden="1" x14ac:dyDescent="0.25">
      <c r="A2024" t="s">
        <v>8</v>
      </c>
      <c r="B2024" t="s">
        <v>39</v>
      </c>
      <c r="C2024">
        <v>201911</v>
      </c>
      <c r="D2024" t="str">
        <f t="shared" si="31"/>
        <v>2019</v>
      </c>
      <c r="E2024">
        <v>100</v>
      </c>
      <c r="F2024">
        <v>14672300</v>
      </c>
      <c r="G2024">
        <v>0</v>
      </c>
      <c r="H2024" t="s">
        <v>10</v>
      </c>
      <c r="I2024" t="s">
        <v>11</v>
      </c>
    </row>
    <row r="2025" spans="1:9" hidden="1" x14ac:dyDescent="0.25">
      <c r="A2025" t="s">
        <v>8</v>
      </c>
      <c r="B2025" t="s">
        <v>39</v>
      </c>
      <c r="C2025">
        <v>201912</v>
      </c>
      <c r="D2025" t="str">
        <f t="shared" si="31"/>
        <v>2019</v>
      </c>
      <c r="E2025">
        <v>14</v>
      </c>
      <c r="F2025">
        <v>14672300</v>
      </c>
      <c r="G2025">
        <v>0</v>
      </c>
      <c r="H2025" t="s">
        <v>10</v>
      </c>
      <c r="I2025" t="s">
        <v>11</v>
      </c>
    </row>
    <row r="2026" spans="1:9" hidden="1" x14ac:dyDescent="0.25">
      <c r="A2026" t="s">
        <v>8</v>
      </c>
      <c r="B2026" t="s">
        <v>39</v>
      </c>
      <c r="C2026">
        <v>202001</v>
      </c>
      <c r="D2026" t="str">
        <f t="shared" si="31"/>
        <v>2020</v>
      </c>
      <c r="E2026">
        <v>581</v>
      </c>
      <c r="F2026">
        <v>14672300</v>
      </c>
      <c r="G2026">
        <v>0</v>
      </c>
      <c r="H2026" t="s">
        <v>10</v>
      </c>
      <c r="I2026" t="s">
        <v>11</v>
      </c>
    </row>
    <row r="2027" spans="1:9" hidden="1" x14ac:dyDescent="0.25">
      <c r="A2027" t="s">
        <v>8</v>
      </c>
      <c r="B2027" t="s">
        <v>39</v>
      </c>
      <c r="C2027">
        <v>202002</v>
      </c>
      <c r="D2027" t="str">
        <f t="shared" si="31"/>
        <v>2020</v>
      </c>
      <c r="E2027">
        <v>290</v>
      </c>
      <c r="F2027">
        <v>14672300</v>
      </c>
      <c r="G2027">
        <v>0</v>
      </c>
      <c r="H2027" t="s">
        <v>10</v>
      </c>
      <c r="I2027" t="s">
        <v>11</v>
      </c>
    </row>
    <row r="2028" spans="1:9" hidden="1" x14ac:dyDescent="0.25">
      <c r="A2028" t="s">
        <v>8</v>
      </c>
      <c r="B2028" t="s">
        <v>39</v>
      </c>
      <c r="C2028">
        <v>202003</v>
      </c>
      <c r="D2028" t="str">
        <f t="shared" si="31"/>
        <v>2020</v>
      </c>
      <c r="E2028">
        <v>345</v>
      </c>
      <c r="F2028">
        <v>14672300</v>
      </c>
      <c r="G2028">
        <v>0</v>
      </c>
      <c r="H2028" t="s">
        <v>10</v>
      </c>
      <c r="I2028" t="s">
        <v>11</v>
      </c>
    </row>
    <row r="2029" spans="1:9" hidden="1" x14ac:dyDescent="0.25">
      <c r="A2029" t="s">
        <v>8</v>
      </c>
      <c r="B2029" t="s">
        <v>39</v>
      </c>
      <c r="C2029">
        <v>202004</v>
      </c>
      <c r="D2029" t="str">
        <f t="shared" si="31"/>
        <v>2020</v>
      </c>
      <c r="E2029">
        <v>248</v>
      </c>
      <c r="F2029">
        <v>14672300</v>
      </c>
      <c r="G2029">
        <v>0</v>
      </c>
      <c r="H2029" t="s">
        <v>10</v>
      </c>
      <c r="I2029" t="s">
        <v>11</v>
      </c>
    </row>
    <row r="2030" spans="1:9" hidden="1" x14ac:dyDescent="0.25">
      <c r="A2030" t="s">
        <v>8</v>
      </c>
      <c r="B2030" t="s">
        <v>39</v>
      </c>
      <c r="C2030">
        <v>202005</v>
      </c>
      <c r="D2030" t="str">
        <f t="shared" si="31"/>
        <v>2020</v>
      </c>
      <c r="E2030">
        <v>342</v>
      </c>
      <c r="F2030">
        <v>14672300</v>
      </c>
      <c r="G2030">
        <v>0</v>
      </c>
      <c r="H2030" t="s">
        <v>10</v>
      </c>
      <c r="I2030" t="s">
        <v>11</v>
      </c>
    </row>
    <row r="2031" spans="1:9" hidden="1" x14ac:dyDescent="0.25">
      <c r="A2031" t="s">
        <v>8</v>
      </c>
      <c r="B2031" t="s">
        <v>39</v>
      </c>
      <c r="C2031">
        <v>202006</v>
      </c>
      <c r="D2031" t="str">
        <f t="shared" si="31"/>
        <v>2020</v>
      </c>
      <c r="E2031">
        <v>419</v>
      </c>
      <c r="F2031">
        <v>14672300</v>
      </c>
      <c r="G2031">
        <v>0</v>
      </c>
      <c r="H2031" t="s">
        <v>10</v>
      </c>
      <c r="I2031" t="s">
        <v>11</v>
      </c>
    </row>
    <row r="2032" spans="1:9" hidden="1" x14ac:dyDescent="0.25">
      <c r="A2032" t="s">
        <v>8</v>
      </c>
      <c r="B2032" t="s">
        <v>39</v>
      </c>
      <c r="C2032">
        <v>202007</v>
      </c>
      <c r="D2032" t="str">
        <f t="shared" si="31"/>
        <v>2020</v>
      </c>
      <c r="E2032">
        <v>367</v>
      </c>
      <c r="F2032">
        <v>14672300</v>
      </c>
      <c r="G2032">
        <v>0</v>
      </c>
      <c r="H2032" t="s">
        <v>10</v>
      </c>
      <c r="I2032" t="s">
        <v>11</v>
      </c>
    </row>
    <row r="2033" spans="1:9" hidden="1" x14ac:dyDescent="0.25">
      <c r="A2033" t="s">
        <v>8</v>
      </c>
      <c r="B2033" t="s">
        <v>39</v>
      </c>
      <c r="C2033">
        <v>202008</v>
      </c>
      <c r="D2033" t="str">
        <f t="shared" si="31"/>
        <v>2020</v>
      </c>
      <c r="E2033">
        <v>400</v>
      </c>
      <c r="F2033">
        <v>14672300</v>
      </c>
      <c r="G2033">
        <v>0</v>
      </c>
      <c r="H2033" t="s">
        <v>10</v>
      </c>
      <c r="I2033" t="s">
        <v>11</v>
      </c>
    </row>
    <row r="2034" spans="1:9" hidden="1" x14ac:dyDescent="0.25">
      <c r="A2034" t="s">
        <v>8</v>
      </c>
      <c r="B2034" t="s">
        <v>39</v>
      </c>
      <c r="C2034">
        <v>202009</v>
      </c>
      <c r="D2034" t="str">
        <f t="shared" si="31"/>
        <v>2020</v>
      </c>
      <c r="E2034">
        <v>323</v>
      </c>
      <c r="F2034">
        <v>14672300</v>
      </c>
      <c r="G2034">
        <v>0</v>
      </c>
      <c r="H2034" t="s">
        <v>10</v>
      </c>
      <c r="I2034" t="s">
        <v>11</v>
      </c>
    </row>
    <row r="2035" spans="1:9" hidden="1" x14ac:dyDescent="0.25">
      <c r="A2035" t="s">
        <v>8</v>
      </c>
      <c r="B2035" t="s">
        <v>39</v>
      </c>
      <c r="C2035">
        <v>202010</v>
      </c>
      <c r="D2035" t="str">
        <f t="shared" si="31"/>
        <v>2020</v>
      </c>
      <c r="E2035">
        <v>340</v>
      </c>
      <c r="F2035">
        <v>14672300</v>
      </c>
      <c r="G2035">
        <v>0</v>
      </c>
      <c r="H2035" t="s">
        <v>10</v>
      </c>
      <c r="I2035" t="s">
        <v>11</v>
      </c>
    </row>
    <row r="2036" spans="1:9" hidden="1" x14ac:dyDescent="0.25">
      <c r="A2036" t="s">
        <v>8</v>
      </c>
      <c r="B2036" t="s">
        <v>39</v>
      </c>
      <c r="C2036">
        <v>202011</v>
      </c>
      <c r="D2036" t="str">
        <f t="shared" si="31"/>
        <v>2020</v>
      </c>
      <c r="E2036">
        <v>318</v>
      </c>
      <c r="F2036">
        <v>14672300</v>
      </c>
      <c r="G2036">
        <v>0</v>
      </c>
      <c r="H2036" t="s">
        <v>10</v>
      </c>
      <c r="I2036" t="s">
        <v>11</v>
      </c>
    </row>
    <row r="2037" spans="1:9" hidden="1" x14ac:dyDescent="0.25">
      <c r="A2037" t="s">
        <v>8</v>
      </c>
      <c r="B2037" t="s">
        <v>39</v>
      </c>
      <c r="C2037">
        <v>202012</v>
      </c>
      <c r="D2037" t="str">
        <f t="shared" si="31"/>
        <v>2020</v>
      </c>
      <c r="E2037">
        <v>478</v>
      </c>
      <c r="F2037">
        <v>14672300</v>
      </c>
      <c r="G2037">
        <v>0</v>
      </c>
      <c r="H2037" t="s">
        <v>10</v>
      </c>
      <c r="I2037" t="s">
        <v>11</v>
      </c>
    </row>
    <row r="2038" spans="1:9" hidden="1" x14ac:dyDescent="0.25">
      <c r="A2038" t="s">
        <v>8</v>
      </c>
      <c r="B2038" t="s">
        <v>39</v>
      </c>
      <c r="C2038">
        <v>202101</v>
      </c>
      <c r="D2038" t="str">
        <f t="shared" si="31"/>
        <v>2021</v>
      </c>
      <c r="E2038">
        <v>9138</v>
      </c>
      <c r="F2038">
        <v>14672300</v>
      </c>
      <c r="G2038">
        <v>0.06</v>
      </c>
      <c r="H2038" t="s">
        <v>10</v>
      </c>
      <c r="I2038" t="s">
        <v>11</v>
      </c>
    </row>
    <row r="2039" spans="1:9" hidden="1" x14ac:dyDescent="0.25">
      <c r="A2039" t="s">
        <v>8</v>
      </c>
      <c r="B2039" t="s">
        <v>39</v>
      </c>
      <c r="C2039">
        <v>202102</v>
      </c>
      <c r="D2039" t="str">
        <f t="shared" si="31"/>
        <v>2021</v>
      </c>
      <c r="E2039">
        <v>9502</v>
      </c>
      <c r="F2039">
        <v>14672300</v>
      </c>
      <c r="G2039">
        <v>0.06</v>
      </c>
      <c r="H2039" t="s">
        <v>10</v>
      </c>
      <c r="I2039" t="s">
        <v>11</v>
      </c>
    </row>
    <row r="2040" spans="1:9" hidden="1" x14ac:dyDescent="0.25">
      <c r="A2040" t="s">
        <v>8</v>
      </c>
      <c r="B2040" t="s">
        <v>39</v>
      </c>
      <c r="C2040">
        <v>202103</v>
      </c>
      <c r="D2040" t="str">
        <f t="shared" si="31"/>
        <v>2021</v>
      </c>
      <c r="E2040">
        <v>10976</v>
      </c>
      <c r="F2040">
        <v>14672300</v>
      </c>
      <c r="G2040">
        <v>7.0000000000000007E-2</v>
      </c>
      <c r="H2040" t="s">
        <v>10</v>
      </c>
      <c r="I2040" t="s">
        <v>11</v>
      </c>
    </row>
    <row r="2041" spans="1:9" hidden="1" x14ac:dyDescent="0.25">
      <c r="A2041" t="s">
        <v>8</v>
      </c>
      <c r="B2041" t="s">
        <v>39</v>
      </c>
      <c r="C2041">
        <v>202104</v>
      </c>
      <c r="D2041" t="str">
        <f t="shared" si="31"/>
        <v>2021</v>
      </c>
      <c r="E2041">
        <v>10824</v>
      </c>
      <c r="F2041">
        <v>14672300</v>
      </c>
      <c r="G2041">
        <v>7.0000000000000007E-2</v>
      </c>
      <c r="H2041" t="s">
        <v>10</v>
      </c>
      <c r="I2041" t="s">
        <v>11</v>
      </c>
    </row>
    <row r="2042" spans="1:9" hidden="1" x14ac:dyDescent="0.25">
      <c r="A2042" t="s">
        <v>8</v>
      </c>
      <c r="B2042" t="s">
        <v>39</v>
      </c>
      <c r="C2042">
        <v>202105</v>
      </c>
      <c r="D2042" t="str">
        <f t="shared" si="31"/>
        <v>2021</v>
      </c>
      <c r="E2042">
        <v>9874</v>
      </c>
      <c r="F2042">
        <v>14672300</v>
      </c>
      <c r="G2042">
        <v>7.0000000000000007E-2</v>
      </c>
      <c r="H2042" t="s">
        <v>10</v>
      </c>
      <c r="I2042" t="s">
        <v>11</v>
      </c>
    </row>
    <row r="2043" spans="1:9" hidden="1" x14ac:dyDescent="0.25">
      <c r="A2043" t="s">
        <v>8</v>
      </c>
      <c r="B2043" t="s">
        <v>39</v>
      </c>
      <c r="C2043">
        <v>202106</v>
      </c>
      <c r="D2043" t="str">
        <f t="shared" si="31"/>
        <v>2021</v>
      </c>
      <c r="E2043">
        <v>11388</v>
      </c>
      <c r="F2043">
        <v>14672300</v>
      </c>
      <c r="G2043">
        <v>0.08</v>
      </c>
      <c r="H2043" t="s">
        <v>10</v>
      </c>
      <c r="I2043" t="s">
        <v>11</v>
      </c>
    </row>
    <row r="2044" spans="1:9" hidden="1" x14ac:dyDescent="0.25">
      <c r="A2044" t="s">
        <v>8</v>
      </c>
      <c r="B2044" t="s">
        <v>39</v>
      </c>
      <c r="C2044">
        <v>202107</v>
      </c>
      <c r="D2044" t="str">
        <f t="shared" si="31"/>
        <v>2021</v>
      </c>
      <c r="E2044">
        <v>24039</v>
      </c>
      <c r="F2044">
        <v>14672300</v>
      </c>
      <c r="G2044">
        <v>0.16</v>
      </c>
      <c r="H2044" t="s">
        <v>10</v>
      </c>
      <c r="I2044" t="s">
        <v>11</v>
      </c>
    </row>
    <row r="2045" spans="1:9" hidden="1" x14ac:dyDescent="0.25">
      <c r="A2045" t="s">
        <v>8</v>
      </c>
      <c r="B2045" t="s">
        <v>39</v>
      </c>
      <c r="C2045">
        <v>202108</v>
      </c>
      <c r="D2045" t="str">
        <f t="shared" si="31"/>
        <v>2021</v>
      </c>
      <c r="E2045">
        <v>27191</v>
      </c>
      <c r="F2045">
        <v>14672300</v>
      </c>
      <c r="G2045">
        <v>0.19</v>
      </c>
      <c r="H2045" t="s">
        <v>10</v>
      </c>
      <c r="I2045" t="s">
        <v>11</v>
      </c>
    </row>
    <row r="2046" spans="1:9" hidden="1" x14ac:dyDescent="0.25">
      <c r="A2046" t="s">
        <v>8</v>
      </c>
      <c r="B2046" t="s">
        <v>39</v>
      </c>
      <c r="C2046">
        <v>202109</v>
      </c>
      <c r="D2046" t="str">
        <f t="shared" si="31"/>
        <v>2021</v>
      </c>
      <c r="E2046">
        <v>29399</v>
      </c>
      <c r="F2046">
        <v>14672300</v>
      </c>
      <c r="G2046">
        <v>0.2</v>
      </c>
      <c r="H2046" t="s">
        <v>10</v>
      </c>
      <c r="I2046" t="s">
        <v>11</v>
      </c>
    </row>
    <row r="2047" spans="1:9" hidden="1" x14ac:dyDescent="0.25">
      <c r="A2047" t="s">
        <v>8</v>
      </c>
      <c r="B2047" t="s">
        <v>39</v>
      </c>
      <c r="C2047">
        <v>202110</v>
      </c>
      <c r="D2047" t="str">
        <f t="shared" si="31"/>
        <v>2021</v>
      </c>
      <c r="E2047">
        <v>28799</v>
      </c>
      <c r="F2047">
        <v>14672300</v>
      </c>
      <c r="G2047">
        <v>0.2</v>
      </c>
      <c r="H2047" t="s">
        <v>10</v>
      </c>
      <c r="I2047" t="s">
        <v>11</v>
      </c>
    </row>
    <row r="2048" spans="1:9" hidden="1" x14ac:dyDescent="0.25">
      <c r="A2048" t="s">
        <v>8</v>
      </c>
      <c r="B2048" t="s">
        <v>39</v>
      </c>
      <c r="C2048">
        <v>202111</v>
      </c>
      <c r="D2048" t="str">
        <f t="shared" si="31"/>
        <v>2021</v>
      </c>
      <c r="E2048">
        <v>30468</v>
      </c>
      <c r="F2048">
        <v>14672300</v>
      </c>
      <c r="G2048">
        <v>0.21</v>
      </c>
      <c r="H2048" t="s">
        <v>10</v>
      </c>
      <c r="I2048" t="s">
        <v>11</v>
      </c>
    </row>
    <row r="2049" spans="1:9" hidden="1" x14ac:dyDescent="0.25">
      <c r="A2049" t="s">
        <v>8</v>
      </c>
      <c r="B2049" t="s">
        <v>39</v>
      </c>
      <c r="C2049">
        <v>202112</v>
      </c>
      <c r="D2049" t="str">
        <f t="shared" si="31"/>
        <v>2021</v>
      </c>
      <c r="E2049">
        <v>32401</v>
      </c>
      <c r="F2049">
        <v>14672300</v>
      </c>
      <c r="G2049">
        <v>0.22</v>
      </c>
      <c r="H2049" t="s">
        <v>10</v>
      </c>
      <c r="I2049" t="s">
        <v>11</v>
      </c>
    </row>
    <row r="2050" spans="1:9" hidden="1" x14ac:dyDescent="0.25">
      <c r="A2050" t="s">
        <v>8</v>
      </c>
      <c r="B2050" t="s">
        <v>39</v>
      </c>
      <c r="C2050">
        <v>202201</v>
      </c>
      <c r="D2050" t="str">
        <f t="shared" si="31"/>
        <v>2022</v>
      </c>
      <c r="E2050">
        <v>45236</v>
      </c>
      <c r="F2050">
        <v>14672300</v>
      </c>
      <c r="G2050">
        <v>0.31</v>
      </c>
      <c r="H2050" t="s">
        <v>10</v>
      </c>
      <c r="I2050" t="s">
        <v>11</v>
      </c>
    </row>
    <row r="2051" spans="1:9" hidden="1" x14ac:dyDescent="0.25">
      <c r="A2051" t="s">
        <v>8</v>
      </c>
      <c r="B2051" t="s">
        <v>39</v>
      </c>
      <c r="C2051">
        <v>202202</v>
      </c>
      <c r="D2051" t="str">
        <f t="shared" ref="D2051:D2114" si="32">LEFT(C2051,4)</f>
        <v>2022</v>
      </c>
      <c r="E2051">
        <v>36789</v>
      </c>
      <c r="F2051">
        <v>14672300</v>
      </c>
      <c r="G2051">
        <v>0.25</v>
      </c>
      <c r="H2051" t="s">
        <v>10</v>
      </c>
      <c r="I2051" t="s">
        <v>11</v>
      </c>
    </row>
    <row r="2052" spans="1:9" hidden="1" x14ac:dyDescent="0.25">
      <c r="A2052" t="s">
        <v>8</v>
      </c>
      <c r="B2052" t="s">
        <v>39</v>
      </c>
      <c r="C2052">
        <v>202203</v>
      </c>
      <c r="D2052" t="str">
        <f t="shared" si="32"/>
        <v>2022</v>
      </c>
      <c r="E2052">
        <v>39139</v>
      </c>
      <c r="F2052">
        <v>14672300</v>
      </c>
      <c r="G2052">
        <v>0.27</v>
      </c>
      <c r="H2052" t="s">
        <v>10</v>
      </c>
      <c r="I2052" t="s">
        <v>11</v>
      </c>
    </row>
    <row r="2053" spans="1:9" hidden="1" x14ac:dyDescent="0.25">
      <c r="A2053" t="s">
        <v>8</v>
      </c>
      <c r="B2053" t="s">
        <v>39</v>
      </c>
      <c r="C2053">
        <v>202204</v>
      </c>
      <c r="D2053" t="str">
        <f t="shared" si="32"/>
        <v>2022</v>
      </c>
      <c r="E2053">
        <v>36930</v>
      </c>
      <c r="F2053">
        <v>14672300</v>
      </c>
      <c r="G2053">
        <v>0.25</v>
      </c>
      <c r="H2053" t="s">
        <v>10</v>
      </c>
      <c r="I2053" t="s">
        <v>11</v>
      </c>
    </row>
    <row r="2054" spans="1:9" hidden="1" x14ac:dyDescent="0.25">
      <c r="A2054" t="s">
        <v>8</v>
      </c>
      <c r="B2054" t="s">
        <v>39</v>
      </c>
      <c r="C2054">
        <v>202205</v>
      </c>
      <c r="D2054" t="str">
        <f t="shared" si="32"/>
        <v>2022</v>
      </c>
      <c r="E2054">
        <v>36623</v>
      </c>
      <c r="F2054">
        <v>14672300</v>
      </c>
      <c r="G2054">
        <v>0.25</v>
      </c>
      <c r="H2054" t="s">
        <v>10</v>
      </c>
      <c r="I2054" t="s">
        <v>11</v>
      </c>
    </row>
    <row r="2055" spans="1:9" hidden="1" x14ac:dyDescent="0.25">
      <c r="A2055" t="s">
        <v>8</v>
      </c>
      <c r="B2055" t="s">
        <v>39</v>
      </c>
      <c r="C2055">
        <v>202206</v>
      </c>
      <c r="D2055" t="str">
        <f t="shared" si="32"/>
        <v>2022</v>
      </c>
      <c r="E2055">
        <v>36486</v>
      </c>
      <c r="F2055">
        <v>14672300</v>
      </c>
      <c r="G2055">
        <v>0.25</v>
      </c>
      <c r="H2055" t="s">
        <v>10</v>
      </c>
      <c r="I2055" t="s">
        <v>11</v>
      </c>
    </row>
    <row r="2056" spans="1:9" hidden="1" x14ac:dyDescent="0.25">
      <c r="A2056" t="s">
        <v>8</v>
      </c>
      <c r="B2056" t="s">
        <v>39</v>
      </c>
      <c r="C2056">
        <v>202207</v>
      </c>
      <c r="D2056" t="str">
        <f t="shared" si="32"/>
        <v>2022</v>
      </c>
      <c r="E2056">
        <v>42345</v>
      </c>
      <c r="F2056">
        <v>14672300</v>
      </c>
      <c r="G2056">
        <v>0.28999999999999998</v>
      </c>
      <c r="H2056" t="s">
        <v>10</v>
      </c>
      <c r="I2056" t="s">
        <v>11</v>
      </c>
    </row>
    <row r="2057" spans="1:9" hidden="1" x14ac:dyDescent="0.25">
      <c r="A2057" t="s">
        <v>8</v>
      </c>
      <c r="B2057" t="s">
        <v>39</v>
      </c>
      <c r="C2057">
        <v>202208</v>
      </c>
      <c r="D2057" t="str">
        <f t="shared" si="32"/>
        <v>2022</v>
      </c>
      <c r="E2057">
        <v>45945</v>
      </c>
      <c r="F2057">
        <v>14672300</v>
      </c>
      <c r="G2057">
        <v>0.31</v>
      </c>
      <c r="H2057" t="s">
        <v>10</v>
      </c>
      <c r="I2057" t="s">
        <v>11</v>
      </c>
    </row>
    <row r="2058" spans="1:9" hidden="1" x14ac:dyDescent="0.25">
      <c r="A2058" t="s">
        <v>8</v>
      </c>
      <c r="B2058" t="s">
        <v>39</v>
      </c>
      <c r="C2058">
        <v>202209</v>
      </c>
      <c r="D2058" t="str">
        <f t="shared" si="32"/>
        <v>2022</v>
      </c>
      <c r="E2058">
        <v>43807</v>
      </c>
      <c r="F2058">
        <v>14672300</v>
      </c>
      <c r="G2058">
        <v>0.3</v>
      </c>
      <c r="H2058" t="s">
        <v>10</v>
      </c>
      <c r="I2058" t="s">
        <v>11</v>
      </c>
    </row>
    <row r="2059" spans="1:9" hidden="1" x14ac:dyDescent="0.25">
      <c r="A2059" t="s">
        <v>8</v>
      </c>
      <c r="B2059" t="s">
        <v>39</v>
      </c>
      <c r="C2059">
        <v>202210</v>
      </c>
      <c r="D2059" t="str">
        <f t="shared" si="32"/>
        <v>2022</v>
      </c>
      <c r="E2059">
        <v>49158</v>
      </c>
      <c r="F2059">
        <v>14672300</v>
      </c>
      <c r="G2059">
        <v>0.34</v>
      </c>
      <c r="H2059" t="s">
        <v>10</v>
      </c>
      <c r="I2059" t="s">
        <v>11</v>
      </c>
    </row>
    <row r="2060" spans="1:9" hidden="1" x14ac:dyDescent="0.25">
      <c r="A2060" t="s">
        <v>8</v>
      </c>
      <c r="B2060" t="s">
        <v>39</v>
      </c>
      <c r="C2060">
        <v>202211</v>
      </c>
      <c r="D2060" t="str">
        <f t="shared" si="32"/>
        <v>2022</v>
      </c>
      <c r="E2060">
        <v>49227</v>
      </c>
      <c r="F2060">
        <v>14672300</v>
      </c>
      <c r="G2060">
        <v>0.34</v>
      </c>
      <c r="H2060" t="s">
        <v>10</v>
      </c>
      <c r="I2060" t="s">
        <v>11</v>
      </c>
    </row>
    <row r="2061" spans="1:9" hidden="1" x14ac:dyDescent="0.25">
      <c r="A2061" t="s">
        <v>8</v>
      </c>
      <c r="B2061" t="s">
        <v>39</v>
      </c>
      <c r="C2061">
        <v>202212</v>
      </c>
      <c r="D2061" t="str">
        <f t="shared" si="32"/>
        <v>2022</v>
      </c>
      <c r="E2061">
        <v>59393</v>
      </c>
      <c r="F2061">
        <v>14672300</v>
      </c>
      <c r="G2061">
        <v>0.4</v>
      </c>
      <c r="H2061" t="s">
        <v>10</v>
      </c>
      <c r="I2061" t="s">
        <v>11</v>
      </c>
    </row>
    <row r="2062" spans="1:9" hidden="1" x14ac:dyDescent="0.25">
      <c r="A2062" t="s">
        <v>8</v>
      </c>
      <c r="B2062" t="s">
        <v>39</v>
      </c>
      <c r="C2062">
        <v>202301</v>
      </c>
      <c r="D2062" t="str">
        <f t="shared" si="32"/>
        <v>2023</v>
      </c>
      <c r="E2062">
        <v>226456</v>
      </c>
      <c r="F2062">
        <v>14672300</v>
      </c>
      <c r="G2062">
        <v>1.54</v>
      </c>
      <c r="H2062" t="s">
        <v>10</v>
      </c>
      <c r="I2062" t="s">
        <v>11</v>
      </c>
    </row>
    <row r="2063" spans="1:9" hidden="1" x14ac:dyDescent="0.25">
      <c r="A2063" t="s">
        <v>8</v>
      </c>
      <c r="B2063" t="s">
        <v>39</v>
      </c>
      <c r="C2063">
        <v>202302</v>
      </c>
      <c r="D2063" t="str">
        <f t="shared" si="32"/>
        <v>2023</v>
      </c>
      <c r="E2063">
        <v>231315</v>
      </c>
      <c r="F2063">
        <v>14672300</v>
      </c>
      <c r="G2063">
        <v>1.58</v>
      </c>
      <c r="H2063" t="s">
        <v>10</v>
      </c>
      <c r="I2063" t="s">
        <v>11</v>
      </c>
    </row>
    <row r="2064" spans="1:9" hidden="1" x14ac:dyDescent="0.25">
      <c r="A2064" t="s">
        <v>8</v>
      </c>
      <c r="B2064" t="s">
        <v>39</v>
      </c>
      <c r="C2064">
        <v>202303</v>
      </c>
      <c r="D2064" t="str">
        <f t="shared" si="32"/>
        <v>2023</v>
      </c>
      <c r="E2064">
        <v>256482</v>
      </c>
      <c r="F2064">
        <v>14672300</v>
      </c>
      <c r="G2064">
        <v>1.75</v>
      </c>
      <c r="H2064" t="s">
        <v>10</v>
      </c>
      <c r="I2064" t="s">
        <v>11</v>
      </c>
    </row>
    <row r="2065" spans="1:9" hidden="1" x14ac:dyDescent="0.25">
      <c r="A2065" t="s">
        <v>8</v>
      </c>
      <c r="B2065" t="s">
        <v>39</v>
      </c>
      <c r="C2065">
        <v>202304</v>
      </c>
      <c r="D2065" t="str">
        <f t="shared" si="32"/>
        <v>2023</v>
      </c>
      <c r="E2065">
        <v>232117</v>
      </c>
      <c r="F2065">
        <v>14672300</v>
      </c>
      <c r="G2065">
        <v>1.58</v>
      </c>
      <c r="H2065" t="s">
        <v>10</v>
      </c>
      <c r="I2065" t="s">
        <v>11</v>
      </c>
    </row>
    <row r="2066" spans="1:9" hidden="1" x14ac:dyDescent="0.25">
      <c r="A2066" t="s">
        <v>8</v>
      </c>
      <c r="B2066" t="s">
        <v>39</v>
      </c>
      <c r="C2066">
        <v>202305</v>
      </c>
      <c r="D2066" t="str">
        <f t="shared" si="32"/>
        <v>2023</v>
      </c>
      <c r="E2066">
        <v>246538</v>
      </c>
      <c r="F2066">
        <v>14672300</v>
      </c>
      <c r="G2066">
        <v>1.68</v>
      </c>
      <c r="H2066" t="s">
        <v>10</v>
      </c>
      <c r="I2066" t="s">
        <v>11</v>
      </c>
    </row>
    <row r="2067" spans="1:9" hidden="1" x14ac:dyDescent="0.25">
      <c r="A2067" t="s">
        <v>8</v>
      </c>
      <c r="B2067" t="s">
        <v>39</v>
      </c>
      <c r="C2067">
        <v>202306</v>
      </c>
      <c r="D2067" t="str">
        <f t="shared" si="32"/>
        <v>2023</v>
      </c>
      <c r="E2067">
        <v>239271</v>
      </c>
      <c r="F2067">
        <v>14672300</v>
      </c>
      <c r="G2067">
        <v>1.63</v>
      </c>
      <c r="H2067" t="s">
        <v>10</v>
      </c>
      <c r="I2067" t="s">
        <v>11</v>
      </c>
    </row>
    <row r="2068" spans="1:9" hidden="1" x14ac:dyDescent="0.25">
      <c r="A2068" t="s">
        <v>8</v>
      </c>
      <c r="B2068" t="s">
        <v>39</v>
      </c>
      <c r="C2068">
        <v>202307</v>
      </c>
      <c r="D2068" t="str">
        <f t="shared" si="32"/>
        <v>2023</v>
      </c>
      <c r="E2068">
        <v>222725</v>
      </c>
      <c r="F2068">
        <v>14672300</v>
      </c>
      <c r="G2068">
        <v>1.52</v>
      </c>
      <c r="H2068" t="s">
        <v>10</v>
      </c>
      <c r="I2068" t="s">
        <v>11</v>
      </c>
    </row>
    <row r="2069" spans="1:9" hidden="1" x14ac:dyDescent="0.25">
      <c r="A2069" t="s">
        <v>8</v>
      </c>
      <c r="B2069" t="s">
        <v>39</v>
      </c>
      <c r="C2069">
        <v>202308</v>
      </c>
      <c r="D2069" t="str">
        <f t="shared" si="32"/>
        <v>2023</v>
      </c>
      <c r="E2069">
        <v>254628</v>
      </c>
      <c r="F2069">
        <v>14672300</v>
      </c>
      <c r="G2069">
        <v>1.74</v>
      </c>
      <c r="H2069" t="s">
        <v>10</v>
      </c>
      <c r="I2069" t="s">
        <v>11</v>
      </c>
    </row>
    <row r="2070" spans="1:9" hidden="1" x14ac:dyDescent="0.25">
      <c r="A2070" t="s">
        <v>8</v>
      </c>
      <c r="B2070" t="s">
        <v>39</v>
      </c>
      <c r="C2070">
        <v>202309</v>
      </c>
      <c r="D2070" t="str">
        <f t="shared" si="32"/>
        <v>2023</v>
      </c>
      <c r="E2070">
        <v>239410</v>
      </c>
      <c r="F2070">
        <v>14672300</v>
      </c>
      <c r="G2070">
        <v>1.63</v>
      </c>
      <c r="H2070" t="s">
        <v>10</v>
      </c>
      <c r="I2070" t="s">
        <v>11</v>
      </c>
    </row>
    <row r="2071" spans="1:9" hidden="1" x14ac:dyDescent="0.25">
      <c r="A2071" t="s">
        <v>8</v>
      </c>
      <c r="B2071" t="s">
        <v>39</v>
      </c>
      <c r="C2071">
        <v>202310</v>
      </c>
      <c r="D2071" t="str">
        <f t="shared" si="32"/>
        <v>2023</v>
      </c>
      <c r="E2071">
        <v>261338</v>
      </c>
      <c r="F2071">
        <v>14672300</v>
      </c>
      <c r="G2071">
        <v>1.78</v>
      </c>
      <c r="H2071" t="s">
        <v>10</v>
      </c>
      <c r="I2071" t="s">
        <v>11</v>
      </c>
    </row>
    <row r="2072" spans="1:9" hidden="1" x14ac:dyDescent="0.25">
      <c r="A2072" t="s">
        <v>8</v>
      </c>
      <c r="B2072" t="s">
        <v>39</v>
      </c>
      <c r="C2072">
        <v>202311</v>
      </c>
      <c r="D2072" t="str">
        <f t="shared" si="32"/>
        <v>2023</v>
      </c>
      <c r="E2072">
        <v>245381</v>
      </c>
      <c r="F2072">
        <v>14672300</v>
      </c>
      <c r="G2072">
        <v>1.67</v>
      </c>
      <c r="H2072" t="s">
        <v>10</v>
      </c>
      <c r="I2072" t="s">
        <v>11</v>
      </c>
    </row>
    <row r="2073" spans="1:9" hidden="1" x14ac:dyDescent="0.25">
      <c r="A2073" t="s">
        <v>8</v>
      </c>
      <c r="B2073" t="s">
        <v>39</v>
      </c>
      <c r="C2073">
        <v>202312</v>
      </c>
      <c r="D2073" t="str">
        <f t="shared" si="32"/>
        <v>2023</v>
      </c>
      <c r="E2073">
        <v>231646</v>
      </c>
      <c r="F2073">
        <v>14672300</v>
      </c>
      <c r="G2073">
        <v>1.58</v>
      </c>
      <c r="H2073" t="s">
        <v>10</v>
      </c>
      <c r="I2073" t="s">
        <v>11</v>
      </c>
    </row>
    <row r="2074" spans="1:9" hidden="1" x14ac:dyDescent="0.25">
      <c r="A2074" t="s">
        <v>8</v>
      </c>
      <c r="B2074" t="s">
        <v>39</v>
      </c>
      <c r="C2074">
        <v>202401</v>
      </c>
      <c r="D2074" t="str">
        <f t="shared" si="32"/>
        <v>2024</v>
      </c>
      <c r="E2074">
        <v>426173</v>
      </c>
      <c r="F2074">
        <v>14672300</v>
      </c>
      <c r="G2074">
        <v>2.9</v>
      </c>
      <c r="H2074" t="s">
        <v>10</v>
      </c>
      <c r="I2074" t="s">
        <v>11</v>
      </c>
    </row>
    <row r="2075" spans="1:9" hidden="1" x14ac:dyDescent="0.25">
      <c r="A2075" t="s">
        <v>8</v>
      </c>
      <c r="B2075" t="s">
        <v>39</v>
      </c>
      <c r="C2075">
        <v>202402</v>
      </c>
      <c r="D2075" t="str">
        <f t="shared" si="32"/>
        <v>2024</v>
      </c>
      <c r="E2075">
        <v>481437</v>
      </c>
      <c r="F2075">
        <v>14672300</v>
      </c>
      <c r="G2075">
        <v>3.28</v>
      </c>
      <c r="H2075" t="s">
        <v>10</v>
      </c>
      <c r="I2075" t="s">
        <v>11</v>
      </c>
    </row>
    <row r="2076" spans="1:9" hidden="1" x14ac:dyDescent="0.25">
      <c r="A2076" t="s">
        <v>8</v>
      </c>
      <c r="B2076" t="s">
        <v>39</v>
      </c>
      <c r="C2076">
        <v>202403</v>
      </c>
      <c r="D2076" t="str">
        <f t="shared" si="32"/>
        <v>2024</v>
      </c>
      <c r="E2076">
        <v>508653</v>
      </c>
      <c r="F2076">
        <v>14672300</v>
      </c>
      <c r="G2076">
        <v>3.47</v>
      </c>
      <c r="H2076" t="s">
        <v>10</v>
      </c>
      <c r="I2076" t="s">
        <v>11</v>
      </c>
    </row>
    <row r="2077" spans="1:9" hidden="1" x14ac:dyDescent="0.25">
      <c r="A2077" t="s">
        <v>8</v>
      </c>
      <c r="B2077" t="s">
        <v>39</v>
      </c>
      <c r="C2077">
        <v>202404</v>
      </c>
      <c r="D2077" t="str">
        <f t="shared" si="32"/>
        <v>2024</v>
      </c>
      <c r="E2077">
        <v>526614</v>
      </c>
      <c r="F2077">
        <v>14672300</v>
      </c>
      <c r="G2077">
        <v>3.59</v>
      </c>
      <c r="H2077" t="s">
        <v>10</v>
      </c>
      <c r="I2077" t="s">
        <v>11</v>
      </c>
    </row>
    <row r="2078" spans="1:9" hidden="1" x14ac:dyDescent="0.25">
      <c r="A2078" t="s">
        <v>8</v>
      </c>
      <c r="B2078" t="s">
        <v>39</v>
      </c>
      <c r="C2078">
        <v>202405</v>
      </c>
      <c r="D2078" t="str">
        <f t="shared" si="32"/>
        <v>2024</v>
      </c>
      <c r="E2078">
        <v>502627</v>
      </c>
      <c r="F2078">
        <v>14672300</v>
      </c>
      <c r="G2078">
        <v>3.43</v>
      </c>
      <c r="H2078" t="s">
        <v>10</v>
      </c>
      <c r="I2078" t="s">
        <v>11</v>
      </c>
    </row>
    <row r="2079" spans="1:9" hidden="1" x14ac:dyDescent="0.25">
      <c r="A2079" t="s">
        <v>8</v>
      </c>
      <c r="B2079" t="s">
        <v>39</v>
      </c>
      <c r="C2079">
        <v>202406</v>
      </c>
      <c r="D2079" t="str">
        <f t="shared" si="32"/>
        <v>2024</v>
      </c>
      <c r="E2079">
        <v>479319</v>
      </c>
      <c r="F2079">
        <v>14672300</v>
      </c>
      <c r="G2079">
        <v>3.27</v>
      </c>
      <c r="H2079" t="s">
        <v>10</v>
      </c>
      <c r="I2079" t="s">
        <v>11</v>
      </c>
    </row>
    <row r="2080" spans="1:9" hidden="1" x14ac:dyDescent="0.25">
      <c r="A2080" t="s">
        <v>8</v>
      </c>
      <c r="B2080" t="s">
        <v>39</v>
      </c>
      <c r="C2080">
        <v>202407</v>
      </c>
      <c r="D2080" t="str">
        <f t="shared" si="32"/>
        <v>2024</v>
      </c>
      <c r="E2080">
        <v>497802</v>
      </c>
      <c r="F2080">
        <v>14672300</v>
      </c>
      <c r="G2080">
        <v>3.39</v>
      </c>
      <c r="H2080" t="s">
        <v>10</v>
      </c>
      <c r="I2080" t="s">
        <v>11</v>
      </c>
    </row>
    <row r="2081" spans="1:9" hidden="1" x14ac:dyDescent="0.25">
      <c r="A2081" t="s">
        <v>8</v>
      </c>
      <c r="B2081" t="s">
        <v>39</v>
      </c>
      <c r="C2081">
        <v>202408</v>
      </c>
      <c r="D2081" t="str">
        <f t="shared" si="32"/>
        <v>2024</v>
      </c>
      <c r="E2081">
        <v>511091</v>
      </c>
      <c r="F2081">
        <v>14672300</v>
      </c>
      <c r="G2081">
        <v>3.48</v>
      </c>
      <c r="H2081" t="s">
        <v>10</v>
      </c>
      <c r="I2081" t="s">
        <v>11</v>
      </c>
    </row>
    <row r="2082" spans="1:9" hidden="1" x14ac:dyDescent="0.25">
      <c r="A2082" t="s">
        <v>8</v>
      </c>
      <c r="B2082" t="s">
        <v>39</v>
      </c>
      <c r="C2082">
        <v>202409</v>
      </c>
      <c r="D2082" t="str">
        <f t="shared" si="32"/>
        <v>2024</v>
      </c>
      <c r="E2082">
        <v>544542</v>
      </c>
      <c r="F2082">
        <v>14672300</v>
      </c>
      <c r="G2082">
        <v>3.71</v>
      </c>
      <c r="H2082" t="s">
        <v>10</v>
      </c>
      <c r="I2082" t="s">
        <v>11</v>
      </c>
    </row>
    <row r="2083" spans="1:9" hidden="1" x14ac:dyDescent="0.25">
      <c r="A2083" t="s">
        <v>8</v>
      </c>
      <c r="B2083" t="s">
        <v>39</v>
      </c>
      <c r="C2083">
        <v>202410</v>
      </c>
      <c r="D2083" t="str">
        <f t="shared" si="32"/>
        <v>2024</v>
      </c>
      <c r="E2083">
        <v>659623</v>
      </c>
      <c r="F2083">
        <v>14672300</v>
      </c>
      <c r="G2083">
        <v>4.5</v>
      </c>
      <c r="H2083" t="s">
        <v>10</v>
      </c>
      <c r="I2083" t="s">
        <v>11</v>
      </c>
    </row>
    <row r="2084" spans="1:9" hidden="1" x14ac:dyDescent="0.25">
      <c r="A2084" t="s">
        <v>8</v>
      </c>
      <c r="B2084" t="s">
        <v>39</v>
      </c>
      <c r="C2084">
        <v>202411</v>
      </c>
      <c r="D2084" t="str">
        <f t="shared" si="32"/>
        <v>2024</v>
      </c>
      <c r="E2084">
        <v>579096</v>
      </c>
      <c r="F2084">
        <v>14672300</v>
      </c>
      <c r="G2084">
        <v>3.95</v>
      </c>
      <c r="H2084" t="s">
        <v>10</v>
      </c>
      <c r="I2084" t="s">
        <v>11</v>
      </c>
    </row>
    <row r="2085" spans="1:9" hidden="1" x14ac:dyDescent="0.25">
      <c r="A2085" t="s">
        <v>8</v>
      </c>
      <c r="B2085" t="s">
        <v>39</v>
      </c>
      <c r="C2085">
        <v>202412</v>
      </c>
      <c r="D2085" t="str">
        <f t="shared" si="32"/>
        <v>2024</v>
      </c>
      <c r="E2085">
        <v>613723</v>
      </c>
      <c r="F2085">
        <v>14672300</v>
      </c>
      <c r="G2085">
        <v>4.18</v>
      </c>
      <c r="H2085" t="s">
        <v>10</v>
      </c>
      <c r="I2085" t="s">
        <v>11</v>
      </c>
    </row>
    <row r="2086" spans="1:9" x14ac:dyDescent="0.25">
      <c r="A2086" t="s">
        <v>8</v>
      </c>
      <c r="B2086" t="s">
        <v>39</v>
      </c>
      <c r="C2086">
        <v>202501</v>
      </c>
      <c r="D2086" t="str">
        <f t="shared" si="32"/>
        <v>2025</v>
      </c>
      <c r="E2086">
        <v>534401</v>
      </c>
      <c r="F2086">
        <v>14672300</v>
      </c>
      <c r="G2086">
        <v>3.64</v>
      </c>
      <c r="H2086" t="s">
        <v>10</v>
      </c>
      <c r="I2086" t="s">
        <v>11</v>
      </c>
    </row>
    <row r="2087" spans="1:9" x14ac:dyDescent="0.25">
      <c r="A2087" t="s">
        <v>8</v>
      </c>
      <c r="B2087" t="s">
        <v>39</v>
      </c>
      <c r="C2087">
        <v>202502</v>
      </c>
      <c r="D2087" t="str">
        <f t="shared" si="32"/>
        <v>2025</v>
      </c>
      <c r="E2087">
        <v>488230</v>
      </c>
      <c r="F2087">
        <v>14672300</v>
      </c>
      <c r="G2087">
        <v>3.33</v>
      </c>
      <c r="H2087" t="s">
        <v>10</v>
      </c>
      <c r="I2087" t="s">
        <v>11</v>
      </c>
    </row>
    <row r="2088" spans="1:9" x14ac:dyDescent="0.25">
      <c r="A2088" t="s">
        <v>8</v>
      </c>
      <c r="B2088" t="s">
        <v>39</v>
      </c>
      <c r="C2088">
        <v>202503</v>
      </c>
      <c r="D2088" t="str">
        <f t="shared" si="32"/>
        <v>2025</v>
      </c>
      <c r="E2088">
        <v>546752</v>
      </c>
      <c r="F2088">
        <v>14672300</v>
      </c>
      <c r="G2088">
        <v>3.73</v>
      </c>
      <c r="H2088" t="s">
        <v>10</v>
      </c>
      <c r="I2088" t="s">
        <v>11</v>
      </c>
    </row>
    <row r="2089" spans="1:9" x14ac:dyDescent="0.25">
      <c r="A2089" t="s">
        <v>8</v>
      </c>
      <c r="B2089" t="s">
        <v>39</v>
      </c>
      <c r="C2089">
        <v>202504</v>
      </c>
      <c r="D2089" t="str">
        <f t="shared" si="32"/>
        <v>2025</v>
      </c>
      <c r="E2089">
        <v>522475</v>
      </c>
      <c r="F2089">
        <v>14672300</v>
      </c>
      <c r="G2089">
        <v>3.56</v>
      </c>
      <c r="H2089" t="s">
        <v>10</v>
      </c>
      <c r="I2089" t="s">
        <v>11</v>
      </c>
    </row>
    <row r="2090" spans="1:9" x14ac:dyDescent="0.25">
      <c r="A2090" t="s">
        <v>8</v>
      </c>
      <c r="B2090" t="s">
        <v>39</v>
      </c>
      <c r="C2090">
        <v>202505</v>
      </c>
      <c r="D2090" t="str">
        <f t="shared" si="32"/>
        <v>2025</v>
      </c>
      <c r="E2090">
        <v>464033</v>
      </c>
      <c r="F2090">
        <v>14672300</v>
      </c>
      <c r="G2090">
        <v>3.16</v>
      </c>
      <c r="H2090" t="s">
        <v>10</v>
      </c>
      <c r="I2090" t="s">
        <v>11</v>
      </c>
    </row>
    <row r="2091" spans="1:9" x14ac:dyDescent="0.25">
      <c r="A2091" t="s">
        <v>8</v>
      </c>
      <c r="B2091" t="s">
        <v>39</v>
      </c>
      <c r="C2091">
        <v>202506</v>
      </c>
      <c r="D2091" t="str">
        <f t="shared" si="32"/>
        <v>2025</v>
      </c>
      <c r="E2091">
        <v>465379</v>
      </c>
      <c r="F2091">
        <v>14672300</v>
      </c>
      <c r="G2091">
        <v>3.17</v>
      </c>
      <c r="H2091" t="s">
        <v>10</v>
      </c>
      <c r="I2091" t="s">
        <v>11</v>
      </c>
    </row>
    <row r="2092" spans="1:9" x14ac:dyDescent="0.25">
      <c r="A2092" t="s">
        <v>8</v>
      </c>
      <c r="B2092" t="s">
        <v>39</v>
      </c>
      <c r="C2092">
        <v>202507</v>
      </c>
      <c r="D2092" t="str">
        <f t="shared" si="32"/>
        <v>2025</v>
      </c>
      <c r="E2092">
        <v>415587</v>
      </c>
      <c r="F2092">
        <v>14672300</v>
      </c>
      <c r="G2092">
        <v>2.83</v>
      </c>
      <c r="H2092" t="s">
        <v>10</v>
      </c>
      <c r="I2092" t="s">
        <v>11</v>
      </c>
    </row>
    <row r="2093" spans="1:9" x14ac:dyDescent="0.25">
      <c r="A2093" t="s">
        <v>8</v>
      </c>
      <c r="B2093" t="s">
        <v>39</v>
      </c>
      <c r="C2093">
        <v>202508</v>
      </c>
      <c r="D2093" t="str">
        <f t="shared" si="32"/>
        <v>2025</v>
      </c>
      <c r="E2093">
        <v>385843</v>
      </c>
      <c r="F2093">
        <v>14672300</v>
      </c>
      <c r="G2093">
        <v>2.63</v>
      </c>
      <c r="H2093" t="s">
        <v>10</v>
      </c>
      <c r="I2093" t="s">
        <v>11</v>
      </c>
    </row>
    <row r="2094" spans="1:9" x14ac:dyDescent="0.25">
      <c r="A2094" t="s">
        <v>8</v>
      </c>
      <c r="B2094" t="s">
        <v>39</v>
      </c>
      <c r="C2094">
        <v>202509</v>
      </c>
      <c r="D2094" t="str">
        <f t="shared" si="32"/>
        <v>2025</v>
      </c>
      <c r="E2094">
        <v>404452</v>
      </c>
      <c r="F2094">
        <v>14672300</v>
      </c>
      <c r="G2094">
        <v>2.76</v>
      </c>
      <c r="H2094" t="s">
        <v>10</v>
      </c>
      <c r="I2094" t="s">
        <v>11</v>
      </c>
    </row>
    <row r="2095" spans="1:9" x14ac:dyDescent="0.25">
      <c r="A2095" t="s">
        <v>8</v>
      </c>
      <c r="B2095" t="s">
        <v>39</v>
      </c>
      <c r="C2095">
        <v>202510</v>
      </c>
      <c r="D2095" t="str">
        <f t="shared" si="32"/>
        <v>2025</v>
      </c>
      <c r="E2095">
        <v>390891</v>
      </c>
      <c r="F2095">
        <v>14672300</v>
      </c>
      <c r="G2095">
        <v>2.66</v>
      </c>
      <c r="H2095" t="s">
        <v>10</v>
      </c>
      <c r="I2095" t="s">
        <v>11</v>
      </c>
    </row>
    <row r="2096" spans="1:9" x14ac:dyDescent="0.25">
      <c r="A2096" t="s">
        <v>8</v>
      </c>
      <c r="B2096" t="s">
        <v>39</v>
      </c>
      <c r="C2096">
        <v>202511</v>
      </c>
      <c r="D2096" t="str">
        <f t="shared" si="32"/>
        <v>2025</v>
      </c>
      <c r="E2096">
        <v>74747</v>
      </c>
      <c r="F2096">
        <v>14672300</v>
      </c>
      <c r="G2096">
        <v>0.51</v>
      </c>
      <c r="H2096" t="s">
        <v>10</v>
      </c>
      <c r="I2096" t="s">
        <v>11</v>
      </c>
    </row>
    <row r="2097" spans="1:9" hidden="1" x14ac:dyDescent="0.25">
      <c r="A2097" t="s">
        <v>8</v>
      </c>
      <c r="B2097" t="s">
        <v>146</v>
      </c>
      <c r="C2097">
        <v>201901</v>
      </c>
      <c r="D2097" t="str">
        <f t="shared" si="32"/>
        <v>2019</v>
      </c>
      <c r="E2097">
        <v>116</v>
      </c>
      <c r="F2097">
        <v>15704464</v>
      </c>
      <c r="G2097">
        <v>0</v>
      </c>
      <c r="H2097" t="s">
        <v>10</v>
      </c>
      <c r="I2097" t="s">
        <v>11</v>
      </c>
    </row>
    <row r="2098" spans="1:9" hidden="1" x14ac:dyDescent="0.25">
      <c r="A2098" t="s">
        <v>8</v>
      </c>
      <c r="B2098" t="s">
        <v>146</v>
      </c>
      <c r="C2098">
        <v>201902</v>
      </c>
      <c r="D2098" t="str">
        <f t="shared" si="32"/>
        <v>2019</v>
      </c>
      <c r="E2098">
        <v>106</v>
      </c>
      <c r="F2098">
        <v>15704464</v>
      </c>
      <c r="G2098">
        <v>0</v>
      </c>
      <c r="H2098" t="s">
        <v>10</v>
      </c>
      <c r="I2098" t="s">
        <v>11</v>
      </c>
    </row>
    <row r="2099" spans="1:9" hidden="1" x14ac:dyDescent="0.25">
      <c r="A2099" t="s">
        <v>8</v>
      </c>
      <c r="B2099" t="s">
        <v>146</v>
      </c>
      <c r="C2099">
        <v>201903</v>
      </c>
      <c r="D2099" t="str">
        <f t="shared" si="32"/>
        <v>2019</v>
      </c>
      <c r="E2099">
        <v>171</v>
      </c>
      <c r="F2099">
        <v>15704464</v>
      </c>
      <c r="G2099">
        <v>0</v>
      </c>
      <c r="H2099" t="s">
        <v>10</v>
      </c>
      <c r="I2099" t="s">
        <v>11</v>
      </c>
    </row>
    <row r="2100" spans="1:9" hidden="1" x14ac:dyDescent="0.25">
      <c r="A2100" t="s">
        <v>8</v>
      </c>
      <c r="B2100" t="s">
        <v>146</v>
      </c>
      <c r="C2100">
        <v>201904</v>
      </c>
      <c r="D2100" t="str">
        <f t="shared" si="32"/>
        <v>2019</v>
      </c>
      <c r="E2100">
        <v>174</v>
      </c>
      <c r="F2100">
        <v>15704464</v>
      </c>
      <c r="G2100">
        <v>0</v>
      </c>
      <c r="H2100" t="s">
        <v>10</v>
      </c>
      <c r="I2100" t="s">
        <v>11</v>
      </c>
    </row>
    <row r="2101" spans="1:9" hidden="1" x14ac:dyDescent="0.25">
      <c r="A2101" t="s">
        <v>8</v>
      </c>
      <c r="B2101" t="s">
        <v>146</v>
      </c>
      <c r="C2101">
        <v>201905</v>
      </c>
      <c r="D2101" t="str">
        <f t="shared" si="32"/>
        <v>2019</v>
      </c>
      <c r="E2101">
        <v>237</v>
      </c>
      <c r="F2101">
        <v>15704464</v>
      </c>
      <c r="G2101">
        <v>0</v>
      </c>
      <c r="H2101" t="s">
        <v>10</v>
      </c>
      <c r="I2101" t="s">
        <v>11</v>
      </c>
    </row>
    <row r="2102" spans="1:9" hidden="1" x14ac:dyDescent="0.25">
      <c r="A2102" t="s">
        <v>8</v>
      </c>
      <c r="B2102" t="s">
        <v>146</v>
      </c>
      <c r="C2102">
        <v>201906</v>
      </c>
      <c r="D2102" t="str">
        <f t="shared" si="32"/>
        <v>2019</v>
      </c>
      <c r="E2102">
        <v>377</v>
      </c>
      <c r="F2102">
        <v>15704464</v>
      </c>
      <c r="G2102">
        <v>0</v>
      </c>
      <c r="H2102" t="s">
        <v>10</v>
      </c>
      <c r="I2102" t="s">
        <v>11</v>
      </c>
    </row>
    <row r="2103" spans="1:9" hidden="1" x14ac:dyDescent="0.25">
      <c r="A2103" t="s">
        <v>8</v>
      </c>
      <c r="B2103" t="s">
        <v>146</v>
      </c>
      <c r="C2103">
        <v>201907</v>
      </c>
      <c r="D2103" t="str">
        <f t="shared" si="32"/>
        <v>2019</v>
      </c>
      <c r="E2103">
        <v>189</v>
      </c>
      <c r="F2103">
        <v>15704464</v>
      </c>
      <c r="G2103">
        <v>0</v>
      </c>
      <c r="H2103" t="s">
        <v>10</v>
      </c>
      <c r="I2103" t="s">
        <v>11</v>
      </c>
    </row>
    <row r="2104" spans="1:9" hidden="1" x14ac:dyDescent="0.25">
      <c r="A2104" t="s">
        <v>8</v>
      </c>
      <c r="B2104" t="s">
        <v>146</v>
      </c>
      <c r="C2104">
        <v>201908</v>
      </c>
      <c r="D2104" t="str">
        <f t="shared" si="32"/>
        <v>2019</v>
      </c>
      <c r="E2104">
        <v>100</v>
      </c>
      <c r="F2104">
        <v>15704464</v>
      </c>
      <c r="G2104">
        <v>0</v>
      </c>
      <c r="H2104" t="s">
        <v>10</v>
      </c>
      <c r="I2104" t="s">
        <v>11</v>
      </c>
    </row>
    <row r="2105" spans="1:9" hidden="1" x14ac:dyDescent="0.25">
      <c r="A2105" t="s">
        <v>8</v>
      </c>
      <c r="B2105" t="s">
        <v>146</v>
      </c>
      <c r="C2105">
        <v>201909</v>
      </c>
      <c r="D2105" t="str">
        <f t="shared" si="32"/>
        <v>2019</v>
      </c>
      <c r="E2105">
        <v>123</v>
      </c>
      <c r="F2105">
        <v>15704464</v>
      </c>
      <c r="G2105">
        <v>0</v>
      </c>
      <c r="H2105" t="s">
        <v>10</v>
      </c>
      <c r="I2105" t="s">
        <v>11</v>
      </c>
    </row>
    <row r="2106" spans="1:9" hidden="1" x14ac:dyDescent="0.25">
      <c r="A2106" t="s">
        <v>8</v>
      </c>
      <c r="B2106" t="s">
        <v>146</v>
      </c>
      <c r="C2106">
        <v>201910</v>
      </c>
      <c r="D2106" t="str">
        <f t="shared" si="32"/>
        <v>2019</v>
      </c>
      <c r="E2106">
        <v>163</v>
      </c>
      <c r="F2106">
        <v>15704464</v>
      </c>
      <c r="G2106">
        <v>0</v>
      </c>
      <c r="H2106" t="s">
        <v>10</v>
      </c>
      <c r="I2106" t="s">
        <v>11</v>
      </c>
    </row>
    <row r="2107" spans="1:9" hidden="1" x14ac:dyDescent="0.25">
      <c r="A2107" t="s">
        <v>8</v>
      </c>
      <c r="B2107" t="s">
        <v>146</v>
      </c>
      <c r="C2107">
        <v>201911</v>
      </c>
      <c r="D2107" t="str">
        <f t="shared" si="32"/>
        <v>2019</v>
      </c>
      <c r="E2107">
        <v>100</v>
      </c>
      <c r="F2107">
        <v>15704464</v>
      </c>
      <c r="G2107">
        <v>0</v>
      </c>
      <c r="H2107" t="s">
        <v>10</v>
      </c>
      <c r="I2107" t="s">
        <v>11</v>
      </c>
    </row>
    <row r="2108" spans="1:9" hidden="1" x14ac:dyDescent="0.25">
      <c r="A2108" t="s">
        <v>8</v>
      </c>
      <c r="B2108" t="s">
        <v>146</v>
      </c>
      <c r="C2108">
        <v>201912</v>
      </c>
      <c r="D2108" t="str">
        <f t="shared" si="32"/>
        <v>2019</v>
      </c>
      <c r="E2108">
        <v>14</v>
      </c>
      <c r="F2108">
        <v>15704464</v>
      </c>
      <c r="G2108">
        <v>0</v>
      </c>
      <c r="H2108" t="s">
        <v>10</v>
      </c>
      <c r="I2108" t="s">
        <v>11</v>
      </c>
    </row>
    <row r="2109" spans="1:9" hidden="1" x14ac:dyDescent="0.25">
      <c r="A2109" t="s">
        <v>8</v>
      </c>
      <c r="B2109" t="s">
        <v>146</v>
      </c>
      <c r="C2109">
        <v>202001</v>
      </c>
      <c r="D2109" t="str">
        <f t="shared" si="32"/>
        <v>2020</v>
      </c>
      <c r="E2109">
        <v>435</v>
      </c>
      <c r="F2109">
        <v>15704464</v>
      </c>
      <c r="G2109">
        <v>0</v>
      </c>
      <c r="H2109" t="s">
        <v>10</v>
      </c>
      <c r="I2109" t="s">
        <v>11</v>
      </c>
    </row>
    <row r="2110" spans="1:9" hidden="1" x14ac:dyDescent="0.25">
      <c r="A2110" t="s">
        <v>8</v>
      </c>
      <c r="B2110" t="s">
        <v>146</v>
      </c>
      <c r="C2110">
        <v>202002</v>
      </c>
      <c r="D2110" t="str">
        <f t="shared" si="32"/>
        <v>2020</v>
      </c>
      <c r="E2110">
        <v>266</v>
      </c>
      <c r="F2110">
        <v>15704464</v>
      </c>
      <c r="G2110">
        <v>0</v>
      </c>
      <c r="H2110" t="s">
        <v>10</v>
      </c>
      <c r="I2110" t="s">
        <v>11</v>
      </c>
    </row>
    <row r="2111" spans="1:9" hidden="1" x14ac:dyDescent="0.25">
      <c r="A2111" t="s">
        <v>8</v>
      </c>
      <c r="B2111" t="s">
        <v>146</v>
      </c>
      <c r="C2111">
        <v>202003</v>
      </c>
      <c r="D2111" t="str">
        <f t="shared" si="32"/>
        <v>2020</v>
      </c>
      <c r="E2111">
        <v>310</v>
      </c>
      <c r="F2111">
        <v>15704464</v>
      </c>
      <c r="G2111">
        <v>0</v>
      </c>
      <c r="H2111" t="s">
        <v>10</v>
      </c>
      <c r="I2111" t="s">
        <v>11</v>
      </c>
    </row>
    <row r="2112" spans="1:9" hidden="1" x14ac:dyDescent="0.25">
      <c r="A2112" t="s">
        <v>8</v>
      </c>
      <c r="B2112" t="s">
        <v>146</v>
      </c>
      <c r="C2112">
        <v>202004</v>
      </c>
      <c r="D2112" t="str">
        <f t="shared" si="32"/>
        <v>2020</v>
      </c>
      <c r="E2112">
        <v>195</v>
      </c>
      <c r="F2112">
        <v>15704464</v>
      </c>
      <c r="G2112">
        <v>0</v>
      </c>
      <c r="H2112" t="s">
        <v>10</v>
      </c>
      <c r="I2112" t="s">
        <v>11</v>
      </c>
    </row>
    <row r="2113" spans="1:9" hidden="1" x14ac:dyDescent="0.25">
      <c r="A2113" t="s">
        <v>8</v>
      </c>
      <c r="B2113" t="s">
        <v>146</v>
      </c>
      <c r="C2113">
        <v>202005</v>
      </c>
      <c r="D2113" t="str">
        <f t="shared" si="32"/>
        <v>2020</v>
      </c>
      <c r="E2113">
        <v>270</v>
      </c>
      <c r="F2113">
        <v>15704464</v>
      </c>
      <c r="G2113">
        <v>0</v>
      </c>
      <c r="H2113" t="s">
        <v>10</v>
      </c>
      <c r="I2113" t="s">
        <v>11</v>
      </c>
    </row>
    <row r="2114" spans="1:9" hidden="1" x14ac:dyDescent="0.25">
      <c r="A2114" t="s">
        <v>8</v>
      </c>
      <c r="B2114" t="s">
        <v>146</v>
      </c>
      <c r="C2114">
        <v>202006</v>
      </c>
      <c r="D2114" t="str">
        <f t="shared" si="32"/>
        <v>2020</v>
      </c>
      <c r="E2114">
        <v>325</v>
      </c>
      <c r="F2114">
        <v>15704464</v>
      </c>
      <c r="G2114">
        <v>0</v>
      </c>
      <c r="H2114" t="s">
        <v>10</v>
      </c>
      <c r="I2114" t="s">
        <v>11</v>
      </c>
    </row>
    <row r="2115" spans="1:9" hidden="1" x14ac:dyDescent="0.25">
      <c r="A2115" t="s">
        <v>8</v>
      </c>
      <c r="B2115" t="s">
        <v>146</v>
      </c>
      <c r="C2115">
        <v>202007</v>
      </c>
      <c r="D2115" t="str">
        <f t="shared" ref="D2115:D2178" si="33">LEFT(C2115,4)</f>
        <v>2020</v>
      </c>
      <c r="E2115">
        <v>290</v>
      </c>
      <c r="F2115">
        <v>15704464</v>
      </c>
      <c r="G2115">
        <v>0</v>
      </c>
      <c r="H2115" t="s">
        <v>10</v>
      </c>
      <c r="I2115" t="s">
        <v>11</v>
      </c>
    </row>
    <row r="2116" spans="1:9" hidden="1" x14ac:dyDescent="0.25">
      <c r="A2116" t="s">
        <v>8</v>
      </c>
      <c r="B2116" t="s">
        <v>146</v>
      </c>
      <c r="C2116">
        <v>202008</v>
      </c>
      <c r="D2116" t="str">
        <f t="shared" si="33"/>
        <v>2020</v>
      </c>
      <c r="E2116">
        <v>353</v>
      </c>
      <c r="F2116">
        <v>15704464</v>
      </c>
      <c r="G2116">
        <v>0</v>
      </c>
      <c r="H2116" t="s">
        <v>10</v>
      </c>
      <c r="I2116" t="s">
        <v>11</v>
      </c>
    </row>
    <row r="2117" spans="1:9" hidden="1" x14ac:dyDescent="0.25">
      <c r="A2117" t="s">
        <v>8</v>
      </c>
      <c r="B2117" t="s">
        <v>146</v>
      </c>
      <c r="C2117">
        <v>202009</v>
      </c>
      <c r="D2117" t="str">
        <f t="shared" si="33"/>
        <v>2020</v>
      </c>
      <c r="E2117">
        <v>263</v>
      </c>
      <c r="F2117">
        <v>15704464</v>
      </c>
      <c r="G2117">
        <v>0</v>
      </c>
      <c r="H2117" t="s">
        <v>10</v>
      </c>
      <c r="I2117" t="s">
        <v>11</v>
      </c>
    </row>
    <row r="2118" spans="1:9" hidden="1" x14ac:dyDescent="0.25">
      <c r="A2118" t="s">
        <v>8</v>
      </c>
      <c r="B2118" t="s">
        <v>146</v>
      </c>
      <c r="C2118">
        <v>202010</v>
      </c>
      <c r="D2118" t="str">
        <f t="shared" si="33"/>
        <v>2020</v>
      </c>
      <c r="E2118">
        <v>229</v>
      </c>
      <c r="F2118">
        <v>15704464</v>
      </c>
      <c r="G2118">
        <v>0</v>
      </c>
      <c r="H2118" t="s">
        <v>10</v>
      </c>
      <c r="I2118" t="s">
        <v>11</v>
      </c>
    </row>
    <row r="2119" spans="1:9" hidden="1" x14ac:dyDescent="0.25">
      <c r="A2119" t="s">
        <v>8</v>
      </c>
      <c r="B2119" t="s">
        <v>146</v>
      </c>
      <c r="C2119">
        <v>202011</v>
      </c>
      <c r="D2119" t="str">
        <f t="shared" si="33"/>
        <v>2020</v>
      </c>
      <c r="E2119">
        <v>231</v>
      </c>
      <c r="F2119">
        <v>15704464</v>
      </c>
      <c r="G2119">
        <v>0</v>
      </c>
      <c r="H2119" t="s">
        <v>10</v>
      </c>
      <c r="I2119" t="s">
        <v>11</v>
      </c>
    </row>
    <row r="2120" spans="1:9" hidden="1" x14ac:dyDescent="0.25">
      <c r="A2120" t="s">
        <v>8</v>
      </c>
      <c r="B2120" t="s">
        <v>146</v>
      </c>
      <c r="C2120">
        <v>202012</v>
      </c>
      <c r="D2120" t="str">
        <f t="shared" si="33"/>
        <v>2020</v>
      </c>
      <c r="E2120">
        <v>401</v>
      </c>
      <c r="F2120">
        <v>15704464</v>
      </c>
      <c r="G2120">
        <v>0</v>
      </c>
      <c r="H2120" t="s">
        <v>10</v>
      </c>
      <c r="I2120" t="s">
        <v>11</v>
      </c>
    </row>
    <row r="2121" spans="1:9" hidden="1" x14ac:dyDescent="0.25">
      <c r="A2121" t="s">
        <v>8</v>
      </c>
      <c r="B2121" t="s">
        <v>146</v>
      </c>
      <c r="C2121">
        <v>202101</v>
      </c>
      <c r="D2121" t="str">
        <f t="shared" si="33"/>
        <v>2021</v>
      </c>
      <c r="E2121">
        <v>6240</v>
      </c>
      <c r="F2121">
        <v>15704464</v>
      </c>
      <c r="G2121">
        <v>0.04</v>
      </c>
      <c r="H2121" t="s">
        <v>10</v>
      </c>
      <c r="I2121" t="s">
        <v>11</v>
      </c>
    </row>
    <row r="2122" spans="1:9" hidden="1" x14ac:dyDescent="0.25">
      <c r="A2122" t="s">
        <v>8</v>
      </c>
      <c r="B2122" t="s">
        <v>146</v>
      </c>
      <c r="C2122">
        <v>202102</v>
      </c>
      <c r="D2122" t="str">
        <f t="shared" si="33"/>
        <v>2021</v>
      </c>
      <c r="E2122">
        <v>6426</v>
      </c>
      <c r="F2122">
        <v>15704464</v>
      </c>
      <c r="G2122">
        <v>0.04</v>
      </c>
      <c r="H2122" t="s">
        <v>10</v>
      </c>
      <c r="I2122" t="s">
        <v>11</v>
      </c>
    </row>
    <row r="2123" spans="1:9" hidden="1" x14ac:dyDescent="0.25">
      <c r="A2123" t="s">
        <v>8</v>
      </c>
      <c r="B2123" t="s">
        <v>146</v>
      </c>
      <c r="C2123">
        <v>202103</v>
      </c>
      <c r="D2123" t="str">
        <f t="shared" si="33"/>
        <v>2021</v>
      </c>
      <c r="E2123">
        <v>7174</v>
      </c>
      <c r="F2123">
        <v>15704464</v>
      </c>
      <c r="G2123">
        <v>0.05</v>
      </c>
      <c r="H2123" t="s">
        <v>10</v>
      </c>
      <c r="I2123" t="s">
        <v>11</v>
      </c>
    </row>
    <row r="2124" spans="1:9" hidden="1" x14ac:dyDescent="0.25">
      <c r="A2124" t="s">
        <v>8</v>
      </c>
      <c r="B2124" t="s">
        <v>146</v>
      </c>
      <c r="C2124">
        <v>202104</v>
      </c>
      <c r="D2124" t="str">
        <f t="shared" si="33"/>
        <v>2021</v>
      </c>
      <c r="E2124">
        <v>7142</v>
      </c>
      <c r="F2124">
        <v>15704464</v>
      </c>
      <c r="G2124">
        <v>0.05</v>
      </c>
      <c r="H2124" t="s">
        <v>10</v>
      </c>
      <c r="I2124" t="s">
        <v>11</v>
      </c>
    </row>
    <row r="2125" spans="1:9" hidden="1" x14ac:dyDescent="0.25">
      <c r="A2125" t="s">
        <v>8</v>
      </c>
      <c r="B2125" t="s">
        <v>146</v>
      </c>
      <c r="C2125">
        <v>202105</v>
      </c>
      <c r="D2125" t="str">
        <f t="shared" si="33"/>
        <v>2021</v>
      </c>
      <c r="E2125">
        <v>6489</v>
      </c>
      <c r="F2125">
        <v>15704464</v>
      </c>
      <c r="G2125">
        <v>0.04</v>
      </c>
      <c r="H2125" t="s">
        <v>10</v>
      </c>
      <c r="I2125" t="s">
        <v>11</v>
      </c>
    </row>
    <row r="2126" spans="1:9" hidden="1" x14ac:dyDescent="0.25">
      <c r="A2126" t="s">
        <v>8</v>
      </c>
      <c r="B2126" t="s">
        <v>146</v>
      </c>
      <c r="C2126">
        <v>202106</v>
      </c>
      <c r="D2126" t="str">
        <f t="shared" si="33"/>
        <v>2021</v>
      </c>
      <c r="E2126">
        <v>7494</v>
      </c>
      <c r="F2126">
        <v>15704464</v>
      </c>
      <c r="G2126">
        <v>0.05</v>
      </c>
      <c r="H2126" t="s">
        <v>10</v>
      </c>
      <c r="I2126" t="s">
        <v>11</v>
      </c>
    </row>
    <row r="2127" spans="1:9" hidden="1" x14ac:dyDescent="0.25">
      <c r="A2127" t="s">
        <v>8</v>
      </c>
      <c r="B2127" t="s">
        <v>146</v>
      </c>
      <c r="C2127">
        <v>202107</v>
      </c>
      <c r="D2127" t="str">
        <f t="shared" si="33"/>
        <v>2021</v>
      </c>
      <c r="E2127">
        <v>17187</v>
      </c>
      <c r="F2127">
        <v>15704464</v>
      </c>
      <c r="G2127">
        <v>0.11</v>
      </c>
      <c r="H2127" t="s">
        <v>10</v>
      </c>
      <c r="I2127" t="s">
        <v>11</v>
      </c>
    </row>
    <row r="2128" spans="1:9" hidden="1" x14ac:dyDescent="0.25">
      <c r="A2128" t="s">
        <v>8</v>
      </c>
      <c r="B2128" t="s">
        <v>146</v>
      </c>
      <c r="C2128">
        <v>202108</v>
      </c>
      <c r="D2128" t="str">
        <f t="shared" si="33"/>
        <v>2021</v>
      </c>
      <c r="E2128">
        <v>19143</v>
      </c>
      <c r="F2128">
        <v>15704464</v>
      </c>
      <c r="G2128">
        <v>0.12</v>
      </c>
      <c r="H2128" t="s">
        <v>10</v>
      </c>
      <c r="I2128" t="s">
        <v>11</v>
      </c>
    </row>
    <row r="2129" spans="1:9" hidden="1" x14ac:dyDescent="0.25">
      <c r="A2129" t="s">
        <v>8</v>
      </c>
      <c r="B2129" t="s">
        <v>146</v>
      </c>
      <c r="C2129">
        <v>202109</v>
      </c>
      <c r="D2129" t="str">
        <f t="shared" si="33"/>
        <v>2021</v>
      </c>
      <c r="E2129">
        <v>20546</v>
      </c>
      <c r="F2129">
        <v>15704464</v>
      </c>
      <c r="G2129">
        <v>0.13</v>
      </c>
      <c r="H2129" t="s">
        <v>10</v>
      </c>
      <c r="I2129" t="s">
        <v>11</v>
      </c>
    </row>
    <row r="2130" spans="1:9" hidden="1" x14ac:dyDescent="0.25">
      <c r="A2130" t="s">
        <v>8</v>
      </c>
      <c r="B2130" t="s">
        <v>146</v>
      </c>
      <c r="C2130">
        <v>202110</v>
      </c>
      <c r="D2130" t="str">
        <f t="shared" si="33"/>
        <v>2021</v>
      </c>
      <c r="E2130">
        <v>19582</v>
      </c>
      <c r="F2130">
        <v>15704464</v>
      </c>
      <c r="G2130">
        <v>0.12</v>
      </c>
      <c r="H2130" t="s">
        <v>10</v>
      </c>
      <c r="I2130" t="s">
        <v>11</v>
      </c>
    </row>
    <row r="2131" spans="1:9" hidden="1" x14ac:dyDescent="0.25">
      <c r="A2131" t="s">
        <v>8</v>
      </c>
      <c r="B2131" t="s">
        <v>146</v>
      </c>
      <c r="C2131">
        <v>202111</v>
      </c>
      <c r="D2131" t="str">
        <f t="shared" si="33"/>
        <v>2021</v>
      </c>
      <c r="E2131">
        <v>21024</v>
      </c>
      <c r="F2131">
        <v>15704464</v>
      </c>
      <c r="G2131">
        <v>0.13</v>
      </c>
      <c r="H2131" t="s">
        <v>10</v>
      </c>
      <c r="I2131" t="s">
        <v>11</v>
      </c>
    </row>
    <row r="2132" spans="1:9" hidden="1" x14ac:dyDescent="0.25">
      <c r="A2132" t="s">
        <v>8</v>
      </c>
      <c r="B2132" t="s">
        <v>146</v>
      </c>
      <c r="C2132">
        <v>202112</v>
      </c>
      <c r="D2132" t="str">
        <f t="shared" si="33"/>
        <v>2021</v>
      </c>
      <c r="E2132">
        <v>22961</v>
      </c>
      <c r="F2132">
        <v>15704464</v>
      </c>
      <c r="G2132">
        <v>0.15</v>
      </c>
      <c r="H2132" t="s">
        <v>10</v>
      </c>
      <c r="I2132" t="s">
        <v>11</v>
      </c>
    </row>
    <row r="2133" spans="1:9" hidden="1" x14ac:dyDescent="0.25">
      <c r="A2133" t="s">
        <v>8</v>
      </c>
      <c r="B2133" t="s">
        <v>146</v>
      </c>
      <c r="C2133">
        <v>202201</v>
      </c>
      <c r="D2133" t="str">
        <f t="shared" si="33"/>
        <v>2022</v>
      </c>
      <c r="E2133">
        <v>36384</v>
      </c>
      <c r="F2133">
        <v>15704464</v>
      </c>
      <c r="G2133">
        <v>0.23</v>
      </c>
      <c r="H2133" t="s">
        <v>10</v>
      </c>
      <c r="I2133" t="s">
        <v>11</v>
      </c>
    </row>
    <row r="2134" spans="1:9" hidden="1" x14ac:dyDescent="0.25">
      <c r="A2134" t="s">
        <v>8</v>
      </c>
      <c r="B2134" t="s">
        <v>146</v>
      </c>
      <c r="C2134">
        <v>202202</v>
      </c>
      <c r="D2134" t="str">
        <f t="shared" si="33"/>
        <v>2022</v>
      </c>
      <c r="E2134">
        <v>30094</v>
      </c>
      <c r="F2134">
        <v>15704464</v>
      </c>
      <c r="G2134">
        <v>0.19</v>
      </c>
      <c r="H2134" t="s">
        <v>10</v>
      </c>
      <c r="I2134" t="s">
        <v>11</v>
      </c>
    </row>
    <row r="2135" spans="1:9" hidden="1" x14ac:dyDescent="0.25">
      <c r="A2135" t="s">
        <v>8</v>
      </c>
      <c r="B2135" t="s">
        <v>146</v>
      </c>
      <c r="C2135">
        <v>202203</v>
      </c>
      <c r="D2135" t="str">
        <f t="shared" si="33"/>
        <v>2022</v>
      </c>
      <c r="E2135">
        <v>29876</v>
      </c>
      <c r="F2135">
        <v>15704464</v>
      </c>
      <c r="G2135">
        <v>0.19</v>
      </c>
      <c r="H2135" t="s">
        <v>10</v>
      </c>
      <c r="I2135" t="s">
        <v>11</v>
      </c>
    </row>
    <row r="2136" spans="1:9" hidden="1" x14ac:dyDescent="0.25">
      <c r="A2136" t="s">
        <v>8</v>
      </c>
      <c r="B2136" t="s">
        <v>146</v>
      </c>
      <c r="C2136">
        <v>202204</v>
      </c>
      <c r="D2136" t="str">
        <f t="shared" si="33"/>
        <v>2022</v>
      </c>
      <c r="E2136">
        <v>27618</v>
      </c>
      <c r="F2136">
        <v>15704464</v>
      </c>
      <c r="G2136">
        <v>0.18</v>
      </c>
      <c r="H2136" t="s">
        <v>10</v>
      </c>
      <c r="I2136" t="s">
        <v>11</v>
      </c>
    </row>
    <row r="2137" spans="1:9" hidden="1" x14ac:dyDescent="0.25">
      <c r="A2137" t="s">
        <v>8</v>
      </c>
      <c r="B2137" t="s">
        <v>146</v>
      </c>
      <c r="C2137">
        <v>202205</v>
      </c>
      <c r="D2137" t="str">
        <f t="shared" si="33"/>
        <v>2022</v>
      </c>
      <c r="E2137">
        <v>27557</v>
      </c>
      <c r="F2137">
        <v>15704464</v>
      </c>
      <c r="G2137">
        <v>0.18</v>
      </c>
      <c r="H2137" t="s">
        <v>10</v>
      </c>
      <c r="I2137" t="s">
        <v>11</v>
      </c>
    </row>
    <row r="2138" spans="1:9" hidden="1" x14ac:dyDescent="0.25">
      <c r="A2138" t="s">
        <v>8</v>
      </c>
      <c r="B2138" t="s">
        <v>146</v>
      </c>
      <c r="C2138">
        <v>202206</v>
      </c>
      <c r="D2138" t="str">
        <f t="shared" si="33"/>
        <v>2022</v>
      </c>
      <c r="E2138">
        <v>29841</v>
      </c>
      <c r="F2138">
        <v>15704464</v>
      </c>
      <c r="G2138">
        <v>0.19</v>
      </c>
      <c r="H2138" t="s">
        <v>10</v>
      </c>
      <c r="I2138" t="s">
        <v>11</v>
      </c>
    </row>
    <row r="2139" spans="1:9" hidden="1" x14ac:dyDescent="0.25">
      <c r="A2139" t="s">
        <v>8</v>
      </c>
      <c r="B2139" t="s">
        <v>146</v>
      </c>
      <c r="C2139">
        <v>202207</v>
      </c>
      <c r="D2139" t="str">
        <f t="shared" si="33"/>
        <v>2022</v>
      </c>
      <c r="E2139">
        <v>33755</v>
      </c>
      <c r="F2139">
        <v>15704464</v>
      </c>
      <c r="G2139">
        <v>0.21</v>
      </c>
      <c r="H2139" t="s">
        <v>10</v>
      </c>
      <c r="I2139" t="s">
        <v>11</v>
      </c>
    </row>
    <row r="2140" spans="1:9" hidden="1" x14ac:dyDescent="0.25">
      <c r="A2140" t="s">
        <v>8</v>
      </c>
      <c r="B2140" t="s">
        <v>146</v>
      </c>
      <c r="C2140">
        <v>202208</v>
      </c>
      <c r="D2140" t="str">
        <f t="shared" si="33"/>
        <v>2022</v>
      </c>
      <c r="E2140">
        <v>38398</v>
      </c>
      <c r="F2140">
        <v>15704464</v>
      </c>
      <c r="G2140">
        <v>0.24</v>
      </c>
      <c r="H2140" t="s">
        <v>10</v>
      </c>
      <c r="I2140" t="s">
        <v>11</v>
      </c>
    </row>
    <row r="2141" spans="1:9" hidden="1" x14ac:dyDescent="0.25">
      <c r="A2141" t="s">
        <v>8</v>
      </c>
      <c r="B2141" t="s">
        <v>146</v>
      </c>
      <c r="C2141">
        <v>202209</v>
      </c>
      <c r="D2141" t="str">
        <f t="shared" si="33"/>
        <v>2022</v>
      </c>
      <c r="E2141">
        <v>39752</v>
      </c>
      <c r="F2141">
        <v>15704464</v>
      </c>
      <c r="G2141">
        <v>0.25</v>
      </c>
      <c r="H2141" t="s">
        <v>10</v>
      </c>
      <c r="I2141" t="s">
        <v>11</v>
      </c>
    </row>
    <row r="2142" spans="1:9" hidden="1" x14ac:dyDescent="0.25">
      <c r="A2142" t="s">
        <v>8</v>
      </c>
      <c r="B2142" t="s">
        <v>146</v>
      </c>
      <c r="C2142">
        <v>202210</v>
      </c>
      <c r="D2142" t="str">
        <f t="shared" si="33"/>
        <v>2022</v>
      </c>
      <c r="E2142">
        <v>44247</v>
      </c>
      <c r="F2142">
        <v>15704464</v>
      </c>
      <c r="G2142">
        <v>0.28000000000000003</v>
      </c>
      <c r="H2142" t="s">
        <v>10</v>
      </c>
      <c r="I2142" t="s">
        <v>11</v>
      </c>
    </row>
    <row r="2143" spans="1:9" hidden="1" x14ac:dyDescent="0.25">
      <c r="A2143" t="s">
        <v>8</v>
      </c>
      <c r="B2143" t="s">
        <v>146</v>
      </c>
      <c r="C2143">
        <v>202211</v>
      </c>
      <c r="D2143" t="str">
        <f t="shared" si="33"/>
        <v>2022</v>
      </c>
      <c r="E2143">
        <v>42817</v>
      </c>
      <c r="F2143">
        <v>15704464</v>
      </c>
      <c r="G2143">
        <v>0.27</v>
      </c>
      <c r="H2143" t="s">
        <v>10</v>
      </c>
      <c r="I2143" t="s">
        <v>11</v>
      </c>
    </row>
    <row r="2144" spans="1:9" hidden="1" x14ac:dyDescent="0.25">
      <c r="A2144" t="s">
        <v>8</v>
      </c>
      <c r="B2144" t="s">
        <v>146</v>
      </c>
      <c r="C2144">
        <v>202212</v>
      </c>
      <c r="D2144" t="str">
        <f t="shared" si="33"/>
        <v>2022</v>
      </c>
      <c r="E2144">
        <v>47237</v>
      </c>
      <c r="F2144">
        <v>15704464</v>
      </c>
      <c r="G2144">
        <v>0.3</v>
      </c>
      <c r="H2144" t="s">
        <v>10</v>
      </c>
      <c r="I2144" t="s">
        <v>11</v>
      </c>
    </row>
    <row r="2145" spans="1:9" hidden="1" x14ac:dyDescent="0.25">
      <c r="A2145" t="s">
        <v>8</v>
      </c>
      <c r="B2145" t="s">
        <v>146</v>
      </c>
      <c r="C2145">
        <v>202301</v>
      </c>
      <c r="D2145" t="str">
        <f t="shared" si="33"/>
        <v>2023</v>
      </c>
      <c r="E2145">
        <v>184862</v>
      </c>
      <c r="F2145">
        <v>15704464</v>
      </c>
      <c r="G2145">
        <v>1.18</v>
      </c>
      <c r="H2145" t="s">
        <v>10</v>
      </c>
      <c r="I2145" t="s">
        <v>11</v>
      </c>
    </row>
    <row r="2146" spans="1:9" hidden="1" x14ac:dyDescent="0.25">
      <c r="A2146" t="s">
        <v>8</v>
      </c>
      <c r="B2146" t="s">
        <v>146</v>
      </c>
      <c r="C2146">
        <v>202302</v>
      </c>
      <c r="D2146" t="str">
        <f t="shared" si="33"/>
        <v>2023</v>
      </c>
      <c r="E2146">
        <v>231537</v>
      </c>
      <c r="F2146">
        <v>15704464</v>
      </c>
      <c r="G2146">
        <v>1.47</v>
      </c>
      <c r="H2146" t="s">
        <v>10</v>
      </c>
      <c r="I2146" t="s">
        <v>11</v>
      </c>
    </row>
    <row r="2147" spans="1:9" hidden="1" x14ac:dyDescent="0.25">
      <c r="A2147" t="s">
        <v>8</v>
      </c>
      <c r="B2147" t="s">
        <v>146</v>
      </c>
      <c r="C2147">
        <v>202303</v>
      </c>
      <c r="D2147" t="str">
        <f t="shared" si="33"/>
        <v>2023</v>
      </c>
      <c r="E2147">
        <v>256769</v>
      </c>
      <c r="F2147">
        <v>15704464</v>
      </c>
      <c r="G2147">
        <v>1.64</v>
      </c>
      <c r="H2147" t="s">
        <v>10</v>
      </c>
      <c r="I2147" t="s">
        <v>11</v>
      </c>
    </row>
    <row r="2148" spans="1:9" hidden="1" x14ac:dyDescent="0.25">
      <c r="A2148" t="s">
        <v>8</v>
      </c>
      <c r="B2148" t="s">
        <v>146</v>
      </c>
      <c r="C2148">
        <v>202304</v>
      </c>
      <c r="D2148" t="str">
        <f t="shared" si="33"/>
        <v>2023</v>
      </c>
      <c r="E2148">
        <v>232791</v>
      </c>
      <c r="F2148">
        <v>15704464</v>
      </c>
      <c r="G2148">
        <v>1.48</v>
      </c>
      <c r="H2148" t="s">
        <v>10</v>
      </c>
      <c r="I2148" t="s">
        <v>11</v>
      </c>
    </row>
    <row r="2149" spans="1:9" hidden="1" x14ac:dyDescent="0.25">
      <c r="A2149" t="s">
        <v>8</v>
      </c>
      <c r="B2149" t="s">
        <v>146</v>
      </c>
      <c r="C2149">
        <v>202305</v>
      </c>
      <c r="D2149" t="str">
        <f t="shared" si="33"/>
        <v>2023</v>
      </c>
      <c r="E2149">
        <v>246974</v>
      </c>
      <c r="F2149">
        <v>15704464</v>
      </c>
      <c r="G2149">
        <v>1.57</v>
      </c>
      <c r="H2149" t="s">
        <v>10</v>
      </c>
      <c r="I2149" t="s">
        <v>11</v>
      </c>
    </row>
    <row r="2150" spans="1:9" hidden="1" x14ac:dyDescent="0.25">
      <c r="A2150" t="s">
        <v>8</v>
      </c>
      <c r="B2150" t="s">
        <v>146</v>
      </c>
      <c r="C2150">
        <v>202306</v>
      </c>
      <c r="D2150" t="str">
        <f t="shared" si="33"/>
        <v>2023</v>
      </c>
      <c r="E2150">
        <v>239723</v>
      </c>
      <c r="F2150">
        <v>15704464</v>
      </c>
      <c r="G2150">
        <v>1.53</v>
      </c>
      <c r="H2150" t="s">
        <v>10</v>
      </c>
      <c r="I2150" t="s">
        <v>11</v>
      </c>
    </row>
    <row r="2151" spans="1:9" hidden="1" x14ac:dyDescent="0.25">
      <c r="A2151" t="s">
        <v>8</v>
      </c>
      <c r="B2151" t="s">
        <v>146</v>
      </c>
      <c r="C2151">
        <v>202307</v>
      </c>
      <c r="D2151" t="str">
        <f t="shared" si="33"/>
        <v>2023</v>
      </c>
      <c r="E2151">
        <v>223041</v>
      </c>
      <c r="F2151">
        <v>15704464</v>
      </c>
      <c r="G2151">
        <v>1.42</v>
      </c>
      <c r="H2151" t="s">
        <v>10</v>
      </c>
      <c r="I2151" t="s">
        <v>11</v>
      </c>
    </row>
    <row r="2152" spans="1:9" hidden="1" x14ac:dyDescent="0.25">
      <c r="A2152" t="s">
        <v>8</v>
      </c>
      <c r="B2152" t="s">
        <v>146</v>
      </c>
      <c r="C2152">
        <v>202308</v>
      </c>
      <c r="D2152" t="str">
        <f t="shared" si="33"/>
        <v>2023</v>
      </c>
      <c r="E2152">
        <v>254909</v>
      </c>
      <c r="F2152">
        <v>15704464</v>
      </c>
      <c r="G2152">
        <v>1.62</v>
      </c>
      <c r="H2152" t="s">
        <v>10</v>
      </c>
      <c r="I2152" t="s">
        <v>11</v>
      </c>
    </row>
    <row r="2153" spans="1:9" hidden="1" x14ac:dyDescent="0.25">
      <c r="A2153" t="s">
        <v>8</v>
      </c>
      <c r="B2153" t="s">
        <v>146</v>
      </c>
      <c r="C2153">
        <v>202309</v>
      </c>
      <c r="D2153" t="str">
        <f t="shared" si="33"/>
        <v>2023</v>
      </c>
      <c r="E2153">
        <v>239790</v>
      </c>
      <c r="F2153">
        <v>15704464</v>
      </c>
      <c r="G2153">
        <v>1.53</v>
      </c>
      <c r="H2153" t="s">
        <v>10</v>
      </c>
      <c r="I2153" t="s">
        <v>11</v>
      </c>
    </row>
    <row r="2154" spans="1:9" hidden="1" x14ac:dyDescent="0.25">
      <c r="A2154" t="s">
        <v>8</v>
      </c>
      <c r="B2154" t="s">
        <v>146</v>
      </c>
      <c r="C2154">
        <v>202310</v>
      </c>
      <c r="D2154" t="str">
        <f t="shared" si="33"/>
        <v>2023</v>
      </c>
      <c r="E2154">
        <v>261603</v>
      </c>
      <c r="F2154">
        <v>15704464</v>
      </c>
      <c r="G2154">
        <v>1.67</v>
      </c>
      <c r="H2154" t="s">
        <v>10</v>
      </c>
      <c r="I2154" t="s">
        <v>11</v>
      </c>
    </row>
    <row r="2155" spans="1:9" hidden="1" x14ac:dyDescent="0.25">
      <c r="A2155" t="s">
        <v>8</v>
      </c>
      <c r="B2155" t="s">
        <v>146</v>
      </c>
      <c r="C2155">
        <v>202311</v>
      </c>
      <c r="D2155" t="str">
        <f t="shared" si="33"/>
        <v>2023</v>
      </c>
      <c r="E2155">
        <v>245833</v>
      </c>
      <c r="F2155">
        <v>15704464</v>
      </c>
      <c r="G2155">
        <v>1.57</v>
      </c>
      <c r="H2155" t="s">
        <v>10</v>
      </c>
      <c r="I2155" t="s">
        <v>11</v>
      </c>
    </row>
    <row r="2156" spans="1:9" hidden="1" x14ac:dyDescent="0.25">
      <c r="A2156" t="s">
        <v>8</v>
      </c>
      <c r="B2156" t="s">
        <v>146</v>
      </c>
      <c r="C2156">
        <v>202312</v>
      </c>
      <c r="D2156" t="str">
        <f t="shared" si="33"/>
        <v>2023</v>
      </c>
      <c r="E2156">
        <v>232003</v>
      </c>
      <c r="F2156">
        <v>15704464</v>
      </c>
      <c r="G2156">
        <v>1.48</v>
      </c>
      <c r="H2156" t="s">
        <v>10</v>
      </c>
      <c r="I2156" t="s">
        <v>11</v>
      </c>
    </row>
    <row r="2157" spans="1:9" hidden="1" x14ac:dyDescent="0.25">
      <c r="A2157" t="s">
        <v>8</v>
      </c>
      <c r="B2157" t="s">
        <v>146</v>
      </c>
      <c r="C2157">
        <v>202401</v>
      </c>
      <c r="D2157" t="str">
        <f t="shared" si="33"/>
        <v>2024</v>
      </c>
      <c r="E2157">
        <v>507999</v>
      </c>
      <c r="F2157">
        <v>15704464</v>
      </c>
      <c r="G2157">
        <v>3.23</v>
      </c>
      <c r="H2157" t="s">
        <v>10</v>
      </c>
      <c r="I2157" t="s">
        <v>11</v>
      </c>
    </row>
    <row r="2158" spans="1:9" hidden="1" x14ac:dyDescent="0.25">
      <c r="A2158" t="s">
        <v>8</v>
      </c>
      <c r="B2158" t="s">
        <v>146</v>
      </c>
      <c r="C2158">
        <v>202402</v>
      </c>
      <c r="D2158" t="str">
        <f t="shared" si="33"/>
        <v>2024</v>
      </c>
      <c r="E2158">
        <v>558515</v>
      </c>
      <c r="F2158">
        <v>15704464</v>
      </c>
      <c r="G2158">
        <v>3.56</v>
      </c>
      <c r="H2158" t="s">
        <v>10</v>
      </c>
      <c r="I2158" t="s">
        <v>11</v>
      </c>
    </row>
    <row r="2159" spans="1:9" hidden="1" x14ac:dyDescent="0.25">
      <c r="A2159" t="s">
        <v>8</v>
      </c>
      <c r="B2159" t="s">
        <v>146</v>
      </c>
      <c r="C2159">
        <v>202403</v>
      </c>
      <c r="D2159" t="str">
        <f t="shared" si="33"/>
        <v>2024</v>
      </c>
      <c r="E2159">
        <v>584245</v>
      </c>
      <c r="F2159">
        <v>15704464</v>
      </c>
      <c r="G2159">
        <v>3.72</v>
      </c>
      <c r="H2159" t="s">
        <v>10</v>
      </c>
      <c r="I2159" t="s">
        <v>11</v>
      </c>
    </row>
    <row r="2160" spans="1:9" hidden="1" x14ac:dyDescent="0.25">
      <c r="A2160" t="s">
        <v>8</v>
      </c>
      <c r="B2160" t="s">
        <v>146</v>
      </c>
      <c r="C2160">
        <v>202404</v>
      </c>
      <c r="D2160" t="str">
        <f t="shared" si="33"/>
        <v>2024</v>
      </c>
      <c r="E2160">
        <v>609262</v>
      </c>
      <c r="F2160">
        <v>15704464</v>
      </c>
      <c r="G2160">
        <v>3.88</v>
      </c>
      <c r="H2160" t="s">
        <v>10</v>
      </c>
      <c r="I2160" t="s">
        <v>11</v>
      </c>
    </row>
    <row r="2161" spans="1:9" hidden="1" x14ac:dyDescent="0.25">
      <c r="A2161" t="s">
        <v>8</v>
      </c>
      <c r="B2161" t="s">
        <v>146</v>
      </c>
      <c r="C2161">
        <v>202405</v>
      </c>
      <c r="D2161" t="str">
        <f t="shared" si="33"/>
        <v>2024</v>
      </c>
      <c r="E2161">
        <v>586761</v>
      </c>
      <c r="F2161">
        <v>15704464</v>
      </c>
      <c r="G2161">
        <v>3.74</v>
      </c>
      <c r="H2161" t="s">
        <v>10</v>
      </c>
      <c r="I2161" t="s">
        <v>11</v>
      </c>
    </row>
    <row r="2162" spans="1:9" hidden="1" x14ac:dyDescent="0.25">
      <c r="A2162" t="s">
        <v>8</v>
      </c>
      <c r="B2162" t="s">
        <v>146</v>
      </c>
      <c r="C2162">
        <v>202406</v>
      </c>
      <c r="D2162" t="str">
        <f t="shared" si="33"/>
        <v>2024</v>
      </c>
      <c r="E2162">
        <v>556806</v>
      </c>
      <c r="F2162">
        <v>15704464</v>
      </c>
      <c r="G2162">
        <v>3.55</v>
      </c>
      <c r="H2162" t="s">
        <v>10</v>
      </c>
      <c r="I2162" t="s">
        <v>11</v>
      </c>
    </row>
    <row r="2163" spans="1:9" hidden="1" x14ac:dyDescent="0.25">
      <c r="A2163" t="s">
        <v>8</v>
      </c>
      <c r="B2163" t="s">
        <v>146</v>
      </c>
      <c r="C2163">
        <v>202407</v>
      </c>
      <c r="D2163" t="str">
        <f t="shared" si="33"/>
        <v>2024</v>
      </c>
      <c r="E2163">
        <v>573954</v>
      </c>
      <c r="F2163">
        <v>15704464</v>
      </c>
      <c r="G2163">
        <v>3.65</v>
      </c>
      <c r="H2163" t="s">
        <v>10</v>
      </c>
      <c r="I2163" t="s">
        <v>11</v>
      </c>
    </row>
    <row r="2164" spans="1:9" hidden="1" x14ac:dyDescent="0.25">
      <c r="A2164" t="s">
        <v>8</v>
      </c>
      <c r="B2164" t="s">
        <v>146</v>
      </c>
      <c r="C2164">
        <v>202408</v>
      </c>
      <c r="D2164" t="str">
        <f t="shared" si="33"/>
        <v>2024</v>
      </c>
      <c r="E2164">
        <v>581707</v>
      </c>
      <c r="F2164">
        <v>15704464</v>
      </c>
      <c r="G2164">
        <v>3.7</v>
      </c>
      <c r="H2164" t="s">
        <v>10</v>
      </c>
      <c r="I2164" t="s">
        <v>11</v>
      </c>
    </row>
    <row r="2165" spans="1:9" hidden="1" x14ac:dyDescent="0.25">
      <c r="A2165" t="s">
        <v>8</v>
      </c>
      <c r="B2165" t="s">
        <v>146</v>
      </c>
      <c r="C2165">
        <v>202409</v>
      </c>
      <c r="D2165" t="str">
        <f t="shared" si="33"/>
        <v>2024</v>
      </c>
      <c r="E2165">
        <v>609130</v>
      </c>
      <c r="F2165">
        <v>15704464</v>
      </c>
      <c r="G2165">
        <v>3.88</v>
      </c>
      <c r="H2165" t="s">
        <v>10</v>
      </c>
      <c r="I2165" t="s">
        <v>11</v>
      </c>
    </row>
    <row r="2166" spans="1:9" hidden="1" x14ac:dyDescent="0.25">
      <c r="A2166" t="s">
        <v>8</v>
      </c>
      <c r="B2166" t="s">
        <v>146</v>
      </c>
      <c r="C2166">
        <v>202410</v>
      </c>
      <c r="D2166" t="str">
        <f t="shared" si="33"/>
        <v>2024</v>
      </c>
      <c r="E2166">
        <v>701732</v>
      </c>
      <c r="F2166">
        <v>15704464</v>
      </c>
      <c r="G2166">
        <v>4.47</v>
      </c>
      <c r="H2166" t="s">
        <v>10</v>
      </c>
      <c r="I2166" t="s">
        <v>11</v>
      </c>
    </row>
    <row r="2167" spans="1:9" hidden="1" x14ac:dyDescent="0.25">
      <c r="A2167" t="s">
        <v>8</v>
      </c>
      <c r="B2167" t="s">
        <v>146</v>
      </c>
      <c r="C2167">
        <v>202411</v>
      </c>
      <c r="D2167" t="str">
        <f t="shared" si="33"/>
        <v>2024</v>
      </c>
      <c r="E2167">
        <v>620421</v>
      </c>
      <c r="F2167">
        <v>15704464</v>
      </c>
      <c r="G2167">
        <v>3.95</v>
      </c>
      <c r="H2167" t="s">
        <v>10</v>
      </c>
      <c r="I2167" t="s">
        <v>11</v>
      </c>
    </row>
    <row r="2168" spans="1:9" hidden="1" x14ac:dyDescent="0.25">
      <c r="A2168" t="s">
        <v>8</v>
      </c>
      <c r="B2168" t="s">
        <v>146</v>
      </c>
      <c r="C2168">
        <v>202412</v>
      </c>
      <c r="D2168" t="str">
        <f t="shared" si="33"/>
        <v>2024</v>
      </c>
      <c r="E2168">
        <v>659407</v>
      </c>
      <c r="F2168">
        <v>15704464</v>
      </c>
      <c r="G2168">
        <v>4.2</v>
      </c>
      <c r="H2168" t="s">
        <v>10</v>
      </c>
      <c r="I2168" t="s">
        <v>11</v>
      </c>
    </row>
    <row r="2169" spans="1:9" x14ac:dyDescent="0.25">
      <c r="A2169" t="s">
        <v>8</v>
      </c>
      <c r="B2169" t="s">
        <v>146</v>
      </c>
      <c r="C2169">
        <v>202501</v>
      </c>
      <c r="D2169" t="str">
        <f t="shared" si="33"/>
        <v>2025</v>
      </c>
      <c r="E2169">
        <v>539129</v>
      </c>
      <c r="F2169">
        <v>15704464</v>
      </c>
      <c r="G2169">
        <v>3.43</v>
      </c>
      <c r="H2169" t="s">
        <v>10</v>
      </c>
      <c r="I2169" t="s">
        <v>11</v>
      </c>
    </row>
    <row r="2170" spans="1:9" x14ac:dyDescent="0.25">
      <c r="A2170" t="s">
        <v>8</v>
      </c>
      <c r="B2170" t="s">
        <v>146</v>
      </c>
      <c r="C2170">
        <v>202502</v>
      </c>
      <c r="D2170" t="str">
        <f t="shared" si="33"/>
        <v>2025</v>
      </c>
      <c r="E2170">
        <v>491322</v>
      </c>
      <c r="F2170">
        <v>15704464</v>
      </c>
      <c r="G2170">
        <v>3.13</v>
      </c>
      <c r="H2170" t="s">
        <v>10</v>
      </c>
      <c r="I2170" t="s">
        <v>11</v>
      </c>
    </row>
    <row r="2171" spans="1:9" x14ac:dyDescent="0.25">
      <c r="A2171" t="s">
        <v>8</v>
      </c>
      <c r="B2171" t="s">
        <v>146</v>
      </c>
      <c r="C2171">
        <v>202503</v>
      </c>
      <c r="D2171" t="str">
        <f t="shared" si="33"/>
        <v>2025</v>
      </c>
      <c r="E2171">
        <v>548910</v>
      </c>
      <c r="F2171">
        <v>15704464</v>
      </c>
      <c r="G2171">
        <v>3.5</v>
      </c>
      <c r="H2171" t="s">
        <v>10</v>
      </c>
      <c r="I2171" t="s">
        <v>11</v>
      </c>
    </row>
    <row r="2172" spans="1:9" x14ac:dyDescent="0.25">
      <c r="A2172" t="s">
        <v>8</v>
      </c>
      <c r="B2172" t="s">
        <v>146</v>
      </c>
      <c r="C2172">
        <v>202504</v>
      </c>
      <c r="D2172" t="str">
        <f t="shared" si="33"/>
        <v>2025</v>
      </c>
      <c r="E2172">
        <v>524953</v>
      </c>
      <c r="F2172">
        <v>15704464</v>
      </c>
      <c r="G2172">
        <v>3.34</v>
      </c>
      <c r="H2172" t="s">
        <v>10</v>
      </c>
      <c r="I2172" t="s">
        <v>11</v>
      </c>
    </row>
    <row r="2173" spans="1:9" x14ac:dyDescent="0.25">
      <c r="A2173" t="s">
        <v>8</v>
      </c>
      <c r="B2173" t="s">
        <v>146</v>
      </c>
      <c r="C2173">
        <v>202505</v>
      </c>
      <c r="D2173" t="str">
        <f t="shared" si="33"/>
        <v>2025</v>
      </c>
      <c r="E2173">
        <v>470457</v>
      </c>
      <c r="F2173">
        <v>15704464</v>
      </c>
      <c r="G2173">
        <v>3</v>
      </c>
      <c r="H2173" t="s">
        <v>10</v>
      </c>
      <c r="I2173" t="s">
        <v>11</v>
      </c>
    </row>
    <row r="2174" spans="1:9" x14ac:dyDescent="0.25">
      <c r="A2174" t="s">
        <v>8</v>
      </c>
      <c r="B2174" t="s">
        <v>146</v>
      </c>
      <c r="C2174">
        <v>202506</v>
      </c>
      <c r="D2174" t="str">
        <f t="shared" si="33"/>
        <v>2025</v>
      </c>
      <c r="E2174">
        <v>471188</v>
      </c>
      <c r="F2174">
        <v>15704464</v>
      </c>
      <c r="G2174">
        <v>3</v>
      </c>
      <c r="H2174" t="s">
        <v>10</v>
      </c>
      <c r="I2174" t="s">
        <v>11</v>
      </c>
    </row>
    <row r="2175" spans="1:9" x14ac:dyDescent="0.25">
      <c r="A2175" t="s">
        <v>8</v>
      </c>
      <c r="B2175" t="s">
        <v>146</v>
      </c>
      <c r="C2175">
        <v>202507</v>
      </c>
      <c r="D2175" t="str">
        <f t="shared" si="33"/>
        <v>2025</v>
      </c>
      <c r="E2175">
        <v>417577</v>
      </c>
      <c r="F2175">
        <v>15704464</v>
      </c>
      <c r="G2175">
        <v>2.66</v>
      </c>
      <c r="H2175" t="s">
        <v>10</v>
      </c>
      <c r="I2175" t="s">
        <v>11</v>
      </c>
    </row>
    <row r="2176" spans="1:9" x14ac:dyDescent="0.25">
      <c r="A2176" t="s">
        <v>8</v>
      </c>
      <c r="B2176" t="s">
        <v>146</v>
      </c>
      <c r="C2176">
        <v>202508</v>
      </c>
      <c r="D2176" t="str">
        <f t="shared" si="33"/>
        <v>2025</v>
      </c>
      <c r="E2176">
        <v>388290</v>
      </c>
      <c r="F2176">
        <v>15704464</v>
      </c>
      <c r="G2176">
        <v>2.4700000000000002</v>
      </c>
      <c r="H2176" t="s">
        <v>10</v>
      </c>
      <c r="I2176" t="s">
        <v>11</v>
      </c>
    </row>
    <row r="2177" spans="1:9" x14ac:dyDescent="0.25">
      <c r="A2177" t="s">
        <v>8</v>
      </c>
      <c r="B2177" t="s">
        <v>146</v>
      </c>
      <c r="C2177">
        <v>202509</v>
      </c>
      <c r="D2177" t="str">
        <f t="shared" si="33"/>
        <v>2025</v>
      </c>
      <c r="E2177">
        <v>409097</v>
      </c>
      <c r="F2177">
        <v>15704464</v>
      </c>
      <c r="G2177">
        <v>2.6</v>
      </c>
      <c r="H2177" t="s">
        <v>10</v>
      </c>
      <c r="I2177" t="s">
        <v>11</v>
      </c>
    </row>
    <row r="2178" spans="1:9" x14ac:dyDescent="0.25">
      <c r="A2178" t="s">
        <v>8</v>
      </c>
      <c r="B2178" t="s">
        <v>146</v>
      </c>
      <c r="C2178">
        <v>202510</v>
      </c>
      <c r="D2178" t="str">
        <f t="shared" si="33"/>
        <v>2025</v>
      </c>
      <c r="E2178">
        <v>425142</v>
      </c>
      <c r="F2178">
        <v>15704464</v>
      </c>
      <c r="G2178">
        <v>2.71</v>
      </c>
      <c r="H2178" t="s">
        <v>10</v>
      </c>
      <c r="I2178" t="s">
        <v>11</v>
      </c>
    </row>
    <row r="2179" spans="1:9" x14ac:dyDescent="0.25">
      <c r="A2179" t="s">
        <v>8</v>
      </c>
      <c r="B2179" t="s">
        <v>146</v>
      </c>
      <c r="C2179">
        <v>202511</v>
      </c>
      <c r="D2179" t="str">
        <f t="shared" ref="D2179:D2242" si="34">LEFT(C2179,4)</f>
        <v>2025</v>
      </c>
      <c r="E2179">
        <v>341731</v>
      </c>
      <c r="F2179">
        <v>15704464</v>
      </c>
      <c r="G2179">
        <v>2.1800000000000002</v>
      </c>
      <c r="H2179" t="s">
        <v>10</v>
      </c>
      <c r="I2179" t="s">
        <v>11</v>
      </c>
    </row>
    <row r="2180" spans="1:9" x14ac:dyDescent="0.25">
      <c r="A2180" t="s">
        <v>8</v>
      </c>
      <c r="B2180" t="s">
        <v>146</v>
      </c>
      <c r="C2180">
        <v>202512</v>
      </c>
      <c r="D2180" t="str">
        <f t="shared" si="34"/>
        <v>2025</v>
      </c>
      <c r="E2180">
        <v>82472</v>
      </c>
      <c r="F2180">
        <v>15704464</v>
      </c>
      <c r="G2180">
        <v>0.53</v>
      </c>
      <c r="H2180" t="s">
        <v>10</v>
      </c>
      <c r="I2180" t="s">
        <v>11</v>
      </c>
    </row>
    <row r="2181" spans="1:9" hidden="1" x14ac:dyDescent="0.25">
      <c r="A2181" t="s">
        <v>8</v>
      </c>
      <c r="B2181" t="s">
        <v>154</v>
      </c>
      <c r="C2181">
        <v>201901</v>
      </c>
      <c r="D2181" t="str">
        <f t="shared" si="34"/>
        <v>2019</v>
      </c>
      <c r="E2181">
        <v>116</v>
      </c>
      <c r="F2181">
        <v>16035963</v>
      </c>
      <c r="G2181">
        <v>0</v>
      </c>
      <c r="H2181" t="s">
        <v>10</v>
      </c>
      <c r="I2181" t="s">
        <v>11</v>
      </c>
    </row>
    <row r="2182" spans="1:9" hidden="1" x14ac:dyDescent="0.25">
      <c r="A2182" t="s">
        <v>8</v>
      </c>
      <c r="B2182" t="s">
        <v>154</v>
      </c>
      <c r="C2182">
        <v>201902</v>
      </c>
      <c r="D2182" t="str">
        <f t="shared" si="34"/>
        <v>2019</v>
      </c>
      <c r="E2182">
        <v>106</v>
      </c>
      <c r="F2182">
        <v>16035963</v>
      </c>
      <c r="G2182">
        <v>0</v>
      </c>
      <c r="H2182" t="s">
        <v>10</v>
      </c>
      <c r="I2182" t="s">
        <v>11</v>
      </c>
    </row>
    <row r="2183" spans="1:9" hidden="1" x14ac:dyDescent="0.25">
      <c r="A2183" t="s">
        <v>8</v>
      </c>
      <c r="B2183" t="s">
        <v>154</v>
      </c>
      <c r="C2183">
        <v>201903</v>
      </c>
      <c r="D2183" t="str">
        <f t="shared" si="34"/>
        <v>2019</v>
      </c>
      <c r="E2183">
        <v>170</v>
      </c>
      <c r="F2183">
        <v>16035963</v>
      </c>
      <c r="G2183">
        <v>0</v>
      </c>
      <c r="H2183" t="s">
        <v>10</v>
      </c>
      <c r="I2183" t="s">
        <v>11</v>
      </c>
    </row>
    <row r="2184" spans="1:9" hidden="1" x14ac:dyDescent="0.25">
      <c r="A2184" t="s">
        <v>8</v>
      </c>
      <c r="B2184" t="s">
        <v>154</v>
      </c>
      <c r="C2184">
        <v>201904</v>
      </c>
      <c r="D2184" t="str">
        <f t="shared" si="34"/>
        <v>2019</v>
      </c>
      <c r="E2184">
        <v>174</v>
      </c>
      <c r="F2184">
        <v>16035963</v>
      </c>
      <c r="G2184">
        <v>0</v>
      </c>
      <c r="H2184" t="s">
        <v>10</v>
      </c>
      <c r="I2184" t="s">
        <v>11</v>
      </c>
    </row>
    <row r="2185" spans="1:9" hidden="1" x14ac:dyDescent="0.25">
      <c r="A2185" t="s">
        <v>8</v>
      </c>
      <c r="B2185" t="s">
        <v>154</v>
      </c>
      <c r="C2185">
        <v>201905</v>
      </c>
      <c r="D2185" t="str">
        <f t="shared" si="34"/>
        <v>2019</v>
      </c>
      <c r="E2185">
        <v>233</v>
      </c>
      <c r="F2185">
        <v>16035963</v>
      </c>
      <c r="G2185">
        <v>0</v>
      </c>
      <c r="H2185" t="s">
        <v>10</v>
      </c>
      <c r="I2185" t="s">
        <v>11</v>
      </c>
    </row>
    <row r="2186" spans="1:9" hidden="1" x14ac:dyDescent="0.25">
      <c r="A2186" t="s">
        <v>8</v>
      </c>
      <c r="B2186" t="s">
        <v>154</v>
      </c>
      <c r="C2186">
        <v>201906</v>
      </c>
      <c r="D2186" t="str">
        <f t="shared" si="34"/>
        <v>2019</v>
      </c>
      <c r="E2186">
        <v>365</v>
      </c>
      <c r="F2186">
        <v>16035963</v>
      </c>
      <c r="G2186">
        <v>0</v>
      </c>
      <c r="H2186" t="s">
        <v>10</v>
      </c>
      <c r="I2186" t="s">
        <v>11</v>
      </c>
    </row>
    <row r="2187" spans="1:9" hidden="1" x14ac:dyDescent="0.25">
      <c r="A2187" t="s">
        <v>8</v>
      </c>
      <c r="B2187" t="s">
        <v>154</v>
      </c>
      <c r="C2187">
        <v>201907</v>
      </c>
      <c r="D2187" t="str">
        <f t="shared" si="34"/>
        <v>2019</v>
      </c>
      <c r="E2187">
        <v>189</v>
      </c>
      <c r="F2187">
        <v>16035963</v>
      </c>
      <c r="G2187">
        <v>0</v>
      </c>
      <c r="H2187" t="s">
        <v>10</v>
      </c>
      <c r="I2187" t="s">
        <v>11</v>
      </c>
    </row>
    <row r="2188" spans="1:9" hidden="1" x14ac:dyDescent="0.25">
      <c r="A2188" t="s">
        <v>8</v>
      </c>
      <c r="B2188" t="s">
        <v>154</v>
      </c>
      <c r="C2188">
        <v>201908</v>
      </c>
      <c r="D2188" t="str">
        <f t="shared" si="34"/>
        <v>2019</v>
      </c>
      <c r="E2188">
        <v>94</v>
      </c>
      <c r="F2188">
        <v>16035963</v>
      </c>
      <c r="G2188">
        <v>0</v>
      </c>
      <c r="H2188" t="s">
        <v>10</v>
      </c>
      <c r="I2188" t="s">
        <v>11</v>
      </c>
    </row>
    <row r="2189" spans="1:9" hidden="1" x14ac:dyDescent="0.25">
      <c r="A2189" t="s">
        <v>8</v>
      </c>
      <c r="B2189" t="s">
        <v>154</v>
      </c>
      <c r="C2189">
        <v>201909</v>
      </c>
      <c r="D2189" t="str">
        <f t="shared" si="34"/>
        <v>2019</v>
      </c>
      <c r="E2189">
        <v>122</v>
      </c>
      <c r="F2189">
        <v>16035963</v>
      </c>
      <c r="G2189">
        <v>0</v>
      </c>
      <c r="H2189" t="s">
        <v>10</v>
      </c>
      <c r="I2189" t="s">
        <v>11</v>
      </c>
    </row>
    <row r="2190" spans="1:9" hidden="1" x14ac:dyDescent="0.25">
      <c r="A2190" t="s">
        <v>8</v>
      </c>
      <c r="B2190" t="s">
        <v>154</v>
      </c>
      <c r="C2190">
        <v>201910</v>
      </c>
      <c r="D2190" t="str">
        <f t="shared" si="34"/>
        <v>2019</v>
      </c>
      <c r="E2190">
        <v>144</v>
      </c>
      <c r="F2190">
        <v>16035963</v>
      </c>
      <c r="G2190">
        <v>0</v>
      </c>
      <c r="H2190" t="s">
        <v>10</v>
      </c>
      <c r="I2190" t="s">
        <v>11</v>
      </c>
    </row>
    <row r="2191" spans="1:9" hidden="1" x14ac:dyDescent="0.25">
      <c r="A2191" t="s">
        <v>8</v>
      </c>
      <c r="B2191" t="s">
        <v>154</v>
      </c>
      <c r="C2191">
        <v>201911</v>
      </c>
      <c r="D2191" t="str">
        <f t="shared" si="34"/>
        <v>2019</v>
      </c>
      <c r="E2191">
        <v>99</v>
      </c>
      <c r="F2191">
        <v>16035963</v>
      </c>
      <c r="G2191">
        <v>0</v>
      </c>
      <c r="H2191" t="s">
        <v>10</v>
      </c>
      <c r="I2191" t="s">
        <v>11</v>
      </c>
    </row>
    <row r="2192" spans="1:9" hidden="1" x14ac:dyDescent="0.25">
      <c r="A2192" t="s">
        <v>8</v>
      </c>
      <c r="B2192" t="s">
        <v>154</v>
      </c>
      <c r="C2192">
        <v>201912</v>
      </c>
      <c r="D2192" t="str">
        <f t="shared" si="34"/>
        <v>2019</v>
      </c>
      <c r="E2192">
        <v>14</v>
      </c>
      <c r="F2192">
        <v>16035963</v>
      </c>
      <c r="G2192">
        <v>0</v>
      </c>
      <c r="H2192" t="s">
        <v>10</v>
      </c>
      <c r="I2192" t="s">
        <v>11</v>
      </c>
    </row>
    <row r="2193" spans="1:9" hidden="1" x14ac:dyDescent="0.25">
      <c r="A2193" t="s">
        <v>8</v>
      </c>
      <c r="B2193" t="s">
        <v>154</v>
      </c>
      <c r="C2193">
        <v>202001</v>
      </c>
      <c r="D2193" t="str">
        <f t="shared" si="34"/>
        <v>2020</v>
      </c>
      <c r="E2193">
        <v>409</v>
      </c>
      <c r="F2193">
        <v>16035963</v>
      </c>
      <c r="G2193">
        <v>0</v>
      </c>
      <c r="H2193" t="s">
        <v>10</v>
      </c>
      <c r="I2193" t="s">
        <v>11</v>
      </c>
    </row>
    <row r="2194" spans="1:9" hidden="1" x14ac:dyDescent="0.25">
      <c r="A2194" t="s">
        <v>8</v>
      </c>
      <c r="B2194" t="s">
        <v>154</v>
      </c>
      <c r="C2194">
        <v>202002</v>
      </c>
      <c r="D2194" t="str">
        <f t="shared" si="34"/>
        <v>2020</v>
      </c>
      <c r="E2194">
        <v>257</v>
      </c>
      <c r="F2194">
        <v>16035963</v>
      </c>
      <c r="G2194">
        <v>0</v>
      </c>
      <c r="H2194" t="s">
        <v>10</v>
      </c>
      <c r="I2194" t="s">
        <v>11</v>
      </c>
    </row>
    <row r="2195" spans="1:9" hidden="1" x14ac:dyDescent="0.25">
      <c r="A2195" t="s">
        <v>8</v>
      </c>
      <c r="B2195" t="s">
        <v>154</v>
      </c>
      <c r="C2195">
        <v>202003</v>
      </c>
      <c r="D2195" t="str">
        <f t="shared" si="34"/>
        <v>2020</v>
      </c>
      <c r="E2195">
        <v>301</v>
      </c>
      <c r="F2195">
        <v>16035963</v>
      </c>
      <c r="G2195">
        <v>0</v>
      </c>
      <c r="H2195" t="s">
        <v>10</v>
      </c>
      <c r="I2195" t="s">
        <v>11</v>
      </c>
    </row>
    <row r="2196" spans="1:9" hidden="1" x14ac:dyDescent="0.25">
      <c r="A2196" t="s">
        <v>8</v>
      </c>
      <c r="B2196" t="s">
        <v>154</v>
      </c>
      <c r="C2196">
        <v>202004</v>
      </c>
      <c r="D2196" t="str">
        <f t="shared" si="34"/>
        <v>2020</v>
      </c>
      <c r="E2196">
        <v>177</v>
      </c>
      <c r="F2196">
        <v>16035963</v>
      </c>
      <c r="G2196">
        <v>0</v>
      </c>
      <c r="H2196" t="s">
        <v>10</v>
      </c>
      <c r="I2196" t="s">
        <v>11</v>
      </c>
    </row>
    <row r="2197" spans="1:9" hidden="1" x14ac:dyDescent="0.25">
      <c r="A2197" t="s">
        <v>8</v>
      </c>
      <c r="B2197" t="s">
        <v>154</v>
      </c>
      <c r="C2197">
        <v>202005</v>
      </c>
      <c r="D2197" t="str">
        <f t="shared" si="34"/>
        <v>2020</v>
      </c>
      <c r="E2197">
        <v>252</v>
      </c>
      <c r="F2197">
        <v>16035963</v>
      </c>
      <c r="G2197">
        <v>0</v>
      </c>
      <c r="H2197" t="s">
        <v>10</v>
      </c>
      <c r="I2197" t="s">
        <v>11</v>
      </c>
    </row>
    <row r="2198" spans="1:9" hidden="1" x14ac:dyDescent="0.25">
      <c r="A2198" t="s">
        <v>8</v>
      </c>
      <c r="B2198" t="s">
        <v>154</v>
      </c>
      <c r="C2198">
        <v>202006</v>
      </c>
      <c r="D2198" t="str">
        <f t="shared" si="34"/>
        <v>2020</v>
      </c>
      <c r="E2198">
        <v>287</v>
      </c>
      <c r="F2198">
        <v>16035963</v>
      </c>
      <c r="G2198">
        <v>0</v>
      </c>
      <c r="H2198" t="s">
        <v>10</v>
      </c>
      <c r="I2198" t="s">
        <v>11</v>
      </c>
    </row>
    <row r="2199" spans="1:9" hidden="1" x14ac:dyDescent="0.25">
      <c r="A2199" t="s">
        <v>8</v>
      </c>
      <c r="B2199" t="s">
        <v>154</v>
      </c>
      <c r="C2199">
        <v>202007</v>
      </c>
      <c r="D2199" t="str">
        <f t="shared" si="34"/>
        <v>2020</v>
      </c>
      <c r="E2199">
        <v>284</v>
      </c>
      <c r="F2199">
        <v>16035963</v>
      </c>
      <c r="G2199">
        <v>0</v>
      </c>
      <c r="H2199" t="s">
        <v>10</v>
      </c>
      <c r="I2199" t="s">
        <v>11</v>
      </c>
    </row>
    <row r="2200" spans="1:9" hidden="1" x14ac:dyDescent="0.25">
      <c r="A2200" t="s">
        <v>8</v>
      </c>
      <c r="B2200" t="s">
        <v>154</v>
      </c>
      <c r="C2200">
        <v>202008</v>
      </c>
      <c r="D2200" t="str">
        <f t="shared" si="34"/>
        <v>2020</v>
      </c>
      <c r="E2200">
        <v>294</v>
      </c>
      <c r="F2200">
        <v>16035963</v>
      </c>
      <c r="G2200">
        <v>0</v>
      </c>
      <c r="H2200" t="s">
        <v>10</v>
      </c>
      <c r="I2200" t="s">
        <v>11</v>
      </c>
    </row>
    <row r="2201" spans="1:9" hidden="1" x14ac:dyDescent="0.25">
      <c r="A2201" t="s">
        <v>8</v>
      </c>
      <c r="B2201" t="s">
        <v>154</v>
      </c>
      <c r="C2201">
        <v>202009</v>
      </c>
      <c r="D2201" t="str">
        <f t="shared" si="34"/>
        <v>2020</v>
      </c>
      <c r="E2201">
        <v>236</v>
      </c>
      <c r="F2201">
        <v>16035963</v>
      </c>
      <c r="G2201">
        <v>0</v>
      </c>
      <c r="H2201" t="s">
        <v>10</v>
      </c>
      <c r="I2201" t="s">
        <v>11</v>
      </c>
    </row>
    <row r="2202" spans="1:9" hidden="1" x14ac:dyDescent="0.25">
      <c r="A2202" t="s">
        <v>8</v>
      </c>
      <c r="B2202" t="s">
        <v>154</v>
      </c>
      <c r="C2202">
        <v>202010</v>
      </c>
      <c r="D2202" t="str">
        <f t="shared" si="34"/>
        <v>2020</v>
      </c>
      <c r="E2202">
        <v>204</v>
      </c>
      <c r="F2202">
        <v>16035963</v>
      </c>
      <c r="G2202">
        <v>0</v>
      </c>
      <c r="H2202" t="s">
        <v>10</v>
      </c>
      <c r="I2202" t="s">
        <v>11</v>
      </c>
    </row>
    <row r="2203" spans="1:9" hidden="1" x14ac:dyDescent="0.25">
      <c r="A2203" t="s">
        <v>8</v>
      </c>
      <c r="B2203" t="s">
        <v>154</v>
      </c>
      <c r="C2203">
        <v>202011</v>
      </c>
      <c r="D2203" t="str">
        <f t="shared" si="34"/>
        <v>2020</v>
      </c>
      <c r="E2203">
        <v>223</v>
      </c>
      <c r="F2203">
        <v>16035963</v>
      </c>
      <c r="G2203">
        <v>0</v>
      </c>
      <c r="H2203" t="s">
        <v>10</v>
      </c>
      <c r="I2203" t="s">
        <v>11</v>
      </c>
    </row>
    <row r="2204" spans="1:9" hidden="1" x14ac:dyDescent="0.25">
      <c r="A2204" t="s">
        <v>8</v>
      </c>
      <c r="B2204" t="s">
        <v>154</v>
      </c>
      <c r="C2204">
        <v>202012</v>
      </c>
      <c r="D2204" t="str">
        <f t="shared" si="34"/>
        <v>2020</v>
      </c>
      <c r="E2204">
        <v>359</v>
      </c>
      <c r="F2204">
        <v>16035963</v>
      </c>
      <c r="G2204">
        <v>0</v>
      </c>
      <c r="H2204" t="s">
        <v>10</v>
      </c>
      <c r="I2204" t="s">
        <v>11</v>
      </c>
    </row>
    <row r="2205" spans="1:9" hidden="1" x14ac:dyDescent="0.25">
      <c r="A2205" t="s">
        <v>8</v>
      </c>
      <c r="B2205" t="s">
        <v>154</v>
      </c>
      <c r="C2205">
        <v>202101</v>
      </c>
      <c r="D2205" t="str">
        <f t="shared" si="34"/>
        <v>2021</v>
      </c>
      <c r="E2205">
        <v>4791</v>
      </c>
      <c r="F2205">
        <v>16035963</v>
      </c>
      <c r="G2205">
        <v>0.03</v>
      </c>
      <c r="H2205" t="s">
        <v>10</v>
      </c>
      <c r="I2205" t="s">
        <v>11</v>
      </c>
    </row>
    <row r="2206" spans="1:9" hidden="1" x14ac:dyDescent="0.25">
      <c r="A2206" t="s">
        <v>8</v>
      </c>
      <c r="B2206" t="s">
        <v>154</v>
      </c>
      <c r="C2206">
        <v>202102</v>
      </c>
      <c r="D2206" t="str">
        <f t="shared" si="34"/>
        <v>2021</v>
      </c>
      <c r="E2206">
        <v>5143</v>
      </c>
      <c r="F2206">
        <v>16035963</v>
      </c>
      <c r="G2206">
        <v>0.03</v>
      </c>
      <c r="H2206" t="s">
        <v>10</v>
      </c>
      <c r="I2206" t="s">
        <v>11</v>
      </c>
    </row>
    <row r="2207" spans="1:9" hidden="1" x14ac:dyDescent="0.25">
      <c r="A2207" t="s">
        <v>8</v>
      </c>
      <c r="B2207" t="s">
        <v>154</v>
      </c>
      <c r="C2207">
        <v>202103</v>
      </c>
      <c r="D2207" t="str">
        <f t="shared" si="34"/>
        <v>2021</v>
      </c>
      <c r="E2207">
        <v>5580</v>
      </c>
      <c r="F2207">
        <v>16035963</v>
      </c>
      <c r="G2207">
        <v>0.03</v>
      </c>
      <c r="H2207" t="s">
        <v>10</v>
      </c>
      <c r="I2207" t="s">
        <v>11</v>
      </c>
    </row>
    <row r="2208" spans="1:9" hidden="1" x14ac:dyDescent="0.25">
      <c r="A2208" t="s">
        <v>8</v>
      </c>
      <c r="B2208" t="s">
        <v>154</v>
      </c>
      <c r="C2208">
        <v>202104</v>
      </c>
      <c r="D2208" t="str">
        <f t="shared" si="34"/>
        <v>2021</v>
      </c>
      <c r="E2208">
        <v>5397</v>
      </c>
      <c r="F2208">
        <v>16035963</v>
      </c>
      <c r="G2208">
        <v>0.03</v>
      </c>
      <c r="H2208" t="s">
        <v>10</v>
      </c>
      <c r="I2208" t="s">
        <v>11</v>
      </c>
    </row>
    <row r="2209" spans="1:9" hidden="1" x14ac:dyDescent="0.25">
      <c r="A2209" t="s">
        <v>8</v>
      </c>
      <c r="B2209" t="s">
        <v>154</v>
      </c>
      <c r="C2209">
        <v>202105</v>
      </c>
      <c r="D2209" t="str">
        <f t="shared" si="34"/>
        <v>2021</v>
      </c>
      <c r="E2209">
        <v>5047</v>
      </c>
      <c r="F2209">
        <v>16035963</v>
      </c>
      <c r="G2209">
        <v>0.03</v>
      </c>
      <c r="H2209" t="s">
        <v>10</v>
      </c>
      <c r="I2209" t="s">
        <v>11</v>
      </c>
    </row>
    <row r="2210" spans="1:9" hidden="1" x14ac:dyDescent="0.25">
      <c r="A2210" t="s">
        <v>8</v>
      </c>
      <c r="B2210" t="s">
        <v>154</v>
      </c>
      <c r="C2210">
        <v>202106</v>
      </c>
      <c r="D2210" t="str">
        <f t="shared" si="34"/>
        <v>2021</v>
      </c>
      <c r="E2210">
        <v>6183</v>
      </c>
      <c r="F2210">
        <v>16035963</v>
      </c>
      <c r="G2210">
        <v>0.04</v>
      </c>
      <c r="H2210" t="s">
        <v>10</v>
      </c>
      <c r="I2210" t="s">
        <v>11</v>
      </c>
    </row>
    <row r="2211" spans="1:9" hidden="1" x14ac:dyDescent="0.25">
      <c r="A2211" t="s">
        <v>8</v>
      </c>
      <c r="B2211" t="s">
        <v>154</v>
      </c>
      <c r="C2211">
        <v>202107</v>
      </c>
      <c r="D2211" t="str">
        <f t="shared" si="34"/>
        <v>2021</v>
      </c>
      <c r="E2211">
        <v>15067</v>
      </c>
      <c r="F2211">
        <v>16035963</v>
      </c>
      <c r="G2211">
        <v>0.09</v>
      </c>
      <c r="H2211" t="s">
        <v>10</v>
      </c>
      <c r="I2211" t="s">
        <v>11</v>
      </c>
    </row>
    <row r="2212" spans="1:9" hidden="1" x14ac:dyDescent="0.25">
      <c r="A2212" t="s">
        <v>8</v>
      </c>
      <c r="B2212" t="s">
        <v>154</v>
      </c>
      <c r="C2212">
        <v>202108</v>
      </c>
      <c r="D2212" t="str">
        <f t="shared" si="34"/>
        <v>2021</v>
      </c>
      <c r="E2212">
        <v>16622</v>
      </c>
      <c r="F2212">
        <v>16035963</v>
      </c>
      <c r="G2212">
        <v>0.1</v>
      </c>
      <c r="H2212" t="s">
        <v>10</v>
      </c>
      <c r="I2212" t="s">
        <v>11</v>
      </c>
    </row>
    <row r="2213" spans="1:9" hidden="1" x14ac:dyDescent="0.25">
      <c r="A2213" t="s">
        <v>8</v>
      </c>
      <c r="B2213" t="s">
        <v>154</v>
      </c>
      <c r="C2213">
        <v>202109</v>
      </c>
      <c r="D2213" t="str">
        <f t="shared" si="34"/>
        <v>2021</v>
      </c>
      <c r="E2213">
        <v>17796</v>
      </c>
      <c r="F2213">
        <v>16035963</v>
      </c>
      <c r="G2213">
        <v>0.11</v>
      </c>
      <c r="H2213" t="s">
        <v>10</v>
      </c>
      <c r="I2213" t="s">
        <v>11</v>
      </c>
    </row>
    <row r="2214" spans="1:9" hidden="1" x14ac:dyDescent="0.25">
      <c r="A2214" t="s">
        <v>8</v>
      </c>
      <c r="B2214" t="s">
        <v>154</v>
      </c>
      <c r="C2214">
        <v>202110</v>
      </c>
      <c r="D2214" t="str">
        <f t="shared" si="34"/>
        <v>2021</v>
      </c>
      <c r="E2214">
        <v>16901</v>
      </c>
      <c r="F2214">
        <v>16035963</v>
      </c>
      <c r="G2214">
        <v>0.11</v>
      </c>
      <c r="H2214" t="s">
        <v>10</v>
      </c>
      <c r="I2214" t="s">
        <v>11</v>
      </c>
    </row>
    <row r="2215" spans="1:9" hidden="1" x14ac:dyDescent="0.25">
      <c r="A2215" t="s">
        <v>8</v>
      </c>
      <c r="B2215" t="s">
        <v>154</v>
      </c>
      <c r="C2215">
        <v>202111</v>
      </c>
      <c r="D2215" t="str">
        <f t="shared" si="34"/>
        <v>2021</v>
      </c>
      <c r="E2215">
        <v>18127</v>
      </c>
      <c r="F2215">
        <v>16035963</v>
      </c>
      <c r="G2215">
        <v>0.11</v>
      </c>
      <c r="H2215" t="s">
        <v>10</v>
      </c>
      <c r="I2215" t="s">
        <v>11</v>
      </c>
    </row>
    <row r="2216" spans="1:9" hidden="1" x14ac:dyDescent="0.25">
      <c r="A2216" t="s">
        <v>8</v>
      </c>
      <c r="B2216" t="s">
        <v>154</v>
      </c>
      <c r="C2216">
        <v>202112</v>
      </c>
      <c r="D2216" t="str">
        <f t="shared" si="34"/>
        <v>2021</v>
      </c>
      <c r="E2216">
        <v>19582</v>
      </c>
      <c r="F2216">
        <v>16035963</v>
      </c>
      <c r="G2216">
        <v>0.12</v>
      </c>
      <c r="H2216" t="s">
        <v>10</v>
      </c>
      <c r="I2216" t="s">
        <v>11</v>
      </c>
    </row>
    <row r="2217" spans="1:9" hidden="1" x14ac:dyDescent="0.25">
      <c r="A2217" t="s">
        <v>8</v>
      </c>
      <c r="B2217" t="s">
        <v>154</v>
      </c>
      <c r="C2217">
        <v>202201</v>
      </c>
      <c r="D2217" t="str">
        <f t="shared" si="34"/>
        <v>2022</v>
      </c>
      <c r="E2217">
        <v>33897</v>
      </c>
      <c r="F2217">
        <v>16035963</v>
      </c>
      <c r="G2217">
        <v>0.21</v>
      </c>
      <c r="H2217" t="s">
        <v>10</v>
      </c>
      <c r="I2217" t="s">
        <v>11</v>
      </c>
    </row>
    <row r="2218" spans="1:9" hidden="1" x14ac:dyDescent="0.25">
      <c r="A2218" t="s">
        <v>8</v>
      </c>
      <c r="B2218" t="s">
        <v>154</v>
      </c>
      <c r="C2218">
        <v>202202</v>
      </c>
      <c r="D2218" t="str">
        <f t="shared" si="34"/>
        <v>2022</v>
      </c>
      <c r="E2218">
        <v>28657</v>
      </c>
      <c r="F2218">
        <v>16035963</v>
      </c>
      <c r="G2218">
        <v>0.18</v>
      </c>
      <c r="H2218" t="s">
        <v>10</v>
      </c>
      <c r="I2218" t="s">
        <v>11</v>
      </c>
    </row>
    <row r="2219" spans="1:9" hidden="1" x14ac:dyDescent="0.25">
      <c r="A2219" t="s">
        <v>8</v>
      </c>
      <c r="B2219" t="s">
        <v>154</v>
      </c>
      <c r="C2219">
        <v>202203</v>
      </c>
      <c r="D2219" t="str">
        <f t="shared" si="34"/>
        <v>2022</v>
      </c>
      <c r="E2219">
        <v>28132</v>
      </c>
      <c r="F2219">
        <v>16035963</v>
      </c>
      <c r="G2219">
        <v>0.18</v>
      </c>
      <c r="H2219" t="s">
        <v>10</v>
      </c>
      <c r="I2219" t="s">
        <v>11</v>
      </c>
    </row>
    <row r="2220" spans="1:9" hidden="1" x14ac:dyDescent="0.25">
      <c r="A2220" t="s">
        <v>8</v>
      </c>
      <c r="B2220" t="s">
        <v>154</v>
      </c>
      <c r="C2220">
        <v>202204</v>
      </c>
      <c r="D2220" t="str">
        <f t="shared" si="34"/>
        <v>2022</v>
      </c>
      <c r="E2220">
        <v>26042</v>
      </c>
      <c r="F2220">
        <v>16035963</v>
      </c>
      <c r="G2220">
        <v>0.16</v>
      </c>
      <c r="H2220" t="s">
        <v>10</v>
      </c>
      <c r="I2220" t="s">
        <v>11</v>
      </c>
    </row>
    <row r="2221" spans="1:9" hidden="1" x14ac:dyDescent="0.25">
      <c r="A2221" t="s">
        <v>8</v>
      </c>
      <c r="B2221" t="s">
        <v>154</v>
      </c>
      <c r="C2221">
        <v>202205</v>
      </c>
      <c r="D2221" t="str">
        <f t="shared" si="34"/>
        <v>2022</v>
      </c>
      <c r="E2221">
        <v>25573</v>
      </c>
      <c r="F2221">
        <v>16035963</v>
      </c>
      <c r="G2221">
        <v>0.16</v>
      </c>
      <c r="H2221" t="s">
        <v>10</v>
      </c>
      <c r="I2221" t="s">
        <v>11</v>
      </c>
    </row>
    <row r="2222" spans="1:9" hidden="1" x14ac:dyDescent="0.25">
      <c r="A2222" t="s">
        <v>8</v>
      </c>
      <c r="B2222" t="s">
        <v>154</v>
      </c>
      <c r="C2222">
        <v>202206</v>
      </c>
      <c r="D2222" t="str">
        <f t="shared" si="34"/>
        <v>2022</v>
      </c>
      <c r="E2222">
        <v>27485</v>
      </c>
      <c r="F2222">
        <v>16035963</v>
      </c>
      <c r="G2222">
        <v>0.17</v>
      </c>
      <c r="H2222" t="s">
        <v>10</v>
      </c>
      <c r="I2222" t="s">
        <v>11</v>
      </c>
    </row>
    <row r="2223" spans="1:9" hidden="1" x14ac:dyDescent="0.25">
      <c r="A2223" t="s">
        <v>8</v>
      </c>
      <c r="B2223" t="s">
        <v>154</v>
      </c>
      <c r="C2223">
        <v>202207</v>
      </c>
      <c r="D2223" t="str">
        <f t="shared" si="34"/>
        <v>2022</v>
      </c>
      <c r="E2223">
        <v>31244</v>
      </c>
      <c r="F2223">
        <v>16035963</v>
      </c>
      <c r="G2223">
        <v>0.19</v>
      </c>
      <c r="H2223" t="s">
        <v>10</v>
      </c>
      <c r="I2223" t="s">
        <v>11</v>
      </c>
    </row>
    <row r="2224" spans="1:9" hidden="1" x14ac:dyDescent="0.25">
      <c r="A2224" t="s">
        <v>8</v>
      </c>
      <c r="B2224" t="s">
        <v>154</v>
      </c>
      <c r="C2224">
        <v>202208</v>
      </c>
      <c r="D2224" t="str">
        <f t="shared" si="34"/>
        <v>2022</v>
      </c>
      <c r="E2224">
        <v>34903</v>
      </c>
      <c r="F2224">
        <v>16035963</v>
      </c>
      <c r="G2224">
        <v>0.22</v>
      </c>
      <c r="H2224" t="s">
        <v>10</v>
      </c>
      <c r="I2224" t="s">
        <v>11</v>
      </c>
    </row>
    <row r="2225" spans="1:9" hidden="1" x14ac:dyDescent="0.25">
      <c r="A2225" t="s">
        <v>8</v>
      </c>
      <c r="B2225" t="s">
        <v>154</v>
      </c>
      <c r="C2225">
        <v>202209</v>
      </c>
      <c r="D2225" t="str">
        <f t="shared" si="34"/>
        <v>2022</v>
      </c>
      <c r="E2225">
        <v>33272</v>
      </c>
      <c r="F2225">
        <v>16035963</v>
      </c>
      <c r="G2225">
        <v>0.21</v>
      </c>
      <c r="H2225" t="s">
        <v>10</v>
      </c>
      <c r="I2225" t="s">
        <v>11</v>
      </c>
    </row>
    <row r="2226" spans="1:9" hidden="1" x14ac:dyDescent="0.25">
      <c r="A2226" t="s">
        <v>8</v>
      </c>
      <c r="B2226" t="s">
        <v>154</v>
      </c>
      <c r="C2226">
        <v>202210</v>
      </c>
      <c r="D2226" t="str">
        <f t="shared" si="34"/>
        <v>2022</v>
      </c>
      <c r="E2226">
        <v>39897</v>
      </c>
      <c r="F2226">
        <v>16035963</v>
      </c>
      <c r="G2226">
        <v>0.25</v>
      </c>
      <c r="H2226" t="s">
        <v>10</v>
      </c>
      <c r="I2226" t="s">
        <v>11</v>
      </c>
    </row>
    <row r="2227" spans="1:9" hidden="1" x14ac:dyDescent="0.25">
      <c r="A2227" t="s">
        <v>8</v>
      </c>
      <c r="B2227" t="s">
        <v>154</v>
      </c>
      <c r="C2227">
        <v>202211</v>
      </c>
      <c r="D2227" t="str">
        <f t="shared" si="34"/>
        <v>2022</v>
      </c>
      <c r="E2227">
        <v>39314</v>
      </c>
      <c r="F2227">
        <v>16035963</v>
      </c>
      <c r="G2227">
        <v>0.25</v>
      </c>
      <c r="H2227" t="s">
        <v>10</v>
      </c>
      <c r="I2227" t="s">
        <v>11</v>
      </c>
    </row>
    <row r="2228" spans="1:9" hidden="1" x14ac:dyDescent="0.25">
      <c r="A2228" t="s">
        <v>8</v>
      </c>
      <c r="B2228" t="s">
        <v>154</v>
      </c>
      <c r="C2228">
        <v>202212</v>
      </c>
      <c r="D2228" t="str">
        <f t="shared" si="34"/>
        <v>2022</v>
      </c>
      <c r="E2228">
        <v>39988</v>
      </c>
      <c r="F2228">
        <v>16035963</v>
      </c>
      <c r="G2228">
        <v>0.25</v>
      </c>
      <c r="H2228" t="s">
        <v>10</v>
      </c>
      <c r="I2228" t="s">
        <v>11</v>
      </c>
    </row>
    <row r="2229" spans="1:9" hidden="1" x14ac:dyDescent="0.25">
      <c r="A2229" t="s">
        <v>8</v>
      </c>
      <c r="B2229" t="s">
        <v>154</v>
      </c>
      <c r="C2229">
        <v>202301</v>
      </c>
      <c r="D2229" t="str">
        <f t="shared" si="34"/>
        <v>2023</v>
      </c>
      <c r="E2229">
        <v>149247</v>
      </c>
      <c r="F2229">
        <v>16035963</v>
      </c>
      <c r="G2229">
        <v>0.93</v>
      </c>
      <c r="H2229" t="s">
        <v>10</v>
      </c>
      <c r="I2229" t="s">
        <v>11</v>
      </c>
    </row>
    <row r="2230" spans="1:9" hidden="1" x14ac:dyDescent="0.25">
      <c r="A2230" t="s">
        <v>8</v>
      </c>
      <c r="B2230" t="s">
        <v>154</v>
      </c>
      <c r="C2230">
        <v>202302</v>
      </c>
      <c r="D2230" t="str">
        <f t="shared" si="34"/>
        <v>2023</v>
      </c>
      <c r="E2230">
        <v>155638</v>
      </c>
      <c r="F2230">
        <v>16035963</v>
      </c>
      <c r="G2230">
        <v>0.97</v>
      </c>
      <c r="H2230" t="s">
        <v>10</v>
      </c>
      <c r="I2230" t="s">
        <v>11</v>
      </c>
    </row>
    <row r="2231" spans="1:9" hidden="1" x14ac:dyDescent="0.25">
      <c r="A2231" t="s">
        <v>8</v>
      </c>
      <c r="B2231" t="s">
        <v>154</v>
      </c>
      <c r="C2231">
        <v>202303</v>
      </c>
      <c r="D2231" t="str">
        <f t="shared" si="34"/>
        <v>2023</v>
      </c>
      <c r="E2231">
        <v>246350</v>
      </c>
      <c r="F2231">
        <v>16035963</v>
      </c>
      <c r="G2231">
        <v>1.54</v>
      </c>
      <c r="H2231" t="s">
        <v>10</v>
      </c>
      <c r="I2231" t="s">
        <v>11</v>
      </c>
    </row>
    <row r="2232" spans="1:9" hidden="1" x14ac:dyDescent="0.25">
      <c r="A2232" t="s">
        <v>8</v>
      </c>
      <c r="B2232" t="s">
        <v>154</v>
      </c>
      <c r="C2232">
        <v>202304</v>
      </c>
      <c r="D2232" t="str">
        <f t="shared" si="34"/>
        <v>2023</v>
      </c>
      <c r="E2232">
        <v>232614</v>
      </c>
      <c r="F2232">
        <v>16035963</v>
      </c>
      <c r="G2232">
        <v>1.45</v>
      </c>
      <c r="H2232" t="s">
        <v>10</v>
      </c>
      <c r="I2232" t="s">
        <v>11</v>
      </c>
    </row>
    <row r="2233" spans="1:9" hidden="1" x14ac:dyDescent="0.25">
      <c r="A2233" t="s">
        <v>8</v>
      </c>
      <c r="B2233" t="s">
        <v>154</v>
      </c>
      <c r="C2233">
        <v>202305</v>
      </c>
      <c r="D2233" t="str">
        <f t="shared" si="34"/>
        <v>2023</v>
      </c>
      <c r="E2233">
        <v>246965</v>
      </c>
      <c r="F2233">
        <v>16035963</v>
      </c>
      <c r="G2233">
        <v>1.54</v>
      </c>
      <c r="H2233" t="s">
        <v>10</v>
      </c>
      <c r="I2233" t="s">
        <v>11</v>
      </c>
    </row>
    <row r="2234" spans="1:9" hidden="1" x14ac:dyDescent="0.25">
      <c r="A2234" t="s">
        <v>8</v>
      </c>
      <c r="B2234" t="s">
        <v>154</v>
      </c>
      <c r="C2234">
        <v>202306</v>
      </c>
      <c r="D2234" t="str">
        <f t="shared" si="34"/>
        <v>2023</v>
      </c>
      <c r="E2234">
        <v>239663</v>
      </c>
      <c r="F2234">
        <v>16035963</v>
      </c>
      <c r="G2234">
        <v>1.49</v>
      </c>
      <c r="H2234" t="s">
        <v>10</v>
      </c>
      <c r="I2234" t="s">
        <v>11</v>
      </c>
    </row>
    <row r="2235" spans="1:9" hidden="1" x14ac:dyDescent="0.25">
      <c r="A2235" t="s">
        <v>8</v>
      </c>
      <c r="B2235" t="s">
        <v>154</v>
      </c>
      <c r="C2235">
        <v>202307</v>
      </c>
      <c r="D2235" t="str">
        <f t="shared" si="34"/>
        <v>2023</v>
      </c>
      <c r="E2235">
        <v>223024</v>
      </c>
      <c r="F2235">
        <v>16035963</v>
      </c>
      <c r="G2235">
        <v>1.39</v>
      </c>
      <c r="H2235" t="s">
        <v>10</v>
      </c>
      <c r="I2235" t="s">
        <v>11</v>
      </c>
    </row>
    <row r="2236" spans="1:9" hidden="1" x14ac:dyDescent="0.25">
      <c r="A2236" t="s">
        <v>8</v>
      </c>
      <c r="B2236" t="s">
        <v>154</v>
      </c>
      <c r="C2236">
        <v>202308</v>
      </c>
      <c r="D2236" t="str">
        <f t="shared" si="34"/>
        <v>2023</v>
      </c>
      <c r="E2236">
        <v>255201</v>
      </c>
      <c r="F2236">
        <v>16035963</v>
      </c>
      <c r="G2236">
        <v>1.59</v>
      </c>
      <c r="H2236" t="s">
        <v>10</v>
      </c>
      <c r="I2236" t="s">
        <v>11</v>
      </c>
    </row>
    <row r="2237" spans="1:9" hidden="1" x14ac:dyDescent="0.25">
      <c r="A2237" t="s">
        <v>8</v>
      </c>
      <c r="B2237" t="s">
        <v>154</v>
      </c>
      <c r="C2237">
        <v>202309</v>
      </c>
      <c r="D2237" t="str">
        <f t="shared" si="34"/>
        <v>2023</v>
      </c>
      <c r="E2237">
        <v>240045</v>
      </c>
      <c r="F2237">
        <v>16035963</v>
      </c>
      <c r="G2237">
        <v>1.5</v>
      </c>
      <c r="H2237" t="s">
        <v>10</v>
      </c>
      <c r="I2237" t="s">
        <v>11</v>
      </c>
    </row>
    <row r="2238" spans="1:9" hidden="1" x14ac:dyDescent="0.25">
      <c r="A2238" t="s">
        <v>8</v>
      </c>
      <c r="B2238" t="s">
        <v>154</v>
      </c>
      <c r="C2238">
        <v>202310</v>
      </c>
      <c r="D2238" t="str">
        <f t="shared" si="34"/>
        <v>2023</v>
      </c>
      <c r="E2238">
        <v>261465</v>
      </c>
      <c r="F2238">
        <v>16035963</v>
      </c>
      <c r="G2238">
        <v>1.63</v>
      </c>
      <c r="H2238" t="s">
        <v>10</v>
      </c>
      <c r="I2238" t="s">
        <v>11</v>
      </c>
    </row>
    <row r="2239" spans="1:9" hidden="1" x14ac:dyDescent="0.25">
      <c r="A2239" t="s">
        <v>8</v>
      </c>
      <c r="B2239" t="s">
        <v>154</v>
      </c>
      <c r="C2239">
        <v>202311</v>
      </c>
      <c r="D2239" t="str">
        <f t="shared" si="34"/>
        <v>2023</v>
      </c>
      <c r="E2239">
        <v>245922</v>
      </c>
      <c r="F2239">
        <v>16035963</v>
      </c>
      <c r="G2239">
        <v>1.53</v>
      </c>
      <c r="H2239" t="s">
        <v>10</v>
      </c>
      <c r="I2239" t="s">
        <v>11</v>
      </c>
    </row>
    <row r="2240" spans="1:9" hidden="1" x14ac:dyDescent="0.25">
      <c r="A2240" t="s">
        <v>8</v>
      </c>
      <c r="B2240" t="s">
        <v>154</v>
      </c>
      <c r="C2240">
        <v>202312</v>
      </c>
      <c r="D2240" t="str">
        <f t="shared" si="34"/>
        <v>2023</v>
      </c>
      <c r="E2240">
        <v>232168</v>
      </c>
      <c r="F2240">
        <v>16035963</v>
      </c>
      <c r="G2240">
        <v>1.45</v>
      </c>
      <c r="H2240" t="s">
        <v>10</v>
      </c>
      <c r="I2240" t="s">
        <v>11</v>
      </c>
    </row>
    <row r="2241" spans="1:9" hidden="1" x14ac:dyDescent="0.25">
      <c r="A2241" t="s">
        <v>8</v>
      </c>
      <c r="B2241" t="s">
        <v>154</v>
      </c>
      <c r="C2241">
        <v>202401</v>
      </c>
      <c r="D2241" t="str">
        <f t="shared" si="34"/>
        <v>2024</v>
      </c>
      <c r="E2241">
        <v>516476</v>
      </c>
      <c r="F2241">
        <v>16035963</v>
      </c>
      <c r="G2241">
        <v>3.22</v>
      </c>
      <c r="H2241" t="s">
        <v>10</v>
      </c>
      <c r="I2241" t="s">
        <v>11</v>
      </c>
    </row>
    <row r="2242" spans="1:9" hidden="1" x14ac:dyDescent="0.25">
      <c r="A2242" t="s">
        <v>8</v>
      </c>
      <c r="B2242" t="s">
        <v>154</v>
      </c>
      <c r="C2242">
        <v>202402</v>
      </c>
      <c r="D2242" t="str">
        <f t="shared" si="34"/>
        <v>2024</v>
      </c>
      <c r="E2242">
        <v>566904</v>
      </c>
      <c r="F2242">
        <v>16035963</v>
      </c>
      <c r="G2242">
        <v>3.54</v>
      </c>
      <c r="H2242" t="s">
        <v>10</v>
      </c>
      <c r="I2242" t="s">
        <v>11</v>
      </c>
    </row>
    <row r="2243" spans="1:9" hidden="1" x14ac:dyDescent="0.25">
      <c r="A2243" t="s">
        <v>8</v>
      </c>
      <c r="B2243" t="s">
        <v>154</v>
      </c>
      <c r="C2243">
        <v>202403</v>
      </c>
      <c r="D2243" t="str">
        <f t="shared" ref="D2243:D2306" si="35">LEFT(C2243,4)</f>
        <v>2024</v>
      </c>
      <c r="E2243">
        <v>593439</v>
      </c>
      <c r="F2243">
        <v>16035963</v>
      </c>
      <c r="G2243">
        <v>3.7</v>
      </c>
      <c r="H2243" t="s">
        <v>10</v>
      </c>
      <c r="I2243" t="s">
        <v>11</v>
      </c>
    </row>
    <row r="2244" spans="1:9" hidden="1" x14ac:dyDescent="0.25">
      <c r="A2244" t="s">
        <v>8</v>
      </c>
      <c r="B2244" t="s">
        <v>154</v>
      </c>
      <c r="C2244">
        <v>202404</v>
      </c>
      <c r="D2244" t="str">
        <f t="shared" si="35"/>
        <v>2024</v>
      </c>
      <c r="E2244">
        <v>618652</v>
      </c>
      <c r="F2244">
        <v>16035963</v>
      </c>
      <c r="G2244">
        <v>3.86</v>
      </c>
      <c r="H2244" t="s">
        <v>10</v>
      </c>
      <c r="I2244" t="s">
        <v>11</v>
      </c>
    </row>
    <row r="2245" spans="1:9" hidden="1" x14ac:dyDescent="0.25">
      <c r="A2245" t="s">
        <v>8</v>
      </c>
      <c r="B2245" t="s">
        <v>154</v>
      </c>
      <c r="C2245">
        <v>202405</v>
      </c>
      <c r="D2245" t="str">
        <f t="shared" si="35"/>
        <v>2024</v>
      </c>
      <c r="E2245">
        <v>596176</v>
      </c>
      <c r="F2245">
        <v>16035963</v>
      </c>
      <c r="G2245">
        <v>3.72</v>
      </c>
      <c r="H2245" t="s">
        <v>10</v>
      </c>
      <c r="I2245" t="s">
        <v>11</v>
      </c>
    </row>
    <row r="2246" spans="1:9" hidden="1" x14ac:dyDescent="0.25">
      <c r="A2246" t="s">
        <v>8</v>
      </c>
      <c r="B2246" t="s">
        <v>154</v>
      </c>
      <c r="C2246">
        <v>202406</v>
      </c>
      <c r="D2246" t="str">
        <f t="shared" si="35"/>
        <v>2024</v>
      </c>
      <c r="E2246">
        <v>566383</v>
      </c>
      <c r="F2246">
        <v>16035963</v>
      </c>
      <c r="G2246">
        <v>3.53</v>
      </c>
      <c r="H2246" t="s">
        <v>10</v>
      </c>
      <c r="I2246" t="s">
        <v>11</v>
      </c>
    </row>
    <row r="2247" spans="1:9" hidden="1" x14ac:dyDescent="0.25">
      <c r="A2247" t="s">
        <v>8</v>
      </c>
      <c r="B2247" t="s">
        <v>154</v>
      </c>
      <c r="C2247">
        <v>202407</v>
      </c>
      <c r="D2247" t="str">
        <f t="shared" si="35"/>
        <v>2024</v>
      </c>
      <c r="E2247">
        <v>581600</v>
      </c>
      <c r="F2247">
        <v>16035963</v>
      </c>
      <c r="G2247">
        <v>3.63</v>
      </c>
      <c r="H2247" t="s">
        <v>10</v>
      </c>
      <c r="I2247" t="s">
        <v>11</v>
      </c>
    </row>
    <row r="2248" spans="1:9" hidden="1" x14ac:dyDescent="0.25">
      <c r="A2248" t="s">
        <v>8</v>
      </c>
      <c r="B2248" t="s">
        <v>154</v>
      </c>
      <c r="C2248">
        <v>202408</v>
      </c>
      <c r="D2248" t="str">
        <f t="shared" si="35"/>
        <v>2024</v>
      </c>
      <c r="E2248">
        <v>590396</v>
      </c>
      <c r="F2248">
        <v>16035963</v>
      </c>
      <c r="G2248">
        <v>3.68</v>
      </c>
      <c r="H2248" t="s">
        <v>10</v>
      </c>
      <c r="I2248" t="s">
        <v>11</v>
      </c>
    </row>
    <row r="2249" spans="1:9" hidden="1" x14ac:dyDescent="0.25">
      <c r="A2249" t="s">
        <v>8</v>
      </c>
      <c r="B2249" t="s">
        <v>154</v>
      </c>
      <c r="C2249">
        <v>202409</v>
      </c>
      <c r="D2249" t="str">
        <f t="shared" si="35"/>
        <v>2024</v>
      </c>
      <c r="E2249">
        <v>617649</v>
      </c>
      <c r="F2249">
        <v>16035963</v>
      </c>
      <c r="G2249">
        <v>3.85</v>
      </c>
      <c r="H2249" t="s">
        <v>10</v>
      </c>
      <c r="I2249" t="s">
        <v>11</v>
      </c>
    </row>
    <row r="2250" spans="1:9" hidden="1" x14ac:dyDescent="0.25">
      <c r="A2250" t="s">
        <v>8</v>
      </c>
      <c r="B2250" t="s">
        <v>154</v>
      </c>
      <c r="C2250">
        <v>202410</v>
      </c>
      <c r="D2250" t="str">
        <f t="shared" si="35"/>
        <v>2024</v>
      </c>
      <c r="E2250">
        <v>710119</v>
      </c>
      <c r="F2250">
        <v>16035963</v>
      </c>
      <c r="G2250">
        <v>4.43</v>
      </c>
      <c r="H2250" t="s">
        <v>10</v>
      </c>
      <c r="I2250" t="s">
        <v>11</v>
      </c>
    </row>
    <row r="2251" spans="1:9" hidden="1" x14ac:dyDescent="0.25">
      <c r="A2251" t="s">
        <v>8</v>
      </c>
      <c r="B2251" t="s">
        <v>154</v>
      </c>
      <c r="C2251">
        <v>202411</v>
      </c>
      <c r="D2251" t="str">
        <f t="shared" si="35"/>
        <v>2024</v>
      </c>
      <c r="E2251">
        <v>629662</v>
      </c>
      <c r="F2251">
        <v>16035963</v>
      </c>
      <c r="G2251">
        <v>3.93</v>
      </c>
      <c r="H2251" t="s">
        <v>10</v>
      </c>
      <c r="I2251" t="s">
        <v>11</v>
      </c>
    </row>
    <row r="2252" spans="1:9" hidden="1" x14ac:dyDescent="0.25">
      <c r="A2252" t="s">
        <v>8</v>
      </c>
      <c r="B2252" t="s">
        <v>154</v>
      </c>
      <c r="C2252">
        <v>202412</v>
      </c>
      <c r="D2252" t="str">
        <f t="shared" si="35"/>
        <v>2024</v>
      </c>
      <c r="E2252">
        <v>668149</v>
      </c>
      <c r="F2252">
        <v>16035963</v>
      </c>
      <c r="G2252">
        <v>4.17</v>
      </c>
      <c r="H2252" t="s">
        <v>10</v>
      </c>
      <c r="I2252" t="s">
        <v>11</v>
      </c>
    </row>
    <row r="2253" spans="1:9" x14ac:dyDescent="0.25">
      <c r="A2253" t="s">
        <v>8</v>
      </c>
      <c r="B2253" t="s">
        <v>154</v>
      </c>
      <c r="C2253">
        <v>202501</v>
      </c>
      <c r="D2253" t="str">
        <f t="shared" si="35"/>
        <v>2025</v>
      </c>
      <c r="E2253">
        <v>543255</v>
      </c>
      <c r="F2253">
        <v>16035963</v>
      </c>
      <c r="G2253">
        <v>3.39</v>
      </c>
      <c r="H2253" t="s">
        <v>10</v>
      </c>
      <c r="I2253" t="s">
        <v>11</v>
      </c>
    </row>
    <row r="2254" spans="1:9" x14ac:dyDescent="0.25">
      <c r="A2254" t="s">
        <v>8</v>
      </c>
      <c r="B2254" t="s">
        <v>154</v>
      </c>
      <c r="C2254">
        <v>202502</v>
      </c>
      <c r="D2254" t="str">
        <f t="shared" si="35"/>
        <v>2025</v>
      </c>
      <c r="E2254">
        <v>494010</v>
      </c>
      <c r="F2254">
        <v>16035963</v>
      </c>
      <c r="G2254">
        <v>3.08</v>
      </c>
      <c r="H2254" t="s">
        <v>10</v>
      </c>
      <c r="I2254" t="s">
        <v>11</v>
      </c>
    </row>
    <row r="2255" spans="1:9" x14ac:dyDescent="0.25">
      <c r="A2255" t="s">
        <v>8</v>
      </c>
      <c r="B2255" t="s">
        <v>154</v>
      </c>
      <c r="C2255">
        <v>202503</v>
      </c>
      <c r="D2255" t="str">
        <f t="shared" si="35"/>
        <v>2025</v>
      </c>
      <c r="E2255">
        <v>550756</v>
      </c>
      <c r="F2255">
        <v>16035963</v>
      </c>
      <c r="G2255">
        <v>3.43</v>
      </c>
      <c r="H2255" t="s">
        <v>10</v>
      </c>
      <c r="I2255" t="s">
        <v>11</v>
      </c>
    </row>
    <row r="2256" spans="1:9" x14ac:dyDescent="0.25">
      <c r="A2256" t="s">
        <v>8</v>
      </c>
      <c r="B2256" t="s">
        <v>154</v>
      </c>
      <c r="C2256">
        <v>202504</v>
      </c>
      <c r="D2256" t="str">
        <f t="shared" si="35"/>
        <v>2025</v>
      </c>
      <c r="E2256">
        <v>527819</v>
      </c>
      <c r="F2256">
        <v>16035963</v>
      </c>
      <c r="G2256">
        <v>3.29</v>
      </c>
      <c r="H2256" t="s">
        <v>10</v>
      </c>
      <c r="I2256" t="s">
        <v>11</v>
      </c>
    </row>
    <row r="2257" spans="1:9" x14ac:dyDescent="0.25">
      <c r="A2257" t="s">
        <v>8</v>
      </c>
      <c r="B2257" t="s">
        <v>154</v>
      </c>
      <c r="C2257">
        <v>202505</v>
      </c>
      <c r="D2257" t="str">
        <f t="shared" si="35"/>
        <v>2025</v>
      </c>
      <c r="E2257">
        <v>473842</v>
      </c>
      <c r="F2257">
        <v>16035963</v>
      </c>
      <c r="G2257">
        <v>2.95</v>
      </c>
      <c r="H2257" t="s">
        <v>10</v>
      </c>
      <c r="I2257" t="s">
        <v>11</v>
      </c>
    </row>
    <row r="2258" spans="1:9" x14ac:dyDescent="0.25">
      <c r="A2258" t="s">
        <v>8</v>
      </c>
      <c r="B2258" t="s">
        <v>154</v>
      </c>
      <c r="C2258">
        <v>202506</v>
      </c>
      <c r="D2258" t="str">
        <f t="shared" si="35"/>
        <v>2025</v>
      </c>
      <c r="E2258">
        <v>475300</v>
      </c>
      <c r="F2258">
        <v>16035963</v>
      </c>
      <c r="G2258">
        <v>2.96</v>
      </c>
      <c r="H2258" t="s">
        <v>10</v>
      </c>
      <c r="I2258" t="s">
        <v>11</v>
      </c>
    </row>
    <row r="2259" spans="1:9" x14ac:dyDescent="0.25">
      <c r="A2259" t="s">
        <v>8</v>
      </c>
      <c r="B2259" t="s">
        <v>154</v>
      </c>
      <c r="C2259">
        <v>202507</v>
      </c>
      <c r="D2259" t="str">
        <f t="shared" si="35"/>
        <v>2025</v>
      </c>
      <c r="E2259">
        <v>419327</v>
      </c>
      <c r="F2259">
        <v>16035963</v>
      </c>
      <c r="G2259">
        <v>2.61</v>
      </c>
      <c r="H2259" t="s">
        <v>10</v>
      </c>
      <c r="I2259" t="s">
        <v>11</v>
      </c>
    </row>
    <row r="2260" spans="1:9" x14ac:dyDescent="0.25">
      <c r="A2260" t="s">
        <v>8</v>
      </c>
      <c r="B2260" t="s">
        <v>154</v>
      </c>
      <c r="C2260">
        <v>202508</v>
      </c>
      <c r="D2260" t="str">
        <f t="shared" si="35"/>
        <v>2025</v>
      </c>
      <c r="E2260">
        <v>390759</v>
      </c>
      <c r="F2260">
        <v>16035963</v>
      </c>
      <c r="G2260">
        <v>2.44</v>
      </c>
      <c r="H2260" t="s">
        <v>10</v>
      </c>
      <c r="I2260" t="s">
        <v>11</v>
      </c>
    </row>
    <row r="2261" spans="1:9" x14ac:dyDescent="0.25">
      <c r="A2261" t="s">
        <v>8</v>
      </c>
      <c r="B2261" t="s">
        <v>154</v>
      </c>
      <c r="C2261">
        <v>202509</v>
      </c>
      <c r="D2261" t="str">
        <f t="shared" si="35"/>
        <v>2025</v>
      </c>
      <c r="E2261">
        <v>412371</v>
      </c>
      <c r="F2261">
        <v>16035963</v>
      </c>
      <c r="G2261">
        <v>2.57</v>
      </c>
      <c r="H2261" t="s">
        <v>10</v>
      </c>
      <c r="I2261" t="s">
        <v>11</v>
      </c>
    </row>
    <row r="2262" spans="1:9" x14ac:dyDescent="0.25">
      <c r="A2262" t="s">
        <v>8</v>
      </c>
      <c r="B2262" t="s">
        <v>154</v>
      </c>
      <c r="C2262">
        <v>202510</v>
      </c>
      <c r="D2262" t="str">
        <f t="shared" si="35"/>
        <v>2025</v>
      </c>
      <c r="E2262">
        <v>433143</v>
      </c>
      <c r="F2262">
        <v>16035963</v>
      </c>
      <c r="G2262">
        <v>2.7</v>
      </c>
      <c r="H2262" t="s">
        <v>10</v>
      </c>
      <c r="I2262" t="s">
        <v>11</v>
      </c>
    </row>
    <row r="2263" spans="1:9" x14ac:dyDescent="0.25">
      <c r="A2263" t="s">
        <v>8</v>
      </c>
      <c r="B2263" t="s">
        <v>154</v>
      </c>
      <c r="C2263">
        <v>202511</v>
      </c>
      <c r="D2263" t="str">
        <f t="shared" si="35"/>
        <v>2025</v>
      </c>
      <c r="E2263">
        <v>370885</v>
      </c>
      <c r="F2263">
        <v>16035963</v>
      </c>
      <c r="G2263">
        <v>2.31</v>
      </c>
      <c r="H2263" t="s">
        <v>10</v>
      </c>
      <c r="I2263" t="s">
        <v>11</v>
      </c>
    </row>
    <row r="2264" spans="1:9" x14ac:dyDescent="0.25">
      <c r="A2264" t="s">
        <v>8</v>
      </c>
      <c r="B2264" t="s">
        <v>154</v>
      </c>
      <c r="C2264">
        <v>202512</v>
      </c>
      <c r="D2264" t="str">
        <f t="shared" si="35"/>
        <v>2025</v>
      </c>
      <c r="E2264">
        <v>369799</v>
      </c>
      <c r="F2264">
        <v>16035963</v>
      </c>
      <c r="G2264">
        <v>2.31</v>
      </c>
      <c r="H2264" t="s">
        <v>10</v>
      </c>
      <c r="I2264" t="s">
        <v>11</v>
      </c>
    </row>
    <row r="2265" spans="1:9" x14ac:dyDescent="0.25">
      <c r="A2265" t="s">
        <v>8</v>
      </c>
      <c r="B2265" t="s">
        <v>154</v>
      </c>
      <c r="C2265">
        <v>202601</v>
      </c>
      <c r="D2265" t="str">
        <f t="shared" si="35"/>
        <v>2026</v>
      </c>
      <c r="E2265">
        <v>61041</v>
      </c>
      <c r="F2265">
        <v>16035963</v>
      </c>
      <c r="G2265">
        <v>0.38</v>
      </c>
      <c r="H2265" t="s">
        <v>10</v>
      </c>
      <c r="I2265" t="s">
        <v>11</v>
      </c>
    </row>
    <row r="2266" spans="1:9" hidden="1" x14ac:dyDescent="0.25">
      <c r="A2266" t="s">
        <v>8</v>
      </c>
      <c r="B2266" t="s">
        <v>147</v>
      </c>
      <c r="C2266">
        <v>201901</v>
      </c>
      <c r="D2266" t="str">
        <f t="shared" si="35"/>
        <v>2019</v>
      </c>
      <c r="E2266">
        <v>116</v>
      </c>
      <c r="F2266">
        <v>16732327</v>
      </c>
      <c r="G2266">
        <v>0</v>
      </c>
      <c r="H2266" t="s">
        <v>10</v>
      </c>
      <c r="I2266" t="s">
        <v>11</v>
      </c>
    </row>
    <row r="2267" spans="1:9" hidden="1" x14ac:dyDescent="0.25">
      <c r="A2267" t="s">
        <v>8</v>
      </c>
      <c r="B2267" t="s">
        <v>147</v>
      </c>
      <c r="C2267">
        <v>201902</v>
      </c>
      <c r="D2267" t="str">
        <f t="shared" si="35"/>
        <v>2019</v>
      </c>
      <c r="E2267">
        <v>106</v>
      </c>
      <c r="F2267">
        <v>16732327</v>
      </c>
      <c r="G2267">
        <v>0</v>
      </c>
      <c r="H2267" t="s">
        <v>10</v>
      </c>
      <c r="I2267" t="s">
        <v>11</v>
      </c>
    </row>
    <row r="2268" spans="1:9" hidden="1" x14ac:dyDescent="0.25">
      <c r="A2268" t="s">
        <v>8</v>
      </c>
      <c r="B2268" t="s">
        <v>147</v>
      </c>
      <c r="C2268">
        <v>201903</v>
      </c>
      <c r="D2268" t="str">
        <f t="shared" si="35"/>
        <v>2019</v>
      </c>
      <c r="E2268">
        <v>170</v>
      </c>
      <c r="F2268">
        <v>16732327</v>
      </c>
      <c r="G2268">
        <v>0</v>
      </c>
      <c r="H2268" t="s">
        <v>10</v>
      </c>
      <c r="I2268" t="s">
        <v>11</v>
      </c>
    </row>
    <row r="2269" spans="1:9" hidden="1" x14ac:dyDescent="0.25">
      <c r="A2269" t="s">
        <v>8</v>
      </c>
      <c r="B2269" t="s">
        <v>147</v>
      </c>
      <c r="C2269">
        <v>201904</v>
      </c>
      <c r="D2269" t="str">
        <f t="shared" si="35"/>
        <v>2019</v>
      </c>
      <c r="E2269">
        <v>174</v>
      </c>
      <c r="F2269">
        <v>16732327</v>
      </c>
      <c r="G2269">
        <v>0</v>
      </c>
      <c r="H2269" t="s">
        <v>10</v>
      </c>
      <c r="I2269" t="s">
        <v>11</v>
      </c>
    </row>
    <row r="2270" spans="1:9" hidden="1" x14ac:dyDescent="0.25">
      <c r="A2270" t="s">
        <v>8</v>
      </c>
      <c r="B2270" t="s">
        <v>147</v>
      </c>
      <c r="C2270">
        <v>201905</v>
      </c>
      <c r="D2270" t="str">
        <f t="shared" si="35"/>
        <v>2019</v>
      </c>
      <c r="E2270">
        <v>244</v>
      </c>
      <c r="F2270">
        <v>16732327</v>
      </c>
      <c r="G2270">
        <v>0</v>
      </c>
      <c r="H2270" t="s">
        <v>10</v>
      </c>
      <c r="I2270" t="s">
        <v>11</v>
      </c>
    </row>
    <row r="2271" spans="1:9" hidden="1" x14ac:dyDescent="0.25">
      <c r="A2271" t="s">
        <v>8</v>
      </c>
      <c r="B2271" t="s">
        <v>147</v>
      </c>
      <c r="C2271">
        <v>201906</v>
      </c>
      <c r="D2271" t="str">
        <f t="shared" si="35"/>
        <v>2019</v>
      </c>
      <c r="E2271">
        <v>351</v>
      </c>
      <c r="F2271">
        <v>16732327</v>
      </c>
      <c r="G2271">
        <v>0</v>
      </c>
      <c r="H2271" t="s">
        <v>10</v>
      </c>
      <c r="I2271" t="s">
        <v>11</v>
      </c>
    </row>
    <row r="2272" spans="1:9" hidden="1" x14ac:dyDescent="0.25">
      <c r="A2272" t="s">
        <v>8</v>
      </c>
      <c r="B2272" t="s">
        <v>147</v>
      </c>
      <c r="C2272">
        <v>201907</v>
      </c>
      <c r="D2272" t="str">
        <f t="shared" si="35"/>
        <v>2019</v>
      </c>
      <c r="E2272">
        <v>189</v>
      </c>
      <c r="F2272">
        <v>16732327</v>
      </c>
      <c r="G2272">
        <v>0</v>
      </c>
      <c r="H2272" t="s">
        <v>10</v>
      </c>
      <c r="I2272" t="s">
        <v>11</v>
      </c>
    </row>
    <row r="2273" spans="1:9" hidden="1" x14ac:dyDescent="0.25">
      <c r="A2273" t="s">
        <v>8</v>
      </c>
      <c r="B2273" t="s">
        <v>147</v>
      </c>
      <c r="C2273">
        <v>201908</v>
      </c>
      <c r="D2273" t="str">
        <f t="shared" si="35"/>
        <v>2019</v>
      </c>
      <c r="E2273">
        <v>94</v>
      </c>
      <c r="F2273">
        <v>16732327</v>
      </c>
      <c r="G2273">
        <v>0</v>
      </c>
      <c r="H2273" t="s">
        <v>10</v>
      </c>
      <c r="I2273" t="s">
        <v>11</v>
      </c>
    </row>
    <row r="2274" spans="1:9" hidden="1" x14ac:dyDescent="0.25">
      <c r="A2274" t="s">
        <v>8</v>
      </c>
      <c r="B2274" t="s">
        <v>147</v>
      </c>
      <c r="C2274">
        <v>201909</v>
      </c>
      <c r="D2274" t="str">
        <f t="shared" si="35"/>
        <v>2019</v>
      </c>
      <c r="E2274">
        <v>110</v>
      </c>
      <c r="F2274">
        <v>16732327</v>
      </c>
      <c r="G2274">
        <v>0</v>
      </c>
      <c r="H2274" t="s">
        <v>10</v>
      </c>
      <c r="I2274" t="s">
        <v>11</v>
      </c>
    </row>
    <row r="2275" spans="1:9" hidden="1" x14ac:dyDescent="0.25">
      <c r="A2275" t="s">
        <v>8</v>
      </c>
      <c r="B2275" t="s">
        <v>147</v>
      </c>
      <c r="C2275">
        <v>201910</v>
      </c>
      <c r="D2275" t="str">
        <f t="shared" si="35"/>
        <v>2019</v>
      </c>
      <c r="E2275">
        <v>144</v>
      </c>
      <c r="F2275">
        <v>16732327</v>
      </c>
      <c r="G2275">
        <v>0</v>
      </c>
      <c r="H2275" t="s">
        <v>10</v>
      </c>
      <c r="I2275" t="s">
        <v>11</v>
      </c>
    </row>
    <row r="2276" spans="1:9" hidden="1" x14ac:dyDescent="0.25">
      <c r="A2276" t="s">
        <v>8</v>
      </c>
      <c r="B2276" t="s">
        <v>147</v>
      </c>
      <c r="C2276">
        <v>201911</v>
      </c>
      <c r="D2276" t="str">
        <f t="shared" si="35"/>
        <v>2019</v>
      </c>
      <c r="E2276">
        <v>99</v>
      </c>
      <c r="F2276">
        <v>16732327</v>
      </c>
      <c r="G2276">
        <v>0</v>
      </c>
      <c r="H2276" t="s">
        <v>10</v>
      </c>
      <c r="I2276" t="s">
        <v>11</v>
      </c>
    </row>
    <row r="2277" spans="1:9" hidden="1" x14ac:dyDescent="0.25">
      <c r="A2277" t="s">
        <v>8</v>
      </c>
      <c r="B2277" t="s">
        <v>147</v>
      </c>
      <c r="C2277">
        <v>201912</v>
      </c>
      <c r="D2277" t="str">
        <f t="shared" si="35"/>
        <v>2019</v>
      </c>
      <c r="E2277">
        <v>14</v>
      </c>
      <c r="F2277">
        <v>16732327</v>
      </c>
      <c r="G2277">
        <v>0</v>
      </c>
      <c r="H2277" t="s">
        <v>10</v>
      </c>
      <c r="I2277" t="s">
        <v>11</v>
      </c>
    </row>
    <row r="2278" spans="1:9" hidden="1" x14ac:dyDescent="0.25">
      <c r="A2278" t="s">
        <v>8</v>
      </c>
      <c r="B2278" t="s">
        <v>147</v>
      </c>
      <c r="C2278">
        <v>202001</v>
      </c>
      <c r="D2278" t="str">
        <f t="shared" si="35"/>
        <v>2020</v>
      </c>
      <c r="E2278">
        <v>359</v>
      </c>
      <c r="F2278">
        <v>16732327</v>
      </c>
      <c r="G2278">
        <v>0</v>
      </c>
      <c r="H2278" t="s">
        <v>10</v>
      </c>
      <c r="I2278" t="s">
        <v>11</v>
      </c>
    </row>
    <row r="2279" spans="1:9" hidden="1" x14ac:dyDescent="0.25">
      <c r="A2279" t="s">
        <v>8</v>
      </c>
      <c r="B2279" t="s">
        <v>147</v>
      </c>
      <c r="C2279">
        <v>202002</v>
      </c>
      <c r="D2279" t="str">
        <f t="shared" si="35"/>
        <v>2020</v>
      </c>
      <c r="E2279">
        <v>254</v>
      </c>
      <c r="F2279">
        <v>16732327</v>
      </c>
      <c r="G2279">
        <v>0</v>
      </c>
      <c r="H2279" t="s">
        <v>10</v>
      </c>
      <c r="I2279" t="s">
        <v>11</v>
      </c>
    </row>
    <row r="2280" spans="1:9" hidden="1" x14ac:dyDescent="0.25">
      <c r="A2280" t="s">
        <v>8</v>
      </c>
      <c r="B2280" t="s">
        <v>147</v>
      </c>
      <c r="C2280">
        <v>202003</v>
      </c>
      <c r="D2280" t="str">
        <f t="shared" si="35"/>
        <v>2020</v>
      </c>
      <c r="E2280">
        <v>296</v>
      </c>
      <c r="F2280">
        <v>16732327</v>
      </c>
      <c r="G2280">
        <v>0</v>
      </c>
      <c r="H2280" t="s">
        <v>10</v>
      </c>
      <c r="I2280" t="s">
        <v>11</v>
      </c>
    </row>
    <row r="2281" spans="1:9" hidden="1" x14ac:dyDescent="0.25">
      <c r="A2281" t="s">
        <v>8</v>
      </c>
      <c r="B2281" t="s">
        <v>147</v>
      </c>
      <c r="C2281">
        <v>202004</v>
      </c>
      <c r="D2281" t="str">
        <f t="shared" si="35"/>
        <v>2020</v>
      </c>
      <c r="E2281">
        <v>169</v>
      </c>
      <c r="F2281">
        <v>16732327</v>
      </c>
      <c r="G2281">
        <v>0</v>
      </c>
      <c r="H2281" t="s">
        <v>10</v>
      </c>
      <c r="I2281" t="s">
        <v>11</v>
      </c>
    </row>
    <row r="2282" spans="1:9" hidden="1" x14ac:dyDescent="0.25">
      <c r="A2282" t="s">
        <v>8</v>
      </c>
      <c r="B2282" t="s">
        <v>147</v>
      </c>
      <c r="C2282">
        <v>202005</v>
      </c>
      <c r="D2282" t="str">
        <f t="shared" si="35"/>
        <v>2020</v>
      </c>
      <c r="E2282">
        <v>250</v>
      </c>
      <c r="F2282">
        <v>16732327</v>
      </c>
      <c r="G2282">
        <v>0</v>
      </c>
      <c r="H2282" t="s">
        <v>10</v>
      </c>
      <c r="I2282" t="s">
        <v>11</v>
      </c>
    </row>
    <row r="2283" spans="1:9" hidden="1" x14ac:dyDescent="0.25">
      <c r="A2283" t="s">
        <v>8</v>
      </c>
      <c r="B2283" t="s">
        <v>147</v>
      </c>
      <c r="C2283">
        <v>202006</v>
      </c>
      <c r="D2283" t="str">
        <f t="shared" si="35"/>
        <v>2020</v>
      </c>
      <c r="E2283">
        <v>260</v>
      </c>
      <c r="F2283">
        <v>16732327</v>
      </c>
      <c r="G2283">
        <v>0</v>
      </c>
      <c r="H2283" t="s">
        <v>10</v>
      </c>
      <c r="I2283" t="s">
        <v>11</v>
      </c>
    </row>
    <row r="2284" spans="1:9" hidden="1" x14ac:dyDescent="0.25">
      <c r="A2284" t="s">
        <v>8</v>
      </c>
      <c r="B2284" t="s">
        <v>147</v>
      </c>
      <c r="C2284">
        <v>202007</v>
      </c>
      <c r="D2284" t="str">
        <f t="shared" si="35"/>
        <v>2020</v>
      </c>
      <c r="E2284">
        <v>266</v>
      </c>
      <c r="F2284">
        <v>16732327</v>
      </c>
      <c r="G2284">
        <v>0</v>
      </c>
      <c r="H2284" t="s">
        <v>10</v>
      </c>
      <c r="I2284" t="s">
        <v>11</v>
      </c>
    </row>
    <row r="2285" spans="1:9" hidden="1" x14ac:dyDescent="0.25">
      <c r="A2285" t="s">
        <v>8</v>
      </c>
      <c r="B2285" t="s">
        <v>147</v>
      </c>
      <c r="C2285">
        <v>202008</v>
      </c>
      <c r="D2285" t="str">
        <f t="shared" si="35"/>
        <v>2020</v>
      </c>
      <c r="E2285">
        <v>283</v>
      </c>
      <c r="F2285">
        <v>16732327</v>
      </c>
      <c r="G2285">
        <v>0</v>
      </c>
      <c r="H2285" t="s">
        <v>10</v>
      </c>
      <c r="I2285" t="s">
        <v>11</v>
      </c>
    </row>
    <row r="2286" spans="1:9" hidden="1" x14ac:dyDescent="0.25">
      <c r="A2286" t="s">
        <v>8</v>
      </c>
      <c r="B2286" t="s">
        <v>147</v>
      </c>
      <c r="C2286">
        <v>202009</v>
      </c>
      <c r="D2286" t="str">
        <f t="shared" si="35"/>
        <v>2020</v>
      </c>
      <c r="E2286">
        <v>228</v>
      </c>
      <c r="F2286">
        <v>16732327</v>
      </c>
      <c r="G2286">
        <v>0</v>
      </c>
      <c r="H2286" t="s">
        <v>10</v>
      </c>
      <c r="I2286" t="s">
        <v>11</v>
      </c>
    </row>
    <row r="2287" spans="1:9" hidden="1" x14ac:dyDescent="0.25">
      <c r="A2287" t="s">
        <v>8</v>
      </c>
      <c r="B2287" t="s">
        <v>147</v>
      </c>
      <c r="C2287">
        <v>202010</v>
      </c>
      <c r="D2287" t="str">
        <f t="shared" si="35"/>
        <v>2020</v>
      </c>
      <c r="E2287">
        <v>193</v>
      </c>
      <c r="F2287">
        <v>16732327</v>
      </c>
      <c r="G2287">
        <v>0</v>
      </c>
      <c r="H2287" t="s">
        <v>10</v>
      </c>
      <c r="I2287" t="s">
        <v>11</v>
      </c>
    </row>
    <row r="2288" spans="1:9" hidden="1" x14ac:dyDescent="0.25">
      <c r="A2288" t="s">
        <v>8</v>
      </c>
      <c r="B2288" t="s">
        <v>147</v>
      </c>
      <c r="C2288">
        <v>202011</v>
      </c>
      <c r="D2288" t="str">
        <f t="shared" si="35"/>
        <v>2020</v>
      </c>
      <c r="E2288">
        <v>222</v>
      </c>
      <c r="F2288">
        <v>16732327</v>
      </c>
      <c r="G2288">
        <v>0</v>
      </c>
      <c r="H2288" t="s">
        <v>10</v>
      </c>
      <c r="I2288" t="s">
        <v>11</v>
      </c>
    </row>
    <row r="2289" spans="1:9" hidden="1" x14ac:dyDescent="0.25">
      <c r="A2289" t="s">
        <v>8</v>
      </c>
      <c r="B2289" t="s">
        <v>147</v>
      </c>
      <c r="C2289">
        <v>202012</v>
      </c>
      <c r="D2289" t="str">
        <f t="shared" si="35"/>
        <v>2020</v>
      </c>
      <c r="E2289">
        <v>334</v>
      </c>
      <c r="F2289">
        <v>16732327</v>
      </c>
      <c r="G2289">
        <v>0</v>
      </c>
      <c r="H2289" t="s">
        <v>10</v>
      </c>
      <c r="I2289" t="s">
        <v>11</v>
      </c>
    </row>
    <row r="2290" spans="1:9" hidden="1" x14ac:dyDescent="0.25">
      <c r="A2290" t="s">
        <v>8</v>
      </c>
      <c r="B2290" t="s">
        <v>147</v>
      </c>
      <c r="C2290">
        <v>202101</v>
      </c>
      <c r="D2290" t="str">
        <f t="shared" si="35"/>
        <v>2021</v>
      </c>
      <c r="E2290">
        <v>4341</v>
      </c>
      <c r="F2290">
        <v>16732327</v>
      </c>
      <c r="G2290">
        <v>0.03</v>
      </c>
      <c r="H2290" t="s">
        <v>10</v>
      </c>
      <c r="I2290" t="s">
        <v>11</v>
      </c>
    </row>
    <row r="2291" spans="1:9" hidden="1" x14ac:dyDescent="0.25">
      <c r="A2291" t="s">
        <v>8</v>
      </c>
      <c r="B2291" t="s">
        <v>147</v>
      </c>
      <c r="C2291">
        <v>202102</v>
      </c>
      <c r="D2291" t="str">
        <f t="shared" si="35"/>
        <v>2021</v>
      </c>
      <c r="E2291">
        <v>4658</v>
      </c>
      <c r="F2291">
        <v>16732327</v>
      </c>
      <c r="G2291">
        <v>0.03</v>
      </c>
      <c r="H2291" t="s">
        <v>10</v>
      </c>
      <c r="I2291" t="s">
        <v>11</v>
      </c>
    </row>
    <row r="2292" spans="1:9" hidden="1" x14ac:dyDescent="0.25">
      <c r="A2292" t="s">
        <v>8</v>
      </c>
      <c r="B2292" t="s">
        <v>147</v>
      </c>
      <c r="C2292">
        <v>202103</v>
      </c>
      <c r="D2292" t="str">
        <f t="shared" si="35"/>
        <v>2021</v>
      </c>
      <c r="E2292">
        <v>5003</v>
      </c>
      <c r="F2292">
        <v>16732327</v>
      </c>
      <c r="G2292">
        <v>0.03</v>
      </c>
      <c r="H2292" t="s">
        <v>10</v>
      </c>
      <c r="I2292" t="s">
        <v>11</v>
      </c>
    </row>
    <row r="2293" spans="1:9" hidden="1" x14ac:dyDescent="0.25">
      <c r="A2293" t="s">
        <v>8</v>
      </c>
      <c r="B2293" t="s">
        <v>147</v>
      </c>
      <c r="C2293">
        <v>202104</v>
      </c>
      <c r="D2293" t="str">
        <f t="shared" si="35"/>
        <v>2021</v>
      </c>
      <c r="E2293">
        <v>4895</v>
      </c>
      <c r="F2293">
        <v>16732327</v>
      </c>
      <c r="G2293">
        <v>0.03</v>
      </c>
      <c r="H2293" t="s">
        <v>10</v>
      </c>
      <c r="I2293" t="s">
        <v>11</v>
      </c>
    </row>
    <row r="2294" spans="1:9" hidden="1" x14ac:dyDescent="0.25">
      <c r="A2294" t="s">
        <v>8</v>
      </c>
      <c r="B2294" t="s">
        <v>147</v>
      </c>
      <c r="C2294">
        <v>202105</v>
      </c>
      <c r="D2294" t="str">
        <f t="shared" si="35"/>
        <v>2021</v>
      </c>
      <c r="E2294">
        <v>4527</v>
      </c>
      <c r="F2294">
        <v>16732327</v>
      </c>
      <c r="G2294">
        <v>0.03</v>
      </c>
      <c r="H2294" t="s">
        <v>10</v>
      </c>
      <c r="I2294" t="s">
        <v>11</v>
      </c>
    </row>
    <row r="2295" spans="1:9" hidden="1" x14ac:dyDescent="0.25">
      <c r="A2295" t="s">
        <v>8</v>
      </c>
      <c r="B2295" t="s">
        <v>147</v>
      </c>
      <c r="C2295">
        <v>202106</v>
      </c>
      <c r="D2295" t="str">
        <f t="shared" si="35"/>
        <v>2021</v>
      </c>
      <c r="E2295">
        <v>5676</v>
      </c>
      <c r="F2295">
        <v>16732327</v>
      </c>
      <c r="G2295">
        <v>0.03</v>
      </c>
      <c r="H2295" t="s">
        <v>10</v>
      </c>
      <c r="I2295" t="s">
        <v>11</v>
      </c>
    </row>
    <row r="2296" spans="1:9" hidden="1" x14ac:dyDescent="0.25">
      <c r="A2296" t="s">
        <v>8</v>
      </c>
      <c r="B2296" t="s">
        <v>147</v>
      </c>
      <c r="C2296">
        <v>202107</v>
      </c>
      <c r="D2296" t="str">
        <f t="shared" si="35"/>
        <v>2021</v>
      </c>
      <c r="E2296">
        <v>14154</v>
      </c>
      <c r="F2296">
        <v>16732327</v>
      </c>
      <c r="G2296">
        <v>0.08</v>
      </c>
      <c r="H2296" t="s">
        <v>10</v>
      </c>
      <c r="I2296" t="s">
        <v>11</v>
      </c>
    </row>
    <row r="2297" spans="1:9" hidden="1" x14ac:dyDescent="0.25">
      <c r="A2297" t="s">
        <v>8</v>
      </c>
      <c r="B2297" t="s">
        <v>147</v>
      </c>
      <c r="C2297">
        <v>202108</v>
      </c>
      <c r="D2297" t="str">
        <f t="shared" si="35"/>
        <v>2021</v>
      </c>
      <c r="E2297">
        <v>15421</v>
      </c>
      <c r="F2297">
        <v>16732327</v>
      </c>
      <c r="G2297">
        <v>0.09</v>
      </c>
      <c r="H2297" t="s">
        <v>10</v>
      </c>
      <c r="I2297" t="s">
        <v>11</v>
      </c>
    </row>
    <row r="2298" spans="1:9" hidden="1" x14ac:dyDescent="0.25">
      <c r="A2298" t="s">
        <v>8</v>
      </c>
      <c r="B2298" t="s">
        <v>147</v>
      </c>
      <c r="C2298">
        <v>202109</v>
      </c>
      <c r="D2298" t="str">
        <f t="shared" si="35"/>
        <v>2021</v>
      </c>
      <c r="E2298">
        <v>16603</v>
      </c>
      <c r="F2298">
        <v>16732327</v>
      </c>
      <c r="G2298">
        <v>0.1</v>
      </c>
      <c r="H2298" t="s">
        <v>10</v>
      </c>
      <c r="I2298" t="s">
        <v>11</v>
      </c>
    </row>
    <row r="2299" spans="1:9" hidden="1" x14ac:dyDescent="0.25">
      <c r="A2299" t="s">
        <v>8</v>
      </c>
      <c r="B2299" t="s">
        <v>147</v>
      </c>
      <c r="C2299">
        <v>202110</v>
      </c>
      <c r="D2299" t="str">
        <f t="shared" si="35"/>
        <v>2021</v>
      </c>
      <c r="E2299">
        <v>15682</v>
      </c>
      <c r="F2299">
        <v>16732327</v>
      </c>
      <c r="G2299">
        <v>0.09</v>
      </c>
      <c r="H2299" t="s">
        <v>10</v>
      </c>
      <c r="I2299" t="s">
        <v>11</v>
      </c>
    </row>
    <row r="2300" spans="1:9" hidden="1" x14ac:dyDescent="0.25">
      <c r="A2300" t="s">
        <v>8</v>
      </c>
      <c r="B2300" t="s">
        <v>147</v>
      </c>
      <c r="C2300">
        <v>202111</v>
      </c>
      <c r="D2300" t="str">
        <f t="shared" si="35"/>
        <v>2021</v>
      </c>
      <c r="E2300">
        <v>16815</v>
      </c>
      <c r="F2300">
        <v>16732327</v>
      </c>
      <c r="G2300">
        <v>0.1</v>
      </c>
      <c r="H2300" t="s">
        <v>10</v>
      </c>
      <c r="I2300" t="s">
        <v>11</v>
      </c>
    </row>
    <row r="2301" spans="1:9" hidden="1" x14ac:dyDescent="0.25">
      <c r="A2301" t="s">
        <v>8</v>
      </c>
      <c r="B2301" t="s">
        <v>147</v>
      </c>
      <c r="C2301">
        <v>202112</v>
      </c>
      <c r="D2301" t="str">
        <f t="shared" si="35"/>
        <v>2021</v>
      </c>
      <c r="E2301">
        <v>17548</v>
      </c>
      <c r="F2301">
        <v>16732327</v>
      </c>
      <c r="G2301">
        <v>0.1</v>
      </c>
      <c r="H2301" t="s">
        <v>10</v>
      </c>
      <c r="I2301" t="s">
        <v>11</v>
      </c>
    </row>
    <row r="2302" spans="1:9" hidden="1" x14ac:dyDescent="0.25">
      <c r="A2302" t="s">
        <v>8</v>
      </c>
      <c r="B2302" t="s">
        <v>147</v>
      </c>
      <c r="C2302">
        <v>202201</v>
      </c>
      <c r="D2302" t="str">
        <f t="shared" si="35"/>
        <v>2022</v>
      </c>
      <c r="E2302">
        <v>31758</v>
      </c>
      <c r="F2302">
        <v>16732327</v>
      </c>
      <c r="G2302">
        <v>0.19</v>
      </c>
      <c r="H2302" t="s">
        <v>10</v>
      </c>
      <c r="I2302" t="s">
        <v>11</v>
      </c>
    </row>
    <row r="2303" spans="1:9" hidden="1" x14ac:dyDescent="0.25">
      <c r="A2303" t="s">
        <v>8</v>
      </c>
      <c r="B2303" t="s">
        <v>147</v>
      </c>
      <c r="C2303">
        <v>202202</v>
      </c>
      <c r="D2303" t="str">
        <f t="shared" si="35"/>
        <v>2022</v>
      </c>
      <c r="E2303">
        <v>26614</v>
      </c>
      <c r="F2303">
        <v>16732327</v>
      </c>
      <c r="G2303">
        <v>0.16</v>
      </c>
      <c r="H2303" t="s">
        <v>10</v>
      </c>
      <c r="I2303" t="s">
        <v>11</v>
      </c>
    </row>
    <row r="2304" spans="1:9" hidden="1" x14ac:dyDescent="0.25">
      <c r="A2304" t="s">
        <v>8</v>
      </c>
      <c r="B2304" t="s">
        <v>147</v>
      </c>
      <c r="C2304">
        <v>202203</v>
      </c>
      <c r="D2304" t="str">
        <f t="shared" si="35"/>
        <v>2022</v>
      </c>
      <c r="E2304">
        <v>26991</v>
      </c>
      <c r="F2304">
        <v>16732327</v>
      </c>
      <c r="G2304">
        <v>0.16</v>
      </c>
      <c r="H2304" t="s">
        <v>10</v>
      </c>
      <c r="I2304" t="s">
        <v>11</v>
      </c>
    </row>
    <row r="2305" spans="1:9" hidden="1" x14ac:dyDescent="0.25">
      <c r="A2305" t="s">
        <v>8</v>
      </c>
      <c r="B2305" t="s">
        <v>147</v>
      </c>
      <c r="C2305">
        <v>202204</v>
      </c>
      <c r="D2305" t="str">
        <f t="shared" si="35"/>
        <v>2022</v>
      </c>
      <c r="E2305">
        <v>25098</v>
      </c>
      <c r="F2305">
        <v>16732327</v>
      </c>
      <c r="G2305">
        <v>0.15</v>
      </c>
      <c r="H2305" t="s">
        <v>10</v>
      </c>
      <c r="I2305" t="s">
        <v>11</v>
      </c>
    </row>
    <row r="2306" spans="1:9" hidden="1" x14ac:dyDescent="0.25">
      <c r="A2306" t="s">
        <v>8</v>
      </c>
      <c r="B2306" t="s">
        <v>147</v>
      </c>
      <c r="C2306">
        <v>202205</v>
      </c>
      <c r="D2306" t="str">
        <f t="shared" si="35"/>
        <v>2022</v>
      </c>
      <c r="E2306">
        <v>24562</v>
      </c>
      <c r="F2306">
        <v>16732327</v>
      </c>
      <c r="G2306">
        <v>0.15</v>
      </c>
      <c r="H2306" t="s">
        <v>10</v>
      </c>
      <c r="I2306" t="s">
        <v>11</v>
      </c>
    </row>
    <row r="2307" spans="1:9" hidden="1" x14ac:dyDescent="0.25">
      <c r="A2307" t="s">
        <v>8</v>
      </c>
      <c r="B2307" t="s">
        <v>147</v>
      </c>
      <c r="C2307">
        <v>202206</v>
      </c>
      <c r="D2307" t="str">
        <f t="shared" ref="D2307:D2370" si="36">LEFT(C2307,4)</f>
        <v>2022</v>
      </c>
      <c r="E2307">
        <v>26472</v>
      </c>
      <c r="F2307">
        <v>16732327</v>
      </c>
      <c r="G2307">
        <v>0.16</v>
      </c>
      <c r="H2307" t="s">
        <v>10</v>
      </c>
      <c r="I2307" t="s">
        <v>11</v>
      </c>
    </row>
    <row r="2308" spans="1:9" hidden="1" x14ac:dyDescent="0.25">
      <c r="A2308" t="s">
        <v>8</v>
      </c>
      <c r="B2308" t="s">
        <v>147</v>
      </c>
      <c r="C2308">
        <v>202207</v>
      </c>
      <c r="D2308" t="str">
        <f t="shared" si="36"/>
        <v>2022</v>
      </c>
      <c r="E2308">
        <v>30099</v>
      </c>
      <c r="F2308">
        <v>16732327</v>
      </c>
      <c r="G2308">
        <v>0.18</v>
      </c>
      <c r="H2308" t="s">
        <v>10</v>
      </c>
      <c r="I2308" t="s">
        <v>11</v>
      </c>
    </row>
    <row r="2309" spans="1:9" hidden="1" x14ac:dyDescent="0.25">
      <c r="A2309" t="s">
        <v>8</v>
      </c>
      <c r="B2309" t="s">
        <v>147</v>
      </c>
      <c r="C2309">
        <v>202208</v>
      </c>
      <c r="D2309" t="str">
        <f t="shared" si="36"/>
        <v>2022</v>
      </c>
      <c r="E2309">
        <v>33588</v>
      </c>
      <c r="F2309">
        <v>16732327</v>
      </c>
      <c r="G2309">
        <v>0.2</v>
      </c>
      <c r="H2309" t="s">
        <v>10</v>
      </c>
      <c r="I2309" t="s">
        <v>11</v>
      </c>
    </row>
    <row r="2310" spans="1:9" hidden="1" x14ac:dyDescent="0.25">
      <c r="A2310" t="s">
        <v>8</v>
      </c>
      <c r="B2310" t="s">
        <v>147</v>
      </c>
      <c r="C2310">
        <v>202209</v>
      </c>
      <c r="D2310" t="str">
        <f t="shared" si="36"/>
        <v>2022</v>
      </c>
      <c r="E2310">
        <v>31414</v>
      </c>
      <c r="F2310">
        <v>16732327</v>
      </c>
      <c r="G2310">
        <v>0.19</v>
      </c>
      <c r="H2310" t="s">
        <v>10</v>
      </c>
      <c r="I2310" t="s">
        <v>11</v>
      </c>
    </row>
    <row r="2311" spans="1:9" hidden="1" x14ac:dyDescent="0.25">
      <c r="A2311" t="s">
        <v>8</v>
      </c>
      <c r="B2311" t="s">
        <v>147</v>
      </c>
      <c r="C2311">
        <v>202210</v>
      </c>
      <c r="D2311" t="str">
        <f t="shared" si="36"/>
        <v>2022</v>
      </c>
      <c r="E2311">
        <v>35134</v>
      </c>
      <c r="F2311">
        <v>16732327</v>
      </c>
      <c r="G2311">
        <v>0.21</v>
      </c>
      <c r="H2311" t="s">
        <v>10</v>
      </c>
      <c r="I2311" t="s">
        <v>11</v>
      </c>
    </row>
    <row r="2312" spans="1:9" hidden="1" x14ac:dyDescent="0.25">
      <c r="A2312" t="s">
        <v>8</v>
      </c>
      <c r="B2312" t="s">
        <v>147</v>
      </c>
      <c r="C2312">
        <v>202211</v>
      </c>
      <c r="D2312" t="str">
        <f t="shared" si="36"/>
        <v>2022</v>
      </c>
      <c r="E2312">
        <v>37656</v>
      </c>
      <c r="F2312">
        <v>16732327</v>
      </c>
      <c r="G2312">
        <v>0.23</v>
      </c>
      <c r="H2312" t="s">
        <v>10</v>
      </c>
      <c r="I2312" t="s">
        <v>11</v>
      </c>
    </row>
    <row r="2313" spans="1:9" hidden="1" x14ac:dyDescent="0.25">
      <c r="A2313" t="s">
        <v>8</v>
      </c>
      <c r="B2313" t="s">
        <v>147</v>
      </c>
      <c r="C2313">
        <v>202212</v>
      </c>
      <c r="D2313" t="str">
        <f t="shared" si="36"/>
        <v>2022</v>
      </c>
      <c r="E2313">
        <v>37818</v>
      </c>
      <c r="F2313">
        <v>16732327</v>
      </c>
      <c r="G2313">
        <v>0.23</v>
      </c>
      <c r="H2313" t="s">
        <v>10</v>
      </c>
      <c r="I2313" t="s">
        <v>11</v>
      </c>
    </row>
    <row r="2314" spans="1:9" hidden="1" x14ac:dyDescent="0.25">
      <c r="A2314" t="s">
        <v>8</v>
      </c>
      <c r="B2314" t="s">
        <v>147</v>
      </c>
      <c r="C2314">
        <v>202301</v>
      </c>
      <c r="D2314" t="str">
        <f t="shared" si="36"/>
        <v>2023</v>
      </c>
      <c r="E2314">
        <v>144372</v>
      </c>
      <c r="F2314">
        <v>16732327</v>
      </c>
      <c r="G2314">
        <v>0.86</v>
      </c>
      <c r="H2314" t="s">
        <v>10</v>
      </c>
      <c r="I2314" t="s">
        <v>11</v>
      </c>
    </row>
    <row r="2315" spans="1:9" hidden="1" x14ac:dyDescent="0.25">
      <c r="A2315" t="s">
        <v>8</v>
      </c>
      <c r="B2315" t="s">
        <v>147</v>
      </c>
      <c r="C2315">
        <v>202302</v>
      </c>
      <c r="D2315" t="str">
        <f t="shared" si="36"/>
        <v>2023</v>
      </c>
      <c r="E2315">
        <v>142642</v>
      </c>
      <c r="F2315">
        <v>16732327</v>
      </c>
      <c r="G2315">
        <v>0.85</v>
      </c>
      <c r="H2315" t="s">
        <v>10</v>
      </c>
      <c r="I2315" t="s">
        <v>11</v>
      </c>
    </row>
    <row r="2316" spans="1:9" hidden="1" x14ac:dyDescent="0.25">
      <c r="A2316" t="s">
        <v>8</v>
      </c>
      <c r="B2316" t="s">
        <v>147</v>
      </c>
      <c r="C2316">
        <v>202303</v>
      </c>
      <c r="D2316" t="str">
        <f t="shared" si="36"/>
        <v>2023</v>
      </c>
      <c r="E2316">
        <v>172111</v>
      </c>
      <c r="F2316">
        <v>16732327</v>
      </c>
      <c r="G2316">
        <v>1.03</v>
      </c>
      <c r="H2316" t="s">
        <v>10</v>
      </c>
      <c r="I2316" t="s">
        <v>11</v>
      </c>
    </row>
    <row r="2317" spans="1:9" hidden="1" x14ac:dyDescent="0.25">
      <c r="A2317" t="s">
        <v>8</v>
      </c>
      <c r="B2317" t="s">
        <v>147</v>
      </c>
      <c r="C2317">
        <v>202304</v>
      </c>
      <c r="D2317" t="str">
        <f t="shared" si="36"/>
        <v>2023</v>
      </c>
      <c r="E2317">
        <v>228159</v>
      </c>
      <c r="F2317">
        <v>16732327</v>
      </c>
      <c r="G2317">
        <v>1.36</v>
      </c>
      <c r="H2317" t="s">
        <v>10</v>
      </c>
      <c r="I2317" t="s">
        <v>11</v>
      </c>
    </row>
    <row r="2318" spans="1:9" hidden="1" x14ac:dyDescent="0.25">
      <c r="A2318" t="s">
        <v>8</v>
      </c>
      <c r="B2318" t="s">
        <v>147</v>
      </c>
      <c r="C2318">
        <v>202305</v>
      </c>
      <c r="D2318" t="str">
        <f t="shared" si="36"/>
        <v>2023</v>
      </c>
      <c r="E2318">
        <v>247381</v>
      </c>
      <c r="F2318">
        <v>16732327</v>
      </c>
      <c r="G2318">
        <v>1.48</v>
      </c>
      <c r="H2318" t="s">
        <v>10</v>
      </c>
      <c r="I2318" t="s">
        <v>11</v>
      </c>
    </row>
    <row r="2319" spans="1:9" hidden="1" x14ac:dyDescent="0.25">
      <c r="A2319" t="s">
        <v>8</v>
      </c>
      <c r="B2319" t="s">
        <v>147</v>
      </c>
      <c r="C2319">
        <v>202306</v>
      </c>
      <c r="D2319" t="str">
        <f t="shared" si="36"/>
        <v>2023</v>
      </c>
      <c r="E2319">
        <v>240016</v>
      </c>
      <c r="F2319">
        <v>16732327</v>
      </c>
      <c r="G2319">
        <v>1.43</v>
      </c>
      <c r="H2319" t="s">
        <v>10</v>
      </c>
      <c r="I2319" t="s">
        <v>11</v>
      </c>
    </row>
    <row r="2320" spans="1:9" hidden="1" x14ac:dyDescent="0.25">
      <c r="A2320" t="s">
        <v>8</v>
      </c>
      <c r="B2320" t="s">
        <v>147</v>
      </c>
      <c r="C2320">
        <v>202307</v>
      </c>
      <c r="D2320" t="str">
        <f t="shared" si="36"/>
        <v>2023</v>
      </c>
      <c r="E2320">
        <v>223371</v>
      </c>
      <c r="F2320">
        <v>16732327</v>
      </c>
      <c r="G2320">
        <v>1.33</v>
      </c>
      <c r="H2320" t="s">
        <v>10</v>
      </c>
      <c r="I2320" t="s">
        <v>11</v>
      </c>
    </row>
    <row r="2321" spans="1:9" hidden="1" x14ac:dyDescent="0.25">
      <c r="A2321" t="s">
        <v>8</v>
      </c>
      <c r="B2321" t="s">
        <v>147</v>
      </c>
      <c r="C2321">
        <v>202308</v>
      </c>
      <c r="D2321" t="str">
        <f t="shared" si="36"/>
        <v>2023</v>
      </c>
      <c r="E2321">
        <v>255571</v>
      </c>
      <c r="F2321">
        <v>16732327</v>
      </c>
      <c r="G2321">
        <v>1.53</v>
      </c>
      <c r="H2321" t="s">
        <v>10</v>
      </c>
      <c r="I2321" t="s">
        <v>11</v>
      </c>
    </row>
    <row r="2322" spans="1:9" hidden="1" x14ac:dyDescent="0.25">
      <c r="A2322" t="s">
        <v>8</v>
      </c>
      <c r="B2322" t="s">
        <v>147</v>
      </c>
      <c r="C2322">
        <v>202309</v>
      </c>
      <c r="D2322" t="str">
        <f t="shared" si="36"/>
        <v>2023</v>
      </c>
      <c r="E2322">
        <v>240582</v>
      </c>
      <c r="F2322">
        <v>16732327</v>
      </c>
      <c r="G2322">
        <v>1.44</v>
      </c>
      <c r="H2322" t="s">
        <v>10</v>
      </c>
      <c r="I2322" t="s">
        <v>11</v>
      </c>
    </row>
    <row r="2323" spans="1:9" hidden="1" x14ac:dyDescent="0.25">
      <c r="A2323" t="s">
        <v>8</v>
      </c>
      <c r="B2323" t="s">
        <v>147</v>
      </c>
      <c r="C2323">
        <v>202310</v>
      </c>
      <c r="D2323" t="str">
        <f t="shared" si="36"/>
        <v>2023</v>
      </c>
      <c r="E2323">
        <v>261899</v>
      </c>
      <c r="F2323">
        <v>16732327</v>
      </c>
      <c r="G2323">
        <v>1.57</v>
      </c>
      <c r="H2323" t="s">
        <v>10</v>
      </c>
      <c r="I2323" t="s">
        <v>11</v>
      </c>
    </row>
    <row r="2324" spans="1:9" hidden="1" x14ac:dyDescent="0.25">
      <c r="A2324" t="s">
        <v>8</v>
      </c>
      <c r="B2324" t="s">
        <v>147</v>
      </c>
      <c r="C2324">
        <v>202311</v>
      </c>
      <c r="D2324" t="str">
        <f t="shared" si="36"/>
        <v>2023</v>
      </c>
      <c r="E2324">
        <v>246530</v>
      </c>
      <c r="F2324">
        <v>16732327</v>
      </c>
      <c r="G2324">
        <v>1.47</v>
      </c>
      <c r="H2324" t="s">
        <v>10</v>
      </c>
      <c r="I2324" t="s">
        <v>11</v>
      </c>
    </row>
    <row r="2325" spans="1:9" hidden="1" x14ac:dyDescent="0.25">
      <c r="A2325" t="s">
        <v>8</v>
      </c>
      <c r="B2325" t="s">
        <v>147</v>
      </c>
      <c r="C2325">
        <v>202312</v>
      </c>
      <c r="D2325" t="str">
        <f t="shared" si="36"/>
        <v>2023</v>
      </c>
      <c r="E2325">
        <v>232692</v>
      </c>
      <c r="F2325">
        <v>16732327</v>
      </c>
      <c r="G2325">
        <v>1.39</v>
      </c>
      <c r="H2325" t="s">
        <v>10</v>
      </c>
      <c r="I2325" t="s">
        <v>11</v>
      </c>
    </row>
    <row r="2326" spans="1:9" hidden="1" x14ac:dyDescent="0.25">
      <c r="A2326" t="s">
        <v>8</v>
      </c>
      <c r="B2326" t="s">
        <v>147</v>
      </c>
      <c r="C2326">
        <v>202401</v>
      </c>
      <c r="D2326" t="str">
        <f t="shared" si="36"/>
        <v>2024</v>
      </c>
      <c r="E2326">
        <v>527842</v>
      </c>
      <c r="F2326">
        <v>16732327</v>
      </c>
      <c r="G2326">
        <v>3.15</v>
      </c>
      <c r="H2326" t="s">
        <v>10</v>
      </c>
      <c r="I2326" t="s">
        <v>11</v>
      </c>
    </row>
    <row r="2327" spans="1:9" hidden="1" x14ac:dyDescent="0.25">
      <c r="A2327" t="s">
        <v>8</v>
      </c>
      <c r="B2327" t="s">
        <v>147</v>
      </c>
      <c r="C2327">
        <v>202402</v>
      </c>
      <c r="D2327" t="str">
        <f t="shared" si="36"/>
        <v>2024</v>
      </c>
      <c r="E2327">
        <v>575869</v>
      </c>
      <c r="F2327">
        <v>16732327</v>
      </c>
      <c r="G2327">
        <v>3.44</v>
      </c>
      <c r="H2327" t="s">
        <v>10</v>
      </c>
      <c r="I2327" t="s">
        <v>11</v>
      </c>
    </row>
    <row r="2328" spans="1:9" hidden="1" x14ac:dyDescent="0.25">
      <c r="A2328" t="s">
        <v>8</v>
      </c>
      <c r="B2328" t="s">
        <v>147</v>
      </c>
      <c r="C2328">
        <v>202403</v>
      </c>
      <c r="D2328" t="str">
        <f t="shared" si="36"/>
        <v>2024</v>
      </c>
      <c r="E2328">
        <v>602013</v>
      </c>
      <c r="F2328">
        <v>16732327</v>
      </c>
      <c r="G2328">
        <v>3.6</v>
      </c>
      <c r="H2328" t="s">
        <v>10</v>
      </c>
      <c r="I2328" t="s">
        <v>11</v>
      </c>
    </row>
    <row r="2329" spans="1:9" hidden="1" x14ac:dyDescent="0.25">
      <c r="A2329" t="s">
        <v>8</v>
      </c>
      <c r="B2329" t="s">
        <v>147</v>
      </c>
      <c r="C2329">
        <v>202404</v>
      </c>
      <c r="D2329" t="str">
        <f t="shared" si="36"/>
        <v>2024</v>
      </c>
      <c r="E2329">
        <v>626873</v>
      </c>
      <c r="F2329">
        <v>16732327</v>
      </c>
      <c r="G2329">
        <v>3.75</v>
      </c>
      <c r="H2329" t="s">
        <v>10</v>
      </c>
      <c r="I2329" t="s">
        <v>11</v>
      </c>
    </row>
    <row r="2330" spans="1:9" hidden="1" x14ac:dyDescent="0.25">
      <c r="A2330" t="s">
        <v>8</v>
      </c>
      <c r="B2330" t="s">
        <v>147</v>
      </c>
      <c r="C2330">
        <v>202405</v>
      </c>
      <c r="D2330" t="str">
        <f t="shared" si="36"/>
        <v>2024</v>
      </c>
      <c r="E2330">
        <v>605399</v>
      </c>
      <c r="F2330">
        <v>16732327</v>
      </c>
      <c r="G2330">
        <v>3.62</v>
      </c>
      <c r="H2330" t="s">
        <v>10</v>
      </c>
      <c r="I2330" t="s">
        <v>11</v>
      </c>
    </row>
    <row r="2331" spans="1:9" hidden="1" x14ac:dyDescent="0.25">
      <c r="A2331" t="s">
        <v>8</v>
      </c>
      <c r="B2331" t="s">
        <v>147</v>
      </c>
      <c r="C2331">
        <v>202406</v>
      </c>
      <c r="D2331" t="str">
        <f t="shared" si="36"/>
        <v>2024</v>
      </c>
      <c r="E2331">
        <v>575049</v>
      </c>
      <c r="F2331">
        <v>16732327</v>
      </c>
      <c r="G2331">
        <v>3.44</v>
      </c>
      <c r="H2331" t="s">
        <v>10</v>
      </c>
      <c r="I2331" t="s">
        <v>11</v>
      </c>
    </row>
    <row r="2332" spans="1:9" hidden="1" x14ac:dyDescent="0.25">
      <c r="A2332" t="s">
        <v>8</v>
      </c>
      <c r="B2332" t="s">
        <v>147</v>
      </c>
      <c r="C2332">
        <v>202407</v>
      </c>
      <c r="D2332" t="str">
        <f t="shared" si="36"/>
        <v>2024</v>
      </c>
      <c r="E2332">
        <v>590045</v>
      </c>
      <c r="F2332">
        <v>16732327</v>
      </c>
      <c r="G2332">
        <v>3.53</v>
      </c>
      <c r="H2332" t="s">
        <v>10</v>
      </c>
      <c r="I2332" t="s">
        <v>11</v>
      </c>
    </row>
    <row r="2333" spans="1:9" hidden="1" x14ac:dyDescent="0.25">
      <c r="A2333" t="s">
        <v>8</v>
      </c>
      <c r="B2333" t="s">
        <v>147</v>
      </c>
      <c r="C2333">
        <v>202408</v>
      </c>
      <c r="D2333" t="str">
        <f t="shared" si="36"/>
        <v>2024</v>
      </c>
      <c r="E2333">
        <v>599207</v>
      </c>
      <c r="F2333">
        <v>16732327</v>
      </c>
      <c r="G2333">
        <v>3.58</v>
      </c>
      <c r="H2333" t="s">
        <v>10</v>
      </c>
      <c r="I2333" t="s">
        <v>11</v>
      </c>
    </row>
    <row r="2334" spans="1:9" hidden="1" x14ac:dyDescent="0.25">
      <c r="A2334" t="s">
        <v>8</v>
      </c>
      <c r="B2334" t="s">
        <v>147</v>
      </c>
      <c r="C2334">
        <v>202409</v>
      </c>
      <c r="D2334" t="str">
        <f t="shared" si="36"/>
        <v>2024</v>
      </c>
      <c r="E2334">
        <v>626158</v>
      </c>
      <c r="F2334">
        <v>16732327</v>
      </c>
      <c r="G2334">
        <v>3.74</v>
      </c>
      <c r="H2334" t="s">
        <v>10</v>
      </c>
      <c r="I2334" t="s">
        <v>11</v>
      </c>
    </row>
    <row r="2335" spans="1:9" hidden="1" x14ac:dyDescent="0.25">
      <c r="A2335" t="s">
        <v>8</v>
      </c>
      <c r="B2335" t="s">
        <v>147</v>
      </c>
      <c r="C2335">
        <v>202410</v>
      </c>
      <c r="D2335" t="str">
        <f t="shared" si="36"/>
        <v>2024</v>
      </c>
      <c r="E2335">
        <v>716949</v>
      </c>
      <c r="F2335">
        <v>16732327</v>
      </c>
      <c r="G2335">
        <v>4.28</v>
      </c>
      <c r="H2335" t="s">
        <v>10</v>
      </c>
      <c r="I2335" t="s">
        <v>11</v>
      </c>
    </row>
    <row r="2336" spans="1:9" hidden="1" x14ac:dyDescent="0.25">
      <c r="A2336" t="s">
        <v>8</v>
      </c>
      <c r="B2336" t="s">
        <v>147</v>
      </c>
      <c r="C2336">
        <v>202411</v>
      </c>
      <c r="D2336" t="str">
        <f t="shared" si="36"/>
        <v>2024</v>
      </c>
      <c r="E2336">
        <v>635878</v>
      </c>
      <c r="F2336">
        <v>16732327</v>
      </c>
      <c r="G2336">
        <v>3.8</v>
      </c>
      <c r="H2336" t="s">
        <v>10</v>
      </c>
      <c r="I2336" t="s">
        <v>11</v>
      </c>
    </row>
    <row r="2337" spans="1:9" hidden="1" x14ac:dyDescent="0.25">
      <c r="A2337" t="s">
        <v>8</v>
      </c>
      <c r="B2337" t="s">
        <v>147</v>
      </c>
      <c r="C2337">
        <v>202412</v>
      </c>
      <c r="D2337" t="str">
        <f t="shared" si="36"/>
        <v>2024</v>
      </c>
      <c r="E2337">
        <v>674485</v>
      </c>
      <c r="F2337">
        <v>16732327</v>
      </c>
      <c r="G2337">
        <v>4.03</v>
      </c>
      <c r="H2337" t="s">
        <v>10</v>
      </c>
      <c r="I2337" t="s">
        <v>11</v>
      </c>
    </row>
    <row r="2338" spans="1:9" x14ac:dyDescent="0.25">
      <c r="A2338" t="s">
        <v>8</v>
      </c>
      <c r="B2338" t="s">
        <v>147</v>
      </c>
      <c r="C2338">
        <v>202501</v>
      </c>
      <c r="D2338" t="str">
        <f t="shared" si="36"/>
        <v>2025</v>
      </c>
      <c r="E2338">
        <v>574717</v>
      </c>
      <c r="F2338">
        <v>16732327</v>
      </c>
      <c r="G2338">
        <v>3.43</v>
      </c>
      <c r="H2338" t="s">
        <v>10</v>
      </c>
      <c r="I2338" t="s">
        <v>11</v>
      </c>
    </row>
    <row r="2339" spans="1:9" x14ac:dyDescent="0.25">
      <c r="A2339" t="s">
        <v>8</v>
      </c>
      <c r="B2339" t="s">
        <v>147</v>
      </c>
      <c r="C2339">
        <v>202502</v>
      </c>
      <c r="D2339" t="str">
        <f t="shared" si="36"/>
        <v>2025</v>
      </c>
      <c r="E2339">
        <v>510312</v>
      </c>
      <c r="F2339">
        <v>16732327</v>
      </c>
      <c r="G2339">
        <v>3.05</v>
      </c>
      <c r="H2339" t="s">
        <v>10</v>
      </c>
      <c r="I2339" t="s">
        <v>11</v>
      </c>
    </row>
    <row r="2340" spans="1:9" x14ac:dyDescent="0.25">
      <c r="A2340" t="s">
        <v>8</v>
      </c>
      <c r="B2340" t="s">
        <v>147</v>
      </c>
      <c r="C2340">
        <v>202503</v>
      </c>
      <c r="D2340" t="str">
        <f t="shared" si="36"/>
        <v>2025</v>
      </c>
      <c r="E2340">
        <v>575074</v>
      </c>
      <c r="F2340">
        <v>16732327</v>
      </c>
      <c r="G2340">
        <v>3.44</v>
      </c>
      <c r="H2340" t="s">
        <v>10</v>
      </c>
      <c r="I2340" t="s">
        <v>11</v>
      </c>
    </row>
    <row r="2341" spans="1:9" x14ac:dyDescent="0.25">
      <c r="A2341" t="s">
        <v>8</v>
      </c>
      <c r="B2341" t="s">
        <v>147</v>
      </c>
      <c r="C2341">
        <v>202504</v>
      </c>
      <c r="D2341" t="str">
        <f t="shared" si="36"/>
        <v>2025</v>
      </c>
      <c r="E2341">
        <v>544739</v>
      </c>
      <c r="F2341">
        <v>16732327</v>
      </c>
      <c r="G2341">
        <v>3.26</v>
      </c>
      <c r="H2341" t="s">
        <v>10</v>
      </c>
      <c r="I2341" t="s">
        <v>11</v>
      </c>
    </row>
    <row r="2342" spans="1:9" x14ac:dyDescent="0.25">
      <c r="A2342" t="s">
        <v>8</v>
      </c>
      <c r="B2342" t="s">
        <v>147</v>
      </c>
      <c r="C2342">
        <v>202505</v>
      </c>
      <c r="D2342" t="str">
        <f t="shared" si="36"/>
        <v>2025</v>
      </c>
      <c r="E2342">
        <v>490187</v>
      </c>
      <c r="F2342">
        <v>16732327</v>
      </c>
      <c r="G2342">
        <v>2.93</v>
      </c>
      <c r="H2342" t="s">
        <v>10</v>
      </c>
      <c r="I2342" t="s">
        <v>11</v>
      </c>
    </row>
    <row r="2343" spans="1:9" x14ac:dyDescent="0.25">
      <c r="A2343" t="s">
        <v>8</v>
      </c>
      <c r="B2343" t="s">
        <v>147</v>
      </c>
      <c r="C2343">
        <v>202506</v>
      </c>
      <c r="D2343" t="str">
        <f t="shared" si="36"/>
        <v>2025</v>
      </c>
      <c r="E2343">
        <v>500368</v>
      </c>
      <c r="F2343">
        <v>16732327</v>
      </c>
      <c r="G2343">
        <v>2.99</v>
      </c>
      <c r="H2343" t="s">
        <v>10</v>
      </c>
      <c r="I2343" t="s">
        <v>11</v>
      </c>
    </row>
    <row r="2344" spans="1:9" x14ac:dyDescent="0.25">
      <c r="A2344" t="s">
        <v>8</v>
      </c>
      <c r="B2344" t="s">
        <v>147</v>
      </c>
      <c r="C2344">
        <v>202507</v>
      </c>
      <c r="D2344" t="str">
        <f t="shared" si="36"/>
        <v>2025</v>
      </c>
      <c r="E2344">
        <v>473106</v>
      </c>
      <c r="F2344">
        <v>16732327</v>
      </c>
      <c r="G2344">
        <v>2.83</v>
      </c>
      <c r="H2344" t="s">
        <v>10</v>
      </c>
      <c r="I2344" t="s">
        <v>11</v>
      </c>
    </row>
    <row r="2345" spans="1:9" x14ac:dyDescent="0.25">
      <c r="A2345" t="s">
        <v>8</v>
      </c>
      <c r="B2345" t="s">
        <v>147</v>
      </c>
      <c r="C2345">
        <v>202508</v>
      </c>
      <c r="D2345" t="str">
        <f t="shared" si="36"/>
        <v>2025</v>
      </c>
      <c r="E2345">
        <v>447875</v>
      </c>
      <c r="F2345">
        <v>16732327</v>
      </c>
      <c r="G2345">
        <v>2.68</v>
      </c>
      <c r="H2345" t="s">
        <v>10</v>
      </c>
      <c r="I2345" t="s">
        <v>11</v>
      </c>
    </row>
    <row r="2346" spans="1:9" x14ac:dyDescent="0.25">
      <c r="A2346" t="s">
        <v>8</v>
      </c>
      <c r="B2346" t="s">
        <v>147</v>
      </c>
      <c r="C2346">
        <v>202509</v>
      </c>
      <c r="D2346" t="str">
        <f t="shared" si="36"/>
        <v>2025</v>
      </c>
      <c r="E2346">
        <v>469870</v>
      </c>
      <c r="F2346">
        <v>16732327</v>
      </c>
      <c r="G2346">
        <v>2.81</v>
      </c>
      <c r="H2346" t="s">
        <v>10</v>
      </c>
      <c r="I2346" t="s">
        <v>11</v>
      </c>
    </row>
    <row r="2347" spans="1:9" x14ac:dyDescent="0.25">
      <c r="A2347" t="s">
        <v>8</v>
      </c>
      <c r="B2347" t="s">
        <v>147</v>
      </c>
      <c r="C2347">
        <v>202510</v>
      </c>
      <c r="D2347" t="str">
        <f t="shared" si="36"/>
        <v>2025</v>
      </c>
      <c r="E2347">
        <v>490407</v>
      </c>
      <c r="F2347">
        <v>16732327</v>
      </c>
      <c r="G2347">
        <v>2.93</v>
      </c>
      <c r="H2347" t="s">
        <v>10</v>
      </c>
      <c r="I2347" t="s">
        <v>11</v>
      </c>
    </row>
    <row r="2348" spans="1:9" x14ac:dyDescent="0.25">
      <c r="A2348" t="s">
        <v>8</v>
      </c>
      <c r="B2348" t="s">
        <v>147</v>
      </c>
      <c r="C2348">
        <v>202511</v>
      </c>
      <c r="D2348" t="str">
        <f t="shared" si="36"/>
        <v>2025</v>
      </c>
      <c r="E2348">
        <v>430831</v>
      </c>
      <c r="F2348">
        <v>16732327</v>
      </c>
      <c r="G2348">
        <v>2.57</v>
      </c>
      <c r="H2348" t="s">
        <v>10</v>
      </c>
      <c r="I2348" t="s">
        <v>11</v>
      </c>
    </row>
    <row r="2349" spans="1:9" x14ac:dyDescent="0.25">
      <c r="A2349" t="s">
        <v>8</v>
      </c>
      <c r="B2349" t="s">
        <v>147</v>
      </c>
      <c r="C2349">
        <v>202512</v>
      </c>
      <c r="D2349" t="str">
        <f t="shared" si="36"/>
        <v>2025</v>
      </c>
      <c r="E2349">
        <v>406882</v>
      </c>
      <c r="F2349">
        <v>16732327</v>
      </c>
      <c r="G2349">
        <v>2.4300000000000002</v>
      </c>
      <c r="H2349" t="s">
        <v>10</v>
      </c>
      <c r="I2349" t="s">
        <v>11</v>
      </c>
    </row>
    <row r="2350" spans="1:9" x14ac:dyDescent="0.25">
      <c r="A2350" t="s">
        <v>8</v>
      </c>
      <c r="B2350" t="s">
        <v>147</v>
      </c>
      <c r="C2350">
        <v>202601</v>
      </c>
      <c r="D2350" t="str">
        <f t="shared" si="36"/>
        <v>2026</v>
      </c>
      <c r="E2350">
        <v>259247</v>
      </c>
      <c r="F2350">
        <v>16732327</v>
      </c>
      <c r="G2350">
        <v>1.55</v>
      </c>
      <c r="H2350" t="s">
        <v>10</v>
      </c>
      <c r="I2350" t="s">
        <v>11</v>
      </c>
    </row>
    <row r="2351" spans="1:9" x14ac:dyDescent="0.25">
      <c r="A2351" t="s">
        <v>8</v>
      </c>
      <c r="B2351" t="s">
        <v>147</v>
      </c>
      <c r="C2351">
        <v>202602</v>
      </c>
      <c r="D2351" t="str">
        <f t="shared" si="36"/>
        <v>2026</v>
      </c>
      <c r="E2351">
        <v>70167</v>
      </c>
      <c r="F2351">
        <v>16732327</v>
      </c>
      <c r="G2351">
        <v>0.42</v>
      </c>
      <c r="H2351" t="s">
        <v>10</v>
      </c>
      <c r="I2351" t="s">
        <v>11</v>
      </c>
    </row>
    <row r="2352" spans="1:9" hidden="1" x14ac:dyDescent="0.25">
      <c r="A2352" t="s">
        <v>8</v>
      </c>
      <c r="B2352" t="s">
        <v>161</v>
      </c>
      <c r="C2352">
        <v>201901</v>
      </c>
      <c r="D2352" t="str">
        <f t="shared" si="36"/>
        <v>2019</v>
      </c>
      <c r="E2352">
        <v>116</v>
      </c>
      <c r="F2352">
        <v>17070421</v>
      </c>
      <c r="G2352">
        <v>0</v>
      </c>
      <c r="H2352" t="s">
        <v>10</v>
      </c>
      <c r="I2352" t="s">
        <v>11</v>
      </c>
    </row>
    <row r="2353" spans="1:9" hidden="1" x14ac:dyDescent="0.25">
      <c r="A2353" t="s">
        <v>8</v>
      </c>
      <c r="B2353" t="s">
        <v>161</v>
      </c>
      <c r="C2353">
        <v>201902</v>
      </c>
      <c r="D2353" t="str">
        <f t="shared" si="36"/>
        <v>2019</v>
      </c>
      <c r="E2353">
        <v>106</v>
      </c>
      <c r="F2353">
        <v>17070421</v>
      </c>
      <c r="G2353">
        <v>0</v>
      </c>
      <c r="H2353" t="s">
        <v>10</v>
      </c>
      <c r="I2353" t="s">
        <v>11</v>
      </c>
    </row>
    <row r="2354" spans="1:9" hidden="1" x14ac:dyDescent="0.25">
      <c r="A2354" t="s">
        <v>8</v>
      </c>
      <c r="B2354" t="s">
        <v>161</v>
      </c>
      <c r="C2354">
        <v>201903</v>
      </c>
      <c r="D2354" t="str">
        <f t="shared" si="36"/>
        <v>2019</v>
      </c>
      <c r="E2354">
        <v>170</v>
      </c>
      <c r="F2354">
        <v>17070421</v>
      </c>
      <c r="G2354">
        <v>0</v>
      </c>
      <c r="H2354" t="s">
        <v>10</v>
      </c>
      <c r="I2354" t="s">
        <v>11</v>
      </c>
    </row>
    <row r="2355" spans="1:9" hidden="1" x14ac:dyDescent="0.25">
      <c r="A2355" t="s">
        <v>8</v>
      </c>
      <c r="B2355" t="s">
        <v>161</v>
      </c>
      <c r="C2355">
        <v>201904</v>
      </c>
      <c r="D2355" t="str">
        <f t="shared" si="36"/>
        <v>2019</v>
      </c>
      <c r="E2355">
        <v>174</v>
      </c>
      <c r="F2355">
        <v>17070421</v>
      </c>
      <c r="G2355">
        <v>0</v>
      </c>
      <c r="H2355" t="s">
        <v>10</v>
      </c>
      <c r="I2355" t="s">
        <v>11</v>
      </c>
    </row>
    <row r="2356" spans="1:9" hidden="1" x14ac:dyDescent="0.25">
      <c r="A2356" t="s">
        <v>8</v>
      </c>
      <c r="B2356" t="s">
        <v>161</v>
      </c>
      <c r="C2356">
        <v>201905</v>
      </c>
      <c r="D2356" t="str">
        <f t="shared" si="36"/>
        <v>2019</v>
      </c>
      <c r="E2356">
        <v>242</v>
      </c>
      <c r="F2356">
        <v>17070421</v>
      </c>
      <c r="G2356">
        <v>0</v>
      </c>
      <c r="H2356" t="s">
        <v>10</v>
      </c>
      <c r="I2356" t="s">
        <v>11</v>
      </c>
    </row>
    <row r="2357" spans="1:9" hidden="1" x14ac:dyDescent="0.25">
      <c r="A2357" t="s">
        <v>8</v>
      </c>
      <c r="B2357" t="s">
        <v>161</v>
      </c>
      <c r="C2357">
        <v>201906</v>
      </c>
      <c r="D2357" t="str">
        <f t="shared" si="36"/>
        <v>2019</v>
      </c>
      <c r="E2357">
        <v>351</v>
      </c>
      <c r="F2357">
        <v>17070421</v>
      </c>
      <c r="G2357">
        <v>0</v>
      </c>
      <c r="H2357" t="s">
        <v>10</v>
      </c>
      <c r="I2357" t="s">
        <v>11</v>
      </c>
    </row>
    <row r="2358" spans="1:9" hidden="1" x14ac:dyDescent="0.25">
      <c r="A2358" t="s">
        <v>8</v>
      </c>
      <c r="B2358" t="s">
        <v>161</v>
      </c>
      <c r="C2358">
        <v>201907</v>
      </c>
      <c r="D2358" t="str">
        <f t="shared" si="36"/>
        <v>2019</v>
      </c>
      <c r="E2358">
        <v>189</v>
      </c>
      <c r="F2358">
        <v>17070421</v>
      </c>
      <c r="G2358">
        <v>0</v>
      </c>
      <c r="H2358" t="s">
        <v>10</v>
      </c>
      <c r="I2358" t="s">
        <v>11</v>
      </c>
    </row>
    <row r="2359" spans="1:9" hidden="1" x14ac:dyDescent="0.25">
      <c r="A2359" t="s">
        <v>8</v>
      </c>
      <c r="B2359" t="s">
        <v>161</v>
      </c>
      <c r="C2359">
        <v>201908</v>
      </c>
      <c r="D2359" t="str">
        <f t="shared" si="36"/>
        <v>2019</v>
      </c>
      <c r="E2359">
        <v>94</v>
      </c>
      <c r="F2359">
        <v>17070421</v>
      </c>
      <c r="G2359">
        <v>0</v>
      </c>
      <c r="H2359" t="s">
        <v>10</v>
      </c>
      <c r="I2359" t="s">
        <v>11</v>
      </c>
    </row>
    <row r="2360" spans="1:9" hidden="1" x14ac:dyDescent="0.25">
      <c r="A2360" t="s">
        <v>8</v>
      </c>
      <c r="B2360" t="s">
        <v>161</v>
      </c>
      <c r="C2360">
        <v>201909</v>
      </c>
      <c r="D2360" t="str">
        <f t="shared" si="36"/>
        <v>2019</v>
      </c>
      <c r="E2360">
        <v>108</v>
      </c>
      <c r="F2360">
        <v>17070421</v>
      </c>
      <c r="G2360">
        <v>0</v>
      </c>
      <c r="H2360" t="s">
        <v>10</v>
      </c>
      <c r="I2360" t="s">
        <v>11</v>
      </c>
    </row>
    <row r="2361" spans="1:9" hidden="1" x14ac:dyDescent="0.25">
      <c r="A2361" t="s">
        <v>8</v>
      </c>
      <c r="B2361" t="s">
        <v>161</v>
      </c>
      <c r="C2361">
        <v>201910</v>
      </c>
      <c r="D2361" t="str">
        <f t="shared" si="36"/>
        <v>2019</v>
      </c>
      <c r="E2361">
        <v>144</v>
      </c>
      <c r="F2361">
        <v>17070421</v>
      </c>
      <c r="G2361">
        <v>0</v>
      </c>
      <c r="H2361" t="s">
        <v>10</v>
      </c>
      <c r="I2361" t="s">
        <v>11</v>
      </c>
    </row>
    <row r="2362" spans="1:9" hidden="1" x14ac:dyDescent="0.25">
      <c r="A2362" t="s">
        <v>8</v>
      </c>
      <c r="B2362" t="s">
        <v>161</v>
      </c>
      <c r="C2362">
        <v>201911</v>
      </c>
      <c r="D2362" t="str">
        <f t="shared" si="36"/>
        <v>2019</v>
      </c>
      <c r="E2362">
        <v>98</v>
      </c>
      <c r="F2362">
        <v>17070421</v>
      </c>
      <c r="G2362">
        <v>0</v>
      </c>
      <c r="H2362" t="s">
        <v>10</v>
      </c>
      <c r="I2362" t="s">
        <v>11</v>
      </c>
    </row>
    <row r="2363" spans="1:9" hidden="1" x14ac:dyDescent="0.25">
      <c r="A2363" t="s">
        <v>8</v>
      </c>
      <c r="B2363" t="s">
        <v>161</v>
      </c>
      <c r="C2363">
        <v>201912</v>
      </c>
      <c r="D2363" t="str">
        <f t="shared" si="36"/>
        <v>2019</v>
      </c>
      <c r="E2363">
        <v>14</v>
      </c>
      <c r="F2363">
        <v>17070421</v>
      </c>
      <c r="G2363">
        <v>0</v>
      </c>
      <c r="H2363" t="s">
        <v>10</v>
      </c>
      <c r="I2363" t="s">
        <v>11</v>
      </c>
    </row>
    <row r="2364" spans="1:9" hidden="1" x14ac:dyDescent="0.25">
      <c r="A2364" t="s">
        <v>8</v>
      </c>
      <c r="B2364" t="s">
        <v>161</v>
      </c>
      <c r="C2364">
        <v>202001</v>
      </c>
      <c r="D2364" t="str">
        <f t="shared" si="36"/>
        <v>2020</v>
      </c>
      <c r="E2364">
        <v>337</v>
      </c>
      <c r="F2364">
        <v>17070421</v>
      </c>
      <c r="G2364">
        <v>0</v>
      </c>
      <c r="H2364" t="s">
        <v>10</v>
      </c>
      <c r="I2364" t="s">
        <v>11</v>
      </c>
    </row>
    <row r="2365" spans="1:9" hidden="1" x14ac:dyDescent="0.25">
      <c r="A2365" t="s">
        <v>8</v>
      </c>
      <c r="B2365" t="s">
        <v>161</v>
      </c>
      <c r="C2365">
        <v>202002</v>
      </c>
      <c r="D2365" t="str">
        <f t="shared" si="36"/>
        <v>2020</v>
      </c>
      <c r="E2365">
        <v>224</v>
      </c>
      <c r="F2365">
        <v>17070421</v>
      </c>
      <c r="G2365">
        <v>0</v>
      </c>
      <c r="H2365" t="s">
        <v>10</v>
      </c>
      <c r="I2365" t="s">
        <v>11</v>
      </c>
    </row>
    <row r="2366" spans="1:9" hidden="1" x14ac:dyDescent="0.25">
      <c r="A2366" t="s">
        <v>8</v>
      </c>
      <c r="B2366" t="s">
        <v>161</v>
      </c>
      <c r="C2366">
        <v>202003</v>
      </c>
      <c r="D2366" t="str">
        <f t="shared" si="36"/>
        <v>2020</v>
      </c>
      <c r="E2366">
        <v>286</v>
      </c>
      <c r="F2366">
        <v>17070421</v>
      </c>
      <c r="G2366">
        <v>0</v>
      </c>
      <c r="H2366" t="s">
        <v>10</v>
      </c>
      <c r="I2366" t="s">
        <v>11</v>
      </c>
    </row>
    <row r="2367" spans="1:9" hidden="1" x14ac:dyDescent="0.25">
      <c r="A2367" t="s">
        <v>8</v>
      </c>
      <c r="B2367" t="s">
        <v>161</v>
      </c>
      <c r="C2367">
        <v>202004</v>
      </c>
      <c r="D2367" t="str">
        <f t="shared" si="36"/>
        <v>2020</v>
      </c>
      <c r="E2367">
        <v>150</v>
      </c>
      <c r="F2367">
        <v>17070421</v>
      </c>
      <c r="G2367">
        <v>0</v>
      </c>
      <c r="H2367" t="s">
        <v>10</v>
      </c>
      <c r="I2367" t="s">
        <v>11</v>
      </c>
    </row>
    <row r="2368" spans="1:9" hidden="1" x14ac:dyDescent="0.25">
      <c r="A2368" t="s">
        <v>8</v>
      </c>
      <c r="B2368" t="s">
        <v>161</v>
      </c>
      <c r="C2368">
        <v>202005</v>
      </c>
      <c r="D2368" t="str">
        <f t="shared" si="36"/>
        <v>2020</v>
      </c>
      <c r="E2368">
        <v>223</v>
      </c>
      <c r="F2368">
        <v>17070421</v>
      </c>
      <c r="G2368">
        <v>0</v>
      </c>
      <c r="H2368" t="s">
        <v>10</v>
      </c>
      <c r="I2368" t="s">
        <v>11</v>
      </c>
    </row>
    <row r="2369" spans="1:9" hidden="1" x14ac:dyDescent="0.25">
      <c r="A2369" t="s">
        <v>8</v>
      </c>
      <c r="B2369" t="s">
        <v>161</v>
      </c>
      <c r="C2369">
        <v>202006</v>
      </c>
      <c r="D2369" t="str">
        <f t="shared" si="36"/>
        <v>2020</v>
      </c>
      <c r="E2369">
        <v>183</v>
      </c>
      <c r="F2369">
        <v>17070421</v>
      </c>
      <c r="G2369">
        <v>0</v>
      </c>
      <c r="H2369" t="s">
        <v>10</v>
      </c>
      <c r="I2369" t="s">
        <v>11</v>
      </c>
    </row>
    <row r="2370" spans="1:9" hidden="1" x14ac:dyDescent="0.25">
      <c r="A2370" t="s">
        <v>8</v>
      </c>
      <c r="B2370" t="s">
        <v>161</v>
      </c>
      <c r="C2370">
        <v>202007</v>
      </c>
      <c r="D2370" t="str">
        <f t="shared" si="36"/>
        <v>2020</v>
      </c>
      <c r="E2370">
        <v>219</v>
      </c>
      <c r="F2370">
        <v>17070421</v>
      </c>
      <c r="G2370">
        <v>0</v>
      </c>
      <c r="H2370" t="s">
        <v>10</v>
      </c>
      <c r="I2370" t="s">
        <v>11</v>
      </c>
    </row>
    <row r="2371" spans="1:9" hidden="1" x14ac:dyDescent="0.25">
      <c r="A2371" t="s">
        <v>8</v>
      </c>
      <c r="B2371" t="s">
        <v>161</v>
      </c>
      <c r="C2371">
        <v>202008</v>
      </c>
      <c r="D2371" t="str">
        <f t="shared" ref="D2371:D2434" si="37">LEFT(C2371,4)</f>
        <v>2020</v>
      </c>
      <c r="E2371">
        <v>255</v>
      </c>
      <c r="F2371">
        <v>17070421</v>
      </c>
      <c r="G2371">
        <v>0</v>
      </c>
      <c r="H2371" t="s">
        <v>10</v>
      </c>
      <c r="I2371" t="s">
        <v>11</v>
      </c>
    </row>
    <row r="2372" spans="1:9" hidden="1" x14ac:dyDescent="0.25">
      <c r="A2372" t="s">
        <v>8</v>
      </c>
      <c r="B2372" t="s">
        <v>161</v>
      </c>
      <c r="C2372">
        <v>202009</v>
      </c>
      <c r="D2372" t="str">
        <f t="shared" si="37"/>
        <v>2020</v>
      </c>
      <c r="E2372">
        <v>177</v>
      </c>
      <c r="F2372">
        <v>17070421</v>
      </c>
      <c r="G2372">
        <v>0</v>
      </c>
      <c r="H2372" t="s">
        <v>10</v>
      </c>
      <c r="I2372" t="s">
        <v>11</v>
      </c>
    </row>
    <row r="2373" spans="1:9" hidden="1" x14ac:dyDescent="0.25">
      <c r="A2373" t="s">
        <v>8</v>
      </c>
      <c r="B2373" t="s">
        <v>161</v>
      </c>
      <c r="C2373">
        <v>202010</v>
      </c>
      <c r="D2373" t="str">
        <f t="shared" si="37"/>
        <v>2020</v>
      </c>
      <c r="E2373">
        <v>183</v>
      </c>
      <c r="F2373">
        <v>17070421</v>
      </c>
      <c r="G2373">
        <v>0</v>
      </c>
      <c r="H2373" t="s">
        <v>10</v>
      </c>
      <c r="I2373" t="s">
        <v>11</v>
      </c>
    </row>
    <row r="2374" spans="1:9" hidden="1" x14ac:dyDescent="0.25">
      <c r="A2374" t="s">
        <v>8</v>
      </c>
      <c r="B2374" t="s">
        <v>161</v>
      </c>
      <c r="C2374">
        <v>202011</v>
      </c>
      <c r="D2374" t="str">
        <f t="shared" si="37"/>
        <v>2020</v>
      </c>
      <c r="E2374">
        <v>200</v>
      </c>
      <c r="F2374">
        <v>17070421</v>
      </c>
      <c r="G2374">
        <v>0</v>
      </c>
      <c r="H2374" t="s">
        <v>10</v>
      </c>
      <c r="I2374" t="s">
        <v>11</v>
      </c>
    </row>
    <row r="2375" spans="1:9" hidden="1" x14ac:dyDescent="0.25">
      <c r="A2375" t="s">
        <v>8</v>
      </c>
      <c r="B2375" t="s">
        <v>161</v>
      </c>
      <c r="C2375">
        <v>202012</v>
      </c>
      <c r="D2375" t="str">
        <f t="shared" si="37"/>
        <v>2020</v>
      </c>
      <c r="E2375">
        <v>294</v>
      </c>
      <c r="F2375">
        <v>17070421</v>
      </c>
      <c r="G2375">
        <v>0</v>
      </c>
      <c r="H2375" t="s">
        <v>10</v>
      </c>
      <c r="I2375" t="s">
        <v>11</v>
      </c>
    </row>
    <row r="2376" spans="1:9" hidden="1" x14ac:dyDescent="0.25">
      <c r="A2376" t="s">
        <v>8</v>
      </c>
      <c r="B2376" t="s">
        <v>161</v>
      </c>
      <c r="C2376">
        <v>202101</v>
      </c>
      <c r="D2376" t="str">
        <f t="shared" si="37"/>
        <v>2021</v>
      </c>
      <c r="E2376">
        <v>3320</v>
      </c>
      <c r="F2376">
        <v>17070421</v>
      </c>
      <c r="G2376">
        <v>0.02</v>
      </c>
      <c r="H2376" t="s">
        <v>10</v>
      </c>
      <c r="I2376" t="s">
        <v>11</v>
      </c>
    </row>
    <row r="2377" spans="1:9" hidden="1" x14ac:dyDescent="0.25">
      <c r="A2377" t="s">
        <v>8</v>
      </c>
      <c r="B2377" t="s">
        <v>161</v>
      </c>
      <c r="C2377">
        <v>202102</v>
      </c>
      <c r="D2377" t="str">
        <f t="shared" si="37"/>
        <v>2021</v>
      </c>
      <c r="E2377">
        <v>3411</v>
      </c>
      <c r="F2377">
        <v>17070421</v>
      </c>
      <c r="G2377">
        <v>0.02</v>
      </c>
      <c r="H2377" t="s">
        <v>10</v>
      </c>
      <c r="I2377" t="s">
        <v>11</v>
      </c>
    </row>
    <row r="2378" spans="1:9" hidden="1" x14ac:dyDescent="0.25">
      <c r="A2378" t="s">
        <v>8</v>
      </c>
      <c r="B2378" t="s">
        <v>161</v>
      </c>
      <c r="C2378">
        <v>202103</v>
      </c>
      <c r="D2378" t="str">
        <f t="shared" si="37"/>
        <v>2021</v>
      </c>
      <c r="E2378">
        <v>3659</v>
      </c>
      <c r="F2378">
        <v>17070421</v>
      </c>
      <c r="G2378">
        <v>0.02</v>
      </c>
      <c r="H2378" t="s">
        <v>10</v>
      </c>
      <c r="I2378" t="s">
        <v>11</v>
      </c>
    </row>
    <row r="2379" spans="1:9" hidden="1" x14ac:dyDescent="0.25">
      <c r="A2379" t="s">
        <v>8</v>
      </c>
      <c r="B2379" t="s">
        <v>161</v>
      </c>
      <c r="C2379">
        <v>202104</v>
      </c>
      <c r="D2379" t="str">
        <f t="shared" si="37"/>
        <v>2021</v>
      </c>
      <c r="E2379">
        <v>3655</v>
      </c>
      <c r="F2379">
        <v>17070421</v>
      </c>
      <c r="G2379">
        <v>0.02</v>
      </c>
      <c r="H2379" t="s">
        <v>10</v>
      </c>
      <c r="I2379" t="s">
        <v>11</v>
      </c>
    </row>
    <row r="2380" spans="1:9" hidden="1" x14ac:dyDescent="0.25">
      <c r="A2380" t="s">
        <v>8</v>
      </c>
      <c r="B2380" t="s">
        <v>161</v>
      </c>
      <c r="C2380">
        <v>202105</v>
      </c>
      <c r="D2380" t="str">
        <f t="shared" si="37"/>
        <v>2021</v>
      </c>
      <c r="E2380">
        <v>3342</v>
      </c>
      <c r="F2380">
        <v>17070421</v>
      </c>
      <c r="G2380">
        <v>0.02</v>
      </c>
      <c r="H2380" t="s">
        <v>10</v>
      </c>
      <c r="I2380" t="s">
        <v>11</v>
      </c>
    </row>
    <row r="2381" spans="1:9" hidden="1" x14ac:dyDescent="0.25">
      <c r="A2381" t="s">
        <v>8</v>
      </c>
      <c r="B2381" t="s">
        <v>161</v>
      </c>
      <c r="C2381">
        <v>202106</v>
      </c>
      <c r="D2381" t="str">
        <f t="shared" si="37"/>
        <v>2021</v>
      </c>
      <c r="E2381">
        <v>4382</v>
      </c>
      <c r="F2381">
        <v>17070421</v>
      </c>
      <c r="G2381">
        <v>0.03</v>
      </c>
      <c r="H2381" t="s">
        <v>10</v>
      </c>
      <c r="I2381" t="s">
        <v>11</v>
      </c>
    </row>
    <row r="2382" spans="1:9" hidden="1" x14ac:dyDescent="0.25">
      <c r="A2382" t="s">
        <v>8</v>
      </c>
      <c r="B2382" t="s">
        <v>161</v>
      </c>
      <c r="C2382">
        <v>202107</v>
      </c>
      <c r="D2382" t="str">
        <f t="shared" si="37"/>
        <v>2021</v>
      </c>
      <c r="E2382">
        <v>12475</v>
      </c>
      <c r="F2382">
        <v>17070421</v>
      </c>
      <c r="G2382">
        <v>7.0000000000000007E-2</v>
      </c>
      <c r="H2382" t="s">
        <v>10</v>
      </c>
      <c r="I2382" t="s">
        <v>11</v>
      </c>
    </row>
    <row r="2383" spans="1:9" hidden="1" x14ac:dyDescent="0.25">
      <c r="A2383" t="s">
        <v>8</v>
      </c>
      <c r="B2383" t="s">
        <v>161</v>
      </c>
      <c r="C2383">
        <v>202108</v>
      </c>
      <c r="D2383" t="str">
        <f t="shared" si="37"/>
        <v>2021</v>
      </c>
      <c r="E2383">
        <v>13782</v>
      </c>
      <c r="F2383">
        <v>17070421</v>
      </c>
      <c r="G2383">
        <v>0.08</v>
      </c>
      <c r="H2383" t="s">
        <v>10</v>
      </c>
      <c r="I2383" t="s">
        <v>11</v>
      </c>
    </row>
    <row r="2384" spans="1:9" hidden="1" x14ac:dyDescent="0.25">
      <c r="A2384" t="s">
        <v>8</v>
      </c>
      <c r="B2384" t="s">
        <v>161</v>
      </c>
      <c r="C2384">
        <v>202109</v>
      </c>
      <c r="D2384" t="str">
        <f t="shared" si="37"/>
        <v>2021</v>
      </c>
      <c r="E2384">
        <v>14725</v>
      </c>
      <c r="F2384">
        <v>17070421</v>
      </c>
      <c r="G2384">
        <v>0.09</v>
      </c>
      <c r="H2384" t="s">
        <v>10</v>
      </c>
      <c r="I2384" t="s">
        <v>11</v>
      </c>
    </row>
    <row r="2385" spans="1:9" hidden="1" x14ac:dyDescent="0.25">
      <c r="A2385" t="s">
        <v>8</v>
      </c>
      <c r="B2385" t="s">
        <v>161</v>
      </c>
      <c r="C2385">
        <v>202110</v>
      </c>
      <c r="D2385" t="str">
        <f t="shared" si="37"/>
        <v>2021</v>
      </c>
      <c r="E2385">
        <v>13776</v>
      </c>
      <c r="F2385">
        <v>17070421</v>
      </c>
      <c r="G2385">
        <v>0.08</v>
      </c>
      <c r="H2385" t="s">
        <v>10</v>
      </c>
      <c r="I2385" t="s">
        <v>11</v>
      </c>
    </row>
    <row r="2386" spans="1:9" hidden="1" x14ac:dyDescent="0.25">
      <c r="A2386" t="s">
        <v>8</v>
      </c>
      <c r="B2386" t="s">
        <v>161</v>
      </c>
      <c r="C2386">
        <v>202111</v>
      </c>
      <c r="D2386" t="str">
        <f t="shared" si="37"/>
        <v>2021</v>
      </c>
      <c r="E2386">
        <v>14944</v>
      </c>
      <c r="F2386">
        <v>17070421</v>
      </c>
      <c r="G2386">
        <v>0.09</v>
      </c>
      <c r="H2386" t="s">
        <v>10</v>
      </c>
      <c r="I2386" t="s">
        <v>11</v>
      </c>
    </row>
    <row r="2387" spans="1:9" hidden="1" x14ac:dyDescent="0.25">
      <c r="A2387" t="s">
        <v>8</v>
      </c>
      <c r="B2387" t="s">
        <v>161</v>
      </c>
      <c r="C2387">
        <v>202112</v>
      </c>
      <c r="D2387" t="str">
        <f t="shared" si="37"/>
        <v>2021</v>
      </c>
      <c r="E2387">
        <v>15576</v>
      </c>
      <c r="F2387">
        <v>17070421</v>
      </c>
      <c r="G2387">
        <v>0.09</v>
      </c>
      <c r="H2387" t="s">
        <v>10</v>
      </c>
      <c r="I2387" t="s">
        <v>11</v>
      </c>
    </row>
    <row r="2388" spans="1:9" hidden="1" x14ac:dyDescent="0.25">
      <c r="A2388" t="s">
        <v>8</v>
      </c>
      <c r="B2388" t="s">
        <v>161</v>
      </c>
      <c r="C2388">
        <v>202201</v>
      </c>
      <c r="D2388" t="str">
        <f t="shared" si="37"/>
        <v>2022</v>
      </c>
      <c r="E2388">
        <v>29734</v>
      </c>
      <c r="F2388">
        <v>17070421</v>
      </c>
      <c r="G2388">
        <v>0.17</v>
      </c>
      <c r="H2388" t="s">
        <v>10</v>
      </c>
      <c r="I2388" t="s">
        <v>11</v>
      </c>
    </row>
    <row r="2389" spans="1:9" hidden="1" x14ac:dyDescent="0.25">
      <c r="A2389" t="s">
        <v>8</v>
      </c>
      <c r="B2389" t="s">
        <v>161</v>
      </c>
      <c r="C2389">
        <v>202202</v>
      </c>
      <c r="D2389" t="str">
        <f t="shared" si="37"/>
        <v>2022</v>
      </c>
      <c r="E2389">
        <v>24694</v>
      </c>
      <c r="F2389">
        <v>17070421</v>
      </c>
      <c r="G2389">
        <v>0.14000000000000001</v>
      </c>
      <c r="H2389" t="s">
        <v>10</v>
      </c>
      <c r="I2389" t="s">
        <v>11</v>
      </c>
    </row>
    <row r="2390" spans="1:9" hidden="1" x14ac:dyDescent="0.25">
      <c r="A2390" t="s">
        <v>8</v>
      </c>
      <c r="B2390" t="s">
        <v>161</v>
      </c>
      <c r="C2390">
        <v>202203</v>
      </c>
      <c r="D2390" t="str">
        <f t="shared" si="37"/>
        <v>2022</v>
      </c>
      <c r="E2390">
        <v>24694</v>
      </c>
      <c r="F2390">
        <v>17070421</v>
      </c>
      <c r="G2390">
        <v>0.14000000000000001</v>
      </c>
      <c r="H2390" t="s">
        <v>10</v>
      </c>
      <c r="I2390" t="s">
        <v>11</v>
      </c>
    </row>
    <row r="2391" spans="1:9" hidden="1" x14ac:dyDescent="0.25">
      <c r="A2391" t="s">
        <v>8</v>
      </c>
      <c r="B2391" t="s">
        <v>161</v>
      </c>
      <c r="C2391">
        <v>202204</v>
      </c>
      <c r="D2391" t="str">
        <f t="shared" si="37"/>
        <v>2022</v>
      </c>
      <c r="E2391">
        <v>23743</v>
      </c>
      <c r="F2391">
        <v>17070421</v>
      </c>
      <c r="G2391">
        <v>0.14000000000000001</v>
      </c>
      <c r="H2391" t="s">
        <v>10</v>
      </c>
      <c r="I2391" t="s">
        <v>11</v>
      </c>
    </row>
    <row r="2392" spans="1:9" hidden="1" x14ac:dyDescent="0.25">
      <c r="A2392" t="s">
        <v>8</v>
      </c>
      <c r="B2392" t="s">
        <v>161</v>
      </c>
      <c r="C2392">
        <v>202205</v>
      </c>
      <c r="D2392" t="str">
        <f t="shared" si="37"/>
        <v>2022</v>
      </c>
      <c r="E2392">
        <v>23252</v>
      </c>
      <c r="F2392">
        <v>17070421</v>
      </c>
      <c r="G2392">
        <v>0.14000000000000001</v>
      </c>
      <c r="H2392" t="s">
        <v>10</v>
      </c>
      <c r="I2392" t="s">
        <v>11</v>
      </c>
    </row>
    <row r="2393" spans="1:9" hidden="1" x14ac:dyDescent="0.25">
      <c r="A2393" t="s">
        <v>8</v>
      </c>
      <c r="B2393" t="s">
        <v>161</v>
      </c>
      <c r="C2393">
        <v>202206</v>
      </c>
      <c r="D2393" t="str">
        <f t="shared" si="37"/>
        <v>2022</v>
      </c>
      <c r="E2393">
        <v>25349</v>
      </c>
      <c r="F2393">
        <v>17070421</v>
      </c>
      <c r="G2393">
        <v>0.15</v>
      </c>
      <c r="H2393" t="s">
        <v>10</v>
      </c>
      <c r="I2393" t="s">
        <v>11</v>
      </c>
    </row>
    <row r="2394" spans="1:9" hidden="1" x14ac:dyDescent="0.25">
      <c r="A2394" t="s">
        <v>8</v>
      </c>
      <c r="B2394" t="s">
        <v>161</v>
      </c>
      <c r="C2394">
        <v>202207</v>
      </c>
      <c r="D2394" t="str">
        <f t="shared" si="37"/>
        <v>2022</v>
      </c>
      <c r="E2394">
        <v>28942</v>
      </c>
      <c r="F2394">
        <v>17070421</v>
      </c>
      <c r="G2394">
        <v>0.17</v>
      </c>
      <c r="H2394" t="s">
        <v>10</v>
      </c>
      <c r="I2394" t="s">
        <v>11</v>
      </c>
    </row>
    <row r="2395" spans="1:9" hidden="1" x14ac:dyDescent="0.25">
      <c r="A2395" t="s">
        <v>8</v>
      </c>
      <c r="B2395" t="s">
        <v>161</v>
      </c>
      <c r="C2395">
        <v>202208</v>
      </c>
      <c r="D2395" t="str">
        <f t="shared" si="37"/>
        <v>2022</v>
      </c>
      <c r="E2395">
        <v>32162</v>
      </c>
      <c r="F2395">
        <v>17070421</v>
      </c>
      <c r="G2395">
        <v>0.19</v>
      </c>
      <c r="H2395" t="s">
        <v>10</v>
      </c>
      <c r="I2395" t="s">
        <v>11</v>
      </c>
    </row>
    <row r="2396" spans="1:9" hidden="1" x14ac:dyDescent="0.25">
      <c r="A2396" t="s">
        <v>8</v>
      </c>
      <c r="B2396" t="s">
        <v>161</v>
      </c>
      <c r="C2396">
        <v>202209</v>
      </c>
      <c r="D2396" t="str">
        <f t="shared" si="37"/>
        <v>2022</v>
      </c>
      <c r="E2396">
        <v>29899</v>
      </c>
      <c r="F2396">
        <v>17070421</v>
      </c>
      <c r="G2396">
        <v>0.18</v>
      </c>
      <c r="H2396" t="s">
        <v>10</v>
      </c>
      <c r="I2396" t="s">
        <v>11</v>
      </c>
    </row>
    <row r="2397" spans="1:9" hidden="1" x14ac:dyDescent="0.25">
      <c r="A2397" t="s">
        <v>8</v>
      </c>
      <c r="B2397" t="s">
        <v>161</v>
      </c>
      <c r="C2397">
        <v>202210</v>
      </c>
      <c r="D2397" t="str">
        <f t="shared" si="37"/>
        <v>2022</v>
      </c>
      <c r="E2397">
        <v>30155</v>
      </c>
      <c r="F2397">
        <v>17070421</v>
      </c>
      <c r="G2397">
        <v>0.18</v>
      </c>
      <c r="H2397" t="s">
        <v>10</v>
      </c>
      <c r="I2397" t="s">
        <v>11</v>
      </c>
    </row>
    <row r="2398" spans="1:9" hidden="1" x14ac:dyDescent="0.25">
      <c r="A2398" t="s">
        <v>8</v>
      </c>
      <c r="B2398" t="s">
        <v>161</v>
      </c>
      <c r="C2398">
        <v>202211</v>
      </c>
      <c r="D2398" t="str">
        <f t="shared" si="37"/>
        <v>2022</v>
      </c>
      <c r="E2398">
        <v>30291</v>
      </c>
      <c r="F2398">
        <v>17070421</v>
      </c>
      <c r="G2398">
        <v>0.18</v>
      </c>
      <c r="H2398" t="s">
        <v>10</v>
      </c>
      <c r="I2398" t="s">
        <v>11</v>
      </c>
    </row>
    <row r="2399" spans="1:9" hidden="1" x14ac:dyDescent="0.25">
      <c r="A2399" t="s">
        <v>8</v>
      </c>
      <c r="B2399" t="s">
        <v>161</v>
      </c>
      <c r="C2399">
        <v>202212</v>
      </c>
      <c r="D2399" t="str">
        <f t="shared" si="37"/>
        <v>2022</v>
      </c>
      <c r="E2399">
        <v>35532</v>
      </c>
      <c r="F2399">
        <v>17070421</v>
      </c>
      <c r="G2399">
        <v>0.21</v>
      </c>
      <c r="H2399" t="s">
        <v>10</v>
      </c>
      <c r="I2399" t="s">
        <v>11</v>
      </c>
    </row>
    <row r="2400" spans="1:9" hidden="1" x14ac:dyDescent="0.25">
      <c r="A2400" t="s">
        <v>8</v>
      </c>
      <c r="B2400" t="s">
        <v>161</v>
      </c>
      <c r="C2400">
        <v>202301</v>
      </c>
      <c r="D2400" t="str">
        <f t="shared" si="37"/>
        <v>2023</v>
      </c>
      <c r="E2400">
        <v>140000</v>
      </c>
      <c r="F2400">
        <v>17070421</v>
      </c>
      <c r="G2400">
        <v>0.82</v>
      </c>
      <c r="H2400" t="s">
        <v>10</v>
      </c>
      <c r="I2400" t="s">
        <v>11</v>
      </c>
    </row>
    <row r="2401" spans="1:9" hidden="1" x14ac:dyDescent="0.25">
      <c r="A2401" t="s">
        <v>8</v>
      </c>
      <c r="B2401" t="s">
        <v>161</v>
      </c>
      <c r="C2401">
        <v>202302</v>
      </c>
      <c r="D2401" t="str">
        <f t="shared" si="37"/>
        <v>2023</v>
      </c>
      <c r="E2401">
        <v>137202</v>
      </c>
      <c r="F2401">
        <v>17070421</v>
      </c>
      <c r="G2401">
        <v>0.8</v>
      </c>
      <c r="H2401" t="s">
        <v>10</v>
      </c>
      <c r="I2401" t="s">
        <v>11</v>
      </c>
    </row>
    <row r="2402" spans="1:9" hidden="1" x14ac:dyDescent="0.25">
      <c r="A2402" t="s">
        <v>8</v>
      </c>
      <c r="B2402" t="s">
        <v>161</v>
      </c>
      <c r="C2402">
        <v>202303</v>
      </c>
      <c r="D2402" t="str">
        <f t="shared" si="37"/>
        <v>2023</v>
      </c>
      <c r="E2402">
        <v>151903</v>
      </c>
      <c r="F2402">
        <v>17070421</v>
      </c>
      <c r="G2402">
        <v>0.89</v>
      </c>
      <c r="H2402" t="s">
        <v>10</v>
      </c>
      <c r="I2402" t="s">
        <v>11</v>
      </c>
    </row>
    <row r="2403" spans="1:9" hidden="1" x14ac:dyDescent="0.25">
      <c r="A2403" t="s">
        <v>8</v>
      </c>
      <c r="B2403" t="s">
        <v>161</v>
      </c>
      <c r="C2403">
        <v>202304</v>
      </c>
      <c r="D2403" t="str">
        <f t="shared" si="37"/>
        <v>2023</v>
      </c>
      <c r="E2403">
        <v>151026</v>
      </c>
      <c r="F2403">
        <v>17070421</v>
      </c>
      <c r="G2403">
        <v>0.88</v>
      </c>
      <c r="H2403" t="s">
        <v>10</v>
      </c>
      <c r="I2403" t="s">
        <v>11</v>
      </c>
    </row>
    <row r="2404" spans="1:9" hidden="1" x14ac:dyDescent="0.25">
      <c r="A2404" t="s">
        <v>8</v>
      </c>
      <c r="B2404" t="s">
        <v>161</v>
      </c>
      <c r="C2404">
        <v>202305</v>
      </c>
      <c r="D2404" t="str">
        <f t="shared" si="37"/>
        <v>2023</v>
      </c>
      <c r="E2404">
        <v>232363</v>
      </c>
      <c r="F2404">
        <v>17070421</v>
      </c>
      <c r="G2404">
        <v>1.36</v>
      </c>
      <c r="H2404" t="s">
        <v>10</v>
      </c>
      <c r="I2404" t="s">
        <v>11</v>
      </c>
    </row>
    <row r="2405" spans="1:9" hidden="1" x14ac:dyDescent="0.25">
      <c r="A2405" t="s">
        <v>8</v>
      </c>
      <c r="B2405" t="s">
        <v>161</v>
      </c>
      <c r="C2405">
        <v>202306</v>
      </c>
      <c r="D2405" t="str">
        <f t="shared" si="37"/>
        <v>2023</v>
      </c>
      <c r="E2405">
        <v>240564</v>
      </c>
      <c r="F2405">
        <v>17070421</v>
      </c>
      <c r="G2405">
        <v>1.41</v>
      </c>
      <c r="H2405" t="s">
        <v>10</v>
      </c>
      <c r="I2405" t="s">
        <v>11</v>
      </c>
    </row>
    <row r="2406" spans="1:9" hidden="1" x14ac:dyDescent="0.25">
      <c r="A2406" t="s">
        <v>8</v>
      </c>
      <c r="B2406" t="s">
        <v>161</v>
      </c>
      <c r="C2406">
        <v>202307</v>
      </c>
      <c r="D2406" t="str">
        <f t="shared" si="37"/>
        <v>2023</v>
      </c>
      <c r="E2406">
        <v>223892</v>
      </c>
      <c r="F2406">
        <v>17070421</v>
      </c>
      <c r="G2406">
        <v>1.31</v>
      </c>
      <c r="H2406" t="s">
        <v>10</v>
      </c>
      <c r="I2406" t="s">
        <v>11</v>
      </c>
    </row>
    <row r="2407" spans="1:9" hidden="1" x14ac:dyDescent="0.25">
      <c r="A2407" t="s">
        <v>8</v>
      </c>
      <c r="B2407" t="s">
        <v>161</v>
      </c>
      <c r="C2407">
        <v>202308</v>
      </c>
      <c r="D2407" t="str">
        <f t="shared" si="37"/>
        <v>2023</v>
      </c>
      <c r="E2407">
        <v>256173</v>
      </c>
      <c r="F2407">
        <v>17070421</v>
      </c>
      <c r="G2407">
        <v>1.5</v>
      </c>
      <c r="H2407" t="s">
        <v>10</v>
      </c>
      <c r="I2407" t="s">
        <v>11</v>
      </c>
    </row>
    <row r="2408" spans="1:9" hidden="1" x14ac:dyDescent="0.25">
      <c r="A2408" t="s">
        <v>8</v>
      </c>
      <c r="B2408" t="s">
        <v>161</v>
      </c>
      <c r="C2408">
        <v>202309</v>
      </c>
      <c r="D2408" t="str">
        <f t="shared" si="37"/>
        <v>2023</v>
      </c>
      <c r="E2408">
        <v>241061</v>
      </c>
      <c r="F2408">
        <v>17070421</v>
      </c>
      <c r="G2408">
        <v>1.41</v>
      </c>
      <c r="H2408" t="s">
        <v>10</v>
      </c>
      <c r="I2408" t="s">
        <v>11</v>
      </c>
    </row>
    <row r="2409" spans="1:9" hidden="1" x14ac:dyDescent="0.25">
      <c r="A2409" t="s">
        <v>8</v>
      </c>
      <c r="B2409" t="s">
        <v>161</v>
      </c>
      <c r="C2409">
        <v>202310</v>
      </c>
      <c r="D2409" t="str">
        <f t="shared" si="37"/>
        <v>2023</v>
      </c>
      <c r="E2409">
        <v>262275</v>
      </c>
      <c r="F2409">
        <v>17070421</v>
      </c>
      <c r="G2409">
        <v>1.54</v>
      </c>
      <c r="H2409" t="s">
        <v>10</v>
      </c>
      <c r="I2409" t="s">
        <v>11</v>
      </c>
    </row>
    <row r="2410" spans="1:9" hidden="1" x14ac:dyDescent="0.25">
      <c r="A2410" t="s">
        <v>8</v>
      </c>
      <c r="B2410" t="s">
        <v>161</v>
      </c>
      <c r="C2410">
        <v>202311</v>
      </c>
      <c r="D2410" t="str">
        <f t="shared" si="37"/>
        <v>2023</v>
      </c>
      <c r="E2410">
        <v>247101</v>
      </c>
      <c r="F2410">
        <v>17070421</v>
      </c>
      <c r="G2410">
        <v>1.45</v>
      </c>
      <c r="H2410" t="s">
        <v>10</v>
      </c>
      <c r="I2410" t="s">
        <v>11</v>
      </c>
    </row>
    <row r="2411" spans="1:9" hidden="1" x14ac:dyDescent="0.25">
      <c r="A2411" t="s">
        <v>8</v>
      </c>
      <c r="B2411" t="s">
        <v>161</v>
      </c>
      <c r="C2411">
        <v>202312</v>
      </c>
      <c r="D2411" t="str">
        <f t="shared" si="37"/>
        <v>2023</v>
      </c>
      <c r="E2411">
        <v>233185</v>
      </c>
      <c r="F2411">
        <v>17070421</v>
      </c>
      <c r="G2411">
        <v>1.37</v>
      </c>
      <c r="H2411" t="s">
        <v>10</v>
      </c>
      <c r="I2411" t="s">
        <v>11</v>
      </c>
    </row>
    <row r="2412" spans="1:9" hidden="1" x14ac:dyDescent="0.25">
      <c r="A2412" t="s">
        <v>8</v>
      </c>
      <c r="B2412" t="s">
        <v>161</v>
      </c>
      <c r="C2412">
        <v>202401</v>
      </c>
      <c r="D2412" t="str">
        <f t="shared" si="37"/>
        <v>2024</v>
      </c>
      <c r="E2412">
        <v>529312</v>
      </c>
      <c r="F2412">
        <v>17070421</v>
      </c>
      <c r="G2412">
        <v>3.1</v>
      </c>
      <c r="H2412" t="s">
        <v>10</v>
      </c>
      <c r="I2412" t="s">
        <v>11</v>
      </c>
    </row>
    <row r="2413" spans="1:9" hidden="1" x14ac:dyDescent="0.25">
      <c r="A2413" t="s">
        <v>8</v>
      </c>
      <c r="B2413" t="s">
        <v>161</v>
      </c>
      <c r="C2413">
        <v>202402</v>
      </c>
      <c r="D2413" t="str">
        <f t="shared" si="37"/>
        <v>2024</v>
      </c>
      <c r="E2413">
        <v>577480</v>
      </c>
      <c r="F2413">
        <v>17070421</v>
      </c>
      <c r="G2413">
        <v>3.38</v>
      </c>
      <c r="H2413" t="s">
        <v>10</v>
      </c>
      <c r="I2413" t="s">
        <v>11</v>
      </c>
    </row>
    <row r="2414" spans="1:9" hidden="1" x14ac:dyDescent="0.25">
      <c r="A2414" t="s">
        <v>8</v>
      </c>
      <c r="B2414" t="s">
        <v>161</v>
      </c>
      <c r="C2414">
        <v>202403</v>
      </c>
      <c r="D2414" t="str">
        <f t="shared" si="37"/>
        <v>2024</v>
      </c>
      <c r="E2414">
        <v>603946</v>
      </c>
      <c r="F2414">
        <v>17070421</v>
      </c>
      <c r="G2414">
        <v>3.54</v>
      </c>
      <c r="H2414" t="s">
        <v>10</v>
      </c>
      <c r="I2414" t="s">
        <v>11</v>
      </c>
    </row>
    <row r="2415" spans="1:9" hidden="1" x14ac:dyDescent="0.25">
      <c r="A2415" t="s">
        <v>8</v>
      </c>
      <c r="B2415" t="s">
        <v>161</v>
      </c>
      <c r="C2415">
        <v>202404</v>
      </c>
      <c r="D2415" t="str">
        <f t="shared" si="37"/>
        <v>2024</v>
      </c>
      <c r="E2415">
        <v>628758</v>
      </c>
      <c r="F2415">
        <v>17070421</v>
      </c>
      <c r="G2415">
        <v>3.68</v>
      </c>
      <c r="H2415" t="s">
        <v>10</v>
      </c>
      <c r="I2415" t="s">
        <v>11</v>
      </c>
    </row>
    <row r="2416" spans="1:9" hidden="1" x14ac:dyDescent="0.25">
      <c r="A2416" t="s">
        <v>8</v>
      </c>
      <c r="B2416" t="s">
        <v>161</v>
      </c>
      <c r="C2416">
        <v>202405</v>
      </c>
      <c r="D2416" t="str">
        <f t="shared" si="37"/>
        <v>2024</v>
      </c>
      <c r="E2416">
        <v>607263</v>
      </c>
      <c r="F2416">
        <v>17070421</v>
      </c>
      <c r="G2416">
        <v>3.56</v>
      </c>
      <c r="H2416" t="s">
        <v>10</v>
      </c>
      <c r="I2416" t="s">
        <v>11</v>
      </c>
    </row>
    <row r="2417" spans="1:9" hidden="1" x14ac:dyDescent="0.25">
      <c r="A2417" t="s">
        <v>8</v>
      </c>
      <c r="B2417" t="s">
        <v>161</v>
      </c>
      <c r="C2417">
        <v>202406</v>
      </c>
      <c r="D2417" t="str">
        <f t="shared" si="37"/>
        <v>2024</v>
      </c>
      <c r="E2417">
        <v>576571</v>
      </c>
      <c r="F2417">
        <v>17070421</v>
      </c>
      <c r="G2417">
        <v>3.38</v>
      </c>
      <c r="H2417" t="s">
        <v>10</v>
      </c>
      <c r="I2417" t="s">
        <v>11</v>
      </c>
    </row>
    <row r="2418" spans="1:9" hidden="1" x14ac:dyDescent="0.25">
      <c r="A2418" t="s">
        <v>8</v>
      </c>
      <c r="B2418" t="s">
        <v>161</v>
      </c>
      <c r="C2418">
        <v>202407</v>
      </c>
      <c r="D2418" t="str">
        <f t="shared" si="37"/>
        <v>2024</v>
      </c>
      <c r="E2418">
        <v>591831</v>
      </c>
      <c r="F2418">
        <v>17070421</v>
      </c>
      <c r="G2418">
        <v>3.47</v>
      </c>
      <c r="H2418" t="s">
        <v>10</v>
      </c>
      <c r="I2418" t="s">
        <v>11</v>
      </c>
    </row>
    <row r="2419" spans="1:9" hidden="1" x14ac:dyDescent="0.25">
      <c r="A2419" t="s">
        <v>8</v>
      </c>
      <c r="B2419" t="s">
        <v>161</v>
      </c>
      <c r="C2419">
        <v>202408</v>
      </c>
      <c r="D2419" t="str">
        <f t="shared" si="37"/>
        <v>2024</v>
      </c>
      <c r="E2419">
        <v>601476</v>
      </c>
      <c r="F2419">
        <v>17070421</v>
      </c>
      <c r="G2419">
        <v>3.52</v>
      </c>
      <c r="H2419" t="s">
        <v>10</v>
      </c>
      <c r="I2419" t="s">
        <v>11</v>
      </c>
    </row>
    <row r="2420" spans="1:9" hidden="1" x14ac:dyDescent="0.25">
      <c r="A2420" t="s">
        <v>8</v>
      </c>
      <c r="B2420" t="s">
        <v>161</v>
      </c>
      <c r="C2420">
        <v>202409</v>
      </c>
      <c r="D2420" t="str">
        <f t="shared" si="37"/>
        <v>2024</v>
      </c>
      <c r="E2420">
        <v>628452</v>
      </c>
      <c r="F2420">
        <v>17070421</v>
      </c>
      <c r="G2420">
        <v>3.68</v>
      </c>
      <c r="H2420" t="s">
        <v>10</v>
      </c>
      <c r="I2420" t="s">
        <v>11</v>
      </c>
    </row>
    <row r="2421" spans="1:9" hidden="1" x14ac:dyDescent="0.25">
      <c r="A2421" t="s">
        <v>8</v>
      </c>
      <c r="B2421" t="s">
        <v>161</v>
      </c>
      <c r="C2421">
        <v>202410</v>
      </c>
      <c r="D2421" t="str">
        <f t="shared" si="37"/>
        <v>2024</v>
      </c>
      <c r="E2421">
        <v>718980</v>
      </c>
      <c r="F2421">
        <v>17070421</v>
      </c>
      <c r="G2421">
        <v>4.21</v>
      </c>
      <c r="H2421" t="s">
        <v>10</v>
      </c>
      <c r="I2421" t="s">
        <v>11</v>
      </c>
    </row>
    <row r="2422" spans="1:9" hidden="1" x14ac:dyDescent="0.25">
      <c r="A2422" t="s">
        <v>8</v>
      </c>
      <c r="B2422" t="s">
        <v>161</v>
      </c>
      <c r="C2422">
        <v>202411</v>
      </c>
      <c r="D2422" t="str">
        <f t="shared" si="37"/>
        <v>2024</v>
      </c>
      <c r="E2422">
        <v>637549</v>
      </c>
      <c r="F2422">
        <v>17070421</v>
      </c>
      <c r="G2422">
        <v>3.73</v>
      </c>
      <c r="H2422" t="s">
        <v>10</v>
      </c>
      <c r="I2422" t="s">
        <v>11</v>
      </c>
    </row>
    <row r="2423" spans="1:9" hidden="1" x14ac:dyDescent="0.25">
      <c r="A2423" t="s">
        <v>8</v>
      </c>
      <c r="B2423" t="s">
        <v>161</v>
      </c>
      <c r="C2423">
        <v>202412</v>
      </c>
      <c r="D2423" t="str">
        <f t="shared" si="37"/>
        <v>2024</v>
      </c>
      <c r="E2423">
        <v>676707</v>
      </c>
      <c r="F2423">
        <v>17070421</v>
      </c>
      <c r="G2423">
        <v>3.96</v>
      </c>
      <c r="H2423" t="s">
        <v>10</v>
      </c>
      <c r="I2423" t="s">
        <v>11</v>
      </c>
    </row>
    <row r="2424" spans="1:9" x14ac:dyDescent="0.25">
      <c r="A2424" t="s">
        <v>8</v>
      </c>
      <c r="B2424" t="s">
        <v>161</v>
      </c>
      <c r="C2424">
        <v>202501</v>
      </c>
      <c r="D2424" t="str">
        <f t="shared" si="37"/>
        <v>2025</v>
      </c>
      <c r="E2424">
        <v>602119</v>
      </c>
      <c r="F2424">
        <v>17070421</v>
      </c>
      <c r="G2424">
        <v>3.53</v>
      </c>
      <c r="H2424" t="s">
        <v>10</v>
      </c>
      <c r="I2424" t="s">
        <v>11</v>
      </c>
    </row>
    <row r="2425" spans="1:9" x14ac:dyDescent="0.25">
      <c r="A2425" t="s">
        <v>8</v>
      </c>
      <c r="B2425" t="s">
        <v>161</v>
      </c>
      <c r="C2425">
        <v>202502</v>
      </c>
      <c r="D2425" t="str">
        <f t="shared" si="37"/>
        <v>2025</v>
      </c>
      <c r="E2425">
        <v>544450</v>
      </c>
      <c r="F2425">
        <v>17070421</v>
      </c>
      <c r="G2425">
        <v>3.19</v>
      </c>
      <c r="H2425" t="s">
        <v>10</v>
      </c>
      <c r="I2425" t="s">
        <v>11</v>
      </c>
    </row>
    <row r="2426" spans="1:9" x14ac:dyDescent="0.25">
      <c r="A2426" t="s">
        <v>8</v>
      </c>
      <c r="B2426" t="s">
        <v>161</v>
      </c>
      <c r="C2426">
        <v>202503</v>
      </c>
      <c r="D2426" t="str">
        <f t="shared" si="37"/>
        <v>2025</v>
      </c>
      <c r="E2426">
        <v>634121</v>
      </c>
      <c r="F2426">
        <v>17070421</v>
      </c>
      <c r="G2426">
        <v>3.71</v>
      </c>
      <c r="H2426" t="s">
        <v>10</v>
      </c>
      <c r="I2426" t="s">
        <v>11</v>
      </c>
    </row>
    <row r="2427" spans="1:9" x14ac:dyDescent="0.25">
      <c r="A2427" t="s">
        <v>8</v>
      </c>
      <c r="B2427" t="s">
        <v>161</v>
      </c>
      <c r="C2427">
        <v>202504</v>
      </c>
      <c r="D2427" t="str">
        <f t="shared" si="37"/>
        <v>2025</v>
      </c>
      <c r="E2427">
        <v>579410</v>
      </c>
      <c r="F2427">
        <v>17070421</v>
      </c>
      <c r="G2427">
        <v>3.39</v>
      </c>
      <c r="H2427" t="s">
        <v>10</v>
      </c>
      <c r="I2427" t="s">
        <v>11</v>
      </c>
    </row>
    <row r="2428" spans="1:9" x14ac:dyDescent="0.25">
      <c r="A2428" t="s">
        <v>8</v>
      </c>
      <c r="B2428" t="s">
        <v>161</v>
      </c>
      <c r="C2428">
        <v>202505</v>
      </c>
      <c r="D2428" t="str">
        <f t="shared" si="37"/>
        <v>2025</v>
      </c>
      <c r="E2428">
        <v>510896</v>
      </c>
      <c r="F2428">
        <v>17070421</v>
      </c>
      <c r="G2428">
        <v>2.99</v>
      </c>
      <c r="H2428" t="s">
        <v>10</v>
      </c>
      <c r="I2428" t="s">
        <v>11</v>
      </c>
    </row>
    <row r="2429" spans="1:9" x14ac:dyDescent="0.25">
      <c r="A2429" t="s">
        <v>8</v>
      </c>
      <c r="B2429" t="s">
        <v>161</v>
      </c>
      <c r="C2429">
        <v>202506</v>
      </c>
      <c r="D2429" t="str">
        <f t="shared" si="37"/>
        <v>2025</v>
      </c>
      <c r="E2429">
        <v>530273</v>
      </c>
      <c r="F2429">
        <v>17070421</v>
      </c>
      <c r="G2429">
        <v>3.11</v>
      </c>
      <c r="H2429" t="s">
        <v>10</v>
      </c>
      <c r="I2429" t="s">
        <v>11</v>
      </c>
    </row>
    <row r="2430" spans="1:9" x14ac:dyDescent="0.25">
      <c r="A2430" t="s">
        <v>8</v>
      </c>
      <c r="B2430" t="s">
        <v>161</v>
      </c>
      <c r="C2430">
        <v>202507</v>
      </c>
      <c r="D2430" t="str">
        <f t="shared" si="37"/>
        <v>2025</v>
      </c>
      <c r="E2430">
        <v>485233</v>
      </c>
      <c r="F2430">
        <v>17070421</v>
      </c>
      <c r="G2430">
        <v>2.84</v>
      </c>
      <c r="H2430" t="s">
        <v>10</v>
      </c>
      <c r="I2430" t="s">
        <v>11</v>
      </c>
    </row>
    <row r="2431" spans="1:9" x14ac:dyDescent="0.25">
      <c r="A2431" t="s">
        <v>8</v>
      </c>
      <c r="B2431" t="s">
        <v>161</v>
      </c>
      <c r="C2431">
        <v>202508</v>
      </c>
      <c r="D2431" t="str">
        <f t="shared" si="37"/>
        <v>2025</v>
      </c>
      <c r="E2431">
        <v>450790</v>
      </c>
      <c r="F2431">
        <v>17070421</v>
      </c>
      <c r="G2431">
        <v>2.64</v>
      </c>
      <c r="H2431" t="s">
        <v>10</v>
      </c>
      <c r="I2431" t="s">
        <v>11</v>
      </c>
    </row>
    <row r="2432" spans="1:9" x14ac:dyDescent="0.25">
      <c r="A2432" t="s">
        <v>8</v>
      </c>
      <c r="B2432" t="s">
        <v>161</v>
      </c>
      <c r="C2432">
        <v>202509</v>
      </c>
      <c r="D2432" t="str">
        <f t="shared" si="37"/>
        <v>2025</v>
      </c>
      <c r="E2432">
        <v>473614</v>
      </c>
      <c r="F2432">
        <v>17070421</v>
      </c>
      <c r="G2432">
        <v>2.77</v>
      </c>
      <c r="H2432" t="s">
        <v>10</v>
      </c>
      <c r="I2432" t="s">
        <v>11</v>
      </c>
    </row>
    <row r="2433" spans="1:9" x14ac:dyDescent="0.25">
      <c r="A2433" t="s">
        <v>8</v>
      </c>
      <c r="B2433" t="s">
        <v>161</v>
      </c>
      <c r="C2433">
        <v>202510</v>
      </c>
      <c r="D2433" t="str">
        <f t="shared" si="37"/>
        <v>2025</v>
      </c>
      <c r="E2433">
        <v>493740</v>
      </c>
      <c r="F2433">
        <v>17070421</v>
      </c>
      <c r="G2433">
        <v>2.89</v>
      </c>
      <c r="H2433" t="s">
        <v>10</v>
      </c>
      <c r="I2433" t="s">
        <v>11</v>
      </c>
    </row>
    <row r="2434" spans="1:9" x14ac:dyDescent="0.25">
      <c r="A2434" t="s">
        <v>8</v>
      </c>
      <c r="B2434" t="s">
        <v>161</v>
      </c>
      <c r="C2434">
        <v>202511</v>
      </c>
      <c r="D2434" t="str">
        <f t="shared" si="37"/>
        <v>2025</v>
      </c>
      <c r="E2434">
        <v>435445</v>
      </c>
      <c r="F2434">
        <v>17070421</v>
      </c>
      <c r="G2434">
        <v>2.5499999999999998</v>
      </c>
      <c r="H2434" t="s">
        <v>10</v>
      </c>
      <c r="I2434" t="s">
        <v>11</v>
      </c>
    </row>
    <row r="2435" spans="1:9" x14ac:dyDescent="0.25">
      <c r="A2435" t="s">
        <v>8</v>
      </c>
      <c r="B2435" t="s">
        <v>161</v>
      </c>
      <c r="C2435">
        <v>202512</v>
      </c>
      <c r="D2435" t="str">
        <f t="shared" ref="D2435:D2498" si="38">LEFT(C2435,4)</f>
        <v>2025</v>
      </c>
      <c r="E2435">
        <v>413370</v>
      </c>
      <c r="F2435">
        <v>17070421</v>
      </c>
      <c r="G2435">
        <v>2.42</v>
      </c>
      <c r="H2435" t="s">
        <v>10</v>
      </c>
      <c r="I2435" t="s">
        <v>11</v>
      </c>
    </row>
    <row r="2436" spans="1:9" x14ac:dyDescent="0.25">
      <c r="A2436" t="s">
        <v>8</v>
      </c>
      <c r="B2436" t="s">
        <v>161</v>
      </c>
      <c r="C2436">
        <v>202601</v>
      </c>
      <c r="D2436" t="str">
        <f t="shared" si="38"/>
        <v>2026</v>
      </c>
      <c r="E2436">
        <v>283147</v>
      </c>
      <c r="F2436">
        <v>17070421</v>
      </c>
      <c r="G2436">
        <v>1.66</v>
      </c>
      <c r="H2436" t="s">
        <v>10</v>
      </c>
      <c r="I2436" t="s">
        <v>11</v>
      </c>
    </row>
    <row r="2437" spans="1:9" x14ac:dyDescent="0.25">
      <c r="A2437" t="s">
        <v>8</v>
      </c>
      <c r="B2437" t="s">
        <v>161</v>
      </c>
      <c r="C2437">
        <v>202602</v>
      </c>
      <c r="D2437" t="str">
        <f t="shared" si="38"/>
        <v>2026</v>
      </c>
      <c r="E2437">
        <v>258102</v>
      </c>
      <c r="F2437">
        <v>17070421</v>
      </c>
      <c r="G2437">
        <v>1.51</v>
      </c>
      <c r="H2437" t="s">
        <v>10</v>
      </c>
      <c r="I2437" t="s">
        <v>11</v>
      </c>
    </row>
    <row r="2438" spans="1:9" x14ac:dyDescent="0.25">
      <c r="A2438" t="s">
        <v>8</v>
      </c>
      <c r="B2438" t="s">
        <v>161</v>
      </c>
      <c r="C2438">
        <v>202603</v>
      </c>
      <c r="D2438" t="str">
        <f t="shared" si="38"/>
        <v>2026</v>
      </c>
      <c r="E2438">
        <v>30610</v>
      </c>
      <c r="F2438">
        <v>17070421</v>
      </c>
      <c r="G2438">
        <v>0.18</v>
      </c>
      <c r="H2438" t="s">
        <v>10</v>
      </c>
      <c r="I2438" t="s">
        <v>11</v>
      </c>
    </row>
    <row r="2439" spans="1:9" hidden="1" x14ac:dyDescent="0.25">
      <c r="A2439" t="s">
        <v>8</v>
      </c>
      <c r="B2439" t="s">
        <v>58</v>
      </c>
      <c r="C2439">
        <v>201810</v>
      </c>
      <c r="D2439" t="str">
        <f t="shared" si="38"/>
        <v>2018</v>
      </c>
      <c r="E2439">
        <v>4</v>
      </c>
      <c r="F2439">
        <v>17369246</v>
      </c>
      <c r="G2439">
        <v>0</v>
      </c>
      <c r="H2439" t="s">
        <v>10</v>
      </c>
      <c r="I2439" t="s">
        <v>11</v>
      </c>
    </row>
    <row r="2440" spans="1:9" hidden="1" x14ac:dyDescent="0.25">
      <c r="A2440" t="s">
        <v>8</v>
      </c>
      <c r="B2440" t="s">
        <v>58</v>
      </c>
      <c r="C2440">
        <v>201901</v>
      </c>
      <c r="D2440" t="str">
        <f t="shared" si="38"/>
        <v>2019</v>
      </c>
      <c r="E2440">
        <v>127</v>
      </c>
      <c r="F2440">
        <v>17369246</v>
      </c>
      <c r="G2440">
        <v>0</v>
      </c>
      <c r="H2440" t="s">
        <v>10</v>
      </c>
      <c r="I2440" t="s">
        <v>11</v>
      </c>
    </row>
    <row r="2441" spans="1:9" hidden="1" x14ac:dyDescent="0.25">
      <c r="A2441" t="s">
        <v>8</v>
      </c>
      <c r="B2441" t="s">
        <v>58</v>
      </c>
      <c r="C2441">
        <v>201902</v>
      </c>
      <c r="D2441" t="str">
        <f t="shared" si="38"/>
        <v>2019</v>
      </c>
      <c r="E2441">
        <v>106</v>
      </c>
      <c r="F2441">
        <v>17369246</v>
      </c>
      <c r="G2441">
        <v>0</v>
      </c>
      <c r="H2441" t="s">
        <v>10</v>
      </c>
      <c r="I2441" t="s">
        <v>11</v>
      </c>
    </row>
    <row r="2442" spans="1:9" hidden="1" x14ac:dyDescent="0.25">
      <c r="A2442" t="s">
        <v>8</v>
      </c>
      <c r="B2442" t="s">
        <v>58</v>
      </c>
      <c r="C2442">
        <v>201903</v>
      </c>
      <c r="D2442" t="str">
        <f t="shared" si="38"/>
        <v>2019</v>
      </c>
      <c r="E2442">
        <v>170</v>
      </c>
      <c r="F2442">
        <v>17369246</v>
      </c>
      <c r="G2442">
        <v>0</v>
      </c>
      <c r="H2442" t="s">
        <v>10</v>
      </c>
      <c r="I2442" t="s">
        <v>11</v>
      </c>
    </row>
    <row r="2443" spans="1:9" hidden="1" x14ac:dyDescent="0.25">
      <c r="A2443" t="s">
        <v>8</v>
      </c>
      <c r="B2443" t="s">
        <v>58</v>
      </c>
      <c r="C2443">
        <v>201904</v>
      </c>
      <c r="D2443" t="str">
        <f t="shared" si="38"/>
        <v>2019</v>
      </c>
      <c r="E2443">
        <v>174</v>
      </c>
      <c r="F2443">
        <v>17369246</v>
      </c>
      <c r="G2443">
        <v>0</v>
      </c>
      <c r="H2443" t="s">
        <v>10</v>
      </c>
      <c r="I2443" t="s">
        <v>11</v>
      </c>
    </row>
    <row r="2444" spans="1:9" hidden="1" x14ac:dyDescent="0.25">
      <c r="A2444" t="s">
        <v>8</v>
      </c>
      <c r="B2444" t="s">
        <v>58</v>
      </c>
      <c r="C2444">
        <v>201905</v>
      </c>
      <c r="D2444" t="str">
        <f t="shared" si="38"/>
        <v>2019</v>
      </c>
      <c r="E2444">
        <v>242</v>
      </c>
      <c r="F2444">
        <v>17369246</v>
      </c>
      <c r="G2444">
        <v>0</v>
      </c>
      <c r="H2444" t="s">
        <v>10</v>
      </c>
      <c r="I2444" t="s">
        <v>11</v>
      </c>
    </row>
    <row r="2445" spans="1:9" hidden="1" x14ac:dyDescent="0.25">
      <c r="A2445" t="s">
        <v>8</v>
      </c>
      <c r="B2445" t="s">
        <v>58</v>
      </c>
      <c r="C2445">
        <v>201906</v>
      </c>
      <c r="D2445" t="str">
        <f t="shared" si="38"/>
        <v>2019</v>
      </c>
      <c r="E2445">
        <v>351</v>
      </c>
      <c r="F2445">
        <v>17369246</v>
      </c>
      <c r="G2445">
        <v>0</v>
      </c>
      <c r="H2445" t="s">
        <v>10</v>
      </c>
      <c r="I2445" t="s">
        <v>11</v>
      </c>
    </row>
    <row r="2446" spans="1:9" hidden="1" x14ac:dyDescent="0.25">
      <c r="A2446" t="s">
        <v>8</v>
      </c>
      <c r="B2446" t="s">
        <v>58</v>
      </c>
      <c r="C2446">
        <v>201907</v>
      </c>
      <c r="D2446" t="str">
        <f t="shared" si="38"/>
        <v>2019</v>
      </c>
      <c r="E2446">
        <v>189</v>
      </c>
      <c r="F2446">
        <v>17369246</v>
      </c>
      <c r="G2446">
        <v>0</v>
      </c>
      <c r="H2446" t="s">
        <v>10</v>
      </c>
      <c r="I2446" t="s">
        <v>11</v>
      </c>
    </row>
    <row r="2447" spans="1:9" hidden="1" x14ac:dyDescent="0.25">
      <c r="A2447" t="s">
        <v>8</v>
      </c>
      <c r="B2447" t="s">
        <v>58</v>
      </c>
      <c r="C2447">
        <v>201908</v>
      </c>
      <c r="D2447" t="str">
        <f t="shared" si="38"/>
        <v>2019</v>
      </c>
      <c r="E2447">
        <v>94</v>
      </c>
      <c r="F2447">
        <v>17369246</v>
      </c>
      <c r="G2447">
        <v>0</v>
      </c>
      <c r="H2447" t="s">
        <v>10</v>
      </c>
      <c r="I2447" t="s">
        <v>11</v>
      </c>
    </row>
    <row r="2448" spans="1:9" hidden="1" x14ac:dyDescent="0.25">
      <c r="A2448" t="s">
        <v>8</v>
      </c>
      <c r="B2448" t="s">
        <v>58</v>
      </c>
      <c r="C2448">
        <v>201909</v>
      </c>
      <c r="D2448" t="str">
        <f t="shared" si="38"/>
        <v>2019</v>
      </c>
      <c r="E2448">
        <v>108</v>
      </c>
      <c r="F2448">
        <v>17369246</v>
      </c>
      <c r="G2448">
        <v>0</v>
      </c>
      <c r="H2448" t="s">
        <v>10</v>
      </c>
      <c r="I2448" t="s">
        <v>11</v>
      </c>
    </row>
    <row r="2449" spans="1:9" hidden="1" x14ac:dyDescent="0.25">
      <c r="A2449" t="s">
        <v>8</v>
      </c>
      <c r="B2449" t="s">
        <v>58</v>
      </c>
      <c r="C2449">
        <v>201910</v>
      </c>
      <c r="D2449" t="str">
        <f t="shared" si="38"/>
        <v>2019</v>
      </c>
      <c r="E2449">
        <v>143</v>
      </c>
      <c r="F2449">
        <v>17369246</v>
      </c>
      <c r="G2449">
        <v>0</v>
      </c>
      <c r="H2449" t="s">
        <v>10</v>
      </c>
      <c r="I2449" t="s">
        <v>11</v>
      </c>
    </row>
    <row r="2450" spans="1:9" hidden="1" x14ac:dyDescent="0.25">
      <c r="A2450" t="s">
        <v>8</v>
      </c>
      <c r="B2450" t="s">
        <v>58</v>
      </c>
      <c r="C2450">
        <v>201911</v>
      </c>
      <c r="D2450" t="str">
        <f t="shared" si="38"/>
        <v>2019</v>
      </c>
      <c r="E2450">
        <v>98</v>
      </c>
      <c r="F2450">
        <v>17369246</v>
      </c>
      <c r="G2450">
        <v>0</v>
      </c>
      <c r="H2450" t="s">
        <v>10</v>
      </c>
      <c r="I2450" t="s">
        <v>11</v>
      </c>
    </row>
    <row r="2451" spans="1:9" hidden="1" x14ac:dyDescent="0.25">
      <c r="A2451" t="s">
        <v>8</v>
      </c>
      <c r="B2451" t="s">
        <v>58</v>
      </c>
      <c r="C2451">
        <v>201912</v>
      </c>
      <c r="D2451" t="str">
        <f t="shared" si="38"/>
        <v>2019</v>
      </c>
      <c r="E2451">
        <v>14</v>
      </c>
      <c r="F2451">
        <v>17369246</v>
      </c>
      <c r="G2451">
        <v>0</v>
      </c>
      <c r="H2451" t="s">
        <v>10</v>
      </c>
      <c r="I2451" t="s">
        <v>11</v>
      </c>
    </row>
    <row r="2452" spans="1:9" hidden="1" x14ac:dyDescent="0.25">
      <c r="A2452" t="s">
        <v>8</v>
      </c>
      <c r="B2452" t="s">
        <v>58</v>
      </c>
      <c r="C2452">
        <v>202001</v>
      </c>
      <c r="D2452" t="str">
        <f t="shared" si="38"/>
        <v>2020</v>
      </c>
      <c r="E2452">
        <v>326</v>
      </c>
      <c r="F2452">
        <v>17369246</v>
      </c>
      <c r="G2452">
        <v>0</v>
      </c>
      <c r="H2452" t="s">
        <v>10</v>
      </c>
      <c r="I2452" t="s">
        <v>11</v>
      </c>
    </row>
    <row r="2453" spans="1:9" hidden="1" x14ac:dyDescent="0.25">
      <c r="A2453" t="s">
        <v>8</v>
      </c>
      <c r="B2453" t="s">
        <v>58</v>
      </c>
      <c r="C2453">
        <v>202002</v>
      </c>
      <c r="D2453" t="str">
        <f t="shared" si="38"/>
        <v>2020</v>
      </c>
      <c r="E2453">
        <v>224</v>
      </c>
      <c r="F2453">
        <v>17369246</v>
      </c>
      <c r="G2453">
        <v>0</v>
      </c>
      <c r="H2453" t="s">
        <v>10</v>
      </c>
      <c r="I2453" t="s">
        <v>11</v>
      </c>
    </row>
    <row r="2454" spans="1:9" hidden="1" x14ac:dyDescent="0.25">
      <c r="A2454" t="s">
        <v>8</v>
      </c>
      <c r="B2454" t="s">
        <v>58</v>
      </c>
      <c r="C2454">
        <v>202003</v>
      </c>
      <c r="D2454" t="str">
        <f t="shared" si="38"/>
        <v>2020</v>
      </c>
      <c r="E2454">
        <v>280</v>
      </c>
      <c r="F2454">
        <v>17369246</v>
      </c>
      <c r="G2454">
        <v>0</v>
      </c>
      <c r="H2454" t="s">
        <v>10</v>
      </c>
      <c r="I2454" t="s">
        <v>11</v>
      </c>
    </row>
    <row r="2455" spans="1:9" hidden="1" x14ac:dyDescent="0.25">
      <c r="A2455" t="s">
        <v>8</v>
      </c>
      <c r="B2455" t="s">
        <v>58</v>
      </c>
      <c r="C2455">
        <v>202004</v>
      </c>
      <c r="D2455" t="str">
        <f t="shared" si="38"/>
        <v>2020</v>
      </c>
      <c r="E2455">
        <v>145</v>
      </c>
      <c r="F2455">
        <v>17369246</v>
      </c>
      <c r="G2455">
        <v>0</v>
      </c>
      <c r="H2455" t="s">
        <v>10</v>
      </c>
      <c r="I2455" t="s">
        <v>11</v>
      </c>
    </row>
    <row r="2456" spans="1:9" hidden="1" x14ac:dyDescent="0.25">
      <c r="A2456" t="s">
        <v>8</v>
      </c>
      <c r="B2456" t="s">
        <v>58</v>
      </c>
      <c r="C2456">
        <v>202005</v>
      </c>
      <c r="D2456" t="str">
        <f t="shared" si="38"/>
        <v>2020</v>
      </c>
      <c r="E2456">
        <v>223</v>
      </c>
      <c r="F2456">
        <v>17369246</v>
      </c>
      <c r="G2456">
        <v>0</v>
      </c>
      <c r="H2456" t="s">
        <v>10</v>
      </c>
      <c r="I2456" t="s">
        <v>11</v>
      </c>
    </row>
    <row r="2457" spans="1:9" hidden="1" x14ac:dyDescent="0.25">
      <c r="A2457" t="s">
        <v>8</v>
      </c>
      <c r="B2457" t="s">
        <v>58</v>
      </c>
      <c r="C2457">
        <v>202006</v>
      </c>
      <c r="D2457" t="str">
        <f t="shared" si="38"/>
        <v>2020</v>
      </c>
      <c r="E2457">
        <v>183</v>
      </c>
      <c r="F2457">
        <v>17369246</v>
      </c>
      <c r="G2457">
        <v>0</v>
      </c>
      <c r="H2457" t="s">
        <v>10</v>
      </c>
      <c r="I2457" t="s">
        <v>11</v>
      </c>
    </row>
    <row r="2458" spans="1:9" hidden="1" x14ac:dyDescent="0.25">
      <c r="A2458" t="s">
        <v>8</v>
      </c>
      <c r="B2458" t="s">
        <v>58</v>
      </c>
      <c r="C2458">
        <v>202007</v>
      </c>
      <c r="D2458" t="str">
        <f t="shared" si="38"/>
        <v>2020</v>
      </c>
      <c r="E2458">
        <v>203</v>
      </c>
      <c r="F2458">
        <v>17369246</v>
      </c>
      <c r="G2458">
        <v>0</v>
      </c>
      <c r="H2458" t="s">
        <v>10</v>
      </c>
      <c r="I2458" t="s">
        <v>11</v>
      </c>
    </row>
    <row r="2459" spans="1:9" hidden="1" x14ac:dyDescent="0.25">
      <c r="A2459" t="s">
        <v>8</v>
      </c>
      <c r="B2459" t="s">
        <v>58</v>
      </c>
      <c r="C2459">
        <v>202008</v>
      </c>
      <c r="D2459" t="str">
        <f t="shared" si="38"/>
        <v>2020</v>
      </c>
      <c r="E2459">
        <v>225</v>
      </c>
      <c r="F2459">
        <v>17369246</v>
      </c>
      <c r="G2459">
        <v>0</v>
      </c>
      <c r="H2459" t="s">
        <v>10</v>
      </c>
      <c r="I2459" t="s">
        <v>11</v>
      </c>
    </row>
    <row r="2460" spans="1:9" hidden="1" x14ac:dyDescent="0.25">
      <c r="A2460" t="s">
        <v>8</v>
      </c>
      <c r="B2460" t="s">
        <v>58</v>
      </c>
      <c r="C2460">
        <v>202009</v>
      </c>
      <c r="D2460" t="str">
        <f t="shared" si="38"/>
        <v>2020</v>
      </c>
      <c r="E2460">
        <v>158</v>
      </c>
      <c r="F2460">
        <v>17369246</v>
      </c>
      <c r="G2460">
        <v>0</v>
      </c>
      <c r="H2460" t="s">
        <v>10</v>
      </c>
      <c r="I2460" t="s">
        <v>11</v>
      </c>
    </row>
    <row r="2461" spans="1:9" hidden="1" x14ac:dyDescent="0.25">
      <c r="A2461" t="s">
        <v>8</v>
      </c>
      <c r="B2461" t="s">
        <v>58</v>
      </c>
      <c r="C2461">
        <v>202010</v>
      </c>
      <c r="D2461" t="str">
        <f t="shared" si="38"/>
        <v>2020</v>
      </c>
      <c r="E2461">
        <v>164</v>
      </c>
      <c r="F2461">
        <v>17369246</v>
      </c>
      <c r="G2461">
        <v>0</v>
      </c>
      <c r="H2461" t="s">
        <v>10</v>
      </c>
      <c r="I2461" t="s">
        <v>11</v>
      </c>
    </row>
    <row r="2462" spans="1:9" hidden="1" x14ac:dyDescent="0.25">
      <c r="A2462" t="s">
        <v>8</v>
      </c>
      <c r="B2462" t="s">
        <v>58</v>
      </c>
      <c r="C2462">
        <v>202011</v>
      </c>
      <c r="D2462" t="str">
        <f t="shared" si="38"/>
        <v>2020</v>
      </c>
      <c r="E2462">
        <v>199</v>
      </c>
      <c r="F2462">
        <v>17369246</v>
      </c>
      <c r="G2462">
        <v>0</v>
      </c>
      <c r="H2462" t="s">
        <v>10</v>
      </c>
      <c r="I2462" t="s">
        <v>11</v>
      </c>
    </row>
    <row r="2463" spans="1:9" hidden="1" x14ac:dyDescent="0.25">
      <c r="A2463" t="s">
        <v>8</v>
      </c>
      <c r="B2463" t="s">
        <v>58</v>
      </c>
      <c r="C2463">
        <v>202012</v>
      </c>
      <c r="D2463" t="str">
        <f t="shared" si="38"/>
        <v>2020</v>
      </c>
      <c r="E2463">
        <v>281</v>
      </c>
      <c r="F2463">
        <v>17369246</v>
      </c>
      <c r="G2463">
        <v>0</v>
      </c>
      <c r="H2463" t="s">
        <v>10</v>
      </c>
      <c r="I2463" t="s">
        <v>11</v>
      </c>
    </row>
    <row r="2464" spans="1:9" hidden="1" x14ac:dyDescent="0.25">
      <c r="A2464" t="s">
        <v>8</v>
      </c>
      <c r="B2464" t="s">
        <v>58</v>
      </c>
      <c r="C2464">
        <v>202101</v>
      </c>
      <c r="D2464" t="str">
        <f t="shared" si="38"/>
        <v>2021</v>
      </c>
      <c r="E2464">
        <v>915</v>
      </c>
      <c r="F2464">
        <v>17369246</v>
      </c>
      <c r="G2464">
        <v>0.01</v>
      </c>
      <c r="H2464" t="s">
        <v>10</v>
      </c>
      <c r="I2464" t="s">
        <v>11</v>
      </c>
    </row>
    <row r="2465" spans="1:9" hidden="1" x14ac:dyDescent="0.25">
      <c r="A2465" t="s">
        <v>8</v>
      </c>
      <c r="B2465" t="s">
        <v>58</v>
      </c>
      <c r="C2465">
        <v>202102</v>
      </c>
      <c r="D2465" t="str">
        <f t="shared" si="38"/>
        <v>2021</v>
      </c>
      <c r="E2465">
        <v>1140</v>
      </c>
      <c r="F2465">
        <v>17369246</v>
      </c>
      <c r="G2465">
        <v>0.01</v>
      </c>
      <c r="H2465" t="s">
        <v>10</v>
      </c>
      <c r="I2465" t="s">
        <v>11</v>
      </c>
    </row>
    <row r="2466" spans="1:9" hidden="1" x14ac:dyDescent="0.25">
      <c r="A2466" t="s">
        <v>8</v>
      </c>
      <c r="B2466" t="s">
        <v>58</v>
      </c>
      <c r="C2466">
        <v>202103</v>
      </c>
      <c r="D2466" t="str">
        <f t="shared" si="38"/>
        <v>2021</v>
      </c>
      <c r="E2466">
        <v>1121</v>
      </c>
      <c r="F2466">
        <v>17369246</v>
      </c>
      <c r="G2466">
        <v>0.01</v>
      </c>
      <c r="H2466" t="s">
        <v>10</v>
      </c>
      <c r="I2466" t="s">
        <v>11</v>
      </c>
    </row>
    <row r="2467" spans="1:9" hidden="1" x14ac:dyDescent="0.25">
      <c r="A2467" t="s">
        <v>8</v>
      </c>
      <c r="B2467" t="s">
        <v>58</v>
      </c>
      <c r="C2467">
        <v>202104</v>
      </c>
      <c r="D2467" t="str">
        <f t="shared" si="38"/>
        <v>2021</v>
      </c>
      <c r="E2467">
        <v>989</v>
      </c>
      <c r="F2467">
        <v>17369246</v>
      </c>
      <c r="G2467">
        <v>0.01</v>
      </c>
      <c r="H2467" t="s">
        <v>10</v>
      </c>
      <c r="I2467" t="s">
        <v>11</v>
      </c>
    </row>
    <row r="2468" spans="1:9" hidden="1" x14ac:dyDescent="0.25">
      <c r="A2468" t="s">
        <v>8</v>
      </c>
      <c r="B2468" t="s">
        <v>58</v>
      </c>
      <c r="C2468">
        <v>202105</v>
      </c>
      <c r="D2468" t="str">
        <f t="shared" si="38"/>
        <v>2021</v>
      </c>
      <c r="E2468">
        <v>854</v>
      </c>
      <c r="F2468">
        <v>17369246</v>
      </c>
      <c r="G2468">
        <v>0</v>
      </c>
      <c r="H2468" t="s">
        <v>10</v>
      </c>
      <c r="I2468" t="s">
        <v>11</v>
      </c>
    </row>
    <row r="2469" spans="1:9" hidden="1" x14ac:dyDescent="0.25">
      <c r="A2469" t="s">
        <v>8</v>
      </c>
      <c r="B2469" t="s">
        <v>58</v>
      </c>
      <c r="C2469">
        <v>202106</v>
      </c>
      <c r="D2469" t="str">
        <f t="shared" si="38"/>
        <v>2021</v>
      </c>
      <c r="E2469">
        <v>1188</v>
      </c>
      <c r="F2469">
        <v>17369246</v>
      </c>
      <c r="G2469">
        <v>0.01</v>
      </c>
      <c r="H2469" t="s">
        <v>10</v>
      </c>
      <c r="I2469" t="s">
        <v>11</v>
      </c>
    </row>
    <row r="2470" spans="1:9" hidden="1" x14ac:dyDescent="0.25">
      <c r="A2470" t="s">
        <v>8</v>
      </c>
      <c r="B2470" t="s">
        <v>58</v>
      </c>
      <c r="C2470">
        <v>202107</v>
      </c>
      <c r="D2470" t="str">
        <f t="shared" si="38"/>
        <v>2021</v>
      </c>
      <c r="E2470">
        <v>944</v>
      </c>
      <c r="F2470">
        <v>17369246</v>
      </c>
      <c r="G2470">
        <v>0.01</v>
      </c>
      <c r="H2470" t="s">
        <v>10</v>
      </c>
      <c r="I2470" t="s">
        <v>11</v>
      </c>
    </row>
    <row r="2471" spans="1:9" hidden="1" x14ac:dyDescent="0.25">
      <c r="A2471" t="s">
        <v>8</v>
      </c>
      <c r="B2471" t="s">
        <v>58</v>
      </c>
      <c r="C2471">
        <v>202108</v>
      </c>
      <c r="D2471" t="str">
        <f t="shared" si="38"/>
        <v>2021</v>
      </c>
      <c r="E2471">
        <v>1081</v>
      </c>
      <c r="F2471">
        <v>17369246</v>
      </c>
      <c r="G2471">
        <v>0.01</v>
      </c>
      <c r="H2471" t="s">
        <v>10</v>
      </c>
      <c r="I2471" t="s">
        <v>11</v>
      </c>
    </row>
    <row r="2472" spans="1:9" hidden="1" x14ac:dyDescent="0.25">
      <c r="A2472" t="s">
        <v>8</v>
      </c>
      <c r="B2472" t="s">
        <v>58</v>
      </c>
      <c r="C2472">
        <v>202109</v>
      </c>
      <c r="D2472" t="str">
        <f t="shared" si="38"/>
        <v>2021</v>
      </c>
      <c r="E2472">
        <v>1151</v>
      </c>
      <c r="F2472">
        <v>17369246</v>
      </c>
      <c r="G2472">
        <v>0.01</v>
      </c>
      <c r="H2472" t="s">
        <v>10</v>
      </c>
      <c r="I2472" t="s">
        <v>11</v>
      </c>
    </row>
    <row r="2473" spans="1:9" hidden="1" x14ac:dyDescent="0.25">
      <c r="A2473" t="s">
        <v>8</v>
      </c>
      <c r="B2473" t="s">
        <v>58</v>
      </c>
      <c r="C2473">
        <v>202110</v>
      </c>
      <c r="D2473" t="str">
        <f t="shared" si="38"/>
        <v>2021</v>
      </c>
      <c r="E2473">
        <v>1192</v>
      </c>
      <c r="F2473">
        <v>17369246</v>
      </c>
      <c r="G2473">
        <v>0.01</v>
      </c>
      <c r="H2473" t="s">
        <v>10</v>
      </c>
      <c r="I2473" t="s">
        <v>11</v>
      </c>
    </row>
    <row r="2474" spans="1:9" hidden="1" x14ac:dyDescent="0.25">
      <c r="A2474" t="s">
        <v>8</v>
      </c>
      <c r="B2474" t="s">
        <v>58</v>
      </c>
      <c r="C2474">
        <v>202111</v>
      </c>
      <c r="D2474" t="str">
        <f t="shared" si="38"/>
        <v>2021</v>
      </c>
      <c r="E2474">
        <v>1277</v>
      </c>
      <c r="F2474">
        <v>17369246</v>
      </c>
      <c r="G2474">
        <v>0.01</v>
      </c>
      <c r="H2474" t="s">
        <v>10</v>
      </c>
      <c r="I2474" t="s">
        <v>11</v>
      </c>
    </row>
    <row r="2475" spans="1:9" hidden="1" x14ac:dyDescent="0.25">
      <c r="A2475" t="s">
        <v>8</v>
      </c>
      <c r="B2475" t="s">
        <v>58</v>
      </c>
      <c r="C2475">
        <v>202112</v>
      </c>
      <c r="D2475" t="str">
        <f t="shared" si="38"/>
        <v>2021</v>
      </c>
      <c r="E2475">
        <v>1163</v>
      </c>
      <c r="F2475">
        <v>17369246</v>
      </c>
      <c r="G2475">
        <v>0.01</v>
      </c>
      <c r="H2475" t="s">
        <v>10</v>
      </c>
      <c r="I2475" t="s">
        <v>11</v>
      </c>
    </row>
    <row r="2476" spans="1:9" hidden="1" x14ac:dyDescent="0.25">
      <c r="A2476" t="s">
        <v>8</v>
      </c>
      <c r="B2476" t="s">
        <v>58</v>
      </c>
      <c r="C2476">
        <v>202201</v>
      </c>
      <c r="D2476" t="str">
        <f t="shared" si="38"/>
        <v>2022</v>
      </c>
      <c r="E2476">
        <v>21045</v>
      </c>
      <c r="F2476">
        <v>17369246</v>
      </c>
      <c r="G2476">
        <v>0.12</v>
      </c>
      <c r="H2476" t="s">
        <v>10</v>
      </c>
      <c r="I2476" t="s">
        <v>11</v>
      </c>
    </row>
    <row r="2477" spans="1:9" hidden="1" x14ac:dyDescent="0.25">
      <c r="A2477" t="s">
        <v>8</v>
      </c>
      <c r="B2477" t="s">
        <v>58</v>
      </c>
      <c r="C2477">
        <v>202202</v>
      </c>
      <c r="D2477" t="str">
        <f t="shared" si="38"/>
        <v>2022</v>
      </c>
      <c r="E2477">
        <v>16205</v>
      </c>
      <c r="F2477">
        <v>17369246</v>
      </c>
      <c r="G2477">
        <v>0.09</v>
      </c>
      <c r="H2477" t="s">
        <v>10</v>
      </c>
      <c r="I2477" t="s">
        <v>11</v>
      </c>
    </row>
    <row r="2478" spans="1:9" hidden="1" x14ac:dyDescent="0.25">
      <c r="A2478" t="s">
        <v>8</v>
      </c>
      <c r="B2478" t="s">
        <v>58</v>
      </c>
      <c r="C2478">
        <v>202203</v>
      </c>
      <c r="D2478" t="str">
        <f t="shared" si="38"/>
        <v>2022</v>
      </c>
      <c r="E2478">
        <v>16352</v>
      </c>
      <c r="F2478">
        <v>17369246</v>
      </c>
      <c r="G2478">
        <v>0.09</v>
      </c>
      <c r="H2478" t="s">
        <v>10</v>
      </c>
      <c r="I2478" t="s">
        <v>11</v>
      </c>
    </row>
    <row r="2479" spans="1:9" hidden="1" x14ac:dyDescent="0.25">
      <c r="A2479" t="s">
        <v>8</v>
      </c>
      <c r="B2479" t="s">
        <v>58</v>
      </c>
      <c r="C2479">
        <v>202204</v>
      </c>
      <c r="D2479" t="str">
        <f t="shared" si="38"/>
        <v>2022</v>
      </c>
      <c r="E2479">
        <v>15604</v>
      </c>
      <c r="F2479">
        <v>17369246</v>
      </c>
      <c r="G2479">
        <v>0.09</v>
      </c>
      <c r="H2479" t="s">
        <v>10</v>
      </c>
      <c r="I2479" t="s">
        <v>11</v>
      </c>
    </row>
    <row r="2480" spans="1:9" hidden="1" x14ac:dyDescent="0.25">
      <c r="A2480" t="s">
        <v>8</v>
      </c>
      <c r="B2480" t="s">
        <v>58</v>
      </c>
      <c r="C2480">
        <v>202205</v>
      </c>
      <c r="D2480" t="str">
        <f t="shared" si="38"/>
        <v>2022</v>
      </c>
      <c r="E2480">
        <v>15933</v>
      </c>
      <c r="F2480">
        <v>17369246</v>
      </c>
      <c r="G2480">
        <v>0.09</v>
      </c>
      <c r="H2480" t="s">
        <v>10</v>
      </c>
      <c r="I2480" t="s">
        <v>11</v>
      </c>
    </row>
    <row r="2481" spans="1:9" hidden="1" x14ac:dyDescent="0.25">
      <c r="A2481" t="s">
        <v>8</v>
      </c>
      <c r="B2481" t="s">
        <v>58</v>
      </c>
      <c r="C2481">
        <v>202206</v>
      </c>
      <c r="D2481" t="str">
        <f t="shared" si="38"/>
        <v>2022</v>
      </c>
      <c r="E2481">
        <v>17381</v>
      </c>
      <c r="F2481">
        <v>17369246</v>
      </c>
      <c r="G2481">
        <v>0.1</v>
      </c>
      <c r="H2481" t="s">
        <v>10</v>
      </c>
      <c r="I2481" t="s">
        <v>11</v>
      </c>
    </row>
    <row r="2482" spans="1:9" hidden="1" x14ac:dyDescent="0.25">
      <c r="A2482" t="s">
        <v>8</v>
      </c>
      <c r="B2482" t="s">
        <v>58</v>
      </c>
      <c r="C2482">
        <v>202207</v>
      </c>
      <c r="D2482" t="str">
        <f t="shared" si="38"/>
        <v>2022</v>
      </c>
      <c r="E2482">
        <v>20779</v>
      </c>
      <c r="F2482">
        <v>17369246</v>
      </c>
      <c r="G2482">
        <v>0.12</v>
      </c>
      <c r="H2482" t="s">
        <v>10</v>
      </c>
      <c r="I2482" t="s">
        <v>11</v>
      </c>
    </row>
    <row r="2483" spans="1:9" hidden="1" x14ac:dyDescent="0.25">
      <c r="A2483" t="s">
        <v>8</v>
      </c>
      <c r="B2483" t="s">
        <v>58</v>
      </c>
      <c r="C2483">
        <v>202208</v>
      </c>
      <c r="D2483" t="str">
        <f t="shared" si="38"/>
        <v>2022</v>
      </c>
      <c r="E2483">
        <v>23784</v>
      </c>
      <c r="F2483">
        <v>17369246</v>
      </c>
      <c r="G2483">
        <v>0.14000000000000001</v>
      </c>
      <c r="H2483" t="s">
        <v>10</v>
      </c>
      <c r="I2483" t="s">
        <v>11</v>
      </c>
    </row>
    <row r="2484" spans="1:9" hidden="1" x14ac:dyDescent="0.25">
      <c r="A2484" t="s">
        <v>8</v>
      </c>
      <c r="B2484" t="s">
        <v>58</v>
      </c>
      <c r="C2484">
        <v>202209</v>
      </c>
      <c r="D2484" t="str">
        <f t="shared" si="38"/>
        <v>2022</v>
      </c>
      <c r="E2484">
        <v>23753</v>
      </c>
      <c r="F2484">
        <v>17369246</v>
      </c>
      <c r="G2484">
        <v>0.14000000000000001</v>
      </c>
      <c r="H2484" t="s">
        <v>10</v>
      </c>
      <c r="I2484" t="s">
        <v>11</v>
      </c>
    </row>
    <row r="2485" spans="1:9" hidden="1" x14ac:dyDescent="0.25">
      <c r="A2485" t="s">
        <v>8</v>
      </c>
      <c r="B2485" t="s">
        <v>58</v>
      </c>
      <c r="C2485">
        <v>202210</v>
      </c>
      <c r="D2485" t="str">
        <f t="shared" si="38"/>
        <v>2022</v>
      </c>
      <c r="E2485">
        <v>26721</v>
      </c>
      <c r="F2485">
        <v>17369246</v>
      </c>
      <c r="G2485">
        <v>0.15</v>
      </c>
      <c r="H2485" t="s">
        <v>10</v>
      </c>
      <c r="I2485" t="s">
        <v>11</v>
      </c>
    </row>
    <row r="2486" spans="1:9" hidden="1" x14ac:dyDescent="0.25">
      <c r="A2486" t="s">
        <v>8</v>
      </c>
      <c r="B2486" t="s">
        <v>58</v>
      </c>
      <c r="C2486">
        <v>202211</v>
      </c>
      <c r="D2486" t="str">
        <f t="shared" si="38"/>
        <v>2022</v>
      </c>
      <c r="E2486">
        <v>26980</v>
      </c>
      <c r="F2486">
        <v>17369246</v>
      </c>
      <c r="G2486">
        <v>0.16</v>
      </c>
      <c r="H2486" t="s">
        <v>10</v>
      </c>
      <c r="I2486" t="s">
        <v>11</v>
      </c>
    </row>
    <row r="2487" spans="1:9" hidden="1" x14ac:dyDescent="0.25">
      <c r="A2487" t="s">
        <v>8</v>
      </c>
      <c r="B2487" t="s">
        <v>58</v>
      </c>
      <c r="C2487">
        <v>202212</v>
      </c>
      <c r="D2487" t="str">
        <f t="shared" si="38"/>
        <v>2022</v>
      </c>
      <c r="E2487">
        <v>27500</v>
      </c>
      <c r="F2487">
        <v>17369246</v>
      </c>
      <c r="G2487">
        <v>0.16</v>
      </c>
      <c r="H2487" t="s">
        <v>10</v>
      </c>
      <c r="I2487" t="s">
        <v>11</v>
      </c>
    </row>
    <row r="2488" spans="1:9" hidden="1" x14ac:dyDescent="0.25">
      <c r="A2488" t="s">
        <v>8</v>
      </c>
      <c r="B2488" t="s">
        <v>58</v>
      </c>
      <c r="C2488">
        <v>202301</v>
      </c>
      <c r="D2488" t="str">
        <f t="shared" si="38"/>
        <v>2023</v>
      </c>
      <c r="E2488">
        <v>133430</v>
      </c>
      <c r="F2488">
        <v>17369246</v>
      </c>
      <c r="G2488">
        <v>0.77</v>
      </c>
      <c r="H2488" t="s">
        <v>10</v>
      </c>
      <c r="I2488" t="s">
        <v>11</v>
      </c>
    </row>
    <row r="2489" spans="1:9" hidden="1" x14ac:dyDescent="0.25">
      <c r="A2489" t="s">
        <v>8</v>
      </c>
      <c r="B2489" t="s">
        <v>58</v>
      </c>
      <c r="C2489">
        <v>202302</v>
      </c>
      <c r="D2489" t="str">
        <f t="shared" si="38"/>
        <v>2023</v>
      </c>
      <c r="E2489">
        <v>130981</v>
      </c>
      <c r="F2489">
        <v>17369246</v>
      </c>
      <c r="G2489">
        <v>0.75</v>
      </c>
      <c r="H2489" t="s">
        <v>10</v>
      </c>
      <c r="I2489" t="s">
        <v>11</v>
      </c>
    </row>
    <row r="2490" spans="1:9" hidden="1" x14ac:dyDescent="0.25">
      <c r="A2490" t="s">
        <v>8</v>
      </c>
      <c r="B2490" t="s">
        <v>58</v>
      </c>
      <c r="C2490">
        <v>202303</v>
      </c>
      <c r="D2490" t="str">
        <f t="shared" si="38"/>
        <v>2023</v>
      </c>
      <c r="E2490">
        <v>143252</v>
      </c>
      <c r="F2490">
        <v>17369246</v>
      </c>
      <c r="G2490">
        <v>0.82</v>
      </c>
      <c r="H2490" t="s">
        <v>10</v>
      </c>
      <c r="I2490" t="s">
        <v>11</v>
      </c>
    </row>
    <row r="2491" spans="1:9" hidden="1" x14ac:dyDescent="0.25">
      <c r="A2491" t="s">
        <v>8</v>
      </c>
      <c r="B2491" t="s">
        <v>58</v>
      </c>
      <c r="C2491">
        <v>202304</v>
      </c>
      <c r="D2491" t="str">
        <f t="shared" si="38"/>
        <v>2023</v>
      </c>
      <c r="E2491">
        <v>136121</v>
      </c>
      <c r="F2491">
        <v>17369246</v>
      </c>
      <c r="G2491">
        <v>0.78</v>
      </c>
      <c r="H2491" t="s">
        <v>10</v>
      </c>
      <c r="I2491" t="s">
        <v>11</v>
      </c>
    </row>
    <row r="2492" spans="1:9" hidden="1" x14ac:dyDescent="0.25">
      <c r="A2492" t="s">
        <v>8</v>
      </c>
      <c r="B2492" t="s">
        <v>58</v>
      </c>
      <c r="C2492">
        <v>202305</v>
      </c>
      <c r="D2492" t="str">
        <f t="shared" si="38"/>
        <v>2023</v>
      </c>
      <c r="E2492">
        <v>154074</v>
      </c>
      <c r="F2492">
        <v>17369246</v>
      </c>
      <c r="G2492">
        <v>0.89</v>
      </c>
      <c r="H2492" t="s">
        <v>10</v>
      </c>
      <c r="I2492" t="s">
        <v>11</v>
      </c>
    </row>
    <row r="2493" spans="1:9" hidden="1" x14ac:dyDescent="0.25">
      <c r="A2493" t="s">
        <v>8</v>
      </c>
      <c r="B2493" t="s">
        <v>58</v>
      </c>
      <c r="C2493">
        <v>202306</v>
      </c>
      <c r="D2493" t="str">
        <f t="shared" si="38"/>
        <v>2023</v>
      </c>
      <c r="E2493">
        <v>215319</v>
      </c>
      <c r="F2493">
        <v>17369246</v>
      </c>
      <c r="G2493">
        <v>1.24</v>
      </c>
      <c r="H2493" t="s">
        <v>10</v>
      </c>
      <c r="I2493" t="s">
        <v>11</v>
      </c>
    </row>
    <row r="2494" spans="1:9" hidden="1" x14ac:dyDescent="0.25">
      <c r="A2494" t="s">
        <v>8</v>
      </c>
      <c r="B2494" t="s">
        <v>58</v>
      </c>
      <c r="C2494">
        <v>202307</v>
      </c>
      <c r="D2494" t="str">
        <f t="shared" si="38"/>
        <v>2023</v>
      </c>
      <c r="E2494">
        <v>224221</v>
      </c>
      <c r="F2494">
        <v>17369246</v>
      </c>
      <c r="G2494">
        <v>1.29</v>
      </c>
      <c r="H2494" t="s">
        <v>10</v>
      </c>
      <c r="I2494" t="s">
        <v>11</v>
      </c>
    </row>
    <row r="2495" spans="1:9" hidden="1" x14ac:dyDescent="0.25">
      <c r="A2495" t="s">
        <v>8</v>
      </c>
      <c r="B2495" t="s">
        <v>58</v>
      </c>
      <c r="C2495">
        <v>202308</v>
      </c>
      <c r="D2495" t="str">
        <f t="shared" si="38"/>
        <v>2023</v>
      </c>
      <c r="E2495">
        <v>257242</v>
      </c>
      <c r="F2495">
        <v>17369246</v>
      </c>
      <c r="G2495">
        <v>1.48</v>
      </c>
      <c r="H2495" t="s">
        <v>10</v>
      </c>
      <c r="I2495" t="s">
        <v>11</v>
      </c>
    </row>
    <row r="2496" spans="1:9" hidden="1" x14ac:dyDescent="0.25">
      <c r="A2496" t="s">
        <v>8</v>
      </c>
      <c r="B2496" t="s">
        <v>58</v>
      </c>
      <c r="C2496">
        <v>202309</v>
      </c>
      <c r="D2496" t="str">
        <f t="shared" si="38"/>
        <v>2023</v>
      </c>
      <c r="E2496">
        <v>241847</v>
      </c>
      <c r="F2496">
        <v>17369246</v>
      </c>
      <c r="G2496">
        <v>1.39</v>
      </c>
      <c r="H2496" t="s">
        <v>10</v>
      </c>
      <c r="I2496" t="s">
        <v>11</v>
      </c>
    </row>
    <row r="2497" spans="1:9" hidden="1" x14ac:dyDescent="0.25">
      <c r="A2497" t="s">
        <v>8</v>
      </c>
      <c r="B2497" t="s">
        <v>58</v>
      </c>
      <c r="C2497">
        <v>202310</v>
      </c>
      <c r="D2497" t="str">
        <f t="shared" si="38"/>
        <v>2023</v>
      </c>
      <c r="E2497">
        <v>262924</v>
      </c>
      <c r="F2497">
        <v>17369246</v>
      </c>
      <c r="G2497">
        <v>1.51</v>
      </c>
      <c r="H2497" t="s">
        <v>10</v>
      </c>
      <c r="I2497" t="s">
        <v>11</v>
      </c>
    </row>
    <row r="2498" spans="1:9" hidden="1" x14ac:dyDescent="0.25">
      <c r="A2498" t="s">
        <v>8</v>
      </c>
      <c r="B2498" t="s">
        <v>58</v>
      </c>
      <c r="C2498">
        <v>202311</v>
      </c>
      <c r="D2498" t="str">
        <f t="shared" si="38"/>
        <v>2023</v>
      </c>
      <c r="E2498">
        <v>247664</v>
      </c>
      <c r="F2498">
        <v>17369246</v>
      </c>
      <c r="G2498">
        <v>1.43</v>
      </c>
      <c r="H2498" t="s">
        <v>10</v>
      </c>
      <c r="I2498" t="s">
        <v>11</v>
      </c>
    </row>
    <row r="2499" spans="1:9" hidden="1" x14ac:dyDescent="0.25">
      <c r="A2499" t="s">
        <v>8</v>
      </c>
      <c r="B2499" t="s">
        <v>58</v>
      </c>
      <c r="C2499">
        <v>202312</v>
      </c>
      <c r="D2499" t="str">
        <f t="shared" ref="D2499:D2562" si="39">LEFT(C2499,4)</f>
        <v>2023</v>
      </c>
      <c r="E2499">
        <v>233710</v>
      </c>
      <c r="F2499">
        <v>17369246</v>
      </c>
      <c r="G2499">
        <v>1.35</v>
      </c>
      <c r="H2499" t="s">
        <v>10</v>
      </c>
      <c r="I2499" t="s">
        <v>11</v>
      </c>
    </row>
    <row r="2500" spans="1:9" hidden="1" x14ac:dyDescent="0.25">
      <c r="A2500" t="s">
        <v>8</v>
      </c>
      <c r="B2500" t="s">
        <v>58</v>
      </c>
      <c r="C2500">
        <v>202401</v>
      </c>
      <c r="D2500" t="str">
        <f t="shared" si="39"/>
        <v>2024</v>
      </c>
      <c r="E2500">
        <v>530966</v>
      </c>
      <c r="F2500">
        <v>17369246</v>
      </c>
      <c r="G2500">
        <v>3.06</v>
      </c>
      <c r="H2500" t="s">
        <v>10</v>
      </c>
      <c r="I2500" t="s">
        <v>11</v>
      </c>
    </row>
    <row r="2501" spans="1:9" hidden="1" x14ac:dyDescent="0.25">
      <c r="A2501" t="s">
        <v>8</v>
      </c>
      <c r="B2501" t="s">
        <v>58</v>
      </c>
      <c r="C2501">
        <v>202402</v>
      </c>
      <c r="D2501" t="str">
        <f t="shared" si="39"/>
        <v>2024</v>
      </c>
      <c r="E2501">
        <v>579137</v>
      </c>
      <c r="F2501">
        <v>17369246</v>
      </c>
      <c r="G2501">
        <v>3.33</v>
      </c>
      <c r="H2501" t="s">
        <v>10</v>
      </c>
      <c r="I2501" t="s">
        <v>11</v>
      </c>
    </row>
    <row r="2502" spans="1:9" hidden="1" x14ac:dyDescent="0.25">
      <c r="A2502" t="s">
        <v>8</v>
      </c>
      <c r="B2502" t="s">
        <v>58</v>
      </c>
      <c r="C2502">
        <v>202403</v>
      </c>
      <c r="D2502" t="str">
        <f t="shared" si="39"/>
        <v>2024</v>
      </c>
      <c r="E2502">
        <v>605817</v>
      </c>
      <c r="F2502">
        <v>17369246</v>
      </c>
      <c r="G2502">
        <v>3.49</v>
      </c>
      <c r="H2502" t="s">
        <v>10</v>
      </c>
      <c r="I2502" t="s">
        <v>11</v>
      </c>
    </row>
    <row r="2503" spans="1:9" hidden="1" x14ac:dyDescent="0.25">
      <c r="A2503" t="s">
        <v>8</v>
      </c>
      <c r="B2503" t="s">
        <v>58</v>
      </c>
      <c r="C2503">
        <v>202404</v>
      </c>
      <c r="D2503" t="str">
        <f t="shared" si="39"/>
        <v>2024</v>
      </c>
      <c r="E2503">
        <v>630629</v>
      </c>
      <c r="F2503">
        <v>17369246</v>
      </c>
      <c r="G2503">
        <v>3.63</v>
      </c>
      <c r="H2503" t="s">
        <v>10</v>
      </c>
      <c r="I2503" t="s">
        <v>11</v>
      </c>
    </row>
    <row r="2504" spans="1:9" hidden="1" x14ac:dyDescent="0.25">
      <c r="A2504" t="s">
        <v>8</v>
      </c>
      <c r="B2504" t="s">
        <v>58</v>
      </c>
      <c r="C2504">
        <v>202405</v>
      </c>
      <c r="D2504" t="str">
        <f t="shared" si="39"/>
        <v>2024</v>
      </c>
      <c r="E2504">
        <v>609362</v>
      </c>
      <c r="F2504">
        <v>17369246</v>
      </c>
      <c r="G2504">
        <v>3.51</v>
      </c>
      <c r="H2504" t="s">
        <v>10</v>
      </c>
      <c r="I2504" t="s">
        <v>11</v>
      </c>
    </row>
    <row r="2505" spans="1:9" hidden="1" x14ac:dyDescent="0.25">
      <c r="A2505" t="s">
        <v>8</v>
      </c>
      <c r="B2505" t="s">
        <v>58</v>
      </c>
      <c r="C2505">
        <v>202406</v>
      </c>
      <c r="D2505" t="str">
        <f t="shared" si="39"/>
        <v>2024</v>
      </c>
      <c r="E2505">
        <v>578604</v>
      </c>
      <c r="F2505">
        <v>17369246</v>
      </c>
      <c r="G2505">
        <v>3.33</v>
      </c>
      <c r="H2505" t="s">
        <v>10</v>
      </c>
      <c r="I2505" t="s">
        <v>11</v>
      </c>
    </row>
    <row r="2506" spans="1:9" hidden="1" x14ac:dyDescent="0.25">
      <c r="A2506" t="s">
        <v>8</v>
      </c>
      <c r="B2506" t="s">
        <v>58</v>
      </c>
      <c r="C2506">
        <v>202407</v>
      </c>
      <c r="D2506" t="str">
        <f t="shared" si="39"/>
        <v>2024</v>
      </c>
      <c r="E2506">
        <v>594202</v>
      </c>
      <c r="F2506">
        <v>17369246</v>
      </c>
      <c r="G2506">
        <v>3.42</v>
      </c>
      <c r="H2506" t="s">
        <v>10</v>
      </c>
      <c r="I2506" t="s">
        <v>11</v>
      </c>
    </row>
    <row r="2507" spans="1:9" hidden="1" x14ac:dyDescent="0.25">
      <c r="A2507" t="s">
        <v>8</v>
      </c>
      <c r="B2507" t="s">
        <v>58</v>
      </c>
      <c r="C2507">
        <v>202408</v>
      </c>
      <c r="D2507" t="str">
        <f t="shared" si="39"/>
        <v>2024</v>
      </c>
      <c r="E2507">
        <v>602950</v>
      </c>
      <c r="F2507">
        <v>17369246</v>
      </c>
      <c r="G2507">
        <v>3.47</v>
      </c>
      <c r="H2507" t="s">
        <v>10</v>
      </c>
      <c r="I2507" t="s">
        <v>11</v>
      </c>
    </row>
    <row r="2508" spans="1:9" hidden="1" x14ac:dyDescent="0.25">
      <c r="A2508" t="s">
        <v>8</v>
      </c>
      <c r="B2508" t="s">
        <v>58</v>
      </c>
      <c r="C2508">
        <v>202409</v>
      </c>
      <c r="D2508" t="str">
        <f t="shared" si="39"/>
        <v>2024</v>
      </c>
      <c r="E2508">
        <v>630384</v>
      </c>
      <c r="F2508">
        <v>17369246</v>
      </c>
      <c r="G2508">
        <v>3.63</v>
      </c>
      <c r="H2508" t="s">
        <v>10</v>
      </c>
      <c r="I2508" t="s">
        <v>11</v>
      </c>
    </row>
    <row r="2509" spans="1:9" hidden="1" x14ac:dyDescent="0.25">
      <c r="A2509" t="s">
        <v>8</v>
      </c>
      <c r="B2509" t="s">
        <v>58</v>
      </c>
      <c r="C2509">
        <v>202410</v>
      </c>
      <c r="D2509" t="str">
        <f t="shared" si="39"/>
        <v>2024</v>
      </c>
      <c r="E2509">
        <v>721812</v>
      </c>
      <c r="F2509">
        <v>17369246</v>
      </c>
      <c r="G2509">
        <v>4.16</v>
      </c>
      <c r="H2509" t="s">
        <v>10</v>
      </c>
      <c r="I2509" t="s">
        <v>11</v>
      </c>
    </row>
    <row r="2510" spans="1:9" hidden="1" x14ac:dyDescent="0.25">
      <c r="A2510" t="s">
        <v>8</v>
      </c>
      <c r="B2510" t="s">
        <v>58</v>
      </c>
      <c r="C2510">
        <v>202411</v>
      </c>
      <c r="D2510" t="str">
        <f t="shared" si="39"/>
        <v>2024</v>
      </c>
      <c r="E2510">
        <v>640173</v>
      </c>
      <c r="F2510">
        <v>17369246</v>
      </c>
      <c r="G2510">
        <v>3.69</v>
      </c>
      <c r="H2510" t="s">
        <v>10</v>
      </c>
      <c r="I2510" t="s">
        <v>11</v>
      </c>
    </row>
    <row r="2511" spans="1:9" hidden="1" x14ac:dyDescent="0.25">
      <c r="A2511" t="s">
        <v>8</v>
      </c>
      <c r="B2511" t="s">
        <v>58</v>
      </c>
      <c r="C2511">
        <v>202412</v>
      </c>
      <c r="D2511" t="str">
        <f t="shared" si="39"/>
        <v>2024</v>
      </c>
      <c r="E2511">
        <v>680441</v>
      </c>
      <c r="F2511">
        <v>17369246</v>
      </c>
      <c r="G2511">
        <v>3.92</v>
      </c>
      <c r="H2511" t="s">
        <v>10</v>
      </c>
      <c r="I2511" t="s">
        <v>11</v>
      </c>
    </row>
    <row r="2512" spans="1:9" x14ac:dyDescent="0.25">
      <c r="A2512" t="s">
        <v>8</v>
      </c>
      <c r="B2512" t="s">
        <v>58</v>
      </c>
      <c r="C2512">
        <v>202501</v>
      </c>
      <c r="D2512" t="str">
        <f t="shared" si="39"/>
        <v>2025</v>
      </c>
      <c r="E2512">
        <v>605356</v>
      </c>
      <c r="F2512">
        <v>17369246</v>
      </c>
      <c r="G2512">
        <v>3.49</v>
      </c>
      <c r="H2512" t="s">
        <v>10</v>
      </c>
      <c r="I2512" t="s">
        <v>11</v>
      </c>
    </row>
    <row r="2513" spans="1:9" x14ac:dyDescent="0.25">
      <c r="A2513" t="s">
        <v>8</v>
      </c>
      <c r="B2513" t="s">
        <v>58</v>
      </c>
      <c r="C2513">
        <v>202502</v>
      </c>
      <c r="D2513" t="str">
        <f t="shared" si="39"/>
        <v>2025</v>
      </c>
      <c r="E2513">
        <v>547059</v>
      </c>
      <c r="F2513">
        <v>17369246</v>
      </c>
      <c r="G2513">
        <v>3.15</v>
      </c>
      <c r="H2513" t="s">
        <v>10</v>
      </c>
      <c r="I2513" t="s">
        <v>11</v>
      </c>
    </row>
    <row r="2514" spans="1:9" x14ac:dyDescent="0.25">
      <c r="A2514" t="s">
        <v>8</v>
      </c>
      <c r="B2514" t="s">
        <v>58</v>
      </c>
      <c r="C2514">
        <v>202503</v>
      </c>
      <c r="D2514" t="str">
        <f t="shared" si="39"/>
        <v>2025</v>
      </c>
      <c r="E2514">
        <v>636891</v>
      </c>
      <c r="F2514">
        <v>17369246</v>
      </c>
      <c r="G2514">
        <v>3.67</v>
      </c>
      <c r="H2514" t="s">
        <v>10</v>
      </c>
      <c r="I2514" t="s">
        <v>11</v>
      </c>
    </row>
    <row r="2515" spans="1:9" x14ac:dyDescent="0.25">
      <c r="A2515" t="s">
        <v>8</v>
      </c>
      <c r="B2515" t="s">
        <v>58</v>
      </c>
      <c r="C2515">
        <v>202504</v>
      </c>
      <c r="D2515" t="str">
        <f t="shared" si="39"/>
        <v>2025</v>
      </c>
      <c r="E2515">
        <v>582444</v>
      </c>
      <c r="F2515">
        <v>17369246</v>
      </c>
      <c r="G2515">
        <v>3.35</v>
      </c>
      <c r="H2515" t="s">
        <v>10</v>
      </c>
      <c r="I2515" t="s">
        <v>11</v>
      </c>
    </row>
    <row r="2516" spans="1:9" x14ac:dyDescent="0.25">
      <c r="A2516" t="s">
        <v>8</v>
      </c>
      <c r="B2516" t="s">
        <v>58</v>
      </c>
      <c r="C2516">
        <v>202505</v>
      </c>
      <c r="D2516" t="str">
        <f t="shared" si="39"/>
        <v>2025</v>
      </c>
      <c r="E2516">
        <v>513518</v>
      </c>
      <c r="F2516">
        <v>17369246</v>
      </c>
      <c r="G2516">
        <v>2.96</v>
      </c>
      <c r="H2516" t="s">
        <v>10</v>
      </c>
      <c r="I2516" t="s">
        <v>11</v>
      </c>
    </row>
    <row r="2517" spans="1:9" x14ac:dyDescent="0.25">
      <c r="A2517" t="s">
        <v>8</v>
      </c>
      <c r="B2517" t="s">
        <v>58</v>
      </c>
      <c r="C2517">
        <v>202506</v>
      </c>
      <c r="D2517" t="str">
        <f t="shared" si="39"/>
        <v>2025</v>
      </c>
      <c r="E2517">
        <v>533085</v>
      </c>
      <c r="F2517">
        <v>17369246</v>
      </c>
      <c r="G2517">
        <v>3.07</v>
      </c>
      <c r="H2517" t="s">
        <v>10</v>
      </c>
      <c r="I2517" t="s">
        <v>11</v>
      </c>
    </row>
    <row r="2518" spans="1:9" x14ac:dyDescent="0.25">
      <c r="A2518" t="s">
        <v>8</v>
      </c>
      <c r="B2518" t="s">
        <v>58</v>
      </c>
      <c r="C2518">
        <v>202507</v>
      </c>
      <c r="D2518" t="str">
        <f t="shared" si="39"/>
        <v>2025</v>
      </c>
      <c r="E2518">
        <v>514413</v>
      </c>
      <c r="F2518">
        <v>17369246</v>
      </c>
      <c r="G2518">
        <v>2.96</v>
      </c>
      <c r="H2518" t="s">
        <v>10</v>
      </c>
      <c r="I2518" t="s">
        <v>11</v>
      </c>
    </row>
    <row r="2519" spans="1:9" x14ac:dyDescent="0.25">
      <c r="A2519" t="s">
        <v>8</v>
      </c>
      <c r="B2519" t="s">
        <v>58</v>
      </c>
      <c r="C2519">
        <v>202508</v>
      </c>
      <c r="D2519" t="str">
        <f t="shared" si="39"/>
        <v>2025</v>
      </c>
      <c r="E2519">
        <v>488777</v>
      </c>
      <c r="F2519">
        <v>17369246</v>
      </c>
      <c r="G2519">
        <v>2.81</v>
      </c>
      <c r="H2519" t="s">
        <v>10</v>
      </c>
      <c r="I2519" t="s">
        <v>11</v>
      </c>
    </row>
    <row r="2520" spans="1:9" x14ac:dyDescent="0.25">
      <c r="A2520" t="s">
        <v>8</v>
      </c>
      <c r="B2520" t="s">
        <v>58</v>
      </c>
      <c r="C2520">
        <v>202509</v>
      </c>
      <c r="D2520" t="str">
        <f t="shared" si="39"/>
        <v>2025</v>
      </c>
      <c r="E2520">
        <v>507992</v>
      </c>
      <c r="F2520">
        <v>17369246</v>
      </c>
      <c r="G2520">
        <v>2.92</v>
      </c>
      <c r="H2520" t="s">
        <v>10</v>
      </c>
      <c r="I2520" t="s">
        <v>11</v>
      </c>
    </row>
    <row r="2521" spans="1:9" x14ac:dyDescent="0.25">
      <c r="A2521" t="s">
        <v>8</v>
      </c>
      <c r="B2521" t="s">
        <v>58</v>
      </c>
      <c r="C2521">
        <v>202510</v>
      </c>
      <c r="D2521" t="str">
        <f t="shared" si="39"/>
        <v>2025</v>
      </c>
      <c r="E2521">
        <v>501051</v>
      </c>
      <c r="F2521">
        <v>17369246</v>
      </c>
      <c r="G2521">
        <v>2.88</v>
      </c>
      <c r="H2521" t="s">
        <v>10</v>
      </c>
      <c r="I2521" t="s">
        <v>11</v>
      </c>
    </row>
    <row r="2522" spans="1:9" x14ac:dyDescent="0.25">
      <c r="A2522" t="s">
        <v>8</v>
      </c>
      <c r="B2522" t="s">
        <v>58</v>
      </c>
      <c r="C2522">
        <v>202511</v>
      </c>
      <c r="D2522" t="str">
        <f t="shared" si="39"/>
        <v>2025</v>
      </c>
      <c r="E2522">
        <v>439655</v>
      </c>
      <c r="F2522">
        <v>17369246</v>
      </c>
      <c r="G2522">
        <v>2.5299999999999998</v>
      </c>
      <c r="H2522" t="s">
        <v>10</v>
      </c>
      <c r="I2522" t="s">
        <v>11</v>
      </c>
    </row>
    <row r="2523" spans="1:9" x14ac:dyDescent="0.25">
      <c r="A2523" t="s">
        <v>8</v>
      </c>
      <c r="B2523" t="s">
        <v>58</v>
      </c>
      <c r="C2523">
        <v>202512</v>
      </c>
      <c r="D2523" t="str">
        <f t="shared" si="39"/>
        <v>2025</v>
      </c>
      <c r="E2523">
        <v>466927</v>
      </c>
      <c r="F2523">
        <v>17369246</v>
      </c>
      <c r="G2523">
        <v>2.69</v>
      </c>
      <c r="H2523" t="s">
        <v>10</v>
      </c>
      <c r="I2523" t="s">
        <v>11</v>
      </c>
    </row>
    <row r="2524" spans="1:9" x14ac:dyDescent="0.25">
      <c r="A2524" t="s">
        <v>8</v>
      </c>
      <c r="B2524" t="s">
        <v>58</v>
      </c>
      <c r="C2524">
        <v>202601</v>
      </c>
      <c r="D2524" t="str">
        <f t="shared" si="39"/>
        <v>2026</v>
      </c>
      <c r="E2524">
        <v>329528</v>
      </c>
      <c r="F2524">
        <v>17369246</v>
      </c>
      <c r="G2524">
        <v>1.9</v>
      </c>
      <c r="H2524" t="s">
        <v>10</v>
      </c>
      <c r="I2524" t="s">
        <v>11</v>
      </c>
    </row>
    <row r="2525" spans="1:9" x14ac:dyDescent="0.25">
      <c r="A2525" t="s">
        <v>8</v>
      </c>
      <c r="B2525" t="s">
        <v>58</v>
      </c>
      <c r="C2525">
        <v>202602</v>
      </c>
      <c r="D2525" t="str">
        <f t="shared" si="39"/>
        <v>2026</v>
      </c>
      <c r="E2525">
        <v>317855</v>
      </c>
      <c r="F2525">
        <v>17369246</v>
      </c>
      <c r="G2525">
        <v>1.83</v>
      </c>
      <c r="H2525" t="s">
        <v>10</v>
      </c>
      <c r="I2525" t="s">
        <v>11</v>
      </c>
    </row>
    <row r="2526" spans="1:9" x14ac:dyDescent="0.25">
      <c r="A2526" t="s">
        <v>8</v>
      </c>
      <c r="B2526" t="s">
        <v>58</v>
      </c>
      <c r="C2526">
        <v>202603</v>
      </c>
      <c r="D2526" t="str">
        <f t="shared" si="39"/>
        <v>2026</v>
      </c>
      <c r="E2526">
        <v>288358</v>
      </c>
      <c r="F2526">
        <v>17369246</v>
      </c>
      <c r="G2526">
        <v>1.66</v>
      </c>
      <c r="H2526" t="s">
        <v>10</v>
      </c>
      <c r="I2526" t="s">
        <v>11</v>
      </c>
    </row>
    <row r="2527" spans="1:9" x14ac:dyDescent="0.25">
      <c r="A2527" t="s">
        <v>8</v>
      </c>
      <c r="B2527" t="s">
        <v>58</v>
      </c>
      <c r="C2527">
        <v>202604</v>
      </c>
      <c r="D2527" t="str">
        <f t="shared" si="39"/>
        <v>2026</v>
      </c>
      <c r="E2527">
        <v>41592</v>
      </c>
      <c r="F2527">
        <v>17369246</v>
      </c>
      <c r="G2527">
        <v>0.24</v>
      </c>
      <c r="H2527" t="s">
        <v>10</v>
      </c>
      <c r="I2527" t="s">
        <v>11</v>
      </c>
    </row>
    <row r="2528" spans="1:9" hidden="1" x14ac:dyDescent="0.25">
      <c r="A2528" t="s">
        <v>24</v>
      </c>
      <c r="B2528" t="s">
        <v>205</v>
      </c>
      <c r="C2528">
        <v>202201</v>
      </c>
      <c r="D2528" t="str">
        <f t="shared" si="39"/>
        <v>2022</v>
      </c>
      <c r="E2528">
        <v>1899</v>
      </c>
      <c r="F2528">
        <v>57122</v>
      </c>
      <c r="G2528">
        <v>3.32</v>
      </c>
      <c r="H2528" t="s">
        <v>10</v>
      </c>
      <c r="I2528" t="s">
        <v>11</v>
      </c>
    </row>
    <row r="2529" spans="1:9" hidden="1" x14ac:dyDescent="0.25">
      <c r="A2529" t="s">
        <v>24</v>
      </c>
      <c r="B2529" t="s">
        <v>205</v>
      </c>
      <c r="C2529">
        <v>202202</v>
      </c>
      <c r="D2529" t="str">
        <f t="shared" si="39"/>
        <v>2022</v>
      </c>
      <c r="E2529">
        <v>2069</v>
      </c>
      <c r="F2529">
        <v>57122</v>
      </c>
      <c r="G2529">
        <v>3.62</v>
      </c>
      <c r="H2529" t="s">
        <v>10</v>
      </c>
      <c r="I2529" t="s">
        <v>11</v>
      </c>
    </row>
    <row r="2530" spans="1:9" hidden="1" x14ac:dyDescent="0.25">
      <c r="A2530" t="s">
        <v>24</v>
      </c>
      <c r="B2530" t="s">
        <v>205</v>
      </c>
      <c r="C2530">
        <v>202203</v>
      </c>
      <c r="D2530" t="str">
        <f t="shared" si="39"/>
        <v>2022</v>
      </c>
      <c r="E2530">
        <v>2309</v>
      </c>
      <c r="F2530">
        <v>57122</v>
      </c>
      <c r="G2530">
        <v>4.04</v>
      </c>
      <c r="H2530" t="s">
        <v>10</v>
      </c>
      <c r="I2530" t="s">
        <v>11</v>
      </c>
    </row>
    <row r="2531" spans="1:9" hidden="1" x14ac:dyDescent="0.25">
      <c r="A2531" t="s">
        <v>24</v>
      </c>
      <c r="B2531" t="s">
        <v>205</v>
      </c>
      <c r="C2531">
        <v>202204</v>
      </c>
      <c r="D2531" t="str">
        <f t="shared" si="39"/>
        <v>2022</v>
      </c>
      <c r="E2531">
        <v>1928</v>
      </c>
      <c r="F2531">
        <v>57122</v>
      </c>
      <c r="G2531">
        <v>3.38</v>
      </c>
      <c r="H2531" t="s">
        <v>10</v>
      </c>
      <c r="I2531" t="s">
        <v>11</v>
      </c>
    </row>
    <row r="2532" spans="1:9" hidden="1" x14ac:dyDescent="0.25">
      <c r="A2532" t="s">
        <v>24</v>
      </c>
      <c r="B2532" t="s">
        <v>205</v>
      </c>
      <c r="C2532">
        <v>202205</v>
      </c>
      <c r="D2532" t="str">
        <f t="shared" si="39"/>
        <v>2022</v>
      </c>
      <c r="E2532">
        <v>2178</v>
      </c>
      <c r="F2532">
        <v>57122</v>
      </c>
      <c r="G2532">
        <v>3.81</v>
      </c>
      <c r="H2532" t="s">
        <v>10</v>
      </c>
      <c r="I2532" t="s">
        <v>11</v>
      </c>
    </row>
    <row r="2533" spans="1:9" hidden="1" x14ac:dyDescent="0.25">
      <c r="A2533" t="s">
        <v>24</v>
      </c>
      <c r="B2533" t="s">
        <v>205</v>
      </c>
      <c r="C2533">
        <v>202206</v>
      </c>
      <c r="D2533" t="str">
        <f t="shared" si="39"/>
        <v>2022</v>
      </c>
      <c r="E2533">
        <v>2006</v>
      </c>
      <c r="F2533">
        <v>57122</v>
      </c>
      <c r="G2533">
        <v>3.51</v>
      </c>
      <c r="H2533" t="s">
        <v>10</v>
      </c>
      <c r="I2533" t="s">
        <v>11</v>
      </c>
    </row>
    <row r="2534" spans="1:9" hidden="1" x14ac:dyDescent="0.25">
      <c r="A2534" t="s">
        <v>24</v>
      </c>
      <c r="B2534" t="s">
        <v>205</v>
      </c>
      <c r="C2534">
        <v>202207</v>
      </c>
      <c r="D2534" t="str">
        <f t="shared" si="39"/>
        <v>2022</v>
      </c>
      <c r="E2534">
        <v>1835</v>
      </c>
      <c r="F2534">
        <v>57122</v>
      </c>
      <c r="G2534">
        <v>3.21</v>
      </c>
      <c r="H2534" t="s">
        <v>10</v>
      </c>
      <c r="I2534" t="s">
        <v>11</v>
      </c>
    </row>
    <row r="2535" spans="1:9" hidden="1" x14ac:dyDescent="0.25">
      <c r="A2535" t="s">
        <v>24</v>
      </c>
      <c r="B2535" t="s">
        <v>205</v>
      </c>
      <c r="C2535">
        <v>202208</v>
      </c>
      <c r="D2535" t="str">
        <f t="shared" si="39"/>
        <v>2022</v>
      </c>
      <c r="E2535">
        <v>2383</v>
      </c>
      <c r="F2535">
        <v>57122</v>
      </c>
      <c r="G2535">
        <v>4.17</v>
      </c>
      <c r="H2535" t="s">
        <v>10</v>
      </c>
      <c r="I2535" t="s">
        <v>11</v>
      </c>
    </row>
    <row r="2536" spans="1:9" hidden="1" x14ac:dyDescent="0.25">
      <c r="A2536" t="s">
        <v>24</v>
      </c>
      <c r="B2536" t="s">
        <v>205</v>
      </c>
      <c r="C2536">
        <v>202209</v>
      </c>
      <c r="D2536" t="str">
        <f t="shared" si="39"/>
        <v>2022</v>
      </c>
      <c r="E2536">
        <v>2312</v>
      </c>
      <c r="F2536">
        <v>57122</v>
      </c>
      <c r="G2536">
        <v>4.05</v>
      </c>
      <c r="H2536" t="s">
        <v>10</v>
      </c>
      <c r="I2536" t="s">
        <v>11</v>
      </c>
    </row>
    <row r="2537" spans="1:9" hidden="1" x14ac:dyDescent="0.25">
      <c r="A2537" t="s">
        <v>24</v>
      </c>
      <c r="B2537" t="s">
        <v>205</v>
      </c>
      <c r="C2537">
        <v>202210</v>
      </c>
      <c r="D2537" t="str">
        <f t="shared" si="39"/>
        <v>2022</v>
      </c>
      <c r="E2537">
        <v>2242</v>
      </c>
      <c r="F2537">
        <v>57122</v>
      </c>
      <c r="G2537">
        <v>3.92</v>
      </c>
      <c r="H2537" t="s">
        <v>10</v>
      </c>
      <c r="I2537" t="s">
        <v>11</v>
      </c>
    </row>
    <row r="2538" spans="1:9" hidden="1" x14ac:dyDescent="0.25">
      <c r="A2538" t="s">
        <v>24</v>
      </c>
      <c r="B2538" t="s">
        <v>205</v>
      </c>
      <c r="C2538">
        <v>202211</v>
      </c>
      <c r="D2538" t="str">
        <f t="shared" si="39"/>
        <v>2022</v>
      </c>
      <c r="E2538">
        <v>2247</v>
      </c>
      <c r="F2538">
        <v>57122</v>
      </c>
      <c r="G2538">
        <v>3.93</v>
      </c>
      <c r="H2538" t="s">
        <v>10</v>
      </c>
      <c r="I2538" t="s">
        <v>11</v>
      </c>
    </row>
    <row r="2539" spans="1:9" hidden="1" x14ac:dyDescent="0.25">
      <c r="A2539" t="s">
        <v>24</v>
      </c>
      <c r="B2539" t="s">
        <v>205</v>
      </c>
      <c r="C2539">
        <v>202212</v>
      </c>
      <c r="D2539" t="str">
        <f t="shared" si="39"/>
        <v>2022</v>
      </c>
      <c r="E2539">
        <v>2302</v>
      </c>
      <c r="F2539">
        <v>57122</v>
      </c>
      <c r="G2539">
        <v>4.03</v>
      </c>
      <c r="H2539" t="s">
        <v>10</v>
      </c>
      <c r="I2539" t="s">
        <v>11</v>
      </c>
    </row>
    <row r="2540" spans="1:9" hidden="1" x14ac:dyDescent="0.25">
      <c r="A2540" t="s">
        <v>24</v>
      </c>
      <c r="B2540" t="s">
        <v>205</v>
      </c>
      <c r="C2540">
        <v>202301</v>
      </c>
      <c r="D2540" t="str">
        <f t="shared" si="39"/>
        <v>2023</v>
      </c>
      <c r="E2540">
        <v>2254</v>
      </c>
      <c r="F2540">
        <v>57122</v>
      </c>
      <c r="G2540">
        <v>3.95</v>
      </c>
      <c r="H2540" t="s">
        <v>10</v>
      </c>
      <c r="I2540" t="s">
        <v>11</v>
      </c>
    </row>
    <row r="2541" spans="1:9" hidden="1" x14ac:dyDescent="0.25">
      <c r="A2541" t="s">
        <v>24</v>
      </c>
      <c r="B2541" t="s">
        <v>205</v>
      </c>
      <c r="C2541">
        <v>202302</v>
      </c>
      <c r="D2541" t="str">
        <f t="shared" si="39"/>
        <v>2023</v>
      </c>
      <c r="E2541">
        <v>2630</v>
      </c>
      <c r="F2541">
        <v>57122</v>
      </c>
      <c r="G2541">
        <v>4.5999999999999996</v>
      </c>
      <c r="H2541" t="s">
        <v>10</v>
      </c>
      <c r="I2541" t="s">
        <v>11</v>
      </c>
    </row>
    <row r="2542" spans="1:9" hidden="1" x14ac:dyDescent="0.25">
      <c r="A2542" t="s">
        <v>24</v>
      </c>
      <c r="B2542" t="s">
        <v>205</v>
      </c>
      <c r="C2542">
        <v>202303</v>
      </c>
      <c r="D2542" t="str">
        <f t="shared" si="39"/>
        <v>2023</v>
      </c>
      <c r="E2542">
        <v>2922</v>
      </c>
      <c r="F2542">
        <v>57122</v>
      </c>
      <c r="G2542">
        <v>5.12</v>
      </c>
      <c r="H2542" t="s">
        <v>10</v>
      </c>
      <c r="I2542" t="s">
        <v>11</v>
      </c>
    </row>
    <row r="2543" spans="1:9" hidden="1" x14ac:dyDescent="0.25">
      <c r="A2543" t="s">
        <v>24</v>
      </c>
      <c r="B2543" t="s">
        <v>205</v>
      </c>
      <c r="C2543">
        <v>202304</v>
      </c>
      <c r="D2543" t="str">
        <f t="shared" si="39"/>
        <v>2023</v>
      </c>
      <c r="E2543">
        <v>2939</v>
      </c>
      <c r="F2543">
        <v>57122</v>
      </c>
      <c r="G2543">
        <v>5.15</v>
      </c>
      <c r="H2543" t="s">
        <v>10</v>
      </c>
      <c r="I2543" t="s">
        <v>11</v>
      </c>
    </row>
    <row r="2544" spans="1:9" hidden="1" x14ac:dyDescent="0.25">
      <c r="A2544" t="s">
        <v>24</v>
      </c>
      <c r="B2544" t="s">
        <v>205</v>
      </c>
      <c r="C2544">
        <v>202305</v>
      </c>
      <c r="D2544" t="str">
        <f t="shared" si="39"/>
        <v>2023</v>
      </c>
      <c r="E2544">
        <v>2614</v>
      </c>
      <c r="F2544">
        <v>57122</v>
      </c>
      <c r="G2544">
        <v>4.58</v>
      </c>
      <c r="H2544" t="s">
        <v>10</v>
      </c>
      <c r="I2544" t="s">
        <v>11</v>
      </c>
    </row>
    <row r="2545" spans="1:9" hidden="1" x14ac:dyDescent="0.25">
      <c r="A2545" t="s">
        <v>24</v>
      </c>
      <c r="B2545" t="s">
        <v>205</v>
      </c>
      <c r="C2545">
        <v>202306</v>
      </c>
      <c r="D2545" t="str">
        <f t="shared" si="39"/>
        <v>2023</v>
      </c>
      <c r="E2545">
        <v>2808</v>
      </c>
      <c r="F2545">
        <v>57122</v>
      </c>
      <c r="G2545">
        <v>4.92</v>
      </c>
      <c r="H2545" t="s">
        <v>10</v>
      </c>
      <c r="I2545" t="s">
        <v>11</v>
      </c>
    </row>
    <row r="2546" spans="1:9" hidden="1" x14ac:dyDescent="0.25">
      <c r="A2546" t="s">
        <v>24</v>
      </c>
      <c r="B2546" t="s">
        <v>205</v>
      </c>
      <c r="C2546">
        <v>202307</v>
      </c>
      <c r="D2546" t="str">
        <f t="shared" si="39"/>
        <v>2023</v>
      </c>
      <c r="E2546">
        <v>2891</v>
      </c>
      <c r="F2546">
        <v>57122</v>
      </c>
      <c r="G2546">
        <v>5.0599999999999996</v>
      </c>
      <c r="H2546" t="s">
        <v>10</v>
      </c>
      <c r="I2546" t="s">
        <v>11</v>
      </c>
    </row>
    <row r="2547" spans="1:9" hidden="1" x14ac:dyDescent="0.25">
      <c r="A2547" t="s">
        <v>24</v>
      </c>
      <c r="B2547" t="s">
        <v>205</v>
      </c>
      <c r="C2547">
        <v>202308</v>
      </c>
      <c r="D2547" t="str">
        <f t="shared" si="39"/>
        <v>2023</v>
      </c>
      <c r="E2547">
        <v>2680</v>
      </c>
      <c r="F2547">
        <v>57122</v>
      </c>
      <c r="G2547">
        <v>4.6900000000000004</v>
      </c>
      <c r="H2547" t="s">
        <v>10</v>
      </c>
      <c r="I2547" t="s">
        <v>11</v>
      </c>
    </row>
    <row r="2548" spans="1:9" hidden="1" x14ac:dyDescent="0.25">
      <c r="A2548" t="s">
        <v>24</v>
      </c>
      <c r="B2548" t="s">
        <v>205</v>
      </c>
      <c r="C2548">
        <v>202309</v>
      </c>
      <c r="D2548" t="str">
        <f t="shared" si="39"/>
        <v>2023</v>
      </c>
      <c r="E2548">
        <v>2718</v>
      </c>
      <c r="F2548">
        <v>57122</v>
      </c>
      <c r="G2548">
        <v>4.76</v>
      </c>
      <c r="H2548" t="s">
        <v>10</v>
      </c>
      <c r="I2548" t="s">
        <v>11</v>
      </c>
    </row>
    <row r="2549" spans="1:9" hidden="1" x14ac:dyDescent="0.25">
      <c r="A2549" t="s">
        <v>24</v>
      </c>
      <c r="B2549" t="s">
        <v>205</v>
      </c>
      <c r="C2549">
        <v>202310</v>
      </c>
      <c r="D2549" t="str">
        <f t="shared" si="39"/>
        <v>2023</v>
      </c>
      <c r="E2549">
        <v>2732</v>
      </c>
      <c r="F2549">
        <v>57122</v>
      </c>
      <c r="G2549">
        <v>4.78</v>
      </c>
      <c r="H2549" t="s">
        <v>10</v>
      </c>
      <c r="I2549" t="s">
        <v>11</v>
      </c>
    </row>
    <row r="2550" spans="1:9" hidden="1" x14ac:dyDescent="0.25">
      <c r="A2550" t="s">
        <v>24</v>
      </c>
      <c r="B2550" t="s">
        <v>205</v>
      </c>
      <c r="C2550">
        <v>202311</v>
      </c>
      <c r="D2550" t="str">
        <f t="shared" si="39"/>
        <v>2023</v>
      </c>
      <c r="E2550">
        <v>3034</v>
      </c>
      <c r="F2550">
        <v>57122</v>
      </c>
      <c r="G2550">
        <v>5.31</v>
      </c>
      <c r="H2550" t="s">
        <v>10</v>
      </c>
      <c r="I2550" t="s">
        <v>11</v>
      </c>
    </row>
    <row r="2551" spans="1:9" hidden="1" x14ac:dyDescent="0.25">
      <c r="A2551" t="s">
        <v>24</v>
      </c>
      <c r="B2551" t="s">
        <v>205</v>
      </c>
      <c r="C2551">
        <v>202312</v>
      </c>
      <c r="D2551" t="str">
        <f t="shared" si="39"/>
        <v>2023</v>
      </c>
      <c r="E2551">
        <v>1190</v>
      </c>
      <c r="F2551">
        <v>57122</v>
      </c>
      <c r="G2551">
        <v>2.08</v>
      </c>
      <c r="H2551" t="s">
        <v>10</v>
      </c>
      <c r="I2551" t="s">
        <v>11</v>
      </c>
    </row>
    <row r="2552" spans="1:9" hidden="1" x14ac:dyDescent="0.25">
      <c r="A2552" t="s">
        <v>24</v>
      </c>
      <c r="B2552" t="s">
        <v>109</v>
      </c>
      <c r="C2552">
        <v>202201</v>
      </c>
      <c r="D2552" t="str">
        <f t="shared" si="39"/>
        <v>2022</v>
      </c>
      <c r="E2552">
        <v>1880</v>
      </c>
      <c r="F2552">
        <v>56330</v>
      </c>
      <c r="G2552">
        <v>3.34</v>
      </c>
      <c r="H2552" t="s">
        <v>10</v>
      </c>
      <c r="I2552" t="s">
        <v>11</v>
      </c>
    </row>
    <row r="2553" spans="1:9" hidden="1" x14ac:dyDescent="0.25">
      <c r="A2553" t="s">
        <v>24</v>
      </c>
      <c r="B2553" t="s">
        <v>109</v>
      </c>
      <c r="C2553">
        <v>202202</v>
      </c>
      <c r="D2553" t="str">
        <f t="shared" si="39"/>
        <v>2022</v>
      </c>
      <c r="E2553">
        <v>2069</v>
      </c>
      <c r="F2553">
        <v>56330</v>
      </c>
      <c r="G2553">
        <v>3.67</v>
      </c>
      <c r="H2553" t="s">
        <v>10</v>
      </c>
      <c r="I2553" t="s">
        <v>11</v>
      </c>
    </row>
    <row r="2554" spans="1:9" hidden="1" x14ac:dyDescent="0.25">
      <c r="A2554" t="s">
        <v>24</v>
      </c>
      <c r="B2554" t="s">
        <v>109</v>
      </c>
      <c r="C2554">
        <v>202203</v>
      </c>
      <c r="D2554" t="str">
        <f t="shared" si="39"/>
        <v>2022</v>
      </c>
      <c r="E2554">
        <v>2308</v>
      </c>
      <c r="F2554">
        <v>56330</v>
      </c>
      <c r="G2554">
        <v>4.0999999999999996</v>
      </c>
      <c r="H2554" t="s">
        <v>10</v>
      </c>
      <c r="I2554" t="s">
        <v>11</v>
      </c>
    </row>
    <row r="2555" spans="1:9" hidden="1" x14ac:dyDescent="0.25">
      <c r="A2555" t="s">
        <v>24</v>
      </c>
      <c r="B2555" t="s">
        <v>109</v>
      </c>
      <c r="C2555">
        <v>202204</v>
      </c>
      <c r="D2555" t="str">
        <f t="shared" si="39"/>
        <v>2022</v>
      </c>
      <c r="E2555">
        <v>1901</v>
      </c>
      <c r="F2555">
        <v>56330</v>
      </c>
      <c r="G2555">
        <v>3.37</v>
      </c>
      <c r="H2555" t="s">
        <v>10</v>
      </c>
      <c r="I2555" t="s">
        <v>11</v>
      </c>
    </row>
    <row r="2556" spans="1:9" hidden="1" x14ac:dyDescent="0.25">
      <c r="A2556" t="s">
        <v>24</v>
      </c>
      <c r="B2556" t="s">
        <v>109</v>
      </c>
      <c r="C2556">
        <v>202205</v>
      </c>
      <c r="D2556" t="str">
        <f t="shared" si="39"/>
        <v>2022</v>
      </c>
      <c r="E2556">
        <v>2171</v>
      </c>
      <c r="F2556">
        <v>56330</v>
      </c>
      <c r="G2556">
        <v>3.85</v>
      </c>
      <c r="H2556" t="s">
        <v>10</v>
      </c>
      <c r="I2556" t="s">
        <v>11</v>
      </c>
    </row>
    <row r="2557" spans="1:9" hidden="1" x14ac:dyDescent="0.25">
      <c r="A2557" t="s">
        <v>24</v>
      </c>
      <c r="B2557" t="s">
        <v>109</v>
      </c>
      <c r="C2557">
        <v>202206</v>
      </c>
      <c r="D2557" t="str">
        <f t="shared" si="39"/>
        <v>2022</v>
      </c>
      <c r="E2557">
        <v>1997</v>
      </c>
      <c r="F2557">
        <v>56330</v>
      </c>
      <c r="G2557">
        <v>3.55</v>
      </c>
      <c r="H2557" t="s">
        <v>10</v>
      </c>
      <c r="I2557" t="s">
        <v>11</v>
      </c>
    </row>
    <row r="2558" spans="1:9" hidden="1" x14ac:dyDescent="0.25">
      <c r="A2558" t="s">
        <v>24</v>
      </c>
      <c r="B2558" t="s">
        <v>109</v>
      </c>
      <c r="C2558">
        <v>202207</v>
      </c>
      <c r="D2558" t="str">
        <f t="shared" si="39"/>
        <v>2022</v>
      </c>
      <c r="E2558">
        <v>1820</v>
      </c>
      <c r="F2558">
        <v>56330</v>
      </c>
      <c r="G2558">
        <v>3.23</v>
      </c>
      <c r="H2558" t="s">
        <v>10</v>
      </c>
      <c r="I2558" t="s">
        <v>11</v>
      </c>
    </row>
    <row r="2559" spans="1:9" hidden="1" x14ac:dyDescent="0.25">
      <c r="A2559" t="s">
        <v>24</v>
      </c>
      <c r="B2559" t="s">
        <v>109</v>
      </c>
      <c r="C2559">
        <v>202208</v>
      </c>
      <c r="D2559" t="str">
        <f t="shared" si="39"/>
        <v>2022</v>
      </c>
      <c r="E2559">
        <v>2378</v>
      </c>
      <c r="F2559">
        <v>56330</v>
      </c>
      <c r="G2559">
        <v>4.22</v>
      </c>
      <c r="H2559" t="s">
        <v>10</v>
      </c>
      <c r="I2559" t="s">
        <v>11</v>
      </c>
    </row>
    <row r="2560" spans="1:9" hidden="1" x14ac:dyDescent="0.25">
      <c r="A2560" t="s">
        <v>24</v>
      </c>
      <c r="B2560" t="s">
        <v>109</v>
      </c>
      <c r="C2560">
        <v>202209</v>
      </c>
      <c r="D2560" t="str">
        <f t="shared" si="39"/>
        <v>2022</v>
      </c>
      <c r="E2560">
        <v>2312</v>
      </c>
      <c r="F2560">
        <v>56330</v>
      </c>
      <c r="G2560">
        <v>4.0999999999999996</v>
      </c>
      <c r="H2560" t="s">
        <v>10</v>
      </c>
      <c r="I2560" t="s">
        <v>11</v>
      </c>
    </row>
    <row r="2561" spans="1:9" hidden="1" x14ac:dyDescent="0.25">
      <c r="A2561" t="s">
        <v>24</v>
      </c>
      <c r="B2561" t="s">
        <v>109</v>
      </c>
      <c r="C2561">
        <v>202210</v>
      </c>
      <c r="D2561" t="str">
        <f t="shared" si="39"/>
        <v>2022</v>
      </c>
      <c r="E2561">
        <v>2214</v>
      </c>
      <c r="F2561">
        <v>56330</v>
      </c>
      <c r="G2561">
        <v>3.93</v>
      </c>
      <c r="H2561" t="s">
        <v>10</v>
      </c>
      <c r="I2561" t="s">
        <v>11</v>
      </c>
    </row>
    <row r="2562" spans="1:9" hidden="1" x14ac:dyDescent="0.25">
      <c r="A2562" t="s">
        <v>24</v>
      </c>
      <c r="B2562" t="s">
        <v>109</v>
      </c>
      <c r="C2562">
        <v>202211</v>
      </c>
      <c r="D2562" t="str">
        <f t="shared" si="39"/>
        <v>2022</v>
      </c>
      <c r="E2562">
        <v>2238</v>
      </c>
      <c r="F2562">
        <v>56330</v>
      </c>
      <c r="G2562">
        <v>3.97</v>
      </c>
      <c r="H2562" t="s">
        <v>10</v>
      </c>
      <c r="I2562" t="s">
        <v>11</v>
      </c>
    </row>
    <row r="2563" spans="1:9" hidden="1" x14ac:dyDescent="0.25">
      <c r="A2563" t="s">
        <v>24</v>
      </c>
      <c r="B2563" t="s">
        <v>109</v>
      </c>
      <c r="C2563">
        <v>202212</v>
      </c>
      <c r="D2563" t="str">
        <f t="shared" ref="D2563:D2626" si="40">LEFT(C2563,4)</f>
        <v>2022</v>
      </c>
      <c r="E2563">
        <v>2293</v>
      </c>
      <c r="F2563">
        <v>56330</v>
      </c>
      <c r="G2563">
        <v>4.07</v>
      </c>
      <c r="H2563" t="s">
        <v>10</v>
      </c>
      <c r="I2563" t="s">
        <v>11</v>
      </c>
    </row>
    <row r="2564" spans="1:9" hidden="1" x14ac:dyDescent="0.25">
      <c r="A2564" t="s">
        <v>24</v>
      </c>
      <c r="B2564" t="s">
        <v>109</v>
      </c>
      <c r="C2564">
        <v>202301</v>
      </c>
      <c r="D2564" t="str">
        <f t="shared" si="40"/>
        <v>2023</v>
      </c>
      <c r="E2564">
        <v>2256</v>
      </c>
      <c r="F2564">
        <v>56330</v>
      </c>
      <c r="G2564">
        <v>4</v>
      </c>
      <c r="H2564" t="s">
        <v>10</v>
      </c>
      <c r="I2564" t="s">
        <v>11</v>
      </c>
    </row>
    <row r="2565" spans="1:9" hidden="1" x14ac:dyDescent="0.25">
      <c r="A2565" t="s">
        <v>24</v>
      </c>
      <c r="B2565" t="s">
        <v>109</v>
      </c>
      <c r="C2565">
        <v>202302</v>
      </c>
      <c r="D2565" t="str">
        <f t="shared" si="40"/>
        <v>2023</v>
      </c>
      <c r="E2565">
        <v>2626</v>
      </c>
      <c r="F2565">
        <v>56330</v>
      </c>
      <c r="G2565">
        <v>4.66</v>
      </c>
      <c r="H2565" t="s">
        <v>10</v>
      </c>
      <c r="I2565" t="s">
        <v>11</v>
      </c>
    </row>
    <row r="2566" spans="1:9" hidden="1" x14ac:dyDescent="0.25">
      <c r="A2566" t="s">
        <v>24</v>
      </c>
      <c r="B2566" t="s">
        <v>109</v>
      </c>
      <c r="C2566">
        <v>202303</v>
      </c>
      <c r="D2566" t="str">
        <f t="shared" si="40"/>
        <v>2023</v>
      </c>
      <c r="E2566">
        <v>2906</v>
      </c>
      <c r="F2566">
        <v>56330</v>
      </c>
      <c r="G2566">
        <v>5.16</v>
      </c>
      <c r="H2566" t="s">
        <v>10</v>
      </c>
      <c r="I2566" t="s">
        <v>11</v>
      </c>
    </row>
    <row r="2567" spans="1:9" hidden="1" x14ac:dyDescent="0.25">
      <c r="A2567" t="s">
        <v>24</v>
      </c>
      <c r="B2567" t="s">
        <v>109</v>
      </c>
      <c r="C2567">
        <v>202304</v>
      </c>
      <c r="D2567" t="str">
        <f t="shared" si="40"/>
        <v>2023</v>
      </c>
      <c r="E2567">
        <v>2936</v>
      </c>
      <c r="F2567">
        <v>56330</v>
      </c>
      <c r="G2567">
        <v>5.21</v>
      </c>
      <c r="H2567" t="s">
        <v>10</v>
      </c>
      <c r="I2567" t="s">
        <v>11</v>
      </c>
    </row>
    <row r="2568" spans="1:9" hidden="1" x14ac:dyDescent="0.25">
      <c r="A2568" t="s">
        <v>24</v>
      </c>
      <c r="B2568" t="s">
        <v>109</v>
      </c>
      <c r="C2568">
        <v>202305</v>
      </c>
      <c r="D2568" t="str">
        <f t="shared" si="40"/>
        <v>2023</v>
      </c>
      <c r="E2568">
        <v>2578</v>
      </c>
      <c r="F2568">
        <v>56330</v>
      </c>
      <c r="G2568">
        <v>4.58</v>
      </c>
      <c r="H2568" t="s">
        <v>10</v>
      </c>
      <c r="I2568" t="s">
        <v>11</v>
      </c>
    </row>
    <row r="2569" spans="1:9" hidden="1" x14ac:dyDescent="0.25">
      <c r="A2569" t="s">
        <v>24</v>
      </c>
      <c r="B2569" t="s">
        <v>109</v>
      </c>
      <c r="C2569">
        <v>202306</v>
      </c>
      <c r="D2569" t="str">
        <f t="shared" si="40"/>
        <v>2023</v>
      </c>
      <c r="E2569">
        <v>2786</v>
      </c>
      <c r="F2569">
        <v>56330</v>
      </c>
      <c r="G2569">
        <v>4.95</v>
      </c>
      <c r="H2569" t="s">
        <v>10</v>
      </c>
      <c r="I2569" t="s">
        <v>11</v>
      </c>
    </row>
    <row r="2570" spans="1:9" hidden="1" x14ac:dyDescent="0.25">
      <c r="A2570" t="s">
        <v>24</v>
      </c>
      <c r="B2570" t="s">
        <v>109</v>
      </c>
      <c r="C2570">
        <v>202307</v>
      </c>
      <c r="D2570" t="str">
        <f t="shared" si="40"/>
        <v>2023</v>
      </c>
      <c r="E2570">
        <v>2873</v>
      </c>
      <c r="F2570">
        <v>56330</v>
      </c>
      <c r="G2570">
        <v>5.0999999999999996</v>
      </c>
      <c r="H2570" t="s">
        <v>10</v>
      </c>
      <c r="I2570" t="s">
        <v>11</v>
      </c>
    </row>
    <row r="2571" spans="1:9" hidden="1" x14ac:dyDescent="0.25">
      <c r="A2571" t="s">
        <v>24</v>
      </c>
      <c r="B2571" t="s">
        <v>109</v>
      </c>
      <c r="C2571">
        <v>202308</v>
      </c>
      <c r="D2571" t="str">
        <f t="shared" si="40"/>
        <v>2023</v>
      </c>
      <c r="E2571">
        <v>2663</v>
      </c>
      <c r="F2571">
        <v>56330</v>
      </c>
      <c r="G2571">
        <v>4.7300000000000004</v>
      </c>
      <c r="H2571" t="s">
        <v>10</v>
      </c>
      <c r="I2571" t="s">
        <v>11</v>
      </c>
    </row>
    <row r="2572" spans="1:9" hidden="1" x14ac:dyDescent="0.25">
      <c r="A2572" t="s">
        <v>24</v>
      </c>
      <c r="B2572" t="s">
        <v>109</v>
      </c>
      <c r="C2572">
        <v>202309</v>
      </c>
      <c r="D2572" t="str">
        <f t="shared" si="40"/>
        <v>2023</v>
      </c>
      <c r="E2572">
        <v>2690</v>
      </c>
      <c r="F2572">
        <v>56330</v>
      </c>
      <c r="G2572">
        <v>4.78</v>
      </c>
      <c r="H2572" t="s">
        <v>10</v>
      </c>
      <c r="I2572" t="s">
        <v>11</v>
      </c>
    </row>
    <row r="2573" spans="1:9" hidden="1" x14ac:dyDescent="0.25">
      <c r="A2573" t="s">
        <v>24</v>
      </c>
      <c r="B2573" t="s">
        <v>109</v>
      </c>
      <c r="C2573">
        <v>202310</v>
      </c>
      <c r="D2573" t="str">
        <f t="shared" si="40"/>
        <v>2023</v>
      </c>
      <c r="E2573">
        <v>2511</v>
      </c>
      <c r="F2573">
        <v>56330</v>
      </c>
      <c r="G2573">
        <v>4.46</v>
      </c>
      <c r="H2573" t="s">
        <v>10</v>
      </c>
      <c r="I2573" t="s">
        <v>11</v>
      </c>
    </row>
    <row r="2574" spans="1:9" hidden="1" x14ac:dyDescent="0.25">
      <c r="A2574" t="s">
        <v>24</v>
      </c>
      <c r="B2574" t="s">
        <v>109</v>
      </c>
      <c r="C2574">
        <v>202311</v>
      </c>
      <c r="D2574" t="str">
        <f t="shared" si="40"/>
        <v>2023</v>
      </c>
      <c r="E2574">
        <v>2826</v>
      </c>
      <c r="F2574">
        <v>56330</v>
      </c>
      <c r="G2574">
        <v>5.0199999999999996</v>
      </c>
      <c r="H2574" t="s">
        <v>10</v>
      </c>
      <c r="I2574" t="s">
        <v>11</v>
      </c>
    </row>
    <row r="2575" spans="1:9" hidden="1" x14ac:dyDescent="0.25">
      <c r="A2575" t="s">
        <v>24</v>
      </c>
      <c r="B2575" t="s">
        <v>109</v>
      </c>
      <c r="C2575">
        <v>202312</v>
      </c>
      <c r="D2575" t="str">
        <f t="shared" si="40"/>
        <v>2023</v>
      </c>
      <c r="E2575">
        <v>1098</v>
      </c>
      <c r="F2575">
        <v>56330</v>
      </c>
      <c r="G2575">
        <v>1.95</v>
      </c>
      <c r="H2575" t="s">
        <v>10</v>
      </c>
      <c r="I2575" t="s">
        <v>11</v>
      </c>
    </row>
    <row r="2576" spans="1:9" hidden="1" x14ac:dyDescent="0.25">
      <c r="A2576" t="s">
        <v>24</v>
      </c>
      <c r="B2576" t="s">
        <v>83</v>
      </c>
      <c r="C2576">
        <v>202201</v>
      </c>
      <c r="D2576" t="str">
        <f t="shared" si="40"/>
        <v>2022</v>
      </c>
      <c r="E2576">
        <v>1881</v>
      </c>
      <c r="F2576">
        <v>62327</v>
      </c>
      <c r="G2576">
        <v>3.02</v>
      </c>
      <c r="H2576" t="s">
        <v>10</v>
      </c>
      <c r="I2576" t="s">
        <v>11</v>
      </c>
    </row>
    <row r="2577" spans="1:9" hidden="1" x14ac:dyDescent="0.25">
      <c r="A2577" t="s">
        <v>24</v>
      </c>
      <c r="B2577" t="s">
        <v>83</v>
      </c>
      <c r="C2577">
        <v>202202</v>
      </c>
      <c r="D2577" t="str">
        <f t="shared" si="40"/>
        <v>2022</v>
      </c>
      <c r="E2577">
        <v>2080</v>
      </c>
      <c r="F2577">
        <v>62327</v>
      </c>
      <c r="G2577">
        <v>3.34</v>
      </c>
      <c r="H2577" t="s">
        <v>10</v>
      </c>
      <c r="I2577" t="s">
        <v>11</v>
      </c>
    </row>
    <row r="2578" spans="1:9" hidden="1" x14ac:dyDescent="0.25">
      <c r="A2578" t="s">
        <v>24</v>
      </c>
      <c r="B2578" t="s">
        <v>83</v>
      </c>
      <c r="C2578">
        <v>202203</v>
      </c>
      <c r="D2578" t="str">
        <f t="shared" si="40"/>
        <v>2022</v>
      </c>
      <c r="E2578">
        <v>2317</v>
      </c>
      <c r="F2578">
        <v>62327</v>
      </c>
      <c r="G2578">
        <v>3.72</v>
      </c>
      <c r="H2578" t="s">
        <v>10</v>
      </c>
      <c r="I2578" t="s">
        <v>11</v>
      </c>
    </row>
    <row r="2579" spans="1:9" hidden="1" x14ac:dyDescent="0.25">
      <c r="A2579" t="s">
        <v>24</v>
      </c>
      <c r="B2579" t="s">
        <v>83</v>
      </c>
      <c r="C2579">
        <v>202204</v>
      </c>
      <c r="D2579" t="str">
        <f t="shared" si="40"/>
        <v>2022</v>
      </c>
      <c r="E2579">
        <v>1899</v>
      </c>
      <c r="F2579">
        <v>62327</v>
      </c>
      <c r="G2579">
        <v>3.05</v>
      </c>
      <c r="H2579" t="s">
        <v>10</v>
      </c>
      <c r="I2579" t="s">
        <v>11</v>
      </c>
    </row>
    <row r="2580" spans="1:9" hidden="1" x14ac:dyDescent="0.25">
      <c r="A2580" t="s">
        <v>24</v>
      </c>
      <c r="B2580" t="s">
        <v>83</v>
      </c>
      <c r="C2580">
        <v>202205</v>
      </c>
      <c r="D2580" t="str">
        <f t="shared" si="40"/>
        <v>2022</v>
      </c>
      <c r="E2580">
        <v>2119</v>
      </c>
      <c r="F2580">
        <v>62327</v>
      </c>
      <c r="G2580">
        <v>3.4</v>
      </c>
      <c r="H2580" t="s">
        <v>10</v>
      </c>
      <c r="I2580" t="s">
        <v>11</v>
      </c>
    </row>
    <row r="2581" spans="1:9" hidden="1" x14ac:dyDescent="0.25">
      <c r="A2581" t="s">
        <v>24</v>
      </c>
      <c r="B2581" t="s">
        <v>83</v>
      </c>
      <c r="C2581">
        <v>202206</v>
      </c>
      <c r="D2581" t="str">
        <f t="shared" si="40"/>
        <v>2022</v>
      </c>
      <c r="E2581">
        <v>1998</v>
      </c>
      <c r="F2581">
        <v>62327</v>
      </c>
      <c r="G2581">
        <v>3.21</v>
      </c>
      <c r="H2581" t="s">
        <v>10</v>
      </c>
      <c r="I2581" t="s">
        <v>11</v>
      </c>
    </row>
    <row r="2582" spans="1:9" hidden="1" x14ac:dyDescent="0.25">
      <c r="A2582" t="s">
        <v>24</v>
      </c>
      <c r="B2582" t="s">
        <v>83</v>
      </c>
      <c r="C2582">
        <v>202207</v>
      </c>
      <c r="D2582" t="str">
        <f t="shared" si="40"/>
        <v>2022</v>
      </c>
      <c r="E2582">
        <v>1760</v>
      </c>
      <c r="F2582">
        <v>62327</v>
      </c>
      <c r="G2582">
        <v>2.82</v>
      </c>
      <c r="H2582" t="s">
        <v>10</v>
      </c>
      <c r="I2582" t="s">
        <v>11</v>
      </c>
    </row>
    <row r="2583" spans="1:9" hidden="1" x14ac:dyDescent="0.25">
      <c r="A2583" t="s">
        <v>24</v>
      </c>
      <c r="B2583" t="s">
        <v>83</v>
      </c>
      <c r="C2583">
        <v>202208</v>
      </c>
      <c r="D2583" t="str">
        <f t="shared" si="40"/>
        <v>2022</v>
      </c>
      <c r="E2583">
        <v>2397</v>
      </c>
      <c r="F2583">
        <v>62327</v>
      </c>
      <c r="G2583">
        <v>3.85</v>
      </c>
      <c r="H2583" t="s">
        <v>10</v>
      </c>
      <c r="I2583" t="s">
        <v>11</v>
      </c>
    </row>
    <row r="2584" spans="1:9" hidden="1" x14ac:dyDescent="0.25">
      <c r="A2584" t="s">
        <v>24</v>
      </c>
      <c r="B2584" t="s">
        <v>83</v>
      </c>
      <c r="C2584">
        <v>202209</v>
      </c>
      <c r="D2584" t="str">
        <f t="shared" si="40"/>
        <v>2022</v>
      </c>
      <c r="E2584">
        <v>2365</v>
      </c>
      <c r="F2584">
        <v>62327</v>
      </c>
      <c r="G2584">
        <v>3.79</v>
      </c>
      <c r="H2584" t="s">
        <v>10</v>
      </c>
      <c r="I2584" t="s">
        <v>11</v>
      </c>
    </row>
    <row r="2585" spans="1:9" hidden="1" x14ac:dyDescent="0.25">
      <c r="A2585" t="s">
        <v>24</v>
      </c>
      <c r="B2585" t="s">
        <v>83</v>
      </c>
      <c r="C2585">
        <v>202210</v>
      </c>
      <c r="D2585" t="str">
        <f t="shared" si="40"/>
        <v>2022</v>
      </c>
      <c r="E2585">
        <v>2267</v>
      </c>
      <c r="F2585">
        <v>62327</v>
      </c>
      <c r="G2585">
        <v>3.64</v>
      </c>
      <c r="H2585" t="s">
        <v>10</v>
      </c>
      <c r="I2585" t="s">
        <v>11</v>
      </c>
    </row>
    <row r="2586" spans="1:9" hidden="1" x14ac:dyDescent="0.25">
      <c r="A2586" t="s">
        <v>24</v>
      </c>
      <c r="B2586" t="s">
        <v>83</v>
      </c>
      <c r="C2586">
        <v>202211</v>
      </c>
      <c r="D2586" t="str">
        <f t="shared" si="40"/>
        <v>2022</v>
      </c>
      <c r="E2586">
        <v>2276</v>
      </c>
      <c r="F2586">
        <v>62327</v>
      </c>
      <c r="G2586">
        <v>3.65</v>
      </c>
      <c r="H2586" t="s">
        <v>10</v>
      </c>
      <c r="I2586" t="s">
        <v>11</v>
      </c>
    </row>
    <row r="2587" spans="1:9" hidden="1" x14ac:dyDescent="0.25">
      <c r="A2587" t="s">
        <v>24</v>
      </c>
      <c r="B2587" t="s">
        <v>83</v>
      </c>
      <c r="C2587">
        <v>202212</v>
      </c>
      <c r="D2587" t="str">
        <f t="shared" si="40"/>
        <v>2022</v>
      </c>
      <c r="E2587">
        <v>2257</v>
      </c>
      <c r="F2587">
        <v>62327</v>
      </c>
      <c r="G2587">
        <v>3.62</v>
      </c>
      <c r="H2587" t="s">
        <v>10</v>
      </c>
      <c r="I2587" t="s">
        <v>11</v>
      </c>
    </row>
    <row r="2588" spans="1:9" hidden="1" x14ac:dyDescent="0.25">
      <c r="A2588" t="s">
        <v>24</v>
      </c>
      <c r="B2588" t="s">
        <v>83</v>
      </c>
      <c r="C2588">
        <v>202301</v>
      </c>
      <c r="D2588" t="str">
        <f t="shared" si="40"/>
        <v>2023</v>
      </c>
      <c r="E2588">
        <v>2262</v>
      </c>
      <c r="F2588">
        <v>62327</v>
      </c>
      <c r="G2588">
        <v>3.63</v>
      </c>
      <c r="H2588" t="s">
        <v>10</v>
      </c>
      <c r="I2588" t="s">
        <v>11</v>
      </c>
    </row>
    <row r="2589" spans="1:9" hidden="1" x14ac:dyDescent="0.25">
      <c r="A2589" t="s">
        <v>24</v>
      </c>
      <c r="B2589" t="s">
        <v>83</v>
      </c>
      <c r="C2589">
        <v>202302</v>
      </c>
      <c r="D2589" t="str">
        <f t="shared" si="40"/>
        <v>2023</v>
      </c>
      <c r="E2589">
        <v>2624</v>
      </c>
      <c r="F2589">
        <v>62327</v>
      </c>
      <c r="G2589">
        <v>4.21</v>
      </c>
      <c r="H2589" t="s">
        <v>10</v>
      </c>
      <c r="I2589" t="s">
        <v>11</v>
      </c>
    </row>
    <row r="2590" spans="1:9" hidden="1" x14ac:dyDescent="0.25">
      <c r="A2590" t="s">
        <v>24</v>
      </c>
      <c r="B2590" t="s">
        <v>83</v>
      </c>
      <c r="C2590">
        <v>202303</v>
      </c>
      <c r="D2590" t="str">
        <f t="shared" si="40"/>
        <v>2023</v>
      </c>
      <c r="E2590">
        <v>2879</v>
      </c>
      <c r="F2590">
        <v>62327</v>
      </c>
      <c r="G2590">
        <v>4.62</v>
      </c>
      <c r="H2590" t="s">
        <v>10</v>
      </c>
      <c r="I2590" t="s">
        <v>11</v>
      </c>
    </row>
    <row r="2591" spans="1:9" hidden="1" x14ac:dyDescent="0.25">
      <c r="A2591" t="s">
        <v>24</v>
      </c>
      <c r="B2591" t="s">
        <v>83</v>
      </c>
      <c r="C2591">
        <v>202304</v>
      </c>
      <c r="D2591" t="str">
        <f t="shared" si="40"/>
        <v>2023</v>
      </c>
      <c r="E2591">
        <v>2929</v>
      </c>
      <c r="F2591">
        <v>62327</v>
      </c>
      <c r="G2591">
        <v>4.7</v>
      </c>
      <c r="H2591" t="s">
        <v>10</v>
      </c>
      <c r="I2591" t="s">
        <v>11</v>
      </c>
    </row>
    <row r="2592" spans="1:9" hidden="1" x14ac:dyDescent="0.25">
      <c r="A2592" t="s">
        <v>24</v>
      </c>
      <c r="B2592" t="s">
        <v>83</v>
      </c>
      <c r="C2592">
        <v>202305</v>
      </c>
      <c r="D2592" t="str">
        <f t="shared" si="40"/>
        <v>2023</v>
      </c>
      <c r="E2592">
        <v>2573</v>
      </c>
      <c r="F2592">
        <v>62327</v>
      </c>
      <c r="G2592">
        <v>4.13</v>
      </c>
      <c r="H2592" t="s">
        <v>10</v>
      </c>
      <c r="I2592" t="s">
        <v>11</v>
      </c>
    </row>
    <row r="2593" spans="1:9" hidden="1" x14ac:dyDescent="0.25">
      <c r="A2593" t="s">
        <v>24</v>
      </c>
      <c r="B2593" t="s">
        <v>83</v>
      </c>
      <c r="C2593">
        <v>202306</v>
      </c>
      <c r="D2593" t="str">
        <f t="shared" si="40"/>
        <v>2023</v>
      </c>
      <c r="E2593">
        <v>2752</v>
      </c>
      <c r="F2593">
        <v>62327</v>
      </c>
      <c r="G2593">
        <v>4.42</v>
      </c>
      <c r="H2593" t="s">
        <v>10</v>
      </c>
      <c r="I2593" t="s">
        <v>11</v>
      </c>
    </row>
    <row r="2594" spans="1:9" hidden="1" x14ac:dyDescent="0.25">
      <c r="A2594" t="s">
        <v>24</v>
      </c>
      <c r="B2594" t="s">
        <v>83</v>
      </c>
      <c r="C2594">
        <v>202307</v>
      </c>
      <c r="D2594" t="str">
        <f t="shared" si="40"/>
        <v>2023</v>
      </c>
      <c r="E2594">
        <v>2883</v>
      </c>
      <c r="F2594">
        <v>62327</v>
      </c>
      <c r="G2594">
        <v>4.63</v>
      </c>
      <c r="H2594" t="s">
        <v>10</v>
      </c>
      <c r="I2594" t="s">
        <v>11</v>
      </c>
    </row>
    <row r="2595" spans="1:9" hidden="1" x14ac:dyDescent="0.25">
      <c r="A2595" t="s">
        <v>24</v>
      </c>
      <c r="B2595" t="s">
        <v>83</v>
      </c>
      <c r="C2595">
        <v>202308</v>
      </c>
      <c r="D2595" t="str">
        <f t="shared" si="40"/>
        <v>2023</v>
      </c>
      <c r="E2595">
        <v>2686</v>
      </c>
      <c r="F2595">
        <v>62327</v>
      </c>
      <c r="G2595">
        <v>4.3099999999999996</v>
      </c>
      <c r="H2595" t="s">
        <v>10</v>
      </c>
      <c r="I2595" t="s">
        <v>11</v>
      </c>
    </row>
    <row r="2596" spans="1:9" hidden="1" x14ac:dyDescent="0.25">
      <c r="A2596" t="s">
        <v>24</v>
      </c>
      <c r="B2596" t="s">
        <v>83</v>
      </c>
      <c r="C2596">
        <v>202309</v>
      </c>
      <c r="D2596" t="str">
        <f t="shared" si="40"/>
        <v>2023</v>
      </c>
      <c r="E2596">
        <v>2664</v>
      </c>
      <c r="F2596">
        <v>62327</v>
      </c>
      <c r="G2596">
        <v>4.2699999999999996</v>
      </c>
      <c r="H2596" t="s">
        <v>10</v>
      </c>
      <c r="I2596" t="s">
        <v>11</v>
      </c>
    </row>
    <row r="2597" spans="1:9" hidden="1" x14ac:dyDescent="0.25">
      <c r="A2597" t="s">
        <v>24</v>
      </c>
      <c r="B2597" t="s">
        <v>83</v>
      </c>
      <c r="C2597">
        <v>202310</v>
      </c>
      <c r="D2597" t="str">
        <f t="shared" si="40"/>
        <v>2023</v>
      </c>
      <c r="E2597">
        <v>2477</v>
      </c>
      <c r="F2597">
        <v>62327</v>
      </c>
      <c r="G2597">
        <v>3.97</v>
      </c>
      <c r="H2597" t="s">
        <v>10</v>
      </c>
      <c r="I2597" t="s">
        <v>11</v>
      </c>
    </row>
    <row r="2598" spans="1:9" hidden="1" x14ac:dyDescent="0.25">
      <c r="A2598" t="s">
        <v>24</v>
      </c>
      <c r="B2598" t="s">
        <v>83</v>
      </c>
      <c r="C2598">
        <v>202311</v>
      </c>
      <c r="D2598" t="str">
        <f t="shared" si="40"/>
        <v>2023</v>
      </c>
      <c r="E2598">
        <v>3003</v>
      </c>
      <c r="F2598">
        <v>62327</v>
      </c>
      <c r="G2598">
        <v>4.82</v>
      </c>
      <c r="H2598" t="s">
        <v>10</v>
      </c>
      <c r="I2598" t="s">
        <v>11</v>
      </c>
    </row>
    <row r="2599" spans="1:9" hidden="1" x14ac:dyDescent="0.25">
      <c r="A2599" t="s">
        <v>24</v>
      </c>
      <c r="B2599" t="s">
        <v>83</v>
      </c>
      <c r="C2599">
        <v>202312</v>
      </c>
      <c r="D2599" t="str">
        <f t="shared" si="40"/>
        <v>2023</v>
      </c>
      <c r="E2599">
        <v>2568</v>
      </c>
      <c r="F2599">
        <v>62327</v>
      </c>
      <c r="G2599">
        <v>4.12</v>
      </c>
      <c r="H2599" t="s">
        <v>10</v>
      </c>
      <c r="I2599" t="s">
        <v>11</v>
      </c>
    </row>
    <row r="2600" spans="1:9" hidden="1" x14ac:dyDescent="0.25">
      <c r="A2600" t="s">
        <v>24</v>
      </c>
      <c r="B2600" t="s">
        <v>83</v>
      </c>
      <c r="C2600">
        <v>202401</v>
      </c>
      <c r="D2600" t="str">
        <f t="shared" si="40"/>
        <v>2024</v>
      </c>
      <c r="E2600">
        <v>2812</v>
      </c>
      <c r="F2600">
        <v>62327</v>
      </c>
      <c r="G2600">
        <v>4.51</v>
      </c>
      <c r="H2600" t="s">
        <v>10</v>
      </c>
      <c r="I2600" t="s">
        <v>11</v>
      </c>
    </row>
    <row r="2601" spans="1:9" hidden="1" x14ac:dyDescent="0.25">
      <c r="A2601" t="s">
        <v>24</v>
      </c>
      <c r="B2601" t="s">
        <v>83</v>
      </c>
      <c r="C2601">
        <v>202402</v>
      </c>
      <c r="D2601" t="str">
        <f t="shared" si="40"/>
        <v>2024</v>
      </c>
      <c r="E2601">
        <v>1599</v>
      </c>
      <c r="F2601">
        <v>62327</v>
      </c>
      <c r="G2601">
        <v>2.57</v>
      </c>
      <c r="H2601" t="s">
        <v>10</v>
      </c>
      <c r="I2601" t="s">
        <v>11</v>
      </c>
    </row>
    <row r="2602" spans="1:9" hidden="1" x14ac:dyDescent="0.25">
      <c r="A2602" t="s">
        <v>24</v>
      </c>
      <c r="B2602" t="s">
        <v>66</v>
      </c>
      <c r="C2602">
        <v>202201</v>
      </c>
      <c r="D2602" t="str">
        <f t="shared" si="40"/>
        <v>2022</v>
      </c>
      <c r="E2602">
        <v>1829</v>
      </c>
      <c r="F2602">
        <v>64862</v>
      </c>
      <c r="G2602">
        <v>2.82</v>
      </c>
      <c r="H2602" t="s">
        <v>10</v>
      </c>
      <c r="I2602" t="s">
        <v>11</v>
      </c>
    </row>
    <row r="2603" spans="1:9" hidden="1" x14ac:dyDescent="0.25">
      <c r="A2603" t="s">
        <v>24</v>
      </c>
      <c r="B2603" t="s">
        <v>66</v>
      </c>
      <c r="C2603">
        <v>202202</v>
      </c>
      <c r="D2603" t="str">
        <f t="shared" si="40"/>
        <v>2022</v>
      </c>
      <c r="E2603">
        <v>2016</v>
      </c>
      <c r="F2603">
        <v>64862</v>
      </c>
      <c r="G2603">
        <v>3.11</v>
      </c>
      <c r="H2603" t="s">
        <v>10</v>
      </c>
      <c r="I2603" t="s">
        <v>11</v>
      </c>
    </row>
    <row r="2604" spans="1:9" hidden="1" x14ac:dyDescent="0.25">
      <c r="A2604" t="s">
        <v>24</v>
      </c>
      <c r="B2604" t="s">
        <v>66</v>
      </c>
      <c r="C2604">
        <v>202203</v>
      </c>
      <c r="D2604" t="str">
        <f t="shared" si="40"/>
        <v>2022</v>
      </c>
      <c r="E2604">
        <v>2227</v>
      </c>
      <c r="F2604">
        <v>64862</v>
      </c>
      <c r="G2604">
        <v>3.43</v>
      </c>
      <c r="H2604" t="s">
        <v>10</v>
      </c>
      <c r="I2604" t="s">
        <v>11</v>
      </c>
    </row>
    <row r="2605" spans="1:9" hidden="1" x14ac:dyDescent="0.25">
      <c r="A2605" t="s">
        <v>24</v>
      </c>
      <c r="B2605" t="s">
        <v>66</v>
      </c>
      <c r="C2605">
        <v>202204</v>
      </c>
      <c r="D2605" t="str">
        <f t="shared" si="40"/>
        <v>2022</v>
      </c>
      <c r="E2605">
        <v>1837</v>
      </c>
      <c r="F2605">
        <v>64862</v>
      </c>
      <c r="G2605">
        <v>2.83</v>
      </c>
      <c r="H2605" t="s">
        <v>10</v>
      </c>
      <c r="I2605" t="s">
        <v>11</v>
      </c>
    </row>
    <row r="2606" spans="1:9" hidden="1" x14ac:dyDescent="0.25">
      <c r="A2606" t="s">
        <v>24</v>
      </c>
      <c r="B2606" t="s">
        <v>66</v>
      </c>
      <c r="C2606">
        <v>202205</v>
      </c>
      <c r="D2606" t="str">
        <f t="shared" si="40"/>
        <v>2022</v>
      </c>
      <c r="E2606">
        <v>2083</v>
      </c>
      <c r="F2606">
        <v>64862</v>
      </c>
      <c r="G2606">
        <v>3.21</v>
      </c>
      <c r="H2606" t="s">
        <v>10</v>
      </c>
      <c r="I2606" t="s">
        <v>11</v>
      </c>
    </row>
    <row r="2607" spans="1:9" hidden="1" x14ac:dyDescent="0.25">
      <c r="A2607" t="s">
        <v>24</v>
      </c>
      <c r="B2607" t="s">
        <v>66</v>
      </c>
      <c r="C2607">
        <v>202206</v>
      </c>
      <c r="D2607" t="str">
        <f t="shared" si="40"/>
        <v>2022</v>
      </c>
      <c r="E2607">
        <v>1877</v>
      </c>
      <c r="F2607">
        <v>64862</v>
      </c>
      <c r="G2607">
        <v>2.89</v>
      </c>
      <c r="H2607" t="s">
        <v>10</v>
      </c>
      <c r="I2607" t="s">
        <v>11</v>
      </c>
    </row>
    <row r="2608" spans="1:9" hidden="1" x14ac:dyDescent="0.25">
      <c r="A2608" t="s">
        <v>24</v>
      </c>
      <c r="B2608" t="s">
        <v>66</v>
      </c>
      <c r="C2608">
        <v>202207</v>
      </c>
      <c r="D2608" t="str">
        <f t="shared" si="40"/>
        <v>2022</v>
      </c>
      <c r="E2608">
        <v>1707</v>
      </c>
      <c r="F2608">
        <v>64862</v>
      </c>
      <c r="G2608">
        <v>2.63</v>
      </c>
      <c r="H2608" t="s">
        <v>10</v>
      </c>
      <c r="I2608" t="s">
        <v>11</v>
      </c>
    </row>
    <row r="2609" spans="1:9" hidden="1" x14ac:dyDescent="0.25">
      <c r="A2609" t="s">
        <v>24</v>
      </c>
      <c r="B2609" t="s">
        <v>66</v>
      </c>
      <c r="C2609">
        <v>202208</v>
      </c>
      <c r="D2609" t="str">
        <f t="shared" si="40"/>
        <v>2022</v>
      </c>
      <c r="E2609">
        <v>2261</v>
      </c>
      <c r="F2609">
        <v>64862</v>
      </c>
      <c r="G2609">
        <v>3.49</v>
      </c>
      <c r="H2609" t="s">
        <v>10</v>
      </c>
      <c r="I2609" t="s">
        <v>11</v>
      </c>
    </row>
    <row r="2610" spans="1:9" hidden="1" x14ac:dyDescent="0.25">
      <c r="A2610" t="s">
        <v>24</v>
      </c>
      <c r="B2610" t="s">
        <v>66</v>
      </c>
      <c r="C2610">
        <v>202209</v>
      </c>
      <c r="D2610" t="str">
        <f t="shared" si="40"/>
        <v>2022</v>
      </c>
      <c r="E2610">
        <v>2274</v>
      </c>
      <c r="F2610">
        <v>64862</v>
      </c>
      <c r="G2610">
        <v>3.51</v>
      </c>
      <c r="H2610" t="s">
        <v>10</v>
      </c>
      <c r="I2610" t="s">
        <v>11</v>
      </c>
    </row>
    <row r="2611" spans="1:9" hidden="1" x14ac:dyDescent="0.25">
      <c r="A2611" t="s">
        <v>24</v>
      </c>
      <c r="B2611" t="s">
        <v>66</v>
      </c>
      <c r="C2611">
        <v>202210</v>
      </c>
      <c r="D2611" t="str">
        <f t="shared" si="40"/>
        <v>2022</v>
      </c>
      <c r="E2611">
        <v>2222</v>
      </c>
      <c r="F2611">
        <v>64862</v>
      </c>
      <c r="G2611">
        <v>3.43</v>
      </c>
      <c r="H2611" t="s">
        <v>10</v>
      </c>
      <c r="I2611" t="s">
        <v>11</v>
      </c>
    </row>
    <row r="2612" spans="1:9" hidden="1" x14ac:dyDescent="0.25">
      <c r="A2612" t="s">
        <v>24</v>
      </c>
      <c r="B2612" t="s">
        <v>66</v>
      </c>
      <c r="C2612">
        <v>202211</v>
      </c>
      <c r="D2612" t="str">
        <f t="shared" si="40"/>
        <v>2022</v>
      </c>
      <c r="E2612">
        <v>2253</v>
      </c>
      <c r="F2612">
        <v>64862</v>
      </c>
      <c r="G2612">
        <v>3.47</v>
      </c>
      <c r="H2612" t="s">
        <v>10</v>
      </c>
      <c r="I2612" t="s">
        <v>11</v>
      </c>
    </row>
    <row r="2613" spans="1:9" hidden="1" x14ac:dyDescent="0.25">
      <c r="A2613" t="s">
        <v>24</v>
      </c>
      <c r="B2613" t="s">
        <v>66</v>
      </c>
      <c r="C2613">
        <v>202212</v>
      </c>
      <c r="D2613" t="str">
        <f t="shared" si="40"/>
        <v>2022</v>
      </c>
      <c r="E2613">
        <v>2289</v>
      </c>
      <c r="F2613">
        <v>64862</v>
      </c>
      <c r="G2613">
        <v>3.53</v>
      </c>
      <c r="H2613" t="s">
        <v>10</v>
      </c>
      <c r="I2613" t="s">
        <v>11</v>
      </c>
    </row>
    <row r="2614" spans="1:9" hidden="1" x14ac:dyDescent="0.25">
      <c r="A2614" t="s">
        <v>24</v>
      </c>
      <c r="B2614" t="s">
        <v>66</v>
      </c>
      <c r="C2614">
        <v>202301</v>
      </c>
      <c r="D2614" t="str">
        <f t="shared" si="40"/>
        <v>2023</v>
      </c>
      <c r="E2614">
        <v>2147</v>
      </c>
      <c r="F2614">
        <v>64862</v>
      </c>
      <c r="G2614">
        <v>3.31</v>
      </c>
      <c r="H2614" t="s">
        <v>10</v>
      </c>
      <c r="I2614" t="s">
        <v>11</v>
      </c>
    </row>
    <row r="2615" spans="1:9" hidden="1" x14ac:dyDescent="0.25">
      <c r="A2615" t="s">
        <v>24</v>
      </c>
      <c r="B2615" t="s">
        <v>66</v>
      </c>
      <c r="C2615">
        <v>202302</v>
      </c>
      <c r="D2615" t="str">
        <f t="shared" si="40"/>
        <v>2023</v>
      </c>
      <c r="E2615">
        <v>2535</v>
      </c>
      <c r="F2615">
        <v>64862</v>
      </c>
      <c r="G2615">
        <v>3.91</v>
      </c>
      <c r="H2615" t="s">
        <v>10</v>
      </c>
      <c r="I2615" t="s">
        <v>11</v>
      </c>
    </row>
    <row r="2616" spans="1:9" hidden="1" x14ac:dyDescent="0.25">
      <c r="A2616" t="s">
        <v>24</v>
      </c>
      <c r="B2616" t="s">
        <v>66</v>
      </c>
      <c r="C2616">
        <v>202303</v>
      </c>
      <c r="D2616" t="str">
        <f t="shared" si="40"/>
        <v>2023</v>
      </c>
      <c r="E2616">
        <v>2808</v>
      </c>
      <c r="F2616">
        <v>64862</v>
      </c>
      <c r="G2616">
        <v>4.33</v>
      </c>
      <c r="H2616" t="s">
        <v>10</v>
      </c>
      <c r="I2616" t="s">
        <v>11</v>
      </c>
    </row>
    <row r="2617" spans="1:9" hidden="1" x14ac:dyDescent="0.25">
      <c r="A2617" t="s">
        <v>24</v>
      </c>
      <c r="B2617" t="s">
        <v>66</v>
      </c>
      <c r="C2617">
        <v>202304</v>
      </c>
      <c r="D2617" t="str">
        <f t="shared" si="40"/>
        <v>2023</v>
      </c>
      <c r="E2617">
        <v>2860</v>
      </c>
      <c r="F2617">
        <v>64862</v>
      </c>
      <c r="G2617">
        <v>4.41</v>
      </c>
      <c r="H2617" t="s">
        <v>10</v>
      </c>
      <c r="I2617" t="s">
        <v>11</v>
      </c>
    </row>
    <row r="2618" spans="1:9" hidden="1" x14ac:dyDescent="0.25">
      <c r="A2618" t="s">
        <v>24</v>
      </c>
      <c r="B2618" t="s">
        <v>66</v>
      </c>
      <c r="C2618">
        <v>202305</v>
      </c>
      <c r="D2618" t="str">
        <f t="shared" si="40"/>
        <v>2023</v>
      </c>
      <c r="E2618">
        <v>2517</v>
      </c>
      <c r="F2618">
        <v>64862</v>
      </c>
      <c r="G2618">
        <v>3.88</v>
      </c>
      <c r="H2618" t="s">
        <v>10</v>
      </c>
      <c r="I2618" t="s">
        <v>11</v>
      </c>
    </row>
    <row r="2619" spans="1:9" hidden="1" x14ac:dyDescent="0.25">
      <c r="A2619" t="s">
        <v>24</v>
      </c>
      <c r="B2619" t="s">
        <v>66</v>
      </c>
      <c r="C2619">
        <v>202306</v>
      </c>
      <c r="D2619" t="str">
        <f t="shared" si="40"/>
        <v>2023</v>
      </c>
      <c r="E2619">
        <v>2800</v>
      </c>
      <c r="F2619">
        <v>64862</v>
      </c>
      <c r="G2619">
        <v>4.32</v>
      </c>
      <c r="H2619" t="s">
        <v>10</v>
      </c>
      <c r="I2619" t="s">
        <v>11</v>
      </c>
    </row>
    <row r="2620" spans="1:9" hidden="1" x14ac:dyDescent="0.25">
      <c r="A2620" t="s">
        <v>24</v>
      </c>
      <c r="B2620" t="s">
        <v>66</v>
      </c>
      <c r="C2620">
        <v>202307</v>
      </c>
      <c r="D2620" t="str">
        <f t="shared" si="40"/>
        <v>2023</v>
      </c>
      <c r="E2620">
        <v>2894</v>
      </c>
      <c r="F2620">
        <v>64862</v>
      </c>
      <c r="G2620">
        <v>4.46</v>
      </c>
      <c r="H2620" t="s">
        <v>10</v>
      </c>
      <c r="I2620" t="s">
        <v>11</v>
      </c>
    </row>
    <row r="2621" spans="1:9" hidden="1" x14ac:dyDescent="0.25">
      <c r="A2621" t="s">
        <v>24</v>
      </c>
      <c r="B2621" t="s">
        <v>66</v>
      </c>
      <c r="C2621">
        <v>202308</v>
      </c>
      <c r="D2621" t="str">
        <f t="shared" si="40"/>
        <v>2023</v>
      </c>
      <c r="E2621">
        <v>2685</v>
      </c>
      <c r="F2621">
        <v>64862</v>
      </c>
      <c r="G2621">
        <v>4.1399999999999997</v>
      </c>
      <c r="H2621" t="s">
        <v>10</v>
      </c>
      <c r="I2621" t="s">
        <v>11</v>
      </c>
    </row>
    <row r="2622" spans="1:9" hidden="1" x14ac:dyDescent="0.25">
      <c r="A2622" t="s">
        <v>24</v>
      </c>
      <c r="B2622" t="s">
        <v>66</v>
      </c>
      <c r="C2622">
        <v>202309</v>
      </c>
      <c r="D2622" t="str">
        <f t="shared" si="40"/>
        <v>2023</v>
      </c>
      <c r="E2622">
        <v>2647</v>
      </c>
      <c r="F2622">
        <v>64862</v>
      </c>
      <c r="G2622">
        <v>4.08</v>
      </c>
      <c r="H2622" t="s">
        <v>10</v>
      </c>
      <c r="I2622" t="s">
        <v>11</v>
      </c>
    </row>
    <row r="2623" spans="1:9" hidden="1" x14ac:dyDescent="0.25">
      <c r="A2623" t="s">
        <v>24</v>
      </c>
      <c r="B2623" t="s">
        <v>66</v>
      </c>
      <c r="C2623">
        <v>202310</v>
      </c>
      <c r="D2623" t="str">
        <f t="shared" si="40"/>
        <v>2023</v>
      </c>
      <c r="E2623">
        <v>2422</v>
      </c>
      <c r="F2623">
        <v>64862</v>
      </c>
      <c r="G2623">
        <v>3.73</v>
      </c>
      <c r="H2623" t="s">
        <v>10</v>
      </c>
      <c r="I2623" t="s">
        <v>11</v>
      </c>
    </row>
    <row r="2624" spans="1:9" hidden="1" x14ac:dyDescent="0.25">
      <c r="A2624" t="s">
        <v>24</v>
      </c>
      <c r="B2624" t="s">
        <v>66</v>
      </c>
      <c r="C2624">
        <v>202311</v>
      </c>
      <c r="D2624" t="str">
        <f t="shared" si="40"/>
        <v>2023</v>
      </c>
      <c r="E2624">
        <v>2969</v>
      </c>
      <c r="F2624">
        <v>64862</v>
      </c>
      <c r="G2624">
        <v>4.58</v>
      </c>
      <c r="H2624" t="s">
        <v>10</v>
      </c>
      <c r="I2624" t="s">
        <v>11</v>
      </c>
    </row>
    <row r="2625" spans="1:9" hidden="1" x14ac:dyDescent="0.25">
      <c r="A2625" t="s">
        <v>24</v>
      </c>
      <c r="B2625" t="s">
        <v>66</v>
      </c>
      <c r="C2625">
        <v>202312</v>
      </c>
      <c r="D2625" t="str">
        <f t="shared" si="40"/>
        <v>2023</v>
      </c>
      <c r="E2625">
        <v>2652</v>
      </c>
      <c r="F2625">
        <v>64862</v>
      </c>
      <c r="G2625">
        <v>4.09</v>
      </c>
      <c r="H2625" t="s">
        <v>10</v>
      </c>
      <c r="I2625" t="s">
        <v>11</v>
      </c>
    </row>
    <row r="2626" spans="1:9" hidden="1" x14ac:dyDescent="0.25">
      <c r="A2626" t="s">
        <v>24</v>
      </c>
      <c r="B2626" t="s">
        <v>66</v>
      </c>
      <c r="C2626">
        <v>202401</v>
      </c>
      <c r="D2626" t="str">
        <f t="shared" si="40"/>
        <v>2024</v>
      </c>
      <c r="E2626">
        <v>3130</v>
      </c>
      <c r="F2626">
        <v>64862</v>
      </c>
      <c r="G2626">
        <v>4.83</v>
      </c>
      <c r="H2626" t="s">
        <v>10</v>
      </c>
      <c r="I2626" t="s">
        <v>11</v>
      </c>
    </row>
    <row r="2627" spans="1:9" hidden="1" x14ac:dyDescent="0.25">
      <c r="A2627" t="s">
        <v>24</v>
      </c>
      <c r="B2627" t="s">
        <v>66</v>
      </c>
      <c r="C2627">
        <v>202402</v>
      </c>
      <c r="D2627" t="str">
        <f t="shared" ref="D2627:D2690" si="41">LEFT(C2627,4)</f>
        <v>2024</v>
      </c>
      <c r="E2627">
        <v>3571</v>
      </c>
      <c r="F2627">
        <v>64862</v>
      </c>
      <c r="G2627">
        <v>5.51</v>
      </c>
      <c r="H2627" t="s">
        <v>10</v>
      </c>
      <c r="I2627" t="s">
        <v>11</v>
      </c>
    </row>
    <row r="2628" spans="1:9" hidden="1" x14ac:dyDescent="0.25">
      <c r="A2628" t="s">
        <v>24</v>
      </c>
      <c r="B2628" t="s">
        <v>66</v>
      </c>
      <c r="C2628">
        <v>202403</v>
      </c>
      <c r="D2628" t="str">
        <f t="shared" si="41"/>
        <v>2024</v>
      </c>
      <c r="E2628">
        <v>1350</v>
      </c>
      <c r="F2628">
        <v>64862</v>
      </c>
      <c r="G2628">
        <v>2.08</v>
      </c>
      <c r="H2628" t="s">
        <v>10</v>
      </c>
      <c r="I2628" t="s">
        <v>11</v>
      </c>
    </row>
    <row r="2629" spans="1:9" hidden="1" x14ac:dyDescent="0.25">
      <c r="A2629" t="s">
        <v>24</v>
      </c>
      <c r="B2629" t="s">
        <v>82</v>
      </c>
      <c r="C2629">
        <v>202201</v>
      </c>
      <c r="D2629" t="str">
        <f t="shared" si="41"/>
        <v>2022</v>
      </c>
      <c r="E2629">
        <v>1782</v>
      </c>
      <c r="F2629">
        <v>62424</v>
      </c>
      <c r="G2629">
        <v>2.85</v>
      </c>
      <c r="H2629" t="s">
        <v>10</v>
      </c>
      <c r="I2629" t="s">
        <v>11</v>
      </c>
    </row>
    <row r="2630" spans="1:9" hidden="1" x14ac:dyDescent="0.25">
      <c r="A2630" t="s">
        <v>24</v>
      </c>
      <c r="B2630" t="s">
        <v>82</v>
      </c>
      <c r="C2630">
        <v>202202</v>
      </c>
      <c r="D2630" t="str">
        <f t="shared" si="41"/>
        <v>2022</v>
      </c>
      <c r="E2630">
        <v>1966</v>
      </c>
      <c r="F2630">
        <v>62424</v>
      </c>
      <c r="G2630">
        <v>3.15</v>
      </c>
      <c r="H2630" t="s">
        <v>10</v>
      </c>
      <c r="I2630" t="s">
        <v>11</v>
      </c>
    </row>
    <row r="2631" spans="1:9" hidden="1" x14ac:dyDescent="0.25">
      <c r="A2631" t="s">
        <v>24</v>
      </c>
      <c r="B2631" t="s">
        <v>82</v>
      </c>
      <c r="C2631">
        <v>202203</v>
      </c>
      <c r="D2631" t="str">
        <f t="shared" si="41"/>
        <v>2022</v>
      </c>
      <c r="E2631">
        <v>2176</v>
      </c>
      <c r="F2631">
        <v>62424</v>
      </c>
      <c r="G2631">
        <v>3.49</v>
      </c>
      <c r="H2631" t="s">
        <v>10</v>
      </c>
      <c r="I2631" t="s">
        <v>11</v>
      </c>
    </row>
    <row r="2632" spans="1:9" hidden="1" x14ac:dyDescent="0.25">
      <c r="A2632" t="s">
        <v>24</v>
      </c>
      <c r="B2632" t="s">
        <v>82</v>
      </c>
      <c r="C2632">
        <v>202204</v>
      </c>
      <c r="D2632" t="str">
        <f t="shared" si="41"/>
        <v>2022</v>
      </c>
      <c r="E2632">
        <v>1815</v>
      </c>
      <c r="F2632">
        <v>62424</v>
      </c>
      <c r="G2632">
        <v>2.91</v>
      </c>
      <c r="H2632" t="s">
        <v>10</v>
      </c>
      <c r="I2632" t="s">
        <v>11</v>
      </c>
    </row>
    <row r="2633" spans="1:9" hidden="1" x14ac:dyDescent="0.25">
      <c r="A2633" t="s">
        <v>24</v>
      </c>
      <c r="B2633" t="s">
        <v>82</v>
      </c>
      <c r="C2633">
        <v>202205</v>
      </c>
      <c r="D2633" t="str">
        <f t="shared" si="41"/>
        <v>2022</v>
      </c>
      <c r="E2633">
        <v>2043</v>
      </c>
      <c r="F2633">
        <v>62424</v>
      </c>
      <c r="G2633">
        <v>3.27</v>
      </c>
      <c r="H2633" t="s">
        <v>10</v>
      </c>
      <c r="I2633" t="s">
        <v>11</v>
      </c>
    </row>
    <row r="2634" spans="1:9" hidden="1" x14ac:dyDescent="0.25">
      <c r="A2634" t="s">
        <v>24</v>
      </c>
      <c r="B2634" t="s">
        <v>82</v>
      </c>
      <c r="C2634">
        <v>202206</v>
      </c>
      <c r="D2634" t="str">
        <f t="shared" si="41"/>
        <v>2022</v>
      </c>
      <c r="E2634">
        <v>1826</v>
      </c>
      <c r="F2634">
        <v>62424</v>
      </c>
      <c r="G2634">
        <v>2.93</v>
      </c>
      <c r="H2634" t="s">
        <v>10</v>
      </c>
      <c r="I2634" t="s">
        <v>11</v>
      </c>
    </row>
    <row r="2635" spans="1:9" hidden="1" x14ac:dyDescent="0.25">
      <c r="A2635" t="s">
        <v>24</v>
      </c>
      <c r="B2635" t="s">
        <v>82</v>
      </c>
      <c r="C2635">
        <v>202207</v>
      </c>
      <c r="D2635" t="str">
        <f t="shared" si="41"/>
        <v>2022</v>
      </c>
      <c r="E2635">
        <v>1681</v>
      </c>
      <c r="F2635">
        <v>62424</v>
      </c>
      <c r="G2635">
        <v>2.69</v>
      </c>
      <c r="H2635" t="s">
        <v>10</v>
      </c>
      <c r="I2635" t="s">
        <v>11</v>
      </c>
    </row>
    <row r="2636" spans="1:9" hidden="1" x14ac:dyDescent="0.25">
      <c r="A2636" t="s">
        <v>24</v>
      </c>
      <c r="B2636" t="s">
        <v>82</v>
      </c>
      <c r="C2636">
        <v>202208</v>
      </c>
      <c r="D2636" t="str">
        <f t="shared" si="41"/>
        <v>2022</v>
      </c>
      <c r="E2636">
        <v>2197</v>
      </c>
      <c r="F2636">
        <v>62424</v>
      </c>
      <c r="G2636">
        <v>3.52</v>
      </c>
      <c r="H2636" t="s">
        <v>10</v>
      </c>
      <c r="I2636" t="s">
        <v>11</v>
      </c>
    </row>
    <row r="2637" spans="1:9" hidden="1" x14ac:dyDescent="0.25">
      <c r="A2637" t="s">
        <v>24</v>
      </c>
      <c r="B2637" t="s">
        <v>82</v>
      </c>
      <c r="C2637">
        <v>202209</v>
      </c>
      <c r="D2637" t="str">
        <f t="shared" si="41"/>
        <v>2022</v>
      </c>
      <c r="E2637">
        <v>2139</v>
      </c>
      <c r="F2637">
        <v>62424</v>
      </c>
      <c r="G2637">
        <v>3.43</v>
      </c>
      <c r="H2637" t="s">
        <v>10</v>
      </c>
      <c r="I2637" t="s">
        <v>11</v>
      </c>
    </row>
    <row r="2638" spans="1:9" hidden="1" x14ac:dyDescent="0.25">
      <c r="A2638" t="s">
        <v>24</v>
      </c>
      <c r="B2638" t="s">
        <v>82</v>
      </c>
      <c r="C2638">
        <v>202210</v>
      </c>
      <c r="D2638" t="str">
        <f t="shared" si="41"/>
        <v>2022</v>
      </c>
      <c r="E2638">
        <v>2046</v>
      </c>
      <c r="F2638">
        <v>62424</v>
      </c>
      <c r="G2638">
        <v>3.28</v>
      </c>
      <c r="H2638" t="s">
        <v>10</v>
      </c>
      <c r="I2638" t="s">
        <v>11</v>
      </c>
    </row>
    <row r="2639" spans="1:9" hidden="1" x14ac:dyDescent="0.25">
      <c r="A2639" t="s">
        <v>24</v>
      </c>
      <c r="B2639" t="s">
        <v>82</v>
      </c>
      <c r="C2639">
        <v>202211</v>
      </c>
      <c r="D2639" t="str">
        <f t="shared" si="41"/>
        <v>2022</v>
      </c>
      <c r="E2639">
        <v>2177</v>
      </c>
      <c r="F2639">
        <v>62424</v>
      </c>
      <c r="G2639">
        <v>3.49</v>
      </c>
      <c r="H2639" t="s">
        <v>10</v>
      </c>
      <c r="I2639" t="s">
        <v>11</v>
      </c>
    </row>
    <row r="2640" spans="1:9" hidden="1" x14ac:dyDescent="0.25">
      <c r="A2640" t="s">
        <v>24</v>
      </c>
      <c r="B2640" t="s">
        <v>82</v>
      </c>
      <c r="C2640">
        <v>202212</v>
      </c>
      <c r="D2640" t="str">
        <f t="shared" si="41"/>
        <v>2022</v>
      </c>
      <c r="E2640">
        <v>2204</v>
      </c>
      <c r="F2640">
        <v>62424</v>
      </c>
      <c r="G2640">
        <v>3.53</v>
      </c>
      <c r="H2640" t="s">
        <v>10</v>
      </c>
      <c r="I2640" t="s">
        <v>11</v>
      </c>
    </row>
    <row r="2641" spans="1:9" hidden="1" x14ac:dyDescent="0.25">
      <c r="A2641" t="s">
        <v>24</v>
      </c>
      <c r="B2641" t="s">
        <v>82</v>
      </c>
      <c r="C2641">
        <v>202301</v>
      </c>
      <c r="D2641" t="str">
        <f t="shared" si="41"/>
        <v>2023</v>
      </c>
      <c r="E2641">
        <v>2081</v>
      </c>
      <c r="F2641">
        <v>62424</v>
      </c>
      <c r="G2641">
        <v>3.33</v>
      </c>
      <c r="H2641" t="s">
        <v>10</v>
      </c>
      <c r="I2641" t="s">
        <v>11</v>
      </c>
    </row>
    <row r="2642" spans="1:9" hidden="1" x14ac:dyDescent="0.25">
      <c r="A2642" t="s">
        <v>24</v>
      </c>
      <c r="B2642" t="s">
        <v>82</v>
      </c>
      <c r="C2642">
        <v>202302</v>
      </c>
      <c r="D2642" t="str">
        <f t="shared" si="41"/>
        <v>2023</v>
      </c>
      <c r="E2642">
        <v>2476</v>
      </c>
      <c r="F2642">
        <v>62424</v>
      </c>
      <c r="G2642">
        <v>3.97</v>
      </c>
      <c r="H2642" t="s">
        <v>10</v>
      </c>
      <c r="I2642" t="s">
        <v>11</v>
      </c>
    </row>
    <row r="2643" spans="1:9" hidden="1" x14ac:dyDescent="0.25">
      <c r="A2643" t="s">
        <v>24</v>
      </c>
      <c r="B2643" t="s">
        <v>82</v>
      </c>
      <c r="C2643">
        <v>202303</v>
      </c>
      <c r="D2643" t="str">
        <f t="shared" si="41"/>
        <v>2023</v>
      </c>
      <c r="E2643">
        <v>2694</v>
      </c>
      <c r="F2643">
        <v>62424</v>
      </c>
      <c r="G2643">
        <v>4.32</v>
      </c>
      <c r="H2643" t="s">
        <v>10</v>
      </c>
      <c r="I2643" t="s">
        <v>11</v>
      </c>
    </row>
    <row r="2644" spans="1:9" hidden="1" x14ac:dyDescent="0.25">
      <c r="A2644" t="s">
        <v>24</v>
      </c>
      <c r="B2644" t="s">
        <v>82</v>
      </c>
      <c r="C2644">
        <v>202304</v>
      </c>
      <c r="D2644" t="str">
        <f t="shared" si="41"/>
        <v>2023</v>
      </c>
      <c r="E2644">
        <v>2815</v>
      </c>
      <c r="F2644">
        <v>62424</v>
      </c>
      <c r="G2644">
        <v>4.51</v>
      </c>
      <c r="H2644" t="s">
        <v>10</v>
      </c>
      <c r="I2644" t="s">
        <v>11</v>
      </c>
    </row>
    <row r="2645" spans="1:9" hidden="1" x14ac:dyDescent="0.25">
      <c r="A2645" t="s">
        <v>24</v>
      </c>
      <c r="B2645" t="s">
        <v>82</v>
      </c>
      <c r="C2645">
        <v>202305</v>
      </c>
      <c r="D2645" t="str">
        <f t="shared" si="41"/>
        <v>2023</v>
      </c>
      <c r="E2645">
        <v>2429</v>
      </c>
      <c r="F2645">
        <v>62424</v>
      </c>
      <c r="G2645">
        <v>3.89</v>
      </c>
      <c r="H2645" t="s">
        <v>10</v>
      </c>
      <c r="I2645" t="s">
        <v>11</v>
      </c>
    </row>
    <row r="2646" spans="1:9" hidden="1" x14ac:dyDescent="0.25">
      <c r="A2646" t="s">
        <v>24</v>
      </c>
      <c r="B2646" t="s">
        <v>82</v>
      </c>
      <c r="C2646">
        <v>202306</v>
      </c>
      <c r="D2646" t="str">
        <f t="shared" si="41"/>
        <v>2023</v>
      </c>
      <c r="E2646">
        <v>2673</v>
      </c>
      <c r="F2646">
        <v>62424</v>
      </c>
      <c r="G2646">
        <v>4.28</v>
      </c>
      <c r="H2646" t="s">
        <v>10</v>
      </c>
      <c r="I2646" t="s">
        <v>11</v>
      </c>
    </row>
    <row r="2647" spans="1:9" hidden="1" x14ac:dyDescent="0.25">
      <c r="A2647" t="s">
        <v>24</v>
      </c>
      <c r="B2647" t="s">
        <v>82</v>
      </c>
      <c r="C2647">
        <v>202307</v>
      </c>
      <c r="D2647" t="str">
        <f t="shared" si="41"/>
        <v>2023</v>
      </c>
      <c r="E2647">
        <v>2758</v>
      </c>
      <c r="F2647">
        <v>62424</v>
      </c>
      <c r="G2647">
        <v>4.42</v>
      </c>
      <c r="H2647" t="s">
        <v>10</v>
      </c>
      <c r="I2647" t="s">
        <v>11</v>
      </c>
    </row>
    <row r="2648" spans="1:9" hidden="1" x14ac:dyDescent="0.25">
      <c r="A2648" t="s">
        <v>24</v>
      </c>
      <c r="B2648" t="s">
        <v>82</v>
      </c>
      <c r="C2648">
        <v>202308</v>
      </c>
      <c r="D2648" t="str">
        <f t="shared" si="41"/>
        <v>2023</v>
      </c>
      <c r="E2648">
        <v>2589</v>
      </c>
      <c r="F2648">
        <v>62424</v>
      </c>
      <c r="G2648">
        <v>4.1500000000000004</v>
      </c>
      <c r="H2648" t="s">
        <v>10</v>
      </c>
      <c r="I2648" t="s">
        <v>11</v>
      </c>
    </row>
    <row r="2649" spans="1:9" hidden="1" x14ac:dyDescent="0.25">
      <c r="A2649" t="s">
        <v>24</v>
      </c>
      <c r="B2649" t="s">
        <v>82</v>
      </c>
      <c r="C2649">
        <v>202309</v>
      </c>
      <c r="D2649" t="str">
        <f t="shared" si="41"/>
        <v>2023</v>
      </c>
      <c r="E2649">
        <v>2558</v>
      </c>
      <c r="F2649">
        <v>62424</v>
      </c>
      <c r="G2649">
        <v>4.0999999999999996</v>
      </c>
      <c r="H2649" t="s">
        <v>10</v>
      </c>
      <c r="I2649" t="s">
        <v>11</v>
      </c>
    </row>
    <row r="2650" spans="1:9" hidden="1" x14ac:dyDescent="0.25">
      <c r="A2650" t="s">
        <v>24</v>
      </c>
      <c r="B2650" t="s">
        <v>82</v>
      </c>
      <c r="C2650">
        <v>202310</v>
      </c>
      <c r="D2650" t="str">
        <f t="shared" si="41"/>
        <v>2023</v>
      </c>
      <c r="E2650">
        <v>2353</v>
      </c>
      <c r="F2650">
        <v>62424</v>
      </c>
      <c r="G2650">
        <v>3.77</v>
      </c>
      <c r="H2650" t="s">
        <v>10</v>
      </c>
      <c r="I2650" t="s">
        <v>11</v>
      </c>
    </row>
    <row r="2651" spans="1:9" hidden="1" x14ac:dyDescent="0.25">
      <c r="A2651" t="s">
        <v>24</v>
      </c>
      <c r="B2651" t="s">
        <v>82</v>
      </c>
      <c r="C2651">
        <v>202311</v>
      </c>
      <c r="D2651" t="str">
        <f t="shared" si="41"/>
        <v>2023</v>
      </c>
      <c r="E2651">
        <v>2666</v>
      </c>
      <c r="F2651">
        <v>62424</v>
      </c>
      <c r="G2651">
        <v>4.2699999999999996</v>
      </c>
      <c r="H2651" t="s">
        <v>10</v>
      </c>
      <c r="I2651" t="s">
        <v>11</v>
      </c>
    </row>
    <row r="2652" spans="1:9" hidden="1" x14ac:dyDescent="0.25">
      <c r="A2652" t="s">
        <v>24</v>
      </c>
      <c r="B2652" t="s">
        <v>82</v>
      </c>
      <c r="C2652">
        <v>202312</v>
      </c>
      <c r="D2652" t="str">
        <f t="shared" si="41"/>
        <v>2023</v>
      </c>
      <c r="E2652">
        <v>2499</v>
      </c>
      <c r="F2652">
        <v>62424</v>
      </c>
      <c r="G2652">
        <v>4</v>
      </c>
      <c r="H2652" t="s">
        <v>10</v>
      </c>
      <c r="I2652" t="s">
        <v>11</v>
      </c>
    </row>
    <row r="2653" spans="1:9" hidden="1" x14ac:dyDescent="0.25">
      <c r="A2653" t="s">
        <v>24</v>
      </c>
      <c r="B2653" t="s">
        <v>82</v>
      </c>
      <c r="C2653">
        <v>202401</v>
      </c>
      <c r="D2653" t="str">
        <f t="shared" si="41"/>
        <v>2024</v>
      </c>
      <c r="E2653">
        <v>3009</v>
      </c>
      <c r="F2653">
        <v>62424</v>
      </c>
      <c r="G2653">
        <v>4.82</v>
      </c>
      <c r="H2653" t="s">
        <v>10</v>
      </c>
      <c r="I2653" t="s">
        <v>11</v>
      </c>
    </row>
    <row r="2654" spans="1:9" hidden="1" x14ac:dyDescent="0.25">
      <c r="A2654" t="s">
        <v>24</v>
      </c>
      <c r="B2654" t="s">
        <v>82</v>
      </c>
      <c r="C2654">
        <v>202402</v>
      </c>
      <c r="D2654" t="str">
        <f t="shared" si="41"/>
        <v>2024</v>
      </c>
      <c r="E2654">
        <v>3447</v>
      </c>
      <c r="F2654">
        <v>62424</v>
      </c>
      <c r="G2654">
        <v>5.52</v>
      </c>
      <c r="H2654" t="s">
        <v>10</v>
      </c>
      <c r="I2654" t="s">
        <v>11</v>
      </c>
    </row>
    <row r="2655" spans="1:9" hidden="1" x14ac:dyDescent="0.25">
      <c r="A2655" t="s">
        <v>24</v>
      </c>
      <c r="B2655" t="s">
        <v>82</v>
      </c>
      <c r="C2655">
        <v>202403</v>
      </c>
      <c r="D2655" t="str">
        <f t="shared" si="41"/>
        <v>2024</v>
      </c>
      <c r="E2655">
        <v>1325</v>
      </c>
      <c r="F2655">
        <v>62424</v>
      </c>
      <c r="G2655">
        <v>2.12</v>
      </c>
      <c r="H2655" t="s">
        <v>10</v>
      </c>
      <c r="I2655" t="s">
        <v>11</v>
      </c>
    </row>
    <row r="2656" spans="1:9" hidden="1" x14ac:dyDescent="0.25">
      <c r="A2656" t="s">
        <v>24</v>
      </c>
      <c r="B2656" t="s">
        <v>68</v>
      </c>
      <c r="C2656">
        <v>202201</v>
      </c>
      <c r="D2656" t="str">
        <f t="shared" si="41"/>
        <v>2022</v>
      </c>
      <c r="E2656">
        <v>1739</v>
      </c>
      <c r="F2656">
        <v>68042</v>
      </c>
      <c r="G2656">
        <v>2.56</v>
      </c>
      <c r="H2656" t="s">
        <v>10</v>
      </c>
      <c r="I2656" t="s">
        <v>11</v>
      </c>
    </row>
    <row r="2657" spans="1:9" hidden="1" x14ac:dyDescent="0.25">
      <c r="A2657" t="s">
        <v>24</v>
      </c>
      <c r="B2657" t="s">
        <v>68</v>
      </c>
      <c r="C2657">
        <v>202202</v>
      </c>
      <c r="D2657" t="str">
        <f t="shared" si="41"/>
        <v>2022</v>
      </c>
      <c r="E2657">
        <v>1951</v>
      </c>
      <c r="F2657">
        <v>68042</v>
      </c>
      <c r="G2657">
        <v>2.87</v>
      </c>
      <c r="H2657" t="s">
        <v>10</v>
      </c>
      <c r="I2657" t="s">
        <v>11</v>
      </c>
    </row>
    <row r="2658" spans="1:9" hidden="1" x14ac:dyDescent="0.25">
      <c r="A2658" t="s">
        <v>24</v>
      </c>
      <c r="B2658" t="s">
        <v>68</v>
      </c>
      <c r="C2658">
        <v>202203</v>
      </c>
      <c r="D2658" t="str">
        <f t="shared" si="41"/>
        <v>2022</v>
      </c>
      <c r="E2658">
        <v>2228</v>
      </c>
      <c r="F2658">
        <v>68042</v>
      </c>
      <c r="G2658">
        <v>3.27</v>
      </c>
      <c r="H2658" t="s">
        <v>10</v>
      </c>
      <c r="I2658" t="s">
        <v>11</v>
      </c>
    </row>
    <row r="2659" spans="1:9" hidden="1" x14ac:dyDescent="0.25">
      <c r="A2659" t="s">
        <v>24</v>
      </c>
      <c r="B2659" t="s">
        <v>68</v>
      </c>
      <c r="C2659">
        <v>202204</v>
      </c>
      <c r="D2659" t="str">
        <f t="shared" si="41"/>
        <v>2022</v>
      </c>
      <c r="E2659">
        <v>1827</v>
      </c>
      <c r="F2659">
        <v>68042</v>
      </c>
      <c r="G2659">
        <v>2.69</v>
      </c>
      <c r="H2659" t="s">
        <v>10</v>
      </c>
      <c r="I2659" t="s">
        <v>11</v>
      </c>
    </row>
    <row r="2660" spans="1:9" hidden="1" x14ac:dyDescent="0.25">
      <c r="A2660" t="s">
        <v>24</v>
      </c>
      <c r="B2660" t="s">
        <v>68</v>
      </c>
      <c r="C2660">
        <v>202205</v>
      </c>
      <c r="D2660" t="str">
        <f t="shared" si="41"/>
        <v>2022</v>
      </c>
      <c r="E2660">
        <v>1987</v>
      </c>
      <c r="F2660">
        <v>68042</v>
      </c>
      <c r="G2660">
        <v>2.92</v>
      </c>
      <c r="H2660" t="s">
        <v>10</v>
      </c>
      <c r="I2660" t="s">
        <v>11</v>
      </c>
    </row>
    <row r="2661" spans="1:9" hidden="1" x14ac:dyDescent="0.25">
      <c r="A2661" t="s">
        <v>24</v>
      </c>
      <c r="B2661" t="s">
        <v>68</v>
      </c>
      <c r="C2661">
        <v>202206</v>
      </c>
      <c r="D2661" t="str">
        <f t="shared" si="41"/>
        <v>2022</v>
      </c>
      <c r="E2661">
        <v>1836</v>
      </c>
      <c r="F2661">
        <v>68042</v>
      </c>
      <c r="G2661">
        <v>2.7</v>
      </c>
      <c r="H2661" t="s">
        <v>10</v>
      </c>
      <c r="I2661" t="s">
        <v>11</v>
      </c>
    </row>
    <row r="2662" spans="1:9" hidden="1" x14ac:dyDescent="0.25">
      <c r="A2662" t="s">
        <v>24</v>
      </c>
      <c r="B2662" t="s">
        <v>68</v>
      </c>
      <c r="C2662">
        <v>202207</v>
      </c>
      <c r="D2662" t="str">
        <f t="shared" si="41"/>
        <v>2022</v>
      </c>
      <c r="E2662">
        <v>1648</v>
      </c>
      <c r="F2662">
        <v>68042</v>
      </c>
      <c r="G2662">
        <v>2.42</v>
      </c>
      <c r="H2662" t="s">
        <v>10</v>
      </c>
      <c r="I2662" t="s">
        <v>11</v>
      </c>
    </row>
    <row r="2663" spans="1:9" hidden="1" x14ac:dyDescent="0.25">
      <c r="A2663" t="s">
        <v>24</v>
      </c>
      <c r="B2663" t="s">
        <v>68</v>
      </c>
      <c r="C2663">
        <v>202208</v>
      </c>
      <c r="D2663" t="str">
        <f t="shared" si="41"/>
        <v>2022</v>
      </c>
      <c r="E2663">
        <v>2291</v>
      </c>
      <c r="F2663">
        <v>68042</v>
      </c>
      <c r="G2663">
        <v>3.37</v>
      </c>
      <c r="H2663" t="s">
        <v>10</v>
      </c>
      <c r="I2663" t="s">
        <v>11</v>
      </c>
    </row>
    <row r="2664" spans="1:9" hidden="1" x14ac:dyDescent="0.25">
      <c r="A2664" t="s">
        <v>24</v>
      </c>
      <c r="B2664" t="s">
        <v>68</v>
      </c>
      <c r="C2664">
        <v>202209</v>
      </c>
      <c r="D2664" t="str">
        <f t="shared" si="41"/>
        <v>2022</v>
      </c>
      <c r="E2664">
        <v>2133</v>
      </c>
      <c r="F2664">
        <v>68042</v>
      </c>
      <c r="G2664">
        <v>3.13</v>
      </c>
      <c r="H2664" t="s">
        <v>10</v>
      </c>
      <c r="I2664" t="s">
        <v>11</v>
      </c>
    </row>
    <row r="2665" spans="1:9" hidden="1" x14ac:dyDescent="0.25">
      <c r="A2665" t="s">
        <v>24</v>
      </c>
      <c r="B2665" t="s">
        <v>68</v>
      </c>
      <c r="C2665">
        <v>202210</v>
      </c>
      <c r="D2665" t="str">
        <f t="shared" si="41"/>
        <v>2022</v>
      </c>
      <c r="E2665">
        <v>1971</v>
      </c>
      <c r="F2665">
        <v>68042</v>
      </c>
      <c r="G2665">
        <v>2.9</v>
      </c>
      <c r="H2665" t="s">
        <v>10</v>
      </c>
      <c r="I2665" t="s">
        <v>11</v>
      </c>
    </row>
    <row r="2666" spans="1:9" hidden="1" x14ac:dyDescent="0.25">
      <c r="A2666" t="s">
        <v>24</v>
      </c>
      <c r="B2666" t="s">
        <v>68</v>
      </c>
      <c r="C2666">
        <v>202211</v>
      </c>
      <c r="D2666" t="str">
        <f t="shared" si="41"/>
        <v>2022</v>
      </c>
      <c r="E2666">
        <v>2076</v>
      </c>
      <c r="F2666">
        <v>68042</v>
      </c>
      <c r="G2666">
        <v>3.05</v>
      </c>
      <c r="H2666" t="s">
        <v>10</v>
      </c>
      <c r="I2666" t="s">
        <v>11</v>
      </c>
    </row>
    <row r="2667" spans="1:9" hidden="1" x14ac:dyDescent="0.25">
      <c r="A2667" t="s">
        <v>24</v>
      </c>
      <c r="B2667" t="s">
        <v>68</v>
      </c>
      <c r="C2667">
        <v>202212</v>
      </c>
      <c r="D2667" t="str">
        <f t="shared" si="41"/>
        <v>2022</v>
      </c>
      <c r="E2667">
        <v>2154</v>
      </c>
      <c r="F2667">
        <v>68042</v>
      </c>
      <c r="G2667">
        <v>3.17</v>
      </c>
      <c r="H2667" t="s">
        <v>10</v>
      </c>
      <c r="I2667" t="s">
        <v>11</v>
      </c>
    </row>
    <row r="2668" spans="1:9" hidden="1" x14ac:dyDescent="0.25">
      <c r="A2668" t="s">
        <v>24</v>
      </c>
      <c r="B2668" t="s">
        <v>68</v>
      </c>
      <c r="C2668">
        <v>202301</v>
      </c>
      <c r="D2668" t="str">
        <f t="shared" si="41"/>
        <v>2023</v>
      </c>
      <c r="E2668">
        <v>2018</v>
      </c>
      <c r="F2668">
        <v>68042</v>
      </c>
      <c r="G2668">
        <v>2.97</v>
      </c>
      <c r="H2668" t="s">
        <v>10</v>
      </c>
      <c r="I2668" t="s">
        <v>11</v>
      </c>
    </row>
    <row r="2669" spans="1:9" hidden="1" x14ac:dyDescent="0.25">
      <c r="A2669" t="s">
        <v>24</v>
      </c>
      <c r="B2669" t="s">
        <v>68</v>
      </c>
      <c r="C2669">
        <v>202302</v>
      </c>
      <c r="D2669" t="str">
        <f t="shared" si="41"/>
        <v>2023</v>
      </c>
      <c r="E2669">
        <v>2443</v>
      </c>
      <c r="F2669">
        <v>68042</v>
      </c>
      <c r="G2669">
        <v>3.59</v>
      </c>
      <c r="H2669" t="s">
        <v>10</v>
      </c>
      <c r="I2669" t="s">
        <v>11</v>
      </c>
    </row>
    <row r="2670" spans="1:9" hidden="1" x14ac:dyDescent="0.25">
      <c r="A2670" t="s">
        <v>24</v>
      </c>
      <c r="B2670" t="s">
        <v>68</v>
      </c>
      <c r="C2670">
        <v>202303</v>
      </c>
      <c r="D2670" t="str">
        <f t="shared" si="41"/>
        <v>2023</v>
      </c>
      <c r="E2670">
        <v>2574</v>
      </c>
      <c r="F2670">
        <v>68042</v>
      </c>
      <c r="G2670">
        <v>3.78</v>
      </c>
      <c r="H2670" t="s">
        <v>10</v>
      </c>
      <c r="I2670" t="s">
        <v>11</v>
      </c>
    </row>
    <row r="2671" spans="1:9" hidden="1" x14ac:dyDescent="0.25">
      <c r="A2671" t="s">
        <v>24</v>
      </c>
      <c r="B2671" t="s">
        <v>68</v>
      </c>
      <c r="C2671">
        <v>202304</v>
      </c>
      <c r="D2671" t="str">
        <f t="shared" si="41"/>
        <v>2023</v>
      </c>
      <c r="E2671">
        <v>2676</v>
      </c>
      <c r="F2671">
        <v>68042</v>
      </c>
      <c r="G2671">
        <v>3.93</v>
      </c>
      <c r="H2671" t="s">
        <v>10</v>
      </c>
      <c r="I2671" t="s">
        <v>11</v>
      </c>
    </row>
    <row r="2672" spans="1:9" hidden="1" x14ac:dyDescent="0.25">
      <c r="A2672" t="s">
        <v>24</v>
      </c>
      <c r="B2672" t="s">
        <v>68</v>
      </c>
      <c r="C2672">
        <v>202305</v>
      </c>
      <c r="D2672" t="str">
        <f t="shared" si="41"/>
        <v>2023</v>
      </c>
      <c r="E2672">
        <v>2396</v>
      </c>
      <c r="F2672">
        <v>68042</v>
      </c>
      <c r="G2672">
        <v>3.52</v>
      </c>
      <c r="H2672" t="s">
        <v>10</v>
      </c>
      <c r="I2672" t="s">
        <v>11</v>
      </c>
    </row>
    <row r="2673" spans="1:9" hidden="1" x14ac:dyDescent="0.25">
      <c r="A2673" t="s">
        <v>24</v>
      </c>
      <c r="B2673" t="s">
        <v>68</v>
      </c>
      <c r="C2673">
        <v>202306</v>
      </c>
      <c r="D2673" t="str">
        <f t="shared" si="41"/>
        <v>2023</v>
      </c>
      <c r="E2673">
        <v>2595</v>
      </c>
      <c r="F2673">
        <v>68042</v>
      </c>
      <c r="G2673">
        <v>3.81</v>
      </c>
      <c r="H2673" t="s">
        <v>10</v>
      </c>
      <c r="I2673" t="s">
        <v>11</v>
      </c>
    </row>
    <row r="2674" spans="1:9" hidden="1" x14ac:dyDescent="0.25">
      <c r="A2674" t="s">
        <v>24</v>
      </c>
      <c r="B2674" t="s">
        <v>68</v>
      </c>
      <c r="C2674">
        <v>202307</v>
      </c>
      <c r="D2674" t="str">
        <f t="shared" si="41"/>
        <v>2023</v>
      </c>
      <c r="E2674">
        <v>2666</v>
      </c>
      <c r="F2674">
        <v>68042</v>
      </c>
      <c r="G2674">
        <v>3.92</v>
      </c>
      <c r="H2674" t="s">
        <v>10</v>
      </c>
      <c r="I2674" t="s">
        <v>11</v>
      </c>
    </row>
    <row r="2675" spans="1:9" hidden="1" x14ac:dyDescent="0.25">
      <c r="A2675" t="s">
        <v>24</v>
      </c>
      <c r="B2675" t="s">
        <v>68</v>
      </c>
      <c r="C2675">
        <v>202308</v>
      </c>
      <c r="D2675" t="str">
        <f t="shared" si="41"/>
        <v>2023</v>
      </c>
      <c r="E2675">
        <v>2449</v>
      </c>
      <c r="F2675">
        <v>68042</v>
      </c>
      <c r="G2675">
        <v>3.6</v>
      </c>
      <c r="H2675" t="s">
        <v>10</v>
      </c>
      <c r="I2675" t="s">
        <v>11</v>
      </c>
    </row>
    <row r="2676" spans="1:9" hidden="1" x14ac:dyDescent="0.25">
      <c r="A2676" t="s">
        <v>24</v>
      </c>
      <c r="B2676" t="s">
        <v>68</v>
      </c>
      <c r="C2676">
        <v>202309</v>
      </c>
      <c r="D2676" t="str">
        <f t="shared" si="41"/>
        <v>2023</v>
      </c>
      <c r="E2676">
        <v>2467</v>
      </c>
      <c r="F2676">
        <v>68042</v>
      </c>
      <c r="G2676">
        <v>3.63</v>
      </c>
      <c r="H2676" t="s">
        <v>10</v>
      </c>
      <c r="I2676" t="s">
        <v>11</v>
      </c>
    </row>
    <row r="2677" spans="1:9" hidden="1" x14ac:dyDescent="0.25">
      <c r="A2677" t="s">
        <v>24</v>
      </c>
      <c r="B2677" t="s">
        <v>68</v>
      </c>
      <c r="C2677">
        <v>202310</v>
      </c>
      <c r="D2677" t="str">
        <f t="shared" si="41"/>
        <v>2023</v>
      </c>
      <c r="E2677">
        <v>2289</v>
      </c>
      <c r="F2677">
        <v>68042</v>
      </c>
      <c r="G2677">
        <v>3.36</v>
      </c>
      <c r="H2677" t="s">
        <v>10</v>
      </c>
      <c r="I2677" t="s">
        <v>11</v>
      </c>
    </row>
    <row r="2678" spans="1:9" hidden="1" x14ac:dyDescent="0.25">
      <c r="A2678" t="s">
        <v>24</v>
      </c>
      <c r="B2678" t="s">
        <v>68</v>
      </c>
      <c r="C2678">
        <v>202311</v>
      </c>
      <c r="D2678" t="str">
        <f t="shared" si="41"/>
        <v>2023</v>
      </c>
      <c r="E2678">
        <v>2556</v>
      </c>
      <c r="F2678">
        <v>68042</v>
      </c>
      <c r="G2678">
        <v>3.76</v>
      </c>
      <c r="H2678" t="s">
        <v>10</v>
      </c>
      <c r="I2678" t="s">
        <v>11</v>
      </c>
    </row>
    <row r="2679" spans="1:9" hidden="1" x14ac:dyDescent="0.25">
      <c r="A2679" t="s">
        <v>24</v>
      </c>
      <c r="B2679" t="s">
        <v>68</v>
      </c>
      <c r="C2679">
        <v>202312</v>
      </c>
      <c r="D2679" t="str">
        <f t="shared" si="41"/>
        <v>2023</v>
      </c>
      <c r="E2679">
        <v>2475</v>
      </c>
      <c r="F2679">
        <v>68042</v>
      </c>
      <c r="G2679">
        <v>3.64</v>
      </c>
      <c r="H2679" t="s">
        <v>10</v>
      </c>
      <c r="I2679" t="s">
        <v>11</v>
      </c>
    </row>
    <row r="2680" spans="1:9" hidden="1" x14ac:dyDescent="0.25">
      <c r="A2680" t="s">
        <v>24</v>
      </c>
      <c r="B2680" t="s">
        <v>68</v>
      </c>
      <c r="C2680">
        <v>202401</v>
      </c>
      <c r="D2680" t="str">
        <f t="shared" si="41"/>
        <v>2024</v>
      </c>
      <c r="E2680">
        <v>2909</v>
      </c>
      <c r="F2680">
        <v>68042</v>
      </c>
      <c r="G2680">
        <v>4.28</v>
      </c>
      <c r="H2680" t="s">
        <v>10</v>
      </c>
      <c r="I2680" t="s">
        <v>11</v>
      </c>
    </row>
    <row r="2681" spans="1:9" hidden="1" x14ac:dyDescent="0.25">
      <c r="A2681" t="s">
        <v>24</v>
      </c>
      <c r="B2681" t="s">
        <v>68</v>
      </c>
      <c r="C2681">
        <v>202402</v>
      </c>
      <c r="D2681" t="str">
        <f t="shared" si="41"/>
        <v>2024</v>
      </c>
      <c r="E2681">
        <v>3632</v>
      </c>
      <c r="F2681">
        <v>68042</v>
      </c>
      <c r="G2681">
        <v>5.34</v>
      </c>
      <c r="H2681" t="s">
        <v>10</v>
      </c>
      <c r="I2681" t="s">
        <v>11</v>
      </c>
    </row>
    <row r="2682" spans="1:9" hidden="1" x14ac:dyDescent="0.25">
      <c r="A2682" t="s">
        <v>24</v>
      </c>
      <c r="B2682" t="s">
        <v>68</v>
      </c>
      <c r="C2682">
        <v>202403</v>
      </c>
      <c r="D2682" t="str">
        <f t="shared" si="41"/>
        <v>2024</v>
      </c>
      <c r="E2682">
        <v>3165</v>
      </c>
      <c r="F2682">
        <v>68042</v>
      </c>
      <c r="G2682">
        <v>4.6500000000000004</v>
      </c>
      <c r="H2682" t="s">
        <v>10</v>
      </c>
      <c r="I2682" t="s">
        <v>11</v>
      </c>
    </row>
    <row r="2683" spans="1:9" hidden="1" x14ac:dyDescent="0.25">
      <c r="A2683" t="s">
        <v>24</v>
      </c>
      <c r="B2683" t="s">
        <v>68</v>
      </c>
      <c r="C2683">
        <v>202404</v>
      </c>
      <c r="D2683" t="str">
        <f t="shared" si="41"/>
        <v>2024</v>
      </c>
      <c r="E2683">
        <v>3283</v>
      </c>
      <c r="F2683">
        <v>68042</v>
      </c>
      <c r="G2683">
        <v>4.82</v>
      </c>
      <c r="H2683" t="s">
        <v>10</v>
      </c>
      <c r="I2683" t="s">
        <v>11</v>
      </c>
    </row>
    <row r="2684" spans="1:9" hidden="1" x14ac:dyDescent="0.25">
      <c r="A2684" t="s">
        <v>24</v>
      </c>
      <c r="B2684" t="s">
        <v>68</v>
      </c>
      <c r="C2684">
        <v>202405</v>
      </c>
      <c r="D2684" t="str">
        <f t="shared" si="41"/>
        <v>2024</v>
      </c>
      <c r="E2684">
        <v>1608</v>
      </c>
      <c r="F2684">
        <v>68042</v>
      </c>
      <c r="G2684">
        <v>2.36</v>
      </c>
      <c r="H2684" t="s">
        <v>10</v>
      </c>
      <c r="I2684" t="s">
        <v>11</v>
      </c>
    </row>
    <row r="2685" spans="1:9" hidden="1" x14ac:dyDescent="0.25">
      <c r="A2685" t="s">
        <v>24</v>
      </c>
      <c r="B2685" t="s">
        <v>152</v>
      </c>
      <c r="C2685">
        <v>202201</v>
      </c>
      <c r="D2685" t="str">
        <f t="shared" si="41"/>
        <v>2022</v>
      </c>
      <c r="E2685">
        <v>1730</v>
      </c>
      <c r="F2685">
        <v>69180</v>
      </c>
      <c r="G2685">
        <v>2.5</v>
      </c>
      <c r="H2685" t="s">
        <v>10</v>
      </c>
      <c r="I2685" t="s">
        <v>11</v>
      </c>
    </row>
    <row r="2686" spans="1:9" hidden="1" x14ac:dyDescent="0.25">
      <c r="A2686" t="s">
        <v>24</v>
      </c>
      <c r="B2686" t="s">
        <v>152</v>
      </c>
      <c r="C2686">
        <v>202202</v>
      </c>
      <c r="D2686" t="str">
        <f t="shared" si="41"/>
        <v>2022</v>
      </c>
      <c r="E2686">
        <v>1929</v>
      </c>
      <c r="F2686">
        <v>69180</v>
      </c>
      <c r="G2686">
        <v>2.79</v>
      </c>
      <c r="H2686" t="s">
        <v>10</v>
      </c>
      <c r="I2686" t="s">
        <v>11</v>
      </c>
    </row>
    <row r="2687" spans="1:9" hidden="1" x14ac:dyDescent="0.25">
      <c r="A2687" t="s">
        <v>24</v>
      </c>
      <c r="B2687" t="s">
        <v>152</v>
      </c>
      <c r="C2687">
        <v>202203</v>
      </c>
      <c r="D2687" t="str">
        <f t="shared" si="41"/>
        <v>2022</v>
      </c>
      <c r="E2687">
        <v>2205</v>
      </c>
      <c r="F2687">
        <v>69180</v>
      </c>
      <c r="G2687">
        <v>3.19</v>
      </c>
      <c r="H2687" t="s">
        <v>10</v>
      </c>
      <c r="I2687" t="s">
        <v>11</v>
      </c>
    </row>
    <row r="2688" spans="1:9" hidden="1" x14ac:dyDescent="0.25">
      <c r="A2688" t="s">
        <v>24</v>
      </c>
      <c r="B2688" t="s">
        <v>152</v>
      </c>
      <c r="C2688">
        <v>202204</v>
      </c>
      <c r="D2688" t="str">
        <f t="shared" si="41"/>
        <v>2022</v>
      </c>
      <c r="E2688">
        <v>1819</v>
      </c>
      <c r="F2688">
        <v>69180</v>
      </c>
      <c r="G2688">
        <v>2.63</v>
      </c>
      <c r="H2688" t="s">
        <v>10</v>
      </c>
      <c r="I2688" t="s">
        <v>11</v>
      </c>
    </row>
    <row r="2689" spans="1:9" hidden="1" x14ac:dyDescent="0.25">
      <c r="A2689" t="s">
        <v>24</v>
      </c>
      <c r="B2689" t="s">
        <v>152</v>
      </c>
      <c r="C2689">
        <v>202205</v>
      </c>
      <c r="D2689" t="str">
        <f t="shared" si="41"/>
        <v>2022</v>
      </c>
      <c r="E2689">
        <v>1975</v>
      </c>
      <c r="F2689">
        <v>69180</v>
      </c>
      <c r="G2689">
        <v>2.85</v>
      </c>
      <c r="H2689" t="s">
        <v>10</v>
      </c>
      <c r="I2689" t="s">
        <v>11</v>
      </c>
    </row>
    <row r="2690" spans="1:9" hidden="1" x14ac:dyDescent="0.25">
      <c r="A2690" t="s">
        <v>24</v>
      </c>
      <c r="B2690" t="s">
        <v>152</v>
      </c>
      <c r="C2690">
        <v>202206</v>
      </c>
      <c r="D2690" t="str">
        <f t="shared" si="41"/>
        <v>2022</v>
      </c>
      <c r="E2690">
        <v>1816</v>
      </c>
      <c r="F2690">
        <v>69180</v>
      </c>
      <c r="G2690">
        <v>2.63</v>
      </c>
      <c r="H2690" t="s">
        <v>10</v>
      </c>
      <c r="I2690" t="s">
        <v>11</v>
      </c>
    </row>
    <row r="2691" spans="1:9" hidden="1" x14ac:dyDescent="0.25">
      <c r="A2691" t="s">
        <v>24</v>
      </c>
      <c r="B2691" t="s">
        <v>152</v>
      </c>
      <c r="C2691">
        <v>202207</v>
      </c>
      <c r="D2691" t="str">
        <f t="shared" ref="D2691:D2754" si="42">LEFT(C2691,4)</f>
        <v>2022</v>
      </c>
      <c r="E2691">
        <v>1552</v>
      </c>
      <c r="F2691">
        <v>69180</v>
      </c>
      <c r="G2691">
        <v>2.2400000000000002</v>
      </c>
      <c r="H2691" t="s">
        <v>10</v>
      </c>
      <c r="I2691" t="s">
        <v>11</v>
      </c>
    </row>
    <row r="2692" spans="1:9" hidden="1" x14ac:dyDescent="0.25">
      <c r="A2692" t="s">
        <v>24</v>
      </c>
      <c r="B2692" t="s">
        <v>152</v>
      </c>
      <c r="C2692">
        <v>202208</v>
      </c>
      <c r="D2692" t="str">
        <f t="shared" si="42"/>
        <v>2022</v>
      </c>
      <c r="E2692">
        <v>2019</v>
      </c>
      <c r="F2692">
        <v>69180</v>
      </c>
      <c r="G2692">
        <v>2.92</v>
      </c>
      <c r="H2692" t="s">
        <v>10</v>
      </c>
      <c r="I2692" t="s">
        <v>11</v>
      </c>
    </row>
    <row r="2693" spans="1:9" hidden="1" x14ac:dyDescent="0.25">
      <c r="A2693" t="s">
        <v>24</v>
      </c>
      <c r="B2693" t="s">
        <v>152</v>
      </c>
      <c r="C2693">
        <v>202209</v>
      </c>
      <c r="D2693" t="str">
        <f t="shared" si="42"/>
        <v>2022</v>
      </c>
      <c r="E2693">
        <v>2068</v>
      </c>
      <c r="F2693">
        <v>69180</v>
      </c>
      <c r="G2693">
        <v>2.99</v>
      </c>
      <c r="H2693" t="s">
        <v>10</v>
      </c>
      <c r="I2693" t="s">
        <v>11</v>
      </c>
    </row>
    <row r="2694" spans="1:9" hidden="1" x14ac:dyDescent="0.25">
      <c r="A2694" t="s">
        <v>24</v>
      </c>
      <c r="B2694" t="s">
        <v>152</v>
      </c>
      <c r="C2694">
        <v>202210</v>
      </c>
      <c r="D2694" t="str">
        <f t="shared" si="42"/>
        <v>2022</v>
      </c>
      <c r="E2694">
        <v>1930</v>
      </c>
      <c r="F2694">
        <v>69180</v>
      </c>
      <c r="G2694">
        <v>2.79</v>
      </c>
      <c r="H2694" t="s">
        <v>10</v>
      </c>
      <c r="I2694" t="s">
        <v>11</v>
      </c>
    </row>
    <row r="2695" spans="1:9" hidden="1" x14ac:dyDescent="0.25">
      <c r="A2695" t="s">
        <v>24</v>
      </c>
      <c r="B2695" t="s">
        <v>152</v>
      </c>
      <c r="C2695">
        <v>202211</v>
      </c>
      <c r="D2695" t="str">
        <f t="shared" si="42"/>
        <v>2022</v>
      </c>
      <c r="E2695">
        <v>2038</v>
      </c>
      <c r="F2695">
        <v>69180</v>
      </c>
      <c r="G2695">
        <v>2.95</v>
      </c>
      <c r="H2695" t="s">
        <v>10</v>
      </c>
      <c r="I2695" t="s">
        <v>11</v>
      </c>
    </row>
    <row r="2696" spans="1:9" hidden="1" x14ac:dyDescent="0.25">
      <c r="A2696" t="s">
        <v>24</v>
      </c>
      <c r="B2696" t="s">
        <v>152</v>
      </c>
      <c r="C2696">
        <v>202212</v>
      </c>
      <c r="D2696" t="str">
        <f t="shared" si="42"/>
        <v>2022</v>
      </c>
      <c r="E2696">
        <v>2123</v>
      </c>
      <c r="F2696">
        <v>69180</v>
      </c>
      <c r="G2696">
        <v>3.07</v>
      </c>
      <c r="H2696" t="s">
        <v>10</v>
      </c>
      <c r="I2696" t="s">
        <v>11</v>
      </c>
    </row>
    <row r="2697" spans="1:9" hidden="1" x14ac:dyDescent="0.25">
      <c r="A2697" t="s">
        <v>24</v>
      </c>
      <c r="B2697" t="s">
        <v>152</v>
      </c>
      <c r="C2697">
        <v>202301</v>
      </c>
      <c r="D2697" t="str">
        <f t="shared" si="42"/>
        <v>2023</v>
      </c>
      <c r="E2697">
        <v>1966</v>
      </c>
      <c r="F2697">
        <v>69180</v>
      </c>
      <c r="G2697">
        <v>2.84</v>
      </c>
      <c r="H2697" t="s">
        <v>10</v>
      </c>
      <c r="I2697" t="s">
        <v>11</v>
      </c>
    </row>
    <row r="2698" spans="1:9" hidden="1" x14ac:dyDescent="0.25">
      <c r="A2698" t="s">
        <v>24</v>
      </c>
      <c r="B2698" t="s">
        <v>152</v>
      </c>
      <c r="C2698">
        <v>202302</v>
      </c>
      <c r="D2698" t="str">
        <f t="shared" si="42"/>
        <v>2023</v>
      </c>
      <c r="E2698">
        <v>2406</v>
      </c>
      <c r="F2698">
        <v>69180</v>
      </c>
      <c r="G2698">
        <v>3.48</v>
      </c>
      <c r="H2698" t="s">
        <v>10</v>
      </c>
      <c r="I2698" t="s">
        <v>11</v>
      </c>
    </row>
    <row r="2699" spans="1:9" hidden="1" x14ac:dyDescent="0.25">
      <c r="A2699" t="s">
        <v>24</v>
      </c>
      <c r="B2699" t="s">
        <v>152</v>
      </c>
      <c r="C2699">
        <v>202303</v>
      </c>
      <c r="D2699" t="str">
        <f t="shared" si="42"/>
        <v>2023</v>
      </c>
      <c r="E2699">
        <v>2560</v>
      </c>
      <c r="F2699">
        <v>69180</v>
      </c>
      <c r="G2699">
        <v>3.7</v>
      </c>
      <c r="H2699" t="s">
        <v>10</v>
      </c>
      <c r="I2699" t="s">
        <v>11</v>
      </c>
    </row>
    <row r="2700" spans="1:9" hidden="1" x14ac:dyDescent="0.25">
      <c r="A2700" t="s">
        <v>24</v>
      </c>
      <c r="B2700" t="s">
        <v>152</v>
      </c>
      <c r="C2700">
        <v>202304</v>
      </c>
      <c r="D2700" t="str">
        <f t="shared" si="42"/>
        <v>2023</v>
      </c>
      <c r="E2700">
        <v>2639</v>
      </c>
      <c r="F2700">
        <v>69180</v>
      </c>
      <c r="G2700">
        <v>3.81</v>
      </c>
      <c r="H2700" t="s">
        <v>10</v>
      </c>
      <c r="I2700" t="s">
        <v>11</v>
      </c>
    </row>
    <row r="2701" spans="1:9" hidden="1" x14ac:dyDescent="0.25">
      <c r="A2701" t="s">
        <v>24</v>
      </c>
      <c r="B2701" t="s">
        <v>152</v>
      </c>
      <c r="C2701">
        <v>202305</v>
      </c>
      <c r="D2701" t="str">
        <f t="shared" si="42"/>
        <v>2023</v>
      </c>
      <c r="E2701">
        <v>2332</v>
      </c>
      <c r="F2701">
        <v>69180</v>
      </c>
      <c r="G2701">
        <v>3.37</v>
      </c>
      <c r="H2701" t="s">
        <v>10</v>
      </c>
      <c r="I2701" t="s">
        <v>11</v>
      </c>
    </row>
    <row r="2702" spans="1:9" hidden="1" x14ac:dyDescent="0.25">
      <c r="A2702" t="s">
        <v>24</v>
      </c>
      <c r="B2702" t="s">
        <v>152</v>
      </c>
      <c r="C2702">
        <v>202306</v>
      </c>
      <c r="D2702" t="str">
        <f t="shared" si="42"/>
        <v>2023</v>
      </c>
      <c r="E2702">
        <v>2505</v>
      </c>
      <c r="F2702">
        <v>69180</v>
      </c>
      <c r="G2702">
        <v>3.62</v>
      </c>
      <c r="H2702" t="s">
        <v>10</v>
      </c>
      <c r="I2702" t="s">
        <v>11</v>
      </c>
    </row>
    <row r="2703" spans="1:9" hidden="1" x14ac:dyDescent="0.25">
      <c r="A2703" t="s">
        <v>24</v>
      </c>
      <c r="B2703" t="s">
        <v>152</v>
      </c>
      <c r="C2703">
        <v>202307</v>
      </c>
      <c r="D2703" t="str">
        <f t="shared" si="42"/>
        <v>2023</v>
      </c>
      <c r="E2703">
        <v>2576</v>
      </c>
      <c r="F2703">
        <v>69180</v>
      </c>
      <c r="G2703">
        <v>3.72</v>
      </c>
      <c r="H2703" t="s">
        <v>10</v>
      </c>
      <c r="I2703" t="s">
        <v>11</v>
      </c>
    </row>
    <row r="2704" spans="1:9" hidden="1" x14ac:dyDescent="0.25">
      <c r="A2704" t="s">
        <v>24</v>
      </c>
      <c r="B2704" t="s">
        <v>152</v>
      </c>
      <c r="C2704">
        <v>202308</v>
      </c>
      <c r="D2704" t="str">
        <f t="shared" si="42"/>
        <v>2023</v>
      </c>
      <c r="E2704">
        <v>2413</v>
      </c>
      <c r="F2704">
        <v>69180</v>
      </c>
      <c r="G2704">
        <v>3.49</v>
      </c>
      <c r="H2704" t="s">
        <v>10</v>
      </c>
      <c r="I2704" t="s">
        <v>11</v>
      </c>
    </row>
    <row r="2705" spans="1:9" hidden="1" x14ac:dyDescent="0.25">
      <c r="A2705" t="s">
        <v>24</v>
      </c>
      <c r="B2705" t="s">
        <v>152</v>
      </c>
      <c r="C2705">
        <v>202309</v>
      </c>
      <c r="D2705" t="str">
        <f t="shared" si="42"/>
        <v>2023</v>
      </c>
      <c r="E2705">
        <v>2375</v>
      </c>
      <c r="F2705">
        <v>69180</v>
      </c>
      <c r="G2705">
        <v>3.43</v>
      </c>
      <c r="H2705" t="s">
        <v>10</v>
      </c>
      <c r="I2705" t="s">
        <v>11</v>
      </c>
    </row>
    <row r="2706" spans="1:9" hidden="1" x14ac:dyDescent="0.25">
      <c r="A2706" t="s">
        <v>24</v>
      </c>
      <c r="B2706" t="s">
        <v>152</v>
      </c>
      <c r="C2706">
        <v>202310</v>
      </c>
      <c r="D2706" t="str">
        <f t="shared" si="42"/>
        <v>2023</v>
      </c>
      <c r="E2706">
        <v>2208</v>
      </c>
      <c r="F2706">
        <v>69180</v>
      </c>
      <c r="G2706">
        <v>3.19</v>
      </c>
      <c r="H2706" t="s">
        <v>10</v>
      </c>
      <c r="I2706" t="s">
        <v>11</v>
      </c>
    </row>
    <row r="2707" spans="1:9" hidden="1" x14ac:dyDescent="0.25">
      <c r="A2707" t="s">
        <v>24</v>
      </c>
      <c r="B2707" t="s">
        <v>152</v>
      </c>
      <c r="C2707">
        <v>202311</v>
      </c>
      <c r="D2707" t="str">
        <f t="shared" si="42"/>
        <v>2023</v>
      </c>
      <c r="E2707">
        <v>2511</v>
      </c>
      <c r="F2707">
        <v>69180</v>
      </c>
      <c r="G2707">
        <v>3.63</v>
      </c>
      <c r="H2707" t="s">
        <v>10</v>
      </c>
      <c r="I2707" t="s">
        <v>11</v>
      </c>
    </row>
    <row r="2708" spans="1:9" hidden="1" x14ac:dyDescent="0.25">
      <c r="A2708" t="s">
        <v>24</v>
      </c>
      <c r="B2708" t="s">
        <v>152</v>
      </c>
      <c r="C2708">
        <v>202312</v>
      </c>
      <c r="D2708" t="str">
        <f t="shared" si="42"/>
        <v>2023</v>
      </c>
      <c r="E2708">
        <v>2385</v>
      </c>
      <c r="F2708">
        <v>69180</v>
      </c>
      <c r="G2708">
        <v>3.45</v>
      </c>
      <c r="H2708" t="s">
        <v>10</v>
      </c>
      <c r="I2708" t="s">
        <v>11</v>
      </c>
    </row>
    <row r="2709" spans="1:9" hidden="1" x14ac:dyDescent="0.25">
      <c r="A2709" t="s">
        <v>24</v>
      </c>
      <c r="B2709" t="s">
        <v>152</v>
      </c>
      <c r="C2709">
        <v>202401</v>
      </c>
      <c r="D2709" t="str">
        <f t="shared" si="42"/>
        <v>2024</v>
      </c>
      <c r="E2709">
        <v>2865</v>
      </c>
      <c r="F2709">
        <v>69180</v>
      </c>
      <c r="G2709">
        <v>4.1399999999999997</v>
      </c>
      <c r="H2709" t="s">
        <v>10</v>
      </c>
      <c r="I2709" t="s">
        <v>11</v>
      </c>
    </row>
    <row r="2710" spans="1:9" hidden="1" x14ac:dyDescent="0.25">
      <c r="A2710" t="s">
        <v>24</v>
      </c>
      <c r="B2710" t="s">
        <v>152</v>
      </c>
      <c r="C2710">
        <v>202402</v>
      </c>
      <c r="D2710" t="str">
        <f t="shared" si="42"/>
        <v>2024</v>
      </c>
      <c r="E2710">
        <v>3560</v>
      </c>
      <c r="F2710">
        <v>69180</v>
      </c>
      <c r="G2710">
        <v>5.15</v>
      </c>
      <c r="H2710" t="s">
        <v>10</v>
      </c>
      <c r="I2710" t="s">
        <v>11</v>
      </c>
    </row>
    <row r="2711" spans="1:9" hidden="1" x14ac:dyDescent="0.25">
      <c r="A2711" t="s">
        <v>24</v>
      </c>
      <c r="B2711" t="s">
        <v>152</v>
      </c>
      <c r="C2711">
        <v>202403</v>
      </c>
      <c r="D2711" t="str">
        <f t="shared" si="42"/>
        <v>2024</v>
      </c>
      <c r="E2711">
        <v>3082</v>
      </c>
      <c r="F2711">
        <v>69180</v>
      </c>
      <c r="G2711">
        <v>4.46</v>
      </c>
      <c r="H2711" t="s">
        <v>10</v>
      </c>
      <c r="I2711" t="s">
        <v>11</v>
      </c>
    </row>
    <row r="2712" spans="1:9" hidden="1" x14ac:dyDescent="0.25">
      <c r="A2712" t="s">
        <v>24</v>
      </c>
      <c r="B2712" t="s">
        <v>152</v>
      </c>
      <c r="C2712">
        <v>202404</v>
      </c>
      <c r="D2712" t="str">
        <f t="shared" si="42"/>
        <v>2024</v>
      </c>
      <c r="E2712">
        <v>3332</v>
      </c>
      <c r="F2712">
        <v>69180</v>
      </c>
      <c r="G2712">
        <v>4.82</v>
      </c>
      <c r="H2712" t="s">
        <v>10</v>
      </c>
      <c r="I2712" t="s">
        <v>11</v>
      </c>
    </row>
    <row r="2713" spans="1:9" hidden="1" x14ac:dyDescent="0.25">
      <c r="A2713" t="s">
        <v>24</v>
      </c>
      <c r="B2713" t="s">
        <v>152</v>
      </c>
      <c r="C2713">
        <v>202405</v>
      </c>
      <c r="D2713" t="str">
        <f t="shared" si="42"/>
        <v>2024</v>
      </c>
      <c r="E2713">
        <v>2995</v>
      </c>
      <c r="F2713">
        <v>69180</v>
      </c>
      <c r="G2713">
        <v>4.33</v>
      </c>
      <c r="H2713" t="s">
        <v>10</v>
      </c>
      <c r="I2713" t="s">
        <v>11</v>
      </c>
    </row>
    <row r="2714" spans="1:9" hidden="1" x14ac:dyDescent="0.25">
      <c r="A2714" t="s">
        <v>24</v>
      </c>
      <c r="B2714" t="s">
        <v>152</v>
      </c>
      <c r="C2714">
        <v>202406</v>
      </c>
      <c r="D2714" t="str">
        <f t="shared" si="42"/>
        <v>2024</v>
      </c>
      <c r="E2714">
        <v>1266</v>
      </c>
      <c r="F2714">
        <v>69180</v>
      </c>
      <c r="G2714">
        <v>1.83</v>
      </c>
      <c r="H2714" t="s">
        <v>10</v>
      </c>
      <c r="I2714" t="s">
        <v>11</v>
      </c>
    </row>
    <row r="2715" spans="1:9" hidden="1" x14ac:dyDescent="0.25">
      <c r="A2715" t="s">
        <v>24</v>
      </c>
      <c r="B2715" t="s">
        <v>157</v>
      </c>
      <c r="C2715">
        <v>202201</v>
      </c>
      <c r="D2715" t="str">
        <f t="shared" si="42"/>
        <v>2022</v>
      </c>
      <c r="E2715">
        <v>1702</v>
      </c>
      <c r="F2715">
        <v>71124</v>
      </c>
      <c r="G2715">
        <v>2.39</v>
      </c>
      <c r="H2715" t="s">
        <v>10</v>
      </c>
      <c r="I2715" t="s">
        <v>11</v>
      </c>
    </row>
    <row r="2716" spans="1:9" hidden="1" x14ac:dyDescent="0.25">
      <c r="A2716" t="s">
        <v>24</v>
      </c>
      <c r="B2716" t="s">
        <v>157</v>
      </c>
      <c r="C2716">
        <v>202202</v>
      </c>
      <c r="D2716" t="str">
        <f t="shared" si="42"/>
        <v>2022</v>
      </c>
      <c r="E2716">
        <v>1898</v>
      </c>
      <c r="F2716">
        <v>71124</v>
      </c>
      <c r="G2716">
        <v>2.67</v>
      </c>
      <c r="H2716" t="s">
        <v>10</v>
      </c>
      <c r="I2716" t="s">
        <v>11</v>
      </c>
    </row>
    <row r="2717" spans="1:9" hidden="1" x14ac:dyDescent="0.25">
      <c r="A2717" t="s">
        <v>24</v>
      </c>
      <c r="B2717" t="s">
        <v>157</v>
      </c>
      <c r="C2717">
        <v>202203</v>
      </c>
      <c r="D2717" t="str">
        <f t="shared" si="42"/>
        <v>2022</v>
      </c>
      <c r="E2717">
        <v>2183</v>
      </c>
      <c r="F2717">
        <v>71124</v>
      </c>
      <c r="G2717">
        <v>3.07</v>
      </c>
      <c r="H2717" t="s">
        <v>10</v>
      </c>
      <c r="I2717" t="s">
        <v>11</v>
      </c>
    </row>
    <row r="2718" spans="1:9" hidden="1" x14ac:dyDescent="0.25">
      <c r="A2718" t="s">
        <v>24</v>
      </c>
      <c r="B2718" t="s">
        <v>157</v>
      </c>
      <c r="C2718">
        <v>202204</v>
      </c>
      <c r="D2718" t="str">
        <f t="shared" si="42"/>
        <v>2022</v>
      </c>
      <c r="E2718">
        <v>1810</v>
      </c>
      <c r="F2718">
        <v>71124</v>
      </c>
      <c r="G2718">
        <v>2.54</v>
      </c>
      <c r="H2718" t="s">
        <v>10</v>
      </c>
      <c r="I2718" t="s">
        <v>11</v>
      </c>
    </row>
    <row r="2719" spans="1:9" hidden="1" x14ac:dyDescent="0.25">
      <c r="A2719" t="s">
        <v>24</v>
      </c>
      <c r="B2719" t="s">
        <v>157</v>
      </c>
      <c r="C2719">
        <v>202205</v>
      </c>
      <c r="D2719" t="str">
        <f t="shared" si="42"/>
        <v>2022</v>
      </c>
      <c r="E2719">
        <v>1935</v>
      </c>
      <c r="F2719">
        <v>71124</v>
      </c>
      <c r="G2719">
        <v>2.72</v>
      </c>
      <c r="H2719" t="s">
        <v>10</v>
      </c>
      <c r="I2719" t="s">
        <v>11</v>
      </c>
    </row>
    <row r="2720" spans="1:9" hidden="1" x14ac:dyDescent="0.25">
      <c r="A2720" t="s">
        <v>24</v>
      </c>
      <c r="B2720" t="s">
        <v>157</v>
      </c>
      <c r="C2720">
        <v>202206</v>
      </c>
      <c r="D2720" t="str">
        <f t="shared" si="42"/>
        <v>2022</v>
      </c>
      <c r="E2720">
        <v>1806</v>
      </c>
      <c r="F2720">
        <v>71124</v>
      </c>
      <c r="G2720">
        <v>2.54</v>
      </c>
      <c r="H2720" t="s">
        <v>10</v>
      </c>
      <c r="I2720" t="s">
        <v>11</v>
      </c>
    </row>
    <row r="2721" spans="1:9" hidden="1" x14ac:dyDescent="0.25">
      <c r="A2721" t="s">
        <v>24</v>
      </c>
      <c r="B2721" t="s">
        <v>157</v>
      </c>
      <c r="C2721">
        <v>202207</v>
      </c>
      <c r="D2721" t="str">
        <f t="shared" si="42"/>
        <v>2022</v>
      </c>
      <c r="E2721">
        <v>1512</v>
      </c>
      <c r="F2721">
        <v>71124</v>
      </c>
      <c r="G2721">
        <v>2.13</v>
      </c>
      <c r="H2721" t="s">
        <v>10</v>
      </c>
      <c r="I2721" t="s">
        <v>11</v>
      </c>
    </row>
    <row r="2722" spans="1:9" hidden="1" x14ac:dyDescent="0.25">
      <c r="A2722" t="s">
        <v>24</v>
      </c>
      <c r="B2722" t="s">
        <v>157</v>
      </c>
      <c r="C2722">
        <v>202208</v>
      </c>
      <c r="D2722" t="str">
        <f t="shared" si="42"/>
        <v>2022</v>
      </c>
      <c r="E2722">
        <v>1977</v>
      </c>
      <c r="F2722">
        <v>71124</v>
      </c>
      <c r="G2722">
        <v>2.78</v>
      </c>
      <c r="H2722" t="s">
        <v>10</v>
      </c>
      <c r="I2722" t="s">
        <v>11</v>
      </c>
    </row>
    <row r="2723" spans="1:9" hidden="1" x14ac:dyDescent="0.25">
      <c r="A2723" t="s">
        <v>24</v>
      </c>
      <c r="B2723" t="s">
        <v>157</v>
      </c>
      <c r="C2723">
        <v>202209</v>
      </c>
      <c r="D2723" t="str">
        <f t="shared" si="42"/>
        <v>2022</v>
      </c>
      <c r="E2723">
        <v>2034</v>
      </c>
      <c r="F2723">
        <v>71124</v>
      </c>
      <c r="G2723">
        <v>2.86</v>
      </c>
      <c r="H2723" t="s">
        <v>10</v>
      </c>
      <c r="I2723" t="s">
        <v>11</v>
      </c>
    </row>
    <row r="2724" spans="1:9" hidden="1" x14ac:dyDescent="0.25">
      <c r="A2724" t="s">
        <v>24</v>
      </c>
      <c r="B2724" t="s">
        <v>157</v>
      </c>
      <c r="C2724">
        <v>202210</v>
      </c>
      <c r="D2724" t="str">
        <f t="shared" si="42"/>
        <v>2022</v>
      </c>
      <c r="E2724">
        <v>1875</v>
      </c>
      <c r="F2724">
        <v>71124</v>
      </c>
      <c r="G2724">
        <v>2.64</v>
      </c>
      <c r="H2724" t="s">
        <v>10</v>
      </c>
      <c r="I2724" t="s">
        <v>11</v>
      </c>
    </row>
    <row r="2725" spans="1:9" hidden="1" x14ac:dyDescent="0.25">
      <c r="A2725" t="s">
        <v>24</v>
      </c>
      <c r="B2725" t="s">
        <v>157</v>
      </c>
      <c r="C2725">
        <v>202211</v>
      </c>
      <c r="D2725" t="str">
        <f t="shared" si="42"/>
        <v>2022</v>
      </c>
      <c r="E2725">
        <v>2033</v>
      </c>
      <c r="F2725">
        <v>71124</v>
      </c>
      <c r="G2725">
        <v>2.86</v>
      </c>
      <c r="H2725" t="s">
        <v>10</v>
      </c>
      <c r="I2725" t="s">
        <v>11</v>
      </c>
    </row>
    <row r="2726" spans="1:9" hidden="1" x14ac:dyDescent="0.25">
      <c r="A2726" t="s">
        <v>24</v>
      </c>
      <c r="B2726" t="s">
        <v>157</v>
      </c>
      <c r="C2726">
        <v>202212</v>
      </c>
      <c r="D2726" t="str">
        <f t="shared" si="42"/>
        <v>2022</v>
      </c>
      <c r="E2726">
        <v>2123</v>
      </c>
      <c r="F2726">
        <v>71124</v>
      </c>
      <c r="G2726">
        <v>2.98</v>
      </c>
      <c r="H2726" t="s">
        <v>10</v>
      </c>
      <c r="I2726" t="s">
        <v>11</v>
      </c>
    </row>
    <row r="2727" spans="1:9" hidden="1" x14ac:dyDescent="0.25">
      <c r="A2727" t="s">
        <v>24</v>
      </c>
      <c r="B2727" t="s">
        <v>157</v>
      </c>
      <c r="C2727">
        <v>202301</v>
      </c>
      <c r="D2727" t="str">
        <f t="shared" si="42"/>
        <v>2023</v>
      </c>
      <c r="E2727">
        <v>1940</v>
      </c>
      <c r="F2727">
        <v>71124</v>
      </c>
      <c r="G2727">
        <v>2.73</v>
      </c>
      <c r="H2727" t="s">
        <v>10</v>
      </c>
      <c r="I2727" t="s">
        <v>11</v>
      </c>
    </row>
    <row r="2728" spans="1:9" hidden="1" x14ac:dyDescent="0.25">
      <c r="A2728" t="s">
        <v>24</v>
      </c>
      <c r="B2728" t="s">
        <v>157</v>
      </c>
      <c r="C2728">
        <v>202302</v>
      </c>
      <c r="D2728" t="str">
        <f t="shared" si="42"/>
        <v>2023</v>
      </c>
      <c r="E2728">
        <v>2421</v>
      </c>
      <c r="F2728">
        <v>71124</v>
      </c>
      <c r="G2728">
        <v>3.4</v>
      </c>
      <c r="H2728" t="s">
        <v>10</v>
      </c>
      <c r="I2728" t="s">
        <v>11</v>
      </c>
    </row>
    <row r="2729" spans="1:9" hidden="1" x14ac:dyDescent="0.25">
      <c r="A2729" t="s">
        <v>24</v>
      </c>
      <c r="B2729" t="s">
        <v>157</v>
      </c>
      <c r="C2729">
        <v>202303</v>
      </c>
      <c r="D2729" t="str">
        <f t="shared" si="42"/>
        <v>2023</v>
      </c>
      <c r="E2729">
        <v>2530</v>
      </c>
      <c r="F2729">
        <v>71124</v>
      </c>
      <c r="G2729">
        <v>3.56</v>
      </c>
      <c r="H2729" t="s">
        <v>10</v>
      </c>
      <c r="I2729" t="s">
        <v>11</v>
      </c>
    </row>
    <row r="2730" spans="1:9" hidden="1" x14ac:dyDescent="0.25">
      <c r="A2730" t="s">
        <v>24</v>
      </c>
      <c r="B2730" t="s">
        <v>157</v>
      </c>
      <c r="C2730">
        <v>202304</v>
      </c>
      <c r="D2730" t="str">
        <f t="shared" si="42"/>
        <v>2023</v>
      </c>
      <c r="E2730">
        <v>2612</v>
      </c>
      <c r="F2730">
        <v>71124</v>
      </c>
      <c r="G2730">
        <v>3.67</v>
      </c>
      <c r="H2730" t="s">
        <v>10</v>
      </c>
      <c r="I2730" t="s">
        <v>11</v>
      </c>
    </row>
    <row r="2731" spans="1:9" hidden="1" x14ac:dyDescent="0.25">
      <c r="A2731" t="s">
        <v>24</v>
      </c>
      <c r="B2731" t="s">
        <v>157</v>
      </c>
      <c r="C2731">
        <v>202305</v>
      </c>
      <c r="D2731" t="str">
        <f t="shared" si="42"/>
        <v>2023</v>
      </c>
      <c r="E2731">
        <v>2329</v>
      </c>
      <c r="F2731">
        <v>71124</v>
      </c>
      <c r="G2731">
        <v>3.27</v>
      </c>
      <c r="H2731" t="s">
        <v>10</v>
      </c>
      <c r="I2731" t="s">
        <v>11</v>
      </c>
    </row>
    <row r="2732" spans="1:9" hidden="1" x14ac:dyDescent="0.25">
      <c r="A2732" t="s">
        <v>24</v>
      </c>
      <c r="B2732" t="s">
        <v>157</v>
      </c>
      <c r="C2732">
        <v>202306</v>
      </c>
      <c r="D2732" t="str">
        <f t="shared" si="42"/>
        <v>2023</v>
      </c>
      <c r="E2732">
        <v>2506</v>
      </c>
      <c r="F2732">
        <v>71124</v>
      </c>
      <c r="G2732">
        <v>3.52</v>
      </c>
      <c r="H2732" t="s">
        <v>10</v>
      </c>
      <c r="I2732" t="s">
        <v>11</v>
      </c>
    </row>
    <row r="2733" spans="1:9" hidden="1" x14ac:dyDescent="0.25">
      <c r="A2733" t="s">
        <v>24</v>
      </c>
      <c r="B2733" t="s">
        <v>157</v>
      </c>
      <c r="C2733">
        <v>202307</v>
      </c>
      <c r="D2733" t="str">
        <f t="shared" si="42"/>
        <v>2023</v>
      </c>
      <c r="E2733">
        <v>2599</v>
      </c>
      <c r="F2733">
        <v>71124</v>
      </c>
      <c r="G2733">
        <v>3.65</v>
      </c>
      <c r="H2733" t="s">
        <v>10</v>
      </c>
      <c r="I2733" t="s">
        <v>11</v>
      </c>
    </row>
    <row r="2734" spans="1:9" hidden="1" x14ac:dyDescent="0.25">
      <c r="A2734" t="s">
        <v>24</v>
      </c>
      <c r="B2734" t="s">
        <v>157</v>
      </c>
      <c r="C2734">
        <v>202308</v>
      </c>
      <c r="D2734" t="str">
        <f t="shared" si="42"/>
        <v>2023</v>
      </c>
      <c r="E2734">
        <v>2421</v>
      </c>
      <c r="F2734">
        <v>71124</v>
      </c>
      <c r="G2734">
        <v>3.4</v>
      </c>
      <c r="H2734" t="s">
        <v>10</v>
      </c>
      <c r="I2734" t="s">
        <v>11</v>
      </c>
    </row>
    <row r="2735" spans="1:9" hidden="1" x14ac:dyDescent="0.25">
      <c r="A2735" t="s">
        <v>24</v>
      </c>
      <c r="B2735" t="s">
        <v>157</v>
      </c>
      <c r="C2735">
        <v>202309</v>
      </c>
      <c r="D2735" t="str">
        <f t="shared" si="42"/>
        <v>2023</v>
      </c>
      <c r="E2735">
        <v>2379</v>
      </c>
      <c r="F2735">
        <v>71124</v>
      </c>
      <c r="G2735">
        <v>3.34</v>
      </c>
      <c r="H2735" t="s">
        <v>10</v>
      </c>
      <c r="I2735" t="s">
        <v>11</v>
      </c>
    </row>
    <row r="2736" spans="1:9" hidden="1" x14ac:dyDescent="0.25">
      <c r="A2736" t="s">
        <v>24</v>
      </c>
      <c r="B2736" t="s">
        <v>157</v>
      </c>
      <c r="C2736">
        <v>202310</v>
      </c>
      <c r="D2736" t="str">
        <f t="shared" si="42"/>
        <v>2023</v>
      </c>
      <c r="E2736">
        <v>2211</v>
      </c>
      <c r="F2736">
        <v>71124</v>
      </c>
      <c r="G2736">
        <v>3.11</v>
      </c>
      <c r="H2736" t="s">
        <v>10</v>
      </c>
      <c r="I2736" t="s">
        <v>11</v>
      </c>
    </row>
    <row r="2737" spans="1:9" hidden="1" x14ac:dyDescent="0.25">
      <c r="A2737" t="s">
        <v>24</v>
      </c>
      <c r="B2737" t="s">
        <v>157</v>
      </c>
      <c r="C2737">
        <v>202311</v>
      </c>
      <c r="D2737" t="str">
        <f t="shared" si="42"/>
        <v>2023</v>
      </c>
      <c r="E2737">
        <v>2484</v>
      </c>
      <c r="F2737">
        <v>71124</v>
      </c>
      <c r="G2737">
        <v>3.49</v>
      </c>
      <c r="H2737" t="s">
        <v>10</v>
      </c>
      <c r="I2737" t="s">
        <v>11</v>
      </c>
    </row>
    <row r="2738" spans="1:9" hidden="1" x14ac:dyDescent="0.25">
      <c r="A2738" t="s">
        <v>24</v>
      </c>
      <c r="B2738" t="s">
        <v>157</v>
      </c>
      <c r="C2738">
        <v>202312</v>
      </c>
      <c r="D2738" t="str">
        <f t="shared" si="42"/>
        <v>2023</v>
      </c>
      <c r="E2738">
        <v>2385</v>
      </c>
      <c r="F2738">
        <v>71124</v>
      </c>
      <c r="G2738">
        <v>3.35</v>
      </c>
      <c r="H2738" t="s">
        <v>10</v>
      </c>
      <c r="I2738" t="s">
        <v>11</v>
      </c>
    </row>
    <row r="2739" spans="1:9" hidden="1" x14ac:dyDescent="0.25">
      <c r="A2739" t="s">
        <v>24</v>
      </c>
      <c r="B2739" t="s">
        <v>157</v>
      </c>
      <c r="C2739">
        <v>202401</v>
      </c>
      <c r="D2739" t="str">
        <f t="shared" si="42"/>
        <v>2024</v>
      </c>
      <c r="E2739">
        <v>2887</v>
      </c>
      <c r="F2739">
        <v>71124</v>
      </c>
      <c r="G2739">
        <v>4.0599999999999996</v>
      </c>
      <c r="H2739" t="s">
        <v>10</v>
      </c>
      <c r="I2739" t="s">
        <v>11</v>
      </c>
    </row>
    <row r="2740" spans="1:9" hidden="1" x14ac:dyDescent="0.25">
      <c r="A2740" t="s">
        <v>24</v>
      </c>
      <c r="B2740" t="s">
        <v>157</v>
      </c>
      <c r="C2740">
        <v>202402</v>
      </c>
      <c r="D2740" t="str">
        <f t="shared" si="42"/>
        <v>2024</v>
      </c>
      <c r="E2740">
        <v>3586</v>
      </c>
      <c r="F2740">
        <v>71124</v>
      </c>
      <c r="G2740">
        <v>5.04</v>
      </c>
      <c r="H2740" t="s">
        <v>10</v>
      </c>
      <c r="I2740" t="s">
        <v>11</v>
      </c>
    </row>
    <row r="2741" spans="1:9" hidden="1" x14ac:dyDescent="0.25">
      <c r="A2741" t="s">
        <v>24</v>
      </c>
      <c r="B2741" t="s">
        <v>157</v>
      </c>
      <c r="C2741">
        <v>202403</v>
      </c>
      <c r="D2741" t="str">
        <f t="shared" si="42"/>
        <v>2024</v>
      </c>
      <c r="E2741">
        <v>3069</v>
      </c>
      <c r="F2741">
        <v>71124</v>
      </c>
      <c r="G2741">
        <v>4.3099999999999996</v>
      </c>
      <c r="H2741" t="s">
        <v>10</v>
      </c>
      <c r="I2741" t="s">
        <v>11</v>
      </c>
    </row>
    <row r="2742" spans="1:9" hidden="1" x14ac:dyDescent="0.25">
      <c r="A2742" t="s">
        <v>24</v>
      </c>
      <c r="B2742" t="s">
        <v>157</v>
      </c>
      <c r="C2742">
        <v>202404</v>
      </c>
      <c r="D2742" t="str">
        <f t="shared" si="42"/>
        <v>2024</v>
      </c>
      <c r="E2742">
        <v>3501</v>
      </c>
      <c r="F2742">
        <v>71124</v>
      </c>
      <c r="G2742">
        <v>4.92</v>
      </c>
      <c r="H2742" t="s">
        <v>10</v>
      </c>
      <c r="I2742" t="s">
        <v>11</v>
      </c>
    </row>
    <row r="2743" spans="1:9" hidden="1" x14ac:dyDescent="0.25">
      <c r="A2743" t="s">
        <v>24</v>
      </c>
      <c r="B2743" t="s">
        <v>157</v>
      </c>
      <c r="C2743">
        <v>202405</v>
      </c>
      <c r="D2743" t="str">
        <f t="shared" si="42"/>
        <v>2024</v>
      </c>
      <c r="E2743">
        <v>3164</v>
      </c>
      <c r="F2743">
        <v>71124</v>
      </c>
      <c r="G2743">
        <v>4.45</v>
      </c>
      <c r="H2743" t="s">
        <v>10</v>
      </c>
      <c r="I2743" t="s">
        <v>11</v>
      </c>
    </row>
    <row r="2744" spans="1:9" hidden="1" x14ac:dyDescent="0.25">
      <c r="A2744" t="s">
        <v>24</v>
      </c>
      <c r="B2744" t="s">
        <v>157</v>
      </c>
      <c r="C2744">
        <v>202406</v>
      </c>
      <c r="D2744" t="str">
        <f t="shared" si="42"/>
        <v>2024</v>
      </c>
      <c r="E2744">
        <v>2936</v>
      </c>
      <c r="F2744">
        <v>71124</v>
      </c>
      <c r="G2744">
        <v>4.13</v>
      </c>
      <c r="H2744" t="s">
        <v>10</v>
      </c>
      <c r="I2744" t="s">
        <v>11</v>
      </c>
    </row>
    <row r="2745" spans="1:9" hidden="1" x14ac:dyDescent="0.25">
      <c r="A2745" t="s">
        <v>24</v>
      </c>
      <c r="B2745" t="s">
        <v>157</v>
      </c>
      <c r="C2745">
        <v>202407</v>
      </c>
      <c r="D2745" t="str">
        <f t="shared" si="42"/>
        <v>2024</v>
      </c>
      <c r="E2745">
        <v>276</v>
      </c>
      <c r="F2745">
        <v>71124</v>
      </c>
      <c r="G2745">
        <v>0.39</v>
      </c>
      <c r="H2745" t="s">
        <v>10</v>
      </c>
      <c r="I2745" t="s">
        <v>11</v>
      </c>
    </row>
    <row r="2746" spans="1:9" hidden="1" x14ac:dyDescent="0.25">
      <c r="A2746" t="s">
        <v>24</v>
      </c>
      <c r="B2746" t="s">
        <v>64</v>
      </c>
      <c r="C2746">
        <v>202201</v>
      </c>
      <c r="D2746" t="str">
        <f t="shared" si="42"/>
        <v>2022</v>
      </c>
      <c r="E2746">
        <v>1724</v>
      </c>
      <c r="F2746">
        <v>75802</v>
      </c>
      <c r="G2746">
        <v>2.27</v>
      </c>
      <c r="H2746" t="s">
        <v>10</v>
      </c>
      <c r="I2746" t="s">
        <v>11</v>
      </c>
    </row>
    <row r="2747" spans="1:9" hidden="1" x14ac:dyDescent="0.25">
      <c r="A2747" t="s">
        <v>24</v>
      </c>
      <c r="B2747" t="s">
        <v>64</v>
      </c>
      <c r="C2747">
        <v>202202</v>
      </c>
      <c r="D2747" t="str">
        <f t="shared" si="42"/>
        <v>2022</v>
      </c>
      <c r="E2747">
        <v>1915</v>
      </c>
      <c r="F2747">
        <v>75802</v>
      </c>
      <c r="G2747">
        <v>2.5299999999999998</v>
      </c>
      <c r="H2747" t="s">
        <v>10</v>
      </c>
      <c r="I2747" t="s">
        <v>11</v>
      </c>
    </row>
    <row r="2748" spans="1:9" hidden="1" x14ac:dyDescent="0.25">
      <c r="A2748" t="s">
        <v>24</v>
      </c>
      <c r="B2748" t="s">
        <v>64</v>
      </c>
      <c r="C2748">
        <v>202203</v>
      </c>
      <c r="D2748" t="str">
        <f t="shared" si="42"/>
        <v>2022</v>
      </c>
      <c r="E2748">
        <v>2224</v>
      </c>
      <c r="F2748">
        <v>75802</v>
      </c>
      <c r="G2748">
        <v>2.93</v>
      </c>
      <c r="H2748" t="s">
        <v>10</v>
      </c>
      <c r="I2748" t="s">
        <v>11</v>
      </c>
    </row>
    <row r="2749" spans="1:9" hidden="1" x14ac:dyDescent="0.25">
      <c r="A2749" t="s">
        <v>24</v>
      </c>
      <c r="B2749" t="s">
        <v>64</v>
      </c>
      <c r="C2749">
        <v>202204</v>
      </c>
      <c r="D2749" t="str">
        <f t="shared" si="42"/>
        <v>2022</v>
      </c>
      <c r="E2749">
        <v>1831</v>
      </c>
      <c r="F2749">
        <v>75802</v>
      </c>
      <c r="G2749">
        <v>2.42</v>
      </c>
      <c r="H2749" t="s">
        <v>10</v>
      </c>
      <c r="I2749" t="s">
        <v>11</v>
      </c>
    </row>
    <row r="2750" spans="1:9" hidden="1" x14ac:dyDescent="0.25">
      <c r="A2750" t="s">
        <v>24</v>
      </c>
      <c r="B2750" t="s">
        <v>64</v>
      </c>
      <c r="C2750">
        <v>202205</v>
      </c>
      <c r="D2750" t="str">
        <f t="shared" si="42"/>
        <v>2022</v>
      </c>
      <c r="E2750">
        <v>1970</v>
      </c>
      <c r="F2750">
        <v>75802</v>
      </c>
      <c r="G2750">
        <v>2.6</v>
      </c>
      <c r="H2750" t="s">
        <v>10</v>
      </c>
      <c r="I2750" t="s">
        <v>11</v>
      </c>
    </row>
    <row r="2751" spans="1:9" hidden="1" x14ac:dyDescent="0.25">
      <c r="A2751" t="s">
        <v>24</v>
      </c>
      <c r="B2751" t="s">
        <v>64</v>
      </c>
      <c r="C2751">
        <v>202206</v>
      </c>
      <c r="D2751" t="str">
        <f t="shared" si="42"/>
        <v>2022</v>
      </c>
      <c r="E2751">
        <v>1855</v>
      </c>
      <c r="F2751">
        <v>75802</v>
      </c>
      <c r="G2751">
        <v>2.4500000000000002</v>
      </c>
      <c r="H2751" t="s">
        <v>10</v>
      </c>
      <c r="I2751" t="s">
        <v>11</v>
      </c>
    </row>
    <row r="2752" spans="1:9" hidden="1" x14ac:dyDescent="0.25">
      <c r="A2752" t="s">
        <v>24</v>
      </c>
      <c r="B2752" t="s">
        <v>64</v>
      </c>
      <c r="C2752">
        <v>202207</v>
      </c>
      <c r="D2752" t="str">
        <f t="shared" si="42"/>
        <v>2022</v>
      </c>
      <c r="E2752">
        <v>1513</v>
      </c>
      <c r="F2752">
        <v>75802</v>
      </c>
      <c r="G2752">
        <v>2</v>
      </c>
      <c r="H2752" t="s">
        <v>10</v>
      </c>
      <c r="I2752" t="s">
        <v>11</v>
      </c>
    </row>
    <row r="2753" spans="1:9" hidden="1" x14ac:dyDescent="0.25">
      <c r="A2753" t="s">
        <v>24</v>
      </c>
      <c r="B2753" t="s">
        <v>64</v>
      </c>
      <c r="C2753">
        <v>202208</v>
      </c>
      <c r="D2753" t="str">
        <f t="shared" si="42"/>
        <v>2022</v>
      </c>
      <c r="E2753">
        <v>1996</v>
      </c>
      <c r="F2753">
        <v>75802</v>
      </c>
      <c r="G2753">
        <v>2.63</v>
      </c>
      <c r="H2753" t="s">
        <v>10</v>
      </c>
      <c r="I2753" t="s">
        <v>11</v>
      </c>
    </row>
    <row r="2754" spans="1:9" hidden="1" x14ac:dyDescent="0.25">
      <c r="A2754" t="s">
        <v>24</v>
      </c>
      <c r="B2754" t="s">
        <v>64</v>
      </c>
      <c r="C2754">
        <v>202209</v>
      </c>
      <c r="D2754" t="str">
        <f t="shared" si="42"/>
        <v>2022</v>
      </c>
      <c r="E2754">
        <v>2031</v>
      </c>
      <c r="F2754">
        <v>75802</v>
      </c>
      <c r="G2754">
        <v>2.68</v>
      </c>
      <c r="H2754" t="s">
        <v>10</v>
      </c>
      <c r="I2754" t="s">
        <v>11</v>
      </c>
    </row>
    <row r="2755" spans="1:9" hidden="1" x14ac:dyDescent="0.25">
      <c r="A2755" t="s">
        <v>24</v>
      </c>
      <c r="B2755" t="s">
        <v>64</v>
      </c>
      <c r="C2755">
        <v>202210</v>
      </c>
      <c r="D2755" t="str">
        <f t="shared" ref="D2755:D2818" si="43">LEFT(C2755,4)</f>
        <v>2022</v>
      </c>
      <c r="E2755">
        <v>1979</v>
      </c>
      <c r="F2755">
        <v>75802</v>
      </c>
      <c r="G2755">
        <v>2.61</v>
      </c>
      <c r="H2755" t="s">
        <v>10</v>
      </c>
      <c r="I2755" t="s">
        <v>11</v>
      </c>
    </row>
    <row r="2756" spans="1:9" hidden="1" x14ac:dyDescent="0.25">
      <c r="A2756" t="s">
        <v>24</v>
      </c>
      <c r="B2756" t="s">
        <v>64</v>
      </c>
      <c r="C2756">
        <v>202211</v>
      </c>
      <c r="D2756" t="str">
        <f t="shared" si="43"/>
        <v>2022</v>
      </c>
      <c r="E2756">
        <v>1899</v>
      </c>
      <c r="F2756">
        <v>75802</v>
      </c>
      <c r="G2756">
        <v>2.5099999999999998</v>
      </c>
      <c r="H2756" t="s">
        <v>10</v>
      </c>
      <c r="I2756" t="s">
        <v>11</v>
      </c>
    </row>
    <row r="2757" spans="1:9" hidden="1" x14ac:dyDescent="0.25">
      <c r="A2757" t="s">
        <v>24</v>
      </c>
      <c r="B2757" t="s">
        <v>64</v>
      </c>
      <c r="C2757">
        <v>202212</v>
      </c>
      <c r="D2757" t="str">
        <f t="shared" si="43"/>
        <v>2022</v>
      </c>
      <c r="E2757">
        <v>2028</v>
      </c>
      <c r="F2757">
        <v>75802</v>
      </c>
      <c r="G2757">
        <v>2.68</v>
      </c>
      <c r="H2757" t="s">
        <v>10</v>
      </c>
      <c r="I2757" t="s">
        <v>11</v>
      </c>
    </row>
    <row r="2758" spans="1:9" hidden="1" x14ac:dyDescent="0.25">
      <c r="A2758" t="s">
        <v>24</v>
      </c>
      <c r="B2758" t="s">
        <v>64</v>
      </c>
      <c r="C2758">
        <v>202301</v>
      </c>
      <c r="D2758" t="str">
        <f t="shared" si="43"/>
        <v>2023</v>
      </c>
      <c r="E2758">
        <v>1920</v>
      </c>
      <c r="F2758">
        <v>75802</v>
      </c>
      <c r="G2758">
        <v>2.5299999999999998</v>
      </c>
      <c r="H2758" t="s">
        <v>10</v>
      </c>
      <c r="I2758" t="s">
        <v>11</v>
      </c>
    </row>
    <row r="2759" spans="1:9" hidden="1" x14ac:dyDescent="0.25">
      <c r="A2759" t="s">
        <v>24</v>
      </c>
      <c r="B2759" t="s">
        <v>64</v>
      </c>
      <c r="C2759">
        <v>202302</v>
      </c>
      <c r="D2759" t="str">
        <f t="shared" si="43"/>
        <v>2023</v>
      </c>
      <c r="E2759">
        <v>2394</v>
      </c>
      <c r="F2759">
        <v>75802</v>
      </c>
      <c r="G2759">
        <v>3.16</v>
      </c>
      <c r="H2759" t="s">
        <v>10</v>
      </c>
      <c r="I2759" t="s">
        <v>11</v>
      </c>
    </row>
    <row r="2760" spans="1:9" hidden="1" x14ac:dyDescent="0.25">
      <c r="A2760" t="s">
        <v>24</v>
      </c>
      <c r="B2760" t="s">
        <v>64</v>
      </c>
      <c r="C2760">
        <v>202303</v>
      </c>
      <c r="D2760" t="str">
        <f t="shared" si="43"/>
        <v>2023</v>
      </c>
      <c r="E2760">
        <v>2511</v>
      </c>
      <c r="F2760">
        <v>75802</v>
      </c>
      <c r="G2760">
        <v>3.31</v>
      </c>
      <c r="H2760" t="s">
        <v>10</v>
      </c>
      <c r="I2760" t="s">
        <v>11</v>
      </c>
    </row>
    <row r="2761" spans="1:9" hidden="1" x14ac:dyDescent="0.25">
      <c r="A2761" t="s">
        <v>24</v>
      </c>
      <c r="B2761" t="s">
        <v>64</v>
      </c>
      <c r="C2761">
        <v>202304</v>
      </c>
      <c r="D2761" t="str">
        <f t="shared" si="43"/>
        <v>2023</v>
      </c>
      <c r="E2761">
        <v>2594</v>
      </c>
      <c r="F2761">
        <v>75802</v>
      </c>
      <c r="G2761">
        <v>3.42</v>
      </c>
      <c r="H2761" t="s">
        <v>10</v>
      </c>
      <c r="I2761" t="s">
        <v>11</v>
      </c>
    </row>
    <row r="2762" spans="1:9" hidden="1" x14ac:dyDescent="0.25">
      <c r="A2762" t="s">
        <v>24</v>
      </c>
      <c r="B2762" t="s">
        <v>64</v>
      </c>
      <c r="C2762">
        <v>202305</v>
      </c>
      <c r="D2762" t="str">
        <f t="shared" si="43"/>
        <v>2023</v>
      </c>
      <c r="E2762">
        <v>2332</v>
      </c>
      <c r="F2762">
        <v>75802</v>
      </c>
      <c r="G2762">
        <v>3.08</v>
      </c>
      <c r="H2762" t="s">
        <v>10</v>
      </c>
      <c r="I2762" t="s">
        <v>11</v>
      </c>
    </row>
    <row r="2763" spans="1:9" hidden="1" x14ac:dyDescent="0.25">
      <c r="A2763" t="s">
        <v>24</v>
      </c>
      <c r="B2763" t="s">
        <v>64</v>
      </c>
      <c r="C2763">
        <v>202306</v>
      </c>
      <c r="D2763" t="str">
        <f t="shared" si="43"/>
        <v>2023</v>
      </c>
      <c r="E2763">
        <v>2532</v>
      </c>
      <c r="F2763">
        <v>75802</v>
      </c>
      <c r="G2763">
        <v>3.34</v>
      </c>
      <c r="H2763" t="s">
        <v>10</v>
      </c>
      <c r="I2763" t="s">
        <v>11</v>
      </c>
    </row>
    <row r="2764" spans="1:9" hidden="1" x14ac:dyDescent="0.25">
      <c r="A2764" t="s">
        <v>24</v>
      </c>
      <c r="B2764" t="s">
        <v>64</v>
      </c>
      <c r="C2764">
        <v>202307</v>
      </c>
      <c r="D2764" t="str">
        <f t="shared" si="43"/>
        <v>2023</v>
      </c>
      <c r="E2764">
        <v>2637</v>
      </c>
      <c r="F2764">
        <v>75802</v>
      </c>
      <c r="G2764">
        <v>3.48</v>
      </c>
      <c r="H2764" t="s">
        <v>10</v>
      </c>
      <c r="I2764" t="s">
        <v>11</v>
      </c>
    </row>
    <row r="2765" spans="1:9" hidden="1" x14ac:dyDescent="0.25">
      <c r="A2765" t="s">
        <v>24</v>
      </c>
      <c r="B2765" t="s">
        <v>64</v>
      </c>
      <c r="C2765">
        <v>202308</v>
      </c>
      <c r="D2765" t="str">
        <f t="shared" si="43"/>
        <v>2023</v>
      </c>
      <c r="E2765">
        <v>2416</v>
      </c>
      <c r="F2765">
        <v>75802</v>
      </c>
      <c r="G2765">
        <v>3.19</v>
      </c>
      <c r="H2765" t="s">
        <v>10</v>
      </c>
      <c r="I2765" t="s">
        <v>11</v>
      </c>
    </row>
    <row r="2766" spans="1:9" hidden="1" x14ac:dyDescent="0.25">
      <c r="A2766" t="s">
        <v>24</v>
      </c>
      <c r="B2766" t="s">
        <v>64</v>
      </c>
      <c r="C2766">
        <v>202309</v>
      </c>
      <c r="D2766" t="str">
        <f t="shared" si="43"/>
        <v>2023</v>
      </c>
      <c r="E2766">
        <v>2383</v>
      </c>
      <c r="F2766">
        <v>75802</v>
      </c>
      <c r="G2766">
        <v>3.14</v>
      </c>
      <c r="H2766" t="s">
        <v>10</v>
      </c>
      <c r="I2766" t="s">
        <v>11</v>
      </c>
    </row>
    <row r="2767" spans="1:9" hidden="1" x14ac:dyDescent="0.25">
      <c r="A2767" t="s">
        <v>24</v>
      </c>
      <c r="B2767" t="s">
        <v>64</v>
      </c>
      <c r="C2767">
        <v>202310</v>
      </c>
      <c r="D2767" t="str">
        <f t="shared" si="43"/>
        <v>2023</v>
      </c>
      <c r="E2767">
        <v>2215</v>
      </c>
      <c r="F2767">
        <v>75802</v>
      </c>
      <c r="G2767">
        <v>2.92</v>
      </c>
      <c r="H2767" t="s">
        <v>10</v>
      </c>
      <c r="I2767" t="s">
        <v>11</v>
      </c>
    </row>
    <row r="2768" spans="1:9" hidden="1" x14ac:dyDescent="0.25">
      <c r="A2768" t="s">
        <v>24</v>
      </c>
      <c r="B2768" t="s">
        <v>64</v>
      </c>
      <c r="C2768">
        <v>202311</v>
      </c>
      <c r="D2768" t="str">
        <f t="shared" si="43"/>
        <v>2023</v>
      </c>
      <c r="E2768">
        <v>2510</v>
      </c>
      <c r="F2768">
        <v>75802</v>
      </c>
      <c r="G2768">
        <v>3.31</v>
      </c>
      <c r="H2768" t="s">
        <v>10</v>
      </c>
      <c r="I2768" t="s">
        <v>11</v>
      </c>
    </row>
    <row r="2769" spans="1:9" hidden="1" x14ac:dyDescent="0.25">
      <c r="A2769" t="s">
        <v>24</v>
      </c>
      <c r="B2769" t="s">
        <v>64</v>
      </c>
      <c r="C2769">
        <v>202312</v>
      </c>
      <c r="D2769" t="str">
        <f t="shared" si="43"/>
        <v>2023</v>
      </c>
      <c r="E2769">
        <v>2380</v>
      </c>
      <c r="F2769">
        <v>75802</v>
      </c>
      <c r="G2769">
        <v>3.14</v>
      </c>
      <c r="H2769" t="s">
        <v>10</v>
      </c>
      <c r="I2769" t="s">
        <v>11</v>
      </c>
    </row>
    <row r="2770" spans="1:9" hidden="1" x14ac:dyDescent="0.25">
      <c r="A2770" t="s">
        <v>24</v>
      </c>
      <c r="B2770" t="s">
        <v>64</v>
      </c>
      <c r="C2770">
        <v>202401</v>
      </c>
      <c r="D2770" t="str">
        <f t="shared" si="43"/>
        <v>2024</v>
      </c>
      <c r="E2770">
        <v>2900</v>
      </c>
      <c r="F2770">
        <v>75802</v>
      </c>
      <c r="G2770">
        <v>3.83</v>
      </c>
      <c r="H2770" t="s">
        <v>10</v>
      </c>
      <c r="I2770" t="s">
        <v>11</v>
      </c>
    </row>
    <row r="2771" spans="1:9" hidden="1" x14ac:dyDescent="0.25">
      <c r="A2771" t="s">
        <v>24</v>
      </c>
      <c r="B2771" t="s">
        <v>64</v>
      </c>
      <c r="C2771">
        <v>202402</v>
      </c>
      <c r="D2771" t="str">
        <f t="shared" si="43"/>
        <v>2024</v>
      </c>
      <c r="E2771">
        <v>3620</v>
      </c>
      <c r="F2771">
        <v>75802</v>
      </c>
      <c r="G2771">
        <v>4.78</v>
      </c>
      <c r="H2771" t="s">
        <v>10</v>
      </c>
      <c r="I2771" t="s">
        <v>11</v>
      </c>
    </row>
    <row r="2772" spans="1:9" hidden="1" x14ac:dyDescent="0.25">
      <c r="A2772" t="s">
        <v>24</v>
      </c>
      <c r="B2772" t="s">
        <v>64</v>
      </c>
      <c r="C2772">
        <v>202403</v>
      </c>
      <c r="D2772" t="str">
        <f t="shared" si="43"/>
        <v>2024</v>
      </c>
      <c r="E2772">
        <v>3135</v>
      </c>
      <c r="F2772">
        <v>75802</v>
      </c>
      <c r="G2772">
        <v>4.1399999999999997</v>
      </c>
      <c r="H2772" t="s">
        <v>10</v>
      </c>
      <c r="I2772" t="s">
        <v>11</v>
      </c>
    </row>
    <row r="2773" spans="1:9" hidden="1" x14ac:dyDescent="0.25">
      <c r="A2773" t="s">
        <v>24</v>
      </c>
      <c r="B2773" t="s">
        <v>64</v>
      </c>
      <c r="C2773">
        <v>202404</v>
      </c>
      <c r="D2773" t="str">
        <f t="shared" si="43"/>
        <v>2024</v>
      </c>
      <c r="E2773">
        <v>3511</v>
      </c>
      <c r="F2773">
        <v>75802</v>
      </c>
      <c r="G2773">
        <v>4.63</v>
      </c>
      <c r="H2773" t="s">
        <v>10</v>
      </c>
      <c r="I2773" t="s">
        <v>11</v>
      </c>
    </row>
    <row r="2774" spans="1:9" hidden="1" x14ac:dyDescent="0.25">
      <c r="A2774" t="s">
        <v>24</v>
      </c>
      <c r="B2774" t="s">
        <v>64</v>
      </c>
      <c r="C2774">
        <v>202405</v>
      </c>
      <c r="D2774" t="str">
        <f t="shared" si="43"/>
        <v>2024</v>
      </c>
      <c r="E2774">
        <v>3221</v>
      </c>
      <c r="F2774">
        <v>75802</v>
      </c>
      <c r="G2774">
        <v>4.25</v>
      </c>
      <c r="H2774" t="s">
        <v>10</v>
      </c>
      <c r="I2774" t="s">
        <v>11</v>
      </c>
    </row>
    <row r="2775" spans="1:9" hidden="1" x14ac:dyDescent="0.25">
      <c r="A2775" t="s">
        <v>24</v>
      </c>
      <c r="B2775" t="s">
        <v>64</v>
      </c>
      <c r="C2775">
        <v>202406</v>
      </c>
      <c r="D2775" t="str">
        <f t="shared" si="43"/>
        <v>2024</v>
      </c>
      <c r="E2775">
        <v>3166</v>
      </c>
      <c r="F2775">
        <v>75802</v>
      </c>
      <c r="G2775">
        <v>4.18</v>
      </c>
      <c r="H2775" t="s">
        <v>10</v>
      </c>
      <c r="I2775" t="s">
        <v>11</v>
      </c>
    </row>
    <row r="2776" spans="1:9" hidden="1" x14ac:dyDescent="0.25">
      <c r="A2776" t="s">
        <v>24</v>
      </c>
      <c r="B2776" t="s">
        <v>64</v>
      </c>
      <c r="C2776">
        <v>202407</v>
      </c>
      <c r="D2776" t="str">
        <f t="shared" si="43"/>
        <v>2024</v>
      </c>
      <c r="E2776">
        <v>3141</v>
      </c>
      <c r="F2776">
        <v>75802</v>
      </c>
      <c r="G2776">
        <v>4.1399999999999997</v>
      </c>
      <c r="H2776" t="s">
        <v>10</v>
      </c>
      <c r="I2776" t="s">
        <v>11</v>
      </c>
    </row>
    <row r="2777" spans="1:9" hidden="1" x14ac:dyDescent="0.25">
      <c r="A2777" t="s">
        <v>24</v>
      </c>
      <c r="B2777" t="s">
        <v>64</v>
      </c>
      <c r="C2777">
        <v>202408</v>
      </c>
      <c r="D2777" t="str">
        <f t="shared" si="43"/>
        <v>2024</v>
      </c>
      <c r="E2777">
        <v>1319</v>
      </c>
      <c r="F2777">
        <v>75802</v>
      </c>
      <c r="G2777">
        <v>1.74</v>
      </c>
      <c r="H2777" t="s">
        <v>10</v>
      </c>
      <c r="I2777" t="s">
        <v>11</v>
      </c>
    </row>
    <row r="2778" spans="1:9" hidden="1" x14ac:dyDescent="0.25">
      <c r="A2778" t="s">
        <v>24</v>
      </c>
      <c r="B2778" t="s">
        <v>43</v>
      </c>
      <c r="C2778">
        <v>202201</v>
      </c>
      <c r="D2778" t="str">
        <f t="shared" si="43"/>
        <v>2022</v>
      </c>
      <c r="E2778">
        <v>1627</v>
      </c>
      <c r="F2778">
        <v>74640</v>
      </c>
      <c r="G2778">
        <v>2.1800000000000002</v>
      </c>
      <c r="H2778" t="s">
        <v>10</v>
      </c>
      <c r="I2778" t="s">
        <v>11</v>
      </c>
    </row>
    <row r="2779" spans="1:9" hidden="1" x14ac:dyDescent="0.25">
      <c r="A2779" t="s">
        <v>24</v>
      </c>
      <c r="B2779" t="s">
        <v>43</v>
      </c>
      <c r="C2779">
        <v>202202</v>
      </c>
      <c r="D2779" t="str">
        <f t="shared" si="43"/>
        <v>2022</v>
      </c>
      <c r="E2779">
        <v>1858</v>
      </c>
      <c r="F2779">
        <v>74640</v>
      </c>
      <c r="G2779">
        <v>2.4900000000000002</v>
      </c>
      <c r="H2779" t="s">
        <v>10</v>
      </c>
      <c r="I2779" t="s">
        <v>11</v>
      </c>
    </row>
    <row r="2780" spans="1:9" hidden="1" x14ac:dyDescent="0.25">
      <c r="A2780" t="s">
        <v>24</v>
      </c>
      <c r="B2780" t="s">
        <v>43</v>
      </c>
      <c r="C2780">
        <v>202203</v>
      </c>
      <c r="D2780" t="str">
        <f t="shared" si="43"/>
        <v>2022</v>
      </c>
      <c r="E2780">
        <v>2127</v>
      </c>
      <c r="F2780">
        <v>74640</v>
      </c>
      <c r="G2780">
        <v>2.85</v>
      </c>
      <c r="H2780" t="s">
        <v>10</v>
      </c>
      <c r="I2780" t="s">
        <v>11</v>
      </c>
    </row>
    <row r="2781" spans="1:9" hidden="1" x14ac:dyDescent="0.25">
      <c r="A2781" t="s">
        <v>24</v>
      </c>
      <c r="B2781" t="s">
        <v>43</v>
      </c>
      <c r="C2781">
        <v>202204</v>
      </c>
      <c r="D2781" t="str">
        <f t="shared" si="43"/>
        <v>2022</v>
      </c>
      <c r="E2781">
        <v>1730</v>
      </c>
      <c r="F2781">
        <v>74640</v>
      </c>
      <c r="G2781">
        <v>2.3199999999999998</v>
      </c>
      <c r="H2781" t="s">
        <v>10</v>
      </c>
      <c r="I2781" t="s">
        <v>11</v>
      </c>
    </row>
    <row r="2782" spans="1:9" hidden="1" x14ac:dyDescent="0.25">
      <c r="A2782" t="s">
        <v>24</v>
      </c>
      <c r="B2782" t="s">
        <v>43</v>
      </c>
      <c r="C2782">
        <v>202205</v>
      </c>
      <c r="D2782" t="str">
        <f t="shared" si="43"/>
        <v>2022</v>
      </c>
      <c r="E2782">
        <v>1879</v>
      </c>
      <c r="F2782">
        <v>74640</v>
      </c>
      <c r="G2782">
        <v>2.52</v>
      </c>
      <c r="H2782" t="s">
        <v>10</v>
      </c>
      <c r="I2782" t="s">
        <v>11</v>
      </c>
    </row>
    <row r="2783" spans="1:9" hidden="1" x14ac:dyDescent="0.25">
      <c r="A2783" t="s">
        <v>24</v>
      </c>
      <c r="B2783" t="s">
        <v>43</v>
      </c>
      <c r="C2783">
        <v>202206</v>
      </c>
      <c r="D2783" t="str">
        <f t="shared" si="43"/>
        <v>2022</v>
      </c>
      <c r="E2783">
        <v>1681</v>
      </c>
      <c r="F2783">
        <v>74640</v>
      </c>
      <c r="G2783">
        <v>2.25</v>
      </c>
      <c r="H2783" t="s">
        <v>10</v>
      </c>
      <c r="I2783" t="s">
        <v>11</v>
      </c>
    </row>
    <row r="2784" spans="1:9" hidden="1" x14ac:dyDescent="0.25">
      <c r="A2784" t="s">
        <v>24</v>
      </c>
      <c r="B2784" t="s">
        <v>43</v>
      </c>
      <c r="C2784">
        <v>202207</v>
      </c>
      <c r="D2784" t="str">
        <f t="shared" si="43"/>
        <v>2022</v>
      </c>
      <c r="E2784">
        <v>1414</v>
      </c>
      <c r="F2784">
        <v>74640</v>
      </c>
      <c r="G2784">
        <v>1.89</v>
      </c>
      <c r="H2784" t="s">
        <v>10</v>
      </c>
      <c r="I2784" t="s">
        <v>11</v>
      </c>
    </row>
    <row r="2785" spans="1:9" hidden="1" x14ac:dyDescent="0.25">
      <c r="A2785" t="s">
        <v>24</v>
      </c>
      <c r="B2785" t="s">
        <v>43</v>
      </c>
      <c r="C2785">
        <v>202208</v>
      </c>
      <c r="D2785" t="str">
        <f t="shared" si="43"/>
        <v>2022</v>
      </c>
      <c r="E2785">
        <v>1940</v>
      </c>
      <c r="F2785">
        <v>74640</v>
      </c>
      <c r="G2785">
        <v>2.6</v>
      </c>
      <c r="H2785" t="s">
        <v>10</v>
      </c>
      <c r="I2785" t="s">
        <v>11</v>
      </c>
    </row>
    <row r="2786" spans="1:9" hidden="1" x14ac:dyDescent="0.25">
      <c r="A2786" t="s">
        <v>24</v>
      </c>
      <c r="B2786" t="s">
        <v>43</v>
      </c>
      <c r="C2786">
        <v>202209</v>
      </c>
      <c r="D2786" t="str">
        <f t="shared" si="43"/>
        <v>2022</v>
      </c>
      <c r="E2786">
        <v>1950</v>
      </c>
      <c r="F2786">
        <v>74640</v>
      </c>
      <c r="G2786">
        <v>2.61</v>
      </c>
      <c r="H2786" t="s">
        <v>10</v>
      </c>
      <c r="I2786" t="s">
        <v>11</v>
      </c>
    </row>
    <row r="2787" spans="1:9" hidden="1" x14ac:dyDescent="0.25">
      <c r="A2787" t="s">
        <v>24</v>
      </c>
      <c r="B2787" t="s">
        <v>43</v>
      </c>
      <c r="C2787">
        <v>202210</v>
      </c>
      <c r="D2787" t="str">
        <f t="shared" si="43"/>
        <v>2022</v>
      </c>
      <c r="E2787">
        <v>1901</v>
      </c>
      <c r="F2787">
        <v>74640</v>
      </c>
      <c r="G2787">
        <v>2.5499999999999998</v>
      </c>
      <c r="H2787" t="s">
        <v>10</v>
      </c>
      <c r="I2787" t="s">
        <v>11</v>
      </c>
    </row>
    <row r="2788" spans="1:9" hidden="1" x14ac:dyDescent="0.25">
      <c r="A2788" t="s">
        <v>24</v>
      </c>
      <c r="B2788" t="s">
        <v>43</v>
      </c>
      <c r="C2788">
        <v>202211</v>
      </c>
      <c r="D2788" t="str">
        <f t="shared" si="43"/>
        <v>2022</v>
      </c>
      <c r="E2788">
        <v>1821</v>
      </c>
      <c r="F2788">
        <v>74640</v>
      </c>
      <c r="G2788">
        <v>2.44</v>
      </c>
      <c r="H2788" t="s">
        <v>10</v>
      </c>
      <c r="I2788" t="s">
        <v>11</v>
      </c>
    </row>
    <row r="2789" spans="1:9" hidden="1" x14ac:dyDescent="0.25">
      <c r="A2789" t="s">
        <v>24</v>
      </c>
      <c r="B2789" t="s">
        <v>43</v>
      </c>
      <c r="C2789">
        <v>202212</v>
      </c>
      <c r="D2789" t="str">
        <f t="shared" si="43"/>
        <v>2022</v>
      </c>
      <c r="E2789">
        <v>1971</v>
      </c>
      <c r="F2789">
        <v>74640</v>
      </c>
      <c r="G2789">
        <v>2.64</v>
      </c>
      <c r="H2789" t="s">
        <v>10</v>
      </c>
      <c r="I2789" t="s">
        <v>11</v>
      </c>
    </row>
    <row r="2790" spans="1:9" hidden="1" x14ac:dyDescent="0.25">
      <c r="A2790" t="s">
        <v>24</v>
      </c>
      <c r="B2790" t="s">
        <v>43</v>
      </c>
      <c r="C2790">
        <v>202301</v>
      </c>
      <c r="D2790" t="str">
        <f t="shared" si="43"/>
        <v>2023</v>
      </c>
      <c r="E2790">
        <v>1879</v>
      </c>
      <c r="F2790">
        <v>74640</v>
      </c>
      <c r="G2790">
        <v>2.52</v>
      </c>
      <c r="H2790" t="s">
        <v>10</v>
      </c>
      <c r="I2790" t="s">
        <v>11</v>
      </c>
    </row>
    <row r="2791" spans="1:9" hidden="1" x14ac:dyDescent="0.25">
      <c r="A2791" t="s">
        <v>24</v>
      </c>
      <c r="B2791" t="s">
        <v>43</v>
      </c>
      <c r="C2791">
        <v>202302</v>
      </c>
      <c r="D2791" t="str">
        <f t="shared" si="43"/>
        <v>2023</v>
      </c>
      <c r="E2791">
        <v>2325</v>
      </c>
      <c r="F2791">
        <v>74640</v>
      </c>
      <c r="G2791">
        <v>3.11</v>
      </c>
      <c r="H2791" t="s">
        <v>10</v>
      </c>
      <c r="I2791" t="s">
        <v>11</v>
      </c>
    </row>
    <row r="2792" spans="1:9" hidden="1" x14ac:dyDescent="0.25">
      <c r="A2792" t="s">
        <v>24</v>
      </c>
      <c r="B2792" t="s">
        <v>43</v>
      </c>
      <c r="C2792">
        <v>202303</v>
      </c>
      <c r="D2792" t="str">
        <f t="shared" si="43"/>
        <v>2023</v>
      </c>
      <c r="E2792">
        <v>2490</v>
      </c>
      <c r="F2792">
        <v>74640</v>
      </c>
      <c r="G2792">
        <v>3.34</v>
      </c>
      <c r="H2792" t="s">
        <v>10</v>
      </c>
      <c r="I2792" t="s">
        <v>11</v>
      </c>
    </row>
    <row r="2793" spans="1:9" hidden="1" x14ac:dyDescent="0.25">
      <c r="A2793" t="s">
        <v>24</v>
      </c>
      <c r="B2793" t="s">
        <v>43</v>
      </c>
      <c r="C2793">
        <v>202304</v>
      </c>
      <c r="D2793" t="str">
        <f t="shared" si="43"/>
        <v>2023</v>
      </c>
      <c r="E2793">
        <v>2579</v>
      </c>
      <c r="F2793">
        <v>74640</v>
      </c>
      <c r="G2793">
        <v>3.46</v>
      </c>
      <c r="H2793" t="s">
        <v>10</v>
      </c>
      <c r="I2793" t="s">
        <v>11</v>
      </c>
    </row>
    <row r="2794" spans="1:9" hidden="1" x14ac:dyDescent="0.25">
      <c r="A2794" t="s">
        <v>24</v>
      </c>
      <c r="B2794" t="s">
        <v>43</v>
      </c>
      <c r="C2794">
        <v>202305</v>
      </c>
      <c r="D2794" t="str">
        <f t="shared" si="43"/>
        <v>2023</v>
      </c>
      <c r="E2794">
        <v>2297</v>
      </c>
      <c r="F2794">
        <v>74640</v>
      </c>
      <c r="G2794">
        <v>3.08</v>
      </c>
      <c r="H2794" t="s">
        <v>10</v>
      </c>
      <c r="I2794" t="s">
        <v>11</v>
      </c>
    </row>
    <row r="2795" spans="1:9" hidden="1" x14ac:dyDescent="0.25">
      <c r="A2795" t="s">
        <v>24</v>
      </c>
      <c r="B2795" t="s">
        <v>43</v>
      </c>
      <c r="C2795">
        <v>202306</v>
      </c>
      <c r="D2795" t="str">
        <f t="shared" si="43"/>
        <v>2023</v>
      </c>
      <c r="E2795">
        <v>2484</v>
      </c>
      <c r="F2795">
        <v>74640</v>
      </c>
      <c r="G2795">
        <v>3.33</v>
      </c>
      <c r="H2795" t="s">
        <v>10</v>
      </c>
      <c r="I2795" t="s">
        <v>11</v>
      </c>
    </row>
    <row r="2796" spans="1:9" hidden="1" x14ac:dyDescent="0.25">
      <c r="A2796" t="s">
        <v>24</v>
      </c>
      <c r="B2796" t="s">
        <v>43</v>
      </c>
      <c r="C2796">
        <v>202307</v>
      </c>
      <c r="D2796" t="str">
        <f t="shared" si="43"/>
        <v>2023</v>
      </c>
      <c r="E2796">
        <v>2537</v>
      </c>
      <c r="F2796">
        <v>74640</v>
      </c>
      <c r="G2796">
        <v>3.4</v>
      </c>
      <c r="H2796" t="s">
        <v>10</v>
      </c>
      <c r="I2796" t="s">
        <v>11</v>
      </c>
    </row>
    <row r="2797" spans="1:9" hidden="1" x14ac:dyDescent="0.25">
      <c r="A2797" t="s">
        <v>24</v>
      </c>
      <c r="B2797" t="s">
        <v>43</v>
      </c>
      <c r="C2797">
        <v>202308</v>
      </c>
      <c r="D2797" t="str">
        <f t="shared" si="43"/>
        <v>2023</v>
      </c>
      <c r="E2797">
        <v>2239</v>
      </c>
      <c r="F2797">
        <v>74640</v>
      </c>
      <c r="G2797">
        <v>3</v>
      </c>
      <c r="H2797" t="s">
        <v>10</v>
      </c>
      <c r="I2797" t="s">
        <v>11</v>
      </c>
    </row>
    <row r="2798" spans="1:9" hidden="1" x14ac:dyDescent="0.25">
      <c r="A2798" t="s">
        <v>24</v>
      </c>
      <c r="B2798" t="s">
        <v>43</v>
      </c>
      <c r="C2798">
        <v>202309</v>
      </c>
      <c r="D2798" t="str">
        <f t="shared" si="43"/>
        <v>2023</v>
      </c>
      <c r="E2798">
        <v>2232</v>
      </c>
      <c r="F2798">
        <v>74640</v>
      </c>
      <c r="G2798">
        <v>2.99</v>
      </c>
      <c r="H2798" t="s">
        <v>10</v>
      </c>
      <c r="I2798" t="s">
        <v>11</v>
      </c>
    </row>
    <row r="2799" spans="1:9" hidden="1" x14ac:dyDescent="0.25">
      <c r="A2799" t="s">
        <v>24</v>
      </c>
      <c r="B2799" t="s">
        <v>43</v>
      </c>
      <c r="C2799">
        <v>202310</v>
      </c>
      <c r="D2799" t="str">
        <f t="shared" si="43"/>
        <v>2023</v>
      </c>
      <c r="E2799">
        <v>2117</v>
      </c>
      <c r="F2799">
        <v>74640</v>
      </c>
      <c r="G2799">
        <v>2.84</v>
      </c>
      <c r="H2799" t="s">
        <v>10</v>
      </c>
      <c r="I2799" t="s">
        <v>11</v>
      </c>
    </row>
    <row r="2800" spans="1:9" hidden="1" x14ac:dyDescent="0.25">
      <c r="A2800" t="s">
        <v>24</v>
      </c>
      <c r="B2800" t="s">
        <v>43</v>
      </c>
      <c r="C2800">
        <v>202311</v>
      </c>
      <c r="D2800" t="str">
        <f t="shared" si="43"/>
        <v>2023</v>
      </c>
      <c r="E2800">
        <v>2265</v>
      </c>
      <c r="F2800">
        <v>74640</v>
      </c>
      <c r="G2800">
        <v>3.03</v>
      </c>
      <c r="H2800" t="s">
        <v>10</v>
      </c>
      <c r="I2800" t="s">
        <v>11</v>
      </c>
    </row>
    <row r="2801" spans="1:9" hidden="1" x14ac:dyDescent="0.25">
      <c r="A2801" t="s">
        <v>24</v>
      </c>
      <c r="B2801" t="s">
        <v>43</v>
      </c>
      <c r="C2801">
        <v>202312</v>
      </c>
      <c r="D2801" t="str">
        <f t="shared" si="43"/>
        <v>2023</v>
      </c>
      <c r="E2801">
        <v>2182</v>
      </c>
      <c r="F2801">
        <v>74640</v>
      </c>
      <c r="G2801">
        <v>2.92</v>
      </c>
      <c r="H2801" t="s">
        <v>10</v>
      </c>
      <c r="I2801" t="s">
        <v>11</v>
      </c>
    </row>
    <row r="2802" spans="1:9" hidden="1" x14ac:dyDescent="0.25">
      <c r="A2802" t="s">
        <v>24</v>
      </c>
      <c r="B2802" t="s">
        <v>43</v>
      </c>
      <c r="C2802">
        <v>202401</v>
      </c>
      <c r="D2802" t="str">
        <f t="shared" si="43"/>
        <v>2024</v>
      </c>
      <c r="E2802">
        <v>2700</v>
      </c>
      <c r="F2802">
        <v>74640</v>
      </c>
      <c r="G2802">
        <v>3.62</v>
      </c>
      <c r="H2802" t="s">
        <v>10</v>
      </c>
      <c r="I2802" t="s">
        <v>11</v>
      </c>
    </row>
    <row r="2803" spans="1:9" hidden="1" x14ac:dyDescent="0.25">
      <c r="A2803" t="s">
        <v>24</v>
      </c>
      <c r="B2803" t="s">
        <v>43</v>
      </c>
      <c r="C2803">
        <v>202402</v>
      </c>
      <c r="D2803" t="str">
        <f t="shared" si="43"/>
        <v>2024</v>
      </c>
      <c r="E2803">
        <v>3380</v>
      </c>
      <c r="F2803">
        <v>74640</v>
      </c>
      <c r="G2803">
        <v>4.53</v>
      </c>
      <c r="H2803" t="s">
        <v>10</v>
      </c>
      <c r="I2803" t="s">
        <v>11</v>
      </c>
    </row>
    <row r="2804" spans="1:9" hidden="1" x14ac:dyDescent="0.25">
      <c r="A2804" t="s">
        <v>24</v>
      </c>
      <c r="B2804" t="s">
        <v>43</v>
      </c>
      <c r="C2804">
        <v>202403</v>
      </c>
      <c r="D2804" t="str">
        <f t="shared" si="43"/>
        <v>2024</v>
      </c>
      <c r="E2804">
        <v>3024</v>
      </c>
      <c r="F2804">
        <v>74640</v>
      </c>
      <c r="G2804">
        <v>4.05</v>
      </c>
      <c r="H2804" t="s">
        <v>10</v>
      </c>
      <c r="I2804" t="s">
        <v>11</v>
      </c>
    </row>
    <row r="2805" spans="1:9" hidden="1" x14ac:dyDescent="0.25">
      <c r="A2805" t="s">
        <v>24</v>
      </c>
      <c r="B2805" t="s">
        <v>43</v>
      </c>
      <c r="C2805">
        <v>202404</v>
      </c>
      <c r="D2805" t="str">
        <f t="shared" si="43"/>
        <v>2024</v>
      </c>
      <c r="E2805">
        <v>3350</v>
      </c>
      <c r="F2805">
        <v>74640</v>
      </c>
      <c r="G2805">
        <v>4.49</v>
      </c>
      <c r="H2805" t="s">
        <v>10</v>
      </c>
      <c r="I2805" t="s">
        <v>11</v>
      </c>
    </row>
    <row r="2806" spans="1:9" hidden="1" x14ac:dyDescent="0.25">
      <c r="A2806" t="s">
        <v>24</v>
      </c>
      <c r="B2806" t="s">
        <v>43</v>
      </c>
      <c r="C2806">
        <v>202405</v>
      </c>
      <c r="D2806" t="str">
        <f t="shared" si="43"/>
        <v>2024</v>
      </c>
      <c r="E2806">
        <v>2853</v>
      </c>
      <c r="F2806">
        <v>74640</v>
      </c>
      <c r="G2806">
        <v>3.82</v>
      </c>
      <c r="H2806" t="s">
        <v>10</v>
      </c>
      <c r="I2806" t="s">
        <v>11</v>
      </c>
    </row>
    <row r="2807" spans="1:9" hidden="1" x14ac:dyDescent="0.25">
      <c r="A2807" t="s">
        <v>24</v>
      </c>
      <c r="B2807" t="s">
        <v>43</v>
      </c>
      <c r="C2807">
        <v>202406</v>
      </c>
      <c r="D2807" t="str">
        <f t="shared" si="43"/>
        <v>2024</v>
      </c>
      <c r="E2807">
        <v>2936</v>
      </c>
      <c r="F2807">
        <v>74640</v>
      </c>
      <c r="G2807">
        <v>3.93</v>
      </c>
      <c r="H2807" t="s">
        <v>10</v>
      </c>
      <c r="I2807" t="s">
        <v>11</v>
      </c>
    </row>
    <row r="2808" spans="1:9" hidden="1" x14ac:dyDescent="0.25">
      <c r="A2808" t="s">
        <v>24</v>
      </c>
      <c r="B2808" t="s">
        <v>43</v>
      </c>
      <c r="C2808">
        <v>202407</v>
      </c>
      <c r="D2808" t="str">
        <f t="shared" si="43"/>
        <v>2024</v>
      </c>
      <c r="E2808">
        <v>3029</v>
      </c>
      <c r="F2808">
        <v>74640</v>
      </c>
      <c r="G2808">
        <v>4.0599999999999996</v>
      </c>
      <c r="H2808" t="s">
        <v>10</v>
      </c>
      <c r="I2808" t="s">
        <v>11</v>
      </c>
    </row>
    <row r="2809" spans="1:9" hidden="1" x14ac:dyDescent="0.25">
      <c r="A2809" t="s">
        <v>24</v>
      </c>
      <c r="B2809" t="s">
        <v>43</v>
      </c>
      <c r="C2809">
        <v>202408</v>
      </c>
      <c r="D2809" t="str">
        <f t="shared" si="43"/>
        <v>2024</v>
      </c>
      <c r="E2809">
        <v>2816</v>
      </c>
      <c r="F2809">
        <v>74640</v>
      </c>
      <c r="G2809">
        <v>3.77</v>
      </c>
      <c r="H2809" t="s">
        <v>10</v>
      </c>
      <c r="I2809" t="s">
        <v>11</v>
      </c>
    </row>
    <row r="2810" spans="1:9" hidden="1" x14ac:dyDescent="0.25">
      <c r="A2810" t="s">
        <v>24</v>
      </c>
      <c r="B2810" t="s">
        <v>43</v>
      </c>
      <c r="C2810">
        <v>202409</v>
      </c>
      <c r="D2810" t="str">
        <f t="shared" si="43"/>
        <v>2024</v>
      </c>
      <c r="E2810">
        <v>1027</v>
      </c>
      <c r="F2810">
        <v>74640</v>
      </c>
      <c r="G2810">
        <v>1.38</v>
      </c>
      <c r="H2810" t="s">
        <v>10</v>
      </c>
      <c r="I2810" t="s">
        <v>11</v>
      </c>
    </row>
    <row r="2811" spans="1:9" hidden="1" x14ac:dyDescent="0.25">
      <c r="A2811" t="s">
        <v>24</v>
      </c>
      <c r="B2811" t="s">
        <v>159</v>
      </c>
      <c r="C2811">
        <v>202201</v>
      </c>
      <c r="D2811" t="str">
        <f t="shared" si="43"/>
        <v>2022</v>
      </c>
      <c r="E2811">
        <v>1597</v>
      </c>
      <c r="F2811">
        <v>78081</v>
      </c>
      <c r="G2811">
        <v>2.0499999999999998</v>
      </c>
      <c r="H2811" t="s">
        <v>10</v>
      </c>
      <c r="I2811" t="s">
        <v>11</v>
      </c>
    </row>
    <row r="2812" spans="1:9" hidden="1" x14ac:dyDescent="0.25">
      <c r="A2812" t="s">
        <v>24</v>
      </c>
      <c r="B2812" t="s">
        <v>159</v>
      </c>
      <c r="C2812">
        <v>202202</v>
      </c>
      <c r="D2812" t="str">
        <f t="shared" si="43"/>
        <v>2022</v>
      </c>
      <c r="E2812">
        <v>1740</v>
      </c>
      <c r="F2812">
        <v>78081</v>
      </c>
      <c r="G2812">
        <v>2.23</v>
      </c>
      <c r="H2812" t="s">
        <v>10</v>
      </c>
      <c r="I2812" t="s">
        <v>11</v>
      </c>
    </row>
    <row r="2813" spans="1:9" hidden="1" x14ac:dyDescent="0.25">
      <c r="A2813" t="s">
        <v>24</v>
      </c>
      <c r="B2813" t="s">
        <v>159</v>
      </c>
      <c r="C2813">
        <v>202203</v>
      </c>
      <c r="D2813" t="str">
        <f t="shared" si="43"/>
        <v>2022</v>
      </c>
      <c r="E2813">
        <v>2087</v>
      </c>
      <c r="F2813">
        <v>78081</v>
      </c>
      <c r="G2813">
        <v>2.67</v>
      </c>
      <c r="H2813" t="s">
        <v>10</v>
      </c>
      <c r="I2813" t="s">
        <v>11</v>
      </c>
    </row>
    <row r="2814" spans="1:9" hidden="1" x14ac:dyDescent="0.25">
      <c r="A2814" t="s">
        <v>24</v>
      </c>
      <c r="B2814" t="s">
        <v>159</v>
      </c>
      <c r="C2814">
        <v>202204</v>
      </c>
      <c r="D2814" t="str">
        <f t="shared" si="43"/>
        <v>2022</v>
      </c>
      <c r="E2814">
        <v>1733</v>
      </c>
      <c r="F2814">
        <v>78081</v>
      </c>
      <c r="G2814">
        <v>2.2200000000000002</v>
      </c>
      <c r="H2814" t="s">
        <v>10</v>
      </c>
      <c r="I2814" t="s">
        <v>11</v>
      </c>
    </row>
    <row r="2815" spans="1:9" hidden="1" x14ac:dyDescent="0.25">
      <c r="A2815" t="s">
        <v>24</v>
      </c>
      <c r="B2815" t="s">
        <v>159</v>
      </c>
      <c r="C2815">
        <v>202205</v>
      </c>
      <c r="D2815" t="str">
        <f t="shared" si="43"/>
        <v>2022</v>
      </c>
      <c r="E2815">
        <v>1862</v>
      </c>
      <c r="F2815">
        <v>78081</v>
      </c>
      <c r="G2815">
        <v>2.38</v>
      </c>
      <c r="H2815" t="s">
        <v>10</v>
      </c>
      <c r="I2815" t="s">
        <v>11</v>
      </c>
    </row>
    <row r="2816" spans="1:9" hidden="1" x14ac:dyDescent="0.25">
      <c r="A2816" t="s">
        <v>24</v>
      </c>
      <c r="B2816" t="s">
        <v>159</v>
      </c>
      <c r="C2816">
        <v>202206</v>
      </c>
      <c r="D2816" t="str">
        <f t="shared" si="43"/>
        <v>2022</v>
      </c>
      <c r="E2816">
        <v>1699</v>
      </c>
      <c r="F2816">
        <v>78081</v>
      </c>
      <c r="G2816">
        <v>2.1800000000000002</v>
      </c>
      <c r="H2816" t="s">
        <v>10</v>
      </c>
      <c r="I2816" t="s">
        <v>11</v>
      </c>
    </row>
    <row r="2817" spans="1:9" hidden="1" x14ac:dyDescent="0.25">
      <c r="A2817" t="s">
        <v>24</v>
      </c>
      <c r="B2817" t="s">
        <v>159</v>
      </c>
      <c r="C2817">
        <v>202207</v>
      </c>
      <c r="D2817" t="str">
        <f t="shared" si="43"/>
        <v>2022</v>
      </c>
      <c r="E2817">
        <v>1420</v>
      </c>
      <c r="F2817">
        <v>78081</v>
      </c>
      <c r="G2817">
        <v>1.82</v>
      </c>
      <c r="H2817" t="s">
        <v>10</v>
      </c>
      <c r="I2817" t="s">
        <v>11</v>
      </c>
    </row>
    <row r="2818" spans="1:9" hidden="1" x14ac:dyDescent="0.25">
      <c r="A2818" t="s">
        <v>24</v>
      </c>
      <c r="B2818" t="s">
        <v>159</v>
      </c>
      <c r="C2818">
        <v>202208</v>
      </c>
      <c r="D2818" t="str">
        <f t="shared" si="43"/>
        <v>2022</v>
      </c>
      <c r="E2818">
        <v>1936</v>
      </c>
      <c r="F2818">
        <v>78081</v>
      </c>
      <c r="G2818">
        <v>2.48</v>
      </c>
      <c r="H2818" t="s">
        <v>10</v>
      </c>
      <c r="I2818" t="s">
        <v>11</v>
      </c>
    </row>
    <row r="2819" spans="1:9" hidden="1" x14ac:dyDescent="0.25">
      <c r="A2819" t="s">
        <v>24</v>
      </c>
      <c r="B2819" t="s">
        <v>159</v>
      </c>
      <c r="C2819">
        <v>202209</v>
      </c>
      <c r="D2819" t="str">
        <f t="shared" ref="D2819:D2882" si="44">LEFT(C2819,4)</f>
        <v>2022</v>
      </c>
      <c r="E2819">
        <v>1959</v>
      </c>
      <c r="F2819">
        <v>78081</v>
      </c>
      <c r="G2819">
        <v>2.5099999999999998</v>
      </c>
      <c r="H2819" t="s">
        <v>10</v>
      </c>
      <c r="I2819" t="s">
        <v>11</v>
      </c>
    </row>
    <row r="2820" spans="1:9" hidden="1" x14ac:dyDescent="0.25">
      <c r="A2820" t="s">
        <v>24</v>
      </c>
      <c r="B2820" t="s">
        <v>159</v>
      </c>
      <c r="C2820">
        <v>202210</v>
      </c>
      <c r="D2820" t="str">
        <f t="shared" si="44"/>
        <v>2022</v>
      </c>
      <c r="E2820">
        <v>1908</v>
      </c>
      <c r="F2820">
        <v>78081</v>
      </c>
      <c r="G2820">
        <v>2.44</v>
      </c>
      <c r="H2820" t="s">
        <v>10</v>
      </c>
      <c r="I2820" t="s">
        <v>11</v>
      </c>
    </row>
    <row r="2821" spans="1:9" hidden="1" x14ac:dyDescent="0.25">
      <c r="A2821" t="s">
        <v>24</v>
      </c>
      <c r="B2821" t="s">
        <v>159</v>
      </c>
      <c r="C2821">
        <v>202211</v>
      </c>
      <c r="D2821" t="str">
        <f t="shared" si="44"/>
        <v>2022</v>
      </c>
      <c r="E2821">
        <v>1827</v>
      </c>
      <c r="F2821">
        <v>78081</v>
      </c>
      <c r="G2821">
        <v>2.34</v>
      </c>
      <c r="H2821" t="s">
        <v>10</v>
      </c>
      <c r="I2821" t="s">
        <v>11</v>
      </c>
    </row>
    <row r="2822" spans="1:9" hidden="1" x14ac:dyDescent="0.25">
      <c r="A2822" t="s">
        <v>24</v>
      </c>
      <c r="B2822" t="s">
        <v>159</v>
      </c>
      <c r="C2822">
        <v>202212</v>
      </c>
      <c r="D2822" t="str">
        <f t="shared" si="44"/>
        <v>2022</v>
      </c>
      <c r="E2822">
        <v>1987</v>
      </c>
      <c r="F2822">
        <v>78081</v>
      </c>
      <c r="G2822">
        <v>2.54</v>
      </c>
      <c r="H2822" t="s">
        <v>10</v>
      </c>
      <c r="I2822" t="s">
        <v>11</v>
      </c>
    </row>
    <row r="2823" spans="1:9" hidden="1" x14ac:dyDescent="0.25">
      <c r="A2823" t="s">
        <v>24</v>
      </c>
      <c r="B2823" t="s">
        <v>159</v>
      </c>
      <c r="C2823">
        <v>202301</v>
      </c>
      <c r="D2823" t="str">
        <f t="shared" si="44"/>
        <v>2023</v>
      </c>
      <c r="E2823">
        <v>1891</v>
      </c>
      <c r="F2823">
        <v>78081</v>
      </c>
      <c r="G2823">
        <v>2.42</v>
      </c>
      <c r="H2823" t="s">
        <v>10</v>
      </c>
      <c r="I2823" t="s">
        <v>11</v>
      </c>
    </row>
    <row r="2824" spans="1:9" hidden="1" x14ac:dyDescent="0.25">
      <c r="A2824" t="s">
        <v>24</v>
      </c>
      <c r="B2824" t="s">
        <v>159</v>
      </c>
      <c r="C2824">
        <v>202302</v>
      </c>
      <c r="D2824" t="str">
        <f t="shared" si="44"/>
        <v>2023</v>
      </c>
      <c r="E2824">
        <v>2360</v>
      </c>
      <c r="F2824">
        <v>78081</v>
      </c>
      <c r="G2824">
        <v>3.02</v>
      </c>
      <c r="H2824" t="s">
        <v>10</v>
      </c>
      <c r="I2824" t="s">
        <v>11</v>
      </c>
    </row>
    <row r="2825" spans="1:9" hidden="1" x14ac:dyDescent="0.25">
      <c r="A2825" t="s">
        <v>24</v>
      </c>
      <c r="B2825" t="s">
        <v>159</v>
      </c>
      <c r="C2825">
        <v>202303</v>
      </c>
      <c r="D2825" t="str">
        <f t="shared" si="44"/>
        <v>2023</v>
      </c>
      <c r="E2825">
        <v>2555</v>
      </c>
      <c r="F2825">
        <v>78081</v>
      </c>
      <c r="G2825">
        <v>3.27</v>
      </c>
      <c r="H2825" t="s">
        <v>10</v>
      </c>
      <c r="I2825" t="s">
        <v>11</v>
      </c>
    </row>
    <row r="2826" spans="1:9" hidden="1" x14ac:dyDescent="0.25">
      <c r="A2826" t="s">
        <v>24</v>
      </c>
      <c r="B2826" t="s">
        <v>159</v>
      </c>
      <c r="C2826">
        <v>202304</v>
      </c>
      <c r="D2826" t="str">
        <f t="shared" si="44"/>
        <v>2023</v>
      </c>
      <c r="E2826">
        <v>2614</v>
      </c>
      <c r="F2826">
        <v>78081</v>
      </c>
      <c r="G2826">
        <v>3.35</v>
      </c>
      <c r="H2826" t="s">
        <v>10</v>
      </c>
      <c r="I2826" t="s">
        <v>11</v>
      </c>
    </row>
    <row r="2827" spans="1:9" hidden="1" x14ac:dyDescent="0.25">
      <c r="A2827" t="s">
        <v>24</v>
      </c>
      <c r="B2827" t="s">
        <v>159</v>
      </c>
      <c r="C2827">
        <v>202305</v>
      </c>
      <c r="D2827" t="str">
        <f t="shared" si="44"/>
        <v>2023</v>
      </c>
      <c r="E2827">
        <v>2308</v>
      </c>
      <c r="F2827">
        <v>78081</v>
      </c>
      <c r="G2827">
        <v>2.96</v>
      </c>
      <c r="H2827" t="s">
        <v>10</v>
      </c>
      <c r="I2827" t="s">
        <v>11</v>
      </c>
    </row>
    <row r="2828" spans="1:9" hidden="1" x14ac:dyDescent="0.25">
      <c r="A2828" t="s">
        <v>24</v>
      </c>
      <c r="B2828" t="s">
        <v>159</v>
      </c>
      <c r="C2828">
        <v>202306</v>
      </c>
      <c r="D2828" t="str">
        <f t="shared" si="44"/>
        <v>2023</v>
      </c>
      <c r="E2828">
        <v>2539</v>
      </c>
      <c r="F2828">
        <v>78081</v>
      </c>
      <c r="G2828">
        <v>3.25</v>
      </c>
      <c r="H2828" t="s">
        <v>10</v>
      </c>
      <c r="I2828" t="s">
        <v>11</v>
      </c>
    </row>
    <row r="2829" spans="1:9" hidden="1" x14ac:dyDescent="0.25">
      <c r="A2829" t="s">
        <v>24</v>
      </c>
      <c r="B2829" t="s">
        <v>159</v>
      </c>
      <c r="C2829">
        <v>202307</v>
      </c>
      <c r="D2829" t="str">
        <f t="shared" si="44"/>
        <v>2023</v>
      </c>
      <c r="E2829">
        <v>2614</v>
      </c>
      <c r="F2829">
        <v>78081</v>
      </c>
      <c r="G2829">
        <v>3.35</v>
      </c>
      <c r="H2829" t="s">
        <v>10</v>
      </c>
      <c r="I2829" t="s">
        <v>11</v>
      </c>
    </row>
    <row r="2830" spans="1:9" hidden="1" x14ac:dyDescent="0.25">
      <c r="A2830" t="s">
        <v>24</v>
      </c>
      <c r="B2830" t="s">
        <v>159</v>
      </c>
      <c r="C2830">
        <v>202308</v>
      </c>
      <c r="D2830" t="str">
        <f t="shared" si="44"/>
        <v>2023</v>
      </c>
      <c r="E2830">
        <v>2331</v>
      </c>
      <c r="F2830">
        <v>78081</v>
      </c>
      <c r="G2830">
        <v>2.99</v>
      </c>
      <c r="H2830" t="s">
        <v>10</v>
      </c>
      <c r="I2830" t="s">
        <v>11</v>
      </c>
    </row>
    <row r="2831" spans="1:9" hidden="1" x14ac:dyDescent="0.25">
      <c r="A2831" t="s">
        <v>24</v>
      </c>
      <c r="B2831" t="s">
        <v>159</v>
      </c>
      <c r="C2831">
        <v>202309</v>
      </c>
      <c r="D2831" t="str">
        <f t="shared" si="44"/>
        <v>2023</v>
      </c>
      <c r="E2831">
        <v>2147</v>
      </c>
      <c r="F2831">
        <v>78081</v>
      </c>
      <c r="G2831">
        <v>2.75</v>
      </c>
      <c r="H2831" t="s">
        <v>10</v>
      </c>
      <c r="I2831" t="s">
        <v>11</v>
      </c>
    </row>
    <row r="2832" spans="1:9" hidden="1" x14ac:dyDescent="0.25">
      <c r="A2832" t="s">
        <v>24</v>
      </c>
      <c r="B2832" t="s">
        <v>159</v>
      </c>
      <c r="C2832">
        <v>202310</v>
      </c>
      <c r="D2832" t="str">
        <f t="shared" si="44"/>
        <v>2023</v>
      </c>
      <c r="E2832">
        <v>2173</v>
      </c>
      <c r="F2832">
        <v>78081</v>
      </c>
      <c r="G2832">
        <v>2.78</v>
      </c>
      <c r="H2832" t="s">
        <v>10</v>
      </c>
      <c r="I2832" t="s">
        <v>11</v>
      </c>
    </row>
    <row r="2833" spans="1:9" hidden="1" x14ac:dyDescent="0.25">
      <c r="A2833" t="s">
        <v>24</v>
      </c>
      <c r="B2833" t="s">
        <v>159</v>
      </c>
      <c r="C2833">
        <v>202311</v>
      </c>
      <c r="D2833" t="str">
        <f t="shared" si="44"/>
        <v>2023</v>
      </c>
      <c r="E2833">
        <v>2393</v>
      </c>
      <c r="F2833">
        <v>78081</v>
      </c>
      <c r="G2833">
        <v>3.06</v>
      </c>
      <c r="H2833" t="s">
        <v>10</v>
      </c>
      <c r="I2833" t="s">
        <v>11</v>
      </c>
    </row>
    <row r="2834" spans="1:9" hidden="1" x14ac:dyDescent="0.25">
      <c r="A2834" t="s">
        <v>24</v>
      </c>
      <c r="B2834" t="s">
        <v>159</v>
      </c>
      <c r="C2834">
        <v>202312</v>
      </c>
      <c r="D2834" t="str">
        <f t="shared" si="44"/>
        <v>2023</v>
      </c>
      <c r="E2834">
        <v>2246</v>
      </c>
      <c r="F2834">
        <v>78081</v>
      </c>
      <c r="G2834">
        <v>2.88</v>
      </c>
      <c r="H2834" t="s">
        <v>10</v>
      </c>
      <c r="I2834" t="s">
        <v>11</v>
      </c>
    </row>
    <row r="2835" spans="1:9" hidden="1" x14ac:dyDescent="0.25">
      <c r="A2835" t="s">
        <v>24</v>
      </c>
      <c r="B2835" t="s">
        <v>159</v>
      </c>
      <c r="C2835">
        <v>202401</v>
      </c>
      <c r="D2835" t="str">
        <f t="shared" si="44"/>
        <v>2024</v>
      </c>
      <c r="E2835">
        <v>2791</v>
      </c>
      <c r="F2835">
        <v>78081</v>
      </c>
      <c r="G2835">
        <v>3.57</v>
      </c>
      <c r="H2835" t="s">
        <v>10</v>
      </c>
      <c r="I2835" t="s">
        <v>11</v>
      </c>
    </row>
    <row r="2836" spans="1:9" hidden="1" x14ac:dyDescent="0.25">
      <c r="A2836" t="s">
        <v>24</v>
      </c>
      <c r="B2836" t="s">
        <v>159</v>
      </c>
      <c r="C2836">
        <v>202402</v>
      </c>
      <c r="D2836" t="str">
        <f t="shared" si="44"/>
        <v>2024</v>
      </c>
      <c r="E2836">
        <v>3412</v>
      </c>
      <c r="F2836">
        <v>78081</v>
      </c>
      <c r="G2836">
        <v>4.37</v>
      </c>
      <c r="H2836" t="s">
        <v>10</v>
      </c>
      <c r="I2836" t="s">
        <v>11</v>
      </c>
    </row>
    <row r="2837" spans="1:9" hidden="1" x14ac:dyDescent="0.25">
      <c r="A2837" t="s">
        <v>24</v>
      </c>
      <c r="B2837" t="s">
        <v>159</v>
      </c>
      <c r="C2837">
        <v>202403</v>
      </c>
      <c r="D2837" t="str">
        <f t="shared" si="44"/>
        <v>2024</v>
      </c>
      <c r="E2837">
        <v>3069</v>
      </c>
      <c r="F2837">
        <v>78081</v>
      </c>
      <c r="G2837">
        <v>3.93</v>
      </c>
      <c r="H2837" t="s">
        <v>10</v>
      </c>
      <c r="I2837" t="s">
        <v>11</v>
      </c>
    </row>
    <row r="2838" spans="1:9" hidden="1" x14ac:dyDescent="0.25">
      <c r="A2838" t="s">
        <v>24</v>
      </c>
      <c r="B2838" t="s">
        <v>159</v>
      </c>
      <c r="C2838">
        <v>202404</v>
      </c>
      <c r="D2838" t="str">
        <f t="shared" si="44"/>
        <v>2024</v>
      </c>
      <c r="E2838">
        <v>3518</v>
      </c>
      <c r="F2838">
        <v>78081</v>
      </c>
      <c r="G2838">
        <v>4.51</v>
      </c>
      <c r="H2838" t="s">
        <v>10</v>
      </c>
      <c r="I2838" t="s">
        <v>11</v>
      </c>
    </row>
    <row r="2839" spans="1:9" hidden="1" x14ac:dyDescent="0.25">
      <c r="A2839" t="s">
        <v>24</v>
      </c>
      <c r="B2839" t="s">
        <v>159</v>
      </c>
      <c r="C2839">
        <v>202405</v>
      </c>
      <c r="D2839" t="str">
        <f t="shared" si="44"/>
        <v>2024</v>
      </c>
      <c r="E2839">
        <v>2993</v>
      </c>
      <c r="F2839">
        <v>78081</v>
      </c>
      <c r="G2839">
        <v>3.83</v>
      </c>
      <c r="H2839" t="s">
        <v>10</v>
      </c>
      <c r="I2839" t="s">
        <v>11</v>
      </c>
    </row>
    <row r="2840" spans="1:9" hidden="1" x14ac:dyDescent="0.25">
      <c r="A2840" t="s">
        <v>24</v>
      </c>
      <c r="B2840" t="s">
        <v>159</v>
      </c>
      <c r="C2840">
        <v>202406</v>
      </c>
      <c r="D2840" t="str">
        <f t="shared" si="44"/>
        <v>2024</v>
      </c>
      <c r="E2840">
        <v>2954</v>
      </c>
      <c r="F2840">
        <v>78081</v>
      </c>
      <c r="G2840">
        <v>3.78</v>
      </c>
      <c r="H2840" t="s">
        <v>10</v>
      </c>
      <c r="I2840" t="s">
        <v>11</v>
      </c>
    </row>
    <row r="2841" spans="1:9" hidden="1" x14ac:dyDescent="0.25">
      <c r="A2841" t="s">
        <v>24</v>
      </c>
      <c r="B2841" t="s">
        <v>159</v>
      </c>
      <c r="C2841">
        <v>202407</v>
      </c>
      <c r="D2841" t="str">
        <f t="shared" si="44"/>
        <v>2024</v>
      </c>
      <c r="E2841">
        <v>2992</v>
      </c>
      <c r="F2841">
        <v>78081</v>
      </c>
      <c r="G2841">
        <v>3.83</v>
      </c>
      <c r="H2841" t="s">
        <v>10</v>
      </c>
      <c r="I2841" t="s">
        <v>11</v>
      </c>
    </row>
    <row r="2842" spans="1:9" hidden="1" x14ac:dyDescent="0.25">
      <c r="A2842" t="s">
        <v>24</v>
      </c>
      <c r="B2842" t="s">
        <v>159</v>
      </c>
      <c r="C2842">
        <v>202408</v>
      </c>
      <c r="D2842" t="str">
        <f t="shared" si="44"/>
        <v>2024</v>
      </c>
      <c r="E2842">
        <v>2974</v>
      </c>
      <c r="F2842">
        <v>78081</v>
      </c>
      <c r="G2842">
        <v>3.81</v>
      </c>
      <c r="H2842" t="s">
        <v>10</v>
      </c>
      <c r="I2842" t="s">
        <v>11</v>
      </c>
    </row>
    <row r="2843" spans="1:9" hidden="1" x14ac:dyDescent="0.25">
      <c r="A2843" t="s">
        <v>24</v>
      </c>
      <c r="B2843" t="s">
        <v>159</v>
      </c>
      <c r="C2843">
        <v>202409</v>
      </c>
      <c r="D2843" t="str">
        <f t="shared" si="44"/>
        <v>2024</v>
      </c>
      <c r="E2843">
        <v>2921</v>
      </c>
      <c r="F2843">
        <v>78081</v>
      </c>
      <c r="G2843">
        <v>3.74</v>
      </c>
      <c r="H2843" t="s">
        <v>10</v>
      </c>
      <c r="I2843" t="s">
        <v>11</v>
      </c>
    </row>
    <row r="2844" spans="1:9" hidden="1" x14ac:dyDescent="0.25">
      <c r="A2844" t="s">
        <v>24</v>
      </c>
      <c r="B2844" t="s">
        <v>159</v>
      </c>
      <c r="C2844">
        <v>202410</v>
      </c>
      <c r="D2844" t="str">
        <f t="shared" si="44"/>
        <v>2024</v>
      </c>
      <c r="E2844">
        <v>531</v>
      </c>
      <c r="F2844">
        <v>78081</v>
      </c>
      <c r="G2844">
        <v>0.68</v>
      </c>
      <c r="H2844" t="s">
        <v>10</v>
      </c>
      <c r="I2844" t="s">
        <v>11</v>
      </c>
    </row>
    <row r="2845" spans="1:9" hidden="1" x14ac:dyDescent="0.25">
      <c r="A2845" t="s">
        <v>24</v>
      </c>
      <c r="B2845" t="s">
        <v>164</v>
      </c>
      <c r="C2845">
        <v>202201</v>
      </c>
      <c r="D2845" t="str">
        <f t="shared" si="44"/>
        <v>2022</v>
      </c>
      <c r="E2845">
        <v>1562</v>
      </c>
      <c r="F2845">
        <v>82652</v>
      </c>
      <c r="G2845">
        <v>1.89</v>
      </c>
      <c r="H2845" t="s">
        <v>10</v>
      </c>
      <c r="I2845" t="s">
        <v>11</v>
      </c>
    </row>
    <row r="2846" spans="1:9" hidden="1" x14ac:dyDescent="0.25">
      <c r="A2846" t="s">
        <v>24</v>
      </c>
      <c r="B2846" t="s">
        <v>164</v>
      </c>
      <c r="C2846">
        <v>202202</v>
      </c>
      <c r="D2846" t="str">
        <f t="shared" si="44"/>
        <v>2022</v>
      </c>
      <c r="E2846">
        <v>1781</v>
      </c>
      <c r="F2846">
        <v>82652</v>
      </c>
      <c r="G2846">
        <v>2.15</v>
      </c>
      <c r="H2846" t="s">
        <v>10</v>
      </c>
      <c r="I2846" t="s">
        <v>11</v>
      </c>
    </row>
    <row r="2847" spans="1:9" hidden="1" x14ac:dyDescent="0.25">
      <c r="A2847" t="s">
        <v>24</v>
      </c>
      <c r="B2847" t="s">
        <v>164</v>
      </c>
      <c r="C2847">
        <v>202203</v>
      </c>
      <c r="D2847" t="str">
        <f t="shared" si="44"/>
        <v>2022</v>
      </c>
      <c r="E2847">
        <v>2111</v>
      </c>
      <c r="F2847">
        <v>82652</v>
      </c>
      <c r="G2847">
        <v>2.5499999999999998</v>
      </c>
      <c r="H2847" t="s">
        <v>10</v>
      </c>
      <c r="I2847" t="s">
        <v>11</v>
      </c>
    </row>
    <row r="2848" spans="1:9" hidden="1" x14ac:dyDescent="0.25">
      <c r="A2848" t="s">
        <v>24</v>
      </c>
      <c r="B2848" t="s">
        <v>164</v>
      </c>
      <c r="C2848">
        <v>202204</v>
      </c>
      <c r="D2848" t="str">
        <f t="shared" si="44"/>
        <v>2022</v>
      </c>
      <c r="E2848">
        <v>1743</v>
      </c>
      <c r="F2848">
        <v>82652</v>
      </c>
      <c r="G2848">
        <v>2.11</v>
      </c>
      <c r="H2848" t="s">
        <v>10</v>
      </c>
      <c r="I2848" t="s">
        <v>11</v>
      </c>
    </row>
    <row r="2849" spans="1:9" hidden="1" x14ac:dyDescent="0.25">
      <c r="A2849" t="s">
        <v>24</v>
      </c>
      <c r="B2849" t="s">
        <v>164</v>
      </c>
      <c r="C2849">
        <v>202205</v>
      </c>
      <c r="D2849" t="str">
        <f t="shared" si="44"/>
        <v>2022</v>
      </c>
      <c r="E2849">
        <v>1881</v>
      </c>
      <c r="F2849">
        <v>82652</v>
      </c>
      <c r="G2849">
        <v>2.2799999999999998</v>
      </c>
      <c r="H2849" t="s">
        <v>10</v>
      </c>
      <c r="I2849" t="s">
        <v>11</v>
      </c>
    </row>
    <row r="2850" spans="1:9" hidden="1" x14ac:dyDescent="0.25">
      <c r="A2850" t="s">
        <v>24</v>
      </c>
      <c r="B2850" t="s">
        <v>164</v>
      </c>
      <c r="C2850">
        <v>202206</v>
      </c>
      <c r="D2850" t="str">
        <f t="shared" si="44"/>
        <v>2022</v>
      </c>
      <c r="E2850">
        <v>1663</v>
      </c>
      <c r="F2850">
        <v>82652</v>
      </c>
      <c r="G2850">
        <v>2.0099999999999998</v>
      </c>
      <c r="H2850" t="s">
        <v>10</v>
      </c>
      <c r="I2850" t="s">
        <v>11</v>
      </c>
    </row>
    <row r="2851" spans="1:9" hidden="1" x14ac:dyDescent="0.25">
      <c r="A2851" t="s">
        <v>24</v>
      </c>
      <c r="B2851" t="s">
        <v>164</v>
      </c>
      <c r="C2851">
        <v>202207</v>
      </c>
      <c r="D2851" t="str">
        <f t="shared" si="44"/>
        <v>2022</v>
      </c>
      <c r="E2851">
        <v>1552</v>
      </c>
      <c r="F2851">
        <v>82652</v>
      </c>
      <c r="G2851">
        <v>1.88</v>
      </c>
      <c r="H2851" t="s">
        <v>10</v>
      </c>
      <c r="I2851" t="s">
        <v>11</v>
      </c>
    </row>
    <row r="2852" spans="1:9" hidden="1" x14ac:dyDescent="0.25">
      <c r="A2852" t="s">
        <v>24</v>
      </c>
      <c r="B2852" t="s">
        <v>164</v>
      </c>
      <c r="C2852">
        <v>202208</v>
      </c>
      <c r="D2852" t="str">
        <f t="shared" si="44"/>
        <v>2022</v>
      </c>
      <c r="E2852">
        <v>1981</v>
      </c>
      <c r="F2852">
        <v>82652</v>
      </c>
      <c r="G2852">
        <v>2.4</v>
      </c>
      <c r="H2852" t="s">
        <v>10</v>
      </c>
      <c r="I2852" t="s">
        <v>11</v>
      </c>
    </row>
    <row r="2853" spans="1:9" hidden="1" x14ac:dyDescent="0.25">
      <c r="A2853" t="s">
        <v>24</v>
      </c>
      <c r="B2853" t="s">
        <v>164</v>
      </c>
      <c r="C2853">
        <v>202209</v>
      </c>
      <c r="D2853" t="str">
        <f t="shared" si="44"/>
        <v>2022</v>
      </c>
      <c r="E2853">
        <v>1910</v>
      </c>
      <c r="F2853">
        <v>82652</v>
      </c>
      <c r="G2853">
        <v>2.31</v>
      </c>
      <c r="H2853" t="s">
        <v>10</v>
      </c>
      <c r="I2853" t="s">
        <v>11</v>
      </c>
    </row>
    <row r="2854" spans="1:9" hidden="1" x14ac:dyDescent="0.25">
      <c r="A2854" t="s">
        <v>24</v>
      </c>
      <c r="B2854" t="s">
        <v>164</v>
      </c>
      <c r="C2854">
        <v>202210</v>
      </c>
      <c r="D2854" t="str">
        <f t="shared" si="44"/>
        <v>2022</v>
      </c>
      <c r="E2854">
        <v>1983</v>
      </c>
      <c r="F2854">
        <v>82652</v>
      </c>
      <c r="G2854">
        <v>2.4</v>
      </c>
      <c r="H2854" t="s">
        <v>10</v>
      </c>
      <c r="I2854" t="s">
        <v>11</v>
      </c>
    </row>
    <row r="2855" spans="1:9" hidden="1" x14ac:dyDescent="0.25">
      <c r="A2855" t="s">
        <v>24</v>
      </c>
      <c r="B2855" t="s">
        <v>164</v>
      </c>
      <c r="C2855">
        <v>202211</v>
      </c>
      <c r="D2855" t="str">
        <f t="shared" si="44"/>
        <v>2022</v>
      </c>
      <c r="E2855">
        <v>1883</v>
      </c>
      <c r="F2855">
        <v>82652</v>
      </c>
      <c r="G2855">
        <v>2.2799999999999998</v>
      </c>
      <c r="H2855" t="s">
        <v>10</v>
      </c>
      <c r="I2855" t="s">
        <v>11</v>
      </c>
    </row>
    <row r="2856" spans="1:9" hidden="1" x14ac:dyDescent="0.25">
      <c r="A2856" t="s">
        <v>24</v>
      </c>
      <c r="B2856" t="s">
        <v>164</v>
      </c>
      <c r="C2856">
        <v>202212</v>
      </c>
      <c r="D2856" t="str">
        <f t="shared" si="44"/>
        <v>2022</v>
      </c>
      <c r="E2856">
        <v>1990</v>
      </c>
      <c r="F2856">
        <v>82652</v>
      </c>
      <c r="G2856">
        <v>2.41</v>
      </c>
      <c r="H2856" t="s">
        <v>10</v>
      </c>
      <c r="I2856" t="s">
        <v>11</v>
      </c>
    </row>
    <row r="2857" spans="1:9" hidden="1" x14ac:dyDescent="0.25">
      <c r="A2857" t="s">
        <v>24</v>
      </c>
      <c r="B2857" t="s">
        <v>164</v>
      </c>
      <c r="C2857">
        <v>202301</v>
      </c>
      <c r="D2857" t="str">
        <f t="shared" si="44"/>
        <v>2023</v>
      </c>
      <c r="E2857">
        <v>1835</v>
      </c>
      <c r="F2857">
        <v>82652</v>
      </c>
      <c r="G2857">
        <v>2.2200000000000002</v>
      </c>
      <c r="H2857" t="s">
        <v>10</v>
      </c>
      <c r="I2857" t="s">
        <v>11</v>
      </c>
    </row>
    <row r="2858" spans="1:9" hidden="1" x14ac:dyDescent="0.25">
      <c r="A2858" t="s">
        <v>24</v>
      </c>
      <c r="B2858" t="s">
        <v>164</v>
      </c>
      <c r="C2858">
        <v>202302</v>
      </c>
      <c r="D2858" t="str">
        <f t="shared" si="44"/>
        <v>2023</v>
      </c>
      <c r="E2858">
        <v>2432</v>
      </c>
      <c r="F2858">
        <v>82652</v>
      </c>
      <c r="G2858">
        <v>2.94</v>
      </c>
      <c r="H2858" t="s">
        <v>10</v>
      </c>
      <c r="I2858" t="s">
        <v>11</v>
      </c>
    </row>
    <row r="2859" spans="1:9" hidden="1" x14ac:dyDescent="0.25">
      <c r="A2859" t="s">
        <v>24</v>
      </c>
      <c r="B2859" t="s">
        <v>164</v>
      </c>
      <c r="C2859">
        <v>202303</v>
      </c>
      <c r="D2859" t="str">
        <f t="shared" si="44"/>
        <v>2023</v>
      </c>
      <c r="E2859">
        <v>2534</v>
      </c>
      <c r="F2859">
        <v>82652</v>
      </c>
      <c r="G2859">
        <v>3.07</v>
      </c>
      <c r="H2859" t="s">
        <v>10</v>
      </c>
      <c r="I2859" t="s">
        <v>11</v>
      </c>
    </row>
    <row r="2860" spans="1:9" hidden="1" x14ac:dyDescent="0.25">
      <c r="A2860" t="s">
        <v>24</v>
      </c>
      <c r="B2860" t="s">
        <v>164</v>
      </c>
      <c r="C2860">
        <v>202304</v>
      </c>
      <c r="D2860" t="str">
        <f t="shared" si="44"/>
        <v>2023</v>
      </c>
      <c r="E2860">
        <v>2640</v>
      </c>
      <c r="F2860">
        <v>82652</v>
      </c>
      <c r="G2860">
        <v>3.19</v>
      </c>
      <c r="H2860" t="s">
        <v>10</v>
      </c>
      <c r="I2860" t="s">
        <v>11</v>
      </c>
    </row>
    <row r="2861" spans="1:9" hidden="1" x14ac:dyDescent="0.25">
      <c r="A2861" t="s">
        <v>24</v>
      </c>
      <c r="B2861" t="s">
        <v>164</v>
      </c>
      <c r="C2861">
        <v>202305</v>
      </c>
      <c r="D2861" t="str">
        <f t="shared" si="44"/>
        <v>2023</v>
      </c>
      <c r="E2861">
        <v>2349</v>
      </c>
      <c r="F2861">
        <v>82652</v>
      </c>
      <c r="G2861">
        <v>2.84</v>
      </c>
      <c r="H2861" t="s">
        <v>10</v>
      </c>
      <c r="I2861" t="s">
        <v>11</v>
      </c>
    </row>
    <row r="2862" spans="1:9" hidden="1" x14ac:dyDescent="0.25">
      <c r="A2862" t="s">
        <v>24</v>
      </c>
      <c r="B2862" t="s">
        <v>164</v>
      </c>
      <c r="C2862">
        <v>202306</v>
      </c>
      <c r="D2862" t="str">
        <f t="shared" si="44"/>
        <v>2023</v>
      </c>
      <c r="E2862">
        <v>2525</v>
      </c>
      <c r="F2862">
        <v>82652</v>
      </c>
      <c r="G2862">
        <v>3.05</v>
      </c>
      <c r="H2862" t="s">
        <v>10</v>
      </c>
      <c r="I2862" t="s">
        <v>11</v>
      </c>
    </row>
    <row r="2863" spans="1:9" hidden="1" x14ac:dyDescent="0.25">
      <c r="A2863" t="s">
        <v>24</v>
      </c>
      <c r="B2863" t="s">
        <v>164</v>
      </c>
      <c r="C2863">
        <v>202307</v>
      </c>
      <c r="D2863" t="str">
        <f t="shared" si="44"/>
        <v>2023</v>
      </c>
      <c r="E2863">
        <v>2649</v>
      </c>
      <c r="F2863">
        <v>82652</v>
      </c>
      <c r="G2863">
        <v>3.21</v>
      </c>
      <c r="H2863" t="s">
        <v>10</v>
      </c>
      <c r="I2863" t="s">
        <v>11</v>
      </c>
    </row>
    <row r="2864" spans="1:9" hidden="1" x14ac:dyDescent="0.25">
      <c r="A2864" t="s">
        <v>24</v>
      </c>
      <c r="B2864" t="s">
        <v>164</v>
      </c>
      <c r="C2864">
        <v>202308</v>
      </c>
      <c r="D2864" t="str">
        <f t="shared" si="44"/>
        <v>2023</v>
      </c>
      <c r="E2864">
        <v>2507</v>
      </c>
      <c r="F2864">
        <v>82652</v>
      </c>
      <c r="G2864">
        <v>3.03</v>
      </c>
      <c r="H2864" t="s">
        <v>10</v>
      </c>
      <c r="I2864" t="s">
        <v>11</v>
      </c>
    </row>
    <row r="2865" spans="1:9" hidden="1" x14ac:dyDescent="0.25">
      <c r="A2865" t="s">
        <v>24</v>
      </c>
      <c r="B2865" t="s">
        <v>164</v>
      </c>
      <c r="C2865">
        <v>202309</v>
      </c>
      <c r="D2865" t="str">
        <f t="shared" si="44"/>
        <v>2023</v>
      </c>
      <c r="E2865">
        <v>2346</v>
      </c>
      <c r="F2865">
        <v>82652</v>
      </c>
      <c r="G2865">
        <v>2.84</v>
      </c>
      <c r="H2865" t="s">
        <v>10</v>
      </c>
      <c r="I2865" t="s">
        <v>11</v>
      </c>
    </row>
    <row r="2866" spans="1:9" hidden="1" x14ac:dyDescent="0.25">
      <c r="A2866" t="s">
        <v>24</v>
      </c>
      <c r="B2866" t="s">
        <v>164</v>
      </c>
      <c r="C2866">
        <v>202310</v>
      </c>
      <c r="D2866" t="str">
        <f t="shared" si="44"/>
        <v>2023</v>
      </c>
      <c r="E2866">
        <v>2253</v>
      </c>
      <c r="F2866">
        <v>82652</v>
      </c>
      <c r="G2866">
        <v>2.73</v>
      </c>
      <c r="H2866" t="s">
        <v>10</v>
      </c>
      <c r="I2866" t="s">
        <v>11</v>
      </c>
    </row>
    <row r="2867" spans="1:9" hidden="1" x14ac:dyDescent="0.25">
      <c r="A2867" t="s">
        <v>24</v>
      </c>
      <c r="B2867" t="s">
        <v>164</v>
      </c>
      <c r="C2867">
        <v>202311</v>
      </c>
      <c r="D2867" t="str">
        <f t="shared" si="44"/>
        <v>2023</v>
      </c>
      <c r="E2867">
        <v>2561</v>
      </c>
      <c r="F2867">
        <v>82652</v>
      </c>
      <c r="G2867">
        <v>3.1</v>
      </c>
      <c r="H2867" t="s">
        <v>10</v>
      </c>
      <c r="I2867" t="s">
        <v>11</v>
      </c>
    </row>
    <row r="2868" spans="1:9" hidden="1" x14ac:dyDescent="0.25">
      <c r="A2868" t="s">
        <v>24</v>
      </c>
      <c r="B2868" t="s">
        <v>164</v>
      </c>
      <c r="C2868">
        <v>202312</v>
      </c>
      <c r="D2868" t="str">
        <f t="shared" si="44"/>
        <v>2023</v>
      </c>
      <c r="E2868">
        <v>2344</v>
      </c>
      <c r="F2868">
        <v>82652</v>
      </c>
      <c r="G2868">
        <v>2.84</v>
      </c>
      <c r="H2868" t="s">
        <v>10</v>
      </c>
      <c r="I2868" t="s">
        <v>11</v>
      </c>
    </row>
    <row r="2869" spans="1:9" hidden="1" x14ac:dyDescent="0.25">
      <c r="A2869" t="s">
        <v>24</v>
      </c>
      <c r="B2869" t="s">
        <v>164</v>
      </c>
      <c r="C2869">
        <v>202401</v>
      </c>
      <c r="D2869" t="str">
        <f t="shared" si="44"/>
        <v>2024</v>
      </c>
      <c r="E2869">
        <v>2694</v>
      </c>
      <c r="F2869">
        <v>82652</v>
      </c>
      <c r="G2869">
        <v>3.26</v>
      </c>
      <c r="H2869" t="s">
        <v>10</v>
      </c>
      <c r="I2869" t="s">
        <v>11</v>
      </c>
    </row>
    <row r="2870" spans="1:9" hidden="1" x14ac:dyDescent="0.25">
      <c r="A2870" t="s">
        <v>24</v>
      </c>
      <c r="B2870" t="s">
        <v>164</v>
      </c>
      <c r="C2870">
        <v>202402</v>
      </c>
      <c r="D2870" t="str">
        <f t="shared" si="44"/>
        <v>2024</v>
      </c>
      <c r="E2870">
        <v>3332</v>
      </c>
      <c r="F2870">
        <v>82652</v>
      </c>
      <c r="G2870">
        <v>4.03</v>
      </c>
      <c r="H2870" t="s">
        <v>10</v>
      </c>
      <c r="I2870" t="s">
        <v>11</v>
      </c>
    </row>
    <row r="2871" spans="1:9" hidden="1" x14ac:dyDescent="0.25">
      <c r="A2871" t="s">
        <v>24</v>
      </c>
      <c r="B2871" t="s">
        <v>164</v>
      </c>
      <c r="C2871">
        <v>202403</v>
      </c>
      <c r="D2871" t="str">
        <f t="shared" si="44"/>
        <v>2024</v>
      </c>
      <c r="E2871">
        <v>2937</v>
      </c>
      <c r="F2871">
        <v>82652</v>
      </c>
      <c r="G2871">
        <v>3.55</v>
      </c>
      <c r="H2871" t="s">
        <v>10</v>
      </c>
      <c r="I2871" t="s">
        <v>11</v>
      </c>
    </row>
    <row r="2872" spans="1:9" hidden="1" x14ac:dyDescent="0.25">
      <c r="A2872" t="s">
        <v>24</v>
      </c>
      <c r="B2872" t="s">
        <v>164</v>
      </c>
      <c r="C2872">
        <v>202404</v>
      </c>
      <c r="D2872" t="str">
        <f t="shared" si="44"/>
        <v>2024</v>
      </c>
      <c r="E2872">
        <v>3376</v>
      </c>
      <c r="F2872">
        <v>82652</v>
      </c>
      <c r="G2872">
        <v>4.08</v>
      </c>
      <c r="H2872" t="s">
        <v>10</v>
      </c>
      <c r="I2872" t="s">
        <v>11</v>
      </c>
    </row>
    <row r="2873" spans="1:9" hidden="1" x14ac:dyDescent="0.25">
      <c r="A2873" t="s">
        <v>24</v>
      </c>
      <c r="B2873" t="s">
        <v>164</v>
      </c>
      <c r="C2873">
        <v>202405</v>
      </c>
      <c r="D2873" t="str">
        <f t="shared" si="44"/>
        <v>2024</v>
      </c>
      <c r="E2873">
        <v>3223</v>
      </c>
      <c r="F2873">
        <v>82652</v>
      </c>
      <c r="G2873">
        <v>3.9</v>
      </c>
      <c r="H2873" t="s">
        <v>10</v>
      </c>
      <c r="I2873" t="s">
        <v>11</v>
      </c>
    </row>
    <row r="2874" spans="1:9" hidden="1" x14ac:dyDescent="0.25">
      <c r="A2874" t="s">
        <v>24</v>
      </c>
      <c r="B2874" t="s">
        <v>164</v>
      </c>
      <c r="C2874">
        <v>202406</v>
      </c>
      <c r="D2874" t="str">
        <f t="shared" si="44"/>
        <v>2024</v>
      </c>
      <c r="E2874">
        <v>2914</v>
      </c>
      <c r="F2874">
        <v>82652</v>
      </c>
      <c r="G2874">
        <v>3.53</v>
      </c>
      <c r="H2874" t="s">
        <v>10</v>
      </c>
      <c r="I2874" t="s">
        <v>11</v>
      </c>
    </row>
    <row r="2875" spans="1:9" hidden="1" x14ac:dyDescent="0.25">
      <c r="A2875" t="s">
        <v>24</v>
      </c>
      <c r="B2875" t="s">
        <v>164</v>
      </c>
      <c r="C2875">
        <v>202407</v>
      </c>
      <c r="D2875" t="str">
        <f t="shared" si="44"/>
        <v>2024</v>
      </c>
      <c r="E2875">
        <v>2825</v>
      </c>
      <c r="F2875">
        <v>82652</v>
      </c>
      <c r="G2875">
        <v>3.42</v>
      </c>
      <c r="H2875" t="s">
        <v>10</v>
      </c>
      <c r="I2875" t="s">
        <v>11</v>
      </c>
    </row>
    <row r="2876" spans="1:9" hidden="1" x14ac:dyDescent="0.25">
      <c r="A2876" t="s">
        <v>24</v>
      </c>
      <c r="B2876" t="s">
        <v>164</v>
      </c>
      <c r="C2876">
        <v>202408</v>
      </c>
      <c r="D2876" t="str">
        <f t="shared" si="44"/>
        <v>2024</v>
      </c>
      <c r="E2876">
        <v>2902</v>
      </c>
      <c r="F2876">
        <v>82652</v>
      </c>
      <c r="G2876">
        <v>3.51</v>
      </c>
      <c r="H2876" t="s">
        <v>10</v>
      </c>
      <c r="I2876" t="s">
        <v>11</v>
      </c>
    </row>
    <row r="2877" spans="1:9" hidden="1" x14ac:dyDescent="0.25">
      <c r="A2877" t="s">
        <v>24</v>
      </c>
      <c r="B2877" t="s">
        <v>164</v>
      </c>
      <c r="C2877">
        <v>202409</v>
      </c>
      <c r="D2877" t="str">
        <f t="shared" si="44"/>
        <v>2024</v>
      </c>
      <c r="E2877">
        <v>3044</v>
      </c>
      <c r="F2877">
        <v>82652</v>
      </c>
      <c r="G2877">
        <v>3.68</v>
      </c>
      <c r="H2877" t="s">
        <v>10</v>
      </c>
      <c r="I2877" t="s">
        <v>11</v>
      </c>
    </row>
    <row r="2878" spans="1:9" hidden="1" x14ac:dyDescent="0.25">
      <c r="A2878" t="s">
        <v>24</v>
      </c>
      <c r="B2878" t="s">
        <v>164</v>
      </c>
      <c r="C2878">
        <v>202410</v>
      </c>
      <c r="D2878" t="str">
        <f t="shared" si="44"/>
        <v>2024</v>
      </c>
      <c r="E2878">
        <v>2940</v>
      </c>
      <c r="F2878">
        <v>82652</v>
      </c>
      <c r="G2878">
        <v>3.56</v>
      </c>
      <c r="H2878" t="s">
        <v>10</v>
      </c>
      <c r="I2878" t="s">
        <v>11</v>
      </c>
    </row>
    <row r="2879" spans="1:9" hidden="1" x14ac:dyDescent="0.25">
      <c r="A2879" t="s">
        <v>24</v>
      </c>
      <c r="B2879" t="s">
        <v>164</v>
      </c>
      <c r="C2879">
        <v>202411</v>
      </c>
      <c r="D2879" t="str">
        <f t="shared" si="44"/>
        <v>2024</v>
      </c>
      <c r="E2879">
        <v>1450</v>
      </c>
      <c r="F2879">
        <v>82652</v>
      </c>
      <c r="G2879">
        <v>1.75</v>
      </c>
      <c r="H2879" t="s">
        <v>10</v>
      </c>
      <c r="I2879" t="s">
        <v>11</v>
      </c>
    </row>
    <row r="2880" spans="1:9" hidden="1" x14ac:dyDescent="0.25">
      <c r="A2880" t="s">
        <v>24</v>
      </c>
      <c r="B2880" t="s">
        <v>172</v>
      </c>
      <c r="C2880">
        <v>202301</v>
      </c>
      <c r="D2880" t="str">
        <f t="shared" si="44"/>
        <v>2023</v>
      </c>
      <c r="E2880">
        <v>1778</v>
      </c>
      <c r="F2880">
        <v>63012</v>
      </c>
      <c r="G2880">
        <v>2.82</v>
      </c>
      <c r="H2880" t="s">
        <v>10</v>
      </c>
      <c r="I2880" t="s">
        <v>11</v>
      </c>
    </row>
    <row r="2881" spans="1:9" hidden="1" x14ac:dyDescent="0.25">
      <c r="A2881" t="s">
        <v>24</v>
      </c>
      <c r="B2881" t="s">
        <v>172</v>
      </c>
      <c r="C2881">
        <v>202302</v>
      </c>
      <c r="D2881" t="str">
        <f t="shared" si="44"/>
        <v>2023</v>
      </c>
      <c r="E2881">
        <v>2440</v>
      </c>
      <c r="F2881">
        <v>63012</v>
      </c>
      <c r="G2881">
        <v>3.87</v>
      </c>
      <c r="H2881" t="s">
        <v>10</v>
      </c>
      <c r="I2881" t="s">
        <v>11</v>
      </c>
    </row>
    <row r="2882" spans="1:9" hidden="1" x14ac:dyDescent="0.25">
      <c r="A2882" t="s">
        <v>24</v>
      </c>
      <c r="B2882" t="s">
        <v>172</v>
      </c>
      <c r="C2882">
        <v>202303</v>
      </c>
      <c r="D2882" t="str">
        <f t="shared" si="44"/>
        <v>2023</v>
      </c>
      <c r="E2882">
        <v>2531</v>
      </c>
      <c r="F2882">
        <v>63012</v>
      </c>
      <c r="G2882">
        <v>4.0199999999999996</v>
      </c>
      <c r="H2882" t="s">
        <v>10</v>
      </c>
      <c r="I2882" t="s">
        <v>11</v>
      </c>
    </row>
    <row r="2883" spans="1:9" hidden="1" x14ac:dyDescent="0.25">
      <c r="A2883" t="s">
        <v>24</v>
      </c>
      <c r="B2883" t="s">
        <v>172</v>
      </c>
      <c r="C2883">
        <v>202304</v>
      </c>
      <c r="D2883" t="str">
        <f t="shared" ref="D2883:D2946" si="45">LEFT(C2883,4)</f>
        <v>2023</v>
      </c>
      <c r="E2883">
        <v>2633</v>
      </c>
      <c r="F2883">
        <v>63012</v>
      </c>
      <c r="G2883">
        <v>4.18</v>
      </c>
      <c r="H2883" t="s">
        <v>10</v>
      </c>
      <c r="I2883" t="s">
        <v>11</v>
      </c>
    </row>
    <row r="2884" spans="1:9" hidden="1" x14ac:dyDescent="0.25">
      <c r="A2884" t="s">
        <v>24</v>
      </c>
      <c r="B2884" t="s">
        <v>172</v>
      </c>
      <c r="C2884">
        <v>202305</v>
      </c>
      <c r="D2884" t="str">
        <f t="shared" si="45"/>
        <v>2023</v>
      </c>
      <c r="E2884">
        <v>2295</v>
      </c>
      <c r="F2884">
        <v>63012</v>
      </c>
      <c r="G2884">
        <v>3.64</v>
      </c>
      <c r="H2884" t="s">
        <v>10</v>
      </c>
      <c r="I2884" t="s">
        <v>11</v>
      </c>
    </row>
    <row r="2885" spans="1:9" hidden="1" x14ac:dyDescent="0.25">
      <c r="A2885" t="s">
        <v>24</v>
      </c>
      <c r="B2885" t="s">
        <v>172</v>
      </c>
      <c r="C2885">
        <v>202306</v>
      </c>
      <c r="D2885" t="str">
        <f t="shared" si="45"/>
        <v>2023</v>
      </c>
      <c r="E2885">
        <v>2508</v>
      </c>
      <c r="F2885">
        <v>63012</v>
      </c>
      <c r="G2885">
        <v>3.98</v>
      </c>
      <c r="H2885" t="s">
        <v>10</v>
      </c>
      <c r="I2885" t="s">
        <v>11</v>
      </c>
    </row>
    <row r="2886" spans="1:9" hidden="1" x14ac:dyDescent="0.25">
      <c r="A2886" t="s">
        <v>24</v>
      </c>
      <c r="B2886" t="s">
        <v>172</v>
      </c>
      <c r="C2886">
        <v>202307</v>
      </c>
      <c r="D2886" t="str">
        <f t="shared" si="45"/>
        <v>2023</v>
      </c>
      <c r="E2886">
        <v>2640</v>
      </c>
      <c r="F2886">
        <v>63012</v>
      </c>
      <c r="G2886">
        <v>4.1900000000000004</v>
      </c>
      <c r="H2886" t="s">
        <v>10</v>
      </c>
      <c r="I2886" t="s">
        <v>11</v>
      </c>
    </row>
    <row r="2887" spans="1:9" hidden="1" x14ac:dyDescent="0.25">
      <c r="A2887" t="s">
        <v>24</v>
      </c>
      <c r="B2887" t="s">
        <v>172</v>
      </c>
      <c r="C2887">
        <v>202308</v>
      </c>
      <c r="D2887" t="str">
        <f t="shared" si="45"/>
        <v>2023</v>
      </c>
      <c r="E2887">
        <v>2481</v>
      </c>
      <c r="F2887">
        <v>63012</v>
      </c>
      <c r="G2887">
        <v>3.94</v>
      </c>
      <c r="H2887" t="s">
        <v>10</v>
      </c>
      <c r="I2887" t="s">
        <v>11</v>
      </c>
    </row>
    <row r="2888" spans="1:9" hidden="1" x14ac:dyDescent="0.25">
      <c r="A2888" t="s">
        <v>24</v>
      </c>
      <c r="B2888" t="s">
        <v>172</v>
      </c>
      <c r="C2888">
        <v>202309</v>
      </c>
      <c r="D2888" t="str">
        <f t="shared" si="45"/>
        <v>2023</v>
      </c>
      <c r="E2888">
        <v>2334</v>
      </c>
      <c r="F2888">
        <v>63012</v>
      </c>
      <c r="G2888">
        <v>3.7</v>
      </c>
      <c r="H2888" t="s">
        <v>10</v>
      </c>
      <c r="I2888" t="s">
        <v>11</v>
      </c>
    </row>
    <row r="2889" spans="1:9" hidden="1" x14ac:dyDescent="0.25">
      <c r="A2889" t="s">
        <v>24</v>
      </c>
      <c r="B2889" t="s">
        <v>172</v>
      </c>
      <c r="C2889">
        <v>202310</v>
      </c>
      <c r="D2889" t="str">
        <f t="shared" si="45"/>
        <v>2023</v>
      </c>
      <c r="E2889">
        <v>2236</v>
      </c>
      <c r="F2889">
        <v>63012</v>
      </c>
      <c r="G2889">
        <v>3.55</v>
      </c>
      <c r="H2889" t="s">
        <v>10</v>
      </c>
      <c r="I2889" t="s">
        <v>11</v>
      </c>
    </row>
    <row r="2890" spans="1:9" hidden="1" x14ac:dyDescent="0.25">
      <c r="A2890" t="s">
        <v>24</v>
      </c>
      <c r="B2890" t="s">
        <v>172</v>
      </c>
      <c r="C2890">
        <v>202311</v>
      </c>
      <c r="D2890" t="str">
        <f t="shared" si="45"/>
        <v>2023</v>
      </c>
      <c r="E2890">
        <v>2567</v>
      </c>
      <c r="F2890">
        <v>63012</v>
      </c>
      <c r="G2890">
        <v>4.07</v>
      </c>
      <c r="H2890" t="s">
        <v>10</v>
      </c>
      <c r="I2890" t="s">
        <v>11</v>
      </c>
    </row>
    <row r="2891" spans="1:9" hidden="1" x14ac:dyDescent="0.25">
      <c r="A2891" t="s">
        <v>24</v>
      </c>
      <c r="B2891" t="s">
        <v>172</v>
      </c>
      <c r="C2891">
        <v>202312</v>
      </c>
      <c r="D2891" t="str">
        <f t="shared" si="45"/>
        <v>2023</v>
      </c>
      <c r="E2891">
        <v>2326</v>
      </c>
      <c r="F2891">
        <v>63012</v>
      </c>
      <c r="G2891">
        <v>3.69</v>
      </c>
      <c r="H2891" t="s">
        <v>10</v>
      </c>
      <c r="I2891" t="s">
        <v>11</v>
      </c>
    </row>
    <row r="2892" spans="1:9" hidden="1" x14ac:dyDescent="0.25">
      <c r="A2892" t="s">
        <v>24</v>
      </c>
      <c r="B2892" t="s">
        <v>172</v>
      </c>
      <c r="C2892">
        <v>202401</v>
      </c>
      <c r="D2892" t="str">
        <f t="shared" si="45"/>
        <v>2024</v>
      </c>
      <c r="E2892">
        <v>2625</v>
      </c>
      <c r="F2892">
        <v>63012</v>
      </c>
      <c r="G2892">
        <v>4.17</v>
      </c>
      <c r="H2892" t="s">
        <v>10</v>
      </c>
      <c r="I2892" t="s">
        <v>11</v>
      </c>
    </row>
    <row r="2893" spans="1:9" hidden="1" x14ac:dyDescent="0.25">
      <c r="A2893" t="s">
        <v>24</v>
      </c>
      <c r="B2893" t="s">
        <v>172</v>
      </c>
      <c r="C2893">
        <v>202402</v>
      </c>
      <c r="D2893" t="str">
        <f t="shared" si="45"/>
        <v>2024</v>
      </c>
      <c r="E2893">
        <v>3336</v>
      </c>
      <c r="F2893">
        <v>63012</v>
      </c>
      <c r="G2893">
        <v>5.29</v>
      </c>
      <c r="H2893" t="s">
        <v>10</v>
      </c>
      <c r="I2893" t="s">
        <v>11</v>
      </c>
    </row>
    <row r="2894" spans="1:9" hidden="1" x14ac:dyDescent="0.25">
      <c r="A2894" t="s">
        <v>24</v>
      </c>
      <c r="B2894" t="s">
        <v>172</v>
      </c>
      <c r="C2894">
        <v>202403</v>
      </c>
      <c r="D2894" t="str">
        <f t="shared" si="45"/>
        <v>2024</v>
      </c>
      <c r="E2894">
        <v>2863</v>
      </c>
      <c r="F2894">
        <v>63012</v>
      </c>
      <c r="G2894">
        <v>4.54</v>
      </c>
      <c r="H2894" t="s">
        <v>10</v>
      </c>
      <c r="I2894" t="s">
        <v>11</v>
      </c>
    </row>
    <row r="2895" spans="1:9" hidden="1" x14ac:dyDescent="0.25">
      <c r="A2895" t="s">
        <v>24</v>
      </c>
      <c r="B2895" t="s">
        <v>172</v>
      </c>
      <c r="C2895">
        <v>202404</v>
      </c>
      <c r="D2895" t="str">
        <f t="shared" si="45"/>
        <v>2024</v>
      </c>
      <c r="E2895">
        <v>3349</v>
      </c>
      <c r="F2895">
        <v>63012</v>
      </c>
      <c r="G2895">
        <v>5.31</v>
      </c>
      <c r="H2895" t="s">
        <v>10</v>
      </c>
      <c r="I2895" t="s">
        <v>11</v>
      </c>
    </row>
    <row r="2896" spans="1:9" hidden="1" x14ac:dyDescent="0.25">
      <c r="A2896" t="s">
        <v>24</v>
      </c>
      <c r="B2896" t="s">
        <v>172</v>
      </c>
      <c r="C2896">
        <v>202405</v>
      </c>
      <c r="D2896" t="str">
        <f t="shared" si="45"/>
        <v>2024</v>
      </c>
      <c r="E2896">
        <v>3228</v>
      </c>
      <c r="F2896">
        <v>63012</v>
      </c>
      <c r="G2896">
        <v>5.12</v>
      </c>
      <c r="H2896" t="s">
        <v>10</v>
      </c>
      <c r="I2896" t="s">
        <v>11</v>
      </c>
    </row>
    <row r="2897" spans="1:9" hidden="1" x14ac:dyDescent="0.25">
      <c r="A2897" t="s">
        <v>24</v>
      </c>
      <c r="B2897" t="s">
        <v>172</v>
      </c>
      <c r="C2897">
        <v>202406</v>
      </c>
      <c r="D2897" t="str">
        <f t="shared" si="45"/>
        <v>2024</v>
      </c>
      <c r="E2897">
        <v>2900</v>
      </c>
      <c r="F2897">
        <v>63012</v>
      </c>
      <c r="G2897">
        <v>4.5999999999999996</v>
      </c>
      <c r="H2897" t="s">
        <v>10</v>
      </c>
      <c r="I2897" t="s">
        <v>11</v>
      </c>
    </row>
    <row r="2898" spans="1:9" hidden="1" x14ac:dyDescent="0.25">
      <c r="A2898" t="s">
        <v>24</v>
      </c>
      <c r="B2898" t="s">
        <v>172</v>
      </c>
      <c r="C2898">
        <v>202407</v>
      </c>
      <c r="D2898" t="str">
        <f t="shared" si="45"/>
        <v>2024</v>
      </c>
      <c r="E2898">
        <v>2831</v>
      </c>
      <c r="F2898">
        <v>63012</v>
      </c>
      <c r="G2898">
        <v>4.49</v>
      </c>
      <c r="H2898" t="s">
        <v>10</v>
      </c>
      <c r="I2898" t="s">
        <v>11</v>
      </c>
    </row>
    <row r="2899" spans="1:9" hidden="1" x14ac:dyDescent="0.25">
      <c r="A2899" t="s">
        <v>24</v>
      </c>
      <c r="B2899" t="s">
        <v>172</v>
      </c>
      <c r="C2899">
        <v>202408</v>
      </c>
      <c r="D2899" t="str">
        <f t="shared" si="45"/>
        <v>2024</v>
      </c>
      <c r="E2899">
        <v>2915</v>
      </c>
      <c r="F2899">
        <v>63012</v>
      </c>
      <c r="G2899">
        <v>4.63</v>
      </c>
      <c r="H2899" t="s">
        <v>10</v>
      </c>
      <c r="I2899" t="s">
        <v>11</v>
      </c>
    </row>
    <row r="2900" spans="1:9" hidden="1" x14ac:dyDescent="0.25">
      <c r="A2900" t="s">
        <v>24</v>
      </c>
      <c r="B2900" t="s">
        <v>172</v>
      </c>
      <c r="C2900">
        <v>202409</v>
      </c>
      <c r="D2900" t="str">
        <f t="shared" si="45"/>
        <v>2024</v>
      </c>
      <c r="E2900">
        <v>3110</v>
      </c>
      <c r="F2900">
        <v>63012</v>
      </c>
      <c r="G2900">
        <v>4.9400000000000004</v>
      </c>
      <c r="H2900" t="s">
        <v>10</v>
      </c>
      <c r="I2900" t="s">
        <v>11</v>
      </c>
    </row>
    <row r="2901" spans="1:9" hidden="1" x14ac:dyDescent="0.25">
      <c r="A2901" t="s">
        <v>24</v>
      </c>
      <c r="B2901" t="s">
        <v>172</v>
      </c>
      <c r="C2901">
        <v>202410</v>
      </c>
      <c r="D2901" t="str">
        <f t="shared" si="45"/>
        <v>2024</v>
      </c>
      <c r="E2901">
        <v>3083</v>
      </c>
      <c r="F2901">
        <v>63012</v>
      </c>
      <c r="G2901">
        <v>4.8899999999999997</v>
      </c>
      <c r="H2901" t="s">
        <v>10</v>
      </c>
      <c r="I2901" t="s">
        <v>11</v>
      </c>
    </row>
    <row r="2902" spans="1:9" hidden="1" x14ac:dyDescent="0.25">
      <c r="A2902" t="s">
        <v>24</v>
      </c>
      <c r="B2902" t="s">
        <v>172</v>
      </c>
      <c r="C2902">
        <v>202411</v>
      </c>
      <c r="D2902" t="str">
        <f t="shared" si="45"/>
        <v>2024</v>
      </c>
      <c r="E2902">
        <v>2706</v>
      </c>
      <c r="F2902">
        <v>63012</v>
      </c>
      <c r="G2902">
        <v>4.29</v>
      </c>
      <c r="H2902" t="s">
        <v>10</v>
      </c>
      <c r="I2902" t="s">
        <v>11</v>
      </c>
    </row>
    <row r="2903" spans="1:9" hidden="1" x14ac:dyDescent="0.25">
      <c r="A2903" t="s">
        <v>24</v>
      </c>
      <c r="B2903" t="s">
        <v>172</v>
      </c>
      <c r="C2903">
        <v>202412</v>
      </c>
      <c r="D2903" t="str">
        <f t="shared" si="45"/>
        <v>2024</v>
      </c>
      <c r="E2903">
        <v>1297</v>
      </c>
      <c r="F2903">
        <v>63012</v>
      </c>
      <c r="G2903">
        <v>2.06</v>
      </c>
      <c r="H2903" t="s">
        <v>10</v>
      </c>
      <c r="I2903" t="s">
        <v>11</v>
      </c>
    </row>
    <row r="2904" spans="1:9" hidden="1" x14ac:dyDescent="0.25">
      <c r="A2904" t="s">
        <v>24</v>
      </c>
      <c r="B2904" t="s">
        <v>175</v>
      </c>
      <c r="C2904">
        <v>202301</v>
      </c>
      <c r="D2904" t="str">
        <f t="shared" si="45"/>
        <v>2023</v>
      </c>
      <c r="E2904">
        <v>1798</v>
      </c>
      <c r="F2904">
        <v>64444</v>
      </c>
      <c r="G2904">
        <v>2.79</v>
      </c>
      <c r="H2904" t="s">
        <v>10</v>
      </c>
      <c r="I2904" t="s">
        <v>11</v>
      </c>
    </row>
    <row r="2905" spans="1:9" hidden="1" x14ac:dyDescent="0.25">
      <c r="A2905" t="s">
        <v>24</v>
      </c>
      <c r="B2905" t="s">
        <v>175</v>
      </c>
      <c r="C2905">
        <v>202302</v>
      </c>
      <c r="D2905" t="str">
        <f t="shared" si="45"/>
        <v>2023</v>
      </c>
      <c r="E2905">
        <v>2476</v>
      </c>
      <c r="F2905">
        <v>64444</v>
      </c>
      <c r="G2905">
        <v>3.84</v>
      </c>
      <c r="H2905" t="s">
        <v>10</v>
      </c>
      <c r="I2905" t="s">
        <v>11</v>
      </c>
    </row>
    <row r="2906" spans="1:9" hidden="1" x14ac:dyDescent="0.25">
      <c r="A2906" t="s">
        <v>24</v>
      </c>
      <c r="B2906" t="s">
        <v>175</v>
      </c>
      <c r="C2906">
        <v>202303</v>
      </c>
      <c r="D2906" t="str">
        <f t="shared" si="45"/>
        <v>2023</v>
      </c>
      <c r="E2906">
        <v>2545</v>
      </c>
      <c r="F2906">
        <v>64444</v>
      </c>
      <c r="G2906">
        <v>3.95</v>
      </c>
      <c r="H2906" t="s">
        <v>10</v>
      </c>
      <c r="I2906" t="s">
        <v>11</v>
      </c>
    </row>
    <row r="2907" spans="1:9" hidden="1" x14ac:dyDescent="0.25">
      <c r="A2907" t="s">
        <v>24</v>
      </c>
      <c r="B2907" t="s">
        <v>175</v>
      </c>
      <c r="C2907">
        <v>202304</v>
      </c>
      <c r="D2907" t="str">
        <f t="shared" si="45"/>
        <v>2023</v>
      </c>
      <c r="E2907">
        <v>2657</v>
      </c>
      <c r="F2907">
        <v>64444</v>
      </c>
      <c r="G2907">
        <v>4.12</v>
      </c>
      <c r="H2907" t="s">
        <v>10</v>
      </c>
      <c r="I2907" t="s">
        <v>11</v>
      </c>
    </row>
    <row r="2908" spans="1:9" hidden="1" x14ac:dyDescent="0.25">
      <c r="A2908" t="s">
        <v>24</v>
      </c>
      <c r="B2908" t="s">
        <v>175</v>
      </c>
      <c r="C2908">
        <v>202305</v>
      </c>
      <c r="D2908" t="str">
        <f t="shared" si="45"/>
        <v>2023</v>
      </c>
      <c r="E2908">
        <v>2306</v>
      </c>
      <c r="F2908">
        <v>64444</v>
      </c>
      <c r="G2908">
        <v>3.58</v>
      </c>
      <c r="H2908" t="s">
        <v>10</v>
      </c>
      <c r="I2908" t="s">
        <v>11</v>
      </c>
    </row>
    <row r="2909" spans="1:9" hidden="1" x14ac:dyDescent="0.25">
      <c r="A2909" t="s">
        <v>24</v>
      </c>
      <c r="B2909" t="s">
        <v>175</v>
      </c>
      <c r="C2909">
        <v>202306</v>
      </c>
      <c r="D2909" t="str">
        <f t="shared" si="45"/>
        <v>2023</v>
      </c>
      <c r="E2909">
        <v>2478</v>
      </c>
      <c r="F2909">
        <v>64444</v>
      </c>
      <c r="G2909">
        <v>3.85</v>
      </c>
      <c r="H2909" t="s">
        <v>10</v>
      </c>
      <c r="I2909" t="s">
        <v>11</v>
      </c>
    </row>
    <row r="2910" spans="1:9" hidden="1" x14ac:dyDescent="0.25">
      <c r="A2910" t="s">
        <v>24</v>
      </c>
      <c r="B2910" t="s">
        <v>175</v>
      </c>
      <c r="C2910">
        <v>202307</v>
      </c>
      <c r="D2910" t="str">
        <f t="shared" si="45"/>
        <v>2023</v>
      </c>
      <c r="E2910">
        <v>2658</v>
      </c>
      <c r="F2910">
        <v>64444</v>
      </c>
      <c r="G2910">
        <v>4.12</v>
      </c>
      <c r="H2910" t="s">
        <v>10</v>
      </c>
      <c r="I2910" t="s">
        <v>11</v>
      </c>
    </row>
    <row r="2911" spans="1:9" hidden="1" x14ac:dyDescent="0.25">
      <c r="A2911" t="s">
        <v>24</v>
      </c>
      <c r="B2911" t="s">
        <v>175</v>
      </c>
      <c r="C2911">
        <v>202308</v>
      </c>
      <c r="D2911" t="str">
        <f t="shared" si="45"/>
        <v>2023</v>
      </c>
      <c r="E2911">
        <v>2468</v>
      </c>
      <c r="F2911">
        <v>64444</v>
      </c>
      <c r="G2911">
        <v>3.83</v>
      </c>
      <c r="H2911" t="s">
        <v>10</v>
      </c>
      <c r="I2911" t="s">
        <v>11</v>
      </c>
    </row>
    <row r="2912" spans="1:9" hidden="1" x14ac:dyDescent="0.25">
      <c r="A2912" t="s">
        <v>24</v>
      </c>
      <c r="B2912" t="s">
        <v>175</v>
      </c>
      <c r="C2912">
        <v>202309</v>
      </c>
      <c r="D2912" t="str">
        <f t="shared" si="45"/>
        <v>2023</v>
      </c>
      <c r="E2912">
        <v>2325</v>
      </c>
      <c r="F2912">
        <v>64444</v>
      </c>
      <c r="G2912">
        <v>3.61</v>
      </c>
      <c r="H2912" t="s">
        <v>10</v>
      </c>
      <c r="I2912" t="s">
        <v>11</v>
      </c>
    </row>
    <row r="2913" spans="1:9" hidden="1" x14ac:dyDescent="0.25">
      <c r="A2913" t="s">
        <v>24</v>
      </c>
      <c r="B2913" t="s">
        <v>175</v>
      </c>
      <c r="C2913">
        <v>202310</v>
      </c>
      <c r="D2913" t="str">
        <f t="shared" si="45"/>
        <v>2023</v>
      </c>
      <c r="E2913">
        <v>2193</v>
      </c>
      <c r="F2913">
        <v>64444</v>
      </c>
      <c r="G2913">
        <v>3.4</v>
      </c>
      <c r="H2913" t="s">
        <v>10</v>
      </c>
      <c r="I2913" t="s">
        <v>11</v>
      </c>
    </row>
    <row r="2914" spans="1:9" hidden="1" x14ac:dyDescent="0.25">
      <c r="A2914" t="s">
        <v>24</v>
      </c>
      <c r="B2914" t="s">
        <v>175</v>
      </c>
      <c r="C2914">
        <v>202311</v>
      </c>
      <c r="D2914" t="str">
        <f t="shared" si="45"/>
        <v>2023</v>
      </c>
      <c r="E2914">
        <v>2532</v>
      </c>
      <c r="F2914">
        <v>64444</v>
      </c>
      <c r="G2914">
        <v>3.93</v>
      </c>
      <c r="H2914" t="s">
        <v>10</v>
      </c>
      <c r="I2914" t="s">
        <v>11</v>
      </c>
    </row>
    <row r="2915" spans="1:9" hidden="1" x14ac:dyDescent="0.25">
      <c r="A2915" t="s">
        <v>24</v>
      </c>
      <c r="B2915" t="s">
        <v>175</v>
      </c>
      <c r="C2915">
        <v>202312</v>
      </c>
      <c r="D2915" t="str">
        <f t="shared" si="45"/>
        <v>2023</v>
      </c>
      <c r="E2915">
        <v>2339</v>
      </c>
      <c r="F2915">
        <v>64444</v>
      </c>
      <c r="G2915">
        <v>3.63</v>
      </c>
      <c r="H2915" t="s">
        <v>10</v>
      </c>
      <c r="I2915" t="s">
        <v>11</v>
      </c>
    </row>
    <row r="2916" spans="1:9" hidden="1" x14ac:dyDescent="0.25">
      <c r="A2916" t="s">
        <v>24</v>
      </c>
      <c r="B2916" t="s">
        <v>175</v>
      </c>
      <c r="C2916">
        <v>202401</v>
      </c>
      <c r="D2916" t="str">
        <f t="shared" si="45"/>
        <v>2024</v>
      </c>
      <c r="E2916">
        <v>2597</v>
      </c>
      <c r="F2916">
        <v>64444</v>
      </c>
      <c r="G2916">
        <v>4.03</v>
      </c>
      <c r="H2916" t="s">
        <v>10</v>
      </c>
      <c r="I2916" t="s">
        <v>11</v>
      </c>
    </row>
    <row r="2917" spans="1:9" hidden="1" x14ac:dyDescent="0.25">
      <c r="A2917" t="s">
        <v>24</v>
      </c>
      <c r="B2917" t="s">
        <v>175</v>
      </c>
      <c r="C2917">
        <v>202402</v>
      </c>
      <c r="D2917" t="str">
        <f t="shared" si="45"/>
        <v>2024</v>
      </c>
      <c r="E2917">
        <v>3343</v>
      </c>
      <c r="F2917">
        <v>64444</v>
      </c>
      <c r="G2917">
        <v>5.19</v>
      </c>
      <c r="H2917" t="s">
        <v>10</v>
      </c>
      <c r="I2917" t="s">
        <v>11</v>
      </c>
    </row>
    <row r="2918" spans="1:9" hidden="1" x14ac:dyDescent="0.25">
      <c r="A2918" t="s">
        <v>24</v>
      </c>
      <c r="B2918" t="s">
        <v>175</v>
      </c>
      <c r="C2918">
        <v>202403</v>
      </c>
      <c r="D2918" t="str">
        <f t="shared" si="45"/>
        <v>2024</v>
      </c>
      <c r="E2918">
        <v>2852</v>
      </c>
      <c r="F2918">
        <v>64444</v>
      </c>
      <c r="G2918">
        <v>4.43</v>
      </c>
      <c r="H2918" t="s">
        <v>10</v>
      </c>
      <c r="I2918" t="s">
        <v>11</v>
      </c>
    </row>
    <row r="2919" spans="1:9" hidden="1" x14ac:dyDescent="0.25">
      <c r="A2919" t="s">
        <v>24</v>
      </c>
      <c r="B2919" t="s">
        <v>175</v>
      </c>
      <c r="C2919">
        <v>202404</v>
      </c>
      <c r="D2919" t="str">
        <f t="shared" si="45"/>
        <v>2024</v>
      </c>
      <c r="E2919">
        <v>3265</v>
      </c>
      <c r="F2919">
        <v>64444</v>
      </c>
      <c r="G2919">
        <v>5.07</v>
      </c>
      <c r="H2919" t="s">
        <v>10</v>
      </c>
      <c r="I2919" t="s">
        <v>11</v>
      </c>
    </row>
    <row r="2920" spans="1:9" hidden="1" x14ac:dyDescent="0.25">
      <c r="A2920" t="s">
        <v>24</v>
      </c>
      <c r="B2920" t="s">
        <v>175</v>
      </c>
      <c r="C2920">
        <v>202405</v>
      </c>
      <c r="D2920" t="str">
        <f t="shared" si="45"/>
        <v>2024</v>
      </c>
      <c r="E2920">
        <v>3214</v>
      </c>
      <c r="F2920">
        <v>64444</v>
      </c>
      <c r="G2920">
        <v>4.99</v>
      </c>
      <c r="H2920" t="s">
        <v>10</v>
      </c>
      <c r="I2920" t="s">
        <v>11</v>
      </c>
    </row>
    <row r="2921" spans="1:9" hidden="1" x14ac:dyDescent="0.25">
      <c r="A2921" t="s">
        <v>24</v>
      </c>
      <c r="B2921" t="s">
        <v>175</v>
      </c>
      <c r="C2921">
        <v>202406</v>
      </c>
      <c r="D2921" t="str">
        <f t="shared" si="45"/>
        <v>2024</v>
      </c>
      <c r="E2921">
        <v>2826</v>
      </c>
      <c r="F2921">
        <v>64444</v>
      </c>
      <c r="G2921">
        <v>4.3899999999999997</v>
      </c>
      <c r="H2921" t="s">
        <v>10</v>
      </c>
      <c r="I2921" t="s">
        <v>11</v>
      </c>
    </row>
    <row r="2922" spans="1:9" hidden="1" x14ac:dyDescent="0.25">
      <c r="A2922" t="s">
        <v>24</v>
      </c>
      <c r="B2922" t="s">
        <v>175</v>
      </c>
      <c r="C2922">
        <v>202407</v>
      </c>
      <c r="D2922" t="str">
        <f t="shared" si="45"/>
        <v>2024</v>
      </c>
      <c r="E2922">
        <v>2747</v>
      </c>
      <c r="F2922">
        <v>64444</v>
      </c>
      <c r="G2922">
        <v>4.26</v>
      </c>
      <c r="H2922" t="s">
        <v>10</v>
      </c>
      <c r="I2922" t="s">
        <v>11</v>
      </c>
    </row>
    <row r="2923" spans="1:9" hidden="1" x14ac:dyDescent="0.25">
      <c r="A2923" t="s">
        <v>24</v>
      </c>
      <c r="B2923" t="s">
        <v>175</v>
      </c>
      <c r="C2923">
        <v>202408</v>
      </c>
      <c r="D2923" t="str">
        <f t="shared" si="45"/>
        <v>2024</v>
      </c>
      <c r="E2923">
        <v>2874</v>
      </c>
      <c r="F2923">
        <v>64444</v>
      </c>
      <c r="G2923">
        <v>4.46</v>
      </c>
      <c r="H2923" t="s">
        <v>10</v>
      </c>
      <c r="I2923" t="s">
        <v>11</v>
      </c>
    </row>
    <row r="2924" spans="1:9" hidden="1" x14ac:dyDescent="0.25">
      <c r="A2924" t="s">
        <v>24</v>
      </c>
      <c r="B2924" t="s">
        <v>175</v>
      </c>
      <c r="C2924">
        <v>202409</v>
      </c>
      <c r="D2924" t="str">
        <f t="shared" si="45"/>
        <v>2024</v>
      </c>
      <c r="E2924">
        <v>3071</v>
      </c>
      <c r="F2924">
        <v>64444</v>
      </c>
      <c r="G2924">
        <v>4.7699999999999996</v>
      </c>
      <c r="H2924" t="s">
        <v>10</v>
      </c>
      <c r="I2924" t="s">
        <v>11</v>
      </c>
    </row>
    <row r="2925" spans="1:9" hidden="1" x14ac:dyDescent="0.25">
      <c r="A2925" t="s">
        <v>24</v>
      </c>
      <c r="B2925" t="s">
        <v>175</v>
      </c>
      <c r="C2925">
        <v>202410</v>
      </c>
      <c r="D2925" t="str">
        <f t="shared" si="45"/>
        <v>2024</v>
      </c>
      <c r="E2925">
        <v>3041</v>
      </c>
      <c r="F2925">
        <v>64444</v>
      </c>
      <c r="G2925">
        <v>4.72</v>
      </c>
      <c r="H2925" t="s">
        <v>10</v>
      </c>
      <c r="I2925" t="s">
        <v>11</v>
      </c>
    </row>
    <row r="2926" spans="1:9" hidden="1" x14ac:dyDescent="0.25">
      <c r="A2926" t="s">
        <v>24</v>
      </c>
      <c r="B2926" t="s">
        <v>175</v>
      </c>
      <c r="C2926">
        <v>202411</v>
      </c>
      <c r="D2926" t="str">
        <f t="shared" si="45"/>
        <v>2024</v>
      </c>
      <c r="E2926">
        <v>2797</v>
      </c>
      <c r="F2926">
        <v>64444</v>
      </c>
      <c r="G2926">
        <v>4.34</v>
      </c>
      <c r="H2926" t="s">
        <v>10</v>
      </c>
      <c r="I2926" t="s">
        <v>11</v>
      </c>
    </row>
    <row r="2927" spans="1:9" hidden="1" x14ac:dyDescent="0.25">
      <c r="A2927" t="s">
        <v>24</v>
      </c>
      <c r="B2927" t="s">
        <v>175</v>
      </c>
      <c r="C2927">
        <v>202412</v>
      </c>
      <c r="D2927" t="str">
        <f t="shared" si="45"/>
        <v>2024</v>
      </c>
      <c r="E2927">
        <v>2606</v>
      </c>
      <c r="F2927">
        <v>64444</v>
      </c>
      <c r="G2927">
        <v>4.04</v>
      </c>
      <c r="H2927" t="s">
        <v>10</v>
      </c>
      <c r="I2927" t="s">
        <v>11</v>
      </c>
    </row>
    <row r="2928" spans="1:9" x14ac:dyDescent="0.25">
      <c r="A2928" t="s">
        <v>24</v>
      </c>
      <c r="B2928" t="s">
        <v>175</v>
      </c>
      <c r="C2928">
        <v>202501</v>
      </c>
      <c r="D2928" t="str">
        <f t="shared" si="45"/>
        <v>2025</v>
      </c>
      <c r="E2928">
        <v>436</v>
      </c>
      <c r="F2928">
        <v>64444</v>
      </c>
      <c r="G2928">
        <v>0.68</v>
      </c>
      <c r="H2928" t="s">
        <v>10</v>
      </c>
      <c r="I2928" t="s">
        <v>11</v>
      </c>
    </row>
    <row r="2929" spans="1:9" hidden="1" x14ac:dyDescent="0.25">
      <c r="A2929" t="s">
        <v>24</v>
      </c>
      <c r="B2929" t="s">
        <v>173</v>
      </c>
      <c r="C2929">
        <v>202301</v>
      </c>
      <c r="D2929" t="str">
        <f t="shared" si="45"/>
        <v>2023</v>
      </c>
      <c r="E2929">
        <v>1778</v>
      </c>
      <c r="F2929">
        <v>71058</v>
      </c>
      <c r="G2929">
        <v>2.5</v>
      </c>
      <c r="H2929" t="s">
        <v>10</v>
      </c>
      <c r="I2929" t="s">
        <v>11</v>
      </c>
    </row>
    <row r="2930" spans="1:9" hidden="1" x14ac:dyDescent="0.25">
      <c r="A2930" t="s">
        <v>24</v>
      </c>
      <c r="B2930" t="s">
        <v>173</v>
      </c>
      <c r="C2930">
        <v>202302</v>
      </c>
      <c r="D2930" t="str">
        <f t="shared" si="45"/>
        <v>2023</v>
      </c>
      <c r="E2930">
        <v>2462</v>
      </c>
      <c r="F2930">
        <v>71058</v>
      </c>
      <c r="G2930">
        <v>3.46</v>
      </c>
      <c r="H2930" t="s">
        <v>10</v>
      </c>
      <c r="I2930" t="s">
        <v>11</v>
      </c>
    </row>
    <row r="2931" spans="1:9" hidden="1" x14ac:dyDescent="0.25">
      <c r="A2931" t="s">
        <v>24</v>
      </c>
      <c r="B2931" t="s">
        <v>173</v>
      </c>
      <c r="C2931">
        <v>202303</v>
      </c>
      <c r="D2931" t="str">
        <f t="shared" si="45"/>
        <v>2023</v>
      </c>
      <c r="E2931">
        <v>2513</v>
      </c>
      <c r="F2931">
        <v>71058</v>
      </c>
      <c r="G2931">
        <v>3.54</v>
      </c>
      <c r="H2931" t="s">
        <v>10</v>
      </c>
      <c r="I2931" t="s">
        <v>11</v>
      </c>
    </row>
    <row r="2932" spans="1:9" hidden="1" x14ac:dyDescent="0.25">
      <c r="A2932" t="s">
        <v>24</v>
      </c>
      <c r="B2932" t="s">
        <v>173</v>
      </c>
      <c r="C2932">
        <v>202304</v>
      </c>
      <c r="D2932" t="str">
        <f t="shared" si="45"/>
        <v>2023</v>
      </c>
      <c r="E2932">
        <v>2599</v>
      </c>
      <c r="F2932">
        <v>71058</v>
      </c>
      <c r="G2932">
        <v>3.66</v>
      </c>
      <c r="H2932" t="s">
        <v>10</v>
      </c>
      <c r="I2932" t="s">
        <v>11</v>
      </c>
    </row>
    <row r="2933" spans="1:9" hidden="1" x14ac:dyDescent="0.25">
      <c r="A2933" t="s">
        <v>24</v>
      </c>
      <c r="B2933" t="s">
        <v>173</v>
      </c>
      <c r="C2933">
        <v>202305</v>
      </c>
      <c r="D2933" t="str">
        <f t="shared" si="45"/>
        <v>2023</v>
      </c>
      <c r="E2933">
        <v>2276</v>
      </c>
      <c r="F2933">
        <v>71058</v>
      </c>
      <c r="G2933">
        <v>3.2</v>
      </c>
      <c r="H2933" t="s">
        <v>10</v>
      </c>
      <c r="I2933" t="s">
        <v>11</v>
      </c>
    </row>
    <row r="2934" spans="1:9" hidden="1" x14ac:dyDescent="0.25">
      <c r="A2934" t="s">
        <v>24</v>
      </c>
      <c r="B2934" t="s">
        <v>173</v>
      </c>
      <c r="C2934">
        <v>202306</v>
      </c>
      <c r="D2934" t="str">
        <f t="shared" si="45"/>
        <v>2023</v>
      </c>
      <c r="E2934">
        <v>2492</v>
      </c>
      <c r="F2934">
        <v>71058</v>
      </c>
      <c r="G2934">
        <v>3.51</v>
      </c>
      <c r="H2934" t="s">
        <v>10</v>
      </c>
      <c r="I2934" t="s">
        <v>11</v>
      </c>
    </row>
    <row r="2935" spans="1:9" hidden="1" x14ac:dyDescent="0.25">
      <c r="A2935" t="s">
        <v>24</v>
      </c>
      <c r="B2935" t="s">
        <v>173</v>
      </c>
      <c r="C2935">
        <v>202307</v>
      </c>
      <c r="D2935" t="str">
        <f t="shared" si="45"/>
        <v>2023</v>
      </c>
      <c r="E2935">
        <v>2462</v>
      </c>
      <c r="F2935">
        <v>71058</v>
      </c>
      <c r="G2935">
        <v>3.46</v>
      </c>
      <c r="H2935" t="s">
        <v>10</v>
      </c>
      <c r="I2935" t="s">
        <v>11</v>
      </c>
    </row>
    <row r="2936" spans="1:9" hidden="1" x14ac:dyDescent="0.25">
      <c r="A2936" t="s">
        <v>24</v>
      </c>
      <c r="B2936" t="s">
        <v>173</v>
      </c>
      <c r="C2936">
        <v>202308</v>
      </c>
      <c r="D2936" t="str">
        <f t="shared" si="45"/>
        <v>2023</v>
      </c>
      <c r="E2936">
        <v>2451</v>
      </c>
      <c r="F2936">
        <v>71058</v>
      </c>
      <c r="G2936">
        <v>3.45</v>
      </c>
      <c r="H2936" t="s">
        <v>10</v>
      </c>
      <c r="I2936" t="s">
        <v>11</v>
      </c>
    </row>
    <row r="2937" spans="1:9" hidden="1" x14ac:dyDescent="0.25">
      <c r="A2937" t="s">
        <v>24</v>
      </c>
      <c r="B2937" t="s">
        <v>173</v>
      </c>
      <c r="C2937">
        <v>202309</v>
      </c>
      <c r="D2937" t="str">
        <f t="shared" si="45"/>
        <v>2023</v>
      </c>
      <c r="E2937">
        <v>2317</v>
      </c>
      <c r="F2937">
        <v>71058</v>
      </c>
      <c r="G2937">
        <v>3.26</v>
      </c>
      <c r="H2937" t="s">
        <v>10</v>
      </c>
      <c r="I2937" t="s">
        <v>11</v>
      </c>
    </row>
    <row r="2938" spans="1:9" hidden="1" x14ac:dyDescent="0.25">
      <c r="A2938" t="s">
        <v>24</v>
      </c>
      <c r="B2938" t="s">
        <v>173</v>
      </c>
      <c r="C2938">
        <v>202310</v>
      </c>
      <c r="D2938" t="str">
        <f t="shared" si="45"/>
        <v>2023</v>
      </c>
      <c r="E2938">
        <v>2195</v>
      </c>
      <c r="F2938">
        <v>71058</v>
      </c>
      <c r="G2938">
        <v>3.09</v>
      </c>
      <c r="H2938" t="s">
        <v>10</v>
      </c>
      <c r="I2938" t="s">
        <v>11</v>
      </c>
    </row>
    <row r="2939" spans="1:9" hidden="1" x14ac:dyDescent="0.25">
      <c r="A2939" t="s">
        <v>24</v>
      </c>
      <c r="B2939" t="s">
        <v>173</v>
      </c>
      <c r="C2939">
        <v>202311</v>
      </c>
      <c r="D2939" t="str">
        <f t="shared" si="45"/>
        <v>2023</v>
      </c>
      <c r="E2939">
        <v>2501</v>
      </c>
      <c r="F2939">
        <v>71058</v>
      </c>
      <c r="G2939">
        <v>3.52</v>
      </c>
      <c r="H2939" t="s">
        <v>10</v>
      </c>
      <c r="I2939" t="s">
        <v>11</v>
      </c>
    </row>
    <row r="2940" spans="1:9" hidden="1" x14ac:dyDescent="0.25">
      <c r="A2940" t="s">
        <v>24</v>
      </c>
      <c r="B2940" t="s">
        <v>173</v>
      </c>
      <c r="C2940">
        <v>202312</v>
      </c>
      <c r="D2940" t="str">
        <f t="shared" si="45"/>
        <v>2023</v>
      </c>
      <c r="E2940">
        <v>2309</v>
      </c>
      <c r="F2940">
        <v>71058</v>
      </c>
      <c r="G2940">
        <v>3.25</v>
      </c>
      <c r="H2940" t="s">
        <v>10</v>
      </c>
      <c r="I2940" t="s">
        <v>11</v>
      </c>
    </row>
    <row r="2941" spans="1:9" hidden="1" x14ac:dyDescent="0.25">
      <c r="A2941" t="s">
        <v>24</v>
      </c>
      <c r="B2941" t="s">
        <v>173</v>
      </c>
      <c r="C2941">
        <v>202401</v>
      </c>
      <c r="D2941" t="str">
        <f t="shared" si="45"/>
        <v>2024</v>
      </c>
      <c r="E2941">
        <v>2617</v>
      </c>
      <c r="F2941">
        <v>71058</v>
      </c>
      <c r="G2941">
        <v>3.68</v>
      </c>
      <c r="H2941" t="s">
        <v>10</v>
      </c>
      <c r="I2941" t="s">
        <v>11</v>
      </c>
    </row>
    <row r="2942" spans="1:9" hidden="1" x14ac:dyDescent="0.25">
      <c r="A2942" t="s">
        <v>24</v>
      </c>
      <c r="B2942" t="s">
        <v>173</v>
      </c>
      <c r="C2942">
        <v>202402</v>
      </c>
      <c r="D2942" t="str">
        <f t="shared" si="45"/>
        <v>2024</v>
      </c>
      <c r="E2942">
        <v>3359</v>
      </c>
      <c r="F2942">
        <v>71058</v>
      </c>
      <c r="G2942">
        <v>4.7300000000000004</v>
      </c>
      <c r="H2942" t="s">
        <v>10</v>
      </c>
      <c r="I2942" t="s">
        <v>11</v>
      </c>
    </row>
    <row r="2943" spans="1:9" hidden="1" x14ac:dyDescent="0.25">
      <c r="A2943" t="s">
        <v>24</v>
      </c>
      <c r="B2943" t="s">
        <v>173</v>
      </c>
      <c r="C2943">
        <v>202403</v>
      </c>
      <c r="D2943" t="str">
        <f t="shared" si="45"/>
        <v>2024</v>
      </c>
      <c r="E2943">
        <v>2898</v>
      </c>
      <c r="F2943">
        <v>71058</v>
      </c>
      <c r="G2943">
        <v>4.08</v>
      </c>
      <c r="H2943" t="s">
        <v>10</v>
      </c>
      <c r="I2943" t="s">
        <v>11</v>
      </c>
    </row>
    <row r="2944" spans="1:9" hidden="1" x14ac:dyDescent="0.25">
      <c r="A2944" t="s">
        <v>24</v>
      </c>
      <c r="B2944" t="s">
        <v>173</v>
      </c>
      <c r="C2944">
        <v>202404</v>
      </c>
      <c r="D2944" t="str">
        <f t="shared" si="45"/>
        <v>2024</v>
      </c>
      <c r="E2944">
        <v>3355</v>
      </c>
      <c r="F2944">
        <v>71058</v>
      </c>
      <c r="G2944">
        <v>4.72</v>
      </c>
      <c r="H2944" t="s">
        <v>10</v>
      </c>
      <c r="I2944" t="s">
        <v>11</v>
      </c>
    </row>
    <row r="2945" spans="1:9" hidden="1" x14ac:dyDescent="0.25">
      <c r="A2945" t="s">
        <v>24</v>
      </c>
      <c r="B2945" t="s">
        <v>173</v>
      </c>
      <c r="C2945">
        <v>202405</v>
      </c>
      <c r="D2945" t="str">
        <f t="shared" si="45"/>
        <v>2024</v>
      </c>
      <c r="E2945">
        <v>3211</v>
      </c>
      <c r="F2945">
        <v>71058</v>
      </c>
      <c r="G2945">
        <v>4.5199999999999996</v>
      </c>
      <c r="H2945" t="s">
        <v>10</v>
      </c>
      <c r="I2945" t="s">
        <v>11</v>
      </c>
    </row>
    <row r="2946" spans="1:9" hidden="1" x14ac:dyDescent="0.25">
      <c r="A2946" t="s">
        <v>24</v>
      </c>
      <c r="B2946" t="s">
        <v>173</v>
      </c>
      <c r="C2946">
        <v>202406</v>
      </c>
      <c r="D2946" t="str">
        <f t="shared" si="45"/>
        <v>2024</v>
      </c>
      <c r="E2946">
        <v>2877</v>
      </c>
      <c r="F2946">
        <v>71058</v>
      </c>
      <c r="G2946">
        <v>4.05</v>
      </c>
      <c r="H2946" t="s">
        <v>10</v>
      </c>
      <c r="I2946" t="s">
        <v>11</v>
      </c>
    </row>
    <row r="2947" spans="1:9" hidden="1" x14ac:dyDescent="0.25">
      <c r="A2947" t="s">
        <v>24</v>
      </c>
      <c r="B2947" t="s">
        <v>173</v>
      </c>
      <c r="C2947">
        <v>202407</v>
      </c>
      <c r="D2947" t="str">
        <f t="shared" ref="D2947:D3010" si="46">LEFT(C2947,4)</f>
        <v>2024</v>
      </c>
      <c r="E2947">
        <v>2723</v>
      </c>
      <c r="F2947">
        <v>71058</v>
      </c>
      <c r="G2947">
        <v>3.83</v>
      </c>
      <c r="H2947" t="s">
        <v>10</v>
      </c>
      <c r="I2947" t="s">
        <v>11</v>
      </c>
    </row>
    <row r="2948" spans="1:9" hidden="1" x14ac:dyDescent="0.25">
      <c r="A2948" t="s">
        <v>24</v>
      </c>
      <c r="B2948" t="s">
        <v>173</v>
      </c>
      <c r="C2948">
        <v>202408</v>
      </c>
      <c r="D2948" t="str">
        <f t="shared" si="46"/>
        <v>2024</v>
      </c>
      <c r="E2948">
        <v>2898</v>
      </c>
      <c r="F2948">
        <v>71058</v>
      </c>
      <c r="G2948">
        <v>4.08</v>
      </c>
      <c r="H2948" t="s">
        <v>10</v>
      </c>
      <c r="I2948" t="s">
        <v>11</v>
      </c>
    </row>
    <row r="2949" spans="1:9" hidden="1" x14ac:dyDescent="0.25">
      <c r="A2949" t="s">
        <v>24</v>
      </c>
      <c r="B2949" t="s">
        <v>173</v>
      </c>
      <c r="C2949">
        <v>202409</v>
      </c>
      <c r="D2949" t="str">
        <f t="shared" si="46"/>
        <v>2024</v>
      </c>
      <c r="E2949">
        <v>3080</v>
      </c>
      <c r="F2949">
        <v>71058</v>
      </c>
      <c r="G2949">
        <v>4.33</v>
      </c>
      <c r="H2949" t="s">
        <v>10</v>
      </c>
      <c r="I2949" t="s">
        <v>11</v>
      </c>
    </row>
    <row r="2950" spans="1:9" hidden="1" x14ac:dyDescent="0.25">
      <c r="A2950" t="s">
        <v>24</v>
      </c>
      <c r="B2950" t="s">
        <v>173</v>
      </c>
      <c r="C2950">
        <v>202410</v>
      </c>
      <c r="D2950" t="str">
        <f t="shared" si="46"/>
        <v>2024</v>
      </c>
      <c r="E2950">
        <v>3098</v>
      </c>
      <c r="F2950">
        <v>71058</v>
      </c>
      <c r="G2950">
        <v>4.3600000000000003</v>
      </c>
      <c r="H2950" t="s">
        <v>10</v>
      </c>
      <c r="I2950" t="s">
        <v>11</v>
      </c>
    </row>
    <row r="2951" spans="1:9" hidden="1" x14ac:dyDescent="0.25">
      <c r="A2951" t="s">
        <v>24</v>
      </c>
      <c r="B2951" t="s">
        <v>173</v>
      </c>
      <c r="C2951">
        <v>202411</v>
      </c>
      <c r="D2951" t="str">
        <f t="shared" si="46"/>
        <v>2024</v>
      </c>
      <c r="E2951">
        <v>2844</v>
      </c>
      <c r="F2951">
        <v>71058</v>
      </c>
      <c r="G2951">
        <v>4</v>
      </c>
      <c r="H2951" t="s">
        <v>10</v>
      </c>
      <c r="I2951" t="s">
        <v>11</v>
      </c>
    </row>
    <row r="2952" spans="1:9" hidden="1" x14ac:dyDescent="0.25">
      <c r="A2952" t="s">
        <v>24</v>
      </c>
      <c r="B2952" t="s">
        <v>173</v>
      </c>
      <c r="C2952">
        <v>202412</v>
      </c>
      <c r="D2952" t="str">
        <f t="shared" si="46"/>
        <v>2024</v>
      </c>
      <c r="E2952">
        <v>2870</v>
      </c>
      <c r="F2952">
        <v>71058</v>
      </c>
      <c r="G2952">
        <v>4.04</v>
      </c>
      <c r="H2952" t="s">
        <v>10</v>
      </c>
      <c r="I2952" t="s">
        <v>11</v>
      </c>
    </row>
    <row r="2953" spans="1:9" x14ac:dyDescent="0.25">
      <c r="A2953" t="s">
        <v>24</v>
      </c>
      <c r="B2953" t="s">
        <v>173</v>
      </c>
      <c r="C2953">
        <v>202501</v>
      </c>
      <c r="D2953" t="str">
        <f t="shared" si="46"/>
        <v>2025</v>
      </c>
      <c r="E2953">
        <v>4808</v>
      </c>
      <c r="F2953">
        <v>71058</v>
      </c>
      <c r="G2953">
        <v>6.77</v>
      </c>
      <c r="H2953" t="s">
        <v>10</v>
      </c>
      <c r="I2953" t="s">
        <v>11</v>
      </c>
    </row>
    <row r="2954" spans="1:9" x14ac:dyDescent="0.25">
      <c r="A2954" t="s">
        <v>24</v>
      </c>
      <c r="B2954" t="s">
        <v>173</v>
      </c>
      <c r="C2954">
        <v>202502</v>
      </c>
      <c r="D2954" t="str">
        <f t="shared" si="46"/>
        <v>2025</v>
      </c>
      <c r="E2954">
        <v>2065</v>
      </c>
      <c r="F2954">
        <v>71058</v>
      </c>
      <c r="G2954">
        <v>2.91</v>
      </c>
      <c r="H2954" t="s">
        <v>10</v>
      </c>
      <c r="I2954" t="s">
        <v>11</v>
      </c>
    </row>
    <row r="2955" spans="1:9" hidden="1" x14ac:dyDescent="0.25">
      <c r="A2955" t="s">
        <v>24</v>
      </c>
      <c r="B2955" t="s">
        <v>215</v>
      </c>
      <c r="C2955">
        <v>202301</v>
      </c>
      <c r="D2955" t="str">
        <f t="shared" si="46"/>
        <v>2023</v>
      </c>
      <c r="E2955">
        <v>1730</v>
      </c>
      <c r="F2955">
        <v>73481</v>
      </c>
      <c r="G2955">
        <v>2.35</v>
      </c>
      <c r="H2955" t="s">
        <v>10</v>
      </c>
      <c r="I2955" t="s">
        <v>11</v>
      </c>
    </row>
    <row r="2956" spans="1:9" hidden="1" x14ac:dyDescent="0.25">
      <c r="A2956" t="s">
        <v>24</v>
      </c>
      <c r="B2956" t="s">
        <v>215</v>
      </c>
      <c r="C2956">
        <v>202302</v>
      </c>
      <c r="D2956" t="str">
        <f t="shared" si="46"/>
        <v>2023</v>
      </c>
      <c r="E2956">
        <v>2303</v>
      </c>
      <c r="F2956">
        <v>73481</v>
      </c>
      <c r="G2956">
        <v>3.13</v>
      </c>
      <c r="H2956" t="s">
        <v>10</v>
      </c>
      <c r="I2956" t="s">
        <v>11</v>
      </c>
    </row>
    <row r="2957" spans="1:9" hidden="1" x14ac:dyDescent="0.25">
      <c r="A2957" t="s">
        <v>24</v>
      </c>
      <c r="B2957" t="s">
        <v>215</v>
      </c>
      <c r="C2957">
        <v>202303</v>
      </c>
      <c r="D2957" t="str">
        <f t="shared" si="46"/>
        <v>2023</v>
      </c>
      <c r="E2957">
        <v>2431</v>
      </c>
      <c r="F2957">
        <v>73481</v>
      </c>
      <c r="G2957">
        <v>3.31</v>
      </c>
      <c r="H2957" t="s">
        <v>10</v>
      </c>
      <c r="I2957" t="s">
        <v>11</v>
      </c>
    </row>
    <row r="2958" spans="1:9" hidden="1" x14ac:dyDescent="0.25">
      <c r="A2958" t="s">
        <v>24</v>
      </c>
      <c r="B2958" t="s">
        <v>215</v>
      </c>
      <c r="C2958">
        <v>202304</v>
      </c>
      <c r="D2958" t="str">
        <f t="shared" si="46"/>
        <v>2023</v>
      </c>
      <c r="E2958">
        <v>2394</v>
      </c>
      <c r="F2958">
        <v>73481</v>
      </c>
      <c r="G2958">
        <v>3.26</v>
      </c>
      <c r="H2958" t="s">
        <v>10</v>
      </c>
      <c r="I2958" t="s">
        <v>11</v>
      </c>
    </row>
    <row r="2959" spans="1:9" hidden="1" x14ac:dyDescent="0.25">
      <c r="A2959" t="s">
        <v>24</v>
      </c>
      <c r="B2959" t="s">
        <v>215</v>
      </c>
      <c r="C2959">
        <v>202305</v>
      </c>
      <c r="D2959" t="str">
        <f t="shared" si="46"/>
        <v>2023</v>
      </c>
      <c r="E2959">
        <v>2078</v>
      </c>
      <c r="F2959">
        <v>73481</v>
      </c>
      <c r="G2959">
        <v>2.83</v>
      </c>
      <c r="H2959" t="s">
        <v>10</v>
      </c>
      <c r="I2959" t="s">
        <v>11</v>
      </c>
    </row>
    <row r="2960" spans="1:9" hidden="1" x14ac:dyDescent="0.25">
      <c r="A2960" t="s">
        <v>24</v>
      </c>
      <c r="B2960" t="s">
        <v>215</v>
      </c>
      <c r="C2960">
        <v>202306</v>
      </c>
      <c r="D2960" t="str">
        <f t="shared" si="46"/>
        <v>2023</v>
      </c>
      <c r="E2960">
        <v>2385</v>
      </c>
      <c r="F2960">
        <v>73481</v>
      </c>
      <c r="G2960">
        <v>3.25</v>
      </c>
      <c r="H2960" t="s">
        <v>10</v>
      </c>
      <c r="I2960" t="s">
        <v>11</v>
      </c>
    </row>
    <row r="2961" spans="1:9" hidden="1" x14ac:dyDescent="0.25">
      <c r="A2961" t="s">
        <v>24</v>
      </c>
      <c r="B2961" t="s">
        <v>215</v>
      </c>
      <c r="C2961">
        <v>202307</v>
      </c>
      <c r="D2961" t="str">
        <f t="shared" si="46"/>
        <v>2023</v>
      </c>
      <c r="E2961">
        <v>2373</v>
      </c>
      <c r="F2961">
        <v>73481</v>
      </c>
      <c r="G2961">
        <v>3.23</v>
      </c>
      <c r="H2961" t="s">
        <v>10</v>
      </c>
      <c r="I2961" t="s">
        <v>11</v>
      </c>
    </row>
    <row r="2962" spans="1:9" hidden="1" x14ac:dyDescent="0.25">
      <c r="A2962" t="s">
        <v>24</v>
      </c>
      <c r="B2962" t="s">
        <v>215</v>
      </c>
      <c r="C2962">
        <v>202308</v>
      </c>
      <c r="D2962" t="str">
        <f t="shared" si="46"/>
        <v>2023</v>
      </c>
      <c r="E2962">
        <v>2261</v>
      </c>
      <c r="F2962">
        <v>73481</v>
      </c>
      <c r="G2962">
        <v>3.08</v>
      </c>
      <c r="H2962" t="s">
        <v>10</v>
      </c>
      <c r="I2962" t="s">
        <v>11</v>
      </c>
    </row>
    <row r="2963" spans="1:9" hidden="1" x14ac:dyDescent="0.25">
      <c r="A2963" t="s">
        <v>24</v>
      </c>
      <c r="B2963" t="s">
        <v>215</v>
      </c>
      <c r="C2963">
        <v>202309</v>
      </c>
      <c r="D2963" t="str">
        <f t="shared" si="46"/>
        <v>2023</v>
      </c>
      <c r="E2963">
        <v>2047</v>
      </c>
      <c r="F2963">
        <v>73481</v>
      </c>
      <c r="G2963">
        <v>2.79</v>
      </c>
      <c r="H2963" t="s">
        <v>10</v>
      </c>
      <c r="I2963" t="s">
        <v>11</v>
      </c>
    </row>
    <row r="2964" spans="1:9" hidden="1" x14ac:dyDescent="0.25">
      <c r="A2964" t="s">
        <v>24</v>
      </c>
      <c r="B2964" t="s">
        <v>215</v>
      </c>
      <c r="C2964">
        <v>202310</v>
      </c>
      <c r="D2964" t="str">
        <f t="shared" si="46"/>
        <v>2023</v>
      </c>
      <c r="E2964">
        <v>2012</v>
      </c>
      <c r="F2964">
        <v>73481</v>
      </c>
      <c r="G2964">
        <v>2.74</v>
      </c>
      <c r="H2964" t="s">
        <v>10</v>
      </c>
      <c r="I2964" t="s">
        <v>11</v>
      </c>
    </row>
    <row r="2965" spans="1:9" hidden="1" x14ac:dyDescent="0.25">
      <c r="A2965" t="s">
        <v>24</v>
      </c>
      <c r="B2965" t="s">
        <v>215</v>
      </c>
      <c r="C2965">
        <v>202311</v>
      </c>
      <c r="D2965" t="str">
        <f t="shared" si="46"/>
        <v>2023</v>
      </c>
      <c r="E2965">
        <v>2402</v>
      </c>
      <c r="F2965">
        <v>73481</v>
      </c>
      <c r="G2965">
        <v>3.27</v>
      </c>
      <c r="H2965" t="s">
        <v>10</v>
      </c>
      <c r="I2965" t="s">
        <v>11</v>
      </c>
    </row>
    <row r="2966" spans="1:9" hidden="1" x14ac:dyDescent="0.25">
      <c r="A2966" t="s">
        <v>24</v>
      </c>
      <c r="B2966" t="s">
        <v>215</v>
      </c>
      <c r="C2966">
        <v>202312</v>
      </c>
      <c r="D2966" t="str">
        <f t="shared" si="46"/>
        <v>2023</v>
      </c>
      <c r="E2966">
        <v>2178</v>
      </c>
      <c r="F2966">
        <v>73481</v>
      </c>
      <c r="G2966">
        <v>2.96</v>
      </c>
      <c r="H2966" t="s">
        <v>10</v>
      </c>
      <c r="I2966" t="s">
        <v>11</v>
      </c>
    </row>
    <row r="2967" spans="1:9" hidden="1" x14ac:dyDescent="0.25">
      <c r="A2967" t="s">
        <v>24</v>
      </c>
      <c r="B2967" t="s">
        <v>215</v>
      </c>
      <c r="C2967">
        <v>202401</v>
      </c>
      <c r="D2967" t="str">
        <f t="shared" si="46"/>
        <v>2024</v>
      </c>
      <c r="E2967">
        <v>2566</v>
      </c>
      <c r="F2967">
        <v>73481</v>
      </c>
      <c r="G2967">
        <v>3.49</v>
      </c>
      <c r="H2967" t="s">
        <v>10</v>
      </c>
      <c r="I2967" t="s">
        <v>11</v>
      </c>
    </row>
    <row r="2968" spans="1:9" hidden="1" x14ac:dyDescent="0.25">
      <c r="A2968" t="s">
        <v>24</v>
      </c>
      <c r="B2968" t="s">
        <v>215</v>
      </c>
      <c r="C2968">
        <v>202402</v>
      </c>
      <c r="D2968" t="str">
        <f t="shared" si="46"/>
        <v>2024</v>
      </c>
      <c r="E2968">
        <v>3297</v>
      </c>
      <c r="F2968">
        <v>73481</v>
      </c>
      <c r="G2968">
        <v>4.49</v>
      </c>
      <c r="H2968" t="s">
        <v>10</v>
      </c>
      <c r="I2968" t="s">
        <v>11</v>
      </c>
    </row>
    <row r="2969" spans="1:9" hidden="1" x14ac:dyDescent="0.25">
      <c r="A2969" t="s">
        <v>24</v>
      </c>
      <c r="B2969" t="s">
        <v>215</v>
      </c>
      <c r="C2969">
        <v>202403</v>
      </c>
      <c r="D2969" t="str">
        <f t="shared" si="46"/>
        <v>2024</v>
      </c>
      <c r="E2969">
        <v>2871</v>
      </c>
      <c r="F2969">
        <v>73481</v>
      </c>
      <c r="G2969">
        <v>3.91</v>
      </c>
      <c r="H2969" t="s">
        <v>10</v>
      </c>
      <c r="I2969" t="s">
        <v>11</v>
      </c>
    </row>
    <row r="2970" spans="1:9" hidden="1" x14ac:dyDescent="0.25">
      <c r="A2970" t="s">
        <v>24</v>
      </c>
      <c r="B2970" t="s">
        <v>215</v>
      </c>
      <c r="C2970">
        <v>202404</v>
      </c>
      <c r="D2970" t="str">
        <f t="shared" si="46"/>
        <v>2024</v>
      </c>
      <c r="E2970">
        <v>3391</v>
      </c>
      <c r="F2970">
        <v>73481</v>
      </c>
      <c r="G2970">
        <v>4.6100000000000003</v>
      </c>
      <c r="H2970" t="s">
        <v>10</v>
      </c>
      <c r="I2970" t="s">
        <v>11</v>
      </c>
    </row>
    <row r="2971" spans="1:9" hidden="1" x14ac:dyDescent="0.25">
      <c r="A2971" t="s">
        <v>24</v>
      </c>
      <c r="B2971" t="s">
        <v>215</v>
      </c>
      <c r="C2971">
        <v>202405</v>
      </c>
      <c r="D2971" t="str">
        <f t="shared" si="46"/>
        <v>2024</v>
      </c>
      <c r="E2971">
        <v>3082</v>
      </c>
      <c r="F2971">
        <v>73481</v>
      </c>
      <c r="G2971">
        <v>4.1900000000000004</v>
      </c>
      <c r="H2971" t="s">
        <v>10</v>
      </c>
      <c r="I2971" t="s">
        <v>11</v>
      </c>
    </row>
    <row r="2972" spans="1:9" hidden="1" x14ac:dyDescent="0.25">
      <c r="A2972" t="s">
        <v>24</v>
      </c>
      <c r="B2972" t="s">
        <v>215</v>
      </c>
      <c r="C2972">
        <v>202406</v>
      </c>
      <c r="D2972" t="str">
        <f t="shared" si="46"/>
        <v>2024</v>
      </c>
      <c r="E2972">
        <v>2778</v>
      </c>
      <c r="F2972">
        <v>73481</v>
      </c>
      <c r="G2972">
        <v>3.78</v>
      </c>
      <c r="H2972" t="s">
        <v>10</v>
      </c>
      <c r="I2972" t="s">
        <v>11</v>
      </c>
    </row>
    <row r="2973" spans="1:9" hidden="1" x14ac:dyDescent="0.25">
      <c r="A2973" t="s">
        <v>24</v>
      </c>
      <c r="B2973" t="s">
        <v>215</v>
      </c>
      <c r="C2973">
        <v>202407</v>
      </c>
      <c r="D2973" t="str">
        <f t="shared" si="46"/>
        <v>2024</v>
      </c>
      <c r="E2973">
        <v>2781</v>
      </c>
      <c r="F2973">
        <v>73481</v>
      </c>
      <c r="G2973">
        <v>3.78</v>
      </c>
      <c r="H2973" t="s">
        <v>10</v>
      </c>
      <c r="I2973" t="s">
        <v>11</v>
      </c>
    </row>
    <row r="2974" spans="1:9" hidden="1" x14ac:dyDescent="0.25">
      <c r="A2974" t="s">
        <v>24</v>
      </c>
      <c r="B2974" t="s">
        <v>215</v>
      </c>
      <c r="C2974">
        <v>202408</v>
      </c>
      <c r="D2974" t="str">
        <f t="shared" si="46"/>
        <v>2024</v>
      </c>
      <c r="E2974">
        <v>2852</v>
      </c>
      <c r="F2974">
        <v>73481</v>
      </c>
      <c r="G2974">
        <v>3.88</v>
      </c>
      <c r="H2974" t="s">
        <v>10</v>
      </c>
      <c r="I2974" t="s">
        <v>11</v>
      </c>
    </row>
    <row r="2975" spans="1:9" hidden="1" x14ac:dyDescent="0.25">
      <c r="A2975" t="s">
        <v>24</v>
      </c>
      <c r="B2975" t="s">
        <v>215</v>
      </c>
      <c r="C2975">
        <v>202409</v>
      </c>
      <c r="D2975" t="str">
        <f t="shared" si="46"/>
        <v>2024</v>
      </c>
      <c r="E2975">
        <v>3089</v>
      </c>
      <c r="F2975">
        <v>73481</v>
      </c>
      <c r="G2975">
        <v>4.2</v>
      </c>
      <c r="H2975" t="s">
        <v>10</v>
      </c>
      <c r="I2975" t="s">
        <v>11</v>
      </c>
    </row>
    <row r="2976" spans="1:9" hidden="1" x14ac:dyDescent="0.25">
      <c r="A2976" t="s">
        <v>24</v>
      </c>
      <c r="B2976" t="s">
        <v>215</v>
      </c>
      <c r="C2976">
        <v>202410</v>
      </c>
      <c r="D2976" t="str">
        <f t="shared" si="46"/>
        <v>2024</v>
      </c>
      <c r="E2976">
        <v>3173</v>
      </c>
      <c r="F2976">
        <v>73481</v>
      </c>
      <c r="G2976">
        <v>4.32</v>
      </c>
      <c r="H2976" t="s">
        <v>10</v>
      </c>
      <c r="I2976" t="s">
        <v>11</v>
      </c>
    </row>
    <row r="2977" spans="1:9" hidden="1" x14ac:dyDescent="0.25">
      <c r="A2977" t="s">
        <v>24</v>
      </c>
      <c r="B2977" t="s">
        <v>215</v>
      </c>
      <c r="C2977">
        <v>202411</v>
      </c>
      <c r="D2977" t="str">
        <f t="shared" si="46"/>
        <v>2024</v>
      </c>
      <c r="E2977">
        <v>2817</v>
      </c>
      <c r="F2977">
        <v>73481</v>
      </c>
      <c r="G2977">
        <v>3.83</v>
      </c>
      <c r="H2977" t="s">
        <v>10</v>
      </c>
      <c r="I2977" t="s">
        <v>11</v>
      </c>
    </row>
    <row r="2978" spans="1:9" hidden="1" x14ac:dyDescent="0.25">
      <c r="A2978" t="s">
        <v>24</v>
      </c>
      <c r="B2978" t="s">
        <v>215</v>
      </c>
      <c r="C2978">
        <v>202412</v>
      </c>
      <c r="D2978" t="str">
        <f t="shared" si="46"/>
        <v>2024</v>
      </c>
      <c r="E2978">
        <v>3004</v>
      </c>
      <c r="F2978">
        <v>73481</v>
      </c>
      <c r="G2978">
        <v>4.09</v>
      </c>
      <c r="H2978" t="s">
        <v>10</v>
      </c>
      <c r="I2978" t="s">
        <v>11</v>
      </c>
    </row>
    <row r="2979" spans="1:9" x14ac:dyDescent="0.25">
      <c r="A2979" t="s">
        <v>24</v>
      </c>
      <c r="B2979" t="s">
        <v>215</v>
      </c>
      <c r="C2979">
        <v>202501</v>
      </c>
      <c r="D2979" t="str">
        <f t="shared" si="46"/>
        <v>2025</v>
      </c>
      <c r="E2979">
        <v>5028</v>
      </c>
      <c r="F2979">
        <v>73481</v>
      </c>
      <c r="G2979">
        <v>6.84</v>
      </c>
      <c r="H2979" t="s">
        <v>10</v>
      </c>
      <c r="I2979" t="s">
        <v>11</v>
      </c>
    </row>
    <row r="2980" spans="1:9" x14ac:dyDescent="0.25">
      <c r="A2980" t="s">
        <v>24</v>
      </c>
      <c r="B2980" t="s">
        <v>215</v>
      </c>
      <c r="C2980">
        <v>202502</v>
      </c>
      <c r="D2980" t="str">
        <f t="shared" si="46"/>
        <v>2025</v>
      </c>
      <c r="E2980">
        <v>4235</v>
      </c>
      <c r="F2980">
        <v>73481</v>
      </c>
      <c r="G2980">
        <v>5.76</v>
      </c>
      <c r="H2980" t="s">
        <v>10</v>
      </c>
      <c r="I2980" t="s">
        <v>11</v>
      </c>
    </row>
    <row r="2981" spans="1:9" x14ac:dyDescent="0.25">
      <c r="A2981" t="s">
        <v>24</v>
      </c>
      <c r="B2981" t="s">
        <v>215</v>
      </c>
      <c r="C2981">
        <v>202503</v>
      </c>
      <c r="D2981" t="str">
        <f t="shared" si="46"/>
        <v>2025</v>
      </c>
      <c r="E2981">
        <v>1923</v>
      </c>
      <c r="F2981">
        <v>73481</v>
      </c>
      <c r="G2981">
        <v>2.62</v>
      </c>
      <c r="H2981" t="s">
        <v>10</v>
      </c>
      <c r="I2981" t="s">
        <v>11</v>
      </c>
    </row>
    <row r="2982" spans="1:9" hidden="1" x14ac:dyDescent="0.25">
      <c r="A2982" t="s">
        <v>24</v>
      </c>
      <c r="B2982" t="s">
        <v>65</v>
      </c>
      <c r="C2982">
        <v>202301</v>
      </c>
      <c r="D2982" t="str">
        <f t="shared" si="46"/>
        <v>2023</v>
      </c>
      <c r="E2982">
        <v>1730</v>
      </c>
      <c r="F2982">
        <v>78857</v>
      </c>
      <c r="G2982">
        <v>2.19</v>
      </c>
      <c r="H2982" t="s">
        <v>10</v>
      </c>
      <c r="I2982" t="s">
        <v>11</v>
      </c>
    </row>
    <row r="2983" spans="1:9" hidden="1" x14ac:dyDescent="0.25">
      <c r="A2983" t="s">
        <v>24</v>
      </c>
      <c r="B2983" t="s">
        <v>65</v>
      </c>
      <c r="C2983">
        <v>202302</v>
      </c>
      <c r="D2983" t="str">
        <f t="shared" si="46"/>
        <v>2023</v>
      </c>
      <c r="E2983">
        <v>2270</v>
      </c>
      <c r="F2983">
        <v>78857</v>
      </c>
      <c r="G2983">
        <v>2.88</v>
      </c>
      <c r="H2983" t="s">
        <v>10</v>
      </c>
      <c r="I2983" t="s">
        <v>11</v>
      </c>
    </row>
    <row r="2984" spans="1:9" hidden="1" x14ac:dyDescent="0.25">
      <c r="A2984" t="s">
        <v>24</v>
      </c>
      <c r="B2984" t="s">
        <v>65</v>
      </c>
      <c r="C2984">
        <v>202303</v>
      </c>
      <c r="D2984" t="str">
        <f t="shared" si="46"/>
        <v>2023</v>
      </c>
      <c r="E2984">
        <v>2405</v>
      </c>
      <c r="F2984">
        <v>78857</v>
      </c>
      <c r="G2984">
        <v>3.05</v>
      </c>
      <c r="H2984" t="s">
        <v>10</v>
      </c>
      <c r="I2984" t="s">
        <v>11</v>
      </c>
    </row>
    <row r="2985" spans="1:9" hidden="1" x14ac:dyDescent="0.25">
      <c r="A2985" t="s">
        <v>24</v>
      </c>
      <c r="B2985" t="s">
        <v>65</v>
      </c>
      <c r="C2985">
        <v>202304</v>
      </c>
      <c r="D2985" t="str">
        <f t="shared" si="46"/>
        <v>2023</v>
      </c>
      <c r="E2985">
        <v>2397</v>
      </c>
      <c r="F2985">
        <v>78857</v>
      </c>
      <c r="G2985">
        <v>3.04</v>
      </c>
      <c r="H2985" t="s">
        <v>10</v>
      </c>
      <c r="I2985" t="s">
        <v>11</v>
      </c>
    </row>
    <row r="2986" spans="1:9" hidden="1" x14ac:dyDescent="0.25">
      <c r="A2986" t="s">
        <v>24</v>
      </c>
      <c r="B2986" t="s">
        <v>65</v>
      </c>
      <c r="C2986">
        <v>202305</v>
      </c>
      <c r="D2986" t="str">
        <f t="shared" si="46"/>
        <v>2023</v>
      </c>
      <c r="E2986">
        <v>2087</v>
      </c>
      <c r="F2986">
        <v>78857</v>
      </c>
      <c r="G2986">
        <v>2.65</v>
      </c>
      <c r="H2986" t="s">
        <v>10</v>
      </c>
      <c r="I2986" t="s">
        <v>11</v>
      </c>
    </row>
    <row r="2987" spans="1:9" hidden="1" x14ac:dyDescent="0.25">
      <c r="A2987" t="s">
        <v>24</v>
      </c>
      <c r="B2987" t="s">
        <v>65</v>
      </c>
      <c r="C2987">
        <v>202306</v>
      </c>
      <c r="D2987" t="str">
        <f t="shared" si="46"/>
        <v>2023</v>
      </c>
      <c r="E2987">
        <v>2379</v>
      </c>
      <c r="F2987">
        <v>78857</v>
      </c>
      <c r="G2987">
        <v>3.02</v>
      </c>
      <c r="H2987" t="s">
        <v>10</v>
      </c>
      <c r="I2987" t="s">
        <v>11</v>
      </c>
    </row>
    <row r="2988" spans="1:9" hidden="1" x14ac:dyDescent="0.25">
      <c r="A2988" t="s">
        <v>24</v>
      </c>
      <c r="B2988" t="s">
        <v>65</v>
      </c>
      <c r="C2988">
        <v>202307</v>
      </c>
      <c r="D2988" t="str">
        <f t="shared" si="46"/>
        <v>2023</v>
      </c>
      <c r="E2988">
        <v>2356</v>
      </c>
      <c r="F2988">
        <v>78857</v>
      </c>
      <c r="G2988">
        <v>2.99</v>
      </c>
      <c r="H2988" t="s">
        <v>10</v>
      </c>
      <c r="I2988" t="s">
        <v>11</v>
      </c>
    </row>
    <row r="2989" spans="1:9" hidden="1" x14ac:dyDescent="0.25">
      <c r="A2989" t="s">
        <v>24</v>
      </c>
      <c r="B2989" t="s">
        <v>65</v>
      </c>
      <c r="C2989">
        <v>202308</v>
      </c>
      <c r="D2989" t="str">
        <f t="shared" si="46"/>
        <v>2023</v>
      </c>
      <c r="E2989">
        <v>2254</v>
      </c>
      <c r="F2989">
        <v>78857</v>
      </c>
      <c r="G2989">
        <v>2.86</v>
      </c>
      <c r="H2989" t="s">
        <v>10</v>
      </c>
      <c r="I2989" t="s">
        <v>11</v>
      </c>
    </row>
    <row r="2990" spans="1:9" hidden="1" x14ac:dyDescent="0.25">
      <c r="A2990" t="s">
        <v>24</v>
      </c>
      <c r="B2990" t="s">
        <v>65</v>
      </c>
      <c r="C2990">
        <v>202309</v>
      </c>
      <c r="D2990" t="str">
        <f t="shared" si="46"/>
        <v>2023</v>
      </c>
      <c r="E2990">
        <v>2037</v>
      </c>
      <c r="F2990">
        <v>78857</v>
      </c>
      <c r="G2990">
        <v>2.58</v>
      </c>
      <c r="H2990" t="s">
        <v>10</v>
      </c>
      <c r="I2990" t="s">
        <v>11</v>
      </c>
    </row>
    <row r="2991" spans="1:9" hidden="1" x14ac:dyDescent="0.25">
      <c r="A2991" t="s">
        <v>24</v>
      </c>
      <c r="B2991" t="s">
        <v>65</v>
      </c>
      <c r="C2991">
        <v>202310</v>
      </c>
      <c r="D2991" t="str">
        <f t="shared" si="46"/>
        <v>2023</v>
      </c>
      <c r="E2991">
        <v>2016</v>
      </c>
      <c r="F2991">
        <v>78857</v>
      </c>
      <c r="G2991">
        <v>2.56</v>
      </c>
      <c r="H2991" t="s">
        <v>10</v>
      </c>
      <c r="I2991" t="s">
        <v>11</v>
      </c>
    </row>
    <row r="2992" spans="1:9" hidden="1" x14ac:dyDescent="0.25">
      <c r="A2992" t="s">
        <v>24</v>
      </c>
      <c r="B2992" t="s">
        <v>65</v>
      </c>
      <c r="C2992">
        <v>202311</v>
      </c>
      <c r="D2992" t="str">
        <f t="shared" si="46"/>
        <v>2023</v>
      </c>
      <c r="E2992">
        <v>2363</v>
      </c>
      <c r="F2992">
        <v>78857</v>
      </c>
      <c r="G2992">
        <v>3</v>
      </c>
      <c r="H2992" t="s">
        <v>10</v>
      </c>
      <c r="I2992" t="s">
        <v>11</v>
      </c>
    </row>
    <row r="2993" spans="1:9" hidden="1" x14ac:dyDescent="0.25">
      <c r="A2993" t="s">
        <v>24</v>
      </c>
      <c r="B2993" t="s">
        <v>65</v>
      </c>
      <c r="C2993">
        <v>202312</v>
      </c>
      <c r="D2993" t="str">
        <f t="shared" si="46"/>
        <v>2023</v>
      </c>
      <c r="E2993">
        <v>2178</v>
      </c>
      <c r="F2993">
        <v>78857</v>
      </c>
      <c r="G2993">
        <v>2.76</v>
      </c>
      <c r="H2993" t="s">
        <v>10</v>
      </c>
      <c r="I2993" t="s">
        <v>11</v>
      </c>
    </row>
    <row r="2994" spans="1:9" hidden="1" x14ac:dyDescent="0.25">
      <c r="A2994" t="s">
        <v>24</v>
      </c>
      <c r="B2994" t="s">
        <v>65</v>
      </c>
      <c r="C2994">
        <v>202401</v>
      </c>
      <c r="D2994" t="str">
        <f t="shared" si="46"/>
        <v>2024</v>
      </c>
      <c r="E2994">
        <v>2566</v>
      </c>
      <c r="F2994">
        <v>78857</v>
      </c>
      <c r="G2994">
        <v>3.25</v>
      </c>
      <c r="H2994" t="s">
        <v>10</v>
      </c>
      <c r="I2994" t="s">
        <v>11</v>
      </c>
    </row>
    <row r="2995" spans="1:9" hidden="1" x14ac:dyDescent="0.25">
      <c r="A2995" t="s">
        <v>24</v>
      </c>
      <c r="B2995" t="s">
        <v>65</v>
      </c>
      <c r="C2995">
        <v>202402</v>
      </c>
      <c r="D2995" t="str">
        <f t="shared" si="46"/>
        <v>2024</v>
      </c>
      <c r="E2995">
        <v>3299</v>
      </c>
      <c r="F2995">
        <v>78857</v>
      </c>
      <c r="G2995">
        <v>4.18</v>
      </c>
      <c r="H2995" t="s">
        <v>10</v>
      </c>
      <c r="I2995" t="s">
        <v>11</v>
      </c>
    </row>
    <row r="2996" spans="1:9" hidden="1" x14ac:dyDescent="0.25">
      <c r="A2996" t="s">
        <v>24</v>
      </c>
      <c r="B2996" t="s">
        <v>65</v>
      </c>
      <c r="C2996">
        <v>202403</v>
      </c>
      <c r="D2996" t="str">
        <f t="shared" si="46"/>
        <v>2024</v>
      </c>
      <c r="E2996">
        <v>2835</v>
      </c>
      <c r="F2996">
        <v>78857</v>
      </c>
      <c r="G2996">
        <v>3.6</v>
      </c>
      <c r="H2996" t="s">
        <v>10</v>
      </c>
      <c r="I2996" t="s">
        <v>11</v>
      </c>
    </row>
    <row r="2997" spans="1:9" hidden="1" x14ac:dyDescent="0.25">
      <c r="A2997" t="s">
        <v>24</v>
      </c>
      <c r="B2997" t="s">
        <v>65</v>
      </c>
      <c r="C2997">
        <v>202404</v>
      </c>
      <c r="D2997" t="str">
        <f t="shared" si="46"/>
        <v>2024</v>
      </c>
      <c r="E2997">
        <v>3387</v>
      </c>
      <c r="F2997">
        <v>78857</v>
      </c>
      <c r="G2997">
        <v>4.3</v>
      </c>
      <c r="H2997" t="s">
        <v>10</v>
      </c>
      <c r="I2997" t="s">
        <v>11</v>
      </c>
    </row>
    <row r="2998" spans="1:9" hidden="1" x14ac:dyDescent="0.25">
      <c r="A2998" t="s">
        <v>24</v>
      </c>
      <c r="B2998" t="s">
        <v>65</v>
      </c>
      <c r="C2998">
        <v>202405</v>
      </c>
      <c r="D2998" t="str">
        <f t="shared" si="46"/>
        <v>2024</v>
      </c>
      <c r="E2998">
        <v>3098</v>
      </c>
      <c r="F2998">
        <v>78857</v>
      </c>
      <c r="G2998">
        <v>3.93</v>
      </c>
      <c r="H2998" t="s">
        <v>10</v>
      </c>
      <c r="I2998" t="s">
        <v>11</v>
      </c>
    </row>
    <row r="2999" spans="1:9" hidden="1" x14ac:dyDescent="0.25">
      <c r="A2999" t="s">
        <v>24</v>
      </c>
      <c r="B2999" t="s">
        <v>65</v>
      </c>
      <c r="C2999">
        <v>202406</v>
      </c>
      <c r="D2999" t="str">
        <f t="shared" si="46"/>
        <v>2024</v>
      </c>
      <c r="E2999">
        <v>2798</v>
      </c>
      <c r="F2999">
        <v>78857</v>
      </c>
      <c r="G2999">
        <v>3.55</v>
      </c>
      <c r="H2999" t="s">
        <v>10</v>
      </c>
      <c r="I2999" t="s">
        <v>11</v>
      </c>
    </row>
    <row r="3000" spans="1:9" hidden="1" x14ac:dyDescent="0.25">
      <c r="A3000" t="s">
        <v>24</v>
      </c>
      <c r="B3000" t="s">
        <v>65</v>
      </c>
      <c r="C3000">
        <v>202407</v>
      </c>
      <c r="D3000" t="str">
        <f t="shared" si="46"/>
        <v>2024</v>
      </c>
      <c r="E3000">
        <v>2767</v>
      </c>
      <c r="F3000">
        <v>78857</v>
      </c>
      <c r="G3000">
        <v>3.51</v>
      </c>
      <c r="H3000" t="s">
        <v>10</v>
      </c>
      <c r="I3000" t="s">
        <v>11</v>
      </c>
    </row>
    <row r="3001" spans="1:9" hidden="1" x14ac:dyDescent="0.25">
      <c r="A3001" t="s">
        <v>24</v>
      </c>
      <c r="B3001" t="s">
        <v>65</v>
      </c>
      <c r="C3001">
        <v>202408</v>
      </c>
      <c r="D3001" t="str">
        <f t="shared" si="46"/>
        <v>2024</v>
      </c>
      <c r="E3001">
        <v>2864</v>
      </c>
      <c r="F3001">
        <v>78857</v>
      </c>
      <c r="G3001">
        <v>3.63</v>
      </c>
      <c r="H3001" t="s">
        <v>10</v>
      </c>
      <c r="I3001" t="s">
        <v>11</v>
      </c>
    </row>
    <row r="3002" spans="1:9" hidden="1" x14ac:dyDescent="0.25">
      <c r="A3002" t="s">
        <v>24</v>
      </c>
      <c r="B3002" t="s">
        <v>65</v>
      </c>
      <c r="C3002">
        <v>202409</v>
      </c>
      <c r="D3002" t="str">
        <f t="shared" si="46"/>
        <v>2024</v>
      </c>
      <c r="E3002">
        <v>3099</v>
      </c>
      <c r="F3002">
        <v>78857</v>
      </c>
      <c r="G3002">
        <v>3.93</v>
      </c>
      <c r="H3002" t="s">
        <v>10</v>
      </c>
      <c r="I3002" t="s">
        <v>11</v>
      </c>
    </row>
    <row r="3003" spans="1:9" hidden="1" x14ac:dyDescent="0.25">
      <c r="A3003" t="s">
        <v>24</v>
      </c>
      <c r="B3003" t="s">
        <v>65</v>
      </c>
      <c r="C3003">
        <v>202410</v>
      </c>
      <c r="D3003" t="str">
        <f t="shared" si="46"/>
        <v>2024</v>
      </c>
      <c r="E3003">
        <v>3198</v>
      </c>
      <c r="F3003">
        <v>78857</v>
      </c>
      <c r="G3003">
        <v>4.0599999999999996</v>
      </c>
      <c r="H3003" t="s">
        <v>10</v>
      </c>
      <c r="I3003" t="s">
        <v>11</v>
      </c>
    </row>
    <row r="3004" spans="1:9" hidden="1" x14ac:dyDescent="0.25">
      <c r="A3004" t="s">
        <v>24</v>
      </c>
      <c r="B3004" t="s">
        <v>65</v>
      </c>
      <c r="C3004">
        <v>202411</v>
      </c>
      <c r="D3004" t="str">
        <f t="shared" si="46"/>
        <v>2024</v>
      </c>
      <c r="E3004">
        <v>2874</v>
      </c>
      <c r="F3004">
        <v>78857</v>
      </c>
      <c r="G3004">
        <v>3.64</v>
      </c>
      <c r="H3004" t="s">
        <v>10</v>
      </c>
      <c r="I3004" t="s">
        <v>11</v>
      </c>
    </row>
    <row r="3005" spans="1:9" hidden="1" x14ac:dyDescent="0.25">
      <c r="A3005" t="s">
        <v>24</v>
      </c>
      <c r="B3005" t="s">
        <v>65</v>
      </c>
      <c r="C3005">
        <v>202412</v>
      </c>
      <c r="D3005" t="str">
        <f t="shared" si="46"/>
        <v>2024</v>
      </c>
      <c r="E3005">
        <v>3036</v>
      </c>
      <c r="F3005">
        <v>78857</v>
      </c>
      <c r="G3005">
        <v>3.85</v>
      </c>
      <c r="H3005" t="s">
        <v>10</v>
      </c>
      <c r="I3005" t="s">
        <v>11</v>
      </c>
    </row>
    <row r="3006" spans="1:9" x14ac:dyDescent="0.25">
      <c r="A3006" t="s">
        <v>24</v>
      </c>
      <c r="B3006" t="s">
        <v>65</v>
      </c>
      <c r="C3006">
        <v>202501</v>
      </c>
      <c r="D3006" t="str">
        <f t="shared" si="46"/>
        <v>2025</v>
      </c>
      <c r="E3006">
        <v>5180</v>
      </c>
      <c r="F3006">
        <v>78857</v>
      </c>
      <c r="G3006">
        <v>6.57</v>
      </c>
      <c r="H3006" t="s">
        <v>10</v>
      </c>
      <c r="I3006" t="s">
        <v>11</v>
      </c>
    </row>
    <row r="3007" spans="1:9" x14ac:dyDescent="0.25">
      <c r="A3007" t="s">
        <v>24</v>
      </c>
      <c r="B3007" t="s">
        <v>65</v>
      </c>
      <c r="C3007">
        <v>202502</v>
      </c>
      <c r="D3007" t="str">
        <f t="shared" si="46"/>
        <v>2025</v>
      </c>
      <c r="E3007">
        <v>4830</v>
      </c>
      <c r="F3007">
        <v>78857</v>
      </c>
      <c r="G3007">
        <v>6.13</v>
      </c>
      <c r="H3007" t="s">
        <v>10</v>
      </c>
      <c r="I3007" t="s">
        <v>11</v>
      </c>
    </row>
    <row r="3008" spans="1:9" x14ac:dyDescent="0.25">
      <c r="A3008" t="s">
        <v>24</v>
      </c>
      <c r="B3008" t="s">
        <v>65</v>
      </c>
      <c r="C3008">
        <v>202503</v>
      </c>
      <c r="D3008" t="str">
        <f t="shared" si="46"/>
        <v>2025</v>
      </c>
      <c r="E3008">
        <v>4862</v>
      </c>
      <c r="F3008">
        <v>78857</v>
      </c>
      <c r="G3008">
        <v>6.17</v>
      </c>
      <c r="H3008" t="s">
        <v>10</v>
      </c>
      <c r="I3008" t="s">
        <v>11</v>
      </c>
    </row>
    <row r="3009" spans="1:9" x14ac:dyDescent="0.25">
      <c r="A3009" t="s">
        <v>24</v>
      </c>
      <c r="B3009" t="s">
        <v>65</v>
      </c>
      <c r="C3009">
        <v>202504</v>
      </c>
      <c r="D3009" t="str">
        <f t="shared" si="46"/>
        <v>2025</v>
      </c>
      <c r="E3009">
        <v>1692</v>
      </c>
      <c r="F3009">
        <v>78857</v>
      </c>
      <c r="G3009">
        <v>2.15</v>
      </c>
      <c r="H3009" t="s">
        <v>10</v>
      </c>
      <c r="I3009" t="s">
        <v>11</v>
      </c>
    </row>
    <row r="3010" spans="1:9" hidden="1" x14ac:dyDescent="0.25">
      <c r="A3010" t="s">
        <v>24</v>
      </c>
      <c r="B3010" t="s">
        <v>25</v>
      </c>
      <c r="C3010">
        <v>202301</v>
      </c>
      <c r="D3010" t="str">
        <f t="shared" si="46"/>
        <v>2023</v>
      </c>
      <c r="E3010">
        <v>1721</v>
      </c>
      <c r="F3010">
        <v>82574</v>
      </c>
      <c r="G3010">
        <v>2.08</v>
      </c>
      <c r="H3010" t="s">
        <v>10</v>
      </c>
      <c r="I3010" t="s">
        <v>11</v>
      </c>
    </row>
    <row r="3011" spans="1:9" hidden="1" x14ac:dyDescent="0.25">
      <c r="A3011" t="s">
        <v>24</v>
      </c>
      <c r="B3011" t="s">
        <v>25</v>
      </c>
      <c r="C3011">
        <v>202302</v>
      </c>
      <c r="D3011" t="str">
        <f t="shared" ref="D3011:D3074" si="47">LEFT(C3011,4)</f>
        <v>2023</v>
      </c>
      <c r="E3011">
        <v>2256</v>
      </c>
      <c r="F3011">
        <v>82574</v>
      </c>
      <c r="G3011">
        <v>2.73</v>
      </c>
      <c r="H3011" t="s">
        <v>10</v>
      </c>
      <c r="I3011" t="s">
        <v>11</v>
      </c>
    </row>
    <row r="3012" spans="1:9" hidden="1" x14ac:dyDescent="0.25">
      <c r="A3012" t="s">
        <v>24</v>
      </c>
      <c r="B3012" t="s">
        <v>25</v>
      </c>
      <c r="C3012">
        <v>202303</v>
      </c>
      <c r="D3012" t="str">
        <f t="shared" si="47"/>
        <v>2023</v>
      </c>
      <c r="E3012">
        <v>2348</v>
      </c>
      <c r="F3012">
        <v>82574</v>
      </c>
      <c r="G3012">
        <v>2.84</v>
      </c>
      <c r="H3012" t="s">
        <v>10</v>
      </c>
      <c r="I3012" t="s">
        <v>11</v>
      </c>
    </row>
    <row r="3013" spans="1:9" hidden="1" x14ac:dyDescent="0.25">
      <c r="A3013" t="s">
        <v>24</v>
      </c>
      <c r="B3013" t="s">
        <v>25</v>
      </c>
      <c r="C3013">
        <v>202304</v>
      </c>
      <c r="D3013" t="str">
        <f t="shared" si="47"/>
        <v>2023</v>
      </c>
      <c r="E3013">
        <v>2327</v>
      </c>
      <c r="F3013">
        <v>82574</v>
      </c>
      <c r="G3013">
        <v>2.82</v>
      </c>
      <c r="H3013" t="s">
        <v>10</v>
      </c>
      <c r="I3013" t="s">
        <v>11</v>
      </c>
    </row>
    <row r="3014" spans="1:9" hidden="1" x14ac:dyDescent="0.25">
      <c r="A3014" t="s">
        <v>24</v>
      </c>
      <c r="B3014" t="s">
        <v>25</v>
      </c>
      <c r="C3014">
        <v>202305</v>
      </c>
      <c r="D3014" t="str">
        <f t="shared" si="47"/>
        <v>2023</v>
      </c>
      <c r="E3014">
        <v>2050</v>
      </c>
      <c r="F3014">
        <v>82574</v>
      </c>
      <c r="G3014">
        <v>2.48</v>
      </c>
      <c r="H3014" t="s">
        <v>10</v>
      </c>
      <c r="I3014" t="s">
        <v>11</v>
      </c>
    </row>
    <row r="3015" spans="1:9" hidden="1" x14ac:dyDescent="0.25">
      <c r="A3015" t="s">
        <v>24</v>
      </c>
      <c r="B3015" t="s">
        <v>25</v>
      </c>
      <c r="C3015">
        <v>202306</v>
      </c>
      <c r="D3015" t="str">
        <f t="shared" si="47"/>
        <v>2023</v>
      </c>
      <c r="E3015">
        <v>2431</v>
      </c>
      <c r="F3015">
        <v>82574</v>
      </c>
      <c r="G3015">
        <v>2.94</v>
      </c>
      <c r="H3015" t="s">
        <v>10</v>
      </c>
      <c r="I3015" t="s">
        <v>11</v>
      </c>
    </row>
    <row r="3016" spans="1:9" hidden="1" x14ac:dyDescent="0.25">
      <c r="A3016" t="s">
        <v>24</v>
      </c>
      <c r="B3016" t="s">
        <v>25</v>
      </c>
      <c r="C3016">
        <v>202307</v>
      </c>
      <c r="D3016" t="str">
        <f t="shared" si="47"/>
        <v>2023</v>
      </c>
      <c r="E3016">
        <v>2354</v>
      </c>
      <c r="F3016">
        <v>82574</v>
      </c>
      <c r="G3016">
        <v>2.85</v>
      </c>
      <c r="H3016" t="s">
        <v>10</v>
      </c>
      <c r="I3016" t="s">
        <v>11</v>
      </c>
    </row>
    <row r="3017" spans="1:9" hidden="1" x14ac:dyDescent="0.25">
      <c r="A3017" t="s">
        <v>24</v>
      </c>
      <c r="B3017" t="s">
        <v>25</v>
      </c>
      <c r="C3017">
        <v>202308</v>
      </c>
      <c r="D3017" t="str">
        <f t="shared" si="47"/>
        <v>2023</v>
      </c>
      <c r="E3017">
        <v>2224</v>
      </c>
      <c r="F3017">
        <v>82574</v>
      </c>
      <c r="G3017">
        <v>2.69</v>
      </c>
      <c r="H3017" t="s">
        <v>10</v>
      </c>
      <c r="I3017" t="s">
        <v>11</v>
      </c>
    </row>
    <row r="3018" spans="1:9" hidden="1" x14ac:dyDescent="0.25">
      <c r="A3018" t="s">
        <v>24</v>
      </c>
      <c r="B3018" t="s">
        <v>25</v>
      </c>
      <c r="C3018">
        <v>202309</v>
      </c>
      <c r="D3018" t="str">
        <f t="shared" si="47"/>
        <v>2023</v>
      </c>
      <c r="E3018">
        <v>1994</v>
      </c>
      <c r="F3018">
        <v>82574</v>
      </c>
      <c r="G3018">
        <v>2.41</v>
      </c>
      <c r="H3018" t="s">
        <v>10</v>
      </c>
      <c r="I3018" t="s">
        <v>11</v>
      </c>
    </row>
    <row r="3019" spans="1:9" hidden="1" x14ac:dyDescent="0.25">
      <c r="A3019" t="s">
        <v>24</v>
      </c>
      <c r="B3019" t="s">
        <v>25</v>
      </c>
      <c r="C3019">
        <v>202310</v>
      </c>
      <c r="D3019" t="str">
        <f t="shared" si="47"/>
        <v>2023</v>
      </c>
      <c r="E3019">
        <v>2000</v>
      </c>
      <c r="F3019">
        <v>82574</v>
      </c>
      <c r="G3019">
        <v>2.42</v>
      </c>
      <c r="H3019" t="s">
        <v>10</v>
      </c>
      <c r="I3019" t="s">
        <v>11</v>
      </c>
    </row>
    <row r="3020" spans="1:9" hidden="1" x14ac:dyDescent="0.25">
      <c r="A3020" t="s">
        <v>24</v>
      </c>
      <c r="B3020" t="s">
        <v>25</v>
      </c>
      <c r="C3020">
        <v>202311</v>
      </c>
      <c r="D3020" t="str">
        <f t="shared" si="47"/>
        <v>2023</v>
      </c>
      <c r="E3020">
        <v>2378</v>
      </c>
      <c r="F3020">
        <v>82574</v>
      </c>
      <c r="G3020">
        <v>2.88</v>
      </c>
      <c r="H3020" t="s">
        <v>10</v>
      </c>
      <c r="I3020" t="s">
        <v>11</v>
      </c>
    </row>
    <row r="3021" spans="1:9" hidden="1" x14ac:dyDescent="0.25">
      <c r="A3021" t="s">
        <v>24</v>
      </c>
      <c r="B3021" t="s">
        <v>25</v>
      </c>
      <c r="C3021">
        <v>202312</v>
      </c>
      <c r="D3021" t="str">
        <f t="shared" si="47"/>
        <v>2023</v>
      </c>
      <c r="E3021">
        <v>2162</v>
      </c>
      <c r="F3021">
        <v>82574</v>
      </c>
      <c r="G3021">
        <v>2.62</v>
      </c>
      <c r="H3021" t="s">
        <v>10</v>
      </c>
      <c r="I3021" t="s">
        <v>11</v>
      </c>
    </row>
    <row r="3022" spans="1:9" hidden="1" x14ac:dyDescent="0.25">
      <c r="A3022" t="s">
        <v>24</v>
      </c>
      <c r="B3022" t="s">
        <v>25</v>
      </c>
      <c r="C3022">
        <v>202401</v>
      </c>
      <c r="D3022" t="str">
        <f t="shared" si="47"/>
        <v>2024</v>
      </c>
      <c r="E3022">
        <v>2474</v>
      </c>
      <c r="F3022">
        <v>82574</v>
      </c>
      <c r="G3022">
        <v>3</v>
      </c>
      <c r="H3022" t="s">
        <v>10</v>
      </c>
      <c r="I3022" t="s">
        <v>11</v>
      </c>
    </row>
    <row r="3023" spans="1:9" hidden="1" x14ac:dyDescent="0.25">
      <c r="A3023" t="s">
        <v>24</v>
      </c>
      <c r="B3023" t="s">
        <v>25</v>
      </c>
      <c r="C3023">
        <v>202402</v>
      </c>
      <c r="D3023" t="str">
        <f t="shared" si="47"/>
        <v>2024</v>
      </c>
      <c r="E3023">
        <v>3264</v>
      </c>
      <c r="F3023">
        <v>82574</v>
      </c>
      <c r="G3023">
        <v>3.95</v>
      </c>
      <c r="H3023" t="s">
        <v>10</v>
      </c>
      <c r="I3023" t="s">
        <v>11</v>
      </c>
    </row>
    <row r="3024" spans="1:9" hidden="1" x14ac:dyDescent="0.25">
      <c r="A3024" t="s">
        <v>24</v>
      </c>
      <c r="B3024" t="s">
        <v>25</v>
      </c>
      <c r="C3024">
        <v>202403</v>
      </c>
      <c r="D3024" t="str">
        <f t="shared" si="47"/>
        <v>2024</v>
      </c>
      <c r="E3024">
        <v>2824</v>
      </c>
      <c r="F3024">
        <v>82574</v>
      </c>
      <c r="G3024">
        <v>3.42</v>
      </c>
      <c r="H3024" t="s">
        <v>10</v>
      </c>
      <c r="I3024" t="s">
        <v>11</v>
      </c>
    </row>
    <row r="3025" spans="1:9" hidden="1" x14ac:dyDescent="0.25">
      <c r="A3025" t="s">
        <v>24</v>
      </c>
      <c r="B3025" t="s">
        <v>25</v>
      </c>
      <c r="C3025">
        <v>202404</v>
      </c>
      <c r="D3025" t="str">
        <f t="shared" si="47"/>
        <v>2024</v>
      </c>
      <c r="E3025">
        <v>3373</v>
      </c>
      <c r="F3025">
        <v>82574</v>
      </c>
      <c r="G3025">
        <v>4.08</v>
      </c>
      <c r="H3025" t="s">
        <v>10</v>
      </c>
      <c r="I3025" t="s">
        <v>11</v>
      </c>
    </row>
    <row r="3026" spans="1:9" hidden="1" x14ac:dyDescent="0.25">
      <c r="A3026" t="s">
        <v>24</v>
      </c>
      <c r="B3026" t="s">
        <v>25</v>
      </c>
      <c r="C3026">
        <v>202405</v>
      </c>
      <c r="D3026" t="str">
        <f t="shared" si="47"/>
        <v>2024</v>
      </c>
      <c r="E3026">
        <v>3093</v>
      </c>
      <c r="F3026">
        <v>82574</v>
      </c>
      <c r="G3026">
        <v>3.75</v>
      </c>
      <c r="H3026" t="s">
        <v>10</v>
      </c>
      <c r="I3026" t="s">
        <v>11</v>
      </c>
    </row>
    <row r="3027" spans="1:9" hidden="1" x14ac:dyDescent="0.25">
      <c r="A3027" t="s">
        <v>24</v>
      </c>
      <c r="B3027" t="s">
        <v>25</v>
      </c>
      <c r="C3027">
        <v>202406</v>
      </c>
      <c r="D3027" t="str">
        <f t="shared" si="47"/>
        <v>2024</v>
      </c>
      <c r="E3027">
        <v>2821</v>
      </c>
      <c r="F3027">
        <v>82574</v>
      </c>
      <c r="G3027">
        <v>3.42</v>
      </c>
      <c r="H3027" t="s">
        <v>10</v>
      </c>
      <c r="I3027" t="s">
        <v>11</v>
      </c>
    </row>
    <row r="3028" spans="1:9" hidden="1" x14ac:dyDescent="0.25">
      <c r="A3028" t="s">
        <v>24</v>
      </c>
      <c r="B3028" t="s">
        <v>25</v>
      </c>
      <c r="C3028">
        <v>202407</v>
      </c>
      <c r="D3028" t="str">
        <f t="shared" si="47"/>
        <v>2024</v>
      </c>
      <c r="E3028">
        <v>2754</v>
      </c>
      <c r="F3028">
        <v>82574</v>
      </c>
      <c r="G3028">
        <v>3.34</v>
      </c>
      <c r="H3028" t="s">
        <v>10</v>
      </c>
      <c r="I3028" t="s">
        <v>11</v>
      </c>
    </row>
    <row r="3029" spans="1:9" hidden="1" x14ac:dyDescent="0.25">
      <c r="A3029" t="s">
        <v>24</v>
      </c>
      <c r="B3029" t="s">
        <v>25</v>
      </c>
      <c r="C3029">
        <v>202408</v>
      </c>
      <c r="D3029" t="str">
        <f t="shared" si="47"/>
        <v>2024</v>
      </c>
      <c r="E3029">
        <v>2844</v>
      </c>
      <c r="F3029">
        <v>82574</v>
      </c>
      <c r="G3029">
        <v>3.44</v>
      </c>
      <c r="H3029" t="s">
        <v>10</v>
      </c>
      <c r="I3029" t="s">
        <v>11</v>
      </c>
    </row>
    <row r="3030" spans="1:9" hidden="1" x14ac:dyDescent="0.25">
      <c r="A3030" t="s">
        <v>24</v>
      </c>
      <c r="B3030" t="s">
        <v>25</v>
      </c>
      <c r="C3030">
        <v>202409</v>
      </c>
      <c r="D3030" t="str">
        <f t="shared" si="47"/>
        <v>2024</v>
      </c>
      <c r="E3030">
        <v>3011</v>
      </c>
      <c r="F3030">
        <v>82574</v>
      </c>
      <c r="G3030">
        <v>3.65</v>
      </c>
      <c r="H3030" t="s">
        <v>10</v>
      </c>
      <c r="I3030" t="s">
        <v>11</v>
      </c>
    </row>
    <row r="3031" spans="1:9" hidden="1" x14ac:dyDescent="0.25">
      <c r="A3031" t="s">
        <v>24</v>
      </c>
      <c r="B3031" t="s">
        <v>25</v>
      </c>
      <c r="C3031">
        <v>202410</v>
      </c>
      <c r="D3031" t="str">
        <f t="shared" si="47"/>
        <v>2024</v>
      </c>
      <c r="E3031">
        <v>3194</v>
      </c>
      <c r="F3031">
        <v>82574</v>
      </c>
      <c r="G3031">
        <v>3.87</v>
      </c>
      <c r="H3031" t="s">
        <v>10</v>
      </c>
      <c r="I3031" t="s">
        <v>11</v>
      </c>
    </row>
    <row r="3032" spans="1:9" hidden="1" x14ac:dyDescent="0.25">
      <c r="A3032" t="s">
        <v>24</v>
      </c>
      <c r="B3032" t="s">
        <v>25</v>
      </c>
      <c r="C3032">
        <v>202411</v>
      </c>
      <c r="D3032" t="str">
        <f t="shared" si="47"/>
        <v>2024</v>
      </c>
      <c r="E3032">
        <v>2858</v>
      </c>
      <c r="F3032">
        <v>82574</v>
      </c>
      <c r="G3032">
        <v>3.46</v>
      </c>
      <c r="H3032" t="s">
        <v>10</v>
      </c>
      <c r="I3032" t="s">
        <v>11</v>
      </c>
    </row>
    <row r="3033" spans="1:9" hidden="1" x14ac:dyDescent="0.25">
      <c r="A3033" t="s">
        <v>24</v>
      </c>
      <c r="B3033" t="s">
        <v>25</v>
      </c>
      <c r="C3033">
        <v>202412</v>
      </c>
      <c r="D3033" t="str">
        <f t="shared" si="47"/>
        <v>2024</v>
      </c>
      <c r="E3033">
        <v>3040</v>
      </c>
      <c r="F3033">
        <v>82574</v>
      </c>
      <c r="G3033">
        <v>3.68</v>
      </c>
      <c r="H3033" t="s">
        <v>10</v>
      </c>
      <c r="I3033" t="s">
        <v>11</v>
      </c>
    </row>
    <row r="3034" spans="1:9" x14ac:dyDescent="0.25">
      <c r="A3034" t="s">
        <v>24</v>
      </c>
      <c r="B3034" t="s">
        <v>25</v>
      </c>
      <c r="C3034">
        <v>202501</v>
      </c>
      <c r="D3034" t="str">
        <f t="shared" si="47"/>
        <v>2025</v>
      </c>
      <c r="E3034">
        <v>4922</v>
      </c>
      <c r="F3034">
        <v>82574</v>
      </c>
      <c r="G3034">
        <v>5.96</v>
      </c>
      <c r="H3034" t="s">
        <v>10</v>
      </c>
      <c r="I3034" t="s">
        <v>11</v>
      </c>
    </row>
    <row r="3035" spans="1:9" x14ac:dyDescent="0.25">
      <c r="A3035" t="s">
        <v>24</v>
      </c>
      <c r="B3035" t="s">
        <v>25</v>
      </c>
      <c r="C3035">
        <v>202502</v>
      </c>
      <c r="D3035" t="str">
        <f t="shared" si="47"/>
        <v>2025</v>
      </c>
      <c r="E3035">
        <v>4802</v>
      </c>
      <c r="F3035">
        <v>82574</v>
      </c>
      <c r="G3035">
        <v>5.82</v>
      </c>
      <c r="H3035" t="s">
        <v>10</v>
      </c>
      <c r="I3035" t="s">
        <v>11</v>
      </c>
    </row>
    <row r="3036" spans="1:9" x14ac:dyDescent="0.25">
      <c r="A3036" t="s">
        <v>24</v>
      </c>
      <c r="B3036" t="s">
        <v>25</v>
      </c>
      <c r="C3036">
        <v>202503</v>
      </c>
      <c r="D3036" t="str">
        <f t="shared" si="47"/>
        <v>2025</v>
      </c>
      <c r="E3036">
        <v>4965</v>
      </c>
      <c r="F3036">
        <v>82574</v>
      </c>
      <c r="G3036">
        <v>6.01</v>
      </c>
      <c r="H3036" t="s">
        <v>10</v>
      </c>
      <c r="I3036" t="s">
        <v>11</v>
      </c>
    </row>
    <row r="3037" spans="1:9" x14ac:dyDescent="0.25">
      <c r="A3037" t="s">
        <v>24</v>
      </c>
      <c r="B3037" t="s">
        <v>25</v>
      </c>
      <c r="C3037">
        <v>202504</v>
      </c>
      <c r="D3037" t="str">
        <f t="shared" si="47"/>
        <v>2025</v>
      </c>
      <c r="E3037">
        <v>4333</v>
      </c>
      <c r="F3037">
        <v>82574</v>
      </c>
      <c r="G3037">
        <v>5.25</v>
      </c>
      <c r="H3037" t="s">
        <v>10</v>
      </c>
      <c r="I3037" t="s">
        <v>11</v>
      </c>
    </row>
    <row r="3038" spans="1:9" x14ac:dyDescent="0.25">
      <c r="A3038" t="s">
        <v>24</v>
      </c>
      <c r="B3038" t="s">
        <v>25</v>
      </c>
      <c r="C3038">
        <v>202505</v>
      </c>
      <c r="D3038" t="str">
        <f t="shared" si="47"/>
        <v>2025</v>
      </c>
      <c r="E3038">
        <v>1757</v>
      </c>
      <c r="F3038">
        <v>82574</v>
      </c>
      <c r="G3038">
        <v>2.13</v>
      </c>
      <c r="H3038" t="s">
        <v>10</v>
      </c>
      <c r="I3038" t="s">
        <v>11</v>
      </c>
    </row>
    <row r="3039" spans="1:9" hidden="1" x14ac:dyDescent="0.25">
      <c r="A3039" t="s">
        <v>24</v>
      </c>
      <c r="B3039" t="s">
        <v>26</v>
      </c>
      <c r="C3039">
        <v>202301</v>
      </c>
      <c r="D3039" t="str">
        <f t="shared" si="47"/>
        <v>2023</v>
      </c>
      <c r="E3039">
        <v>1723</v>
      </c>
      <c r="F3039">
        <v>88149</v>
      </c>
      <c r="G3039">
        <v>1.95</v>
      </c>
      <c r="H3039" t="s">
        <v>10</v>
      </c>
      <c r="I3039" t="s">
        <v>11</v>
      </c>
    </row>
    <row r="3040" spans="1:9" hidden="1" x14ac:dyDescent="0.25">
      <c r="A3040" t="s">
        <v>24</v>
      </c>
      <c r="B3040" t="s">
        <v>26</v>
      </c>
      <c r="C3040">
        <v>202302</v>
      </c>
      <c r="D3040" t="str">
        <f t="shared" si="47"/>
        <v>2023</v>
      </c>
      <c r="E3040">
        <v>2245</v>
      </c>
      <c r="F3040">
        <v>88149</v>
      </c>
      <c r="G3040">
        <v>2.5499999999999998</v>
      </c>
      <c r="H3040" t="s">
        <v>10</v>
      </c>
      <c r="I3040" t="s">
        <v>11</v>
      </c>
    </row>
    <row r="3041" spans="1:9" hidden="1" x14ac:dyDescent="0.25">
      <c r="A3041" t="s">
        <v>24</v>
      </c>
      <c r="B3041" t="s">
        <v>26</v>
      </c>
      <c r="C3041">
        <v>202303</v>
      </c>
      <c r="D3041" t="str">
        <f t="shared" si="47"/>
        <v>2023</v>
      </c>
      <c r="E3041">
        <v>2469</v>
      </c>
      <c r="F3041">
        <v>88149</v>
      </c>
      <c r="G3041">
        <v>2.8</v>
      </c>
      <c r="H3041" t="s">
        <v>10</v>
      </c>
      <c r="I3041" t="s">
        <v>11</v>
      </c>
    </row>
    <row r="3042" spans="1:9" hidden="1" x14ac:dyDescent="0.25">
      <c r="A3042" t="s">
        <v>24</v>
      </c>
      <c r="B3042" t="s">
        <v>26</v>
      </c>
      <c r="C3042">
        <v>202304</v>
      </c>
      <c r="D3042" t="str">
        <f t="shared" si="47"/>
        <v>2023</v>
      </c>
      <c r="E3042">
        <v>2345</v>
      </c>
      <c r="F3042">
        <v>88149</v>
      </c>
      <c r="G3042">
        <v>2.66</v>
      </c>
      <c r="H3042" t="s">
        <v>10</v>
      </c>
      <c r="I3042" t="s">
        <v>11</v>
      </c>
    </row>
    <row r="3043" spans="1:9" hidden="1" x14ac:dyDescent="0.25">
      <c r="A3043" t="s">
        <v>24</v>
      </c>
      <c r="B3043" t="s">
        <v>26</v>
      </c>
      <c r="C3043">
        <v>202305</v>
      </c>
      <c r="D3043" t="str">
        <f t="shared" si="47"/>
        <v>2023</v>
      </c>
      <c r="E3043">
        <v>2073</v>
      </c>
      <c r="F3043">
        <v>88149</v>
      </c>
      <c r="G3043">
        <v>2.35</v>
      </c>
      <c r="H3043" t="s">
        <v>10</v>
      </c>
      <c r="I3043" t="s">
        <v>11</v>
      </c>
    </row>
    <row r="3044" spans="1:9" hidden="1" x14ac:dyDescent="0.25">
      <c r="A3044" t="s">
        <v>24</v>
      </c>
      <c r="B3044" t="s">
        <v>26</v>
      </c>
      <c r="C3044">
        <v>202306</v>
      </c>
      <c r="D3044" t="str">
        <f t="shared" si="47"/>
        <v>2023</v>
      </c>
      <c r="E3044">
        <v>2471</v>
      </c>
      <c r="F3044">
        <v>88149</v>
      </c>
      <c r="G3044">
        <v>2.8</v>
      </c>
      <c r="H3044" t="s">
        <v>10</v>
      </c>
      <c r="I3044" t="s">
        <v>11</v>
      </c>
    </row>
    <row r="3045" spans="1:9" hidden="1" x14ac:dyDescent="0.25">
      <c r="A3045" t="s">
        <v>24</v>
      </c>
      <c r="B3045" t="s">
        <v>26</v>
      </c>
      <c r="C3045">
        <v>202307</v>
      </c>
      <c r="D3045" t="str">
        <f t="shared" si="47"/>
        <v>2023</v>
      </c>
      <c r="E3045">
        <v>2361</v>
      </c>
      <c r="F3045">
        <v>88149</v>
      </c>
      <c r="G3045">
        <v>2.68</v>
      </c>
      <c r="H3045" t="s">
        <v>10</v>
      </c>
      <c r="I3045" t="s">
        <v>11</v>
      </c>
    </row>
    <row r="3046" spans="1:9" hidden="1" x14ac:dyDescent="0.25">
      <c r="A3046" t="s">
        <v>24</v>
      </c>
      <c r="B3046" t="s">
        <v>26</v>
      </c>
      <c r="C3046">
        <v>202308</v>
      </c>
      <c r="D3046" t="str">
        <f t="shared" si="47"/>
        <v>2023</v>
      </c>
      <c r="E3046">
        <v>2249</v>
      </c>
      <c r="F3046">
        <v>88149</v>
      </c>
      <c r="G3046">
        <v>2.5499999999999998</v>
      </c>
      <c r="H3046" t="s">
        <v>10</v>
      </c>
      <c r="I3046" t="s">
        <v>11</v>
      </c>
    </row>
    <row r="3047" spans="1:9" hidden="1" x14ac:dyDescent="0.25">
      <c r="A3047" t="s">
        <v>24</v>
      </c>
      <c r="B3047" t="s">
        <v>26</v>
      </c>
      <c r="C3047">
        <v>202309</v>
      </c>
      <c r="D3047" t="str">
        <f t="shared" si="47"/>
        <v>2023</v>
      </c>
      <c r="E3047">
        <v>2011</v>
      </c>
      <c r="F3047">
        <v>88149</v>
      </c>
      <c r="G3047">
        <v>2.2799999999999998</v>
      </c>
      <c r="H3047" t="s">
        <v>10</v>
      </c>
      <c r="I3047" t="s">
        <v>11</v>
      </c>
    </row>
    <row r="3048" spans="1:9" hidden="1" x14ac:dyDescent="0.25">
      <c r="A3048" t="s">
        <v>24</v>
      </c>
      <c r="B3048" t="s">
        <v>26</v>
      </c>
      <c r="C3048">
        <v>202310</v>
      </c>
      <c r="D3048" t="str">
        <f t="shared" si="47"/>
        <v>2023</v>
      </c>
      <c r="E3048">
        <v>1996</v>
      </c>
      <c r="F3048">
        <v>88149</v>
      </c>
      <c r="G3048">
        <v>2.2599999999999998</v>
      </c>
      <c r="H3048" t="s">
        <v>10</v>
      </c>
      <c r="I3048" t="s">
        <v>11</v>
      </c>
    </row>
    <row r="3049" spans="1:9" hidden="1" x14ac:dyDescent="0.25">
      <c r="A3049" t="s">
        <v>24</v>
      </c>
      <c r="B3049" t="s">
        <v>26</v>
      </c>
      <c r="C3049">
        <v>202311</v>
      </c>
      <c r="D3049" t="str">
        <f t="shared" si="47"/>
        <v>2023</v>
      </c>
      <c r="E3049">
        <v>2411</v>
      </c>
      <c r="F3049">
        <v>88149</v>
      </c>
      <c r="G3049">
        <v>2.74</v>
      </c>
      <c r="H3049" t="s">
        <v>10</v>
      </c>
      <c r="I3049" t="s">
        <v>11</v>
      </c>
    </row>
    <row r="3050" spans="1:9" hidden="1" x14ac:dyDescent="0.25">
      <c r="A3050" t="s">
        <v>24</v>
      </c>
      <c r="B3050" t="s">
        <v>26</v>
      </c>
      <c r="C3050">
        <v>202312</v>
      </c>
      <c r="D3050" t="str">
        <f t="shared" si="47"/>
        <v>2023</v>
      </c>
      <c r="E3050">
        <v>2138</v>
      </c>
      <c r="F3050">
        <v>88149</v>
      </c>
      <c r="G3050">
        <v>2.4300000000000002</v>
      </c>
      <c r="H3050" t="s">
        <v>10</v>
      </c>
      <c r="I3050" t="s">
        <v>11</v>
      </c>
    </row>
    <row r="3051" spans="1:9" hidden="1" x14ac:dyDescent="0.25">
      <c r="A3051" t="s">
        <v>24</v>
      </c>
      <c r="B3051" t="s">
        <v>26</v>
      </c>
      <c r="C3051">
        <v>202401</v>
      </c>
      <c r="D3051" t="str">
        <f t="shared" si="47"/>
        <v>2024</v>
      </c>
      <c r="E3051">
        <v>2432</v>
      </c>
      <c r="F3051">
        <v>88149</v>
      </c>
      <c r="G3051">
        <v>2.76</v>
      </c>
      <c r="H3051" t="s">
        <v>10</v>
      </c>
      <c r="I3051" t="s">
        <v>11</v>
      </c>
    </row>
    <row r="3052" spans="1:9" hidden="1" x14ac:dyDescent="0.25">
      <c r="A3052" t="s">
        <v>24</v>
      </c>
      <c r="B3052" t="s">
        <v>26</v>
      </c>
      <c r="C3052">
        <v>202402</v>
      </c>
      <c r="D3052" t="str">
        <f t="shared" si="47"/>
        <v>2024</v>
      </c>
      <c r="E3052">
        <v>3235</v>
      </c>
      <c r="F3052">
        <v>88149</v>
      </c>
      <c r="G3052">
        <v>3.67</v>
      </c>
      <c r="H3052" t="s">
        <v>10</v>
      </c>
      <c r="I3052" t="s">
        <v>11</v>
      </c>
    </row>
    <row r="3053" spans="1:9" hidden="1" x14ac:dyDescent="0.25">
      <c r="A3053" t="s">
        <v>24</v>
      </c>
      <c r="B3053" t="s">
        <v>26</v>
      </c>
      <c r="C3053">
        <v>202403</v>
      </c>
      <c r="D3053" t="str">
        <f t="shared" si="47"/>
        <v>2024</v>
      </c>
      <c r="E3053">
        <v>2780</v>
      </c>
      <c r="F3053">
        <v>88149</v>
      </c>
      <c r="G3053">
        <v>3.15</v>
      </c>
      <c r="H3053" t="s">
        <v>10</v>
      </c>
      <c r="I3053" t="s">
        <v>11</v>
      </c>
    </row>
    <row r="3054" spans="1:9" hidden="1" x14ac:dyDescent="0.25">
      <c r="A3054" t="s">
        <v>24</v>
      </c>
      <c r="B3054" t="s">
        <v>26</v>
      </c>
      <c r="C3054">
        <v>202404</v>
      </c>
      <c r="D3054" t="str">
        <f t="shared" si="47"/>
        <v>2024</v>
      </c>
      <c r="E3054">
        <v>3290</v>
      </c>
      <c r="F3054">
        <v>88149</v>
      </c>
      <c r="G3054">
        <v>3.73</v>
      </c>
      <c r="H3054" t="s">
        <v>10</v>
      </c>
      <c r="I3054" t="s">
        <v>11</v>
      </c>
    </row>
    <row r="3055" spans="1:9" hidden="1" x14ac:dyDescent="0.25">
      <c r="A3055" t="s">
        <v>24</v>
      </c>
      <c r="B3055" t="s">
        <v>26</v>
      </c>
      <c r="C3055">
        <v>202405</v>
      </c>
      <c r="D3055" t="str">
        <f t="shared" si="47"/>
        <v>2024</v>
      </c>
      <c r="E3055">
        <v>3097</v>
      </c>
      <c r="F3055">
        <v>88149</v>
      </c>
      <c r="G3055">
        <v>3.51</v>
      </c>
      <c r="H3055" t="s">
        <v>10</v>
      </c>
      <c r="I3055" t="s">
        <v>11</v>
      </c>
    </row>
    <row r="3056" spans="1:9" hidden="1" x14ac:dyDescent="0.25">
      <c r="A3056" t="s">
        <v>24</v>
      </c>
      <c r="B3056" t="s">
        <v>26</v>
      </c>
      <c r="C3056">
        <v>202406</v>
      </c>
      <c r="D3056" t="str">
        <f t="shared" si="47"/>
        <v>2024</v>
      </c>
      <c r="E3056">
        <v>2742</v>
      </c>
      <c r="F3056">
        <v>88149</v>
      </c>
      <c r="G3056">
        <v>3.11</v>
      </c>
      <c r="H3056" t="s">
        <v>10</v>
      </c>
      <c r="I3056" t="s">
        <v>11</v>
      </c>
    </row>
    <row r="3057" spans="1:9" hidden="1" x14ac:dyDescent="0.25">
      <c r="A3057" t="s">
        <v>24</v>
      </c>
      <c r="B3057" t="s">
        <v>26</v>
      </c>
      <c r="C3057">
        <v>202407</v>
      </c>
      <c r="D3057" t="str">
        <f t="shared" si="47"/>
        <v>2024</v>
      </c>
      <c r="E3057">
        <v>2748</v>
      </c>
      <c r="F3057">
        <v>88149</v>
      </c>
      <c r="G3057">
        <v>3.12</v>
      </c>
      <c r="H3057" t="s">
        <v>10</v>
      </c>
      <c r="I3057" t="s">
        <v>11</v>
      </c>
    </row>
    <row r="3058" spans="1:9" hidden="1" x14ac:dyDescent="0.25">
      <c r="A3058" t="s">
        <v>24</v>
      </c>
      <c r="B3058" t="s">
        <v>26</v>
      </c>
      <c r="C3058">
        <v>202408</v>
      </c>
      <c r="D3058" t="str">
        <f t="shared" si="47"/>
        <v>2024</v>
      </c>
      <c r="E3058">
        <v>2838</v>
      </c>
      <c r="F3058">
        <v>88149</v>
      </c>
      <c r="G3058">
        <v>3.22</v>
      </c>
      <c r="H3058" t="s">
        <v>10</v>
      </c>
      <c r="I3058" t="s">
        <v>11</v>
      </c>
    </row>
    <row r="3059" spans="1:9" hidden="1" x14ac:dyDescent="0.25">
      <c r="A3059" t="s">
        <v>24</v>
      </c>
      <c r="B3059" t="s">
        <v>26</v>
      </c>
      <c r="C3059">
        <v>202409</v>
      </c>
      <c r="D3059" t="str">
        <f t="shared" si="47"/>
        <v>2024</v>
      </c>
      <c r="E3059">
        <v>2999</v>
      </c>
      <c r="F3059">
        <v>88149</v>
      </c>
      <c r="G3059">
        <v>3.4</v>
      </c>
      <c r="H3059" t="s">
        <v>10</v>
      </c>
      <c r="I3059" t="s">
        <v>11</v>
      </c>
    </row>
    <row r="3060" spans="1:9" hidden="1" x14ac:dyDescent="0.25">
      <c r="A3060" t="s">
        <v>24</v>
      </c>
      <c r="B3060" t="s">
        <v>26</v>
      </c>
      <c r="C3060">
        <v>202410</v>
      </c>
      <c r="D3060" t="str">
        <f t="shared" si="47"/>
        <v>2024</v>
      </c>
      <c r="E3060">
        <v>3271</v>
      </c>
      <c r="F3060">
        <v>88149</v>
      </c>
      <c r="G3060">
        <v>3.71</v>
      </c>
      <c r="H3060" t="s">
        <v>10</v>
      </c>
      <c r="I3060" t="s">
        <v>11</v>
      </c>
    </row>
    <row r="3061" spans="1:9" hidden="1" x14ac:dyDescent="0.25">
      <c r="A3061" t="s">
        <v>24</v>
      </c>
      <c r="B3061" t="s">
        <v>26</v>
      </c>
      <c r="C3061">
        <v>202411</v>
      </c>
      <c r="D3061" t="str">
        <f t="shared" si="47"/>
        <v>2024</v>
      </c>
      <c r="E3061">
        <v>2976</v>
      </c>
      <c r="F3061">
        <v>88149</v>
      </c>
      <c r="G3061">
        <v>3.38</v>
      </c>
      <c r="H3061" t="s">
        <v>10</v>
      </c>
      <c r="I3061" t="s">
        <v>11</v>
      </c>
    </row>
    <row r="3062" spans="1:9" hidden="1" x14ac:dyDescent="0.25">
      <c r="A3062" t="s">
        <v>24</v>
      </c>
      <c r="B3062" t="s">
        <v>26</v>
      </c>
      <c r="C3062">
        <v>202412</v>
      </c>
      <c r="D3062" t="str">
        <f t="shared" si="47"/>
        <v>2024</v>
      </c>
      <c r="E3062">
        <v>3049</v>
      </c>
      <c r="F3062">
        <v>88149</v>
      </c>
      <c r="G3062">
        <v>3.46</v>
      </c>
      <c r="H3062" t="s">
        <v>10</v>
      </c>
      <c r="I3062" t="s">
        <v>11</v>
      </c>
    </row>
    <row r="3063" spans="1:9" x14ac:dyDescent="0.25">
      <c r="A3063" t="s">
        <v>24</v>
      </c>
      <c r="B3063" t="s">
        <v>26</v>
      </c>
      <c r="C3063">
        <v>202501</v>
      </c>
      <c r="D3063" t="str">
        <f t="shared" si="47"/>
        <v>2025</v>
      </c>
      <c r="E3063">
        <v>5023</v>
      </c>
      <c r="F3063">
        <v>88149</v>
      </c>
      <c r="G3063">
        <v>5.7</v>
      </c>
      <c r="H3063" t="s">
        <v>10</v>
      </c>
      <c r="I3063" t="s">
        <v>11</v>
      </c>
    </row>
    <row r="3064" spans="1:9" x14ac:dyDescent="0.25">
      <c r="A3064" t="s">
        <v>24</v>
      </c>
      <c r="B3064" t="s">
        <v>26</v>
      </c>
      <c r="C3064">
        <v>202502</v>
      </c>
      <c r="D3064" t="str">
        <f t="shared" si="47"/>
        <v>2025</v>
      </c>
      <c r="E3064">
        <v>4887</v>
      </c>
      <c r="F3064">
        <v>88149</v>
      </c>
      <c r="G3064">
        <v>5.54</v>
      </c>
      <c r="H3064" t="s">
        <v>10</v>
      </c>
      <c r="I3064" t="s">
        <v>11</v>
      </c>
    </row>
    <row r="3065" spans="1:9" x14ac:dyDescent="0.25">
      <c r="A3065" t="s">
        <v>24</v>
      </c>
      <c r="B3065" t="s">
        <v>26</v>
      </c>
      <c r="C3065">
        <v>202503</v>
      </c>
      <c r="D3065" t="str">
        <f t="shared" si="47"/>
        <v>2025</v>
      </c>
      <c r="E3065">
        <v>5203</v>
      </c>
      <c r="F3065">
        <v>88149</v>
      </c>
      <c r="G3065">
        <v>5.9</v>
      </c>
      <c r="H3065" t="s">
        <v>10</v>
      </c>
      <c r="I3065" t="s">
        <v>11</v>
      </c>
    </row>
    <row r="3066" spans="1:9" x14ac:dyDescent="0.25">
      <c r="A3066" t="s">
        <v>24</v>
      </c>
      <c r="B3066" t="s">
        <v>26</v>
      </c>
      <c r="C3066">
        <v>202504</v>
      </c>
      <c r="D3066" t="str">
        <f t="shared" si="47"/>
        <v>2025</v>
      </c>
      <c r="E3066">
        <v>4797</v>
      </c>
      <c r="F3066">
        <v>88149</v>
      </c>
      <c r="G3066">
        <v>5.44</v>
      </c>
      <c r="H3066" t="s">
        <v>10</v>
      </c>
      <c r="I3066" t="s">
        <v>11</v>
      </c>
    </row>
    <row r="3067" spans="1:9" x14ac:dyDescent="0.25">
      <c r="A3067" t="s">
        <v>24</v>
      </c>
      <c r="B3067" t="s">
        <v>26</v>
      </c>
      <c r="C3067">
        <v>202505</v>
      </c>
      <c r="D3067" t="str">
        <f t="shared" si="47"/>
        <v>2025</v>
      </c>
      <c r="E3067">
        <v>4775</v>
      </c>
      <c r="F3067">
        <v>88149</v>
      </c>
      <c r="G3067">
        <v>5.42</v>
      </c>
      <c r="H3067" t="s">
        <v>10</v>
      </c>
      <c r="I3067" t="s">
        <v>11</v>
      </c>
    </row>
    <row r="3068" spans="1:9" x14ac:dyDescent="0.25">
      <c r="A3068" t="s">
        <v>24</v>
      </c>
      <c r="B3068" t="s">
        <v>26</v>
      </c>
      <c r="C3068">
        <v>202506</v>
      </c>
      <c r="D3068" t="str">
        <f t="shared" si="47"/>
        <v>2025</v>
      </c>
      <c r="E3068">
        <v>1515</v>
      </c>
      <c r="F3068">
        <v>88149</v>
      </c>
      <c r="G3068">
        <v>1.72</v>
      </c>
      <c r="H3068" t="s">
        <v>10</v>
      </c>
      <c r="I3068" t="s">
        <v>11</v>
      </c>
    </row>
    <row r="3069" spans="1:9" hidden="1" x14ac:dyDescent="0.25">
      <c r="A3069" t="s">
        <v>24</v>
      </c>
      <c r="B3069" t="s">
        <v>45</v>
      </c>
      <c r="C3069">
        <v>202301</v>
      </c>
      <c r="D3069" t="str">
        <f t="shared" si="47"/>
        <v>2023</v>
      </c>
      <c r="E3069">
        <v>1697</v>
      </c>
      <c r="F3069">
        <v>91896</v>
      </c>
      <c r="G3069">
        <v>1.85</v>
      </c>
      <c r="H3069" t="s">
        <v>10</v>
      </c>
      <c r="I3069" t="s">
        <v>11</v>
      </c>
    </row>
    <row r="3070" spans="1:9" hidden="1" x14ac:dyDescent="0.25">
      <c r="A3070" t="s">
        <v>24</v>
      </c>
      <c r="B3070" t="s">
        <v>45</v>
      </c>
      <c r="C3070">
        <v>202302</v>
      </c>
      <c r="D3070" t="str">
        <f t="shared" si="47"/>
        <v>2023</v>
      </c>
      <c r="E3070">
        <v>2188</v>
      </c>
      <c r="F3070">
        <v>91896</v>
      </c>
      <c r="G3070">
        <v>2.38</v>
      </c>
      <c r="H3070" t="s">
        <v>10</v>
      </c>
      <c r="I3070" t="s">
        <v>11</v>
      </c>
    </row>
    <row r="3071" spans="1:9" hidden="1" x14ac:dyDescent="0.25">
      <c r="A3071" t="s">
        <v>24</v>
      </c>
      <c r="B3071" t="s">
        <v>45</v>
      </c>
      <c r="C3071">
        <v>202303</v>
      </c>
      <c r="D3071" t="str">
        <f t="shared" si="47"/>
        <v>2023</v>
      </c>
      <c r="E3071">
        <v>2386</v>
      </c>
      <c r="F3071">
        <v>91896</v>
      </c>
      <c r="G3071">
        <v>2.6</v>
      </c>
      <c r="H3071" t="s">
        <v>10</v>
      </c>
      <c r="I3071" t="s">
        <v>11</v>
      </c>
    </row>
    <row r="3072" spans="1:9" hidden="1" x14ac:dyDescent="0.25">
      <c r="A3072" t="s">
        <v>24</v>
      </c>
      <c r="B3072" t="s">
        <v>45</v>
      </c>
      <c r="C3072">
        <v>202304</v>
      </c>
      <c r="D3072" t="str">
        <f t="shared" si="47"/>
        <v>2023</v>
      </c>
      <c r="E3072">
        <v>2245</v>
      </c>
      <c r="F3072">
        <v>91896</v>
      </c>
      <c r="G3072">
        <v>2.44</v>
      </c>
      <c r="H3072" t="s">
        <v>10</v>
      </c>
      <c r="I3072" t="s">
        <v>11</v>
      </c>
    </row>
    <row r="3073" spans="1:9" hidden="1" x14ac:dyDescent="0.25">
      <c r="A3073" t="s">
        <v>24</v>
      </c>
      <c r="B3073" t="s">
        <v>45</v>
      </c>
      <c r="C3073">
        <v>202305</v>
      </c>
      <c r="D3073" t="str">
        <f t="shared" si="47"/>
        <v>2023</v>
      </c>
      <c r="E3073">
        <v>2136</v>
      </c>
      <c r="F3073">
        <v>91896</v>
      </c>
      <c r="G3073">
        <v>2.3199999999999998</v>
      </c>
      <c r="H3073" t="s">
        <v>10</v>
      </c>
      <c r="I3073" t="s">
        <v>11</v>
      </c>
    </row>
    <row r="3074" spans="1:9" hidden="1" x14ac:dyDescent="0.25">
      <c r="A3074" t="s">
        <v>24</v>
      </c>
      <c r="B3074" t="s">
        <v>45</v>
      </c>
      <c r="C3074">
        <v>202306</v>
      </c>
      <c r="D3074" t="str">
        <f t="shared" si="47"/>
        <v>2023</v>
      </c>
      <c r="E3074">
        <v>2483</v>
      </c>
      <c r="F3074">
        <v>91896</v>
      </c>
      <c r="G3074">
        <v>2.7</v>
      </c>
      <c r="H3074" t="s">
        <v>10</v>
      </c>
      <c r="I3074" t="s">
        <v>11</v>
      </c>
    </row>
    <row r="3075" spans="1:9" hidden="1" x14ac:dyDescent="0.25">
      <c r="A3075" t="s">
        <v>24</v>
      </c>
      <c r="B3075" t="s">
        <v>45</v>
      </c>
      <c r="C3075">
        <v>202307</v>
      </c>
      <c r="D3075" t="str">
        <f t="shared" ref="D3075:D3138" si="48">LEFT(C3075,4)</f>
        <v>2023</v>
      </c>
      <c r="E3075">
        <v>2360</v>
      </c>
      <c r="F3075">
        <v>91896</v>
      </c>
      <c r="G3075">
        <v>2.57</v>
      </c>
      <c r="H3075" t="s">
        <v>10</v>
      </c>
      <c r="I3075" t="s">
        <v>11</v>
      </c>
    </row>
    <row r="3076" spans="1:9" hidden="1" x14ac:dyDescent="0.25">
      <c r="A3076" t="s">
        <v>24</v>
      </c>
      <c r="B3076" t="s">
        <v>45</v>
      </c>
      <c r="C3076">
        <v>202308</v>
      </c>
      <c r="D3076" t="str">
        <f t="shared" si="48"/>
        <v>2023</v>
      </c>
      <c r="E3076">
        <v>2139</v>
      </c>
      <c r="F3076">
        <v>91896</v>
      </c>
      <c r="G3076">
        <v>2.33</v>
      </c>
      <c r="H3076" t="s">
        <v>10</v>
      </c>
      <c r="I3076" t="s">
        <v>11</v>
      </c>
    </row>
    <row r="3077" spans="1:9" hidden="1" x14ac:dyDescent="0.25">
      <c r="A3077" t="s">
        <v>24</v>
      </c>
      <c r="B3077" t="s">
        <v>45</v>
      </c>
      <c r="C3077">
        <v>202309</v>
      </c>
      <c r="D3077" t="str">
        <f t="shared" si="48"/>
        <v>2023</v>
      </c>
      <c r="E3077">
        <v>2012</v>
      </c>
      <c r="F3077">
        <v>91896</v>
      </c>
      <c r="G3077">
        <v>2.19</v>
      </c>
      <c r="H3077" t="s">
        <v>10</v>
      </c>
      <c r="I3077" t="s">
        <v>11</v>
      </c>
    </row>
    <row r="3078" spans="1:9" hidden="1" x14ac:dyDescent="0.25">
      <c r="A3078" t="s">
        <v>24</v>
      </c>
      <c r="B3078" t="s">
        <v>45</v>
      </c>
      <c r="C3078">
        <v>202310</v>
      </c>
      <c r="D3078" t="str">
        <f t="shared" si="48"/>
        <v>2023</v>
      </c>
      <c r="E3078">
        <v>1972</v>
      </c>
      <c r="F3078">
        <v>91896</v>
      </c>
      <c r="G3078">
        <v>2.15</v>
      </c>
      <c r="H3078" t="s">
        <v>10</v>
      </c>
      <c r="I3078" t="s">
        <v>11</v>
      </c>
    </row>
    <row r="3079" spans="1:9" hidden="1" x14ac:dyDescent="0.25">
      <c r="A3079" t="s">
        <v>24</v>
      </c>
      <c r="B3079" t="s">
        <v>45</v>
      </c>
      <c r="C3079">
        <v>202311</v>
      </c>
      <c r="D3079" t="str">
        <f t="shared" si="48"/>
        <v>2023</v>
      </c>
      <c r="E3079">
        <v>2413</v>
      </c>
      <c r="F3079">
        <v>91896</v>
      </c>
      <c r="G3079">
        <v>2.63</v>
      </c>
      <c r="H3079" t="s">
        <v>10</v>
      </c>
      <c r="I3079" t="s">
        <v>11</v>
      </c>
    </row>
    <row r="3080" spans="1:9" hidden="1" x14ac:dyDescent="0.25">
      <c r="A3080" t="s">
        <v>24</v>
      </c>
      <c r="B3080" t="s">
        <v>45</v>
      </c>
      <c r="C3080">
        <v>202312</v>
      </c>
      <c r="D3080" t="str">
        <f t="shared" si="48"/>
        <v>2023</v>
      </c>
      <c r="E3080">
        <v>2137</v>
      </c>
      <c r="F3080">
        <v>91896</v>
      </c>
      <c r="G3080">
        <v>2.33</v>
      </c>
      <c r="H3080" t="s">
        <v>10</v>
      </c>
      <c r="I3080" t="s">
        <v>11</v>
      </c>
    </row>
    <row r="3081" spans="1:9" hidden="1" x14ac:dyDescent="0.25">
      <c r="A3081" t="s">
        <v>24</v>
      </c>
      <c r="B3081" t="s">
        <v>45</v>
      </c>
      <c r="C3081">
        <v>202401</v>
      </c>
      <c r="D3081" t="str">
        <f t="shared" si="48"/>
        <v>2024</v>
      </c>
      <c r="E3081">
        <v>2441</v>
      </c>
      <c r="F3081">
        <v>91896</v>
      </c>
      <c r="G3081">
        <v>2.66</v>
      </c>
      <c r="H3081" t="s">
        <v>10</v>
      </c>
      <c r="I3081" t="s">
        <v>11</v>
      </c>
    </row>
    <row r="3082" spans="1:9" hidden="1" x14ac:dyDescent="0.25">
      <c r="A3082" t="s">
        <v>24</v>
      </c>
      <c r="B3082" t="s">
        <v>45</v>
      </c>
      <c r="C3082">
        <v>202402</v>
      </c>
      <c r="D3082" t="str">
        <f t="shared" si="48"/>
        <v>2024</v>
      </c>
      <c r="E3082">
        <v>3201</v>
      </c>
      <c r="F3082">
        <v>91896</v>
      </c>
      <c r="G3082">
        <v>3.48</v>
      </c>
      <c r="H3082" t="s">
        <v>10</v>
      </c>
      <c r="I3082" t="s">
        <v>11</v>
      </c>
    </row>
    <row r="3083" spans="1:9" hidden="1" x14ac:dyDescent="0.25">
      <c r="A3083" t="s">
        <v>24</v>
      </c>
      <c r="B3083" t="s">
        <v>45</v>
      </c>
      <c r="C3083">
        <v>202403</v>
      </c>
      <c r="D3083" t="str">
        <f t="shared" si="48"/>
        <v>2024</v>
      </c>
      <c r="E3083">
        <v>2821</v>
      </c>
      <c r="F3083">
        <v>91896</v>
      </c>
      <c r="G3083">
        <v>3.07</v>
      </c>
      <c r="H3083" t="s">
        <v>10</v>
      </c>
      <c r="I3083" t="s">
        <v>11</v>
      </c>
    </row>
    <row r="3084" spans="1:9" hidden="1" x14ac:dyDescent="0.25">
      <c r="A3084" t="s">
        <v>24</v>
      </c>
      <c r="B3084" t="s">
        <v>45</v>
      </c>
      <c r="C3084">
        <v>202404</v>
      </c>
      <c r="D3084" t="str">
        <f t="shared" si="48"/>
        <v>2024</v>
      </c>
      <c r="E3084">
        <v>3338</v>
      </c>
      <c r="F3084">
        <v>91896</v>
      </c>
      <c r="G3084">
        <v>3.63</v>
      </c>
      <c r="H3084" t="s">
        <v>10</v>
      </c>
      <c r="I3084" t="s">
        <v>11</v>
      </c>
    </row>
    <row r="3085" spans="1:9" hidden="1" x14ac:dyDescent="0.25">
      <c r="A3085" t="s">
        <v>24</v>
      </c>
      <c r="B3085" t="s">
        <v>45</v>
      </c>
      <c r="C3085">
        <v>202405</v>
      </c>
      <c r="D3085" t="str">
        <f t="shared" si="48"/>
        <v>2024</v>
      </c>
      <c r="E3085">
        <v>3071</v>
      </c>
      <c r="F3085">
        <v>91896</v>
      </c>
      <c r="G3085">
        <v>3.34</v>
      </c>
      <c r="H3085" t="s">
        <v>10</v>
      </c>
      <c r="I3085" t="s">
        <v>11</v>
      </c>
    </row>
    <row r="3086" spans="1:9" hidden="1" x14ac:dyDescent="0.25">
      <c r="A3086" t="s">
        <v>24</v>
      </c>
      <c r="B3086" t="s">
        <v>45</v>
      </c>
      <c r="C3086">
        <v>202406</v>
      </c>
      <c r="D3086" t="str">
        <f t="shared" si="48"/>
        <v>2024</v>
      </c>
      <c r="E3086">
        <v>2718</v>
      </c>
      <c r="F3086">
        <v>91896</v>
      </c>
      <c r="G3086">
        <v>2.96</v>
      </c>
      <c r="H3086" t="s">
        <v>10</v>
      </c>
      <c r="I3086" t="s">
        <v>11</v>
      </c>
    </row>
    <row r="3087" spans="1:9" hidden="1" x14ac:dyDescent="0.25">
      <c r="A3087" t="s">
        <v>24</v>
      </c>
      <c r="B3087" t="s">
        <v>45</v>
      </c>
      <c r="C3087">
        <v>202407</v>
      </c>
      <c r="D3087" t="str">
        <f t="shared" si="48"/>
        <v>2024</v>
      </c>
      <c r="E3087">
        <v>2745</v>
      </c>
      <c r="F3087">
        <v>91896</v>
      </c>
      <c r="G3087">
        <v>2.99</v>
      </c>
      <c r="H3087" t="s">
        <v>10</v>
      </c>
      <c r="I3087" t="s">
        <v>11</v>
      </c>
    </row>
    <row r="3088" spans="1:9" hidden="1" x14ac:dyDescent="0.25">
      <c r="A3088" t="s">
        <v>24</v>
      </c>
      <c r="B3088" t="s">
        <v>45</v>
      </c>
      <c r="C3088">
        <v>202408</v>
      </c>
      <c r="D3088" t="str">
        <f t="shared" si="48"/>
        <v>2024</v>
      </c>
      <c r="E3088">
        <v>2861</v>
      </c>
      <c r="F3088">
        <v>91896</v>
      </c>
      <c r="G3088">
        <v>3.11</v>
      </c>
      <c r="H3088" t="s">
        <v>10</v>
      </c>
      <c r="I3088" t="s">
        <v>11</v>
      </c>
    </row>
    <row r="3089" spans="1:9" hidden="1" x14ac:dyDescent="0.25">
      <c r="A3089" t="s">
        <v>24</v>
      </c>
      <c r="B3089" t="s">
        <v>45</v>
      </c>
      <c r="C3089">
        <v>202409</v>
      </c>
      <c r="D3089" t="str">
        <f t="shared" si="48"/>
        <v>2024</v>
      </c>
      <c r="E3089">
        <v>2991</v>
      </c>
      <c r="F3089">
        <v>91896</v>
      </c>
      <c r="G3089">
        <v>3.25</v>
      </c>
      <c r="H3089" t="s">
        <v>10</v>
      </c>
      <c r="I3089" t="s">
        <v>11</v>
      </c>
    </row>
    <row r="3090" spans="1:9" hidden="1" x14ac:dyDescent="0.25">
      <c r="A3090" t="s">
        <v>24</v>
      </c>
      <c r="B3090" t="s">
        <v>45</v>
      </c>
      <c r="C3090">
        <v>202410</v>
      </c>
      <c r="D3090" t="str">
        <f t="shared" si="48"/>
        <v>2024</v>
      </c>
      <c r="E3090">
        <v>3247</v>
      </c>
      <c r="F3090">
        <v>91896</v>
      </c>
      <c r="G3090">
        <v>3.53</v>
      </c>
      <c r="H3090" t="s">
        <v>10</v>
      </c>
      <c r="I3090" t="s">
        <v>11</v>
      </c>
    </row>
    <row r="3091" spans="1:9" hidden="1" x14ac:dyDescent="0.25">
      <c r="A3091" t="s">
        <v>24</v>
      </c>
      <c r="B3091" t="s">
        <v>45</v>
      </c>
      <c r="C3091">
        <v>202411</v>
      </c>
      <c r="D3091" t="str">
        <f t="shared" si="48"/>
        <v>2024</v>
      </c>
      <c r="E3091">
        <v>3006</v>
      </c>
      <c r="F3091">
        <v>91896</v>
      </c>
      <c r="G3091">
        <v>3.27</v>
      </c>
      <c r="H3091" t="s">
        <v>10</v>
      </c>
      <c r="I3091" t="s">
        <v>11</v>
      </c>
    </row>
    <row r="3092" spans="1:9" hidden="1" x14ac:dyDescent="0.25">
      <c r="A3092" t="s">
        <v>24</v>
      </c>
      <c r="B3092" t="s">
        <v>45</v>
      </c>
      <c r="C3092">
        <v>202412</v>
      </c>
      <c r="D3092" t="str">
        <f t="shared" si="48"/>
        <v>2024</v>
      </c>
      <c r="E3092">
        <v>3082</v>
      </c>
      <c r="F3092">
        <v>91896</v>
      </c>
      <c r="G3092">
        <v>3.35</v>
      </c>
      <c r="H3092" t="s">
        <v>10</v>
      </c>
      <c r="I3092" t="s">
        <v>11</v>
      </c>
    </row>
    <row r="3093" spans="1:9" x14ac:dyDescent="0.25">
      <c r="A3093" t="s">
        <v>24</v>
      </c>
      <c r="B3093" t="s">
        <v>45</v>
      </c>
      <c r="C3093">
        <v>202501</v>
      </c>
      <c r="D3093" t="str">
        <f t="shared" si="48"/>
        <v>2025</v>
      </c>
      <c r="E3093">
        <v>5120</v>
      </c>
      <c r="F3093">
        <v>91896</v>
      </c>
      <c r="G3093">
        <v>5.57</v>
      </c>
      <c r="H3093" t="s">
        <v>10</v>
      </c>
      <c r="I3093" t="s">
        <v>11</v>
      </c>
    </row>
    <row r="3094" spans="1:9" x14ac:dyDescent="0.25">
      <c r="A3094" t="s">
        <v>24</v>
      </c>
      <c r="B3094" t="s">
        <v>45</v>
      </c>
      <c r="C3094">
        <v>202502</v>
      </c>
      <c r="D3094" t="str">
        <f t="shared" si="48"/>
        <v>2025</v>
      </c>
      <c r="E3094">
        <v>4961</v>
      </c>
      <c r="F3094">
        <v>91896</v>
      </c>
      <c r="G3094">
        <v>5.4</v>
      </c>
      <c r="H3094" t="s">
        <v>10</v>
      </c>
      <c r="I3094" t="s">
        <v>11</v>
      </c>
    </row>
    <row r="3095" spans="1:9" x14ac:dyDescent="0.25">
      <c r="A3095" t="s">
        <v>24</v>
      </c>
      <c r="B3095" t="s">
        <v>45</v>
      </c>
      <c r="C3095">
        <v>202503</v>
      </c>
      <c r="D3095" t="str">
        <f t="shared" si="48"/>
        <v>2025</v>
      </c>
      <c r="E3095">
        <v>5348</v>
      </c>
      <c r="F3095">
        <v>91896</v>
      </c>
      <c r="G3095">
        <v>5.82</v>
      </c>
      <c r="H3095" t="s">
        <v>10</v>
      </c>
      <c r="I3095" t="s">
        <v>11</v>
      </c>
    </row>
    <row r="3096" spans="1:9" x14ac:dyDescent="0.25">
      <c r="A3096" t="s">
        <v>24</v>
      </c>
      <c r="B3096" t="s">
        <v>45</v>
      </c>
      <c r="C3096">
        <v>202504</v>
      </c>
      <c r="D3096" t="str">
        <f t="shared" si="48"/>
        <v>2025</v>
      </c>
      <c r="E3096">
        <v>5046</v>
      </c>
      <c r="F3096">
        <v>91896</v>
      </c>
      <c r="G3096">
        <v>5.49</v>
      </c>
      <c r="H3096" t="s">
        <v>10</v>
      </c>
      <c r="I3096" t="s">
        <v>11</v>
      </c>
    </row>
    <row r="3097" spans="1:9" x14ac:dyDescent="0.25">
      <c r="A3097" t="s">
        <v>24</v>
      </c>
      <c r="B3097" t="s">
        <v>45</v>
      </c>
      <c r="C3097">
        <v>202505</v>
      </c>
      <c r="D3097" t="str">
        <f t="shared" si="48"/>
        <v>2025</v>
      </c>
      <c r="E3097">
        <v>5142</v>
      </c>
      <c r="F3097">
        <v>91896</v>
      </c>
      <c r="G3097">
        <v>5.6</v>
      </c>
      <c r="H3097" t="s">
        <v>10</v>
      </c>
      <c r="I3097" t="s">
        <v>11</v>
      </c>
    </row>
    <row r="3098" spans="1:9" x14ac:dyDescent="0.25">
      <c r="A3098" t="s">
        <v>24</v>
      </c>
      <c r="B3098" t="s">
        <v>45</v>
      </c>
      <c r="C3098">
        <v>202506</v>
      </c>
      <c r="D3098" t="str">
        <f t="shared" si="48"/>
        <v>2025</v>
      </c>
      <c r="E3098">
        <v>4176</v>
      </c>
      <c r="F3098">
        <v>91896</v>
      </c>
      <c r="G3098">
        <v>4.54</v>
      </c>
      <c r="H3098" t="s">
        <v>10</v>
      </c>
      <c r="I3098" t="s">
        <v>11</v>
      </c>
    </row>
    <row r="3099" spans="1:9" x14ac:dyDescent="0.25">
      <c r="A3099" t="s">
        <v>24</v>
      </c>
      <c r="B3099" t="s">
        <v>45</v>
      </c>
      <c r="C3099">
        <v>202507</v>
      </c>
      <c r="D3099" t="str">
        <f t="shared" si="48"/>
        <v>2025</v>
      </c>
      <c r="E3099">
        <v>413</v>
      </c>
      <c r="F3099">
        <v>91896</v>
      </c>
      <c r="G3099">
        <v>0.45</v>
      </c>
      <c r="H3099" t="s">
        <v>10</v>
      </c>
      <c r="I3099" t="s">
        <v>11</v>
      </c>
    </row>
    <row r="3100" spans="1:9" hidden="1" x14ac:dyDescent="0.25">
      <c r="A3100" t="s">
        <v>24</v>
      </c>
      <c r="B3100" t="s">
        <v>67</v>
      </c>
      <c r="C3100">
        <v>202301</v>
      </c>
      <c r="D3100" t="str">
        <f t="shared" si="48"/>
        <v>2023</v>
      </c>
      <c r="E3100">
        <v>1702</v>
      </c>
      <c r="F3100">
        <v>99088</v>
      </c>
      <c r="G3100">
        <v>1.72</v>
      </c>
      <c r="H3100" t="s">
        <v>10</v>
      </c>
      <c r="I3100" t="s">
        <v>11</v>
      </c>
    </row>
    <row r="3101" spans="1:9" hidden="1" x14ac:dyDescent="0.25">
      <c r="A3101" t="s">
        <v>24</v>
      </c>
      <c r="B3101" t="s">
        <v>67</v>
      </c>
      <c r="C3101">
        <v>202302</v>
      </c>
      <c r="D3101" t="str">
        <f t="shared" si="48"/>
        <v>2023</v>
      </c>
      <c r="E3101">
        <v>2187</v>
      </c>
      <c r="F3101">
        <v>99088</v>
      </c>
      <c r="G3101">
        <v>2.21</v>
      </c>
      <c r="H3101" t="s">
        <v>10</v>
      </c>
      <c r="I3101" t="s">
        <v>11</v>
      </c>
    </row>
    <row r="3102" spans="1:9" hidden="1" x14ac:dyDescent="0.25">
      <c r="A3102" t="s">
        <v>24</v>
      </c>
      <c r="B3102" t="s">
        <v>67</v>
      </c>
      <c r="C3102">
        <v>202303</v>
      </c>
      <c r="D3102" t="str">
        <f t="shared" si="48"/>
        <v>2023</v>
      </c>
      <c r="E3102">
        <v>2360</v>
      </c>
      <c r="F3102">
        <v>99088</v>
      </c>
      <c r="G3102">
        <v>2.38</v>
      </c>
      <c r="H3102" t="s">
        <v>10</v>
      </c>
      <c r="I3102" t="s">
        <v>11</v>
      </c>
    </row>
    <row r="3103" spans="1:9" hidden="1" x14ac:dyDescent="0.25">
      <c r="A3103" t="s">
        <v>24</v>
      </c>
      <c r="B3103" t="s">
        <v>67</v>
      </c>
      <c r="C3103">
        <v>202304</v>
      </c>
      <c r="D3103" t="str">
        <f t="shared" si="48"/>
        <v>2023</v>
      </c>
      <c r="E3103">
        <v>2187</v>
      </c>
      <c r="F3103">
        <v>99088</v>
      </c>
      <c r="G3103">
        <v>2.21</v>
      </c>
      <c r="H3103" t="s">
        <v>10</v>
      </c>
      <c r="I3103" t="s">
        <v>11</v>
      </c>
    </row>
    <row r="3104" spans="1:9" hidden="1" x14ac:dyDescent="0.25">
      <c r="A3104" t="s">
        <v>24</v>
      </c>
      <c r="B3104" t="s">
        <v>67</v>
      </c>
      <c r="C3104">
        <v>202305</v>
      </c>
      <c r="D3104" t="str">
        <f t="shared" si="48"/>
        <v>2023</v>
      </c>
      <c r="E3104">
        <v>1992</v>
      </c>
      <c r="F3104">
        <v>99088</v>
      </c>
      <c r="G3104">
        <v>2.0099999999999998</v>
      </c>
      <c r="H3104" t="s">
        <v>10</v>
      </c>
      <c r="I3104" t="s">
        <v>11</v>
      </c>
    </row>
    <row r="3105" spans="1:9" hidden="1" x14ac:dyDescent="0.25">
      <c r="A3105" t="s">
        <v>24</v>
      </c>
      <c r="B3105" t="s">
        <v>67</v>
      </c>
      <c r="C3105">
        <v>202306</v>
      </c>
      <c r="D3105" t="str">
        <f t="shared" si="48"/>
        <v>2023</v>
      </c>
      <c r="E3105">
        <v>2338</v>
      </c>
      <c r="F3105">
        <v>99088</v>
      </c>
      <c r="G3105">
        <v>2.36</v>
      </c>
      <c r="H3105" t="s">
        <v>10</v>
      </c>
      <c r="I3105" t="s">
        <v>11</v>
      </c>
    </row>
    <row r="3106" spans="1:9" hidden="1" x14ac:dyDescent="0.25">
      <c r="A3106" t="s">
        <v>24</v>
      </c>
      <c r="B3106" t="s">
        <v>67</v>
      </c>
      <c r="C3106">
        <v>202307</v>
      </c>
      <c r="D3106" t="str">
        <f t="shared" si="48"/>
        <v>2023</v>
      </c>
      <c r="E3106">
        <v>2144</v>
      </c>
      <c r="F3106">
        <v>99088</v>
      </c>
      <c r="G3106">
        <v>2.16</v>
      </c>
      <c r="H3106" t="s">
        <v>10</v>
      </c>
      <c r="I3106" t="s">
        <v>11</v>
      </c>
    </row>
    <row r="3107" spans="1:9" hidden="1" x14ac:dyDescent="0.25">
      <c r="A3107" t="s">
        <v>24</v>
      </c>
      <c r="B3107" t="s">
        <v>67</v>
      </c>
      <c r="C3107">
        <v>202308</v>
      </c>
      <c r="D3107" t="str">
        <f t="shared" si="48"/>
        <v>2023</v>
      </c>
      <c r="E3107">
        <v>2010</v>
      </c>
      <c r="F3107">
        <v>99088</v>
      </c>
      <c r="G3107">
        <v>2.0299999999999998</v>
      </c>
      <c r="H3107" t="s">
        <v>10</v>
      </c>
      <c r="I3107" t="s">
        <v>11</v>
      </c>
    </row>
    <row r="3108" spans="1:9" hidden="1" x14ac:dyDescent="0.25">
      <c r="A3108" t="s">
        <v>24</v>
      </c>
      <c r="B3108" t="s">
        <v>67</v>
      </c>
      <c r="C3108">
        <v>202309</v>
      </c>
      <c r="D3108" t="str">
        <f t="shared" si="48"/>
        <v>2023</v>
      </c>
      <c r="E3108">
        <v>1917</v>
      </c>
      <c r="F3108">
        <v>99088</v>
      </c>
      <c r="G3108">
        <v>1.93</v>
      </c>
      <c r="H3108" t="s">
        <v>10</v>
      </c>
      <c r="I3108" t="s">
        <v>11</v>
      </c>
    </row>
    <row r="3109" spans="1:9" hidden="1" x14ac:dyDescent="0.25">
      <c r="A3109" t="s">
        <v>24</v>
      </c>
      <c r="B3109" t="s">
        <v>67</v>
      </c>
      <c r="C3109">
        <v>202310</v>
      </c>
      <c r="D3109" t="str">
        <f t="shared" si="48"/>
        <v>2023</v>
      </c>
      <c r="E3109">
        <v>1825</v>
      </c>
      <c r="F3109">
        <v>99088</v>
      </c>
      <c r="G3109">
        <v>1.84</v>
      </c>
      <c r="H3109" t="s">
        <v>10</v>
      </c>
      <c r="I3109" t="s">
        <v>11</v>
      </c>
    </row>
    <row r="3110" spans="1:9" hidden="1" x14ac:dyDescent="0.25">
      <c r="A3110" t="s">
        <v>24</v>
      </c>
      <c r="B3110" t="s">
        <v>67</v>
      </c>
      <c r="C3110">
        <v>202311</v>
      </c>
      <c r="D3110" t="str">
        <f t="shared" si="48"/>
        <v>2023</v>
      </c>
      <c r="E3110">
        <v>2356</v>
      </c>
      <c r="F3110">
        <v>99088</v>
      </c>
      <c r="G3110">
        <v>2.38</v>
      </c>
      <c r="H3110" t="s">
        <v>10</v>
      </c>
      <c r="I3110" t="s">
        <v>11</v>
      </c>
    </row>
    <row r="3111" spans="1:9" hidden="1" x14ac:dyDescent="0.25">
      <c r="A3111" t="s">
        <v>24</v>
      </c>
      <c r="B3111" t="s">
        <v>67</v>
      </c>
      <c r="C3111">
        <v>202312</v>
      </c>
      <c r="D3111" t="str">
        <f t="shared" si="48"/>
        <v>2023</v>
      </c>
      <c r="E3111">
        <v>2132</v>
      </c>
      <c r="F3111">
        <v>99088</v>
      </c>
      <c r="G3111">
        <v>2.15</v>
      </c>
      <c r="H3111" t="s">
        <v>10</v>
      </c>
      <c r="I3111" t="s">
        <v>11</v>
      </c>
    </row>
    <row r="3112" spans="1:9" hidden="1" x14ac:dyDescent="0.25">
      <c r="A3112" t="s">
        <v>24</v>
      </c>
      <c r="B3112" t="s">
        <v>67</v>
      </c>
      <c r="C3112">
        <v>202401</v>
      </c>
      <c r="D3112" t="str">
        <f t="shared" si="48"/>
        <v>2024</v>
      </c>
      <c r="E3112">
        <v>2404</v>
      </c>
      <c r="F3112">
        <v>99088</v>
      </c>
      <c r="G3112">
        <v>2.4300000000000002</v>
      </c>
      <c r="H3112" t="s">
        <v>10</v>
      </c>
      <c r="I3112" t="s">
        <v>11</v>
      </c>
    </row>
    <row r="3113" spans="1:9" hidden="1" x14ac:dyDescent="0.25">
      <c r="A3113" t="s">
        <v>24</v>
      </c>
      <c r="B3113" t="s">
        <v>67</v>
      </c>
      <c r="C3113">
        <v>202402</v>
      </c>
      <c r="D3113" t="str">
        <f t="shared" si="48"/>
        <v>2024</v>
      </c>
      <c r="E3113">
        <v>3300</v>
      </c>
      <c r="F3113">
        <v>99088</v>
      </c>
      <c r="G3113">
        <v>3.33</v>
      </c>
      <c r="H3113" t="s">
        <v>10</v>
      </c>
      <c r="I3113" t="s">
        <v>11</v>
      </c>
    </row>
    <row r="3114" spans="1:9" hidden="1" x14ac:dyDescent="0.25">
      <c r="A3114" t="s">
        <v>24</v>
      </c>
      <c r="B3114" t="s">
        <v>67</v>
      </c>
      <c r="C3114">
        <v>202403</v>
      </c>
      <c r="D3114" t="str">
        <f t="shared" si="48"/>
        <v>2024</v>
      </c>
      <c r="E3114">
        <v>2937</v>
      </c>
      <c r="F3114">
        <v>99088</v>
      </c>
      <c r="G3114">
        <v>2.96</v>
      </c>
      <c r="H3114" t="s">
        <v>10</v>
      </c>
      <c r="I3114" t="s">
        <v>11</v>
      </c>
    </row>
    <row r="3115" spans="1:9" hidden="1" x14ac:dyDescent="0.25">
      <c r="A3115" t="s">
        <v>24</v>
      </c>
      <c r="B3115" t="s">
        <v>67</v>
      </c>
      <c r="C3115">
        <v>202404</v>
      </c>
      <c r="D3115" t="str">
        <f t="shared" si="48"/>
        <v>2024</v>
      </c>
      <c r="E3115">
        <v>3383</v>
      </c>
      <c r="F3115">
        <v>99088</v>
      </c>
      <c r="G3115">
        <v>3.41</v>
      </c>
      <c r="H3115" t="s">
        <v>10</v>
      </c>
      <c r="I3115" t="s">
        <v>11</v>
      </c>
    </row>
    <row r="3116" spans="1:9" hidden="1" x14ac:dyDescent="0.25">
      <c r="A3116" t="s">
        <v>24</v>
      </c>
      <c r="B3116" t="s">
        <v>67</v>
      </c>
      <c r="C3116">
        <v>202405</v>
      </c>
      <c r="D3116" t="str">
        <f t="shared" si="48"/>
        <v>2024</v>
      </c>
      <c r="E3116">
        <v>3114</v>
      </c>
      <c r="F3116">
        <v>99088</v>
      </c>
      <c r="G3116">
        <v>3.14</v>
      </c>
      <c r="H3116" t="s">
        <v>10</v>
      </c>
      <c r="I3116" t="s">
        <v>11</v>
      </c>
    </row>
    <row r="3117" spans="1:9" hidden="1" x14ac:dyDescent="0.25">
      <c r="A3117" t="s">
        <v>24</v>
      </c>
      <c r="B3117" t="s">
        <v>67</v>
      </c>
      <c r="C3117">
        <v>202406</v>
      </c>
      <c r="D3117" t="str">
        <f t="shared" si="48"/>
        <v>2024</v>
      </c>
      <c r="E3117">
        <v>2728</v>
      </c>
      <c r="F3117">
        <v>99088</v>
      </c>
      <c r="G3117">
        <v>2.75</v>
      </c>
      <c r="H3117" t="s">
        <v>10</v>
      </c>
      <c r="I3117" t="s">
        <v>11</v>
      </c>
    </row>
    <row r="3118" spans="1:9" hidden="1" x14ac:dyDescent="0.25">
      <c r="A3118" t="s">
        <v>24</v>
      </c>
      <c r="B3118" t="s">
        <v>67</v>
      </c>
      <c r="C3118">
        <v>202407</v>
      </c>
      <c r="D3118" t="str">
        <f t="shared" si="48"/>
        <v>2024</v>
      </c>
      <c r="E3118">
        <v>2731</v>
      </c>
      <c r="F3118">
        <v>99088</v>
      </c>
      <c r="G3118">
        <v>2.76</v>
      </c>
      <c r="H3118" t="s">
        <v>10</v>
      </c>
      <c r="I3118" t="s">
        <v>11</v>
      </c>
    </row>
    <row r="3119" spans="1:9" hidden="1" x14ac:dyDescent="0.25">
      <c r="A3119" t="s">
        <v>24</v>
      </c>
      <c r="B3119" t="s">
        <v>67</v>
      </c>
      <c r="C3119">
        <v>202408</v>
      </c>
      <c r="D3119" t="str">
        <f t="shared" si="48"/>
        <v>2024</v>
      </c>
      <c r="E3119">
        <v>2951</v>
      </c>
      <c r="F3119">
        <v>99088</v>
      </c>
      <c r="G3119">
        <v>2.98</v>
      </c>
      <c r="H3119" t="s">
        <v>10</v>
      </c>
      <c r="I3119" t="s">
        <v>11</v>
      </c>
    </row>
    <row r="3120" spans="1:9" hidden="1" x14ac:dyDescent="0.25">
      <c r="A3120" t="s">
        <v>24</v>
      </c>
      <c r="B3120" t="s">
        <v>67</v>
      </c>
      <c r="C3120">
        <v>202409</v>
      </c>
      <c r="D3120" t="str">
        <f t="shared" si="48"/>
        <v>2024</v>
      </c>
      <c r="E3120">
        <v>3062</v>
      </c>
      <c r="F3120">
        <v>99088</v>
      </c>
      <c r="G3120">
        <v>3.09</v>
      </c>
      <c r="H3120" t="s">
        <v>10</v>
      </c>
      <c r="I3120" t="s">
        <v>11</v>
      </c>
    </row>
    <row r="3121" spans="1:9" hidden="1" x14ac:dyDescent="0.25">
      <c r="A3121" t="s">
        <v>24</v>
      </c>
      <c r="B3121" t="s">
        <v>67</v>
      </c>
      <c r="C3121">
        <v>202410</v>
      </c>
      <c r="D3121" t="str">
        <f t="shared" si="48"/>
        <v>2024</v>
      </c>
      <c r="E3121">
        <v>3471</v>
      </c>
      <c r="F3121">
        <v>99088</v>
      </c>
      <c r="G3121">
        <v>3.5</v>
      </c>
      <c r="H3121" t="s">
        <v>10</v>
      </c>
      <c r="I3121" t="s">
        <v>11</v>
      </c>
    </row>
    <row r="3122" spans="1:9" hidden="1" x14ac:dyDescent="0.25">
      <c r="A3122" t="s">
        <v>24</v>
      </c>
      <c r="B3122" t="s">
        <v>67</v>
      </c>
      <c r="C3122">
        <v>202411</v>
      </c>
      <c r="D3122" t="str">
        <f t="shared" si="48"/>
        <v>2024</v>
      </c>
      <c r="E3122">
        <v>3090</v>
      </c>
      <c r="F3122">
        <v>99088</v>
      </c>
      <c r="G3122">
        <v>3.12</v>
      </c>
      <c r="H3122" t="s">
        <v>10</v>
      </c>
      <c r="I3122" t="s">
        <v>11</v>
      </c>
    </row>
    <row r="3123" spans="1:9" hidden="1" x14ac:dyDescent="0.25">
      <c r="A3123" t="s">
        <v>24</v>
      </c>
      <c r="B3123" t="s">
        <v>67</v>
      </c>
      <c r="C3123">
        <v>202412</v>
      </c>
      <c r="D3123" t="str">
        <f t="shared" si="48"/>
        <v>2024</v>
      </c>
      <c r="E3123">
        <v>3165</v>
      </c>
      <c r="F3123">
        <v>99088</v>
      </c>
      <c r="G3123">
        <v>3.19</v>
      </c>
      <c r="H3123" t="s">
        <v>10</v>
      </c>
      <c r="I3123" t="s">
        <v>11</v>
      </c>
    </row>
    <row r="3124" spans="1:9" x14ac:dyDescent="0.25">
      <c r="A3124" t="s">
        <v>24</v>
      </c>
      <c r="B3124" t="s">
        <v>67</v>
      </c>
      <c r="C3124">
        <v>202501</v>
      </c>
      <c r="D3124" t="str">
        <f t="shared" si="48"/>
        <v>2025</v>
      </c>
      <c r="E3124">
        <v>5318</v>
      </c>
      <c r="F3124">
        <v>99088</v>
      </c>
      <c r="G3124">
        <v>5.37</v>
      </c>
      <c r="H3124" t="s">
        <v>10</v>
      </c>
      <c r="I3124" t="s">
        <v>11</v>
      </c>
    </row>
    <row r="3125" spans="1:9" x14ac:dyDescent="0.25">
      <c r="A3125" t="s">
        <v>24</v>
      </c>
      <c r="B3125" t="s">
        <v>67</v>
      </c>
      <c r="C3125">
        <v>202502</v>
      </c>
      <c r="D3125" t="str">
        <f t="shared" si="48"/>
        <v>2025</v>
      </c>
      <c r="E3125">
        <v>5090</v>
      </c>
      <c r="F3125">
        <v>99088</v>
      </c>
      <c r="G3125">
        <v>5.14</v>
      </c>
      <c r="H3125" t="s">
        <v>10</v>
      </c>
      <c r="I3125" t="s">
        <v>11</v>
      </c>
    </row>
    <row r="3126" spans="1:9" x14ac:dyDescent="0.25">
      <c r="A3126" t="s">
        <v>24</v>
      </c>
      <c r="B3126" t="s">
        <v>67</v>
      </c>
      <c r="C3126">
        <v>202503</v>
      </c>
      <c r="D3126" t="str">
        <f t="shared" si="48"/>
        <v>2025</v>
      </c>
      <c r="E3126">
        <v>5428</v>
      </c>
      <c r="F3126">
        <v>99088</v>
      </c>
      <c r="G3126">
        <v>5.48</v>
      </c>
      <c r="H3126" t="s">
        <v>10</v>
      </c>
      <c r="I3126" t="s">
        <v>11</v>
      </c>
    </row>
    <row r="3127" spans="1:9" x14ac:dyDescent="0.25">
      <c r="A3127" t="s">
        <v>24</v>
      </c>
      <c r="B3127" t="s">
        <v>67</v>
      </c>
      <c r="C3127">
        <v>202504</v>
      </c>
      <c r="D3127" t="str">
        <f t="shared" si="48"/>
        <v>2025</v>
      </c>
      <c r="E3127">
        <v>5130</v>
      </c>
      <c r="F3127">
        <v>99088</v>
      </c>
      <c r="G3127">
        <v>5.18</v>
      </c>
      <c r="H3127" t="s">
        <v>10</v>
      </c>
      <c r="I3127" t="s">
        <v>11</v>
      </c>
    </row>
    <row r="3128" spans="1:9" x14ac:dyDescent="0.25">
      <c r="A3128" t="s">
        <v>24</v>
      </c>
      <c r="B3128" t="s">
        <v>67</v>
      </c>
      <c r="C3128">
        <v>202505</v>
      </c>
      <c r="D3128" t="str">
        <f t="shared" si="48"/>
        <v>2025</v>
      </c>
      <c r="E3128">
        <v>5256</v>
      </c>
      <c r="F3128">
        <v>99088</v>
      </c>
      <c r="G3128">
        <v>5.3</v>
      </c>
      <c r="H3128" t="s">
        <v>10</v>
      </c>
      <c r="I3128" t="s">
        <v>11</v>
      </c>
    </row>
    <row r="3129" spans="1:9" x14ac:dyDescent="0.25">
      <c r="A3129" t="s">
        <v>24</v>
      </c>
      <c r="B3129" t="s">
        <v>67</v>
      </c>
      <c r="C3129">
        <v>202506</v>
      </c>
      <c r="D3129" t="str">
        <f t="shared" si="48"/>
        <v>2025</v>
      </c>
      <c r="E3129">
        <v>4326</v>
      </c>
      <c r="F3129">
        <v>99088</v>
      </c>
      <c r="G3129">
        <v>4.37</v>
      </c>
      <c r="H3129" t="s">
        <v>10</v>
      </c>
      <c r="I3129" t="s">
        <v>11</v>
      </c>
    </row>
    <row r="3130" spans="1:9" x14ac:dyDescent="0.25">
      <c r="A3130" t="s">
        <v>24</v>
      </c>
      <c r="B3130" t="s">
        <v>67</v>
      </c>
      <c r="C3130">
        <v>202507</v>
      </c>
      <c r="D3130" t="str">
        <f t="shared" si="48"/>
        <v>2025</v>
      </c>
      <c r="E3130">
        <v>4919</v>
      </c>
      <c r="F3130">
        <v>99088</v>
      </c>
      <c r="G3130">
        <v>4.96</v>
      </c>
      <c r="H3130" t="s">
        <v>10</v>
      </c>
      <c r="I3130" t="s">
        <v>11</v>
      </c>
    </row>
    <row r="3131" spans="1:9" x14ac:dyDescent="0.25">
      <c r="A3131" t="s">
        <v>24</v>
      </c>
      <c r="B3131" t="s">
        <v>67</v>
      </c>
      <c r="C3131">
        <v>202508</v>
      </c>
      <c r="D3131" t="str">
        <f t="shared" si="48"/>
        <v>2025</v>
      </c>
      <c r="E3131">
        <v>2135</v>
      </c>
      <c r="F3131">
        <v>99088</v>
      </c>
      <c r="G3131">
        <v>2.15</v>
      </c>
      <c r="H3131" t="s">
        <v>10</v>
      </c>
      <c r="I3131" t="s">
        <v>11</v>
      </c>
    </row>
    <row r="3132" spans="1:9" hidden="1" x14ac:dyDescent="0.25">
      <c r="A3132" t="s">
        <v>24</v>
      </c>
      <c r="B3132" t="s">
        <v>160</v>
      </c>
      <c r="C3132">
        <v>202301</v>
      </c>
      <c r="D3132" t="str">
        <f t="shared" si="48"/>
        <v>2023</v>
      </c>
      <c r="E3132">
        <v>1665</v>
      </c>
      <c r="F3132">
        <v>99481</v>
      </c>
      <c r="G3132">
        <v>1.67</v>
      </c>
      <c r="H3132" t="s">
        <v>10</v>
      </c>
      <c r="I3132" t="s">
        <v>11</v>
      </c>
    </row>
    <row r="3133" spans="1:9" hidden="1" x14ac:dyDescent="0.25">
      <c r="A3133" t="s">
        <v>24</v>
      </c>
      <c r="B3133" t="s">
        <v>160</v>
      </c>
      <c r="C3133">
        <v>202302</v>
      </c>
      <c r="D3133" t="str">
        <f t="shared" si="48"/>
        <v>2023</v>
      </c>
      <c r="E3133">
        <v>2141</v>
      </c>
      <c r="F3133">
        <v>99481</v>
      </c>
      <c r="G3133">
        <v>2.15</v>
      </c>
      <c r="H3133" t="s">
        <v>10</v>
      </c>
      <c r="I3133" t="s">
        <v>11</v>
      </c>
    </row>
    <row r="3134" spans="1:9" hidden="1" x14ac:dyDescent="0.25">
      <c r="A3134" t="s">
        <v>24</v>
      </c>
      <c r="B3134" t="s">
        <v>160</v>
      </c>
      <c r="C3134">
        <v>202303</v>
      </c>
      <c r="D3134" t="str">
        <f t="shared" si="48"/>
        <v>2023</v>
      </c>
      <c r="E3134">
        <v>2186</v>
      </c>
      <c r="F3134">
        <v>99481</v>
      </c>
      <c r="G3134">
        <v>2.2000000000000002</v>
      </c>
      <c r="H3134" t="s">
        <v>10</v>
      </c>
      <c r="I3134" t="s">
        <v>11</v>
      </c>
    </row>
    <row r="3135" spans="1:9" hidden="1" x14ac:dyDescent="0.25">
      <c r="A3135" t="s">
        <v>24</v>
      </c>
      <c r="B3135" t="s">
        <v>160</v>
      </c>
      <c r="C3135">
        <v>202304</v>
      </c>
      <c r="D3135" t="str">
        <f t="shared" si="48"/>
        <v>2023</v>
      </c>
      <c r="E3135">
        <v>2015</v>
      </c>
      <c r="F3135">
        <v>99481</v>
      </c>
      <c r="G3135">
        <v>2.0299999999999998</v>
      </c>
      <c r="H3135" t="s">
        <v>10</v>
      </c>
      <c r="I3135" t="s">
        <v>11</v>
      </c>
    </row>
    <row r="3136" spans="1:9" hidden="1" x14ac:dyDescent="0.25">
      <c r="A3136" t="s">
        <v>24</v>
      </c>
      <c r="B3136" t="s">
        <v>160</v>
      </c>
      <c r="C3136">
        <v>202305</v>
      </c>
      <c r="D3136" t="str">
        <f t="shared" si="48"/>
        <v>2023</v>
      </c>
      <c r="E3136">
        <v>1875</v>
      </c>
      <c r="F3136">
        <v>99481</v>
      </c>
      <c r="G3136">
        <v>1.88</v>
      </c>
      <c r="H3136" t="s">
        <v>10</v>
      </c>
      <c r="I3136" t="s">
        <v>11</v>
      </c>
    </row>
    <row r="3137" spans="1:9" hidden="1" x14ac:dyDescent="0.25">
      <c r="A3137" t="s">
        <v>24</v>
      </c>
      <c r="B3137" t="s">
        <v>160</v>
      </c>
      <c r="C3137">
        <v>202306</v>
      </c>
      <c r="D3137" t="str">
        <f t="shared" si="48"/>
        <v>2023</v>
      </c>
      <c r="E3137">
        <v>2219</v>
      </c>
      <c r="F3137">
        <v>99481</v>
      </c>
      <c r="G3137">
        <v>2.23</v>
      </c>
      <c r="H3137" t="s">
        <v>10</v>
      </c>
      <c r="I3137" t="s">
        <v>11</v>
      </c>
    </row>
    <row r="3138" spans="1:9" hidden="1" x14ac:dyDescent="0.25">
      <c r="A3138" t="s">
        <v>24</v>
      </c>
      <c r="B3138" t="s">
        <v>160</v>
      </c>
      <c r="C3138">
        <v>202307</v>
      </c>
      <c r="D3138" t="str">
        <f t="shared" si="48"/>
        <v>2023</v>
      </c>
      <c r="E3138">
        <v>2000</v>
      </c>
      <c r="F3138">
        <v>99481</v>
      </c>
      <c r="G3138">
        <v>2.0099999999999998</v>
      </c>
      <c r="H3138" t="s">
        <v>10</v>
      </c>
      <c r="I3138" t="s">
        <v>11</v>
      </c>
    </row>
    <row r="3139" spans="1:9" hidden="1" x14ac:dyDescent="0.25">
      <c r="A3139" t="s">
        <v>24</v>
      </c>
      <c r="B3139" t="s">
        <v>160</v>
      </c>
      <c r="C3139">
        <v>202308</v>
      </c>
      <c r="D3139" t="str">
        <f t="shared" ref="D3139:D3202" si="49">LEFT(C3139,4)</f>
        <v>2023</v>
      </c>
      <c r="E3139">
        <v>1943</v>
      </c>
      <c r="F3139">
        <v>99481</v>
      </c>
      <c r="G3139">
        <v>1.95</v>
      </c>
      <c r="H3139" t="s">
        <v>10</v>
      </c>
      <c r="I3139" t="s">
        <v>11</v>
      </c>
    </row>
    <row r="3140" spans="1:9" hidden="1" x14ac:dyDescent="0.25">
      <c r="A3140" t="s">
        <v>24</v>
      </c>
      <c r="B3140" t="s">
        <v>160</v>
      </c>
      <c r="C3140">
        <v>202309</v>
      </c>
      <c r="D3140" t="str">
        <f t="shared" si="49"/>
        <v>2023</v>
      </c>
      <c r="E3140">
        <v>1849</v>
      </c>
      <c r="F3140">
        <v>99481</v>
      </c>
      <c r="G3140">
        <v>1.86</v>
      </c>
      <c r="H3140" t="s">
        <v>10</v>
      </c>
      <c r="I3140" t="s">
        <v>11</v>
      </c>
    </row>
    <row r="3141" spans="1:9" hidden="1" x14ac:dyDescent="0.25">
      <c r="A3141" t="s">
        <v>24</v>
      </c>
      <c r="B3141" t="s">
        <v>160</v>
      </c>
      <c r="C3141">
        <v>202310</v>
      </c>
      <c r="D3141" t="str">
        <f t="shared" si="49"/>
        <v>2023</v>
      </c>
      <c r="E3141">
        <v>1767</v>
      </c>
      <c r="F3141">
        <v>99481</v>
      </c>
      <c r="G3141">
        <v>1.78</v>
      </c>
      <c r="H3141" t="s">
        <v>10</v>
      </c>
      <c r="I3141" t="s">
        <v>11</v>
      </c>
    </row>
    <row r="3142" spans="1:9" hidden="1" x14ac:dyDescent="0.25">
      <c r="A3142" t="s">
        <v>24</v>
      </c>
      <c r="B3142" t="s">
        <v>160</v>
      </c>
      <c r="C3142">
        <v>202311</v>
      </c>
      <c r="D3142" t="str">
        <f t="shared" si="49"/>
        <v>2023</v>
      </c>
      <c r="E3142">
        <v>2314</v>
      </c>
      <c r="F3142">
        <v>99481</v>
      </c>
      <c r="G3142">
        <v>2.33</v>
      </c>
      <c r="H3142" t="s">
        <v>10</v>
      </c>
      <c r="I3142" t="s">
        <v>11</v>
      </c>
    </row>
    <row r="3143" spans="1:9" hidden="1" x14ac:dyDescent="0.25">
      <c r="A3143" t="s">
        <v>24</v>
      </c>
      <c r="B3143" t="s">
        <v>160</v>
      </c>
      <c r="C3143">
        <v>202312</v>
      </c>
      <c r="D3143" t="str">
        <f t="shared" si="49"/>
        <v>2023</v>
      </c>
      <c r="E3143">
        <v>2068</v>
      </c>
      <c r="F3143">
        <v>99481</v>
      </c>
      <c r="G3143">
        <v>2.08</v>
      </c>
      <c r="H3143" t="s">
        <v>10</v>
      </c>
      <c r="I3143" t="s">
        <v>11</v>
      </c>
    </row>
    <row r="3144" spans="1:9" hidden="1" x14ac:dyDescent="0.25">
      <c r="A3144" t="s">
        <v>24</v>
      </c>
      <c r="B3144" t="s">
        <v>160</v>
      </c>
      <c r="C3144">
        <v>202401</v>
      </c>
      <c r="D3144" t="str">
        <f t="shared" si="49"/>
        <v>2024</v>
      </c>
      <c r="E3144">
        <v>2325</v>
      </c>
      <c r="F3144">
        <v>99481</v>
      </c>
      <c r="G3144">
        <v>2.34</v>
      </c>
      <c r="H3144" t="s">
        <v>10</v>
      </c>
      <c r="I3144" t="s">
        <v>11</v>
      </c>
    </row>
    <row r="3145" spans="1:9" hidden="1" x14ac:dyDescent="0.25">
      <c r="A3145" t="s">
        <v>24</v>
      </c>
      <c r="B3145" t="s">
        <v>160</v>
      </c>
      <c r="C3145">
        <v>202402</v>
      </c>
      <c r="D3145" t="str">
        <f t="shared" si="49"/>
        <v>2024</v>
      </c>
      <c r="E3145">
        <v>3210</v>
      </c>
      <c r="F3145">
        <v>99481</v>
      </c>
      <c r="G3145">
        <v>3.23</v>
      </c>
      <c r="H3145" t="s">
        <v>10</v>
      </c>
      <c r="I3145" t="s">
        <v>11</v>
      </c>
    </row>
    <row r="3146" spans="1:9" hidden="1" x14ac:dyDescent="0.25">
      <c r="A3146" t="s">
        <v>24</v>
      </c>
      <c r="B3146" t="s">
        <v>160</v>
      </c>
      <c r="C3146">
        <v>202403</v>
      </c>
      <c r="D3146" t="str">
        <f t="shared" si="49"/>
        <v>2024</v>
      </c>
      <c r="E3146">
        <v>2896</v>
      </c>
      <c r="F3146">
        <v>99481</v>
      </c>
      <c r="G3146">
        <v>2.91</v>
      </c>
      <c r="H3146" t="s">
        <v>10</v>
      </c>
      <c r="I3146" t="s">
        <v>11</v>
      </c>
    </row>
    <row r="3147" spans="1:9" hidden="1" x14ac:dyDescent="0.25">
      <c r="A3147" t="s">
        <v>24</v>
      </c>
      <c r="B3147" t="s">
        <v>160</v>
      </c>
      <c r="C3147">
        <v>202404</v>
      </c>
      <c r="D3147" t="str">
        <f t="shared" si="49"/>
        <v>2024</v>
      </c>
      <c r="E3147">
        <v>3225</v>
      </c>
      <c r="F3147">
        <v>99481</v>
      </c>
      <c r="G3147">
        <v>3.24</v>
      </c>
      <c r="H3147" t="s">
        <v>10</v>
      </c>
      <c r="I3147" t="s">
        <v>11</v>
      </c>
    </row>
    <row r="3148" spans="1:9" hidden="1" x14ac:dyDescent="0.25">
      <c r="A3148" t="s">
        <v>24</v>
      </c>
      <c r="B3148" t="s">
        <v>160</v>
      </c>
      <c r="C3148">
        <v>202405</v>
      </c>
      <c r="D3148" t="str">
        <f t="shared" si="49"/>
        <v>2024</v>
      </c>
      <c r="E3148">
        <v>2942</v>
      </c>
      <c r="F3148">
        <v>99481</v>
      </c>
      <c r="G3148">
        <v>2.96</v>
      </c>
      <c r="H3148" t="s">
        <v>10</v>
      </c>
      <c r="I3148" t="s">
        <v>11</v>
      </c>
    </row>
    <row r="3149" spans="1:9" hidden="1" x14ac:dyDescent="0.25">
      <c r="A3149" t="s">
        <v>24</v>
      </c>
      <c r="B3149" t="s">
        <v>160</v>
      </c>
      <c r="C3149">
        <v>202406</v>
      </c>
      <c r="D3149" t="str">
        <f t="shared" si="49"/>
        <v>2024</v>
      </c>
      <c r="E3149">
        <v>2652</v>
      </c>
      <c r="F3149">
        <v>99481</v>
      </c>
      <c r="G3149">
        <v>2.67</v>
      </c>
      <c r="H3149" t="s">
        <v>10</v>
      </c>
      <c r="I3149" t="s">
        <v>11</v>
      </c>
    </row>
    <row r="3150" spans="1:9" hidden="1" x14ac:dyDescent="0.25">
      <c r="A3150" t="s">
        <v>24</v>
      </c>
      <c r="B3150" t="s">
        <v>160</v>
      </c>
      <c r="C3150">
        <v>202407</v>
      </c>
      <c r="D3150" t="str">
        <f t="shared" si="49"/>
        <v>2024</v>
      </c>
      <c r="E3150">
        <v>2568</v>
      </c>
      <c r="F3150">
        <v>99481</v>
      </c>
      <c r="G3150">
        <v>2.58</v>
      </c>
      <c r="H3150" t="s">
        <v>10</v>
      </c>
      <c r="I3150" t="s">
        <v>11</v>
      </c>
    </row>
    <row r="3151" spans="1:9" hidden="1" x14ac:dyDescent="0.25">
      <c r="A3151" t="s">
        <v>24</v>
      </c>
      <c r="B3151" t="s">
        <v>160</v>
      </c>
      <c r="C3151">
        <v>202408</v>
      </c>
      <c r="D3151" t="str">
        <f t="shared" si="49"/>
        <v>2024</v>
      </c>
      <c r="E3151">
        <v>2776</v>
      </c>
      <c r="F3151">
        <v>99481</v>
      </c>
      <c r="G3151">
        <v>2.79</v>
      </c>
      <c r="H3151" t="s">
        <v>10</v>
      </c>
      <c r="I3151" t="s">
        <v>11</v>
      </c>
    </row>
    <row r="3152" spans="1:9" hidden="1" x14ac:dyDescent="0.25">
      <c r="A3152" t="s">
        <v>24</v>
      </c>
      <c r="B3152" t="s">
        <v>160</v>
      </c>
      <c r="C3152">
        <v>202409</v>
      </c>
      <c r="D3152" t="str">
        <f t="shared" si="49"/>
        <v>2024</v>
      </c>
      <c r="E3152">
        <v>2963</v>
      </c>
      <c r="F3152">
        <v>99481</v>
      </c>
      <c r="G3152">
        <v>2.98</v>
      </c>
      <c r="H3152" t="s">
        <v>10</v>
      </c>
      <c r="I3152" t="s">
        <v>11</v>
      </c>
    </row>
    <row r="3153" spans="1:9" hidden="1" x14ac:dyDescent="0.25">
      <c r="A3153" t="s">
        <v>24</v>
      </c>
      <c r="B3153" t="s">
        <v>160</v>
      </c>
      <c r="C3153">
        <v>202410</v>
      </c>
      <c r="D3153" t="str">
        <f t="shared" si="49"/>
        <v>2024</v>
      </c>
      <c r="E3153">
        <v>3363</v>
      </c>
      <c r="F3153">
        <v>99481</v>
      </c>
      <c r="G3153">
        <v>3.38</v>
      </c>
      <c r="H3153" t="s">
        <v>10</v>
      </c>
      <c r="I3153" t="s">
        <v>11</v>
      </c>
    </row>
    <row r="3154" spans="1:9" hidden="1" x14ac:dyDescent="0.25">
      <c r="A3154" t="s">
        <v>24</v>
      </c>
      <c r="B3154" t="s">
        <v>160</v>
      </c>
      <c r="C3154">
        <v>202411</v>
      </c>
      <c r="D3154" t="str">
        <f t="shared" si="49"/>
        <v>2024</v>
      </c>
      <c r="E3154">
        <v>2930</v>
      </c>
      <c r="F3154">
        <v>99481</v>
      </c>
      <c r="G3154">
        <v>2.95</v>
      </c>
      <c r="H3154" t="s">
        <v>10</v>
      </c>
      <c r="I3154" t="s">
        <v>11</v>
      </c>
    </row>
    <row r="3155" spans="1:9" hidden="1" x14ac:dyDescent="0.25">
      <c r="A3155" t="s">
        <v>24</v>
      </c>
      <c r="B3155" t="s">
        <v>160</v>
      </c>
      <c r="C3155">
        <v>202412</v>
      </c>
      <c r="D3155" t="str">
        <f t="shared" si="49"/>
        <v>2024</v>
      </c>
      <c r="E3155">
        <v>3099</v>
      </c>
      <c r="F3155">
        <v>99481</v>
      </c>
      <c r="G3155">
        <v>3.12</v>
      </c>
      <c r="H3155" t="s">
        <v>10</v>
      </c>
      <c r="I3155" t="s">
        <v>11</v>
      </c>
    </row>
    <row r="3156" spans="1:9" x14ac:dyDescent="0.25">
      <c r="A3156" t="s">
        <v>24</v>
      </c>
      <c r="B3156" t="s">
        <v>160</v>
      </c>
      <c r="C3156">
        <v>202501</v>
      </c>
      <c r="D3156" t="str">
        <f t="shared" si="49"/>
        <v>2025</v>
      </c>
      <c r="E3156">
        <v>5014</v>
      </c>
      <c r="F3156">
        <v>99481</v>
      </c>
      <c r="G3156">
        <v>5.04</v>
      </c>
      <c r="H3156" t="s">
        <v>10</v>
      </c>
      <c r="I3156" t="s">
        <v>11</v>
      </c>
    </row>
    <row r="3157" spans="1:9" x14ac:dyDescent="0.25">
      <c r="A3157" t="s">
        <v>24</v>
      </c>
      <c r="B3157" t="s">
        <v>160</v>
      </c>
      <c r="C3157">
        <v>202502</v>
      </c>
      <c r="D3157" t="str">
        <f t="shared" si="49"/>
        <v>2025</v>
      </c>
      <c r="E3157">
        <v>4887</v>
      </c>
      <c r="F3157">
        <v>99481</v>
      </c>
      <c r="G3157">
        <v>4.91</v>
      </c>
      <c r="H3157" t="s">
        <v>10</v>
      </c>
      <c r="I3157" t="s">
        <v>11</v>
      </c>
    </row>
    <row r="3158" spans="1:9" x14ac:dyDescent="0.25">
      <c r="A3158" t="s">
        <v>24</v>
      </c>
      <c r="B3158" t="s">
        <v>160</v>
      </c>
      <c r="C3158">
        <v>202503</v>
      </c>
      <c r="D3158" t="str">
        <f t="shared" si="49"/>
        <v>2025</v>
      </c>
      <c r="E3158">
        <v>5260</v>
      </c>
      <c r="F3158">
        <v>99481</v>
      </c>
      <c r="G3158">
        <v>5.29</v>
      </c>
      <c r="H3158" t="s">
        <v>10</v>
      </c>
      <c r="I3158" t="s">
        <v>11</v>
      </c>
    </row>
    <row r="3159" spans="1:9" x14ac:dyDescent="0.25">
      <c r="A3159" t="s">
        <v>24</v>
      </c>
      <c r="B3159" t="s">
        <v>160</v>
      </c>
      <c r="C3159">
        <v>202504</v>
      </c>
      <c r="D3159" t="str">
        <f t="shared" si="49"/>
        <v>2025</v>
      </c>
      <c r="E3159">
        <v>4940</v>
      </c>
      <c r="F3159">
        <v>99481</v>
      </c>
      <c r="G3159">
        <v>4.97</v>
      </c>
      <c r="H3159" t="s">
        <v>10</v>
      </c>
      <c r="I3159" t="s">
        <v>11</v>
      </c>
    </row>
    <row r="3160" spans="1:9" x14ac:dyDescent="0.25">
      <c r="A3160" t="s">
        <v>24</v>
      </c>
      <c r="B3160" t="s">
        <v>160</v>
      </c>
      <c r="C3160">
        <v>202505</v>
      </c>
      <c r="D3160" t="str">
        <f t="shared" si="49"/>
        <v>2025</v>
      </c>
      <c r="E3160">
        <v>5101</v>
      </c>
      <c r="F3160">
        <v>99481</v>
      </c>
      <c r="G3160">
        <v>5.13</v>
      </c>
      <c r="H3160" t="s">
        <v>10</v>
      </c>
      <c r="I3160" t="s">
        <v>11</v>
      </c>
    </row>
    <row r="3161" spans="1:9" x14ac:dyDescent="0.25">
      <c r="A3161" t="s">
        <v>24</v>
      </c>
      <c r="B3161" t="s">
        <v>160</v>
      </c>
      <c r="C3161">
        <v>202506</v>
      </c>
      <c r="D3161" t="str">
        <f t="shared" si="49"/>
        <v>2025</v>
      </c>
      <c r="E3161">
        <v>4202</v>
      </c>
      <c r="F3161">
        <v>99481</v>
      </c>
      <c r="G3161">
        <v>4.22</v>
      </c>
      <c r="H3161" t="s">
        <v>10</v>
      </c>
      <c r="I3161" t="s">
        <v>11</v>
      </c>
    </row>
    <row r="3162" spans="1:9" x14ac:dyDescent="0.25">
      <c r="A3162" t="s">
        <v>24</v>
      </c>
      <c r="B3162" t="s">
        <v>160</v>
      </c>
      <c r="C3162">
        <v>202507</v>
      </c>
      <c r="D3162" t="str">
        <f t="shared" si="49"/>
        <v>2025</v>
      </c>
      <c r="E3162">
        <v>5116</v>
      </c>
      <c r="F3162">
        <v>99481</v>
      </c>
      <c r="G3162">
        <v>5.14</v>
      </c>
      <c r="H3162" t="s">
        <v>10</v>
      </c>
      <c r="I3162" t="s">
        <v>11</v>
      </c>
    </row>
    <row r="3163" spans="1:9" x14ac:dyDescent="0.25">
      <c r="A3163" t="s">
        <v>24</v>
      </c>
      <c r="B3163" t="s">
        <v>160</v>
      </c>
      <c r="C3163">
        <v>202508</v>
      </c>
      <c r="D3163" t="str">
        <f t="shared" si="49"/>
        <v>2025</v>
      </c>
      <c r="E3163">
        <v>4130</v>
      </c>
      <c r="F3163">
        <v>99481</v>
      </c>
      <c r="G3163">
        <v>4.1500000000000004</v>
      </c>
      <c r="H3163" t="s">
        <v>10</v>
      </c>
      <c r="I3163" t="s">
        <v>11</v>
      </c>
    </row>
    <row r="3164" spans="1:9" x14ac:dyDescent="0.25">
      <c r="A3164" t="s">
        <v>24</v>
      </c>
      <c r="B3164" t="s">
        <v>160</v>
      </c>
      <c r="C3164">
        <v>202509</v>
      </c>
      <c r="D3164" t="str">
        <f t="shared" si="49"/>
        <v>2025</v>
      </c>
      <c r="E3164">
        <v>1840</v>
      </c>
      <c r="F3164">
        <v>99481</v>
      </c>
      <c r="G3164">
        <v>1.85</v>
      </c>
      <c r="H3164" t="s">
        <v>10</v>
      </c>
      <c r="I3164" t="s">
        <v>11</v>
      </c>
    </row>
    <row r="3165" spans="1:9" hidden="1" x14ac:dyDescent="0.25">
      <c r="A3165" t="s">
        <v>24</v>
      </c>
      <c r="B3165" t="s">
        <v>174</v>
      </c>
      <c r="C3165">
        <v>202301</v>
      </c>
      <c r="D3165" t="str">
        <f t="shared" si="49"/>
        <v>2023</v>
      </c>
      <c r="E3165">
        <v>1663</v>
      </c>
      <c r="F3165">
        <v>104716</v>
      </c>
      <c r="G3165">
        <v>1.59</v>
      </c>
      <c r="H3165" t="s">
        <v>10</v>
      </c>
      <c r="I3165" t="s">
        <v>11</v>
      </c>
    </row>
    <row r="3166" spans="1:9" hidden="1" x14ac:dyDescent="0.25">
      <c r="A3166" t="s">
        <v>24</v>
      </c>
      <c r="B3166" t="s">
        <v>174</v>
      </c>
      <c r="C3166">
        <v>202302</v>
      </c>
      <c r="D3166" t="str">
        <f t="shared" si="49"/>
        <v>2023</v>
      </c>
      <c r="E3166">
        <v>2139</v>
      </c>
      <c r="F3166">
        <v>104716</v>
      </c>
      <c r="G3166">
        <v>2.04</v>
      </c>
      <c r="H3166" t="s">
        <v>10</v>
      </c>
      <c r="I3166" t="s">
        <v>11</v>
      </c>
    </row>
    <row r="3167" spans="1:9" hidden="1" x14ac:dyDescent="0.25">
      <c r="A3167" t="s">
        <v>24</v>
      </c>
      <c r="B3167" t="s">
        <v>174</v>
      </c>
      <c r="C3167">
        <v>202303</v>
      </c>
      <c r="D3167" t="str">
        <f t="shared" si="49"/>
        <v>2023</v>
      </c>
      <c r="E3167">
        <v>2215</v>
      </c>
      <c r="F3167">
        <v>104716</v>
      </c>
      <c r="G3167">
        <v>2.12</v>
      </c>
      <c r="H3167" t="s">
        <v>10</v>
      </c>
      <c r="I3167" t="s">
        <v>11</v>
      </c>
    </row>
    <row r="3168" spans="1:9" hidden="1" x14ac:dyDescent="0.25">
      <c r="A3168" t="s">
        <v>24</v>
      </c>
      <c r="B3168" t="s">
        <v>174</v>
      </c>
      <c r="C3168">
        <v>202304</v>
      </c>
      <c r="D3168" t="str">
        <f t="shared" si="49"/>
        <v>2023</v>
      </c>
      <c r="E3168">
        <v>2056</v>
      </c>
      <c r="F3168">
        <v>104716</v>
      </c>
      <c r="G3168">
        <v>1.96</v>
      </c>
      <c r="H3168" t="s">
        <v>10</v>
      </c>
      <c r="I3168" t="s">
        <v>11</v>
      </c>
    </row>
    <row r="3169" spans="1:9" hidden="1" x14ac:dyDescent="0.25">
      <c r="A3169" t="s">
        <v>24</v>
      </c>
      <c r="B3169" t="s">
        <v>174</v>
      </c>
      <c r="C3169">
        <v>202305</v>
      </c>
      <c r="D3169" t="str">
        <f t="shared" si="49"/>
        <v>2023</v>
      </c>
      <c r="E3169">
        <v>1896</v>
      </c>
      <c r="F3169">
        <v>104716</v>
      </c>
      <c r="G3169">
        <v>1.81</v>
      </c>
      <c r="H3169" t="s">
        <v>10</v>
      </c>
      <c r="I3169" t="s">
        <v>11</v>
      </c>
    </row>
    <row r="3170" spans="1:9" hidden="1" x14ac:dyDescent="0.25">
      <c r="A3170" t="s">
        <v>24</v>
      </c>
      <c r="B3170" t="s">
        <v>174</v>
      </c>
      <c r="C3170">
        <v>202306</v>
      </c>
      <c r="D3170" t="str">
        <f t="shared" si="49"/>
        <v>2023</v>
      </c>
      <c r="E3170">
        <v>2225</v>
      </c>
      <c r="F3170">
        <v>104716</v>
      </c>
      <c r="G3170">
        <v>2.12</v>
      </c>
      <c r="H3170" t="s">
        <v>10</v>
      </c>
      <c r="I3170" t="s">
        <v>11</v>
      </c>
    </row>
    <row r="3171" spans="1:9" hidden="1" x14ac:dyDescent="0.25">
      <c r="A3171" t="s">
        <v>24</v>
      </c>
      <c r="B3171" t="s">
        <v>174</v>
      </c>
      <c r="C3171">
        <v>202307</v>
      </c>
      <c r="D3171" t="str">
        <f t="shared" si="49"/>
        <v>2023</v>
      </c>
      <c r="E3171">
        <v>2005</v>
      </c>
      <c r="F3171">
        <v>104716</v>
      </c>
      <c r="G3171">
        <v>1.91</v>
      </c>
      <c r="H3171" t="s">
        <v>10</v>
      </c>
      <c r="I3171" t="s">
        <v>11</v>
      </c>
    </row>
    <row r="3172" spans="1:9" hidden="1" x14ac:dyDescent="0.25">
      <c r="A3172" t="s">
        <v>24</v>
      </c>
      <c r="B3172" t="s">
        <v>174</v>
      </c>
      <c r="C3172">
        <v>202308</v>
      </c>
      <c r="D3172" t="str">
        <f t="shared" si="49"/>
        <v>2023</v>
      </c>
      <c r="E3172">
        <v>1939</v>
      </c>
      <c r="F3172">
        <v>104716</v>
      </c>
      <c r="G3172">
        <v>1.85</v>
      </c>
      <c r="H3172" t="s">
        <v>10</v>
      </c>
      <c r="I3172" t="s">
        <v>11</v>
      </c>
    </row>
    <row r="3173" spans="1:9" hidden="1" x14ac:dyDescent="0.25">
      <c r="A3173" t="s">
        <v>24</v>
      </c>
      <c r="B3173" t="s">
        <v>174</v>
      </c>
      <c r="C3173">
        <v>202309</v>
      </c>
      <c r="D3173" t="str">
        <f t="shared" si="49"/>
        <v>2023</v>
      </c>
      <c r="E3173">
        <v>1833</v>
      </c>
      <c r="F3173">
        <v>104716</v>
      </c>
      <c r="G3173">
        <v>1.75</v>
      </c>
      <c r="H3173" t="s">
        <v>10</v>
      </c>
      <c r="I3173" t="s">
        <v>11</v>
      </c>
    </row>
    <row r="3174" spans="1:9" hidden="1" x14ac:dyDescent="0.25">
      <c r="A3174" t="s">
        <v>24</v>
      </c>
      <c r="B3174" t="s">
        <v>174</v>
      </c>
      <c r="C3174">
        <v>202310</v>
      </c>
      <c r="D3174" t="str">
        <f t="shared" si="49"/>
        <v>2023</v>
      </c>
      <c r="E3174">
        <v>1803</v>
      </c>
      <c r="F3174">
        <v>104716</v>
      </c>
      <c r="G3174">
        <v>1.72</v>
      </c>
      <c r="H3174" t="s">
        <v>10</v>
      </c>
      <c r="I3174" t="s">
        <v>11</v>
      </c>
    </row>
    <row r="3175" spans="1:9" hidden="1" x14ac:dyDescent="0.25">
      <c r="A3175" t="s">
        <v>24</v>
      </c>
      <c r="B3175" t="s">
        <v>174</v>
      </c>
      <c r="C3175">
        <v>202311</v>
      </c>
      <c r="D3175" t="str">
        <f t="shared" si="49"/>
        <v>2023</v>
      </c>
      <c r="E3175">
        <v>2315</v>
      </c>
      <c r="F3175">
        <v>104716</v>
      </c>
      <c r="G3175">
        <v>2.21</v>
      </c>
      <c r="H3175" t="s">
        <v>10</v>
      </c>
      <c r="I3175" t="s">
        <v>11</v>
      </c>
    </row>
    <row r="3176" spans="1:9" hidden="1" x14ac:dyDescent="0.25">
      <c r="A3176" t="s">
        <v>24</v>
      </c>
      <c r="B3176" t="s">
        <v>174</v>
      </c>
      <c r="C3176">
        <v>202312</v>
      </c>
      <c r="D3176" t="str">
        <f t="shared" si="49"/>
        <v>2023</v>
      </c>
      <c r="E3176">
        <v>2059</v>
      </c>
      <c r="F3176">
        <v>104716</v>
      </c>
      <c r="G3176">
        <v>1.97</v>
      </c>
      <c r="H3176" t="s">
        <v>10</v>
      </c>
      <c r="I3176" t="s">
        <v>11</v>
      </c>
    </row>
    <row r="3177" spans="1:9" hidden="1" x14ac:dyDescent="0.25">
      <c r="A3177" t="s">
        <v>24</v>
      </c>
      <c r="B3177" t="s">
        <v>174</v>
      </c>
      <c r="C3177">
        <v>202401</v>
      </c>
      <c r="D3177" t="str">
        <f t="shared" si="49"/>
        <v>2024</v>
      </c>
      <c r="E3177">
        <v>2367</v>
      </c>
      <c r="F3177">
        <v>104716</v>
      </c>
      <c r="G3177">
        <v>2.2599999999999998</v>
      </c>
      <c r="H3177" t="s">
        <v>10</v>
      </c>
      <c r="I3177" t="s">
        <v>11</v>
      </c>
    </row>
    <row r="3178" spans="1:9" hidden="1" x14ac:dyDescent="0.25">
      <c r="A3178" t="s">
        <v>24</v>
      </c>
      <c r="B3178" t="s">
        <v>174</v>
      </c>
      <c r="C3178">
        <v>202402</v>
      </c>
      <c r="D3178" t="str">
        <f t="shared" si="49"/>
        <v>2024</v>
      </c>
      <c r="E3178">
        <v>3202</v>
      </c>
      <c r="F3178">
        <v>104716</v>
      </c>
      <c r="G3178">
        <v>3.06</v>
      </c>
      <c r="H3178" t="s">
        <v>10</v>
      </c>
      <c r="I3178" t="s">
        <v>11</v>
      </c>
    </row>
    <row r="3179" spans="1:9" hidden="1" x14ac:dyDescent="0.25">
      <c r="A3179" t="s">
        <v>24</v>
      </c>
      <c r="B3179" t="s">
        <v>174</v>
      </c>
      <c r="C3179">
        <v>202403</v>
      </c>
      <c r="D3179" t="str">
        <f t="shared" si="49"/>
        <v>2024</v>
      </c>
      <c r="E3179">
        <v>2878</v>
      </c>
      <c r="F3179">
        <v>104716</v>
      </c>
      <c r="G3179">
        <v>2.75</v>
      </c>
      <c r="H3179" t="s">
        <v>10</v>
      </c>
      <c r="I3179" t="s">
        <v>11</v>
      </c>
    </row>
    <row r="3180" spans="1:9" hidden="1" x14ac:dyDescent="0.25">
      <c r="A3180" t="s">
        <v>24</v>
      </c>
      <c r="B3180" t="s">
        <v>174</v>
      </c>
      <c r="C3180">
        <v>202404</v>
      </c>
      <c r="D3180" t="str">
        <f t="shared" si="49"/>
        <v>2024</v>
      </c>
      <c r="E3180">
        <v>3206</v>
      </c>
      <c r="F3180">
        <v>104716</v>
      </c>
      <c r="G3180">
        <v>3.06</v>
      </c>
      <c r="H3180" t="s">
        <v>10</v>
      </c>
      <c r="I3180" t="s">
        <v>11</v>
      </c>
    </row>
    <row r="3181" spans="1:9" hidden="1" x14ac:dyDescent="0.25">
      <c r="A3181" t="s">
        <v>24</v>
      </c>
      <c r="B3181" t="s">
        <v>174</v>
      </c>
      <c r="C3181">
        <v>202405</v>
      </c>
      <c r="D3181" t="str">
        <f t="shared" si="49"/>
        <v>2024</v>
      </c>
      <c r="E3181">
        <v>2932</v>
      </c>
      <c r="F3181">
        <v>104716</v>
      </c>
      <c r="G3181">
        <v>2.8</v>
      </c>
      <c r="H3181" t="s">
        <v>10</v>
      </c>
      <c r="I3181" t="s">
        <v>11</v>
      </c>
    </row>
    <row r="3182" spans="1:9" hidden="1" x14ac:dyDescent="0.25">
      <c r="A3182" t="s">
        <v>24</v>
      </c>
      <c r="B3182" t="s">
        <v>174</v>
      </c>
      <c r="C3182">
        <v>202406</v>
      </c>
      <c r="D3182" t="str">
        <f t="shared" si="49"/>
        <v>2024</v>
      </c>
      <c r="E3182">
        <v>2647</v>
      </c>
      <c r="F3182">
        <v>104716</v>
      </c>
      <c r="G3182">
        <v>2.5299999999999998</v>
      </c>
      <c r="H3182" t="s">
        <v>10</v>
      </c>
      <c r="I3182" t="s">
        <v>11</v>
      </c>
    </row>
    <row r="3183" spans="1:9" hidden="1" x14ac:dyDescent="0.25">
      <c r="A3183" t="s">
        <v>24</v>
      </c>
      <c r="B3183" t="s">
        <v>174</v>
      </c>
      <c r="C3183">
        <v>202407</v>
      </c>
      <c r="D3183" t="str">
        <f t="shared" si="49"/>
        <v>2024</v>
      </c>
      <c r="E3183">
        <v>2559</v>
      </c>
      <c r="F3183">
        <v>104716</v>
      </c>
      <c r="G3183">
        <v>2.44</v>
      </c>
      <c r="H3183" t="s">
        <v>10</v>
      </c>
      <c r="I3183" t="s">
        <v>11</v>
      </c>
    </row>
    <row r="3184" spans="1:9" hidden="1" x14ac:dyDescent="0.25">
      <c r="A3184" t="s">
        <v>24</v>
      </c>
      <c r="B3184" t="s">
        <v>174</v>
      </c>
      <c r="C3184">
        <v>202408</v>
      </c>
      <c r="D3184" t="str">
        <f t="shared" si="49"/>
        <v>2024</v>
      </c>
      <c r="E3184">
        <v>2771</v>
      </c>
      <c r="F3184">
        <v>104716</v>
      </c>
      <c r="G3184">
        <v>2.65</v>
      </c>
      <c r="H3184" t="s">
        <v>10</v>
      </c>
      <c r="I3184" t="s">
        <v>11</v>
      </c>
    </row>
    <row r="3185" spans="1:9" hidden="1" x14ac:dyDescent="0.25">
      <c r="A3185" t="s">
        <v>24</v>
      </c>
      <c r="B3185" t="s">
        <v>174</v>
      </c>
      <c r="C3185">
        <v>202409</v>
      </c>
      <c r="D3185" t="str">
        <f t="shared" si="49"/>
        <v>2024</v>
      </c>
      <c r="E3185">
        <v>2951</v>
      </c>
      <c r="F3185">
        <v>104716</v>
      </c>
      <c r="G3185">
        <v>2.82</v>
      </c>
      <c r="H3185" t="s">
        <v>10</v>
      </c>
      <c r="I3185" t="s">
        <v>11</v>
      </c>
    </row>
    <row r="3186" spans="1:9" hidden="1" x14ac:dyDescent="0.25">
      <c r="A3186" t="s">
        <v>24</v>
      </c>
      <c r="B3186" t="s">
        <v>174</v>
      </c>
      <c r="C3186">
        <v>202410</v>
      </c>
      <c r="D3186" t="str">
        <f t="shared" si="49"/>
        <v>2024</v>
      </c>
      <c r="E3186">
        <v>3349</v>
      </c>
      <c r="F3186">
        <v>104716</v>
      </c>
      <c r="G3186">
        <v>3.2</v>
      </c>
      <c r="H3186" t="s">
        <v>10</v>
      </c>
      <c r="I3186" t="s">
        <v>11</v>
      </c>
    </row>
    <row r="3187" spans="1:9" hidden="1" x14ac:dyDescent="0.25">
      <c r="A3187" t="s">
        <v>24</v>
      </c>
      <c r="B3187" t="s">
        <v>174</v>
      </c>
      <c r="C3187">
        <v>202411</v>
      </c>
      <c r="D3187" t="str">
        <f t="shared" si="49"/>
        <v>2024</v>
      </c>
      <c r="E3187">
        <v>2948</v>
      </c>
      <c r="F3187">
        <v>104716</v>
      </c>
      <c r="G3187">
        <v>2.82</v>
      </c>
      <c r="H3187" t="s">
        <v>10</v>
      </c>
      <c r="I3187" t="s">
        <v>11</v>
      </c>
    </row>
    <row r="3188" spans="1:9" hidden="1" x14ac:dyDescent="0.25">
      <c r="A3188" t="s">
        <v>24</v>
      </c>
      <c r="B3188" t="s">
        <v>174</v>
      </c>
      <c r="C3188">
        <v>202412</v>
      </c>
      <c r="D3188" t="str">
        <f t="shared" si="49"/>
        <v>2024</v>
      </c>
      <c r="E3188">
        <v>3095</v>
      </c>
      <c r="F3188">
        <v>104716</v>
      </c>
      <c r="G3188">
        <v>2.96</v>
      </c>
      <c r="H3188" t="s">
        <v>10</v>
      </c>
      <c r="I3188" t="s">
        <v>11</v>
      </c>
    </row>
    <row r="3189" spans="1:9" x14ac:dyDescent="0.25">
      <c r="A3189" t="s">
        <v>24</v>
      </c>
      <c r="B3189" t="s">
        <v>174</v>
      </c>
      <c r="C3189">
        <v>202501</v>
      </c>
      <c r="D3189" t="str">
        <f t="shared" si="49"/>
        <v>2025</v>
      </c>
      <c r="E3189">
        <v>5002</v>
      </c>
      <c r="F3189">
        <v>104716</v>
      </c>
      <c r="G3189">
        <v>4.78</v>
      </c>
      <c r="H3189" t="s">
        <v>10</v>
      </c>
      <c r="I3189" t="s">
        <v>11</v>
      </c>
    </row>
    <row r="3190" spans="1:9" x14ac:dyDescent="0.25">
      <c r="A3190" t="s">
        <v>24</v>
      </c>
      <c r="B3190" t="s">
        <v>174</v>
      </c>
      <c r="C3190">
        <v>202502</v>
      </c>
      <c r="D3190" t="str">
        <f t="shared" si="49"/>
        <v>2025</v>
      </c>
      <c r="E3190">
        <v>4920</v>
      </c>
      <c r="F3190">
        <v>104716</v>
      </c>
      <c r="G3190">
        <v>4.7</v>
      </c>
      <c r="H3190" t="s">
        <v>10</v>
      </c>
      <c r="I3190" t="s">
        <v>11</v>
      </c>
    </row>
    <row r="3191" spans="1:9" x14ac:dyDescent="0.25">
      <c r="A3191" t="s">
        <v>24</v>
      </c>
      <c r="B3191" t="s">
        <v>174</v>
      </c>
      <c r="C3191">
        <v>202503</v>
      </c>
      <c r="D3191" t="str">
        <f t="shared" si="49"/>
        <v>2025</v>
      </c>
      <c r="E3191">
        <v>5226</v>
      </c>
      <c r="F3191">
        <v>104716</v>
      </c>
      <c r="G3191">
        <v>4.99</v>
      </c>
      <c r="H3191" t="s">
        <v>10</v>
      </c>
      <c r="I3191" t="s">
        <v>11</v>
      </c>
    </row>
    <row r="3192" spans="1:9" x14ac:dyDescent="0.25">
      <c r="A3192" t="s">
        <v>24</v>
      </c>
      <c r="B3192" t="s">
        <v>174</v>
      </c>
      <c r="C3192">
        <v>202504</v>
      </c>
      <c r="D3192" t="str">
        <f t="shared" si="49"/>
        <v>2025</v>
      </c>
      <c r="E3192">
        <v>4896</v>
      </c>
      <c r="F3192">
        <v>104716</v>
      </c>
      <c r="G3192">
        <v>4.68</v>
      </c>
      <c r="H3192" t="s">
        <v>10</v>
      </c>
      <c r="I3192" t="s">
        <v>11</v>
      </c>
    </row>
    <row r="3193" spans="1:9" x14ac:dyDescent="0.25">
      <c r="A3193" t="s">
        <v>24</v>
      </c>
      <c r="B3193" t="s">
        <v>174</v>
      </c>
      <c r="C3193">
        <v>202505</v>
      </c>
      <c r="D3193" t="str">
        <f t="shared" si="49"/>
        <v>2025</v>
      </c>
      <c r="E3193">
        <v>5087</v>
      </c>
      <c r="F3193">
        <v>104716</v>
      </c>
      <c r="G3193">
        <v>4.8600000000000003</v>
      </c>
      <c r="H3193" t="s">
        <v>10</v>
      </c>
      <c r="I3193" t="s">
        <v>11</v>
      </c>
    </row>
    <row r="3194" spans="1:9" x14ac:dyDescent="0.25">
      <c r="A3194" t="s">
        <v>24</v>
      </c>
      <c r="B3194" t="s">
        <v>174</v>
      </c>
      <c r="C3194">
        <v>202506</v>
      </c>
      <c r="D3194" t="str">
        <f t="shared" si="49"/>
        <v>2025</v>
      </c>
      <c r="E3194">
        <v>4235</v>
      </c>
      <c r="F3194">
        <v>104716</v>
      </c>
      <c r="G3194">
        <v>4.04</v>
      </c>
      <c r="H3194" t="s">
        <v>10</v>
      </c>
      <c r="I3194" t="s">
        <v>11</v>
      </c>
    </row>
    <row r="3195" spans="1:9" x14ac:dyDescent="0.25">
      <c r="A3195" t="s">
        <v>24</v>
      </c>
      <c r="B3195" t="s">
        <v>174</v>
      </c>
      <c r="C3195">
        <v>202507</v>
      </c>
      <c r="D3195" t="str">
        <f t="shared" si="49"/>
        <v>2025</v>
      </c>
      <c r="E3195">
        <v>5259</v>
      </c>
      <c r="F3195">
        <v>104716</v>
      </c>
      <c r="G3195">
        <v>5.0199999999999996</v>
      </c>
      <c r="H3195" t="s">
        <v>10</v>
      </c>
      <c r="I3195" t="s">
        <v>11</v>
      </c>
    </row>
    <row r="3196" spans="1:9" x14ac:dyDescent="0.25">
      <c r="A3196" t="s">
        <v>24</v>
      </c>
      <c r="B3196" t="s">
        <v>174</v>
      </c>
      <c r="C3196">
        <v>202508</v>
      </c>
      <c r="D3196" t="str">
        <f t="shared" si="49"/>
        <v>2025</v>
      </c>
      <c r="E3196">
        <v>4473</v>
      </c>
      <c r="F3196">
        <v>104716</v>
      </c>
      <c r="G3196">
        <v>4.2699999999999996</v>
      </c>
      <c r="H3196" t="s">
        <v>10</v>
      </c>
      <c r="I3196" t="s">
        <v>11</v>
      </c>
    </row>
    <row r="3197" spans="1:9" x14ac:dyDescent="0.25">
      <c r="A3197" t="s">
        <v>24</v>
      </c>
      <c r="B3197" t="s">
        <v>174</v>
      </c>
      <c r="C3197">
        <v>202509</v>
      </c>
      <c r="D3197" t="str">
        <f t="shared" si="49"/>
        <v>2025</v>
      </c>
      <c r="E3197">
        <v>4886</v>
      </c>
      <c r="F3197">
        <v>104716</v>
      </c>
      <c r="G3197">
        <v>4.67</v>
      </c>
      <c r="H3197" t="s">
        <v>10</v>
      </c>
      <c r="I3197" t="s">
        <v>11</v>
      </c>
    </row>
    <row r="3198" spans="1:9" x14ac:dyDescent="0.25">
      <c r="A3198" t="s">
        <v>24</v>
      </c>
      <c r="B3198" t="s">
        <v>174</v>
      </c>
      <c r="C3198">
        <v>202510</v>
      </c>
      <c r="D3198" t="str">
        <f t="shared" si="49"/>
        <v>2025</v>
      </c>
      <c r="E3198">
        <v>1679</v>
      </c>
      <c r="F3198">
        <v>104716</v>
      </c>
      <c r="G3198">
        <v>1.6</v>
      </c>
      <c r="H3198" t="s">
        <v>10</v>
      </c>
      <c r="I3198" t="s">
        <v>11</v>
      </c>
    </row>
    <row r="3199" spans="1:9" hidden="1" x14ac:dyDescent="0.25">
      <c r="A3199" t="s">
        <v>24</v>
      </c>
      <c r="B3199" t="s">
        <v>101</v>
      </c>
      <c r="C3199">
        <v>202301</v>
      </c>
      <c r="D3199" t="str">
        <f t="shared" si="49"/>
        <v>2023</v>
      </c>
      <c r="E3199">
        <v>2893</v>
      </c>
      <c r="F3199">
        <v>189871</v>
      </c>
      <c r="G3199">
        <v>1.52</v>
      </c>
      <c r="H3199" t="s">
        <v>10</v>
      </c>
      <c r="I3199" t="s">
        <v>11</v>
      </c>
    </row>
    <row r="3200" spans="1:9" hidden="1" x14ac:dyDescent="0.25">
      <c r="A3200" t="s">
        <v>24</v>
      </c>
      <c r="B3200" t="s">
        <v>101</v>
      </c>
      <c r="C3200">
        <v>202302</v>
      </c>
      <c r="D3200" t="str">
        <f t="shared" si="49"/>
        <v>2023</v>
      </c>
      <c r="E3200">
        <v>3164</v>
      </c>
      <c r="F3200">
        <v>189871</v>
      </c>
      <c r="G3200">
        <v>1.67</v>
      </c>
      <c r="H3200" t="s">
        <v>10</v>
      </c>
      <c r="I3200" t="s">
        <v>11</v>
      </c>
    </row>
    <row r="3201" spans="1:9" hidden="1" x14ac:dyDescent="0.25">
      <c r="A3201" t="s">
        <v>24</v>
      </c>
      <c r="B3201" t="s">
        <v>101</v>
      </c>
      <c r="C3201">
        <v>202303</v>
      </c>
      <c r="D3201" t="str">
        <f t="shared" si="49"/>
        <v>2023</v>
      </c>
      <c r="E3201">
        <v>3779</v>
      </c>
      <c r="F3201">
        <v>189871</v>
      </c>
      <c r="G3201">
        <v>1.99</v>
      </c>
      <c r="H3201" t="s">
        <v>10</v>
      </c>
      <c r="I3201" t="s">
        <v>11</v>
      </c>
    </row>
    <row r="3202" spans="1:9" hidden="1" x14ac:dyDescent="0.25">
      <c r="A3202" t="s">
        <v>24</v>
      </c>
      <c r="B3202" t="s">
        <v>101</v>
      </c>
      <c r="C3202">
        <v>202304</v>
      </c>
      <c r="D3202" t="str">
        <f t="shared" si="49"/>
        <v>2023</v>
      </c>
      <c r="E3202">
        <v>3316</v>
      </c>
      <c r="F3202">
        <v>189871</v>
      </c>
      <c r="G3202">
        <v>1.75</v>
      </c>
      <c r="H3202" t="s">
        <v>10</v>
      </c>
      <c r="I3202" t="s">
        <v>11</v>
      </c>
    </row>
    <row r="3203" spans="1:9" hidden="1" x14ac:dyDescent="0.25">
      <c r="A3203" t="s">
        <v>24</v>
      </c>
      <c r="B3203" t="s">
        <v>101</v>
      </c>
      <c r="C3203">
        <v>202305</v>
      </c>
      <c r="D3203" t="str">
        <f t="shared" ref="D3203:D3266" si="50">LEFT(C3203,4)</f>
        <v>2023</v>
      </c>
      <c r="E3203">
        <v>3310</v>
      </c>
      <c r="F3203">
        <v>189871</v>
      </c>
      <c r="G3203">
        <v>1.74</v>
      </c>
      <c r="H3203" t="s">
        <v>10</v>
      </c>
      <c r="I3203" t="s">
        <v>11</v>
      </c>
    </row>
    <row r="3204" spans="1:9" hidden="1" x14ac:dyDescent="0.25">
      <c r="A3204" t="s">
        <v>24</v>
      </c>
      <c r="B3204" t="s">
        <v>101</v>
      </c>
      <c r="C3204">
        <v>202306</v>
      </c>
      <c r="D3204" t="str">
        <f t="shared" si="50"/>
        <v>2023</v>
      </c>
      <c r="E3204">
        <v>3502</v>
      </c>
      <c r="F3204">
        <v>189871</v>
      </c>
      <c r="G3204">
        <v>1.84</v>
      </c>
      <c r="H3204" t="s">
        <v>10</v>
      </c>
      <c r="I3204" t="s">
        <v>11</v>
      </c>
    </row>
    <row r="3205" spans="1:9" hidden="1" x14ac:dyDescent="0.25">
      <c r="A3205" t="s">
        <v>24</v>
      </c>
      <c r="B3205" t="s">
        <v>101</v>
      </c>
      <c r="C3205">
        <v>202307</v>
      </c>
      <c r="D3205" t="str">
        <f t="shared" si="50"/>
        <v>2023</v>
      </c>
      <c r="E3205">
        <v>3615</v>
      </c>
      <c r="F3205">
        <v>189871</v>
      </c>
      <c r="G3205">
        <v>1.9</v>
      </c>
      <c r="H3205" t="s">
        <v>10</v>
      </c>
      <c r="I3205" t="s">
        <v>11</v>
      </c>
    </row>
    <row r="3206" spans="1:9" hidden="1" x14ac:dyDescent="0.25">
      <c r="A3206" t="s">
        <v>24</v>
      </c>
      <c r="B3206" t="s">
        <v>101</v>
      </c>
      <c r="C3206">
        <v>202308</v>
      </c>
      <c r="D3206" t="str">
        <f t="shared" si="50"/>
        <v>2023</v>
      </c>
      <c r="E3206">
        <v>3756</v>
      </c>
      <c r="F3206">
        <v>189871</v>
      </c>
      <c r="G3206">
        <v>1.98</v>
      </c>
      <c r="H3206" t="s">
        <v>10</v>
      </c>
      <c r="I3206" t="s">
        <v>11</v>
      </c>
    </row>
    <row r="3207" spans="1:9" hidden="1" x14ac:dyDescent="0.25">
      <c r="A3207" t="s">
        <v>24</v>
      </c>
      <c r="B3207" t="s">
        <v>101</v>
      </c>
      <c r="C3207">
        <v>202309</v>
      </c>
      <c r="D3207" t="str">
        <f t="shared" si="50"/>
        <v>2023</v>
      </c>
      <c r="E3207">
        <v>3829</v>
      </c>
      <c r="F3207">
        <v>189871</v>
      </c>
      <c r="G3207">
        <v>2.02</v>
      </c>
      <c r="H3207" t="s">
        <v>10</v>
      </c>
      <c r="I3207" t="s">
        <v>11</v>
      </c>
    </row>
    <row r="3208" spans="1:9" hidden="1" x14ac:dyDescent="0.25">
      <c r="A3208" t="s">
        <v>24</v>
      </c>
      <c r="B3208" t="s">
        <v>101</v>
      </c>
      <c r="C3208">
        <v>202310</v>
      </c>
      <c r="D3208" t="str">
        <f t="shared" si="50"/>
        <v>2023</v>
      </c>
      <c r="E3208">
        <v>3734</v>
      </c>
      <c r="F3208">
        <v>189871</v>
      </c>
      <c r="G3208">
        <v>1.97</v>
      </c>
      <c r="H3208" t="s">
        <v>10</v>
      </c>
      <c r="I3208" t="s">
        <v>11</v>
      </c>
    </row>
    <row r="3209" spans="1:9" hidden="1" x14ac:dyDescent="0.25">
      <c r="A3209" t="s">
        <v>24</v>
      </c>
      <c r="B3209" t="s">
        <v>101</v>
      </c>
      <c r="C3209">
        <v>202311</v>
      </c>
      <c r="D3209" t="str">
        <f t="shared" si="50"/>
        <v>2023</v>
      </c>
      <c r="E3209">
        <v>4194</v>
      </c>
      <c r="F3209">
        <v>189871</v>
      </c>
      <c r="G3209">
        <v>2.21</v>
      </c>
      <c r="H3209" t="s">
        <v>10</v>
      </c>
      <c r="I3209" t="s">
        <v>11</v>
      </c>
    </row>
    <row r="3210" spans="1:9" hidden="1" x14ac:dyDescent="0.25">
      <c r="A3210" t="s">
        <v>24</v>
      </c>
      <c r="B3210" t="s">
        <v>101</v>
      </c>
      <c r="C3210">
        <v>202312</v>
      </c>
      <c r="D3210" t="str">
        <f t="shared" si="50"/>
        <v>2023</v>
      </c>
      <c r="E3210">
        <v>3959</v>
      </c>
      <c r="F3210">
        <v>189871</v>
      </c>
      <c r="G3210">
        <v>2.09</v>
      </c>
      <c r="H3210" t="s">
        <v>10</v>
      </c>
      <c r="I3210" t="s">
        <v>11</v>
      </c>
    </row>
    <row r="3211" spans="1:9" hidden="1" x14ac:dyDescent="0.25">
      <c r="A3211" t="s">
        <v>24</v>
      </c>
      <c r="B3211" t="s">
        <v>101</v>
      </c>
      <c r="C3211">
        <v>202401</v>
      </c>
      <c r="D3211" t="str">
        <f t="shared" si="50"/>
        <v>2024</v>
      </c>
      <c r="E3211">
        <v>4645</v>
      </c>
      <c r="F3211">
        <v>189871</v>
      </c>
      <c r="G3211">
        <v>2.4500000000000002</v>
      </c>
      <c r="H3211" t="s">
        <v>10</v>
      </c>
      <c r="I3211" t="s">
        <v>11</v>
      </c>
    </row>
    <row r="3212" spans="1:9" hidden="1" x14ac:dyDescent="0.25">
      <c r="A3212" t="s">
        <v>24</v>
      </c>
      <c r="B3212" t="s">
        <v>101</v>
      </c>
      <c r="C3212">
        <v>202402</v>
      </c>
      <c r="D3212" t="str">
        <f t="shared" si="50"/>
        <v>2024</v>
      </c>
      <c r="E3212">
        <v>6086</v>
      </c>
      <c r="F3212">
        <v>189871</v>
      </c>
      <c r="G3212">
        <v>3.21</v>
      </c>
      <c r="H3212" t="s">
        <v>10</v>
      </c>
      <c r="I3212" t="s">
        <v>11</v>
      </c>
    </row>
    <row r="3213" spans="1:9" hidden="1" x14ac:dyDescent="0.25">
      <c r="A3213" t="s">
        <v>24</v>
      </c>
      <c r="B3213" t="s">
        <v>101</v>
      </c>
      <c r="C3213">
        <v>202403</v>
      </c>
      <c r="D3213" t="str">
        <f t="shared" si="50"/>
        <v>2024</v>
      </c>
      <c r="E3213">
        <v>5540</v>
      </c>
      <c r="F3213">
        <v>189871</v>
      </c>
      <c r="G3213">
        <v>2.92</v>
      </c>
      <c r="H3213" t="s">
        <v>10</v>
      </c>
      <c r="I3213" t="s">
        <v>11</v>
      </c>
    </row>
    <row r="3214" spans="1:9" hidden="1" x14ac:dyDescent="0.25">
      <c r="A3214" t="s">
        <v>24</v>
      </c>
      <c r="B3214" t="s">
        <v>101</v>
      </c>
      <c r="C3214">
        <v>202404</v>
      </c>
      <c r="D3214" t="str">
        <f t="shared" si="50"/>
        <v>2024</v>
      </c>
      <c r="E3214">
        <v>5710</v>
      </c>
      <c r="F3214">
        <v>189871</v>
      </c>
      <c r="G3214">
        <v>3.01</v>
      </c>
      <c r="H3214" t="s">
        <v>10</v>
      </c>
      <c r="I3214" t="s">
        <v>11</v>
      </c>
    </row>
    <row r="3215" spans="1:9" hidden="1" x14ac:dyDescent="0.25">
      <c r="A3215" t="s">
        <v>24</v>
      </c>
      <c r="B3215" t="s">
        <v>101</v>
      </c>
      <c r="C3215">
        <v>202405</v>
      </c>
      <c r="D3215" t="str">
        <f t="shared" si="50"/>
        <v>2024</v>
      </c>
      <c r="E3215">
        <v>5739</v>
      </c>
      <c r="F3215">
        <v>189871</v>
      </c>
      <c r="G3215">
        <v>3.02</v>
      </c>
      <c r="H3215" t="s">
        <v>10</v>
      </c>
      <c r="I3215" t="s">
        <v>11</v>
      </c>
    </row>
    <row r="3216" spans="1:9" hidden="1" x14ac:dyDescent="0.25">
      <c r="A3216" t="s">
        <v>24</v>
      </c>
      <c r="B3216" t="s">
        <v>101</v>
      </c>
      <c r="C3216">
        <v>202406</v>
      </c>
      <c r="D3216" t="str">
        <f t="shared" si="50"/>
        <v>2024</v>
      </c>
      <c r="E3216">
        <v>5020</v>
      </c>
      <c r="F3216">
        <v>189871</v>
      </c>
      <c r="G3216">
        <v>2.64</v>
      </c>
      <c r="H3216" t="s">
        <v>10</v>
      </c>
      <c r="I3216" t="s">
        <v>11</v>
      </c>
    </row>
    <row r="3217" spans="1:9" hidden="1" x14ac:dyDescent="0.25">
      <c r="A3217" t="s">
        <v>24</v>
      </c>
      <c r="B3217" t="s">
        <v>101</v>
      </c>
      <c r="C3217">
        <v>202407</v>
      </c>
      <c r="D3217" t="str">
        <f t="shared" si="50"/>
        <v>2024</v>
      </c>
      <c r="E3217">
        <v>5704</v>
      </c>
      <c r="F3217">
        <v>189871</v>
      </c>
      <c r="G3217">
        <v>3</v>
      </c>
      <c r="H3217" t="s">
        <v>10</v>
      </c>
      <c r="I3217" t="s">
        <v>11</v>
      </c>
    </row>
    <row r="3218" spans="1:9" hidden="1" x14ac:dyDescent="0.25">
      <c r="A3218" t="s">
        <v>24</v>
      </c>
      <c r="B3218" t="s">
        <v>101</v>
      </c>
      <c r="C3218">
        <v>202408</v>
      </c>
      <c r="D3218" t="str">
        <f t="shared" si="50"/>
        <v>2024</v>
      </c>
      <c r="E3218">
        <v>5320</v>
      </c>
      <c r="F3218">
        <v>189871</v>
      </c>
      <c r="G3218">
        <v>2.8</v>
      </c>
      <c r="H3218" t="s">
        <v>10</v>
      </c>
      <c r="I3218" t="s">
        <v>11</v>
      </c>
    </row>
    <row r="3219" spans="1:9" hidden="1" x14ac:dyDescent="0.25">
      <c r="A3219" t="s">
        <v>24</v>
      </c>
      <c r="B3219" t="s">
        <v>101</v>
      </c>
      <c r="C3219">
        <v>202409</v>
      </c>
      <c r="D3219" t="str">
        <f t="shared" si="50"/>
        <v>2024</v>
      </c>
      <c r="E3219">
        <v>5286</v>
      </c>
      <c r="F3219">
        <v>189871</v>
      </c>
      <c r="G3219">
        <v>2.78</v>
      </c>
      <c r="H3219" t="s">
        <v>10</v>
      </c>
      <c r="I3219" t="s">
        <v>11</v>
      </c>
    </row>
    <row r="3220" spans="1:9" hidden="1" x14ac:dyDescent="0.25">
      <c r="A3220" t="s">
        <v>24</v>
      </c>
      <c r="B3220" t="s">
        <v>101</v>
      </c>
      <c r="C3220">
        <v>202410</v>
      </c>
      <c r="D3220" t="str">
        <f t="shared" si="50"/>
        <v>2024</v>
      </c>
      <c r="E3220">
        <v>6321</v>
      </c>
      <c r="F3220">
        <v>189871</v>
      </c>
      <c r="G3220">
        <v>3.33</v>
      </c>
      <c r="H3220" t="s">
        <v>10</v>
      </c>
      <c r="I3220" t="s">
        <v>11</v>
      </c>
    </row>
    <row r="3221" spans="1:9" hidden="1" x14ac:dyDescent="0.25">
      <c r="A3221" t="s">
        <v>24</v>
      </c>
      <c r="B3221" t="s">
        <v>101</v>
      </c>
      <c r="C3221">
        <v>202411</v>
      </c>
      <c r="D3221" t="str">
        <f t="shared" si="50"/>
        <v>2024</v>
      </c>
      <c r="E3221">
        <v>5095</v>
      </c>
      <c r="F3221">
        <v>189871</v>
      </c>
      <c r="G3221">
        <v>2.68</v>
      </c>
      <c r="H3221" t="s">
        <v>10</v>
      </c>
      <c r="I3221" t="s">
        <v>11</v>
      </c>
    </row>
    <row r="3222" spans="1:9" hidden="1" x14ac:dyDescent="0.25">
      <c r="A3222" t="s">
        <v>24</v>
      </c>
      <c r="B3222" t="s">
        <v>101</v>
      </c>
      <c r="C3222">
        <v>202412</v>
      </c>
      <c r="D3222" t="str">
        <f t="shared" si="50"/>
        <v>2024</v>
      </c>
      <c r="E3222">
        <v>5833</v>
      </c>
      <c r="F3222">
        <v>189871</v>
      </c>
      <c r="G3222">
        <v>3.07</v>
      </c>
      <c r="H3222" t="s">
        <v>10</v>
      </c>
      <c r="I3222" t="s">
        <v>11</v>
      </c>
    </row>
    <row r="3223" spans="1:9" x14ac:dyDescent="0.25">
      <c r="A3223" t="s">
        <v>24</v>
      </c>
      <c r="B3223" t="s">
        <v>101</v>
      </c>
      <c r="C3223">
        <v>202501</v>
      </c>
      <c r="D3223" t="str">
        <f t="shared" si="50"/>
        <v>2025</v>
      </c>
      <c r="E3223">
        <v>7955</v>
      </c>
      <c r="F3223">
        <v>189871</v>
      </c>
      <c r="G3223">
        <v>4.1900000000000004</v>
      </c>
      <c r="H3223" t="s">
        <v>10</v>
      </c>
      <c r="I3223" t="s">
        <v>11</v>
      </c>
    </row>
    <row r="3224" spans="1:9" x14ac:dyDescent="0.25">
      <c r="A3224" t="s">
        <v>24</v>
      </c>
      <c r="B3224" t="s">
        <v>101</v>
      </c>
      <c r="C3224">
        <v>202502</v>
      </c>
      <c r="D3224" t="str">
        <f t="shared" si="50"/>
        <v>2025</v>
      </c>
      <c r="E3224">
        <v>7561</v>
      </c>
      <c r="F3224">
        <v>189871</v>
      </c>
      <c r="G3224">
        <v>3.98</v>
      </c>
      <c r="H3224" t="s">
        <v>10</v>
      </c>
      <c r="I3224" t="s">
        <v>11</v>
      </c>
    </row>
    <row r="3225" spans="1:9" x14ac:dyDescent="0.25">
      <c r="A3225" t="s">
        <v>24</v>
      </c>
      <c r="B3225" t="s">
        <v>101</v>
      </c>
      <c r="C3225">
        <v>202503</v>
      </c>
      <c r="D3225" t="str">
        <f t="shared" si="50"/>
        <v>2025</v>
      </c>
      <c r="E3225">
        <v>8642</v>
      </c>
      <c r="F3225">
        <v>189871</v>
      </c>
      <c r="G3225">
        <v>4.55</v>
      </c>
      <c r="H3225" t="s">
        <v>10</v>
      </c>
      <c r="I3225" t="s">
        <v>11</v>
      </c>
    </row>
    <row r="3226" spans="1:9" x14ac:dyDescent="0.25">
      <c r="A3226" t="s">
        <v>24</v>
      </c>
      <c r="B3226" t="s">
        <v>101</v>
      </c>
      <c r="C3226">
        <v>202504</v>
      </c>
      <c r="D3226" t="str">
        <f t="shared" si="50"/>
        <v>2025</v>
      </c>
      <c r="E3226">
        <v>7676</v>
      </c>
      <c r="F3226">
        <v>189871</v>
      </c>
      <c r="G3226">
        <v>4.04</v>
      </c>
      <c r="H3226" t="s">
        <v>10</v>
      </c>
      <c r="I3226" t="s">
        <v>11</v>
      </c>
    </row>
    <row r="3227" spans="1:9" x14ac:dyDescent="0.25">
      <c r="A3227" t="s">
        <v>24</v>
      </c>
      <c r="B3227" t="s">
        <v>101</v>
      </c>
      <c r="C3227">
        <v>202505</v>
      </c>
      <c r="D3227" t="str">
        <f t="shared" si="50"/>
        <v>2025</v>
      </c>
      <c r="E3227">
        <v>7576</v>
      </c>
      <c r="F3227">
        <v>189871</v>
      </c>
      <c r="G3227">
        <v>3.99</v>
      </c>
      <c r="H3227" t="s">
        <v>10</v>
      </c>
      <c r="I3227" t="s">
        <v>11</v>
      </c>
    </row>
    <row r="3228" spans="1:9" x14ac:dyDescent="0.25">
      <c r="A3228" t="s">
        <v>24</v>
      </c>
      <c r="B3228" t="s">
        <v>101</v>
      </c>
      <c r="C3228">
        <v>202506</v>
      </c>
      <c r="D3228" t="str">
        <f t="shared" si="50"/>
        <v>2025</v>
      </c>
      <c r="E3228">
        <v>7264</v>
      </c>
      <c r="F3228">
        <v>189871</v>
      </c>
      <c r="G3228">
        <v>3.83</v>
      </c>
      <c r="H3228" t="s">
        <v>10</v>
      </c>
      <c r="I3228" t="s">
        <v>11</v>
      </c>
    </row>
    <row r="3229" spans="1:9" x14ac:dyDescent="0.25">
      <c r="A3229" t="s">
        <v>24</v>
      </c>
      <c r="B3229" t="s">
        <v>101</v>
      </c>
      <c r="C3229">
        <v>202507</v>
      </c>
      <c r="D3229" t="str">
        <f t="shared" si="50"/>
        <v>2025</v>
      </c>
      <c r="E3229">
        <v>8196</v>
      </c>
      <c r="F3229">
        <v>189871</v>
      </c>
      <c r="G3229">
        <v>4.32</v>
      </c>
      <c r="H3229" t="s">
        <v>10</v>
      </c>
      <c r="I3229" t="s">
        <v>11</v>
      </c>
    </row>
    <row r="3230" spans="1:9" x14ac:dyDescent="0.25">
      <c r="A3230" t="s">
        <v>24</v>
      </c>
      <c r="B3230" t="s">
        <v>101</v>
      </c>
      <c r="C3230">
        <v>202508</v>
      </c>
      <c r="D3230" t="str">
        <f t="shared" si="50"/>
        <v>2025</v>
      </c>
      <c r="E3230">
        <v>7274</v>
      </c>
      <c r="F3230">
        <v>189871</v>
      </c>
      <c r="G3230">
        <v>3.83</v>
      </c>
      <c r="H3230" t="s">
        <v>10</v>
      </c>
      <c r="I3230" t="s">
        <v>11</v>
      </c>
    </row>
    <row r="3231" spans="1:9" x14ac:dyDescent="0.25">
      <c r="A3231" t="s">
        <v>24</v>
      </c>
      <c r="B3231" t="s">
        <v>101</v>
      </c>
      <c r="C3231">
        <v>202509</v>
      </c>
      <c r="D3231" t="str">
        <f t="shared" si="50"/>
        <v>2025</v>
      </c>
      <c r="E3231">
        <v>7178</v>
      </c>
      <c r="F3231">
        <v>189871</v>
      </c>
      <c r="G3231">
        <v>3.78</v>
      </c>
      <c r="H3231" t="s">
        <v>10</v>
      </c>
      <c r="I3231" t="s">
        <v>11</v>
      </c>
    </row>
    <row r="3232" spans="1:9" x14ac:dyDescent="0.25">
      <c r="A3232" t="s">
        <v>24</v>
      </c>
      <c r="B3232" t="s">
        <v>101</v>
      </c>
      <c r="C3232">
        <v>202510</v>
      </c>
      <c r="D3232" t="str">
        <f t="shared" si="50"/>
        <v>2025</v>
      </c>
      <c r="E3232">
        <v>7850</v>
      </c>
      <c r="F3232">
        <v>189871</v>
      </c>
      <c r="G3232">
        <v>4.13</v>
      </c>
      <c r="H3232" t="s">
        <v>10</v>
      </c>
      <c r="I3232" t="s">
        <v>11</v>
      </c>
    </row>
    <row r="3233" spans="1:9" x14ac:dyDescent="0.25">
      <c r="A3233" t="s">
        <v>24</v>
      </c>
      <c r="B3233" t="s">
        <v>101</v>
      </c>
      <c r="C3233">
        <v>202511</v>
      </c>
      <c r="D3233" t="str">
        <f t="shared" si="50"/>
        <v>2025</v>
      </c>
      <c r="E3233">
        <v>3349</v>
      </c>
      <c r="F3233">
        <v>189871</v>
      </c>
      <c r="G3233">
        <v>1.76</v>
      </c>
      <c r="H3233" t="s">
        <v>10</v>
      </c>
      <c r="I3233" t="s">
        <v>11</v>
      </c>
    </row>
    <row r="3234" spans="1:9" hidden="1" x14ac:dyDescent="0.25">
      <c r="A3234" t="s">
        <v>24</v>
      </c>
      <c r="B3234" t="s">
        <v>197</v>
      </c>
      <c r="C3234">
        <v>202401</v>
      </c>
      <c r="D3234" t="str">
        <f t="shared" si="50"/>
        <v>2024</v>
      </c>
      <c r="E3234">
        <v>4592</v>
      </c>
      <c r="F3234">
        <v>154899</v>
      </c>
      <c r="G3234">
        <v>2.96</v>
      </c>
      <c r="H3234" t="s">
        <v>10</v>
      </c>
      <c r="I3234" t="s">
        <v>11</v>
      </c>
    </row>
    <row r="3235" spans="1:9" hidden="1" x14ac:dyDescent="0.25">
      <c r="A3235" t="s">
        <v>24</v>
      </c>
      <c r="B3235" t="s">
        <v>197</v>
      </c>
      <c r="C3235">
        <v>202402</v>
      </c>
      <c r="D3235" t="str">
        <f t="shared" si="50"/>
        <v>2024</v>
      </c>
      <c r="E3235">
        <v>5947</v>
      </c>
      <c r="F3235">
        <v>154899</v>
      </c>
      <c r="G3235">
        <v>3.84</v>
      </c>
      <c r="H3235" t="s">
        <v>10</v>
      </c>
      <c r="I3235" t="s">
        <v>11</v>
      </c>
    </row>
    <row r="3236" spans="1:9" hidden="1" x14ac:dyDescent="0.25">
      <c r="A3236" t="s">
        <v>24</v>
      </c>
      <c r="B3236" t="s">
        <v>197</v>
      </c>
      <c r="C3236">
        <v>202403</v>
      </c>
      <c r="D3236" t="str">
        <f t="shared" si="50"/>
        <v>2024</v>
      </c>
      <c r="E3236">
        <v>5557</v>
      </c>
      <c r="F3236">
        <v>154899</v>
      </c>
      <c r="G3236">
        <v>3.59</v>
      </c>
      <c r="H3236" t="s">
        <v>10</v>
      </c>
      <c r="I3236" t="s">
        <v>11</v>
      </c>
    </row>
    <row r="3237" spans="1:9" hidden="1" x14ac:dyDescent="0.25">
      <c r="A3237" t="s">
        <v>24</v>
      </c>
      <c r="B3237" t="s">
        <v>197</v>
      </c>
      <c r="C3237">
        <v>202404</v>
      </c>
      <c r="D3237" t="str">
        <f t="shared" si="50"/>
        <v>2024</v>
      </c>
      <c r="E3237">
        <v>5749</v>
      </c>
      <c r="F3237">
        <v>154899</v>
      </c>
      <c r="G3237">
        <v>3.71</v>
      </c>
      <c r="H3237" t="s">
        <v>10</v>
      </c>
      <c r="I3237" t="s">
        <v>11</v>
      </c>
    </row>
    <row r="3238" spans="1:9" hidden="1" x14ac:dyDescent="0.25">
      <c r="A3238" t="s">
        <v>24</v>
      </c>
      <c r="B3238" t="s">
        <v>197</v>
      </c>
      <c r="C3238">
        <v>202405</v>
      </c>
      <c r="D3238" t="str">
        <f t="shared" si="50"/>
        <v>2024</v>
      </c>
      <c r="E3238">
        <v>5765</v>
      </c>
      <c r="F3238">
        <v>154899</v>
      </c>
      <c r="G3238">
        <v>3.72</v>
      </c>
      <c r="H3238" t="s">
        <v>10</v>
      </c>
      <c r="I3238" t="s">
        <v>11</v>
      </c>
    </row>
    <row r="3239" spans="1:9" hidden="1" x14ac:dyDescent="0.25">
      <c r="A3239" t="s">
        <v>24</v>
      </c>
      <c r="B3239" t="s">
        <v>197</v>
      </c>
      <c r="C3239">
        <v>202406</v>
      </c>
      <c r="D3239" t="str">
        <f t="shared" si="50"/>
        <v>2024</v>
      </c>
      <c r="E3239">
        <v>4991</v>
      </c>
      <c r="F3239">
        <v>154899</v>
      </c>
      <c r="G3239">
        <v>3.22</v>
      </c>
      <c r="H3239" t="s">
        <v>10</v>
      </c>
      <c r="I3239" t="s">
        <v>11</v>
      </c>
    </row>
    <row r="3240" spans="1:9" hidden="1" x14ac:dyDescent="0.25">
      <c r="A3240" t="s">
        <v>24</v>
      </c>
      <c r="B3240" t="s">
        <v>197</v>
      </c>
      <c r="C3240">
        <v>202407</v>
      </c>
      <c r="D3240" t="str">
        <f t="shared" si="50"/>
        <v>2024</v>
      </c>
      <c r="E3240">
        <v>5674</v>
      </c>
      <c r="F3240">
        <v>154899</v>
      </c>
      <c r="G3240">
        <v>3.66</v>
      </c>
      <c r="H3240" t="s">
        <v>10</v>
      </c>
      <c r="I3240" t="s">
        <v>11</v>
      </c>
    </row>
    <row r="3241" spans="1:9" hidden="1" x14ac:dyDescent="0.25">
      <c r="A3241" t="s">
        <v>24</v>
      </c>
      <c r="B3241" t="s">
        <v>197</v>
      </c>
      <c r="C3241">
        <v>202408</v>
      </c>
      <c r="D3241" t="str">
        <f t="shared" si="50"/>
        <v>2024</v>
      </c>
      <c r="E3241">
        <v>5364</v>
      </c>
      <c r="F3241">
        <v>154899</v>
      </c>
      <c r="G3241">
        <v>3.46</v>
      </c>
      <c r="H3241" t="s">
        <v>10</v>
      </c>
      <c r="I3241" t="s">
        <v>11</v>
      </c>
    </row>
    <row r="3242" spans="1:9" hidden="1" x14ac:dyDescent="0.25">
      <c r="A3242" t="s">
        <v>24</v>
      </c>
      <c r="B3242" t="s">
        <v>197</v>
      </c>
      <c r="C3242">
        <v>202409</v>
      </c>
      <c r="D3242" t="str">
        <f t="shared" si="50"/>
        <v>2024</v>
      </c>
      <c r="E3242">
        <v>5269</v>
      </c>
      <c r="F3242">
        <v>154899</v>
      </c>
      <c r="G3242">
        <v>3.4</v>
      </c>
      <c r="H3242" t="s">
        <v>10</v>
      </c>
      <c r="I3242" t="s">
        <v>11</v>
      </c>
    </row>
    <row r="3243" spans="1:9" hidden="1" x14ac:dyDescent="0.25">
      <c r="A3243" t="s">
        <v>24</v>
      </c>
      <c r="B3243" t="s">
        <v>197</v>
      </c>
      <c r="C3243">
        <v>202410</v>
      </c>
      <c r="D3243" t="str">
        <f t="shared" si="50"/>
        <v>2024</v>
      </c>
      <c r="E3243">
        <v>6400</v>
      </c>
      <c r="F3243">
        <v>154899</v>
      </c>
      <c r="G3243">
        <v>4.13</v>
      </c>
      <c r="H3243" t="s">
        <v>10</v>
      </c>
      <c r="I3243" t="s">
        <v>11</v>
      </c>
    </row>
    <row r="3244" spans="1:9" hidden="1" x14ac:dyDescent="0.25">
      <c r="A3244" t="s">
        <v>24</v>
      </c>
      <c r="B3244" t="s">
        <v>197</v>
      </c>
      <c r="C3244">
        <v>202411</v>
      </c>
      <c r="D3244" t="str">
        <f t="shared" si="50"/>
        <v>2024</v>
      </c>
      <c r="E3244">
        <v>5242</v>
      </c>
      <c r="F3244">
        <v>154899</v>
      </c>
      <c r="G3244">
        <v>3.38</v>
      </c>
      <c r="H3244" t="s">
        <v>10</v>
      </c>
      <c r="I3244" t="s">
        <v>11</v>
      </c>
    </row>
    <row r="3245" spans="1:9" hidden="1" x14ac:dyDescent="0.25">
      <c r="A3245" t="s">
        <v>24</v>
      </c>
      <c r="B3245" t="s">
        <v>197</v>
      </c>
      <c r="C3245">
        <v>202412</v>
      </c>
      <c r="D3245" t="str">
        <f t="shared" si="50"/>
        <v>2024</v>
      </c>
      <c r="E3245">
        <v>5976</v>
      </c>
      <c r="F3245">
        <v>154899</v>
      </c>
      <c r="G3245">
        <v>3.86</v>
      </c>
      <c r="H3245" t="s">
        <v>10</v>
      </c>
      <c r="I3245" t="s">
        <v>11</v>
      </c>
    </row>
    <row r="3246" spans="1:9" x14ac:dyDescent="0.25">
      <c r="A3246" t="s">
        <v>24</v>
      </c>
      <c r="B3246" t="s">
        <v>197</v>
      </c>
      <c r="C3246">
        <v>202501</v>
      </c>
      <c r="D3246" t="str">
        <f t="shared" si="50"/>
        <v>2025</v>
      </c>
      <c r="E3246">
        <v>7909</v>
      </c>
      <c r="F3246">
        <v>154899</v>
      </c>
      <c r="G3246">
        <v>5.1100000000000003</v>
      </c>
      <c r="H3246" t="s">
        <v>10</v>
      </c>
      <c r="I3246" t="s">
        <v>11</v>
      </c>
    </row>
    <row r="3247" spans="1:9" x14ac:dyDescent="0.25">
      <c r="A3247" t="s">
        <v>24</v>
      </c>
      <c r="B3247" t="s">
        <v>197</v>
      </c>
      <c r="C3247">
        <v>202502</v>
      </c>
      <c r="D3247" t="str">
        <f t="shared" si="50"/>
        <v>2025</v>
      </c>
      <c r="E3247">
        <v>7341</v>
      </c>
      <c r="F3247">
        <v>154899</v>
      </c>
      <c r="G3247">
        <v>4.74</v>
      </c>
      <c r="H3247" t="s">
        <v>10</v>
      </c>
      <c r="I3247" t="s">
        <v>11</v>
      </c>
    </row>
    <row r="3248" spans="1:9" x14ac:dyDescent="0.25">
      <c r="A3248" t="s">
        <v>24</v>
      </c>
      <c r="B3248" t="s">
        <v>197</v>
      </c>
      <c r="C3248">
        <v>202503</v>
      </c>
      <c r="D3248" t="str">
        <f t="shared" si="50"/>
        <v>2025</v>
      </c>
      <c r="E3248">
        <v>8455</v>
      </c>
      <c r="F3248">
        <v>154899</v>
      </c>
      <c r="G3248">
        <v>5.46</v>
      </c>
      <c r="H3248" t="s">
        <v>10</v>
      </c>
      <c r="I3248" t="s">
        <v>11</v>
      </c>
    </row>
    <row r="3249" spans="1:9" x14ac:dyDescent="0.25">
      <c r="A3249" t="s">
        <v>24</v>
      </c>
      <c r="B3249" t="s">
        <v>197</v>
      </c>
      <c r="C3249">
        <v>202504</v>
      </c>
      <c r="D3249" t="str">
        <f t="shared" si="50"/>
        <v>2025</v>
      </c>
      <c r="E3249">
        <v>7384</v>
      </c>
      <c r="F3249">
        <v>154899</v>
      </c>
      <c r="G3249">
        <v>4.7699999999999996</v>
      </c>
      <c r="H3249" t="s">
        <v>10</v>
      </c>
      <c r="I3249" t="s">
        <v>11</v>
      </c>
    </row>
    <row r="3250" spans="1:9" x14ac:dyDescent="0.25">
      <c r="A3250" t="s">
        <v>24</v>
      </c>
      <c r="B3250" t="s">
        <v>197</v>
      </c>
      <c r="C3250">
        <v>202505</v>
      </c>
      <c r="D3250" t="str">
        <f t="shared" si="50"/>
        <v>2025</v>
      </c>
      <c r="E3250">
        <v>7456</v>
      </c>
      <c r="F3250">
        <v>154899</v>
      </c>
      <c r="G3250">
        <v>4.8099999999999996</v>
      </c>
      <c r="H3250" t="s">
        <v>10</v>
      </c>
      <c r="I3250" t="s">
        <v>11</v>
      </c>
    </row>
    <row r="3251" spans="1:9" x14ac:dyDescent="0.25">
      <c r="A3251" t="s">
        <v>24</v>
      </c>
      <c r="B3251" t="s">
        <v>197</v>
      </c>
      <c r="C3251">
        <v>202506</v>
      </c>
      <c r="D3251" t="str">
        <f t="shared" si="50"/>
        <v>2025</v>
      </c>
      <c r="E3251">
        <v>7224</v>
      </c>
      <c r="F3251">
        <v>154899</v>
      </c>
      <c r="G3251">
        <v>4.66</v>
      </c>
      <c r="H3251" t="s">
        <v>10</v>
      </c>
      <c r="I3251" t="s">
        <v>11</v>
      </c>
    </row>
    <row r="3252" spans="1:9" x14ac:dyDescent="0.25">
      <c r="A3252" t="s">
        <v>24</v>
      </c>
      <c r="B3252" t="s">
        <v>197</v>
      </c>
      <c r="C3252">
        <v>202507</v>
      </c>
      <c r="D3252" t="str">
        <f t="shared" si="50"/>
        <v>2025</v>
      </c>
      <c r="E3252">
        <v>7927</v>
      </c>
      <c r="F3252">
        <v>154899</v>
      </c>
      <c r="G3252">
        <v>5.12</v>
      </c>
      <c r="H3252" t="s">
        <v>10</v>
      </c>
      <c r="I3252" t="s">
        <v>11</v>
      </c>
    </row>
    <row r="3253" spans="1:9" x14ac:dyDescent="0.25">
      <c r="A3253" t="s">
        <v>24</v>
      </c>
      <c r="B3253" t="s">
        <v>197</v>
      </c>
      <c r="C3253">
        <v>202508</v>
      </c>
      <c r="D3253" t="str">
        <f t="shared" si="50"/>
        <v>2025</v>
      </c>
      <c r="E3253">
        <v>7227</v>
      </c>
      <c r="F3253">
        <v>154899</v>
      </c>
      <c r="G3253">
        <v>4.67</v>
      </c>
      <c r="H3253" t="s">
        <v>10</v>
      </c>
      <c r="I3253" t="s">
        <v>11</v>
      </c>
    </row>
    <row r="3254" spans="1:9" x14ac:dyDescent="0.25">
      <c r="A3254" t="s">
        <v>24</v>
      </c>
      <c r="B3254" t="s">
        <v>197</v>
      </c>
      <c r="C3254">
        <v>202509</v>
      </c>
      <c r="D3254" t="str">
        <f t="shared" si="50"/>
        <v>2025</v>
      </c>
      <c r="E3254">
        <v>7558</v>
      </c>
      <c r="F3254">
        <v>154899</v>
      </c>
      <c r="G3254">
        <v>4.88</v>
      </c>
      <c r="H3254" t="s">
        <v>10</v>
      </c>
      <c r="I3254" t="s">
        <v>11</v>
      </c>
    </row>
    <row r="3255" spans="1:9" x14ac:dyDescent="0.25">
      <c r="A3255" t="s">
        <v>24</v>
      </c>
      <c r="B3255" t="s">
        <v>197</v>
      </c>
      <c r="C3255">
        <v>202510</v>
      </c>
      <c r="D3255" t="str">
        <f t="shared" si="50"/>
        <v>2025</v>
      </c>
      <c r="E3255">
        <v>8549</v>
      </c>
      <c r="F3255">
        <v>154899</v>
      </c>
      <c r="G3255">
        <v>5.52</v>
      </c>
      <c r="H3255" t="s">
        <v>10</v>
      </c>
      <c r="I3255" t="s">
        <v>11</v>
      </c>
    </row>
    <row r="3256" spans="1:9" x14ac:dyDescent="0.25">
      <c r="A3256" t="s">
        <v>24</v>
      </c>
      <c r="B3256" t="s">
        <v>197</v>
      </c>
      <c r="C3256">
        <v>202511</v>
      </c>
      <c r="D3256" t="str">
        <f t="shared" si="50"/>
        <v>2025</v>
      </c>
      <c r="E3256">
        <v>7052</v>
      </c>
      <c r="F3256">
        <v>154899</v>
      </c>
      <c r="G3256">
        <v>4.55</v>
      </c>
      <c r="H3256" t="s">
        <v>10</v>
      </c>
      <c r="I3256" t="s">
        <v>11</v>
      </c>
    </row>
    <row r="3257" spans="1:9" x14ac:dyDescent="0.25">
      <c r="A3257" t="s">
        <v>24</v>
      </c>
      <c r="B3257" t="s">
        <v>197</v>
      </c>
      <c r="C3257">
        <v>202512</v>
      </c>
      <c r="D3257" t="str">
        <f t="shared" si="50"/>
        <v>2025</v>
      </c>
      <c r="E3257">
        <v>4291</v>
      </c>
      <c r="F3257">
        <v>154899</v>
      </c>
      <c r="G3257">
        <v>2.77</v>
      </c>
      <c r="H3257" t="s">
        <v>10</v>
      </c>
      <c r="I3257" t="s">
        <v>11</v>
      </c>
    </row>
    <row r="3258" spans="1:9" hidden="1" x14ac:dyDescent="0.25">
      <c r="A3258" t="s">
        <v>24</v>
      </c>
      <c r="B3258" t="s">
        <v>165</v>
      </c>
      <c r="C3258">
        <v>202401</v>
      </c>
      <c r="D3258" t="str">
        <f t="shared" si="50"/>
        <v>2024</v>
      </c>
      <c r="E3258">
        <v>4550</v>
      </c>
      <c r="F3258">
        <v>153851</v>
      </c>
      <c r="G3258">
        <v>2.96</v>
      </c>
      <c r="H3258" t="s">
        <v>10</v>
      </c>
      <c r="I3258" t="s">
        <v>11</v>
      </c>
    </row>
    <row r="3259" spans="1:9" hidden="1" x14ac:dyDescent="0.25">
      <c r="A3259" t="s">
        <v>24</v>
      </c>
      <c r="B3259" t="s">
        <v>165</v>
      </c>
      <c r="C3259">
        <v>202402</v>
      </c>
      <c r="D3259" t="str">
        <f t="shared" si="50"/>
        <v>2024</v>
      </c>
      <c r="E3259">
        <v>5883</v>
      </c>
      <c r="F3259">
        <v>153851</v>
      </c>
      <c r="G3259">
        <v>3.82</v>
      </c>
      <c r="H3259" t="s">
        <v>10</v>
      </c>
      <c r="I3259" t="s">
        <v>11</v>
      </c>
    </row>
    <row r="3260" spans="1:9" hidden="1" x14ac:dyDescent="0.25">
      <c r="A3260" t="s">
        <v>24</v>
      </c>
      <c r="B3260" t="s">
        <v>165</v>
      </c>
      <c r="C3260">
        <v>202403</v>
      </c>
      <c r="D3260" t="str">
        <f t="shared" si="50"/>
        <v>2024</v>
      </c>
      <c r="E3260">
        <v>5412</v>
      </c>
      <c r="F3260">
        <v>153851</v>
      </c>
      <c r="G3260">
        <v>3.52</v>
      </c>
      <c r="H3260" t="s">
        <v>10</v>
      </c>
      <c r="I3260" t="s">
        <v>11</v>
      </c>
    </row>
    <row r="3261" spans="1:9" hidden="1" x14ac:dyDescent="0.25">
      <c r="A3261" t="s">
        <v>24</v>
      </c>
      <c r="B3261" t="s">
        <v>165</v>
      </c>
      <c r="C3261">
        <v>202404</v>
      </c>
      <c r="D3261" t="str">
        <f t="shared" si="50"/>
        <v>2024</v>
      </c>
      <c r="E3261">
        <v>5625</v>
      </c>
      <c r="F3261">
        <v>153851</v>
      </c>
      <c r="G3261">
        <v>3.66</v>
      </c>
      <c r="H3261" t="s">
        <v>10</v>
      </c>
      <c r="I3261" t="s">
        <v>11</v>
      </c>
    </row>
    <row r="3262" spans="1:9" hidden="1" x14ac:dyDescent="0.25">
      <c r="A3262" t="s">
        <v>24</v>
      </c>
      <c r="B3262" t="s">
        <v>165</v>
      </c>
      <c r="C3262">
        <v>202405</v>
      </c>
      <c r="D3262" t="str">
        <f t="shared" si="50"/>
        <v>2024</v>
      </c>
      <c r="E3262">
        <v>5647</v>
      </c>
      <c r="F3262">
        <v>153851</v>
      </c>
      <c r="G3262">
        <v>3.67</v>
      </c>
      <c r="H3262" t="s">
        <v>10</v>
      </c>
      <c r="I3262" t="s">
        <v>11</v>
      </c>
    </row>
    <row r="3263" spans="1:9" hidden="1" x14ac:dyDescent="0.25">
      <c r="A3263" t="s">
        <v>24</v>
      </c>
      <c r="B3263" t="s">
        <v>165</v>
      </c>
      <c r="C3263">
        <v>202406</v>
      </c>
      <c r="D3263" t="str">
        <f t="shared" si="50"/>
        <v>2024</v>
      </c>
      <c r="E3263">
        <v>5091</v>
      </c>
      <c r="F3263">
        <v>153851</v>
      </c>
      <c r="G3263">
        <v>3.31</v>
      </c>
      <c r="H3263" t="s">
        <v>10</v>
      </c>
      <c r="I3263" t="s">
        <v>11</v>
      </c>
    </row>
    <row r="3264" spans="1:9" hidden="1" x14ac:dyDescent="0.25">
      <c r="A3264" t="s">
        <v>24</v>
      </c>
      <c r="B3264" t="s">
        <v>165</v>
      </c>
      <c r="C3264">
        <v>202407</v>
      </c>
      <c r="D3264" t="str">
        <f t="shared" si="50"/>
        <v>2024</v>
      </c>
      <c r="E3264">
        <v>5750</v>
      </c>
      <c r="F3264">
        <v>153851</v>
      </c>
      <c r="G3264">
        <v>3.74</v>
      </c>
      <c r="H3264" t="s">
        <v>10</v>
      </c>
      <c r="I3264" t="s">
        <v>11</v>
      </c>
    </row>
    <row r="3265" spans="1:9" hidden="1" x14ac:dyDescent="0.25">
      <c r="A3265" t="s">
        <v>24</v>
      </c>
      <c r="B3265" t="s">
        <v>165</v>
      </c>
      <c r="C3265">
        <v>202408</v>
      </c>
      <c r="D3265" t="str">
        <f t="shared" si="50"/>
        <v>2024</v>
      </c>
      <c r="E3265">
        <v>5360</v>
      </c>
      <c r="F3265">
        <v>153851</v>
      </c>
      <c r="G3265">
        <v>3.48</v>
      </c>
      <c r="H3265" t="s">
        <v>10</v>
      </c>
      <c r="I3265" t="s">
        <v>11</v>
      </c>
    </row>
    <row r="3266" spans="1:9" hidden="1" x14ac:dyDescent="0.25">
      <c r="A3266" t="s">
        <v>24</v>
      </c>
      <c r="B3266" t="s">
        <v>165</v>
      </c>
      <c r="C3266">
        <v>202409</v>
      </c>
      <c r="D3266" t="str">
        <f t="shared" si="50"/>
        <v>2024</v>
      </c>
      <c r="E3266">
        <v>5392</v>
      </c>
      <c r="F3266">
        <v>153851</v>
      </c>
      <c r="G3266">
        <v>3.5</v>
      </c>
      <c r="H3266" t="s">
        <v>10</v>
      </c>
      <c r="I3266" t="s">
        <v>11</v>
      </c>
    </row>
    <row r="3267" spans="1:9" hidden="1" x14ac:dyDescent="0.25">
      <c r="A3267" t="s">
        <v>24</v>
      </c>
      <c r="B3267" t="s">
        <v>165</v>
      </c>
      <c r="C3267">
        <v>202410</v>
      </c>
      <c r="D3267" t="str">
        <f t="shared" ref="D3267:D3330" si="51">LEFT(C3267,4)</f>
        <v>2024</v>
      </c>
      <c r="E3267">
        <v>6308</v>
      </c>
      <c r="F3267">
        <v>153851</v>
      </c>
      <c r="G3267">
        <v>4.0999999999999996</v>
      </c>
      <c r="H3267" t="s">
        <v>10</v>
      </c>
      <c r="I3267" t="s">
        <v>11</v>
      </c>
    </row>
    <row r="3268" spans="1:9" hidden="1" x14ac:dyDescent="0.25">
      <c r="A3268" t="s">
        <v>24</v>
      </c>
      <c r="B3268" t="s">
        <v>165</v>
      </c>
      <c r="C3268">
        <v>202411</v>
      </c>
      <c r="D3268" t="str">
        <f t="shared" si="51"/>
        <v>2024</v>
      </c>
      <c r="E3268">
        <v>5195</v>
      </c>
      <c r="F3268">
        <v>153851</v>
      </c>
      <c r="G3268">
        <v>3.38</v>
      </c>
      <c r="H3268" t="s">
        <v>10</v>
      </c>
      <c r="I3268" t="s">
        <v>11</v>
      </c>
    </row>
    <row r="3269" spans="1:9" hidden="1" x14ac:dyDescent="0.25">
      <c r="A3269" t="s">
        <v>24</v>
      </c>
      <c r="B3269" t="s">
        <v>165</v>
      </c>
      <c r="C3269">
        <v>202412</v>
      </c>
      <c r="D3269" t="str">
        <f t="shared" si="51"/>
        <v>2024</v>
      </c>
      <c r="E3269">
        <v>5895</v>
      </c>
      <c r="F3269">
        <v>153851</v>
      </c>
      <c r="G3269">
        <v>3.83</v>
      </c>
      <c r="H3269" t="s">
        <v>10</v>
      </c>
      <c r="I3269" t="s">
        <v>11</v>
      </c>
    </row>
    <row r="3270" spans="1:9" x14ac:dyDescent="0.25">
      <c r="A3270" t="s">
        <v>24</v>
      </c>
      <c r="B3270" t="s">
        <v>165</v>
      </c>
      <c r="C3270">
        <v>202501</v>
      </c>
      <c r="D3270" t="str">
        <f t="shared" si="51"/>
        <v>2025</v>
      </c>
      <c r="E3270">
        <v>7599</v>
      </c>
      <c r="F3270">
        <v>153851</v>
      </c>
      <c r="G3270">
        <v>4.9400000000000004</v>
      </c>
      <c r="H3270" t="s">
        <v>10</v>
      </c>
      <c r="I3270" t="s">
        <v>11</v>
      </c>
    </row>
    <row r="3271" spans="1:9" x14ac:dyDescent="0.25">
      <c r="A3271" t="s">
        <v>24</v>
      </c>
      <c r="B3271" t="s">
        <v>165</v>
      </c>
      <c r="C3271">
        <v>202502</v>
      </c>
      <c r="D3271" t="str">
        <f t="shared" si="51"/>
        <v>2025</v>
      </c>
      <c r="E3271">
        <v>6735</v>
      </c>
      <c r="F3271">
        <v>153851</v>
      </c>
      <c r="G3271">
        <v>4.38</v>
      </c>
      <c r="H3271" t="s">
        <v>10</v>
      </c>
      <c r="I3271" t="s">
        <v>11</v>
      </c>
    </row>
    <row r="3272" spans="1:9" x14ac:dyDescent="0.25">
      <c r="A3272" t="s">
        <v>24</v>
      </c>
      <c r="B3272" t="s">
        <v>165</v>
      </c>
      <c r="C3272">
        <v>202503</v>
      </c>
      <c r="D3272" t="str">
        <f t="shared" si="51"/>
        <v>2025</v>
      </c>
      <c r="E3272">
        <v>7788</v>
      </c>
      <c r="F3272">
        <v>153851</v>
      </c>
      <c r="G3272">
        <v>5.0599999999999996</v>
      </c>
      <c r="H3272" t="s">
        <v>10</v>
      </c>
      <c r="I3272" t="s">
        <v>11</v>
      </c>
    </row>
    <row r="3273" spans="1:9" x14ac:dyDescent="0.25">
      <c r="A3273" t="s">
        <v>24</v>
      </c>
      <c r="B3273" t="s">
        <v>165</v>
      </c>
      <c r="C3273">
        <v>202504</v>
      </c>
      <c r="D3273" t="str">
        <f t="shared" si="51"/>
        <v>2025</v>
      </c>
      <c r="E3273">
        <v>7035</v>
      </c>
      <c r="F3273">
        <v>153851</v>
      </c>
      <c r="G3273">
        <v>4.57</v>
      </c>
      <c r="H3273" t="s">
        <v>10</v>
      </c>
      <c r="I3273" t="s">
        <v>11</v>
      </c>
    </row>
    <row r="3274" spans="1:9" x14ac:dyDescent="0.25">
      <c r="A3274" t="s">
        <v>24</v>
      </c>
      <c r="B3274" t="s">
        <v>165</v>
      </c>
      <c r="C3274">
        <v>202505</v>
      </c>
      <c r="D3274" t="str">
        <f t="shared" si="51"/>
        <v>2025</v>
      </c>
      <c r="E3274">
        <v>7105</v>
      </c>
      <c r="F3274">
        <v>153851</v>
      </c>
      <c r="G3274">
        <v>4.62</v>
      </c>
      <c r="H3274" t="s">
        <v>10</v>
      </c>
      <c r="I3274" t="s">
        <v>11</v>
      </c>
    </row>
    <row r="3275" spans="1:9" x14ac:dyDescent="0.25">
      <c r="A3275" t="s">
        <v>24</v>
      </c>
      <c r="B3275" t="s">
        <v>165</v>
      </c>
      <c r="C3275">
        <v>202506</v>
      </c>
      <c r="D3275" t="str">
        <f t="shared" si="51"/>
        <v>2025</v>
      </c>
      <c r="E3275">
        <v>7001</v>
      </c>
      <c r="F3275">
        <v>153851</v>
      </c>
      <c r="G3275">
        <v>4.55</v>
      </c>
      <c r="H3275" t="s">
        <v>10</v>
      </c>
      <c r="I3275" t="s">
        <v>11</v>
      </c>
    </row>
    <row r="3276" spans="1:9" x14ac:dyDescent="0.25">
      <c r="A3276" t="s">
        <v>24</v>
      </c>
      <c r="B3276" t="s">
        <v>165</v>
      </c>
      <c r="C3276">
        <v>202507</v>
      </c>
      <c r="D3276" t="str">
        <f t="shared" si="51"/>
        <v>2025</v>
      </c>
      <c r="E3276">
        <v>7625</v>
      </c>
      <c r="F3276">
        <v>153851</v>
      </c>
      <c r="G3276">
        <v>4.96</v>
      </c>
      <c r="H3276" t="s">
        <v>10</v>
      </c>
      <c r="I3276" t="s">
        <v>11</v>
      </c>
    </row>
    <row r="3277" spans="1:9" x14ac:dyDescent="0.25">
      <c r="A3277" t="s">
        <v>24</v>
      </c>
      <c r="B3277" t="s">
        <v>165</v>
      </c>
      <c r="C3277">
        <v>202508</v>
      </c>
      <c r="D3277" t="str">
        <f t="shared" si="51"/>
        <v>2025</v>
      </c>
      <c r="E3277">
        <v>6964</v>
      </c>
      <c r="F3277">
        <v>153851</v>
      </c>
      <c r="G3277">
        <v>4.53</v>
      </c>
      <c r="H3277" t="s">
        <v>10</v>
      </c>
      <c r="I3277" t="s">
        <v>11</v>
      </c>
    </row>
    <row r="3278" spans="1:9" x14ac:dyDescent="0.25">
      <c r="A3278" t="s">
        <v>24</v>
      </c>
      <c r="B3278" t="s">
        <v>165</v>
      </c>
      <c r="C3278">
        <v>202509</v>
      </c>
      <c r="D3278" t="str">
        <f t="shared" si="51"/>
        <v>2025</v>
      </c>
      <c r="E3278">
        <v>7296</v>
      </c>
      <c r="F3278">
        <v>153851</v>
      </c>
      <c r="G3278">
        <v>4.74</v>
      </c>
      <c r="H3278" t="s">
        <v>10</v>
      </c>
      <c r="I3278" t="s">
        <v>11</v>
      </c>
    </row>
    <row r="3279" spans="1:9" x14ac:dyDescent="0.25">
      <c r="A3279" t="s">
        <v>24</v>
      </c>
      <c r="B3279" t="s">
        <v>165</v>
      </c>
      <c r="C3279">
        <v>202510</v>
      </c>
      <c r="D3279" t="str">
        <f t="shared" si="51"/>
        <v>2025</v>
      </c>
      <c r="E3279">
        <v>8377</v>
      </c>
      <c r="F3279">
        <v>153851</v>
      </c>
      <c r="G3279">
        <v>5.44</v>
      </c>
      <c r="H3279" t="s">
        <v>10</v>
      </c>
      <c r="I3279" t="s">
        <v>11</v>
      </c>
    </row>
    <row r="3280" spans="1:9" x14ac:dyDescent="0.25">
      <c r="A3280" t="s">
        <v>24</v>
      </c>
      <c r="B3280" t="s">
        <v>165</v>
      </c>
      <c r="C3280">
        <v>202511</v>
      </c>
      <c r="D3280" t="str">
        <f t="shared" si="51"/>
        <v>2025</v>
      </c>
      <c r="E3280">
        <v>6816</v>
      </c>
      <c r="F3280">
        <v>153851</v>
      </c>
      <c r="G3280">
        <v>4.43</v>
      </c>
      <c r="H3280" t="s">
        <v>10</v>
      </c>
      <c r="I3280" t="s">
        <v>11</v>
      </c>
    </row>
    <row r="3281" spans="1:9" x14ac:dyDescent="0.25">
      <c r="A3281" t="s">
        <v>24</v>
      </c>
      <c r="B3281" t="s">
        <v>165</v>
      </c>
      <c r="C3281">
        <v>202512</v>
      </c>
      <c r="D3281" t="str">
        <f t="shared" si="51"/>
        <v>2025</v>
      </c>
      <c r="E3281">
        <v>7214</v>
      </c>
      <c r="F3281">
        <v>153851</v>
      </c>
      <c r="G3281">
        <v>4.6900000000000004</v>
      </c>
      <c r="H3281" t="s">
        <v>10</v>
      </c>
      <c r="I3281" t="s">
        <v>11</v>
      </c>
    </row>
    <row r="3282" spans="1:9" x14ac:dyDescent="0.25">
      <c r="A3282" t="s">
        <v>24</v>
      </c>
      <c r="B3282" t="s">
        <v>165</v>
      </c>
      <c r="C3282">
        <v>202601</v>
      </c>
      <c r="D3282" t="str">
        <f t="shared" si="51"/>
        <v>2026</v>
      </c>
      <c r="E3282">
        <v>188</v>
      </c>
      <c r="F3282">
        <v>153851</v>
      </c>
      <c r="G3282">
        <v>0.12</v>
      </c>
      <c r="H3282" t="s">
        <v>10</v>
      </c>
      <c r="I3282" t="s">
        <v>11</v>
      </c>
    </row>
    <row r="3283" spans="1:9" hidden="1" x14ac:dyDescent="0.25">
      <c r="A3283" t="s">
        <v>24</v>
      </c>
      <c r="B3283" t="s">
        <v>44</v>
      </c>
      <c r="C3283">
        <v>202401</v>
      </c>
      <c r="D3283" t="str">
        <f t="shared" si="51"/>
        <v>2024</v>
      </c>
      <c r="E3283">
        <v>2348</v>
      </c>
      <c r="F3283">
        <v>90383</v>
      </c>
      <c r="G3283">
        <v>2.6</v>
      </c>
      <c r="H3283" t="s">
        <v>10</v>
      </c>
      <c r="I3283" t="s">
        <v>11</v>
      </c>
    </row>
    <row r="3284" spans="1:9" hidden="1" x14ac:dyDescent="0.25">
      <c r="A3284" t="s">
        <v>24</v>
      </c>
      <c r="B3284" t="s">
        <v>44</v>
      </c>
      <c r="C3284">
        <v>202402</v>
      </c>
      <c r="D3284" t="str">
        <f t="shared" si="51"/>
        <v>2024</v>
      </c>
      <c r="E3284">
        <v>3071</v>
      </c>
      <c r="F3284">
        <v>90383</v>
      </c>
      <c r="G3284">
        <v>3.4</v>
      </c>
      <c r="H3284" t="s">
        <v>10</v>
      </c>
      <c r="I3284" t="s">
        <v>11</v>
      </c>
    </row>
    <row r="3285" spans="1:9" hidden="1" x14ac:dyDescent="0.25">
      <c r="A3285" t="s">
        <v>24</v>
      </c>
      <c r="B3285" t="s">
        <v>44</v>
      </c>
      <c r="C3285">
        <v>202403</v>
      </c>
      <c r="D3285" t="str">
        <f t="shared" si="51"/>
        <v>2024</v>
      </c>
      <c r="E3285">
        <v>2887</v>
      </c>
      <c r="F3285">
        <v>90383</v>
      </c>
      <c r="G3285">
        <v>3.19</v>
      </c>
      <c r="H3285" t="s">
        <v>10</v>
      </c>
      <c r="I3285" t="s">
        <v>11</v>
      </c>
    </row>
    <row r="3286" spans="1:9" hidden="1" x14ac:dyDescent="0.25">
      <c r="A3286" t="s">
        <v>24</v>
      </c>
      <c r="B3286" t="s">
        <v>44</v>
      </c>
      <c r="C3286">
        <v>202404</v>
      </c>
      <c r="D3286" t="str">
        <f t="shared" si="51"/>
        <v>2024</v>
      </c>
      <c r="E3286">
        <v>3032</v>
      </c>
      <c r="F3286">
        <v>90383</v>
      </c>
      <c r="G3286">
        <v>3.35</v>
      </c>
      <c r="H3286" t="s">
        <v>10</v>
      </c>
      <c r="I3286" t="s">
        <v>11</v>
      </c>
    </row>
    <row r="3287" spans="1:9" hidden="1" x14ac:dyDescent="0.25">
      <c r="A3287" t="s">
        <v>24</v>
      </c>
      <c r="B3287" t="s">
        <v>44</v>
      </c>
      <c r="C3287">
        <v>202405</v>
      </c>
      <c r="D3287" t="str">
        <f t="shared" si="51"/>
        <v>2024</v>
      </c>
      <c r="E3287">
        <v>2842</v>
      </c>
      <c r="F3287">
        <v>90383</v>
      </c>
      <c r="G3287">
        <v>3.14</v>
      </c>
      <c r="H3287" t="s">
        <v>10</v>
      </c>
      <c r="I3287" t="s">
        <v>11</v>
      </c>
    </row>
    <row r="3288" spans="1:9" hidden="1" x14ac:dyDescent="0.25">
      <c r="A3288" t="s">
        <v>24</v>
      </c>
      <c r="B3288" t="s">
        <v>44</v>
      </c>
      <c r="C3288">
        <v>202406</v>
      </c>
      <c r="D3288" t="str">
        <f t="shared" si="51"/>
        <v>2024</v>
      </c>
      <c r="E3288">
        <v>2558</v>
      </c>
      <c r="F3288">
        <v>90383</v>
      </c>
      <c r="G3288">
        <v>2.83</v>
      </c>
      <c r="H3288" t="s">
        <v>10</v>
      </c>
      <c r="I3288" t="s">
        <v>11</v>
      </c>
    </row>
    <row r="3289" spans="1:9" hidden="1" x14ac:dyDescent="0.25">
      <c r="A3289" t="s">
        <v>24</v>
      </c>
      <c r="B3289" t="s">
        <v>44</v>
      </c>
      <c r="C3289">
        <v>202407</v>
      </c>
      <c r="D3289" t="str">
        <f t="shared" si="51"/>
        <v>2024</v>
      </c>
      <c r="E3289">
        <v>2564</v>
      </c>
      <c r="F3289">
        <v>90383</v>
      </c>
      <c r="G3289">
        <v>2.84</v>
      </c>
      <c r="H3289" t="s">
        <v>10</v>
      </c>
      <c r="I3289" t="s">
        <v>11</v>
      </c>
    </row>
    <row r="3290" spans="1:9" hidden="1" x14ac:dyDescent="0.25">
      <c r="A3290" t="s">
        <v>24</v>
      </c>
      <c r="B3290" t="s">
        <v>44</v>
      </c>
      <c r="C3290">
        <v>202408</v>
      </c>
      <c r="D3290" t="str">
        <f t="shared" si="51"/>
        <v>2024</v>
      </c>
      <c r="E3290">
        <v>2833</v>
      </c>
      <c r="F3290">
        <v>90383</v>
      </c>
      <c r="G3290">
        <v>3.13</v>
      </c>
      <c r="H3290" t="s">
        <v>10</v>
      </c>
      <c r="I3290" t="s">
        <v>11</v>
      </c>
    </row>
    <row r="3291" spans="1:9" hidden="1" x14ac:dyDescent="0.25">
      <c r="A3291" t="s">
        <v>24</v>
      </c>
      <c r="B3291" t="s">
        <v>44</v>
      </c>
      <c r="C3291">
        <v>202409</v>
      </c>
      <c r="D3291" t="str">
        <f t="shared" si="51"/>
        <v>2024</v>
      </c>
      <c r="E3291">
        <v>2977</v>
      </c>
      <c r="F3291">
        <v>90383</v>
      </c>
      <c r="G3291">
        <v>3.29</v>
      </c>
      <c r="H3291" t="s">
        <v>10</v>
      </c>
      <c r="I3291" t="s">
        <v>11</v>
      </c>
    </row>
    <row r="3292" spans="1:9" hidden="1" x14ac:dyDescent="0.25">
      <c r="A3292" t="s">
        <v>24</v>
      </c>
      <c r="B3292" t="s">
        <v>44</v>
      </c>
      <c r="C3292">
        <v>202410</v>
      </c>
      <c r="D3292" t="str">
        <f t="shared" si="51"/>
        <v>2024</v>
      </c>
      <c r="E3292">
        <v>3332</v>
      </c>
      <c r="F3292">
        <v>90383</v>
      </c>
      <c r="G3292">
        <v>3.69</v>
      </c>
      <c r="H3292" t="s">
        <v>10</v>
      </c>
      <c r="I3292" t="s">
        <v>11</v>
      </c>
    </row>
    <row r="3293" spans="1:9" hidden="1" x14ac:dyDescent="0.25">
      <c r="A3293" t="s">
        <v>24</v>
      </c>
      <c r="B3293" t="s">
        <v>44</v>
      </c>
      <c r="C3293">
        <v>202411</v>
      </c>
      <c r="D3293" t="str">
        <f t="shared" si="51"/>
        <v>2024</v>
      </c>
      <c r="E3293">
        <v>2948</v>
      </c>
      <c r="F3293">
        <v>90383</v>
      </c>
      <c r="G3293">
        <v>3.26</v>
      </c>
      <c r="H3293" t="s">
        <v>10</v>
      </c>
      <c r="I3293" t="s">
        <v>11</v>
      </c>
    </row>
    <row r="3294" spans="1:9" hidden="1" x14ac:dyDescent="0.25">
      <c r="A3294" t="s">
        <v>24</v>
      </c>
      <c r="B3294" t="s">
        <v>44</v>
      </c>
      <c r="C3294">
        <v>202412</v>
      </c>
      <c r="D3294" t="str">
        <f t="shared" si="51"/>
        <v>2024</v>
      </c>
      <c r="E3294">
        <v>3001</v>
      </c>
      <c r="F3294">
        <v>90383</v>
      </c>
      <c r="G3294">
        <v>3.32</v>
      </c>
      <c r="H3294" t="s">
        <v>10</v>
      </c>
      <c r="I3294" t="s">
        <v>11</v>
      </c>
    </row>
    <row r="3295" spans="1:9" x14ac:dyDescent="0.25">
      <c r="A3295" t="s">
        <v>24</v>
      </c>
      <c r="B3295" t="s">
        <v>44</v>
      </c>
      <c r="C3295">
        <v>202501</v>
      </c>
      <c r="D3295" t="str">
        <f t="shared" si="51"/>
        <v>2025</v>
      </c>
      <c r="E3295">
        <v>4268</v>
      </c>
      <c r="F3295">
        <v>90383</v>
      </c>
      <c r="G3295">
        <v>4.72</v>
      </c>
      <c r="H3295" t="s">
        <v>10</v>
      </c>
      <c r="I3295" t="s">
        <v>11</v>
      </c>
    </row>
    <row r="3296" spans="1:9" x14ac:dyDescent="0.25">
      <c r="A3296" t="s">
        <v>24</v>
      </c>
      <c r="B3296" t="s">
        <v>44</v>
      </c>
      <c r="C3296">
        <v>202502</v>
      </c>
      <c r="D3296" t="str">
        <f t="shared" si="51"/>
        <v>2025</v>
      </c>
      <c r="E3296">
        <v>3746</v>
      </c>
      <c r="F3296">
        <v>90383</v>
      </c>
      <c r="G3296">
        <v>4.1399999999999997</v>
      </c>
      <c r="H3296" t="s">
        <v>10</v>
      </c>
      <c r="I3296" t="s">
        <v>11</v>
      </c>
    </row>
    <row r="3297" spans="1:9" x14ac:dyDescent="0.25">
      <c r="A3297" t="s">
        <v>24</v>
      </c>
      <c r="B3297" t="s">
        <v>44</v>
      </c>
      <c r="C3297">
        <v>202503</v>
      </c>
      <c r="D3297" t="str">
        <f t="shared" si="51"/>
        <v>2025</v>
      </c>
      <c r="E3297">
        <v>4166</v>
      </c>
      <c r="F3297">
        <v>90383</v>
      </c>
      <c r="G3297">
        <v>4.6100000000000003</v>
      </c>
      <c r="H3297" t="s">
        <v>10</v>
      </c>
      <c r="I3297" t="s">
        <v>11</v>
      </c>
    </row>
    <row r="3298" spans="1:9" x14ac:dyDescent="0.25">
      <c r="A3298" t="s">
        <v>24</v>
      </c>
      <c r="B3298" t="s">
        <v>44</v>
      </c>
      <c r="C3298">
        <v>202504</v>
      </c>
      <c r="D3298" t="str">
        <f t="shared" si="51"/>
        <v>2025</v>
      </c>
      <c r="E3298">
        <v>3743</v>
      </c>
      <c r="F3298">
        <v>90383</v>
      </c>
      <c r="G3298">
        <v>4.1399999999999997</v>
      </c>
      <c r="H3298" t="s">
        <v>10</v>
      </c>
      <c r="I3298" t="s">
        <v>11</v>
      </c>
    </row>
    <row r="3299" spans="1:9" x14ac:dyDescent="0.25">
      <c r="A3299" t="s">
        <v>24</v>
      </c>
      <c r="B3299" t="s">
        <v>44</v>
      </c>
      <c r="C3299">
        <v>202505</v>
      </c>
      <c r="D3299" t="str">
        <f t="shared" si="51"/>
        <v>2025</v>
      </c>
      <c r="E3299">
        <v>3930</v>
      </c>
      <c r="F3299">
        <v>90383</v>
      </c>
      <c r="G3299">
        <v>4.3499999999999996</v>
      </c>
      <c r="H3299" t="s">
        <v>10</v>
      </c>
      <c r="I3299" t="s">
        <v>11</v>
      </c>
    </row>
    <row r="3300" spans="1:9" x14ac:dyDescent="0.25">
      <c r="A3300" t="s">
        <v>24</v>
      </c>
      <c r="B3300" t="s">
        <v>44</v>
      </c>
      <c r="C3300">
        <v>202506</v>
      </c>
      <c r="D3300" t="str">
        <f t="shared" si="51"/>
        <v>2025</v>
      </c>
      <c r="E3300">
        <v>3614</v>
      </c>
      <c r="F3300">
        <v>90383</v>
      </c>
      <c r="G3300">
        <v>4</v>
      </c>
      <c r="H3300" t="s">
        <v>10</v>
      </c>
      <c r="I3300" t="s">
        <v>11</v>
      </c>
    </row>
    <row r="3301" spans="1:9" x14ac:dyDescent="0.25">
      <c r="A3301" t="s">
        <v>24</v>
      </c>
      <c r="B3301" t="s">
        <v>44</v>
      </c>
      <c r="C3301">
        <v>202507</v>
      </c>
      <c r="D3301" t="str">
        <f t="shared" si="51"/>
        <v>2025</v>
      </c>
      <c r="E3301">
        <v>4058</v>
      </c>
      <c r="F3301">
        <v>90383</v>
      </c>
      <c r="G3301">
        <v>4.49</v>
      </c>
      <c r="H3301" t="s">
        <v>10</v>
      </c>
      <c r="I3301" t="s">
        <v>11</v>
      </c>
    </row>
    <row r="3302" spans="1:9" x14ac:dyDescent="0.25">
      <c r="A3302" t="s">
        <v>24</v>
      </c>
      <c r="B3302" t="s">
        <v>44</v>
      </c>
      <c r="C3302">
        <v>202508</v>
      </c>
      <c r="D3302" t="str">
        <f t="shared" si="51"/>
        <v>2025</v>
      </c>
      <c r="E3302">
        <v>3866</v>
      </c>
      <c r="F3302">
        <v>90383</v>
      </c>
      <c r="G3302">
        <v>4.28</v>
      </c>
      <c r="H3302" t="s">
        <v>10</v>
      </c>
      <c r="I3302" t="s">
        <v>11</v>
      </c>
    </row>
    <row r="3303" spans="1:9" x14ac:dyDescent="0.25">
      <c r="A3303" t="s">
        <v>24</v>
      </c>
      <c r="B3303" t="s">
        <v>44</v>
      </c>
      <c r="C3303">
        <v>202509</v>
      </c>
      <c r="D3303" t="str">
        <f t="shared" si="51"/>
        <v>2025</v>
      </c>
      <c r="E3303">
        <v>4076</v>
      </c>
      <c r="F3303">
        <v>90383</v>
      </c>
      <c r="G3303">
        <v>4.51</v>
      </c>
      <c r="H3303" t="s">
        <v>10</v>
      </c>
      <c r="I3303" t="s">
        <v>11</v>
      </c>
    </row>
    <row r="3304" spans="1:9" x14ac:dyDescent="0.25">
      <c r="A3304" t="s">
        <v>24</v>
      </c>
      <c r="B3304" t="s">
        <v>44</v>
      </c>
      <c r="C3304">
        <v>202510</v>
      </c>
      <c r="D3304" t="str">
        <f t="shared" si="51"/>
        <v>2025</v>
      </c>
      <c r="E3304">
        <v>4536</v>
      </c>
      <c r="F3304">
        <v>90383</v>
      </c>
      <c r="G3304">
        <v>5.0199999999999996</v>
      </c>
      <c r="H3304" t="s">
        <v>10</v>
      </c>
      <c r="I3304" t="s">
        <v>11</v>
      </c>
    </row>
    <row r="3305" spans="1:9" x14ac:dyDescent="0.25">
      <c r="A3305" t="s">
        <v>24</v>
      </c>
      <c r="B3305" t="s">
        <v>44</v>
      </c>
      <c r="C3305">
        <v>202511</v>
      </c>
      <c r="D3305" t="str">
        <f t="shared" si="51"/>
        <v>2025</v>
      </c>
      <c r="E3305">
        <v>3924</v>
      </c>
      <c r="F3305">
        <v>90383</v>
      </c>
      <c r="G3305">
        <v>4.34</v>
      </c>
      <c r="H3305" t="s">
        <v>10</v>
      </c>
      <c r="I3305" t="s">
        <v>11</v>
      </c>
    </row>
    <row r="3306" spans="1:9" x14ac:dyDescent="0.25">
      <c r="A3306" t="s">
        <v>24</v>
      </c>
      <c r="B3306" t="s">
        <v>44</v>
      </c>
      <c r="C3306">
        <v>202512</v>
      </c>
      <c r="D3306" t="str">
        <f t="shared" si="51"/>
        <v>2025</v>
      </c>
      <c r="E3306">
        <v>4595</v>
      </c>
      <c r="F3306">
        <v>90383</v>
      </c>
      <c r="G3306">
        <v>5.08</v>
      </c>
      <c r="H3306" t="s">
        <v>10</v>
      </c>
      <c r="I3306" t="s">
        <v>11</v>
      </c>
    </row>
    <row r="3307" spans="1:9" x14ac:dyDescent="0.25">
      <c r="A3307" t="s">
        <v>24</v>
      </c>
      <c r="B3307" t="s">
        <v>44</v>
      </c>
      <c r="C3307">
        <v>202601</v>
      </c>
      <c r="D3307" t="str">
        <f t="shared" si="51"/>
        <v>2026</v>
      </c>
      <c r="E3307">
        <v>5150</v>
      </c>
      <c r="F3307">
        <v>90383</v>
      </c>
      <c r="G3307">
        <v>5.7</v>
      </c>
      <c r="H3307" t="s">
        <v>10</v>
      </c>
      <c r="I3307" t="s">
        <v>11</v>
      </c>
    </row>
    <row r="3308" spans="1:9" x14ac:dyDescent="0.25">
      <c r="A3308" t="s">
        <v>24</v>
      </c>
      <c r="B3308" t="s">
        <v>44</v>
      </c>
      <c r="C3308">
        <v>202602</v>
      </c>
      <c r="D3308" t="str">
        <f t="shared" si="51"/>
        <v>2026</v>
      </c>
      <c r="E3308">
        <v>2318</v>
      </c>
      <c r="F3308">
        <v>90383</v>
      </c>
      <c r="G3308">
        <v>2.56</v>
      </c>
      <c r="H3308" t="s">
        <v>10</v>
      </c>
      <c r="I3308" t="s">
        <v>11</v>
      </c>
    </row>
    <row r="3309" spans="1:9" hidden="1" x14ac:dyDescent="0.25">
      <c r="A3309" t="s">
        <v>24</v>
      </c>
      <c r="B3309" t="s">
        <v>81</v>
      </c>
      <c r="C3309">
        <v>202401</v>
      </c>
      <c r="D3309" t="str">
        <f t="shared" si="51"/>
        <v>2024</v>
      </c>
      <c r="E3309">
        <v>2463</v>
      </c>
      <c r="F3309">
        <v>91865</v>
      </c>
      <c r="G3309">
        <v>2.68</v>
      </c>
      <c r="H3309" t="s">
        <v>10</v>
      </c>
      <c r="I3309" t="s">
        <v>11</v>
      </c>
    </row>
    <row r="3310" spans="1:9" hidden="1" x14ac:dyDescent="0.25">
      <c r="A3310" t="s">
        <v>24</v>
      </c>
      <c r="B3310" t="s">
        <v>81</v>
      </c>
      <c r="C3310">
        <v>202402</v>
      </c>
      <c r="D3310" t="str">
        <f t="shared" si="51"/>
        <v>2024</v>
      </c>
      <c r="E3310">
        <v>2921</v>
      </c>
      <c r="F3310">
        <v>91865</v>
      </c>
      <c r="G3310">
        <v>3.18</v>
      </c>
      <c r="H3310" t="s">
        <v>10</v>
      </c>
      <c r="I3310" t="s">
        <v>11</v>
      </c>
    </row>
    <row r="3311" spans="1:9" hidden="1" x14ac:dyDescent="0.25">
      <c r="A3311" t="s">
        <v>24</v>
      </c>
      <c r="B3311" t="s">
        <v>81</v>
      </c>
      <c r="C3311">
        <v>202403</v>
      </c>
      <c r="D3311" t="str">
        <f t="shared" si="51"/>
        <v>2024</v>
      </c>
      <c r="E3311">
        <v>2865</v>
      </c>
      <c r="F3311">
        <v>91865</v>
      </c>
      <c r="G3311">
        <v>3.12</v>
      </c>
      <c r="H3311" t="s">
        <v>10</v>
      </c>
      <c r="I3311" t="s">
        <v>11</v>
      </c>
    </row>
    <row r="3312" spans="1:9" hidden="1" x14ac:dyDescent="0.25">
      <c r="A3312" t="s">
        <v>24</v>
      </c>
      <c r="B3312" t="s">
        <v>81</v>
      </c>
      <c r="C3312">
        <v>202404</v>
      </c>
      <c r="D3312" t="str">
        <f t="shared" si="51"/>
        <v>2024</v>
      </c>
      <c r="E3312">
        <v>3038</v>
      </c>
      <c r="F3312">
        <v>91865</v>
      </c>
      <c r="G3312">
        <v>3.31</v>
      </c>
      <c r="H3312" t="s">
        <v>10</v>
      </c>
      <c r="I3312" t="s">
        <v>11</v>
      </c>
    </row>
    <row r="3313" spans="1:9" hidden="1" x14ac:dyDescent="0.25">
      <c r="A3313" t="s">
        <v>24</v>
      </c>
      <c r="B3313" t="s">
        <v>81</v>
      </c>
      <c r="C3313">
        <v>202405</v>
      </c>
      <c r="D3313" t="str">
        <f t="shared" si="51"/>
        <v>2024</v>
      </c>
      <c r="E3313">
        <v>2694</v>
      </c>
      <c r="F3313">
        <v>91865</v>
      </c>
      <c r="G3313">
        <v>2.93</v>
      </c>
      <c r="H3313" t="s">
        <v>10</v>
      </c>
      <c r="I3313" t="s">
        <v>11</v>
      </c>
    </row>
    <row r="3314" spans="1:9" hidden="1" x14ac:dyDescent="0.25">
      <c r="A3314" t="s">
        <v>24</v>
      </c>
      <c r="B3314" t="s">
        <v>81</v>
      </c>
      <c r="C3314">
        <v>202406</v>
      </c>
      <c r="D3314" t="str">
        <f t="shared" si="51"/>
        <v>2024</v>
      </c>
      <c r="E3314">
        <v>2489</v>
      </c>
      <c r="F3314">
        <v>91865</v>
      </c>
      <c r="G3314">
        <v>2.71</v>
      </c>
      <c r="H3314" t="s">
        <v>10</v>
      </c>
      <c r="I3314" t="s">
        <v>11</v>
      </c>
    </row>
    <row r="3315" spans="1:9" hidden="1" x14ac:dyDescent="0.25">
      <c r="A3315" t="s">
        <v>24</v>
      </c>
      <c r="B3315" t="s">
        <v>81</v>
      </c>
      <c r="C3315">
        <v>202407</v>
      </c>
      <c r="D3315" t="str">
        <f t="shared" si="51"/>
        <v>2024</v>
      </c>
      <c r="E3315">
        <v>2503</v>
      </c>
      <c r="F3315">
        <v>91865</v>
      </c>
      <c r="G3315">
        <v>2.72</v>
      </c>
      <c r="H3315" t="s">
        <v>10</v>
      </c>
      <c r="I3315" t="s">
        <v>11</v>
      </c>
    </row>
    <row r="3316" spans="1:9" hidden="1" x14ac:dyDescent="0.25">
      <c r="A3316" t="s">
        <v>24</v>
      </c>
      <c r="B3316" t="s">
        <v>81</v>
      </c>
      <c r="C3316">
        <v>202408</v>
      </c>
      <c r="D3316" t="str">
        <f t="shared" si="51"/>
        <v>2024</v>
      </c>
      <c r="E3316">
        <v>2754</v>
      </c>
      <c r="F3316">
        <v>91865</v>
      </c>
      <c r="G3316">
        <v>3</v>
      </c>
      <c r="H3316" t="s">
        <v>10</v>
      </c>
      <c r="I3316" t="s">
        <v>11</v>
      </c>
    </row>
    <row r="3317" spans="1:9" hidden="1" x14ac:dyDescent="0.25">
      <c r="A3317" t="s">
        <v>24</v>
      </c>
      <c r="B3317" t="s">
        <v>81</v>
      </c>
      <c r="C3317">
        <v>202409</v>
      </c>
      <c r="D3317" t="str">
        <f t="shared" si="51"/>
        <v>2024</v>
      </c>
      <c r="E3317">
        <v>2913</v>
      </c>
      <c r="F3317">
        <v>91865</v>
      </c>
      <c r="G3317">
        <v>3.17</v>
      </c>
      <c r="H3317" t="s">
        <v>10</v>
      </c>
      <c r="I3317" t="s">
        <v>11</v>
      </c>
    </row>
    <row r="3318" spans="1:9" hidden="1" x14ac:dyDescent="0.25">
      <c r="A3318" t="s">
        <v>24</v>
      </c>
      <c r="B3318" t="s">
        <v>81</v>
      </c>
      <c r="C3318">
        <v>202410</v>
      </c>
      <c r="D3318" t="str">
        <f t="shared" si="51"/>
        <v>2024</v>
      </c>
      <c r="E3318">
        <v>3341</v>
      </c>
      <c r="F3318">
        <v>91865</v>
      </c>
      <c r="G3318">
        <v>3.64</v>
      </c>
      <c r="H3318" t="s">
        <v>10</v>
      </c>
      <c r="I3318" t="s">
        <v>11</v>
      </c>
    </row>
    <row r="3319" spans="1:9" hidden="1" x14ac:dyDescent="0.25">
      <c r="A3319" t="s">
        <v>24</v>
      </c>
      <c r="B3319" t="s">
        <v>81</v>
      </c>
      <c r="C3319">
        <v>202411</v>
      </c>
      <c r="D3319" t="str">
        <f t="shared" si="51"/>
        <v>2024</v>
      </c>
      <c r="E3319">
        <v>2871</v>
      </c>
      <c r="F3319">
        <v>91865</v>
      </c>
      <c r="G3319">
        <v>3.13</v>
      </c>
      <c r="H3319" t="s">
        <v>10</v>
      </c>
      <c r="I3319" t="s">
        <v>11</v>
      </c>
    </row>
    <row r="3320" spans="1:9" hidden="1" x14ac:dyDescent="0.25">
      <c r="A3320" t="s">
        <v>24</v>
      </c>
      <c r="B3320" t="s">
        <v>81</v>
      </c>
      <c r="C3320">
        <v>202412</v>
      </c>
      <c r="D3320" t="str">
        <f t="shared" si="51"/>
        <v>2024</v>
      </c>
      <c r="E3320">
        <v>2886</v>
      </c>
      <c r="F3320">
        <v>91865</v>
      </c>
      <c r="G3320">
        <v>3.14</v>
      </c>
      <c r="H3320" t="s">
        <v>10</v>
      </c>
      <c r="I3320" t="s">
        <v>11</v>
      </c>
    </row>
    <row r="3321" spans="1:9" x14ac:dyDescent="0.25">
      <c r="A3321" t="s">
        <v>24</v>
      </c>
      <c r="B3321" t="s">
        <v>81</v>
      </c>
      <c r="C3321">
        <v>202501</v>
      </c>
      <c r="D3321" t="str">
        <f t="shared" si="51"/>
        <v>2025</v>
      </c>
      <c r="E3321">
        <v>4181</v>
      </c>
      <c r="F3321">
        <v>91865</v>
      </c>
      <c r="G3321">
        <v>4.55</v>
      </c>
      <c r="H3321" t="s">
        <v>10</v>
      </c>
      <c r="I3321" t="s">
        <v>11</v>
      </c>
    </row>
    <row r="3322" spans="1:9" x14ac:dyDescent="0.25">
      <c r="A3322" t="s">
        <v>24</v>
      </c>
      <c r="B3322" t="s">
        <v>81</v>
      </c>
      <c r="C3322">
        <v>202502</v>
      </c>
      <c r="D3322" t="str">
        <f t="shared" si="51"/>
        <v>2025</v>
      </c>
      <c r="E3322">
        <v>3594</v>
      </c>
      <c r="F3322">
        <v>91865</v>
      </c>
      <c r="G3322">
        <v>3.91</v>
      </c>
      <c r="H3322" t="s">
        <v>10</v>
      </c>
      <c r="I3322" t="s">
        <v>11</v>
      </c>
    </row>
    <row r="3323" spans="1:9" x14ac:dyDescent="0.25">
      <c r="A3323" t="s">
        <v>24</v>
      </c>
      <c r="B3323" t="s">
        <v>81</v>
      </c>
      <c r="C3323">
        <v>202503</v>
      </c>
      <c r="D3323" t="str">
        <f t="shared" si="51"/>
        <v>2025</v>
      </c>
      <c r="E3323">
        <v>3964</v>
      </c>
      <c r="F3323">
        <v>91865</v>
      </c>
      <c r="G3323">
        <v>4.32</v>
      </c>
      <c r="H3323" t="s">
        <v>10</v>
      </c>
      <c r="I3323" t="s">
        <v>11</v>
      </c>
    </row>
    <row r="3324" spans="1:9" x14ac:dyDescent="0.25">
      <c r="A3324" t="s">
        <v>24</v>
      </c>
      <c r="B3324" t="s">
        <v>81</v>
      </c>
      <c r="C3324">
        <v>202504</v>
      </c>
      <c r="D3324" t="str">
        <f t="shared" si="51"/>
        <v>2025</v>
      </c>
      <c r="E3324">
        <v>3577</v>
      </c>
      <c r="F3324">
        <v>91865</v>
      </c>
      <c r="G3324">
        <v>3.89</v>
      </c>
      <c r="H3324" t="s">
        <v>10</v>
      </c>
      <c r="I3324" t="s">
        <v>11</v>
      </c>
    </row>
    <row r="3325" spans="1:9" x14ac:dyDescent="0.25">
      <c r="A3325" t="s">
        <v>24</v>
      </c>
      <c r="B3325" t="s">
        <v>81</v>
      </c>
      <c r="C3325">
        <v>202505</v>
      </c>
      <c r="D3325" t="str">
        <f t="shared" si="51"/>
        <v>2025</v>
      </c>
      <c r="E3325">
        <v>3817</v>
      </c>
      <c r="F3325">
        <v>91865</v>
      </c>
      <c r="G3325">
        <v>4.16</v>
      </c>
      <c r="H3325" t="s">
        <v>10</v>
      </c>
      <c r="I3325" t="s">
        <v>11</v>
      </c>
    </row>
    <row r="3326" spans="1:9" x14ac:dyDescent="0.25">
      <c r="A3326" t="s">
        <v>24</v>
      </c>
      <c r="B3326" t="s">
        <v>81</v>
      </c>
      <c r="C3326">
        <v>202506</v>
      </c>
      <c r="D3326" t="str">
        <f t="shared" si="51"/>
        <v>2025</v>
      </c>
      <c r="E3326">
        <v>3508</v>
      </c>
      <c r="F3326">
        <v>91865</v>
      </c>
      <c r="G3326">
        <v>3.82</v>
      </c>
      <c r="H3326" t="s">
        <v>10</v>
      </c>
      <c r="I3326" t="s">
        <v>11</v>
      </c>
    </row>
    <row r="3327" spans="1:9" x14ac:dyDescent="0.25">
      <c r="A3327" t="s">
        <v>24</v>
      </c>
      <c r="B3327" t="s">
        <v>81</v>
      </c>
      <c r="C3327">
        <v>202507</v>
      </c>
      <c r="D3327" t="str">
        <f t="shared" si="51"/>
        <v>2025</v>
      </c>
      <c r="E3327">
        <v>3729</v>
      </c>
      <c r="F3327">
        <v>91865</v>
      </c>
      <c r="G3327">
        <v>4.0599999999999996</v>
      </c>
      <c r="H3327" t="s">
        <v>10</v>
      </c>
      <c r="I3327" t="s">
        <v>11</v>
      </c>
    </row>
    <row r="3328" spans="1:9" x14ac:dyDescent="0.25">
      <c r="A3328" t="s">
        <v>24</v>
      </c>
      <c r="B3328" t="s">
        <v>81</v>
      </c>
      <c r="C3328">
        <v>202508</v>
      </c>
      <c r="D3328" t="str">
        <f t="shared" si="51"/>
        <v>2025</v>
      </c>
      <c r="E3328">
        <v>3501</v>
      </c>
      <c r="F3328">
        <v>91865</v>
      </c>
      <c r="G3328">
        <v>3.81</v>
      </c>
      <c r="H3328" t="s">
        <v>10</v>
      </c>
      <c r="I3328" t="s">
        <v>11</v>
      </c>
    </row>
    <row r="3329" spans="1:9" x14ac:dyDescent="0.25">
      <c r="A3329" t="s">
        <v>24</v>
      </c>
      <c r="B3329" t="s">
        <v>81</v>
      </c>
      <c r="C3329">
        <v>202509</v>
      </c>
      <c r="D3329" t="str">
        <f t="shared" si="51"/>
        <v>2025</v>
      </c>
      <c r="E3329">
        <v>3878</v>
      </c>
      <c r="F3329">
        <v>91865</v>
      </c>
      <c r="G3329">
        <v>4.22</v>
      </c>
      <c r="H3329" t="s">
        <v>10</v>
      </c>
      <c r="I3329" t="s">
        <v>11</v>
      </c>
    </row>
    <row r="3330" spans="1:9" x14ac:dyDescent="0.25">
      <c r="A3330" t="s">
        <v>24</v>
      </c>
      <c r="B3330" t="s">
        <v>81</v>
      </c>
      <c r="C3330">
        <v>202510</v>
      </c>
      <c r="D3330" t="str">
        <f t="shared" si="51"/>
        <v>2025</v>
      </c>
      <c r="E3330">
        <v>4335</v>
      </c>
      <c r="F3330">
        <v>91865</v>
      </c>
      <c r="G3330">
        <v>4.72</v>
      </c>
      <c r="H3330" t="s">
        <v>10</v>
      </c>
      <c r="I3330" t="s">
        <v>11</v>
      </c>
    </row>
    <row r="3331" spans="1:9" x14ac:dyDescent="0.25">
      <c r="A3331" t="s">
        <v>24</v>
      </c>
      <c r="B3331" t="s">
        <v>81</v>
      </c>
      <c r="C3331">
        <v>202511</v>
      </c>
      <c r="D3331" t="str">
        <f t="shared" ref="D3331:D3394" si="52">LEFT(C3331,4)</f>
        <v>2025</v>
      </c>
      <c r="E3331">
        <v>3772</v>
      </c>
      <c r="F3331">
        <v>91865</v>
      </c>
      <c r="G3331">
        <v>4.1100000000000003</v>
      </c>
      <c r="H3331" t="s">
        <v>10</v>
      </c>
      <c r="I3331" t="s">
        <v>11</v>
      </c>
    </row>
    <row r="3332" spans="1:9" x14ac:dyDescent="0.25">
      <c r="A3332" t="s">
        <v>24</v>
      </c>
      <c r="B3332" t="s">
        <v>81</v>
      </c>
      <c r="C3332">
        <v>202512</v>
      </c>
      <c r="D3332" t="str">
        <f t="shared" si="52"/>
        <v>2025</v>
      </c>
      <c r="E3332">
        <v>4317</v>
      </c>
      <c r="F3332">
        <v>91865</v>
      </c>
      <c r="G3332">
        <v>4.7</v>
      </c>
      <c r="H3332" t="s">
        <v>10</v>
      </c>
      <c r="I3332" t="s">
        <v>11</v>
      </c>
    </row>
    <row r="3333" spans="1:9" x14ac:dyDescent="0.25">
      <c r="A3333" t="s">
        <v>24</v>
      </c>
      <c r="B3333" t="s">
        <v>81</v>
      </c>
      <c r="C3333">
        <v>202601</v>
      </c>
      <c r="D3333" t="str">
        <f t="shared" si="52"/>
        <v>2026</v>
      </c>
      <c r="E3333">
        <v>5160</v>
      </c>
      <c r="F3333">
        <v>91865</v>
      </c>
      <c r="G3333">
        <v>5.62</v>
      </c>
      <c r="H3333" t="s">
        <v>10</v>
      </c>
      <c r="I3333" t="s">
        <v>11</v>
      </c>
    </row>
    <row r="3334" spans="1:9" x14ac:dyDescent="0.25">
      <c r="A3334" t="s">
        <v>24</v>
      </c>
      <c r="B3334" t="s">
        <v>81</v>
      </c>
      <c r="C3334">
        <v>202602</v>
      </c>
      <c r="D3334" t="str">
        <f t="shared" si="52"/>
        <v>2026</v>
      </c>
      <c r="E3334">
        <v>4778</v>
      </c>
      <c r="F3334">
        <v>91865</v>
      </c>
      <c r="G3334">
        <v>5.2</v>
      </c>
      <c r="H3334" t="s">
        <v>10</v>
      </c>
      <c r="I3334" t="s">
        <v>11</v>
      </c>
    </row>
    <row r="3335" spans="1:9" x14ac:dyDescent="0.25">
      <c r="A3335" t="s">
        <v>24</v>
      </c>
      <c r="B3335" t="s">
        <v>81</v>
      </c>
      <c r="C3335">
        <v>202603</v>
      </c>
      <c r="D3335" t="str">
        <f t="shared" si="52"/>
        <v>2026</v>
      </c>
      <c r="E3335">
        <v>2016</v>
      </c>
      <c r="F3335">
        <v>91865</v>
      </c>
      <c r="G3335">
        <v>2.19</v>
      </c>
      <c r="H3335" t="s">
        <v>10</v>
      </c>
      <c r="I3335" t="s">
        <v>11</v>
      </c>
    </row>
    <row r="3336" spans="1:9" hidden="1" x14ac:dyDescent="0.25">
      <c r="A3336" t="s">
        <v>24</v>
      </c>
      <c r="B3336" t="s">
        <v>158</v>
      </c>
      <c r="C3336">
        <v>202401</v>
      </c>
      <c r="D3336" t="str">
        <f t="shared" si="52"/>
        <v>2024</v>
      </c>
      <c r="E3336">
        <v>2447</v>
      </c>
      <c r="F3336">
        <v>96413</v>
      </c>
      <c r="G3336">
        <v>2.54</v>
      </c>
      <c r="H3336" t="s">
        <v>10</v>
      </c>
      <c r="I3336" t="s">
        <v>11</v>
      </c>
    </row>
    <row r="3337" spans="1:9" hidden="1" x14ac:dyDescent="0.25">
      <c r="A3337" t="s">
        <v>24</v>
      </c>
      <c r="B3337" t="s">
        <v>158</v>
      </c>
      <c r="C3337">
        <v>202402</v>
      </c>
      <c r="D3337" t="str">
        <f t="shared" si="52"/>
        <v>2024</v>
      </c>
      <c r="E3337">
        <v>3068</v>
      </c>
      <c r="F3337">
        <v>96413</v>
      </c>
      <c r="G3337">
        <v>3.18</v>
      </c>
      <c r="H3337" t="s">
        <v>10</v>
      </c>
      <c r="I3337" t="s">
        <v>11</v>
      </c>
    </row>
    <row r="3338" spans="1:9" hidden="1" x14ac:dyDescent="0.25">
      <c r="A3338" t="s">
        <v>24</v>
      </c>
      <c r="B3338" t="s">
        <v>158</v>
      </c>
      <c r="C3338">
        <v>202403</v>
      </c>
      <c r="D3338" t="str">
        <f t="shared" si="52"/>
        <v>2024</v>
      </c>
      <c r="E3338">
        <v>3041</v>
      </c>
      <c r="F3338">
        <v>96413</v>
      </c>
      <c r="G3338">
        <v>3.15</v>
      </c>
      <c r="H3338" t="s">
        <v>10</v>
      </c>
      <c r="I3338" t="s">
        <v>11</v>
      </c>
    </row>
    <row r="3339" spans="1:9" hidden="1" x14ac:dyDescent="0.25">
      <c r="A3339" t="s">
        <v>24</v>
      </c>
      <c r="B3339" t="s">
        <v>158</v>
      </c>
      <c r="C3339">
        <v>202404</v>
      </c>
      <c r="D3339" t="str">
        <f t="shared" si="52"/>
        <v>2024</v>
      </c>
      <c r="E3339">
        <v>3212</v>
      </c>
      <c r="F3339">
        <v>96413</v>
      </c>
      <c r="G3339">
        <v>3.33</v>
      </c>
      <c r="H3339" t="s">
        <v>10</v>
      </c>
      <c r="I3339" t="s">
        <v>11</v>
      </c>
    </row>
    <row r="3340" spans="1:9" hidden="1" x14ac:dyDescent="0.25">
      <c r="A3340" t="s">
        <v>24</v>
      </c>
      <c r="B3340" t="s">
        <v>158</v>
      </c>
      <c r="C3340">
        <v>202405</v>
      </c>
      <c r="D3340" t="str">
        <f t="shared" si="52"/>
        <v>2024</v>
      </c>
      <c r="E3340">
        <v>2830</v>
      </c>
      <c r="F3340">
        <v>96413</v>
      </c>
      <c r="G3340">
        <v>2.94</v>
      </c>
      <c r="H3340" t="s">
        <v>10</v>
      </c>
      <c r="I3340" t="s">
        <v>11</v>
      </c>
    </row>
    <row r="3341" spans="1:9" hidden="1" x14ac:dyDescent="0.25">
      <c r="A3341" t="s">
        <v>24</v>
      </c>
      <c r="B3341" t="s">
        <v>158</v>
      </c>
      <c r="C3341">
        <v>202406</v>
      </c>
      <c r="D3341" t="str">
        <f t="shared" si="52"/>
        <v>2024</v>
      </c>
      <c r="E3341">
        <v>2652</v>
      </c>
      <c r="F3341">
        <v>96413</v>
      </c>
      <c r="G3341">
        <v>2.75</v>
      </c>
      <c r="H3341" t="s">
        <v>10</v>
      </c>
      <c r="I3341" t="s">
        <v>11</v>
      </c>
    </row>
    <row r="3342" spans="1:9" hidden="1" x14ac:dyDescent="0.25">
      <c r="A3342" t="s">
        <v>24</v>
      </c>
      <c r="B3342" t="s">
        <v>158</v>
      </c>
      <c r="C3342">
        <v>202407</v>
      </c>
      <c r="D3342" t="str">
        <f t="shared" si="52"/>
        <v>2024</v>
      </c>
      <c r="E3342">
        <v>2494</v>
      </c>
      <c r="F3342">
        <v>96413</v>
      </c>
      <c r="G3342">
        <v>2.59</v>
      </c>
      <c r="H3342" t="s">
        <v>10</v>
      </c>
      <c r="I3342" t="s">
        <v>11</v>
      </c>
    </row>
    <row r="3343" spans="1:9" hidden="1" x14ac:dyDescent="0.25">
      <c r="A3343" t="s">
        <v>24</v>
      </c>
      <c r="B3343" t="s">
        <v>158</v>
      </c>
      <c r="C3343">
        <v>202408</v>
      </c>
      <c r="D3343" t="str">
        <f t="shared" si="52"/>
        <v>2024</v>
      </c>
      <c r="E3343">
        <v>2946</v>
      </c>
      <c r="F3343">
        <v>96413</v>
      </c>
      <c r="G3343">
        <v>3.06</v>
      </c>
      <c r="H3343" t="s">
        <v>10</v>
      </c>
      <c r="I3343" t="s">
        <v>11</v>
      </c>
    </row>
    <row r="3344" spans="1:9" hidden="1" x14ac:dyDescent="0.25">
      <c r="A3344" t="s">
        <v>24</v>
      </c>
      <c r="B3344" t="s">
        <v>158</v>
      </c>
      <c r="C3344">
        <v>202409</v>
      </c>
      <c r="D3344" t="str">
        <f t="shared" si="52"/>
        <v>2024</v>
      </c>
      <c r="E3344">
        <v>2884</v>
      </c>
      <c r="F3344">
        <v>96413</v>
      </c>
      <c r="G3344">
        <v>2.99</v>
      </c>
      <c r="H3344" t="s">
        <v>10</v>
      </c>
      <c r="I3344" t="s">
        <v>11</v>
      </c>
    </row>
    <row r="3345" spans="1:9" hidden="1" x14ac:dyDescent="0.25">
      <c r="A3345" t="s">
        <v>24</v>
      </c>
      <c r="B3345" t="s">
        <v>158</v>
      </c>
      <c r="C3345">
        <v>202410</v>
      </c>
      <c r="D3345" t="str">
        <f t="shared" si="52"/>
        <v>2024</v>
      </c>
      <c r="E3345">
        <v>3514</v>
      </c>
      <c r="F3345">
        <v>96413</v>
      </c>
      <c r="G3345">
        <v>3.64</v>
      </c>
      <c r="H3345" t="s">
        <v>10</v>
      </c>
      <c r="I3345" t="s">
        <v>11</v>
      </c>
    </row>
    <row r="3346" spans="1:9" hidden="1" x14ac:dyDescent="0.25">
      <c r="A3346" t="s">
        <v>24</v>
      </c>
      <c r="B3346" t="s">
        <v>158</v>
      </c>
      <c r="C3346">
        <v>202411</v>
      </c>
      <c r="D3346" t="str">
        <f t="shared" si="52"/>
        <v>2024</v>
      </c>
      <c r="E3346">
        <v>2847</v>
      </c>
      <c r="F3346">
        <v>96413</v>
      </c>
      <c r="G3346">
        <v>2.95</v>
      </c>
      <c r="H3346" t="s">
        <v>10</v>
      </c>
      <c r="I3346" t="s">
        <v>11</v>
      </c>
    </row>
    <row r="3347" spans="1:9" hidden="1" x14ac:dyDescent="0.25">
      <c r="A3347" t="s">
        <v>24</v>
      </c>
      <c r="B3347" t="s">
        <v>158</v>
      </c>
      <c r="C3347">
        <v>202412</v>
      </c>
      <c r="D3347" t="str">
        <f t="shared" si="52"/>
        <v>2024</v>
      </c>
      <c r="E3347">
        <v>3004</v>
      </c>
      <c r="F3347">
        <v>96413</v>
      </c>
      <c r="G3347">
        <v>3.12</v>
      </c>
      <c r="H3347" t="s">
        <v>10</v>
      </c>
      <c r="I3347" t="s">
        <v>11</v>
      </c>
    </row>
    <row r="3348" spans="1:9" x14ac:dyDescent="0.25">
      <c r="A3348" t="s">
        <v>24</v>
      </c>
      <c r="B3348" t="s">
        <v>158</v>
      </c>
      <c r="C3348">
        <v>202501</v>
      </c>
      <c r="D3348" t="str">
        <f t="shared" si="52"/>
        <v>2025</v>
      </c>
      <c r="E3348">
        <v>4165</v>
      </c>
      <c r="F3348">
        <v>96413</v>
      </c>
      <c r="G3348">
        <v>4.32</v>
      </c>
      <c r="H3348" t="s">
        <v>10</v>
      </c>
      <c r="I3348" t="s">
        <v>11</v>
      </c>
    </row>
    <row r="3349" spans="1:9" x14ac:dyDescent="0.25">
      <c r="A3349" t="s">
        <v>24</v>
      </c>
      <c r="B3349" t="s">
        <v>158</v>
      </c>
      <c r="C3349">
        <v>202502</v>
      </c>
      <c r="D3349" t="str">
        <f t="shared" si="52"/>
        <v>2025</v>
      </c>
      <c r="E3349">
        <v>3545</v>
      </c>
      <c r="F3349">
        <v>96413</v>
      </c>
      <c r="G3349">
        <v>3.68</v>
      </c>
      <c r="H3349" t="s">
        <v>10</v>
      </c>
      <c r="I3349" t="s">
        <v>11</v>
      </c>
    </row>
    <row r="3350" spans="1:9" x14ac:dyDescent="0.25">
      <c r="A3350" t="s">
        <v>24</v>
      </c>
      <c r="B3350" t="s">
        <v>158</v>
      </c>
      <c r="C3350">
        <v>202503</v>
      </c>
      <c r="D3350" t="str">
        <f t="shared" si="52"/>
        <v>2025</v>
      </c>
      <c r="E3350">
        <v>3952</v>
      </c>
      <c r="F3350">
        <v>96413</v>
      </c>
      <c r="G3350">
        <v>4.0999999999999996</v>
      </c>
      <c r="H3350" t="s">
        <v>10</v>
      </c>
      <c r="I3350" t="s">
        <v>11</v>
      </c>
    </row>
    <row r="3351" spans="1:9" x14ac:dyDescent="0.25">
      <c r="A3351" t="s">
        <v>24</v>
      </c>
      <c r="B3351" t="s">
        <v>158</v>
      </c>
      <c r="C3351">
        <v>202504</v>
      </c>
      <c r="D3351" t="str">
        <f t="shared" si="52"/>
        <v>2025</v>
      </c>
      <c r="E3351">
        <v>3557</v>
      </c>
      <c r="F3351">
        <v>96413</v>
      </c>
      <c r="G3351">
        <v>3.69</v>
      </c>
      <c r="H3351" t="s">
        <v>10</v>
      </c>
      <c r="I3351" t="s">
        <v>11</v>
      </c>
    </row>
    <row r="3352" spans="1:9" x14ac:dyDescent="0.25">
      <c r="A3352" t="s">
        <v>24</v>
      </c>
      <c r="B3352" t="s">
        <v>158</v>
      </c>
      <c r="C3352">
        <v>202505</v>
      </c>
      <c r="D3352" t="str">
        <f t="shared" si="52"/>
        <v>2025</v>
      </c>
      <c r="E3352">
        <v>3792</v>
      </c>
      <c r="F3352">
        <v>96413</v>
      </c>
      <c r="G3352">
        <v>3.93</v>
      </c>
      <c r="H3352" t="s">
        <v>10</v>
      </c>
      <c r="I3352" t="s">
        <v>11</v>
      </c>
    </row>
    <row r="3353" spans="1:9" x14ac:dyDescent="0.25">
      <c r="A3353" t="s">
        <v>24</v>
      </c>
      <c r="B3353" t="s">
        <v>158</v>
      </c>
      <c r="C3353">
        <v>202506</v>
      </c>
      <c r="D3353" t="str">
        <f t="shared" si="52"/>
        <v>2025</v>
      </c>
      <c r="E3353">
        <v>3481</v>
      </c>
      <c r="F3353">
        <v>96413</v>
      </c>
      <c r="G3353">
        <v>3.61</v>
      </c>
      <c r="H3353" t="s">
        <v>10</v>
      </c>
      <c r="I3353" t="s">
        <v>11</v>
      </c>
    </row>
    <row r="3354" spans="1:9" x14ac:dyDescent="0.25">
      <c r="A3354" t="s">
        <v>24</v>
      </c>
      <c r="B3354" t="s">
        <v>158</v>
      </c>
      <c r="C3354">
        <v>202507</v>
      </c>
      <c r="D3354" t="str">
        <f t="shared" si="52"/>
        <v>2025</v>
      </c>
      <c r="E3354">
        <v>3734</v>
      </c>
      <c r="F3354">
        <v>96413</v>
      </c>
      <c r="G3354">
        <v>3.87</v>
      </c>
      <c r="H3354" t="s">
        <v>10</v>
      </c>
      <c r="I3354" t="s">
        <v>11</v>
      </c>
    </row>
    <row r="3355" spans="1:9" x14ac:dyDescent="0.25">
      <c r="A3355" t="s">
        <v>24</v>
      </c>
      <c r="B3355" t="s">
        <v>158</v>
      </c>
      <c r="C3355">
        <v>202508</v>
      </c>
      <c r="D3355" t="str">
        <f t="shared" si="52"/>
        <v>2025</v>
      </c>
      <c r="E3355">
        <v>3494</v>
      </c>
      <c r="F3355">
        <v>96413</v>
      </c>
      <c r="G3355">
        <v>3.62</v>
      </c>
      <c r="H3355" t="s">
        <v>10</v>
      </c>
      <c r="I3355" t="s">
        <v>11</v>
      </c>
    </row>
    <row r="3356" spans="1:9" x14ac:dyDescent="0.25">
      <c r="A3356" t="s">
        <v>24</v>
      </c>
      <c r="B3356" t="s">
        <v>158</v>
      </c>
      <c r="C3356">
        <v>202509</v>
      </c>
      <c r="D3356" t="str">
        <f t="shared" si="52"/>
        <v>2025</v>
      </c>
      <c r="E3356">
        <v>3869</v>
      </c>
      <c r="F3356">
        <v>96413</v>
      </c>
      <c r="G3356">
        <v>4.01</v>
      </c>
      <c r="H3356" t="s">
        <v>10</v>
      </c>
      <c r="I3356" t="s">
        <v>11</v>
      </c>
    </row>
    <row r="3357" spans="1:9" x14ac:dyDescent="0.25">
      <c r="A3357" t="s">
        <v>24</v>
      </c>
      <c r="B3357" t="s">
        <v>158</v>
      </c>
      <c r="C3357">
        <v>202510</v>
      </c>
      <c r="D3357" t="str">
        <f t="shared" si="52"/>
        <v>2025</v>
      </c>
      <c r="E3357">
        <v>4342</v>
      </c>
      <c r="F3357">
        <v>96413</v>
      </c>
      <c r="G3357">
        <v>4.5</v>
      </c>
      <c r="H3357" t="s">
        <v>10</v>
      </c>
      <c r="I3357" t="s">
        <v>11</v>
      </c>
    </row>
    <row r="3358" spans="1:9" x14ac:dyDescent="0.25">
      <c r="A3358" t="s">
        <v>24</v>
      </c>
      <c r="B3358" t="s">
        <v>158</v>
      </c>
      <c r="C3358">
        <v>202511</v>
      </c>
      <c r="D3358" t="str">
        <f t="shared" si="52"/>
        <v>2025</v>
      </c>
      <c r="E3358">
        <v>3746</v>
      </c>
      <c r="F3358">
        <v>96413</v>
      </c>
      <c r="G3358">
        <v>3.89</v>
      </c>
      <c r="H3358" t="s">
        <v>10</v>
      </c>
      <c r="I3358" t="s">
        <v>11</v>
      </c>
    </row>
    <row r="3359" spans="1:9" x14ac:dyDescent="0.25">
      <c r="A3359" t="s">
        <v>24</v>
      </c>
      <c r="B3359" t="s">
        <v>158</v>
      </c>
      <c r="C3359">
        <v>202512</v>
      </c>
      <c r="D3359" t="str">
        <f t="shared" si="52"/>
        <v>2025</v>
      </c>
      <c r="E3359">
        <v>4290</v>
      </c>
      <c r="F3359">
        <v>96413</v>
      </c>
      <c r="G3359">
        <v>4.45</v>
      </c>
      <c r="H3359" t="s">
        <v>10</v>
      </c>
      <c r="I3359" t="s">
        <v>11</v>
      </c>
    </row>
    <row r="3360" spans="1:9" x14ac:dyDescent="0.25">
      <c r="A3360" t="s">
        <v>24</v>
      </c>
      <c r="B3360" t="s">
        <v>158</v>
      </c>
      <c r="C3360">
        <v>202601</v>
      </c>
      <c r="D3360" t="str">
        <f t="shared" si="52"/>
        <v>2026</v>
      </c>
      <c r="E3360">
        <v>5191</v>
      </c>
      <c r="F3360">
        <v>96413</v>
      </c>
      <c r="G3360">
        <v>5.38</v>
      </c>
      <c r="H3360" t="s">
        <v>10</v>
      </c>
      <c r="I3360" t="s">
        <v>11</v>
      </c>
    </row>
    <row r="3361" spans="1:9" x14ac:dyDescent="0.25">
      <c r="A3361" t="s">
        <v>24</v>
      </c>
      <c r="B3361" t="s">
        <v>158</v>
      </c>
      <c r="C3361">
        <v>202602</v>
      </c>
      <c r="D3361" t="str">
        <f t="shared" si="52"/>
        <v>2026</v>
      </c>
      <c r="E3361">
        <v>5039</v>
      </c>
      <c r="F3361">
        <v>96413</v>
      </c>
      <c r="G3361">
        <v>5.23</v>
      </c>
      <c r="H3361" t="s">
        <v>10</v>
      </c>
      <c r="I3361" t="s">
        <v>11</v>
      </c>
    </row>
    <row r="3362" spans="1:9" x14ac:dyDescent="0.25">
      <c r="A3362" t="s">
        <v>24</v>
      </c>
      <c r="B3362" t="s">
        <v>158</v>
      </c>
      <c r="C3362">
        <v>202603</v>
      </c>
      <c r="D3362" t="str">
        <f t="shared" si="52"/>
        <v>2026</v>
      </c>
      <c r="E3362">
        <v>5034</v>
      </c>
      <c r="F3362">
        <v>96413</v>
      </c>
      <c r="G3362">
        <v>5.22</v>
      </c>
      <c r="H3362" t="s">
        <v>10</v>
      </c>
      <c r="I3362" t="s">
        <v>11</v>
      </c>
    </row>
    <row r="3363" spans="1:9" x14ac:dyDescent="0.25">
      <c r="A3363" t="s">
        <v>24</v>
      </c>
      <c r="B3363" t="s">
        <v>158</v>
      </c>
      <c r="C3363">
        <v>202604</v>
      </c>
      <c r="D3363" t="str">
        <f t="shared" si="52"/>
        <v>2026</v>
      </c>
      <c r="E3363">
        <v>243</v>
      </c>
      <c r="F3363">
        <v>96413</v>
      </c>
      <c r="G3363">
        <v>0.25</v>
      </c>
      <c r="H3363" t="s">
        <v>10</v>
      </c>
      <c r="I3363" t="s">
        <v>11</v>
      </c>
    </row>
    <row r="3364" spans="1:9" hidden="1" x14ac:dyDescent="0.25">
      <c r="A3364" t="s">
        <v>17</v>
      </c>
      <c r="B3364" t="s">
        <v>18</v>
      </c>
      <c r="C3364">
        <v>202007</v>
      </c>
      <c r="D3364" t="str">
        <f t="shared" si="52"/>
        <v>2020</v>
      </c>
      <c r="E3364">
        <v>1</v>
      </c>
      <c r="F3364">
        <v>147431</v>
      </c>
      <c r="G3364">
        <v>0</v>
      </c>
      <c r="H3364" t="s">
        <v>10</v>
      </c>
      <c r="I3364" t="s">
        <v>11</v>
      </c>
    </row>
    <row r="3365" spans="1:9" hidden="1" x14ac:dyDescent="0.25">
      <c r="A3365" t="s">
        <v>17</v>
      </c>
      <c r="B3365" t="s">
        <v>18</v>
      </c>
      <c r="C3365">
        <v>202008</v>
      </c>
      <c r="D3365" t="str">
        <f t="shared" si="52"/>
        <v>2020</v>
      </c>
      <c r="E3365">
        <v>11</v>
      </c>
      <c r="F3365">
        <v>147431</v>
      </c>
      <c r="G3365">
        <v>0.01</v>
      </c>
      <c r="H3365" t="s">
        <v>10</v>
      </c>
      <c r="I3365" t="s">
        <v>11</v>
      </c>
    </row>
    <row r="3366" spans="1:9" hidden="1" x14ac:dyDescent="0.25">
      <c r="A3366" t="s">
        <v>17</v>
      </c>
      <c r="B3366" t="s">
        <v>18</v>
      </c>
      <c r="C3366">
        <v>202010</v>
      </c>
      <c r="D3366" t="str">
        <f t="shared" si="52"/>
        <v>2020</v>
      </c>
      <c r="E3366">
        <v>5</v>
      </c>
      <c r="F3366">
        <v>147431</v>
      </c>
      <c r="G3366">
        <v>0</v>
      </c>
      <c r="H3366" t="s">
        <v>10</v>
      </c>
      <c r="I3366" t="s">
        <v>11</v>
      </c>
    </row>
    <row r="3367" spans="1:9" hidden="1" x14ac:dyDescent="0.25">
      <c r="A3367" t="s">
        <v>17</v>
      </c>
      <c r="B3367" t="s">
        <v>18</v>
      </c>
      <c r="C3367">
        <v>202107</v>
      </c>
      <c r="D3367" t="str">
        <f t="shared" si="52"/>
        <v>2021</v>
      </c>
      <c r="E3367">
        <v>10</v>
      </c>
      <c r="F3367">
        <v>147431</v>
      </c>
      <c r="G3367">
        <v>0.01</v>
      </c>
      <c r="H3367" t="s">
        <v>10</v>
      </c>
      <c r="I3367" t="s">
        <v>11</v>
      </c>
    </row>
    <row r="3368" spans="1:9" hidden="1" x14ac:dyDescent="0.25">
      <c r="A3368" t="s">
        <v>17</v>
      </c>
      <c r="B3368" t="s">
        <v>18</v>
      </c>
      <c r="C3368">
        <v>202108</v>
      </c>
      <c r="D3368" t="str">
        <f t="shared" si="52"/>
        <v>2021</v>
      </c>
      <c r="E3368">
        <v>2</v>
      </c>
      <c r="F3368">
        <v>147431</v>
      </c>
      <c r="G3368">
        <v>0</v>
      </c>
      <c r="H3368" t="s">
        <v>10</v>
      </c>
      <c r="I3368" t="s">
        <v>11</v>
      </c>
    </row>
    <row r="3369" spans="1:9" hidden="1" x14ac:dyDescent="0.25">
      <c r="A3369" t="s">
        <v>17</v>
      </c>
      <c r="B3369" t="s">
        <v>18</v>
      </c>
      <c r="C3369">
        <v>202109</v>
      </c>
      <c r="D3369" t="str">
        <f t="shared" si="52"/>
        <v>2021</v>
      </c>
      <c r="E3369">
        <v>7</v>
      </c>
      <c r="F3369">
        <v>147431</v>
      </c>
      <c r="G3369">
        <v>0</v>
      </c>
      <c r="H3369" t="s">
        <v>10</v>
      </c>
      <c r="I3369" t="s">
        <v>11</v>
      </c>
    </row>
    <row r="3370" spans="1:9" hidden="1" x14ac:dyDescent="0.25">
      <c r="A3370" t="s">
        <v>17</v>
      </c>
      <c r="B3370" t="s">
        <v>18</v>
      </c>
      <c r="C3370">
        <v>202110</v>
      </c>
      <c r="D3370" t="str">
        <f t="shared" si="52"/>
        <v>2021</v>
      </c>
      <c r="E3370">
        <v>1</v>
      </c>
      <c r="F3370">
        <v>147431</v>
      </c>
      <c r="G3370">
        <v>0</v>
      </c>
      <c r="H3370" t="s">
        <v>10</v>
      </c>
      <c r="I3370" t="s">
        <v>11</v>
      </c>
    </row>
    <row r="3371" spans="1:9" hidden="1" x14ac:dyDescent="0.25">
      <c r="A3371" t="s">
        <v>17</v>
      </c>
      <c r="B3371" t="s">
        <v>18</v>
      </c>
      <c r="C3371">
        <v>202111</v>
      </c>
      <c r="D3371" t="str">
        <f t="shared" si="52"/>
        <v>2021</v>
      </c>
      <c r="E3371">
        <v>13</v>
      </c>
      <c r="F3371">
        <v>147431</v>
      </c>
      <c r="G3371">
        <v>0.01</v>
      </c>
      <c r="H3371" t="s">
        <v>10</v>
      </c>
      <c r="I3371" t="s">
        <v>11</v>
      </c>
    </row>
    <row r="3372" spans="1:9" hidden="1" x14ac:dyDescent="0.25">
      <c r="A3372" t="s">
        <v>17</v>
      </c>
      <c r="B3372" t="s">
        <v>18</v>
      </c>
      <c r="C3372">
        <v>202112</v>
      </c>
      <c r="D3372" t="str">
        <f t="shared" si="52"/>
        <v>2021</v>
      </c>
      <c r="E3372">
        <v>16</v>
      </c>
      <c r="F3372">
        <v>147431</v>
      </c>
      <c r="G3372">
        <v>0.01</v>
      </c>
      <c r="H3372" t="s">
        <v>10</v>
      </c>
      <c r="I3372" t="s">
        <v>11</v>
      </c>
    </row>
    <row r="3373" spans="1:9" hidden="1" x14ac:dyDescent="0.25">
      <c r="A3373" t="s">
        <v>17</v>
      </c>
      <c r="B3373" t="s">
        <v>18</v>
      </c>
      <c r="C3373">
        <v>202201</v>
      </c>
      <c r="D3373" t="str">
        <f t="shared" si="52"/>
        <v>2022</v>
      </c>
      <c r="E3373">
        <v>94</v>
      </c>
      <c r="F3373">
        <v>147431</v>
      </c>
      <c r="G3373">
        <v>0.06</v>
      </c>
      <c r="H3373" t="s">
        <v>10</v>
      </c>
      <c r="I3373" t="s">
        <v>11</v>
      </c>
    </row>
    <row r="3374" spans="1:9" hidden="1" x14ac:dyDescent="0.25">
      <c r="A3374" t="s">
        <v>17</v>
      </c>
      <c r="B3374" t="s">
        <v>18</v>
      </c>
      <c r="C3374">
        <v>202202</v>
      </c>
      <c r="D3374" t="str">
        <f t="shared" si="52"/>
        <v>2022</v>
      </c>
      <c r="E3374">
        <v>119</v>
      </c>
      <c r="F3374">
        <v>147431</v>
      </c>
      <c r="G3374">
        <v>0.08</v>
      </c>
      <c r="H3374" t="s">
        <v>10</v>
      </c>
      <c r="I3374" t="s">
        <v>11</v>
      </c>
    </row>
    <row r="3375" spans="1:9" hidden="1" x14ac:dyDescent="0.25">
      <c r="A3375" t="s">
        <v>17</v>
      </c>
      <c r="B3375" t="s">
        <v>18</v>
      </c>
      <c r="C3375">
        <v>202203</v>
      </c>
      <c r="D3375" t="str">
        <f t="shared" si="52"/>
        <v>2022</v>
      </c>
      <c r="E3375">
        <v>106</v>
      </c>
      <c r="F3375">
        <v>147431</v>
      </c>
      <c r="G3375">
        <v>7.0000000000000007E-2</v>
      </c>
      <c r="H3375" t="s">
        <v>10</v>
      </c>
      <c r="I3375" t="s">
        <v>11</v>
      </c>
    </row>
    <row r="3376" spans="1:9" hidden="1" x14ac:dyDescent="0.25">
      <c r="A3376" t="s">
        <v>17</v>
      </c>
      <c r="B3376" t="s">
        <v>18</v>
      </c>
      <c r="C3376">
        <v>202204</v>
      </c>
      <c r="D3376" t="str">
        <f t="shared" si="52"/>
        <v>2022</v>
      </c>
      <c r="E3376">
        <v>203</v>
      </c>
      <c r="F3376">
        <v>147431</v>
      </c>
      <c r="G3376">
        <v>0.14000000000000001</v>
      </c>
      <c r="H3376" t="s">
        <v>10</v>
      </c>
      <c r="I3376" t="s">
        <v>11</v>
      </c>
    </row>
    <row r="3377" spans="1:9" hidden="1" x14ac:dyDescent="0.25">
      <c r="A3377" t="s">
        <v>17</v>
      </c>
      <c r="B3377" t="s">
        <v>18</v>
      </c>
      <c r="C3377">
        <v>202205</v>
      </c>
      <c r="D3377" t="str">
        <f t="shared" si="52"/>
        <v>2022</v>
      </c>
      <c r="E3377">
        <v>35</v>
      </c>
      <c r="F3377">
        <v>147431</v>
      </c>
      <c r="G3377">
        <v>0.02</v>
      </c>
      <c r="H3377" t="s">
        <v>10</v>
      </c>
      <c r="I3377" t="s">
        <v>11</v>
      </c>
    </row>
    <row r="3378" spans="1:9" hidden="1" x14ac:dyDescent="0.25">
      <c r="A3378" t="s">
        <v>17</v>
      </c>
      <c r="B3378" t="s">
        <v>18</v>
      </c>
      <c r="C3378">
        <v>202206</v>
      </c>
      <c r="D3378" t="str">
        <f t="shared" si="52"/>
        <v>2022</v>
      </c>
      <c r="E3378">
        <v>163</v>
      </c>
      <c r="F3378">
        <v>147431</v>
      </c>
      <c r="G3378">
        <v>0.11</v>
      </c>
      <c r="H3378" t="s">
        <v>10</v>
      </c>
      <c r="I3378" t="s">
        <v>11</v>
      </c>
    </row>
    <row r="3379" spans="1:9" hidden="1" x14ac:dyDescent="0.25">
      <c r="A3379" t="s">
        <v>17</v>
      </c>
      <c r="B3379" t="s">
        <v>18</v>
      </c>
      <c r="C3379">
        <v>202207</v>
      </c>
      <c r="D3379" t="str">
        <f t="shared" si="52"/>
        <v>2022</v>
      </c>
      <c r="E3379">
        <v>90</v>
      </c>
      <c r="F3379">
        <v>147431</v>
      </c>
      <c r="G3379">
        <v>0.06</v>
      </c>
      <c r="H3379" t="s">
        <v>10</v>
      </c>
      <c r="I3379" t="s">
        <v>11</v>
      </c>
    </row>
    <row r="3380" spans="1:9" hidden="1" x14ac:dyDescent="0.25">
      <c r="A3380" t="s">
        <v>17</v>
      </c>
      <c r="B3380" t="s">
        <v>18</v>
      </c>
      <c r="C3380">
        <v>202208</v>
      </c>
      <c r="D3380" t="str">
        <f t="shared" si="52"/>
        <v>2022</v>
      </c>
      <c r="E3380">
        <v>146</v>
      </c>
      <c r="F3380">
        <v>147431</v>
      </c>
      <c r="G3380">
        <v>0.1</v>
      </c>
      <c r="H3380" t="s">
        <v>10</v>
      </c>
      <c r="I3380" t="s">
        <v>11</v>
      </c>
    </row>
    <row r="3381" spans="1:9" hidden="1" x14ac:dyDescent="0.25">
      <c r="A3381" t="s">
        <v>17</v>
      </c>
      <c r="B3381" t="s">
        <v>18</v>
      </c>
      <c r="C3381">
        <v>202209</v>
      </c>
      <c r="D3381" t="str">
        <f t="shared" si="52"/>
        <v>2022</v>
      </c>
      <c r="E3381">
        <v>167</v>
      </c>
      <c r="F3381">
        <v>147431</v>
      </c>
      <c r="G3381">
        <v>0.11</v>
      </c>
      <c r="H3381" t="s">
        <v>10</v>
      </c>
      <c r="I3381" t="s">
        <v>11</v>
      </c>
    </row>
    <row r="3382" spans="1:9" hidden="1" x14ac:dyDescent="0.25">
      <c r="A3382" t="s">
        <v>17</v>
      </c>
      <c r="B3382" t="s">
        <v>18</v>
      </c>
      <c r="C3382">
        <v>202210</v>
      </c>
      <c r="D3382" t="str">
        <f t="shared" si="52"/>
        <v>2022</v>
      </c>
      <c r="E3382">
        <v>251</v>
      </c>
      <c r="F3382">
        <v>147431</v>
      </c>
      <c r="G3382">
        <v>0.17</v>
      </c>
      <c r="H3382" t="s">
        <v>10</v>
      </c>
      <c r="I3382" t="s">
        <v>11</v>
      </c>
    </row>
    <row r="3383" spans="1:9" hidden="1" x14ac:dyDescent="0.25">
      <c r="A3383" t="s">
        <v>17</v>
      </c>
      <c r="B3383" t="s">
        <v>18</v>
      </c>
      <c r="C3383">
        <v>202211</v>
      </c>
      <c r="D3383" t="str">
        <f t="shared" si="52"/>
        <v>2022</v>
      </c>
      <c r="E3383">
        <v>317</v>
      </c>
      <c r="F3383">
        <v>147431</v>
      </c>
      <c r="G3383">
        <v>0.22</v>
      </c>
      <c r="H3383" t="s">
        <v>10</v>
      </c>
      <c r="I3383" t="s">
        <v>11</v>
      </c>
    </row>
    <row r="3384" spans="1:9" hidden="1" x14ac:dyDescent="0.25">
      <c r="A3384" t="s">
        <v>17</v>
      </c>
      <c r="B3384" t="s">
        <v>18</v>
      </c>
      <c r="C3384">
        <v>202212</v>
      </c>
      <c r="D3384" t="str">
        <f t="shared" si="52"/>
        <v>2022</v>
      </c>
      <c r="E3384">
        <v>308</v>
      </c>
      <c r="F3384">
        <v>147431</v>
      </c>
      <c r="G3384">
        <v>0.21</v>
      </c>
      <c r="H3384" t="s">
        <v>10</v>
      </c>
      <c r="I3384" t="s">
        <v>11</v>
      </c>
    </row>
    <row r="3385" spans="1:9" hidden="1" x14ac:dyDescent="0.25">
      <c r="A3385" t="s">
        <v>17</v>
      </c>
      <c r="B3385" t="s">
        <v>18</v>
      </c>
      <c r="C3385">
        <v>202301</v>
      </c>
      <c r="D3385" t="str">
        <f t="shared" si="52"/>
        <v>2023</v>
      </c>
      <c r="E3385">
        <v>550</v>
      </c>
      <c r="F3385">
        <v>147431</v>
      </c>
      <c r="G3385">
        <v>0.37</v>
      </c>
      <c r="H3385" t="s">
        <v>10</v>
      </c>
      <c r="I3385" t="s">
        <v>11</v>
      </c>
    </row>
    <row r="3386" spans="1:9" hidden="1" x14ac:dyDescent="0.25">
      <c r="A3386" t="s">
        <v>17</v>
      </c>
      <c r="B3386" t="s">
        <v>18</v>
      </c>
      <c r="C3386">
        <v>202302</v>
      </c>
      <c r="D3386" t="str">
        <f t="shared" si="52"/>
        <v>2023</v>
      </c>
      <c r="E3386">
        <v>650</v>
      </c>
      <c r="F3386">
        <v>147431</v>
      </c>
      <c r="G3386">
        <v>0.44</v>
      </c>
      <c r="H3386" t="s">
        <v>10</v>
      </c>
      <c r="I3386" t="s">
        <v>11</v>
      </c>
    </row>
    <row r="3387" spans="1:9" hidden="1" x14ac:dyDescent="0.25">
      <c r="A3387" t="s">
        <v>17</v>
      </c>
      <c r="B3387" t="s">
        <v>18</v>
      </c>
      <c r="C3387">
        <v>202303</v>
      </c>
      <c r="D3387" t="str">
        <f t="shared" si="52"/>
        <v>2023</v>
      </c>
      <c r="E3387">
        <v>927</v>
      </c>
      <c r="F3387">
        <v>147431</v>
      </c>
      <c r="G3387">
        <v>0.63</v>
      </c>
      <c r="H3387" t="s">
        <v>10</v>
      </c>
      <c r="I3387" t="s">
        <v>11</v>
      </c>
    </row>
    <row r="3388" spans="1:9" hidden="1" x14ac:dyDescent="0.25">
      <c r="A3388" t="s">
        <v>17</v>
      </c>
      <c r="B3388" t="s">
        <v>18</v>
      </c>
      <c r="C3388">
        <v>202304</v>
      </c>
      <c r="D3388" t="str">
        <f t="shared" si="52"/>
        <v>2023</v>
      </c>
      <c r="E3388">
        <v>794</v>
      </c>
      <c r="F3388">
        <v>147431</v>
      </c>
      <c r="G3388">
        <v>0.54</v>
      </c>
      <c r="H3388" t="s">
        <v>10</v>
      </c>
      <c r="I3388" t="s">
        <v>11</v>
      </c>
    </row>
    <row r="3389" spans="1:9" hidden="1" x14ac:dyDescent="0.25">
      <c r="A3389" t="s">
        <v>17</v>
      </c>
      <c r="B3389" t="s">
        <v>18</v>
      </c>
      <c r="C3389">
        <v>202305</v>
      </c>
      <c r="D3389" t="str">
        <f t="shared" si="52"/>
        <v>2023</v>
      </c>
      <c r="E3389">
        <v>881</v>
      </c>
      <c r="F3389">
        <v>147431</v>
      </c>
      <c r="G3389">
        <v>0.6</v>
      </c>
      <c r="H3389" t="s">
        <v>10</v>
      </c>
      <c r="I3389" t="s">
        <v>11</v>
      </c>
    </row>
    <row r="3390" spans="1:9" hidden="1" x14ac:dyDescent="0.25">
      <c r="A3390" t="s">
        <v>17</v>
      </c>
      <c r="B3390" t="s">
        <v>18</v>
      </c>
      <c r="C3390">
        <v>202306</v>
      </c>
      <c r="D3390" t="str">
        <f t="shared" si="52"/>
        <v>2023</v>
      </c>
      <c r="E3390">
        <v>1686</v>
      </c>
      <c r="F3390">
        <v>147431</v>
      </c>
      <c r="G3390">
        <v>1.1399999999999999</v>
      </c>
      <c r="H3390" t="s">
        <v>10</v>
      </c>
      <c r="I3390" t="s">
        <v>11</v>
      </c>
    </row>
    <row r="3391" spans="1:9" hidden="1" x14ac:dyDescent="0.25">
      <c r="A3391" t="s">
        <v>17</v>
      </c>
      <c r="B3391" t="s">
        <v>18</v>
      </c>
      <c r="C3391">
        <v>202307</v>
      </c>
      <c r="D3391" t="str">
        <f t="shared" si="52"/>
        <v>2023</v>
      </c>
      <c r="E3391">
        <v>2659</v>
      </c>
      <c r="F3391">
        <v>147431</v>
      </c>
      <c r="G3391">
        <v>1.8</v>
      </c>
      <c r="H3391" t="s">
        <v>10</v>
      </c>
      <c r="I3391" t="s">
        <v>11</v>
      </c>
    </row>
    <row r="3392" spans="1:9" hidden="1" x14ac:dyDescent="0.25">
      <c r="A3392" t="s">
        <v>17</v>
      </c>
      <c r="B3392" t="s">
        <v>18</v>
      </c>
      <c r="C3392">
        <v>202308</v>
      </c>
      <c r="D3392" t="str">
        <f t="shared" si="52"/>
        <v>2023</v>
      </c>
      <c r="E3392">
        <v>4683</v>
      </c>
      <c r="F3392">
        <v>147431</v>
      </c>
      <c r="G3392">
        <v>3.18</v>
      </c>
      <c r="H3392" t="s">
        <v>10</v>
      </c>
      <c r="I3392" t="s">
        <v>11</v>
      </c>
    </row>
    <row r="3393" spans="1:9" hidden="1" x14ac:dyDescent="0.25">
      <c r="A3393" t="s">
        <v>17</v>
      </c>
      <c r="B3393" t="s">
        <v>18</v>
      </c>
      <c r="C3393">
        <v>202309</v>
      </c>
      <c r="D3393" t="str">
        <f t="shared" si="52"/>
        <v>2023</v>
      </c>
      <c r="E3393">
        <v>8028</v>
      </c>
      <c r="F3393">
        <v>147431</v>
      </c>
      <c r="G3393">
        <v>5.45</v>
      </c>
      <c r="H3393" t="s">
        <v>10</v>
      </c>
      <c r="I3393" t="s">
        <v>11</v>
      </c>
    </row>
    <row r="3394" spans="1:9" hidden="1" x14ac:dyDescent="0.25">
      <c r="A3394" t="s">
        <v>17</v>
      </c>
      <c r="B3394" t="s">
        <v>18</v>
      </c>
      <c r="C3394">
        <v>202310</v>
      </c>
      <c r="D3394" t="str">
        <f t="shared" si="52"/>
        <v>2023</v>
      </c>
      <c r="E3394">
        <v>73159</v>
      </c>
      <c r="F3394">
        <v>147431</v>
      </c>
      <c r="G3394">
        <v>49.62</v>
      </c>
      <c r="H3394" t="s">
        <v>10</v>
      </c>
      <c r="I3394" t="s">
        <v>11</v>
      </c>
    </row>
    <row r="3395" spans="1:9" hidden="1" x14ac:dyDescent="0.25">
      <c r="A3395" t="s">
        <v>17</v>
      </c>
      <c r="B3395" t="s">
        <v>18</v>
      </c>
      <c r="C3395">
        <v>202311</v>
      </c>
      <c r="D3395" t="str">
        <f t="shared" ref="D3395:D3458" si="53">LEFT(C3395,4)</f>
        <v>2023</v>
      </c>
      <c r="E3395">
        <v>51349</v>
      </c>
      <c r="F3395">
        <v>147431</v>
      </c>
      <c r="G3395">
        <v>34.83</v>
      </c>
      <c r="H3395" t="s">
        <v>10</v>
      </c>
      <c r="I3395" t="s">
        <v>11</v>
      </c>
    </row>
    <row r="3396" spans="1:9" hidden="1" x14ac:dyDescent="0.25">
      <c r="A3396" t="s">
        <v>17</v>
      </c>
      <c r="B3396" t="s">
        <v>61</v>
      </c>
      <c r="C3396">
        <v>202006</v>
      </c>
      <c r="D3396" t="str">
        <f t="shared" si="53"/>
        <v>2020</v>
      </c>
      <c r="E3396">
        <v>5</v>
      </c>
      <c r="F3396">
        <v>195203</v>
      </c>
      <c r="G3396">
        <v>0</v>
      </c>
      <c r="H3396" t="s">
        <v>10</v>
      </c>
      <c r="I3396" t="s">
        <v>11</v>
      </c>
    </row>
    <row r="3397" spans="1:9" hidden="1" x14ac:dyDescent="0.25">
      <c r="A3397" t="s">
        <v>17</v>
      </c>
      <c r="B3397" t="s">
        <v>61</v>
      </c>
      <c r="C3397">
        <v>202008</v>
      </c>
      <c r="D3397" t="str">
        <f t="shared" si="53"/>
        <v>2020</v>
      </c>
      <c r="E3397">
        <v>9</v>
      </c>
      <c r="F3397">
        <v>195203</v>
      </c>
      <c r="G3397">
        <v>0</v>
      </c>
      <c r="H3397" t="s">
        <v>10</v>
      </c>
      <c r="I3397" t="s">
        <v>11</v>
      </c>
    </row>
    <row r="3398" spans="1:9" hidden="1" x14ac:dyDescent="0.25">
      <c r="A3398" t="s">
        <v>17</v>
      </c>
      <c r="B3398" t="s">
        <v>61</v>
      </c>
      <c r="C3398">
        <v>202104</v>
      </c>
      <c r="D3398" t="str">
        <f t="shared" si="53"/>
        <v>2021</v>
      </c>
      <c r="E3398">
        <v>12</v>
      </c>
      <c r="F3398">
        <v>195203</v>
      </c>
      <c r="G3398">
        <v>0.01</v>
      </c>
      <c r="H3398" t="s">
        <v>10</v>
      </c>
      <c r="I3398" t="s">
        <v>11</v>
      </c>
    </row>
    <row r="3399" spans="1:9" hidden="1" x14ac:dyDescent="0.25">
      <c r="A3399" t="s">
        <v>17</v>
      </c>
      <c r="B3399" t="s">
        <v>61</v>
      </c>
      <c r="C3399">
        <v>202105</v>
      </c>
      <c r="D3399" t="str">
        <f t="shared" si="53"/>
        <v>2021</v>
      </c>
      <c r="E3399">
        <v>20</v>
      </c>
      <c r="F3399">
        <v>195203</v>
      </c>
      <c r="G3399">
        <v>0.01</v>
      </c>
      <c r="H3399" t="s">
        <v>10</v>
      </c>
      <c r="I3399" t="s">
        <v>11</v>
      </c>
    </row>
    <row r="3400" spans="1:9" hidden="1" x14ac:dyDescent="0.25">
      <c r="A3400" t="s">
        <v>17</v>
      </c>
      <c r="B3400" t="s">
        <v>61</v>
      </c>
      <c r="C3400">
        <v>202106</v>
      </c>
      <c r="D3400" t="str">
        <f t="shared" si="53"/>
        <v>2021</v>
      </c>
      <c r="E3400">
        <v>37</v>
      </c>
      <c r="F3400">
        <v>195203</v>
      </c>
      <c r="G3400">
        <v>0.02</v>
      </c>
      <c r="H3400" t="s">
        <v>10</v>
      </c>
      <c r="I3400" t="s">
        <v>11</v>
      </c>
    </row>
    <row r="3401" spans="1:9" hidden="1" x14ac:dyDescent="0.25">
      <c r="A3401" t="s">
        <v>17</v>
      </c>
      <c r="B3401" t="s">
        <v>61</v>
      </c>
      <c r="C3401">
        <v>202107</v>
      </c>
      <c r="D3401" t="str">
        <f t="shared" si="53"/>
        <v>2021</v>
      </c>
      <c r="E3401">
        <v>3</v>
      </c>
      <c r="F3401">
        <v>195203</v>
      </c>
      <c r="G3401">
        <v>0</v>
      </c>
      <c r="H3401" t="s">
        <v>10</v>
      </c>
      <c r="I3401" t="s">
        <v>11</v>
      </c>
    </row>
    <row r="3402" spans="1:9" hidden="1" x14ac:dyDescent="0.25">
      <c r="A3402" t="s">
        <v>17</v>
      </c>
      <c r="B3402" t="s">
        <v>61</v>
      </c>
      <c r="C3402">
        <v>202108</v>
      </c>
      <c r="D3402" t="str">
        <f t="shared" si="53"/>
        <v>2021</v>
      </c>
      <c r="E3402">
        <v>27</v>
      </c>
      <c r="F3402">
        <v>195203</v>
      </c>
      <c r="G3402">
        <v>0.01</v>
      </c>
      <c r="H3402" t="s">
        <v>10</v>
      </c>
      <c r="I3402" t="s">
        <v>11</v>
      </c>
    </row>
    <row r="3403" spans="1:9" hidden="1" x14ac:dyDescent="0.25">
      <c r="A3403" t="s">
        <v>17</v>
      </c>
      <c r="B3403" t="s">
        <v>61</v>
      </c>
      <c r="C3403">
        <v>202109</v>
      </c>
      <c r="D3403" t="str">
        <f t="shared" si="53"/>
        <v>2021</v>
      </c>
      <c r="E3403">
        <v>22</v>
      </c>
      <c r="F3403">
        <v>195203</v>
      </c>
      <c r="G3403">
        <v>0.01</v>
      </c>
      <c r="H3403" t="s">
        <v>10</v>
      </c>
      <c r="I3403" t="s">
        <v>11</v>
      </c>
    </row>
    <row r="3404" spans="1:9" hidden="1" x14ac:dyDescent="0.25">
      <c r="A3404" t="s">
        <v>17</v>
      </c>
      <c r="B3404" t="s">
        <v>61</v>
      </c>
      <c r="C3404">
        <v>202110</v>
      </c>
      <c r="D3404" t="str">
        <f t="shared" si="53"/>
        <v>2021</v>
      </c>
      <c r="E3404">
        <v>22</v>
      </c>
      <c r="F3404">
        <v>195203</v>
      </c>
      <c r="G3404">
        <v>0.01</v>
      </c>
      <c r="H3404" t="s">
        <v>10</v>
      </c>
      <c r="I3404" t="s">
        <v>11</v>
      </c>
    </row>
    <row r="3405" spans="1:9" hidden="1" x14ac:dyDescent="0.25">
      <c r="A3405" t="s">
        <v>17</v>
      </c>
      <c r="B3405" t="s">
        <v>61</v>
      </c>
      <c r="C3405">
        <v>202111</v>
      </c>
      <c r="D3405" t="str">
        <f t="shared" si="53"/>
        <v>2021</v>
      </c>
      <c r="E3405">
        <v>35</v>
      </c>
      <c r="F3405">
        <v>195203</v>
      </c>
      <c r="G3405">
        <v>0.02</v>
      </c>
      <c r="H3405" t="s">
        <v>10</v>
      </c>
      <c r="I3405" t="s">
        <v>11</v>
      </c>
    </row>
    <row r="3406" spans="1:9" hidden="1" x14ac:dyDescent="0.25">
      <c r="A3406" t="s">
        <v>17</v>
      </c>
      <c r="B3406" t="s">
        <v>61</v>
      </c>
      <c r="C3406">
        <v>202112</v>
      </c>
      <c r="D3406" t="str">
        <f t="shared" si="53"/>
        <v>2021</v>
      </c>
      <c r="E3406">
        <v>117</v>
      </c>
      <c r="F3406">
        <v>195203</v>
      </c>
      <c r="G3406">
        <v>0.06</v>
      </c>
      <c r="H3406" t="s">
        <v>10</v>
      </c>
      <c r="I3406" t="s">
        <v>11</v>
      </c>
    </row>
    <row r="3407" spans="1:9" hidden="1" x14ac:dyDescent="0.25">
      <c r="A3407" t="s">
        <v>17</v>
      </c>
      <c r="B3407" t="s">
        <v>61</v>
      </c>
      <c r="C3407">
        <v>202201</v>
      </c>
      <c r="D3407" t="str">
        <f t="shared" si="53"/>
        <v>2022</v>
      </c>
      <c r="E3407">
        <v>173</v>
      </c>
      <c r="F3407">
        <v>195203</v>
      </c>
      <c r="G3407">
        <v>0.09</v>
      </c>
      <c r="H3407" t="s">
        <v>10</v>
      </c>
      <c r="I3407" t="s">
        <v>11</v>
      </c>
    </row>
    <row r="3408" spans="1:9" hidden="1" x14ac:dyDescent="0.25">
      <c r="A3408" t="s">
        <v>17</v>
      </c>
      <c r="B3408" t="s">
        <v>61</v>
      </c>
      <c r="C3408">
        <v>202202</v>
      </c>
      <c r="D3408" t="str">
        <f t="shared" si="53"/>
        <v>2022</v>
      </c>
      <c r="E3408">
        <v>143</v>
      </c>
      <c r="F3408">
        <v>195203</v>
      </c>
      <c r="G3408">
        <v>7.0000000000000007E-2</v>
      </c>
      <c r="H3408" t="s">
        <v>10</v>
      </c>
      <c r="I3408" t="s">
        <v>11</v>
      </c>
    </row>
    <row r="3409" spans="1:9" hidden="1" x14ac:dyDescent="0.25">
      <c r="A3409" t="s">
        <v>17</v>
      </c>
      <c r="B3409" t="s">
        <v>61</v>
      </c>
      <c r="C3409">
        <v>202203</v>
      </c>
      <c r="D3409" t="str">
        <f t="shared" si="53"/>
        <v>2022</v>
      </c>
      <c r="E3409">
        <v>114</v>
      </c>
      <c r="F3409">
        <v>195203</v>
      </c>
      <c r="G3409">
        <v>0.06</v>
      </c>
      <c r="H3409" t="s">
        <v>10</v>
      </c>
      <c r="I3409" t="s">
        <v>11</v>
      </c>
    </row>
    <row r="3410" spans="1:9" hidden="1" x14ac:dyDescent="0.25">
      <c r="A3410" t="s">
        <v>17</v>
      </c>
      <c r="B3410" t="s">
        <v>61</v>
      </c>
      <c r="C3410">
        <v>202204</v>
      </c>
      <c r="D3410" t="str">
        <f t="shared" si="53"/>
        <v>2022</v>
      </c>
      <c r="E3410">
        <v>163</v>
      </c>
      <c r="F3410">
        <v>195203</v>
      </c>
      <c r="G3410">
        <v>0.08</v>
      </c>
      <c r="H3410" t="s">
        <v>10</v>
      </c>
      <c r="I3410" t="s">
        <v>11</v>
      </c>
    </row>
    <row r="3411" spans="1:9" hidden="1" x14ac:dyDescent="0.25">
      <c r="A3411" t="s">
        <v>17</v>
      </c>
      <c r="B3411" t="s">
        <v>61</v>
      </c>
      <c r="C3411">
        <v>202205</v>
      </c>
      <c r="D3411" t="str">
        <f t="shared" si="53"/>
        <v>2022</v>
      </c>
      <c r="E3411">
        <v>221</v>
      </c>
      <c r="F3411">
        <v>195203</v>
      </c>
      <c r="G3411">
        <v>0.11</v>
      </c>
      <c r="H3411" t="s">
        <v>10</v>
      </c>
      <c r="I3411" t="s">
        <v>11</v>
      </c>
    </row>
    <row r="3412" spans="1:9" hidden="1" x14ac:dyDescent="0.25">
      <c r="A3412" t="s">
        <v>17</v>
      </c>
      <c r="B3412" t="s">
        <v>61</v>
      </c>
      <c r="C3412">
        <v>202206</v>
      </c>
      <c r="D3412" t="str">
        <f t="shared" si="53"/>
        <v>2022</v>
      </c>
      <c r="E3412">
        <v>149</v>
      </c>
      <c r="F3412">
        <v>195203</v>
      </c>
      <c r="G3412">
        <v>0.08</v>
      </c>
      <c r="H3412" t="s">
        <v>10</v>
      </c>
      <c r="I3412" t="s">
        <v>11</v>
      </c>
    </row>
    <row r="3413" spans="1:9" hidden="1" x14ac:dyDescent="0.25">
      <c r="A3413" t="s">
        <v>17</v>
      </c>
      <c r="B3413" t="s">
        <v>61</v>
      </c>
      <c r="C3413">
        <v>202207</v>
      </c>
      <c r="D3413" t="str">
        <f t="shared" si="53"/>
        <v>2022</v>
      </c>
      <c r="E3413">
        <v>374</v>
      </c>
      <c r="F3413">
        <v>195203</v>
      </c>
      <c r="G3413">
        <v>0.19</v>
      </c>
      <c r="H3413" t="s">
        <v>10</v>
      </c>
      <c r="I3413" t="s">
        <v>11</v>
      </c>
    </row>
    <row r="3414" spans="1:9" hidden="1" x14ac:dyDescent="0.25">
      <c r="A3414" t="s">
        <v>17</v>
      </c>
      <c r="B3414" t="s">
        <v>61</v>
      </c>
      <c r="C3414">
        <v>202208</v>
      </c>
      <c r="D3414" t="str">
        <f t="shared" si="53"/>
        <v>2022</v>
      </c>
      <c r="E3414">
        <v>234</v>
      </c>
      <c r="F3414">
        <v>195203</v>
      </c>
      <c r="G3414">
        <v>0.12</v>
      </c>
      <c r="H3414" t="s">
        <v>10</v>
      </c>
      <c r="I3414" t="s">
        <v>11</v>
      </c>
    </row>
    <row r="3415" spans="1:9" hidden="1" x14ac:dyDescent="0.25">
      <c r="A3415" t="s">
        <v>17</v>
      </c>
      <c r="B3415" t="s">
        <v>61</v>
      </c>
      <c r="C3415">
        <v>202209</v>
      </c>
      <c r="D3415" t="str">
        <f t="shared" si="53"/>
        <v>2022</v>
      </c>
      <c r="E3415">
        <v>349</v>
      </c>
      <c r="F3415">
        <v>195203</v>
      </c>
      <c r="G3415">
        <v>0.18</v>
      </c>
      <c r="H3415" t="s">
        <v>10</v>
      </c>
      <c r="I3415" t="s">
        <v>11</v>
      </c>
    </row>
    <row r="3416" spans="1:9" hidden="1" x14ac:dyDescent="0.25">
      <c r="A3416" t="s">
        <v>17</v>
      </c>
      <c r="B3416" t="s">
        <v>61</v>
      </c>
      <c r="C3416">
        <v>202210</v>
      </c>
      <c r="D3416" t="str">
        <f t="shared" si="53"/>
        <v>2022</v>
      </c>
      <c r="E3416">
        <v>345</v>
      </c>
      <c r="F3416">
        <v>195203</v>
      </c>
      <c r="G3416">
        <v>0.18</v>
      </c>
      <c r="H3416" t="s">
        <v>10</v>
      </c>
      <c r="I3416" t="s">
        <v>11</v>
      </c>
    </row>
    <row r="3417" spans="1:9" hidden="1" x14ac:dyDescent="0.25">
      <c r="A3417" t="s">
        <v>17</v>
      </c>
      <c r="B3417" t="s">
        <v>61</v>
      </c>
      <c r="C3417">
        <v>202211</v>
      </c>
      <c r="D3417" t="str">
        <f t="shared" si="53"/>
        <v>2022</v>
      </c>
      <c r="E3417">
        <v>595</v>
      </c>
      <c r="F3417">
        <v>195203</v>
      </c>
      <c r="G3417">
        <v>0.3</v>
      </c>
      <c r="H3417" t="s">
        <v>10</v>
      </c>
      <c r="I3417" t="s">
        <v>11</v>
      </c>
    </row>
    <row r="3418" spans="1:9" hidden="1" x14ac:dyDescent="0.25">
      <c r="A3418" t="s">
        <v>17</v>
      </c>
      <c r="B3418" t="s">
        <v>61</v>
      </c>
      <c r="C3418">
        <v>202212</v>
      </c>
      <c r="D3418" t="str">
        <f t="shared" si="53"/>
        <v>2022</v>
      </c>
      <c r="E3418">
        <v>534</v>
      </c>
      <c r="F3418">
        <v>195203</v>
      </c>
      <c r="G3418">
        <v>0.27</v>
      </c>
      <c r="H3418" t="s">
        <v>10</v>
      </c>
      <c r="I3418" t="s">
        <v>11</v>
      </c>
    </row>
    <row r="3419" spans="1:9" hidden="1" x14ac:dyDescent="0.25">
      <c r="A3419" t="s">
        <v>17</v>
      </c>
      <c r="B3419" t="s">
        <v>61</v>
      </c>
      <c r="C3419">
        <v>202301</v>
      </c>
      <c r="D3419" t="str">
        <f t="shared" si="53"/>
        <v>2023</v>
      </c>
      <c r="E3419">
        <v>851</v>
      </c>
      <c r="F3419">
        <v>195203</v>
      </c>
      <c r="G3419">
        <v>0.44</v>
      </c>
      <c r="H3419" t="s">
        <v>10</v>
      </c>
      <c r="I3419" t="s">
        <v>11</v>
      </c>
    </row>
    <row r="3420" spans="1:9" hidden="1" x14ac:dyDescent="0.25">
      <c r="A3420" t="s">
        <v>17</v>
      </c>
      <c r="B3420" t="s">
        <v>61</v>
      </c>
      <c r="C3420">
        <v>202302</v>
      </c>
      <c r="D3420" t="str">
        <f t="shared" si="53"/>
        <v>2023</v>
      </c>
      <c r="E3420">
        <v>1023</v>
      </c>
      <c r="F3420">
        <v>195203</v>
      </c>
      <c r="G3420">
        <v>0.52</v>
      </c>
      <c r="H3420" t="s">
        <v>10</v>
      </c>
      <c r="I3420" t="s">
        <v>11</v>
      </c>
    </row>
    <row r="3421" spans="1:9" hidden="1" x14ac:dyDescent="0.25">
      <c r="A3421" t="s">
        <v>17</v>
      </c>
      <c r="B3421" t="s">
        <v>61</v>
      </c>
      <c r="C3421">
        <v>202303</v>
      </c>
      <c r="D3421" t="str">
        <f t="shared" si="53"/>
        <v>2023</v>
      </c>
      <c r="E3421">
        <v>1151</v>
      </c>
      <c r="F3421">
        <v>195203</v>
      </c>
      <c r="G3421">
        <v>0.59</v>
      </c>
      <c r="H3421" t="s">
        <v>10</v>
      </c>
      <c r="I3421" t="s">
        <v>11</v>
      </c>
    </row>
    <row r="3422" spans="1:9" hidden="1" x14ac:dyDescent="0.25">
      <c r="A3422" t="s">
        <v>17</v>
      </c>
      <c r="B3422" t="s">
        <v>61</v>
      </c>
      <c r="C3422">
        <v>202304</v>
      </c>
      <c r="D3422" t="str">
        <f t="shared" si="53"/>
        <v>2023</v>
      </c>
      <c r="E3422">
        <v>1153</v>
      </c>
      <c r="F3422">
        <v>195203</v>
      </c>
      <c r="G3422">
        <v>0.59</v>
      </c>
      <c r="H3422" t="s">
        <v>10</v>
      </c>
      <c r="I3422" t="s">
        <v>11</v>
      </c>
    </row>
    <row r="3423" spans="1:9" hidden="1" x14ac:dyDescent="0.25">
      <c r="A3423" t="s">
        <v>17</v>
      </c>
      <c r="B3423" t="s">
        <v>61</v>
      </c>
      <c r="C3423">
        <v>202305</v>
      </c>
      <c r="D3423" t="str">
        <f t="shared" si="53"/>
        <v>2023</v>
      </c>
      <c r="E3423">
        <v>1578</v>
      </c>
      <c r="F3423">
        <v>195203</v>
      </c>
      <c r="G3423">
        <v>0.81</v>
      </c>
      <c r="H3423" t="s">
        <v>10</v>
      </c>
      <c r="I3423" t="s">
        <v>11</v>
      </c>
    </row>
    <row r="3424" spans="1:9" hidden="1" x14ac:dyDescent="0.25">
      <c r="A3424" t="s">
        <v>17</v>
      </c>
      <c r="B3424" t="s">
        <v>61</v>
      </c>
      <c r="C3424">
        <v>202306</v>
      </c>
      <c r="D3424" t="str">
        <f t="shared" si="53"/>
        <v>2023</v>
      </c>
      <c r="E3424">
        <v>3449</v>
      </c>
      <c r="F3424">
        <v>195203</v>
      </c>
      <c r="G3424">
        <v>1.77</v>
      </c>
      <c r="H3424" t="s">
        <v>10</v>
      </c>
      <c r="I3424" t="s">
        <v>11</v>
      </c>
    </row>
    <row r="3425" spans="1:9" hidden="1" x14ac:dyDescent="0.25">
      <c r="A3425" t="s">
        <v>17</v>
      </c>
      <c r="B3425" t="s">
        <v>61</v>
      </c>
      <c r="C3425">
        <v>202307</v>
      </c>
      <c r="D3425" t="str">
        <f t="shared" si="53"/>
        <v>2023</v>
      </c>
      <c r="E3425">
        <v>2582</v>
      </c>
      <c r="F3425">
        <v>195203</v>
      </c>
      <c r="G3425">
        <v>1.32</v>
      </c>
      <c r="H3425" t="s">
        <v>10</v>
      </c>
      <c r="I3425" t="s">
        <v>11</v>
      </c>
    </row>
    <row r="3426" spans="1:9" hidden="1" x14ac:dyDescent="0.25">
      <c r="A3426" t="s">
        <v>17</v>
      </c>
      <c r="B3426" t="s">
        <v>61</v>
      </c>
      <c r="C3426">
        <v>202308</v>
      </c>
      <c r="D3426" t="str">
        <f t="shared" si="53"/>
        <v>2023</v>
      </c>
      <c r="E3426">
        <v>3983</v>
      </c>
      <c r="F3426">
        <v>195203</v>
      </c>
      <c r="G3426">
        <v>2.04</v>
      </c>
      <c r="H3426" t="s">
        <v>10</v>
      </c>
      <c r="I3426" t="s">
        <v>11</v>
      </c>
    </row>
    <row r="3427" spans="1:9" hidden="1" x14ac:dyDescent="0.25">
      <c r="A3427" t="s">
        <v>17</v>
      </c>
      <c r="B3427" t="s">
        <v>61</v>
      </c>
      <c r="C3427">
        <v>202309</v>
      </c>
      <c r="D3427" t="str">
        <f t="shared" si="53"/>
        <v>2023</v>
      </c>
      <c r="E3427">
        <v>6474</v>
      </c>
      <c r="F3427">
        <v>195203</v>
      </c>
      <c r="G3427">
        <v>3.32</v>
      </c>
      <c r="H3427" t="s">
        <v>10</v>
      </c>
      <c r="I3427" t="s">
        <v>11</v>
      </c>
    </row>
    <row r="3428" spans="1:9" hidden="1" x14ac:dyDescent="0.25">
      <c r="A3428" t="s">
        <v>17</v>
      </c>
      <c r="B3428" t="s">
        <v>61</v>
      </c>
      <c r="C3428">
        <v>202310</v>
      </c>
      <c r="D3428" t="str">
        <f t="shared" si="53"/>
        <v>2023</v>
      </c>
      <c r="E3428">
        <v>22377</v>
      </c>
      <c r="F3428">
        <v>195203</v>
      </c>
      <c r="G3428">
        <v>11.46</v>
      </c>
      <c r="H3428" t="s">
        <v>10</v>
      </c>
      <c r="I3428" t="s">
        <v>11</v>
      </c>
    </row>
    <row r="3429" spans="1:9" hidden="1" x14ac:dyDescent="0.25">
      <c r="A3429" t="s">
        <v>17</v>
      </c>
      <c r="B3429" t="s">
        <v>61</v>
      </c>
      <c r="C3429">
        <v>202311</v>
      </c>
      <c r="D3429" t="str">
        <f t="shared" si="53"/>
        <v>2023</v>
      </c>
      <c r="E3429">
        <v>80074</v>
      </c>
      <c r="F3429">
        <v>195203</v>
      </c>
      <c r="G3429">
        <v>41.02</v>
      </c>
      <c r="H3429" t="s">
        <v>10</v>
      </c>
      <c r="I3429" t="s">
        <v>11</v>
      </c>
    </row>
    <row r="3430" spans="1:9" hidden="1" x14ac:dyDescent="0.25">
      <c r="A3430" t="s">
        <v>17</v>
      </c>
      <c r="B3430" t="s">
        <v>61</v>
      </c>
      <c r="C3430">
        <v>202312</v>
      </c>
      <c r="D3430" t="str">
        <f t="shared" si="53"/>
        <v>2023</v>
      </c>
      <c r="E3430">
        <v>66805</v>
      </c>
      <c r="F3430">
        <v>195203</v>
      </c>
      <c r="G3430">
        <v>34.22</v>
      </c>
      <c r="H3430" t="s">
        <v>10</v>
      </c>
      <c r="I3430" t="s">
        <v>11</v>
      </c>
    </row>
    <row r="3431" spans="1:9" hidden="1" x14ac:dyDescent="0.25">
      <c r="A3431" t="s">
        <v>17</v>
      </c>
      <c r="B3431" t="s">
        <v>125</v>
      </c>
      <c r="C3431">
        <v>201802</v>
      </c>
      <c r="D3431" t="str">
        <f t="shared" si="53"/>
        <v>2018</v>
      </c>
      <c r="E3431">
        <v>2</v>
      </c>
      <c r="F3431">
        <v>169042</v>
      </c>
      <c r="G3431">
        <v>0</v>
      </c>
      <c r="H3431" t="s">
        <v>10</v>
      </c>
      <c r="I3431" t="s">
        <v>11</v>
      </c>
    </row>
    <row r="3432" spans="1:9" hidden="1" x14ac:dyDescent="0.25">
      <c r="A3432" t="s">
        <v>17</v>
      </c>
      <c r="B3432" t="s">
        <v>125</v>
      </c>
      <c r="C3432">
        <v>201908</v>
      </c>
      <c r="D3432" t="str">
        <f t="shared" si="53"/>
        <v>2019</v>
      </c>
      <c r="E3432">
        <v>1</v>
      </c>
      <c r="F3432">
        <v>169042</v>
      </c>
      <c r="G3432">
        <v>0</v>
      </c>
      <c r="H3432" t="s">
        <v>10</v>
      </c>
      <c r="I3432" t="s">
        <v>11</v>
      </c>
    </row>
    <row r="3433" spans="1:9" hidden="1" x14ac:dyDescent="0.25">
      <c r="A3433" t="s">
        <v>17</v>
      </c>
      <c r="B3433" t="s">
        <v>125</v>
      </c>
      <c r="C3433">
        <v>202003</v>
      </c>
      <c r="D3433" t="str">
        <f t="shared" si="53"/>
        <v>2020</v>
      </c>
      <c r="E3433">
        <v>2</v>
      </c>
      <c r="F3433">
        <v>169042</v>
      </c>
      <c r="G3433">
        <v>0</v>
      </c>
      <c r="H3433" t="s">
        <v>10</v>
      </c>
      <c r="I3433" t="s">
        <v>11</v>
      </c>
    </row>
    <row r="3434" spans="1:9" hidden="1" x14ac:dyDescent="0.25">
      <c r="A3434" t="s">
        <v>17</v>
      </c>
      <c r="B3434" t="s">
        <v>125</v>
      </c>
      <c r="C3434">
        <v>202101</v>
      </c>
      <c r="D3434" t="str">
        <f t="shared" si="53"/>
        <v>2021</v>
      </c>
      <c r="E3434">
        <v>42</v>
      </c>
      <c r="F3434">
        <v>169042</v>
      </c>
      <c r="G3434">
        <v>0.02</v>
      </c>
      <c r="H3434" t="s">
        <v>10</v>
      </c>
      <c r="I3434" t="s">
        <v>11</v>
      </c>
    </row>
    <row r="3435" spans="1:9" hidden="1" x14ac:dyDescent="0.25">
      <c r="A3435" t="s">
        <v>17</v>
      </c>
      <c r="B3435" t="s">
        <v>125</v>
      </c>
      <c r="C3435">
        <v>202102</v>
      </c>
      <c r="D3435" t="str">
        <f t="shared" si="53"/>
        <v>2021</v>
      </c>
      <c r="E3435">
        <v>83</v>
      </c>
      <c r="F3435">
        <v>169042</v>
      </c>
      <c r="G3435">
        <v>0.05</v>
      </c>
      <c r="H3435" t="s">
        <v>10</v>
      </c>
      <c r="I3435" t="s">
        <v>11</v>
      </c>
    </row>
    <row r="3436" spans="1:9" hidden="1" x14ac:dyDescent="0.25">
      <c r="A3436" t="s">
        <v>17</v>
      </c>
      <c r="B3436" t="s">
        <v>125</v>
      </c>
      <c r="C3436">
        <v>202103</v>
      </c>
      <c r="D3436" t="str">
        <f t="shared" si="53"/>
        <v>2021</v>
      </c>
      <c r="E3436">
        <v>64</v>
      </c>
      <c r="F3436">
        <v>169042</v>
      </c>
      <c r="G3436">
        <v>0.04</v>
      </c>
      <c r="H3436" t="s">
        <v>10</v>
      </c>
      <c r="I3436" t="s">
        <v>11</v>
      </c>
    </row>
    <row r="3437" spans="1:9" hidden="1" x14ac:dyDescent="0.25">
      <c r="A3437" t="s">
        <v>17</v>
      </c>
      <c r="B3437" t="s">
        <v>125</v>
      </c>
      <c r="C3437">
        <v>202104</v>
      </c>
      <c r="D3437" t="str">
        <f t="shared" si="53"/>
        <v>2021</v>
      </c>
      <c r="E3437">
        <v>110</v>
      </c>
      <c r="F3437">
        <v>169042</v>
      </c>
      <c r="G3437">
        <v>7.0000000000000007E-2</v>
      </c>
      <c r="H3437" t="s">
        <v>10</v>
      </c>
      <c r="I3437" t="s">
        <v>11</v>
      </c>
    </row>
    <row r="3438" spans="1:9" hidden="1" x14ac:dyDescent="0.25">
      <c r="A3438" t="s">
        <v>17</v>
      </c>
      <c r="B3438" t="s">
        <v>125</v>
      </c>
      <c r="C3438">
        <v>202105</v>
      </c>
      <c r="D3438" t="str">
        <f t="shared" si="53"/>
        <v>2021</v>
      </c>
      <c r="E3438">
        <v>61</v>
      </c>
      <c r="F3438">
        <v>169042</v>
      </c>
      <c r="G3438">
        <v>0.04</v>
      </c>
      <c r="H3438" t="s">
        <v>10</v>
      </c>
      <c r="I3438" t="s">
        <v>11</v>
      </c>
    </row>
    <row r="3439" spans="1:9" hidden="1" x14ac:dyDescent="0.25">
      <c r="A3439" t="s">
        <v>17</v>
      </c>
      <c r="B3439" t="s">
        <v>125</v>
      </c>
      <c r="C3439">
        <v>202106</v>
      </c>
      <c r="D3439" t="str">
        <f t="shared" si="53"/>
        <v>2021</v>
      </c>
      <c r="E3439">
        <v>13</v>
      </c>
      <c r="F3439">
        <v>169042</v>
      </c>
      <c r="G3439">
        <v>0.01</v>
      </c>
      <c r="H3439" t="s">
        <v>10</v>
      </c>
      <c r="I3439" t="s">
        <v>11</v>
      </c>
    </row>
    <row r="3440" spans="1:9" hidden="1" x14ac:dyDescent="0.25">
      <c r="A3440" t="s">
        <v>17</v>
      </c>
      <c r="B3440" t="s">
        <v>125</v>
      </c>
      <c r="C3440">
        <v>202107</v>
      </c>
      <c r="D3440" t="str">
        <f t="shared" si="53"/>
        <v>2021</v>
      </c>
      <c r="E3440">
        <v>38</v>
      </c>
      <c r="F3440">
        <v>169042</v>
      </c>
      <c r="G3440">
        <v>0.02</v>
      </c>
      <c r="H3440" t="s">
        <v>10</v>
      </c>
      <c r="I3440" t="s">
        <v>11</v>
      </c>
    </row>
    <row r="3441" spans="1:9" hidden="1" x14ac:dyDescent="0.25">
      <c r="A3441" t="s">
        <v>17</v>
      </c>
      <c r="B3441" t="s">
        <v>125</v>
      </c>
      <c r="C3441">
        <v>202108</v>
      </c>
      <c r="D3441" t="str">
        <f t="shared" si="53"/>
        <v>2021</v>
      </c>
      <c r="E3441">
        <v>65</v>
      </c>
      <c r="F3441">
        <v>169042</v>
      </c>
      <c r="G3441">
        <v>0.04</v>
      </c>
      <c r="H3441" t="s">
        <v>10</v>
      </c>
      <c r="I3441" t="s">
        <v>11</v>
      </c>
    </row>
    <row r="3442" spans="1:9" hidden="1" x14ac:dyDescent="0.25">
      <c r="A3442" t="s">
        <v>17</v>
      </c>
      <c r="B3442" t="s">
        <v>125</v>
      </c>
      <c r="C3442">
        <v>202109</v>
      </c>
      <c r="D3442" t="str">
        <f t="shared" si="53"/>
        <v>2021</v>
      </c>
      <c r="E3442">
        <v>30</v>
      </c>
      <c r="F3442">
        <v>169042</v>
      </c>
      <c r="G3442">
        <v>0.02</v>
      </c>
      <c r="H3442" t="s">
        <v>10</v>
      </c>
      <c r="I3442" t="s">
        <v>11</v>
      </c>
    </row>
    <row r="3443" spans="1:9" hidden="1" x14ac:dyDescent="0.25">
      <c r="A3443" t="s">
        <v>17</v>
      </c>
      <c r="B3443" t="s">
        <v>125</v>
      </c>
      <c r="C3443">
        <v>202110</v>
      </c>
      <c r="D3443" t="str">
        <f t="shared" si="53"/>
        <v>2021</v>
      </c>
      <c r="E3443">
        <v>58</v>
      </c>
      <c r="F3443">
        <v>169042</v>
      </c>
      <c r="G3443">
        <v>0.03</v>
      </c>
      <c r="H3443" t="s">
        <v>10</v>
      </c>
      <c r="I3443" t="s">
        <v>11</v>
      </c>
    </row>
    <row r="3444" spans="1:9" hidden="1" x14ac:dyDescent="0.25">
      <c r="A3444" t="s">
        <v>17</v>
      </c>
      <c r="B3444" t="s">
        <v>125</v>
      </c>
      <c r="C3444">
        <v>202111</v>
      </c>
      <c r="D3444" t="str">
        <f t="shared" si="53"/>
        <v>2021</v>
      </c>
      <c r="E3444">
        <v>43</v>
      </c>
      <c r="F3444">
        <v>169042</v>
      </c>
      <c r="G3444">
        <v>0.03</v>
      </c>
      <c r="H3444" t="s">
        <v>10</v>
      </c>
      <c r="I3444" t="s">
        <v>11</v>
      </c>
    </row>
    <row r="3445" spans="1:9" hidden="1" x14ac:dyDescent="0.25">
      <c r="A3445" t="s">
        <v>17</v>
      </c>
      <c r="B3445" t="s">
        <v>125</v>
      </c>
      <c r="C3445">
        <v>202112</v>
      </c>
      <c r="D3445" t="str">
        <f t="shared" si="53"/>
        <v>2021</v>
      </c>
      <c r="E3445">
        <v>26</v>
      </c>
      <c r="F3445">
        <v>169042</v>
      </c>
      <c r="G3445">
        <v>0.02</v>
      </c>
      <c r="H3445" t="s">
        <v>10</v>
      </c>
      <c r="I3445" t="s">
        <v>11</v>
      </c>
    </row>
    <row r="3446" spans="1:9" hidden="1" x14ac:dyDescent="0.25">
      <c r="A3446" t="s">
        <v>17</v>
      </c>
      <c r="B3446" t="s">
        <v>125</v>
      </c>
      <c r="C3446">
        <v>202201</v>
      </c>
      <c r="D3446" t="str">
        <f t="shared" si="53"/>
        <v>2022</v>
      </c>
      <c r="E3446">
        <v>208</v>
      </c>
      <c r="F3446">
        <v>169042</v>
      </c>
      <c r="G3446">
        <v>0.12</v>
      </c>
      <c r="H3446" t="s">
        <v>10</v>
      </c>
      <c r="I3446" t="s">
        <v>11</v>
      </c>
    </row>
    <row r="3447" spans="1:9" hidden="1" x14ac:dyDescent="0.25">
      <c r="A3447" t="s">
        <v>17</v>
      </c>
      <c r="B3447" t="s">
        <v>125</v>
      </c>
      <c r="C3447">
        <v>202202</v>
      </c>
      <c r="D3447" t="str">
        <f t="shared" si="53"/>
        <v>2022</v>
      </c>
      <c r="E3447">
        <v>198</v>
      </c>
      <c r="F3447">
        <v>169042</v>
      </c>
      <c r="G3447">
        <v>0.12</v>
      </c>
      <c r="H3447" t="s">
        <v>10</v>
      </c>
      <c r="I3447" t="s">
        <v>11</v>
      </c>
    </row>
    <row r="3448" spans="1:9" hidden="1" x14ac:dyDescent="0.25">
      <c r="A3448" t="s">
        <v>17</v>
      </c>
      <c r="B3448" t="s">
        <v>125</v>
      </c>
      <c r="C3448">
        <v>202203</v>
      </c>
      <c r="D3448" t="str">
        <f t="shared" si="53"/>
        <v>2022</v>
      </c>
      <c r="E3448">
        <v>241</v>
      </c>
      <c r="F3448">
        <v>169042</v>
      </c>
      <c r="G3448">
        <v>0.14000000000000001</v>
      </c>
      <c r="H3448" t="s">
        <v>10</v>
      </c>
      <c r="I3448" t="s">
        <v>11</v>
      </c>
    </row>
    <row r="3449" spans="1:9" hidden="1" x14ac:dyDescent="0.25">
      <c r="A3449" t="s">
        <v>17</v>
      </c>
      <c r="B3449" t="s">
        <v>125</v>
      </c>
      <c r="C3449">
        <v>202204</v>
      </c>
      <c r="D3449" t="str">
        <f t="shared" si="53"/>
        <v>2022</v>
      </c>
      <c r="E3449">
        <v>349</v>
      </c>
      <c r="F3449">
        <v>169042</v>
      </c>
      <c r="G3449">
        <v>0.21</v>
      </c>
      <c r="H3449" t="s">
        <v>10</v>
      </c>
      <c r="I3449" t="s">
        <v>11</v>
      </c>
    </row>
    <row r="3450" spans="1:9" hidden="1" x14ac:dyDescent="0.25">
      <c r="A3450" t="s">
        <v>17</v>
      </c>
      <c r="B3450" t="s">
        <v>125</v>
      </c>
      <c r="C3450">
        <v>202205</v>
      </c>
      <c r="D3450" t="str">
        <f t="shared" si="53"/>
        <v>2022</v>
      </c>
      <c r="E3450">
        <v>238</v>
      </c>
      <c r="F3450">
        <v>169042</v>
      </c>
      <c r="G3450">
        <v>0.14000000000000001</v>
      </c>
      <c r="H3450" t="s">
        <v>10</v>
      </c>
      <c r="I3450" t="s">
        <v>11</v>
      </c>
    </row>
    <row r="3451" spans="1:9" hidden="1" x14ac:dyDescent="0.25">
      <c r="A3451" t="s">
        <v>17</v>
      </c>
      <c r="B3451" t="s">
        <v>125</v>
      </c>
      <c r="C3451">
        <v>202206</v>
      </c>
      <c r="D3451" t="str">
        <f t="shared" si="53"/>
        <v>2022</v>
      </c>
      <c r="E3451">
        <v>273</v>
      </c>
      <c r="F3451">
        <v>169042</v>
      </c>
      <c r="G3451">
        <v>0.16</v>
      </c>
      <c r="H3451" t="s">
        <v>10</v>
      </c>
      <c r="I3451" t="s">
        <v>11</v>
      </c>
    </row>
    <row r="3452" spans="1:9" hidden="1" x14ac:dyDescent="0.25">
      <c r="A3452" t="s">
        <v>17</v>
      </c>
      <c r="B3452" t="s">
        <v>125</v>
      </c>
      <c r="C3452">
        <v>202207</v>
      </c>
      <c r="D3452" t="str">
        <f t="shared" si="53"/>
        <v>2022</v>
      </c>
      <c r="E3452">
        <v>271</v>
      </c>
      <c r="F3452">
        <v>169042</v>
      </c>
      <c r="G3452">
        <v>0.16</v>
      </c>
      <c r="H3452" t="s">
        <v>10</v>
      </c>
      <c r="I3452" t="s">
        <v>11</v>
      </c>
    </row>
    <row r="3453" spans="1:9" hidden="1" x14ac:dyDescent="0.25">
      <c r="A3453" t="s">
        <v>17</v>
      </c>
      <c r="B3453" t="s">
        <v>125</v>
      </c>
      <c r="C3453">
        <v>202208</v>
      </c>
      <c r="D3453" t="str">
        <f t="shared" si="53"/>
        <v>2022</v>
      </c>
      <c r="E3453">
        <v>255</v>
      </c>
      <c r="F3453">
        <v>169042</v>
      </c>
      <c r="G3453">
        <v>0.15</v>
      </c>
      <c r="H3453" t="s">
        <v>10</v>
      </c>
      <c r="I3453" t="s">
        <v>11</v>
      </c>
    </row>
    <row r="3454" spans="1:9" hidden="1" x14ac:dyDescent="0.25">
      <c r="A3454" t="s">
        <v>17</v>
      </c>
      <c r="B3454" t="s">
        <v>125</v>
      </c>
      <c r="C3454">
        <v>202209</v>
      </c>
      <c r="D3454" t="str">
        <f t="shared" si="53"/>
        <v>2022</v>
      </c>
      <c r="E3454">
        <v>376</v>
      </c>
      <c r="F3454">
        <v>169042</v>
      </c>
      <c r="G3454">
        <v>0.22</v>
      </c>
      <c r="H3454" t="s">
        <v>10</v>
      </c>
      <c r="I3454" t="s">
        <v>11</v>
      </c>
    </row>
    <row r="3455" spans="1:9" hidden="1" x14ac:dyDescent="0.25">
      <c r="A3455" t="s">
        <v>17</v>
      </c>
      <c r="B3455" t="s">
        <v>125</v>
      </c>
      <c r="C3455">
        <v>202210</v>
      </c>
      <c r="D3455" t="str">
        <f t="shared" si="53"/>
        <v>2022</v>
      </c>
      <c r="E3455">
        <v>397</v>
      </c>
      <c r="F3455">
        <v>169042</v>
      </c>
      <c r="G3455">
        <v>0.23</v>
      </c>
      <c r="H3455" t="s">
        <v>10</v>
      </c>
      <c r="I3455" t="s">
        <v>11</v>
      </c>
    </row>
    <row r="3456" spans="1:9" hidden="1" x14ac:dyDescent="0.25">
      <c r="A3456" t="s">
        <v>17</v>
      </c>
      <c r="B3456" t="s">
        <v>125</v>
      </c>
      <c r="C3456">
        <v>202211</v>
      </c>
      <c r="D3456" t="str">
        <f t="shared" si="53"/>
        <v>2022</v>
      </c>
      <c r="E3456">
        <v>437</v>
      </c>
      <c r="F3456">
        <v>169042</v>
      </c>
      <c r="G3456">
        <v>0.26</v>
      </c>
      <c r="H3456" t="s">
        <v>10</v>
      </c>
      <c r="I3456" t="s">
        <v>11</v>
      </c>
    </row>
    <row r="3457" spans="1:9" hidden="1" x14ac:dyDescent="0.25">
      <c r="A3457" t="s">
        <v>17</v>
      </c>
      <c r="B3457" t="s">
        <v>125</v>
      </c>
      <c r="C3457">
        <v>202212</v>
      </c>
      <c r="D3457" t="str">
        <f t="shared" si="53"/>
        <v>2022</v>
      </c>
      <c r="E3457">
        <v>443</v>
      </c>
      <c r="F3457">
        <v>169042</v>
      </c>
      <c r="G3457">
        <v>0.26</v>
      </c>
      <c r="H3457" t="s">
        <v>10</v>
      </c>
      <c r="I3457" t="s">
        <v>11</v>
      </c>
    </row>
    <row r="3458" spans="1:9" hidden="1" x14ac:dyDescent="0.25">
      <c r="A3458" t="s">
        <v>17</v>
      </c>
      <c r="B3458" t="s">
        <v>125</v>
      </c>
      <c r="C3458">
        <v>202301</v>
      </c>
      <c r="D3458" t="str">
        <f t="shared" si="53"/>
        <v>2023</v>
      </c>
      <c r="E3458">
        <v>949</v>
      </c>
      <c r="F3458">
        <v>169042</v>
      </c>
      <c r="G3458">
        <v>0.56000000000000005</v>
      </c>
      <c r="H3458" t="s">
        <v>10</v>
      </c>
      <c r="I3458" t="s">
        <v>11</v>
      </c>
    </row>
    <row r="3459" spans="1:9" hidden="1" x14ac:dyDescent="0.25">
      <c r="A3459" t="s">
        <v>17</v>
      </c>
      <c r="B3459" t="s">
        <v>125</v>
      </c>
      <c r="C3459">
        <v>202302</v>
      </c>
      <c r="D3459" t="str">
        <f t="shared" ref="D3459:D3522" si="54">LEFT(C3459,4)</f>
        <v>2023</v>
      </c>
      <c r="E3459">
        <v>1288</v>
      </c>
      <c r="F3459">
        <v>169042</v>
      </c>
      <c r="G3459">
        <v>0.76</v>
      </c>
      <c r="H3459" t="s">
        <v>10</v>
      </c>
      <c r="I3459" t="s">
        <v>11</v>
      </c>
    </row>
    <row r="3460" spans="1:9" hidden="1" x14ac:dyDescent="0.25">
      <c r="A3460" t="s">
        <v>17</v>
      </c>
      <c r="B3460" t="s">
        <v>125</v>
      </c>
      <c r="C3460">
        <v>202303</v>
      </c>
      <c r="D3460" t="str">
        <f t="shared" si="54"/>
        <v>2023</v>
      </c>
      <c r="E3460">
        <v>1410</v>
      </c>
      <c r="F3460">
        <v>169042</v>
      </c>
      <c r="G3460">
        <v>0.83</v>
      </c>
      <c r="H3460" t="s">
        <v>10</v>
      </c>
      <c r="I3460" t="s">
        <v>11</v>
      </c>
    </row>
    <row r="3461" spans="1:9" hidden="1" x14ac:dyDescent="0.25">
      <c r="A3461" t="s">
        <v>17</v>
      </c>
      <c r="B3461" t="s">
        <v>125</v>
      </c>
      <c r="C3461">
        <v>202304</v>
      </c>
      <c r="D3461" t="str">
        <f t="shared" si="54"/>
        <v>2023</v>
      </c>
      <c r="E3461">
        <v>1537</v>
      </c>
      <c r="F3461">
        <v>169042</v>
      </c>
      <c r="G3461">
        <v>0.91</v>
      </c>
      <c r="H3461" t="s">
        <v>10</v>
      </c>
      <c r="I3461" t="s">
        <v>11</v>
      </c>
    </row>
    <row r="3462" spans="1:9" hidden="1" x14ac:dyDescent="0.25">
      <c r="A3462" t="s">
        <v>17</v>
      </c>
      <c r="B3462" t="s">
        <v>125</v>
      </c>
      <c r="C3462">
        <v>202305</v>
      </c>
      <c r="D3462" t="str">
        <f t="shared" si="54"/>
        <v>2023</v>
      </c>
      <c r="E3462">
        <v>2277</v>
      </c>
      <c r="F3462">
        <v>169042</v>
      </c>
      <c r="G3462">
        <v>1.35</v>
      </c>
      <c r="H3462" t="s">
        <v>10</v>
      </c>
      <c r="I3462" t="s">
        <v>11</v>
      </c>
    </row>
    <row r="3463" spans="1:9" hidden="1" x14ac:dyDescent="0.25">
      <c r="A3463" t="s">
        <v>17</v>
      </c>
      <c r="B3463" t="s">
        <v>125</v>
      </c>
      <c r="C3463">
        <v>202306</v>
      </c>
      <c r="D3463" t="str">
        <f t="shared" si="54"/>
        <v>2023</v>
      </c>
      <c r="E3463">
        <v>3711</v>
      </c>
      <c r="F3463">
        <v>169042</v>
      </c>
      <c r="G3463">
        <v>2.2000000000000002</v>
      </c>
      <c r="H3463" t="s">
        <v>10</v>
      </c>
      <c r="I3463" t="s">
        <v>11</v>
      </c>
    </row>
    <row r="3464" spans="1:9" hidden="1" x14ac:dyDescent="0.25">
      <c r="A3464" t="s">
        <v>17</v>
      </c>
      <c r="B3464" t="s">
        <v>125</v>
      </c>
      <c r="C3464">
        <v>202307</v>
      </c>
      <c r="D3464" t="str">
        <f t="shared" si="54"/>
        <v>2023</v>
      </c>
      <c r="E3464">
        <v>2151</v>
      </c>
      <c r="F3464">
        <v>169042</v>
      </c>
      <c r="G3464">
        <v>1.27</v>
      </c>
      <c r="H3464" t="s">
        <v>10</v>
      </c>
      <c r="I3464" t="s">
        <v>11</v>
      </c>
    </row>
    <row r="3465" spans="1:9" hidden="1" x14ac:dyDescent="0.25">
      <c r="A3465" t="s">
        <v>17</v>
      </c>
      <c r="B3465" t="s">
        <v>125</v>
      </c>
      <c r="C3465">
        <v>202308</v>
      </c>
      <c r="D3465" t="str">
        <f t="shared" si="54"/>
        <v>2023</v>
      </c>
      <c r="E3465">
        <v>3661</v>
      </c>
      <c r="F3465">
        <v>169042</v>
      </c>
      <c r="G3465">
        <v>2.17</v>
      </c>
      <c r="H3465" t="s">
        <v>10</v>
      </c>
      <c r="I3465" t="s">
        <v>11</v>
      </c>
    </row>
    <row r="3466" spans="1:9" hidden="1" x14ac:dyDescent="0.25">
      <c r="A3466" t="s">
        <v>17</v>
      </c>
      <c r="B3466" t="s">
        <v>125</v>
      </c>
      <c r="C3466">
        <v>202309</v>
      </c>
      <c r="D3466" t="str">
        <f t="shared" si="54"/>
        <v>2023</v>
      </c>
      <c r="E3466">
        <v>3808</v>
      </c>
      <c r="F3466">
        <v>169042</v>
      </c>
      <c r="G3466">
        <v>2.25</v>
      </c>
      <c r="H3466" t="s">
        <v>10</v>
      </c>
      <c r="I3466" t="s">
        <v>11</v>
      </c>
    </row>
    <row r="3467" spans="1:9" hidden="1" x14ac:dyDescent="0.25">
      <c r="A3467" t="s">
        <v>17</v>
      </c>
      <c r="B3467" t="s">
        <v>125</v>
      </c>
      <c r="C3467">
        <v>202310</v>
      </c>
      <c r="D3467" t="str">
        <f t="shared" si="54"/>
        <v>2023</v>
      </c>
      <c r="E3467">
        <v>7990</v>
      </c>
      <c r="F3467">
        <v>169042</v>
      </c>
      <c r="G3467">
        <v>4.7300000000000004</v>
      </c>
      <c r="H3467" t="s">
        <v>10</v>
      </c>
      <c r="I3467" t="s">
        <v>11</v>
      </c>
    </row>
    <row r="3468" spans="1:9" hidden="1" x14ac:dyDescent="0.25">
      <c r="A3468" t="s">
        <v>17</v>
      </c>
      <c r="B3468" t="s">
        <v>125</v>
      </c>
      <c r="C3468">
        <v>202311</v>
      </c>
      <c r="D3468" t="str">
        <f t="shared" si="54"/>
        <v>2023</v>
      </c>
      <c r="E3468">
        <v>10184</v>
      </c>
      <c r="F3468">
        <v>169042</v>
      </c>
      <c r="G3468">
        <v>6.02</v>
      </c>
      <c r="H3468" t="s">
        <v>10</v>
      </c>
      <c r="I3468" t="s">
        <v>11</v>
      </c>
    </row>
    <row r="3469" spans="1:9" hidden="1" x14ac:dyDescent="0.25">
      <c r="A3469" t="s">
        <v>17</v>
      </c>
      <c r="B3469" t="s">
        <v>125</v>
      </c>
      <c r="C3469">
        <v>202312</v>
      </c>
      <c r="D3469" t="str">
        <f t="shared" si="54"/>
        <v>2023</v>
      </c>
      <c r="E3469">
        <v>71506</v>
      </c>
      <c r="F3469">
        <v>169042</v>
      </c>
      <c r="G3469">
        <v>42.3</v>
      </c>
      <c r="H3469" t="s">
        <v>10</v>
      </c>
      <c r="I3469" t="s">
        <v>11</v>
      </c>
    </row>
    <row r="3470" spans="1:9" hidden="1" x14ac:dyDescent="0.25">
      <c r="A3470" t="s">
        <v>17</v>
      </c>
      <c r="B3470" t="s">
        <v>125</v>
      </c>
      <c r="C3470">
        <v>202401</v>
      </c>
      <c r="D3470" t="str">
        <f t="shared" si="54"/>
        <v>2024</v>
      </c>
      <c r="E3470">
        <v>54246</v>
      </c>
      <c r="F3470">
        <v>169042</v>
      </c>
      <c r="G3470">
        <v>32.090000000000003</v>
      </c>
      <c r="H3470" t="s">
        <v>10</v>
      </c>
      <c r="I3470" t="s">
        <v>11</v>
      </c>
    </row>
    <row r="3471" spans="1:9" hidden="1" x14ac:dyDescent="0.25">
      <c r="A3471" t="s">
        <v>17</v>
      </c>
      <c r="B3471" t="s">
        <v>122</v>
      </c>
      <c r="C3471">
        <v>201908</v>
      </c>
      <c r="D3471" t="str">
        <f t="shared" si="54"/>
        <v>2019</v>
      </c>
      <c r="E3471">
        <v>5</v>
      </c>
      <c r="F3471">
        <v>200101</v>
      </c>
      <c r="G3471">
        <v>0</v>
      </c>
      <c r="H3471" t="s">
        <v>10</v>
      </c>
      <c r="I3471" t="s">
        <v>11</v>
      </c>
    </row>
    <row r="3472" spans="1:9" hidden="1" x14ac:dyDescent="0.25">
      <c r="A3472" t="s">
        <v>17</v>
      </c>
      <c r="B3472" t="s">
        <v>122</v>
      </c>
      <c r="C3472">
        <v>202004</v>
      </c>
      <c r="D3472" t="str">
        <f t="shared" si="54"/>
        <v>2020</v>
      </c>
      <c r="E3472">
        <v>11</v>
      </c>
      <c r="F3472">
        <v>200101</v>
      </c>
      <c r="G3472">
        <v>0.01</v>
      </c>
      <c r="H3472" t="s">
        <v>10</v>
      </c>
      <c r="I3472" t="s">
        <v>11</v>
      </c>
    </row>
    <row r="3473" spans="1:9" hidden="1" x14ac:dyDescent="0.25">
      <c r="A3473" t="s">
        <v>17</v>
      </c>
      <c r="B3473" t="s">
        <v>122</v>
      </c>
      <c r="C3473">
        <v>202005</v>
      </c>
      <c r="D3473" t="str">
        <f t="shared" si="54"/>
        <v>2020</v>
      </c>
      <c r="E3473">
        <v>13</v>
      </c>
      <c r="F3473">
        <v>200101</v>
      </c>
      <c r="G3473">
        <v>0.01</v>
      </c>
      <c r="H3473" t="s">
        <v>10</v>
      </c>
      <c r="I3473" t="s">
        <v>11</v>
      </c>
    </row>
    <row r="3474" spans="1:9" hidden="1" x14ac:dyDescent="0.25">
      <c r="A3474" t="s">
        <v>17</v>
      </c>
      <c r="B3474" t="s">
        <v>122</v>
      </c>
      <c r="C3474">
        <v>202006</v>
      </c>
      <c r="D3474" t="str">
        <f t="shared" si="54"/>
        <v>2020</v>
      </c>
      <c r="E3474">
        <v>25</v>
      </c>
      <c r="F3474">
        <v>200101</v>
      </c>
      <c r="G3474">
        <v>0.01</v>
      </c>
      <c r="H3474" t="s">
        <v>10</v>
      </c>
      <c r="I3474" t="s">
        <v>11</v>
      </c>
    </row>
    <row r="3475" spans="1:9" hidden="1" x14ac:dyDescent="0.25">
      <c r="A3475" t="s">
        <v>17</v>
      </c>
      <c r="B3475" t="s">
        <v>122</v>
      </c>
      <c r="C3475">
        <v>202007</v>
      </c>
      <c r="D3475" t="str">
        <f t="shared" si="54"/>
        <v>2020</v>
      </c>
      <c r="E3475">
        <v>5</v>
      </c>
      <c r="F3475">
        <v>200101</v>
      </c>
      <c r="G3475">
        <v>0</v>
      </c>
      <c r="H3475" t="s">
        <v>10</v>
      </c>
      <c r="I3475" t="s">
        <v>11</v>
      </c>
    </row>
    <row r="3476" spans="1:9" hidden="1" x14ac:dyDescent="0.25">
      <c r="A3476" t="s">
        <v>17</v>
      </c>
      <c r="B3476" t="s">
        <v>122</v>
      </c>
      <c r="C3476">
        <v>202010</v>
      </c>
      <c r="D3476" t="str">
        <f t="shared" si="54"/>
        <v>2020</v>
      </c>
      <c r="E3476">
        <v>5</v>
      </c>
      <c r="F3476">
        <v>200101</v>
      </c>
      <c r="G3476">
        <v>0</v>
      </c>
      <c r="H3476" t="s">
        <v>10</v>
      </c>
      <c r="I3476" t="s">
        <v>11</v>
      </c>
    </row>
    <row r="3477" spans="1:9" hidden="1" x14ac:dyDescent="0.25">
      <c r="A3477" t="s">
        <v>17</v>
      </c>
      <c r="B3477" t="s">
        <v>122</v>
      </c>
      <c r="C3477">
        <v>202011</v>
      </c>
      <c r="D3477" t="str">
        <f t="shared" si="54"/>
        <v>2020</v>
      </c>
      <c r="E3477">
        <v>3</v>
      </c>
      <c r="F3477">
        <v>200101</v>
      </c>
      <c r="G3477">
        <v>0</v>
      </c>
      <c r="H3477" t="s">
        <v>10</v>
      </c>
      <c r="I3477" t="s">
        <v>11</v>
      </c>
    </row>
    <row r="3478" spans="1:9" hidden="1" x14ac:dyDescent="0.25">
      <c r="A3478" t="s">
        <v>17</v>
      </c>
      <c r="B3478" t="s">
        <v>122</v>
      </c>
      <c r="C3478">
        <v>202101</v>
      </c>
      <c r="D3478" t="str">
        <f t="shared" si="54"/>
        <v>2021</v>
      </c>
      <c r="E3478">
        <v>26</v>
      </c>
      <c r="F3478">
        <v>200101</v>
      </c>
      <c r="G3478">
        <v>0.01</v>
      </c>
      <c r="H3478" t="s">
        <v>10</v>
      </c>
      <c r="I3478" t="s">
        <v>11</v>
      </c>
    </row>
    <row r="3479" spans="1:9" hidden="1" x14ac:dyDescent="0.25">
      <c r="A3479" t="s">
        <v>17</v>
      </c>
      <c r="B3479" t="s">
        <v>122</v>
      </c>
      <c r="C3479">
        <v>202102</v>
      </c>
      <c r="D3479" t="str">
        <f t="shared" si="54"/>
        <v>2021</v>
      </c>
      <c r="E3479">
        <v>57</v>
      </c>
      <c r="F3479">
        <v>200101</v>
      </c>
      <c r="G3479">
        <v>0.03</v>
      </c>
      <c r="H3479" t="s">
        <v>10</v>
      </c>
      <c r="I3479" t="s">
        <v>11</v>
      </c>
    </row>
    <row r="3480" spans="1:9" hidden="1" x14ac:dyDescent="0.25">
      <c r="A3480" t="s">
        <v>17</v>
      </c>
      <c r="B3480" t="s">
        <v>122</v>
      </c>
      <c r="C3480">
        <v>202103</v>
      </c>
      <c r="D3480" t="str">
        <f t="shared" si="54"/>
        <v>2021</v>
      </c>
      <c r="E3480">
        <v>56</v>
      </c>
      <c r="F3480">
        <v>200101</v>
      </c>
      <c r="G3480">
        <v>0.03</v>
      </c>
      <c r="H3480" t="s">
        <v>10</v>
      </c>
      <c r="I3480" t="s">
        <v>11</v>
      </c>
    </row>
    <row r="3481" spans="1:9" hidden="1" x14ac:dyDescent="0.25">
      <c r="A3481" t="s">
        <v>17</v>
      </c>
      <c r="B3481" t="s">
        <v>122</v>
      </c>
      <c r="C3481">
        <v>202104</v>
      </c>
      <c r="D3481" t="str">
        <f t="shared" si="54"/>
        <v>2021</v>
      </c>
      <c r="E3481">
        <v>21</v>
      </c>
      <c r="F3481">
        <v>200101</v>
      </c>
      <c r="G3481">
        <v>0.01</v>
      </c>
      <c r="H3481" t="s">
        <v>10</v>
      </c>
      <c r="I3481" t="s">
        <v>11</v>
      </c>
    </row>
    <row r="3482" spans="1:9" hidden="1" x14ac:dyDescent="0.25">
      <c r="A3482" t="s">
        <v>17</v>
      </c>
      <c r="B3482" t="s">
        <v>122</v>
      </c>
      <c r="C3482">
        <v>202105</v>
      </c>
      <c r="D3482" t="str">
        <f t="shared" si="54"/>
        <v>2021</v>
      </c>
      <c r="E3482">
        <v>6</v>
      </c>
      <c r="F3482">
        <v>200101</v>
      </c>
      <c r="G3482">
        <v>0</v>
      </c>
      <c r="H3482" t="s">
        <v>10</v>
      </c>
      <c r="I3482" t="s">
        <v>11</v>
      </c>
    </row>
    <row r="3483" spans="1:9" hidden="1" x14ac:dyDescent="0.25">
      <c r="A3483" t="s">
        <v>17</v>
      </c>
      <c r="B3483" t="s">
        <v>122</v>
      </c>
      <c r="C3483">
        <v>202106</v>
      </c>
      <c r="D3483" t="str">
        <f t="shared" si="54"/>
        <v>2021</v>
      </c>
      <c r="E3483">
        <v>33</v>
      </c>
      <c r="F3483">
        <v>200101</v>
      </c>
      <c r="G3483">
        <v>0.02</v>
      </c>
      <c r="H3483" t="s">
        <v>10</v>
      </c>
      <c r="I3483" t="s">
        <v>11</v>
      </c>
    </row>
    <row r="3484" spans="1:9" hidden="1" x14ac:dyDescent="0.25">
      <c r="A3484" t="s">
        <v>17</v>
      </c>
      <c r="B3484" t="s">
        <v>122</v>
      </c>
      <c r="C3484">
        <v>202107</v>
      </c>
      <c r="D3484" t="str">
        <f t="shared" si="54"/>
        <v>2021</v>
      </c>
      <c r="E3484">
        <v>16</v>
      </c>
      <c r="F3484">
        <v>200101</v>
      </c>
      <c r="G3484">
        <v>0.01</v>
      </c>
      <c r="H3484" t="s">
        <v>10</v>
      </c>
      <c r="I3484" t="s">
        <v>11</v>
      </c>
    </row>
    <row r="3485" spans="1:9" hidden="1" x14ac:dyDescent="0.25">
      <c r="A3485" t="s">
        <v>17</v>
      </c>
      <c r="B3485" t="s">
        <v>122</v>
      </c>
      <c r="C3485">
        <v>202108</v>
      </c>
      <c r="D3485" t="str">
        <f t="shared" si="54"/>
        <v>2021</v>
      </c>
      <c r="E3485">
        <v>38</v>
      </c>
      <c r="F3485">
        <v>200101</v>
      </c>
      <c r="G3485">
        <v>0.02</v>
      </c>
      <c r="H3485" t="s">
        <v>10</v>
      </c>
      <c r="I3485" t="s">
        <v>11</v>
      </c>
    </row>
    <row r="3486" spans="1:9" hidden="1" x14ac:dyDescent="0.25">
      <c r="A3486" t="s">
        <v>17</v>
      </c>
      <c r="B3486" t="s">
        <v>122</v>
      </c>
      <c r="C3486">
        <v>202109</v>
      </c>
      <c r="D3486" t="str">
        <f t="shared" si="54"/>
        <v>2021</v>
      </c>
      <c r="E3486">
        <v>17</v>
      </c>
      <c r="F3486">
        <v>200101</v>
      </c>
      <c r="G3486">
        <v>0.01</v>
      </c>
      <c r="H3486" t="s">
        <v>10</v>
      </c>
      <c r="I3486" t="s">
        <v>11</v>
      </c>
    </row>
    <row r="3487" spans="1:9" hidden="1" x14ac:dyDescent="0.25">
      <c r="A3487" t="s">
        <v>17</v>
      </c>
      <c r="B3487" t="s">
        <v>122</v>
      </c>
      <c r="C3487">
        <v>202110</v>
      </c>
      <c r="D3487" t="str">
        <f t="shared" si="54"/>
        <v>2021</v>
      </c>
      <c r="E3487">
        <v>48</v>
      </c>
      <c r="F3487">
        <v>200101</v>
      </c>
      <c r="G3487">
        <v>0.02</v>
      </c>
      <c r="H3487" t="s">
        <v>10</v>
      </c>
      <c r="I3487" t="s">
        <v>11</v>
      </c>
    </row>
    <row r="3488" spans="1:9" hidden="1" x14ac:dyDescent="0.25">
      <c r="A3488" t="s">
        <v>17</v>
      </c>
      <c r="B3488" t="s">
        <v>122</v>
      </c>
      <c r="C3488">
        <v>202111</v>
      </c>
      <c r="D3488" t="str">
        <f t="shared" si="54"/>
        <v>2021</v>
      </c>
      <c r="E3488">
        <v>19</v>
      </c>
      <c r="F3488">
        <v>200101</v>
      </c>
      <c r="G3488">
        <v>0.01</v>
      </c>
      <c r="H3488" t="s">
        <v>10</v>
      </c>
      <c r="I3488" t="s">
        <v>11</v>
      </c>
    </row>
    <row r="3489" spans="1:9" hidden="1" x14ac:dyDescent="0.25">
      <c r="A3489" t="s">
        <v>17</v>
      </c>
      <c r="B3489" t="s">
        <v>122</v>
      </c>
      <c r="C3489">
        <v>202112</v>
      </c>
      <c r="D3489" t="str">
        <f t="shared" si="54"/>
        <v>2021</v>
      </c>
      <c r="E3489">
        <v>44</v>
      </c>
      <c r="F3489">
        <v>200101</v>
      </c>
      <c r="G3489">
        <v>0.02</v>
      </c>
      <c r="H3489" t="s">
        <v>10</v>
      </c>
      <c r="I3489" t="s">
        <v>11</v>
      </c>
    </row>
    <row r="3490" spans="1:9" hidden="1" x14ac:dyDescent="0.25">
      <c r="A3490" t="s">
        <v>17</v>
      </c>
      <c r="B3490" t="s">
        <v>122</v>
      </c>
      <c r="C3490">
        <v>202201</v>
      </c>
      <c r="D3490" t="str">
        <f t="shared" si="54"/>
        <v>2022</v>
      </c>
      <c r="E3490">
        <v>10</v>
      </c>
      <c r="F3490">
        <v>200101</v>
      </c>
      <c r="G3490">
        <v>0</v>
      </c>
      <c r="H3490" t="s">
        <v>10</v>
      </c>
      <c r="I3490" t="s">
        <v>11</v>
      </c>
    </row>
    <row r="3491" spans="1:9" hidden="1" x14ac:dyDescent="0.25">
      <c r="A3491" t="s">
        <v>17</v>
      </c>
      <c r="B3491" t="s">
        <v>122</v>
      </c>
      <c r="C3491">
        <v>202202</v>
      </c>
      <c r="D3491" t="str">
        <f t="shared" si="54"/>
        <v>2022</v>
      </c>
      <c r="E3491">
        <v>44</v>
      </c>
      <c r="F3491">
        <v>200101</v>
      </c>
      <c r="G3491">
        <v>0.02</v>
      </c>
      <c r="H3491" t="s">
        <v>10</v>
      </c>
      <c r="I3491" t="s">
        <v>11</v>
      </c>
    </row>
    <row r="3492" spans="1:9" hidden="1" x14ac:dyDescent="0.25">
      <c r="A3492" t="s">
        <v>17</v>
      </c>
      <c r="B3492" t="s">
        <v>122</v>
      </c>
      <c r="C3492">
        <v>202203</v>
      </c>
      <c r="D3492" t="str">
        <f t="shared" si="54"/>
        <v>2022</v>
      </c>
      <c r="E3492">
        <v>58</v>
      </c>
      <c r="F3492">
        <v>200101</v>
      </c>
      <c r="G3492">
        <v>0.03</v>
      </c>
      <c r="H3492" t="s">
        <v>10</v>
      </c>
      <c r="I3492" t="s">
        <v>11</v>
      </c>
    </row>
    <row r="3493" spans="1:9" hidden="1" x14ac:dyDescent="0.25">
      <c r="A3493" t="s">
        <v>17</v>
      </c>
      <c r="B3493" t="s">
        <v>122</v>
      </c>
      <c r="C3493">
        <v>202204</v>
      </c>
      <c r="D3493" t="str">
        <f t="shared" si="54"/>
        <v>2022</v>
      </c>
      <c r="E3493">
        <v>62</v>
      </c>
      <c r="F3493">
        <v>200101</v>
      </c>
      <c r="G3493">
        <v>0.03</v>
      </c>
      <c r="H3493" t="s">
        <v>10</v>
      </c>
      <c r="I3493" t="s">
        <v>11</v>
      </c>
    </row>
    <row r="3494" spans="1:9" hidden="1" x14ac:dyDescent="0.25">
      <c r="A3494" t="s">
        <v>17</v>
      </c>
      <c r="B3494" t="s">
        <v>122</v>
      </c>
      <c r="C3494">
        <v>202205</v>
      </c>
      <c r="D3494" t="str">
        <f t="shared" si="54"/>
        <v>2022</v>
      </c>
      <c r="E3494">
        <v>101</v>
      </c>
      <c r="F3494">
        <v>200101</v>
      </c>
      <c r="G3494">
        <v>0.05</v>
      </c>
      <c r="H3494" t="s">
        <v>10</v>
      </c>
      <c r="I3494" t="s">
        <v>11</v>
      </c>
    </row>
    <row r="3495" spans="1:9" hidden="1" x14ac:dyDescent="0.25">
      <c r="A3495" t="s">
        <v>17</v>
      </c>
      <c r="B3495" t="s">
        <v>122</v>
      </c>
      <c r="C3495">
        <v>202206</v>
      </c>
      <c r="D3495" t="str">
        <f t="shared" si="54"/>
        <v>2022</v>
      </c>
      <c r="E3495">
        <v>109</v>
      </c>
      <c r="F3495">
        <v>200101</v>
      </c>
      <c r="G3495">
        <v>0.05</v>
      </c>
      <c r="H3495" t="s">
        <v>10</v>
      </c>
      <c r="I3495" t="s">
        <v>11</v>
      </c>
    </row>
    <row r="3496" spans="1:9" hidden="1" x14ac:dyDescent="0.25">
      <c r="A3496" t="s">
        <v>17</v>
      </c>
      <c r="B3496" t="s">
        <v>122</v>
      </c>
      <c r="C3496">
        <v>202207</v>
      </c>
      <c r="D3496" t="str">
        <f t="shared" si="54"/>
        <v>2022</v>
      </c>
      <c r="E3496">
        <v>90</v>
      </c>
      <c r="F3496">
        <v>200101</v>
      </c>
      <c r="G3496">
        <v>0.04</v>
      </c>
      <c r="H3496" t="s">
        <v>10</v>
      </c>
      <c r="I3496" t="s">
        <v>11</v>
      </c>
    </row>
    <row r="3497" spans="1:9" hidden="1" x14ac:dyDescent="0.25">
      <c r="A3497" t="s">
        <v>17</v>
      </c>
      <c r="B3497" t="s">
        <v>122</v>
      </c>
      <c r="C3497">
        <v>202208</v>
      </c>
      <c r="D3497" t="str">
        <f t="shared" si="54"/>
        <v>2022</v>
      </c>
      <c r="E3497">
        <v>66</v>
      </c>
      <c r="F3497">
        <v>200101</v>
      </c>
      <c r="G3497">
        <v>0.03</v>
      </c>
      <c r="H3497" t="s">
        <v>10</v>
      </c>
      <c r="I3497" t="s">
        <v>11</v>
      </c>
    </row>
    <row r="3498" spans="1:9" hidden="1" x14ac:dyDescent="0.25">
      <c r="A3498" t="s">
        <v>17</v>
      </c>
      <c r="B3498" t="s">
        <v>122</v>
      </c>
      <c r="C3498">
        <v>202209</v>
      </c>
      <c r="D3498" t="str">
        <f t="shared" si="54"/>
        <v>2022</v>
      </c>
      <c r="E3498">
        <v>93</v>
      </c>
      <c r="F3498">
        <v>200101</v>
      </c>
      <c r="G3498">
        <v>0.05</v>
      </c>
      <c r="H3498" t="s">
        <v>10</v>
      </c>
      <c r="I3498" t="s">
        <v>11</v>
      </c>
    </row>
    <row r="3499" spans="1:9" hidden="1" x14ac:dyDescent="0.25">
      <c r="A3499" t="s">
        <v>17</v>
      </c>
      <c r="B3499" t="s">
        <v>122</v>
      </c>
      <c r="C3499">
        <v>202210</v>
      </c>
      <c r="D3499" t="str">
        <f t="shared" si="54"/>
        <v>2022</v>
      </c>
      <c r="E3499">
        <v>128</v>
      </c>
      <c r="F3499">
        <v>200101</v>
      </c>
      <c r="G3499">
        <v>0.06</v>
      </c>
      <c r="H3499" t="s">
        <v>10</v>
      </c>
      <c r="I3499" t="s">
        <v>11</v>
      </c>
    </row>
    <row r="3500" spans="1:9" hidden="1" x14ac:dyDescent="0.25">
      <c r="A3500" t="s">
        <v>17</v>
      </c>
      <c r="B3500" t="s">
        <v>122</v>
      </c>
      <c r="C3500">
        <v>202211</v>
      </c>
      <c r="D3500" t="str">
        <f t="shared" si="54"/>
        <v>2022</v>
      </c>
      <c r="E3500">
        <v>295</v>
      </c>
      <c r="F3500">
        <v>200101</v>
      </c>
      <c r="G3500">
        <v>0.15</v>
      </c>
      <c r="H3500" t="s">
        <v>10</v>
      </c>
      <c r="I3500" t="s">
        <v>11</v>
      </c>
    </row>
    <row r="3501" spans="1:9" hidden="1" x14ac:dyDescent="0.25">
      <c r="A3501" t="s">
        <v>17</v>
      </c>
      <c r="B3501" t="s">
        <v>122</v>
      </c>
      <c r="C3501">
        <v>202212</v>
      </c>
      <c r="D3501" t="str">
        <f t="shared" si="54"/>
        <v>2022</v>
      </c>
      <c r="E3501">
        <v>330</v>
      </c>
      <c r="F3501">
        <v>200101</v>
      </c>
      <c r="G3501">
        <v>0.16</v>
      </c>
      <c r="H3501" t="s">
        <v>10</v>
      </c>
      <c r="I3501" t="s">
        <v>11</v>
      </c>
    </row>
    <row r="3502" spans="1:9" hidden="1" x14ac:dyDescent="0.25">
      <c r="A3502" t="s">
        <v>17</v>
      </c>
      <c r="B3502" t="s">
        <v>122</v>
      </c>
      <c r="C3502">
        <v>202301</v>
      </c>
      <c r="D3502" t="str">
        <f t="shared" si="54"/>
        <v>2023</v>
      </c>
      <c r="E3502">
        <v>1796</v>
      </c>
      <c r="F3502">
        <v>200101</v>
      </c>
      <c r="G3502">
        <v>0.9</v>
      </c>
      <c r="H3502" t="s">
        <v>10</v>
      </c>
      <c r="I3502" t="s">
        <v>11</v>
      </c>
    </row>
    <row r="3503" spans="1:9" hidden="1" x14ac:dyDescent="0.25">
      <c r="A3503" t="s">
        <v>17</v>
      </c>
      <c r="B3503" t="s">
        <v>122</v>
      </c>
      <c r="C3503">
        <v>202302</v>
      </c>
      <c r="D3503" t="str">
        <f t="shared" si="54"/>
        <v>2023</v>
      </c>
      <c r="E3503">
        <v>2272</v>
      </c>
      <c r="F3503">
        <v>200101</v>
      </c>
      <c r="G3503">
        <v>1.1399999999999999</v>
      </c>
      <c r="H3503" t="s">
        <v>10</v>
      </c>
      <c r="I3503" t="s">
        <v>11</v>
      </c>
    </row>
    <row r="3504" spans="1:9" hidden="1" x14ac:dyDescent="0.25">
      <c r="A3504" t="s">
        <v>17</v>
      </c>
      <c r="B3504" t="s">
        <v>122</v>
      </c>
      <c r="C3504">
        <v>202303</v>
      </c>
      <c r="D3504" t="str">
        <f t="shared" si="54"/>
        <v>2023</v>
      </c>
      <c r="E3504">
        <v>3388</v>
      </c>
      <c r="F3504">
        <v>200101</v>
      </c>
      <c r="G3504">
        <v>1.69</v>
      </c>
      <c r="H3504" t="s">
        <v>10</v>
      </c>
      <c r="I3504" t="s">
        <v>11</v>
      </c>
    </row>
    <row r="3505" spans="1:9" hidden="1" x14ac:dyDescent="0.25">
      <c r="A3505" t="s">
        <v>17</v>
      </c>
      <c r="B3505" t="s">
        <v>122</v>
      </c>
      <c r="C3505">
        <v>202304</v>
      </c>
      <c r="D3505" t="str">
        <f t="shared" si="54"/>
        <v>2023</v>
      </c>
      <c r="E3505">
        <v>3344</v>
      </c>
      <c r="F3505">
        <v>200101</v>
      </c>
      <c r="G3505">
        <v>1.67</v>
      </c>
      <c r="H3505" t="s">
        <v>10</v>
      </c>
      <c r="I3505" t="s">
        <v>11</v>
      </c>
    </row>
    <row r="3506" spans="1:9" hidden="1" x14ac:dyDescent="0.25">
      <c r="A3506" t="s">
        <v>17</v>
      </c>
      <c r="B3506" t="s">
        <v>122</v>
      </c>
      <c r="C3506">
        <v>202305</v>
      </c>
      <c r="D3506" t="str">
        <f t="shared" si="54"/>
        <v>2023</v>
      </c>
      <c r="E3506">
        <v>3246</v>
      </c>
      <c r="F3506">
        <v>200101</v>
      </c>
      <c r="G3506">
        <v>1.62</v>
      </c>
      <c r="H3506" t="s">
        <v>10</v>
      </c>
      <c r="I3506" t="s">
        <v>11</v>
      </c>
    </row>
    <row r="3507" spans="1:9" hidden="1" x14ac:dyDescent="0.25">
      <c r="A3507" t="s">
        <v>17</v>
      </c>
      <c r="B3507" t="s">
        <v>122</v>
      </c>
      <c r="C3507">
        <v>202306</v>
      </c>
      <c r="D3507" t="str">
        <f t="shared" si="54"/>
        <v>2023</v>
      </c>
      <c r="E3507">
        <v>3717</v>
      </c>
      <c r="F3507">
        <v>200101</v>
      </c>
      <c r="G3507">
        <v>1.86</v>
      </c>
      <c r="H3507" t="s">
        <v>10</v>
      </c>
      <c r="I3507" t="s">
        <v>11</v>
      </c>
    </row>
    <row r="3508" spans="1:9" hidden="1" x14ac:dyDescent="0.25">
      <c r="A3508" t="s">
        <v>17</v>
      </c>
      <c r="B3508" t="s">
        <v>122</v>
      </c>
      <c r="C3508">
        <v>202307</v>
      </c>
      <c r="D3508" t="str">
        <f t="shared" si="54"/>
        <v>2023</v>
      </c>
      <c r="E3508">
        <v>3851</v>
      </c>
      <c r="F3508">
        <v>200101</v>
      </c>
      <c r="G3508">
        <v>1.92</v>
      </c>
      <c r="H3508" t="s">
        <v>10</v>
      </c>
      <c r="I3508" t="s">
        <v>11</v>
      </c>
    </row>
    <row r="3509" spans="1:9" hidden="1" x14ac:dyDescent="0.25">
      <c r="A3509" t="s">
        <v>17</v>
      </c>
      <c r="B3509" t="s">
        <v>122</v>
      </c>
      <c r="C3509">
        <v>202308</v>
      </c>
      <c r="D3509" t="str">
        <f t="shared" si="54"/>
        <v>2023</v>
      </c>
      <c r="E3509">
        <v>4507</v>
      </c>
      <c r="F3509">
        <v>200101</v>
      </c>
      <c r="G3509">
        <v>2.25</v>
      </c>
      <c r="H3509" t="s">
        <v>10</v>
      </c>
      <c r="I3509" t="s">
        <v>11</v>
      </c>
    </row>
    <row r="3510" spans="1:9" hidden="1" x14ac:dyDescent="0.25">
      <c r="A3510" t="s">
        <v>17</v>
      </c>
      <c r="B3510" t="s">
        <v>122</v>
      </c>
      <c r="C3510">
        <v>202309</v>
      </c>
      <c r="D3510" t="str">
        <f t="shared" si="54"/>
        <v>2023</v>
      </c>
      <c r="E3510">
        <v>4616</v>
      </c>
      <c r="F3510">
        <v>200101</v>
      </c>
      <c r="G3510">
        <v>2.31</v>
      </c>
      <c r="H3510" t="s">
        <v>10</v>
      </c>
      <c r="I3510" t="s">
        <v>11</v>
      </c>
    </row>
    <row r="3511" spans="1:9" hidden="1" x14ac:dyDescent="0.25">
      <c r="A3511" t="s">
        <v>17</v>
      </c>
      <c r="B3511" t="s">
        <v>122</v>
      </c>
      <c r="C3511">
        <v>202310</v>
      </c>
      <c r="D3511" t="str">
        <f t="shared" si="54"/>
        <v>2023</v>
      </c>
      <c r="E3511">
        <v>7052</v>
      </c>
      <c r="F3511">
        <v>200101</v>
      </c>
      <c r="G3511">
        <v>3.52</v>
      </c>
      <c r="H3511" t="s">
        <v>10</v>
      </c>
      <c r="I3511" t="s">
        <v>11</v>
      </c>
    </row>
    <row r="3512" spans="1:9" hidden="1" x14ac:dyDescent="0.25">
      <c r="A3512" t="s">
        <v>17</v>
      </c>
      <c r="B3512" t="s">
        <v>122</v>
      </c>
      <c r="C3512">
        <v>202311</v>
      </c>
      <c r="D3512" t="str">
        <f t="shared" si="54"/>
        <v>2023</v>
      </c>
      <c r="E3512">
        <v>5308</v>
      </c>
      <c r="F3512">
        <v>200101</v>
      </c>
      <c r="G3512">
        <v>2.65</v>
      </c>
      <c r="H3512" t="s">
        <v>10</v>
      </c>
      <c r="I3512" t="s">
        <v>11</v>
      </c>
    </row>
    <row r="3513" spans="1:9" hidden="1" x14ac:dyDescent="0.25">
      <c r="A3513" t="s">
        <v>17</v>
      </c>
      <c r="B3513" t="s">
        <v>122</v>
      </c>
      <c r="C3513">
        <v>202312</v>
      </c>
      <c r="D3513" t="str">
        <f t="shared" si="54"/>
        <v>2023</v>
      </c>
      <c r="E3513">
        <v>9153</v>
      </c>
      <c r="F3513">
        <v>200101</v>
      </c>
      <c r="G3513">
        <v>4.57</v>
      </c>
      <c r="H3513" t="s">
        <v>10</v>
      </c>
      <c r="I3513" t="s">
        <v>11</v>
      </c>
    </row>
    <row r="3514" spans="1:9" hidden="1" x14ac:dyDescent="0.25">
      <c r="A3514" t="s">
        <v>17</v>
      </c>
      <c r="B3514" t="s">
        <v>122</v>
      </c>
      <c r="C3514">
        <v>202401</v>
      </c>
      <c r="D3514" t="str">
        <f t="shared" si="54"/>
        <v>2024</v>
      </c>
      <c r="E3514">
        <v>85018</v>
      </c>
      <c r="F3514">
        <v>200101</v>
      </c>
      <c r="G3514">
        <v>42.49</v>
      </c>
      <c r="H3514" t="s">
        <v>10</v>
      </c>
      <c r="I3514" t="s">
        <v>11</v>
      </c>
    </row>
    <row r="3515" spans="1:9" hidden="1" x14ac:dyDescent="0.25">
      <c r="A3515" t="s">
        <v>17</v>
      </c>
      <c r="B3515" t="s">
        <v>122</v>
      </c>
      <c r="C3515">
        <v>202402</v>
      </c>
      <c r="D3515" t="str">
        <f t="shared" si="54"/>
        <v>2024</v>
      </c>
      <c r="E3515">
        <v>60999</v>
      </c>
      <c r="F3515">
        <v>200101</v>
      </c>
      <c r="G3515">
        <v>30.48</v>
      </c>
      <c r="H3515" t="s">
        <v>10</v>
      </c>
      <c r="I3515" t="s">
        <v>11</v>
      </c>
    </row>
    <row r="3516" spans="1:9" hidden="1" x14ac:dyDescent="0.25">
      <c r="A3516" t="s">
        <v>17</v>
      </c>
      <c r="B3516" t="s">
        <v>63</v>
      </c>
      <c r="C3516">
        <v>201903</v>
      </c>
      <c r="D3516" t="str">
        <f t="shared" si="54"/>
        <v>2019</v>
      </c>
      <c r="E3516">
        <v>1</v>
      </c>
      <c r="F3516">
        <v>188486</v>
      </c>
      <c r="G3516">
        <v>0</v>
      </c>
      <c r="H3516" t="s">
        <v>10</v>
      </c>
      <c r="I3516" t="s">
        <v>11</v>
      </c>
    </row>
    <row r="3517" spans="1:9" hidden="1" x14ac:dyDescent="0.25">
      <c r="A3517" t="s">
        <v>17</v>
      </c>
      <c r="B3517" t="s">
        <v>63</v>
      </c>
      <c r="C3517">
        <v>201905</v>
      </c>
      <c r="D3517" t="str">
        <f t="shared" si="54"/>
        <v>2019</v>
      </c>
      <c r="E3517">
        <v>2</v>
      </c>
      <c r="F3517">
        <v>188486</v>
      </c>
      <c r="G3517">
        <v>0</v>
      </c>
      <c r="H3517" t="s">
        <v>10</v>
      </c>
      <c r="I3517" t="s">
        <v>11</v>
      </c>
    </row>
    <row r="3518" spans="1:9" hidden="1" x14ac:dyDescent="0.25">
      <c r="A3518" t="s">
        <v>17</v>
      </c>
      <c r="B3518" t="s">
        <v>63</v>
      </c>
      <c r="C3518">
        <v>201908</v>
      </c>
      <c r="D3518" t="str">
        <f t="shared" si="54"/>
        <v>2019</v>
      </c>
      <c r="E3518">
        <v>3</v>
      </c>
      <c r="F3518">
        <v>188486</v>
      </c>
      <c r="G3518">
        <v>0</v>
      </c>
      <c r="H3518" t="s">
        <v>10</v>
      </c>
      <c r="I3518" t="s">
        <v>11</v>
      </c>
    </row>
    <row r="3519" spans="1:9" hidden="1" x14ac:dyDescent="0.25">
      <c r="A3519" t="s">
        <v>17</v>
      </c>
      <c r="B3519" t="s">
        <v>63</v>
      </c>
      <c r="C3519">
        <v>201909</v>
      </c>
      <c r="D3519" t="str">
        <f t="shared" si="54"/>
        <v>2019</v>
      </c>
      <c r="E3519">
        <v>27</v>
      </c>
      <c r="F3519">
        <v>188486</v>
      </c>
      <c r="G3519">
        <v>0.01</v>
      </c>
      <c r="H3519" t="s">
        <v>10</v>
      </c>
      <c r="I3519" t="s">
        <v>11</v>
      </c>
    </row>
    <row r="3520" spans="1:9" hidden="1" x14ac:dyDescent="0.25">
      <c r="A3520" t="s">
        <v>17</v>
      </c>
      <c r="B3520" t="s">
        <v>63</v>
      </c>
      <c r="C3520">
        <v>201910</v>
      </c>
      <c r="D3520" t="str">
        <f t="shared" si="54"/>
        <v>2019</v>
      </c>
      <c r="E3520">
        <v>22</v>
      </c>
      <c r="F3520">
        <v>188486</v>
      </c>
      <c r="G3520">
        <v>0.01</v>
      </c>
      <c r="H3520" t="s">
        <v>10</v>
      </c>
      <c r="I3520" t="s">
        <v>11</v>
      </c>
    </row>
    <row r="3521" spans="1:9" hidden="1" x14ac:dyDescent="0.25">
      <c r="A3521" t="s">
        <v>17</v>
      </c>
      <c r="B3521" t="s">
        <v>63</v>
      </c>
      <c r="C3521">
        <v>202002</v>
      </c>
      <c r="D3521" t="str">
        <f t="shared" si="54"/>
        <v>2020</v>
      </c>
      <c r="E3521">
        <v>1</v>
      </c>
      <c r="F3521">
        <v>188486</v>
      </c>
      <c r="G3521">
        <v>0</v>
      </c>
      <c r="H3521" t="s">
        <v>10</v>
      </c>
      <c r="I3521" t="s">
        <v>11</v>
      </c>
    </row>
    <row r="3522" spans="1:9" hidden="1" x14ac:dyDescent="0.25">
      <c r="A3522" t="s">
        <v>17</v>
      </c>
      <c r="B3522" t="s">
        <v>63</v>
      </c>
      <c r="C3522">
        <v>202004</v>
      </c>
      <c r="D3522" t="str">
        <f t="shared" si="54"/>
        <v>2020</v>
      </c>
      <c r="E3522">
        <v>3</v>
      </c>
      <c r="F3522">
        <v>188486</v>
      </c>
      <c r="G3522">
        <v>0</v>
      </c>
      <c r="H3522" t="s">
        <v>10</v>
      </c>
      <c r="I3522" t="s">
        <v>11</v>
      </c>
    </row>
    <row r="3523" spans="1:9" hidden="1" x14ac:dyDescent="0.25">
      <c r="A3523" t="s">
        <v>17</v>
      </c>
      <c r="B3523" t="s">
        <v>63</v>
      </c>
      <c r="C3523">
        <v>202005</v>
      </c>
      <c r="D3523" t="str">
        <f t="shared" ref="D3523:D3586" si="55">LEFT(C3523,4)</f>
        <v>2020</v>
      </c>
      <c r="E3523">
        <v>10</v>
      </c>
      <c r="F3523">
        <v>188486</v>
      </c>
      <c r="G3523">
        <v>0.01</v>
      </c>
      <c r="H3523" t="s">
        <v>10</v>
      </c>
      <c r="I3523" t="s">
        <v>11</v>
      </c>
    </row>
    <row r="3524" spans="1:9" hidden="1" x14ac:dyDescent="0.25">
      <c r="A3524" t="s">
        <v>17</v>
      </c>
      <c r="B3524" t="s">
        <v>63</v>
      </c>
      <c r="C3524">
        <v>202007</v>
      </c>
      <c r="D3524" t="str">
        <f t="shared" si="55"/>
        <v>2020</v>
      </c>
      <c r="E3524">
        <v>9</v>
      </c>
      <c r="F3524">
        <v>188486</v>
      </c>
      <c r="G3524">
        <v>0</v>
      </c>
      <c r="H3524" t="s">
        <v>10</v>
      </c>
      <c r="I3524" t="s">
        <v>11</v>
      </c>
    </row>
    <row r="3525" spans="1:9" hidden="1" x14ac:dyDescent="0.25">
      <c r="A3525" t="s">
        <v>17</v>
      </c>
      <c r="B3525" t="s">
        <v>63</v>
      </c>
      <c r="C3525">
        <v>202009</v>
      </c>
      <c r="D3525" t="str">
        <f t="shared" si="55"/>
        <v>2020</v>
      </c>
      <c r="E3525">
        <v>14</v>
      </c>
      <c r="F3525">
        <v>188486</v>
      </c>
      <c r="G3525">
        <v>0.01</v>
      </c>
      <c r="H3525" t="s">
        <v>10</v>
      </c>
      <c r="I3525" t="s">
        <v>11</v>
      </c>
    </row>
    <row r="3526" spans="1:9" hidden="1" x14ac:dyDescent="0.25">
      <c r="A3526" t="s">
        <v>17</v>
      </c>
      <c r="B3526" t="s">
        <v>63</v>
      </c>
      <c r="C3526">
        <v>202010</v>
      </c>
      <c r="D3526" t="str">
        <f t="shared" si="55"/>
        <v>2020</v>
      </c>
      <c r="E3526">
        <v>10</v>
      </c>
      <c r="F3526">
        <v>188486</v>
      </c>
      <c r="G3526">
        <v>0.01</v>
      </c>
      <c r="H3526" t="s">
        <v>10</v>
      </c>
      <c r="I3526" t="s">
        <v>11</v>
      </c>
    </row>
    <row r="3527" spans="1:9" hidden="1" x14ac:dyDescent="0.25">
      <c r="A3527" t="s">
        <v>17</v>
      </c>
      <c r="B3527" t="s">
        <v>63</v>
      </c>
      <c r="C3527">
        <v>202011</v>
      </c>
      <c r="D3527" t="str">
        <f t="shared" si="55"/>
        <v>2020</v>
      </c>
      <c r="E3527">
        <v>2</v>
      </c>
      <c r="F3527">
        <v>188486</v>
      </c>
      <c r="G3527">
        <v>0</v>
      </c>
      <c r="H3527" t="s">
        <v>10</v>
      </c>
      <c r="I3527" t="s">
        <v>11</v>
      </c>
    </row>
    <row r="3528" spans="1:9" hidden="1" x14ac:dyDescent="0.25">
      <c r="A3528" t="s">
        <v>17</v>
      </c>
      <c r="B3528" t="s">
        <v>63</v>
      </c>
      <c r="C3528">
        <v>202101</v>
      </c>
      <c r="D3528" t="str">
        <f t="shared" si="55"/>
        <v>2021</v>
      </c>
      <c r="E3528">
        <v>9</v>
      </c>
      <c r="F3528">
        <v>188486</v>
      </c>
      <c r="G3528">
        <v>0</v>
      </c>
      <c r="H3528" t="s">
        <v>10</v>
      </c>
      <c r="I3528" t="s">
        <v>11</v>
      </c>
    </row>
    <row r="3529" spans="1:9" hidden="1" x14ac:dyDescent="0.25">
      <c r="A3529" t="s">
        <v>17</v>
      </c>
      <c r="B3529" t="s">
        <v>63</v>
      </c>
      <c r="C3529">
        <v>202102</v>
      </c>
      <c r="D3529" t="str">
        <f t="shared" si="55"/>
        <v>2021</v>
      </c>
      <c r="E3529">
        <v>33</v>
      </c>
      <c r="F3529">
        <v>188486</v>
      </c>
      <c r="G3529">
        <v>0.02</v>
      </c>
      <c r="H3529" t="s">
        <v>10</v>
      </c>
      <c r="I3529" t="s">
        <v>11</v>
      </c>
    </row>
    <row r="3530" spans="1:9" hidden="1" x14ac:dyDescent="0.25">
      <c r="A3530" t="s">
        <v>17</v>
      </c>
      <c r="B3530" t="s">
        <v>63</v>
      </c>
      <c r="C3530">
        <v>202103</v>
      </c>
      <c r="D3530" t="str">
        <f t="shared" si="55"/>
        <v>2021</v>
      </c>
      <c r="E3530">
        <v>49</v>
      </c>
      <c r="F3530">
        <v>188486</v>
      </c>
      <c r="G3530">
        <v>0.03</v>
      </c>
      <c r="H3530" t="s">
        <v>10</v>
      </c>
      <c r="I3530" t="s">
        <v>11</v>
      </c>
    </row>
    <row r="3531" spans="1:9" hidden="1" x14ac:dyDescent="0.25">
      <c r="A3531" t="s">
        <v>17</v>
      </c>
      <c r="B3531" t="s">
        <v>63</v>
      </c>
      <c r="C3531">
        <v>202104</v>
      </c>
      <c r="D3531" t="str">
        <f t="shared" si="55"/>
        <v>2021</v>
      </c>
      <c r="E3531">
        <v>25</v>
      </c>
      <c r="F3531">
        <v>188486</v>
      </c>
      <c r="G3531">
        <v>0.01</v>
      </c>
      <c r="H3531" t="s">
        <v>10</v>
      </c>
      <c r="I3531" t="s">
        <v>11</v>
      </c>
    </row>
    <row r="3532" spans="1:9" hidden="1" x14ac:dyDescent="0.25">
      <c r="A3532" t="s">
        <v>17</v>
      </c>
      <c r="B3532" t="s">
        <v>63</v>
      </c>
      <c r="C3532">
        <v>202105</v>
      </c>
      <c r="D3532" t="str">
        <f t="shared" si="55"/>
        <v>2021</v>
      </c>
      <c r="E3532">
        <v>11</v>
      </c>
      <c r="F3532">
        <v>188486</v>
      </c>
      <c r="G3532">
        <v>0.01</v>
      </c>
      <c r="H3532" t="s">
        <v>10</v>
      </c>
      <c r="I3532" t="s">
        <v>11</v>
      </c>
    </row>
    <row r="3533" spans="1:9" hidden="1" x14ac:dyDescent="0.25">
      <c r="A3533" t="s">
        <v>17</v>
      </c>
      <c r="B3533" t="s">
        <v>63</v>
      </c>
      <c r="C3533">
        <v>202106</v>
      </c>
      <c r="D3533" t="str">
        <f t="shared" si="55"/>
        <v>2021</v>
      </c>
      <c r="E3533">
        <v>12</v>
      </c>
      <c r="F3533">
        <v>188486</v>
      </c>
      <c r="G3533">
        <v>0.01</v>
      </c>
      <c r="H3533" t="s">
        <v>10</v>
      </c>
      <c r="I3533" t="s">
        <v>11</v>
      </c>
    </row>
    <row r="3534" spans="1:9" hidden="1" x14ac:dyDescent="0.25">
      <c r="A3534" t="s">
        <v>17</v>
      </c>
      <c r="B3534" t="s">
        <v>63</v>
      </c>
      <c r="C3534">
        <v>202107</v>
      </c>
      <c r="D3534" t="str">
        <f t="shared" si="55"/>
        <v>2021</v>
      </c>
      <c r="E3534">
        <v>25</v>
      </c>
      <c r="F3534">
        <v>188486</v>
      </c>
      <c r="G3534">
        <v>0.01</v>
      </c>
      <c r="H3534" t="s">
        <v>10</v>
      </c>
      <c r="I3534" t="s">
        <v>11</v>
      </c>
    </row>
    <row r="3535" spans="1:9" hidden="1" x14ac:dyDescent="0.25">
      <c r="A3535" t="s">
        <v>17</v>
      </c>
      <c r="B3535" t="s">
        <v>63</v>
      </c>
      <c r="C3535">
        <v>202108</v>
      </c>
      <c r="D3535" t="str">
        <f t="shared" si="55"/>
        <v>2021</v>
      </c>
      <c r="E3535">
        <v>9</v>
      </c>
      <c r="F3535">
        <v>188486</v>
      </c>
      <c r="G3535">
        <v>0</v>
      </c>
      <c r="H3535" t="s">
        <v>10</v>
      </c>
      <c r="I3535" t="s">
        <v>11</v>
      </c>
    </row>
    <row r="3536" spans="1:9" hidden="1" x14ac:dyDescent="0.25">
      <c r="A3536" t="s">
        <v>17</v>
      </c>
      <c r="B3536" t="s">
        <v>63</v>
      </c>
      <c r="C3536">
        <v>202109</v>
      </c>
      <c r="D3536" t="str">
        <f t="shared" si="55"/>
        <v>2021</v>
      </c>
      <c r="E3536">
        <v>4</v>
      </c>
      <c r="F3536">
        <v>188486</v>
      </c>
      <c r="G3536">
        <v>0</v>
      </c>
      <c r="H3536" t="s">
        <v>10</v>
      </c>
      <c r="I3536" t="s">
        <v>11</v>
      </c>
    </row>
    <row r="3537" spans="1:9" hidden="1" x14ac:dyDescent="0.25">
      <c r="A3537" t="s">
        <v>17</v>
      </c>
      <c r="B3537" t="s">
        <v>63</v>
      </c>
      <c r="C3537">
        <v>202110</v>
      </c>
      <c r="D3537" t="str">
        <f t="shared" si="55"/>
        <v>2021</v>
      </c>
      <c r="E3537">
        <v>18</v>
      </c>
      <c r="F3537">
        <v>188486</v>
      </c>
      <c r="G3537">
        <v>0.01</v>
      </c>
      <c r="H3537" t="s">
        <v>10</v>
      </c>
      <c r="I3537" t="s">
        <v>11</v>
      </c>
    </row>
    <row r="3538" spans="1:9" hidden="1" x14ac:dyDescent="0.25">
      <c r="A3538" t="s">
        <v>17</v>
      </c>
      <c r="B3538" t="s">
        <v>63</v>
      </c>
      <c r="C3538">
        <v>202111</v>
      </c>
      <c r="D3538" t="str">
        <f t="shared" si="55"/>
        <v>2021</v>
      </c>
      <c r="E3538">
        <v>35</v>
      </c>
      <c r="F3538">
        <v>188486</v>
      </c>
      <c r="G3538">
        <v>0.02</v>
      </c>
      <c r="H3538" t="s">
        <v>10</v>
      </c>
      <c r="I3538" t="s">
        <v>11</v>
      </c>
    </row>
    <row r="3539" spans="1:9" hidden="1" x14ac:dyDescent="0.25">
      <c r="A3539" t="s">
        <v>17</v>
      </c>
      <c r="B3539" t="s">
        <v>63</v>
      </c>
      <c r="C3539">
        <v>202112</v>
      </c>
      <c r="D3539" t="str">
        <f t="shared" si="55"/>
        <v>2021</v>
      </c>
      <c r="E3539">
        <v>7</v>
      </c>
      <c r="F3539">
        <v>188486</v>
      </c>
      <c r="G3539">
        <v>0</v>
      </c>
      <c r="H3539" t="s">
        <v>10</v>
      </c>
      <c r="I3539" t="s">
        <v>11</v>
      </c>
    </row>
    <row r="3540" spans="1:9" hidden="1" x14ac:dyDescent="0.25">
      <c r="A3540" t="s">
        <v>17</v>
      </c>
      <c r="B3540" t="s">
        <v>63</v>
      </c>
      <c r="C3540">
        <v>202201</v>
      </c>
      <c r="D3540" t="str">
        <f t="shared" si="55"/>
        <v>2022</v>
      </c>
      <c r="E3540">
        <v>14</v>
      </c>
      <c r="F3540">
        <v>188486</v>
      </c>
      <c r="G3540">
        <v>0.01</v>
      </c>
      <c r="H3540" t="s">
        <v>10</v>
      </c>
      <c r="I3540" t="s">
        <v>11</v>
      </c>
    </row>
    <row r="3541" spans="1:9" hidden="1" x14ac:dyDescent="0.25">
      <c r="A3541" t="s">
        <v>17</v>
      </c>
      <c r="B3541" t="s">
        <v>63</v>
      </c>
      <c r="C3541">
        <v>202202</v>
      </c>
      <c r="D3541" t="str">
        <f t="shared" si="55"/>
        <v>2022</v>
      </c>
      <c r="E3541">
        <v>12</v>
      </c>
      <c r="F3541">
        <v>188486</v>
      </c>
      <c r="G3541">
        <v>0.01</v>
      </c>
      <c r="H3541" t="s">
        <v>10</v>
      </c>
      <c r="I3541" t="s">
        <v>11</v>
      </c>
    </row>
    <row r="3542" spans="1:9" hidden="1" x14ac:dyDescent="0.25">
      <c r="A3542" t="s">
        <v>17</v>
      </c>
      <c r="B3542" t="s">
        <v>63</v>
      </c>
      <c r="C3542">
        <v>202203</v>
      </c>
      <c r="D3542" t="str">
        <f t="shared" si="55"/>
        <v>2022</v>
      </c>
      <c r="E3542">
        <v>8</v>
      </c>
      <c r="F3542">
        <v>188486</v>
      </c>
      <c r="G3542">
        <v>0</v>
      </c>
      <c r="H3542" t="s">
        <v>10</v>
      </c>
      <c r="I3542" t="s">
        <v>11</v>
      </c>
    </row>
    <row r="3543" spans="1:9" hidden="1" x14ac:dyDescent="0.25">
      <c r="A3543" t="s">
        <v>17</v>
      </c>
      <c r="B3543" t="s">
        <v>63</v>
      </c>
      <c r="C3543">
        <v>202204</v>
      </c>
      <c r="D3543" t="str">
        <f t="shared" si="55"/>
        <v>2022</v>
      </c>
      <c r="E3543">
        <v>67</v>
      </c>
      <c r="F3543">
        <v>188486</v>
      </c>
      <c r="G3543">
        <v>0.04</v>
      </c>
      <c r="H3543" t="s">
        <v>10</v>
      </c>
      <c r="I3543" t="s">
        <v>11</v>
      </c>
    </row>
    <row r="3544" spans="1:9" hidden="1" x14ac:dyDescent="0.25">
      <c r="A3544" t="s">
        <v>17</v>
      </c>
      <c r="B3544" t="s">
        <v>63</v>
      </c>
      <c r="C3544">
        <v>202205</v>
      </c>
      <c r="D3544" t="str">
        <f t="shared" si="55"/>
        <v>2022</v>
      </c>
      <c r="E3544">
        <v>38</v>
      </c>
      <c r="F3544">
        <v>188486</v>
      </c>
      <c r="G3544">
        <v>0.02</v>
      </c>
      <c r="H3544" t="s">
        <v>10</v>
      </c>
      <c r="I3544" t="s">
        <v>11</v>
      </c>
    </row>
    <row r="3545" spans="1:9" hidden="1" x14ac:dyDescent="0.25">
      <c r="A3545" t="s">
        <v>17</v>
      </c>
      <c r="B3545" t="s">
        <v>63</v>
      </c>
      <c r="C3545">
        <v>202206</v>
      </c>
      <c r="D3545" t="str">
        <f t="shared" si="55"/>
        <v>2022</v>
      </c>
      <c r="E3545">
        <v>145</v>
      </c>
      <c r="F3545">
        <v>188486</v>
      </c>
      <c r="G3545">
        <v>0.08</v>
      </c>
      <c r="H3545" t="s">
        <v>10</v>
      </c>
      <c r="I3545" t="s">
        <v>11</v>
      </c>
    </row>
    <row r="3546" spans="1:9" hidden="1" x14ac:dyDescent="0.25">
      <c r="A3546" t="s">
        <v>17</v>
      </c>
      <c r="B3546" t="s">
        <v>63</v>
      </c>
      <c r="C3546">
        <v>202207</v>
      </c>
      <c r="D3546" t="str">
        <f t="shared" si="55"/>
        <v>2022</v>
      </c>
      <c r="E3546">
        <v>62</v>
      </c>
      <c r="F3546">
        <v>188486</v>
      </c>
      <c r="G3546">
        <v>0.03</v>
      </c>
      <c r="H3546" t="s">
        <v>10</v>
      </c>
      <c r="I3546" t="s">
        <v>11</v>
      </c>
    </row>
    <row r="3547" spans="1:9" hidden="1" x14ac:dyDescent="0.25">
      <c r="A3547" t="s">
        <v>17</v>
      </c>
      <c r="B3547" t="s">
        <v>63</v>
      </c>
      <c r="C3547">
        <v>202208</v>
      </c>
      <c r="D3547" t="str">
        <f t="shared" si="55"/>
        <v>2022</v>
      </c>
      <c r="E3547">
        <v>104</v>
      </c>
      <c r="F3547">
        <v>188486</v>
      </c>
      <c r="G3547">
        <v>0.06</v>
      </c>
      <c r="H3547" t="s">
        <v>10</v>
      </c>
      <c r="I3547" t="s">
        <v>11</v>
      </c>
    </row>
    <row r="3548" spans="1:9" hidden="1" x14ac:dyDescent="0.25">
      <c r="A3548" t="s">
        <v>17</v>
      </c>
      <c r="B3548" t="s">
        <v>63</v>
      </c>
      <c r="C3548">
        <v>202209</v>
      </c>
      <c r="D3548" t="str">
        <f t="shared" si="55"/>
        <v>2022</v>
      </c>
      <c r="E3548">
        <v>121</v>
      </c>
      <c r="F3548">
        <v>188486</v>
      </c>
      <c r="G3548">
        <v>0.06</v>
      </c>
      <c r="H3548" t="s">
        <v>10</v>
      </c>
      <c r="I3548" t="s">
        <v>11</v>
      </c>
    </row>
    <row r="3549" spans="1:9" hidden="1" x14ac:dyDescent="0.25">
      <c r="A3549" t="s">
        <v>17</v>
      </c>
      <c r="B3549" t="s">
        <v>63</v>
      </c>
      <c r="C3549">
        <v>202210</v>
      </c>
      <c r="D3549" t="str">
        <f t="shared" si="55"/>
        <v>2022</v>
      </c>
      <c r="E3549">
        <v>126</v>
      </c>
      <c r="F3549">
        <v>188486</v>
      </c>
      <c r="G3549">
        <v>7.0000000000000007E-2</v>
      </c>
      <c r="H3549" t="s">
        <v>10</v>
      </c>
      <c r="I3549" t="s">
        <v>11</v>
      </c>
    </row>
    <row r="3550" spans="1:9" hidden="1" x14ac:dyDescent="0.25">
      <c r="A3550" t="s">
        <v>17</v>
      </c>
      <c r="B3550" t="s">
        <v>63</v>
      </c>
      <c r="C3550">
        <v>202211</v>
      </c>
      <c r="D3550" t="str">
        <f t="shared" si="55"/>
        <v>2022</v>
      </c>
      <c r="E3550">
        <v>219</v>
      </c>
      <c r="F3550">
        <v>188486</v>
      </c>
      <c r="G3550">
        <v>0.12</v>
      </c>
      <c r="H3550" t="s">
        <v>10</v>
      </c>
      <c r="I3550" t="s">
        <v>11</v>
      </c>
    </row>
    <row r="3551" spans="1:9" hidden="1" x14ac:dyDescent="0.25">
      <c r="A3551" t="s">
        <v>17</v>
      </c>
      <c r="B3551" t="s">
        <v>63</v>
      </c>
      <c r="C3551">
        <v>202212</v>
      </c>
      <c r="D3551" t="str">
        <f t="shared" si="55"/>
        <v>2022</v>
      </c>
      <c r="E3551">
        <v>187</v>
      </c>
      <c r="F3551">
        <v>188486</v>
      </c>
      <c r="G3551">
        <v>0.1</v>
      </c>
      <c r="H3551" t="s">
        <v>10</v>
      </c>
      <c r="I3551" t="s">
        <v>11</v>
      </c>
    </row>
    <row r="3552" spans="1:9" hidden="1" x14ac:dyDescent="0.25">
      <c r="A3552" t="s">
        <v>17</v>
      </c>
      <c r="B3552" t="s">
        <v>63</v>
      </c>
      <c r="C3552">
        <v>202301</v>
      </c>
      <c r="D3552" t="str">
        <f t="shared" si="55"/>
        <v>2023</v>
      </c>
      <c r="E3552">
        <v>1316</v>
      </c>
      <c r="F3552">
        <v>188486</v>
      </c>
      <c r="G3552">
        <v>0.7</v>
      </c>
      <c r="H3552" t="s">
        <v>10</v>
      </c>
      <c r="I3552" t="s">
        <v>11</v>
      </c>
    </row>
    <row r="3553" spans="1:9" hidden="1" x14ac:dyDescent="0.25">
      <c r="A3553" t="s">
        <v>17</v>
      </c>
      <c r="B3553" t="s">
        <v>63</v>
      </c>
      <c r="C3553">
        <v>202302</v>
      </c>
      <c r="D3553" t="str">
        <f t="shared" si="55"/>
        <v>2023</v>
      </c>
      <c r="E3553">
        <v>1593</v>
      </c>
      <c r="F3553">
        <v>188486</v>
      </c>
      <c r="G3553">
        <v>0.85</v>
      </c>
      <c r="H3553" t="s">
        <v>10</v>
      </c>
      <c r="I3553" t="s">
        <v>11</v>
      </c>
    </row>
    <row r="3554" spans="1:9" hidden="1" x14ac:dyDescent="0.25">
      <c r="A3554" t="s">
        <v>17</v>
      </c>
      <c r="B3554" t="s">
        <v>63</v>
      </c>
      <c r="C3554">
        <v>202303</v>
      </c>
      <c r="D3554" t="str">
        <f t="shared" si="55"/>
        <v>2023</v>
      </c>
      <c r="E3554">
        <v>2339</v>
      </c>
      <c r="F3554">
        <v>188486</v>
      </c>
      <c r="G3554">
        <v>1.24</v>
      </c>
      <c r="H3554" t="s">
        <v>10</v>
      </c>
      <c r="I3554" t="s">
        <v>11</v>
      </c>
    </row>
    <row r="3555" spans="1:9" hidden="1" x14ac:dyDescent="0.25">
      <c r="A3555" t="s">
        <v>17</v>
      </c>
      <c r="B3555" t="s">
        <v>63</v>
      </c>
      <c r="C3555">
        <v>202304</v>
      </c>
      <c r="D3555" t="str">
        <f t="shared" si="55"/>
        <v>2023</v>
      </c>
      <c r="E3555">
        <v>2267</v>
      </c>
      <c r="F3555">
        <v>188486</v>
      </c>
      <c r="G3555">
        <v>1.2</v>
      </c>
      <c r="H3555" t="s">
        <v>10</v>
      </c>
      <c r="I3555" t="s">
        <v>11</v>
      </c>
    </row>
    <row r="3556" spans="1:9" hidden="1" x14ac:dyDescent="0.25">
      <c r="A3556" t="s">
        <v>17</v>
      </c>
      <c r="B3556" t="s">
        <v>63</v>
      </c>
      <c r="C3556">
        <v>202305</v>
      </c>
      <c r="D3556" t="str">
        <f t="shared" si="55"/>
        <v>2023</v>
      </c>
      <c r="E3556">
        <v>3014</v>
      </c>
      <c r="F3556">
        <v>188486</v>
      </c>
      <c r="G3556">
        <v>1.6</v>
      </c>
      <c r="H3556" t="s">
        <v>10</v>
      </c>
      <c r="I3556" t="s">
        <v>11</v>
      </c>
    </row>
    <row r="3557" spans="1:9" hidden="1" x14ac:dyDescent="0.25">
      <c r="A3557" t="s">
        <v>17</v>
      </c>
      <c r="B3557" t="s">
        <v>63</v>
      </c>
      <c r="C3557">
        <v>202306</v>
      </c>
      <c r="D3557" t="str">
        <f t="shared" si="55"/>
        <v>2023</v>
      </c>
      <c r="E3557">
        <v>3531</v>
      </c>
      <c r="F3557">
        <v>188486</v>
      </c>
      <c r="G3557">
        <v>1.87</v>
      </c>
      <c r="H3557" t="s">
        <v>10</v>
      </c>
      <c r="I3557" t="s">
        <v>11</v>
      </c>
    </row>
    <row r="3558" spans="1:9" hidden="1" x14ac:dyDescent="0.25">
      <c r="A3558" t="s">
        <v>17</v>
      </c>
      <c r="B3558" t="s">
        <v>63</v>
      </c>
      <c r="C3558">
        <v>202307</v>
      </c>
      <c r="D3558" t="str">
        <f t="shared" si="55"/>
        <v>2023</v>
      </c>
      <c r="E3558">
        <v>3524</v>
      </c>
      <c r="F3558">
        <v>188486</v>
      </c>
      <c r="G3558">
        <v>1.87</v>
      </c>
      <c r="H3558" t="s">
        <v>10</v>
      </c>
      <c r="I3558" t="s">
        <v>11</v>
      </c>
    </row>
    <row r="3559" spans="1:9" hidden="1" x14ac:dyDescent="0.25">
      <c r="A3559" t="s">
        <v>17</v>
      </c>
      <c r="B3559" t="s">
        <v>63</v>
      </c>
      <c r="C3559">
        <v>202308</v>
      </c>
      <c r="D3559" t="str">
        <f t="shared" si="55"/>
        <v>2023</v>
      </c>
      <c r="E3559">
        <v>4799</v>
      </c>
      <c r="F3559">
        <v>188486</v>
      </c>
      <c r="G3559">
        <v>2.5499999999999998</v>
      </c>
      <c r="H3559" t="s">
        <v>10</v>
      </c>
      <c r="I3559" t="s">
        <v>11</v>
      </c>
    </row>
    <row r="3560" spans="1:9" hidden="1" x14ac:dyDescent="0.25">
      <c r="A3560" t="s">
        <v>17</v>
      </c>
      <c r="B3560" t="s">
        <v>63</v>
      </c>
      <c r="C3560">
        <v>202309</v>
      </c>
      <c r="D3560" t="str">
        <f t="shared" si="55"/>
        <v>2023</v>
      </c>
      <c r="E3560">
        <v>5756</v>
      </c>
      <c r="F3560">
        <v>188486</v>
      </c>
      <c r="G3560">
        <v>3.05</v>
      </c>
      <c r="H3560" t="s">
        <v>10</v>
      </c>
      <c r="I3560" t="s">
        <v>11</v>
      </c>
    </row>
    <row r="3561" spans="1:9" hidden="1" x14ac:dyDescent="0.25">
      <c r="A3561" t="s">
        <v>17</v>
      </c>
      <c r="B3561" t="s">
        <v>63</v>
      </c>
      <c r="C3561">
        <v>202310</v>
      </c>
      <c r="D3561" t="str">
        <f t="shared" si="55"/>
        <v>2023</v>
      </c>
      <c r="E3561">
        <v>3721</v>
      </c>
      <c r="F3561">
        <v>188486</v>
      </c>
      <c r="G3561">
        <v>1.97</v>
      </c>
      <c r="H3561" t="s">
        <v>10</v>
      </c>
      <c r="I3561" t="s">
        <v>11</v>
      </c>
    </row>
    <row r="3562" spans="1:9" hidden="1" x14ac:dyDescent="0.25">
      <c r="A3562" t="s">
        <v>17</v>
      </c>
      <c r="B3562" t="s">
        <v>63</v>
      </c>
      <c r="C3562">
        <v>202311</v>
      </c>
      <c r="D3562" t="str">
        <f t="shared" si="55"/>
        <v>2023</v>
      </c>
      <c r="E3562">
        <v>7717</v>
      </c>
      <c r="F3562">
        <v>188486</v>
      </c>
      <c r="G3562">
        <v>4.09</v>
      </c>
      <c r="H3562" t="s">
        <v>10</v>
      </c>
      <c r="I3562" t="s">
        <v>11</v>
      </c>
    </row>
    <row r="3563" spans="1:9" hidden="1" x14ac:dyDescent="0.25">
      <c r="A3563" t="s">
        <v>17</v>
      </c>
      <c r="B3563" t="s">
        <v>63</v>
      </c>
      <c r="C3563">
        <v>202312</v>
      </c>
      <c r="D3563" t="str">
        <f t="shared" si="55"/>
        <v>2023</v>
      </c>
      <c r="E3563">
        <v>4911</v>
      </c>
      <c r="F3563">
        <v>188486</v>
      </c>
      <c r="G3563">
        <v>2.61</v>
      </c>
      <c r="H3563" t="s">
        <v>10</v>
      </c>
      <c r="I3563" t="s">
        <v>11</v>
      </c>
    </row>
    <row r="3564" spans="1:9" hidden="1" x14ac:dyDescent="0.25">
      <c r="A3564" t="s">
        <v>17</v>
      </c>
      <c r="B3564" t="s">
        <v>63</v>
      </c>
      <c r="C3564">
        <v>202401</v>
      </c>
      <c r="D3564" t="str">
        <f t="shared" si="55"/>
        <v>2024</v>
      </c>
      <c r="E3564">
        <v>17109</v>
      </c>
      <c r="F3564">
        <v>188486</v>
      </c>
      <c r="G3564">
        <v>9.08</v>
      </c>
      <c r="H3564" t="s">
        <v>10</v>
      </c>
      <c r="I3564" t="s">
        <v>11</v>
      </c>
    </row>
    <row r="3565" spans="1:9" hidden="1" x14ac:dyDescent="0.25">
      <c r="A3565" t="s">
        <v>17</v>
      </c>
      <c r="B3565" t="s">
        <v>63</v>
      </c>
      <c r="C3565">
        <v>202402</v>
      </c>
      <c r="D3565" t="str">
        <f t="shared" si="55"/>
        <v>2024</v>
      </c>
      <c r="E3565">
        <v>76337</v>
      </c>
      <c r="F3565">
        <v>188486</v>
      </c>
      <c r="G3565">
        <v>40.5</v>
      </c>
      <c r="H3565" t="s">
        <v>10</v>
      </c>
      <c r="I3565" t="s">
        <v>11</v>
      </c>
    </row>
    <row r="3566" spans="1:9" hidden="1" x14ac:dyDescent="0.25">
      <c r="A3566" t="s">
        <v>17</v>
      </c>
      <c r="B3566" t="s">
        <v>63</v>
      </c>
      <c r="C3566">
        <v>202403</v>
      </c>
      <c r="D3566" t="str">
        <f t="shared" si="55"/>
        <v>2024</v>
      </c>
      <c r="E3566">
        <v>49108</v>
      </c>
      <c r="F3566">
        <v>188486</v>
      </c>
      <c r="G3566">
        <v>26.05</v>
      </c>
      <c r="H3566" t="s">
        <v>10</v>
      </c>
      <c r="I3566" t="s">
        <v>11</v>
      </c>
    </row>
    <row r="3567" spans="1:9" hidden="1" x14ac:dyDescent="0.25">
      <c r="A3567" t="s">
        <v>17</v>
      </c>
      <c r="B3567" t="s">
        <v>40</v>
      </c>
      <c r="C3567">
        <v>201903</v>
      </c>
      <c r="D3567" t="str">
        <f t="shared" si="55"/>
        <v>2019</v>
      </c>
      <c r="E3567">
        <v>1</v>
      </c>
      <c r="F3567">
        <v>214432</v>
      </c>
      <c r="G3567">
        <v>0</v>
      </c>
      <c r="H3567" t="s">
        <v>10</v>
      </c>
      <c r="I3567" t="s">
        <v>11</v>
      </c>
    </row>
    <row r="3568" spans="1:9" hidden="1" x14ac:dyDescent="0.25">
      <c r="A3568" t="s">
        <v>17</v>
      </c>
      <c r="B3568" t="s">
        <v>40</v>
      </c>
      <c r="C3568">
        <v>201905</v>
      </c>
      <c r="D3568" t="str">
        <f t="shared" si="55"/>
        <v>2019</v>
      </c>
      <c r="E3568">
        <v>2</v>
      </c>
      <c r="F3568">
        <v>214432</v>
      </c>
      <c r="G3568">
        <v>0</v>
      </c>
      <c r="H3568" t="s">
        <v>10</v>
      </c>
      <c r="I3568" t="s">
        <v>11</v>
      </c>
    </row>
    <row r="3569" spans="1:9" hidden="1" x14ac:dyDescent="0.25">
      <c r="A3569" t="s">
        <v>17</v>
      </c>
      <c r="B3569" t="s">
        <v>40</v>
      </c>
      <c r="C3569">
        <v>201908</v>
      </c>
      <c r="D3569" t="str">
        <f t="shared" si="55"/>
        <v>2019</v>
      </c>
      <c r="E3569">
        <v>3</v>
      </c>
      <c r="F3569">
        <v>214432</v>
      </c>
      <c r="G3569">
        <v>0</v>
      </c>
      <c r="H3569" t="s">
        <v>10</v>
      </c>
      <c r="I3569" t="s">
        <v>11</v>
      </c>
    </row>
    <row r="3570" spans="1:9" hidden="1" x14ac:dyDescent="0.25">
      <c r="A3570" t="s">
        <v>17</v>
      </c>
      <c r="B3570" t="s">
        <v>40</v>
      </c>
      <c r="C3570">
        <v>201909</v>
      </c>
      <c r="D3570" t="str">
        <f t="shared" si="55"/>
        <v>2019</v>
      </c>
      <c r="E3570">
        <v>27</v>
      </c>
      <c r="F3570">
        <v>214432</v>
      </c>
      <c r="G3570">
        <v>0.01</v>
      </c>
      <c r="H3570" t="s">
        <v>10</v>
      </c>
      <c r="I3570" t="s">
        <v>11</v>
      </c>
    </row>
    <row r="3571" spans="1:9" hidden="1" x14ac:dyDescent="0.25">
      <c r="A3571" t="s">
        <v>17</v>
      </c>
      <c r="B3571" t="s">
        <v>40</v>
      </c>
      <c r="C3571">
        <v>201910</v>
      </c>
      <c r="D3571" t="str">
        <f t="shared" si="55"/>
        <v>2019</v>
      </c>
      <c r="E3571">
        <v>22</v>
      </c>
      <c r="F3571">
        <v>214432</v>
      </c>
      <c r="G3571">
        <v>0.01</v>
      </c>
      <c r="H3571" t="s">
        <v>10</v>
      </c>
      <c r="I3571" t="s">
        <v>11</v>
      </c>
    </row>
    <row r="3572" spans="1:9" hidden="1" x14ac:dyDescent="0.25">
      <c r="A3572" t="s">
        <v>17</v>
      </c>
      <c r="B3572" t="s">
        <v>40</v>
      </c>
      <c r="C3572">
        <v>202002</v>
      </c>
      <c r="D3572" t="str">
        <f t="shared" si="55"/>
        <v>2020</v>
      </c>
      <c r="E3572">
        <v>1</v>
      </c>
      <c r="F3572">
        <v>214432</v>
      </c>
      <c r="G3572">
        <v>0</v>
      </c>
      <c r="H3572" t="s">
        <v>10</v>
      </c>
      <c r="I3572" t="s">
        <v>11</v>
      </c>
    </row>
    <row r="3573" spans="1:9" hidden="1" x14ac:dyDescent="0.25">
      <c r="A3573" t="s">
        <v>17</v>
      </c>
      <c r="B3573" t="s">
        <v>40</v>
      </c>
      <c r="C3573">
        <v>202004</v>
      </c>
      <c r="D3573" t="str">
        <f t="shared" si="55"/>
        <v>2020</v>
      </c>
      <c r="E3573">
        <v>3</v>
      </c>
      <c r="F3573">
        <v>214432</v>
      </c>
      <c r="G3573">
        <v>0</v>
      </c>
      <c r="H3573" t="s">
        <v>10</v>
      </c>
      <c r="I3573" t="s">
        <v>11</v>
      </c>
    </row>
    <row r="3574" spans="1:9" hidden="1" x14ac:dyDescent="0.25">
      <c r="A3574" t="s">
        <v>17</v>
      </c>
      <c r="B3574" t="s">
        <v>40</v>
      </c>
      <c r="C3574">
        <v>202005</v>
      </c>
      <c r="D3574" t="str">
        <f t="shared" si="55"/>
        <v>2020</v>
      </c>
      <c r="E3574">
        <v>10</v>
      </c>
      <c r="F3574">
        <v>214432</v>
      </c>
      <c r="G3574">
        <v>0</v>
      </c>
      <c r="H3574" t="s">
        <v>10</v>
      </c>
      <c r="I3574" t="s">
        <v>11</v>
      </c>
    </row>
    <row r="3575" spans="1:9" hidden="1" x14ac:dyDescent="0.25">
      <c r="A3575" t="s">
        <v>17</v>
      </c>
      <c r="B3575" t="s">
        <v>40</v>
      </c>
      <c r="C3575">
        <v>202007</v>
      </c>
      <c r="D3575" t="str">
        <f t="shared" si="55"/>
        <v>2020</v>
      </c>
      <c r="E3575">
        <v>9</v>
      </c>
      <c r="F3575">
        <v>214432</v>
      </c>
      <c r="G3575">
        <v>0</v>
      </c>
      <c r="H3575" t="s">
        <v>10</v>
      </c>
      <c r="I3575" t="s">
        <v>11</v>
      </c>
    </row>
    <row r="3576" spans="1:9" hidden="1" x14ac:dyDescent="0.25">
      <c r="A3576" t="s">
        <v>17</v>
      </c>
      <c r="B3576" t="s">
        <v>40</v>
      </c>
      <c r="C3576">
        <v>202009</v>
      </c>
      <c r="D3576" t="str">
        <f t="shared" si="55"/>
        <v>2020</v>
      </c>
      <c r="E3576">
        <v>39</v>
      </c>
      <c r="F3576">
        <v>214432</v>
      </c>
      <c r="G3576">
        <v>0.02</v>
      </c>
      <c r="H3576" t="s">
        <v>10</v>
      </c>
      <c r="I3576" t="s">
        <v>11</v>
      </c>
    </row>
    <row r="3577" spans="1:9" hidden="1" x14ac:dyDescent="0.25">
      <c r="A3577" t="s">
        <v>17</v>
      </c>
      <c r="B3577" t="s">
        <v>40</v>
      </c>
      <c r="C3577">
        <v>202010</v>
      </c>
      <c r="D3577" t="str">
        <f t="shared" si="55"/>
        <v>2020</v>
      </c>
      <c r="E3577">
        <v>10</v>
      </c>
      <c r="F3577">
        <v>214432</v>
      </c>
      <c r="G3577">
        <v>0</v>
      </c>
      <c r="H3577" t="s">
        <v>10</v>
      </c>
      <c r="I3577" t="s">
        <v>11</v>
      </c>
    </row>
    <row r="3578" spans="1:9" hidden="1" x14ac:dyDescent="0.25">
      <c r="A3578" t="s">
        <v>17</v>
      </c>
      <c r="B3578" t="s">
        <v>40</v>
      </c>
      <c r="C3578">
        <v>202011</v>
      </c>
      <c r="D3578" t="str">
        <f t="shared" si="55"/>
        <v>2020</v>
      </c>
      <c r="E3578">
        <v>2</v>
      </c>
      <c r="F3578">
        <v>214432</v>
      </c>
      <c r="G3578">
        <v>0</v>
      </c>
      <c r="H3578" t="s">
        <v>10</v>
      </c>
      <c r="I3578" t="s">
        <v>11</v>
      </c>
    </row>
    <row r="3579" spans="1:9" hidden="1" x14ac:dyDescent="0.25">
      <c r="A3579" t="s">
        <v>17</v>
      </c>
      <c r="B3579" t="s">
        <v>40</v>
      </c>
      <c r="C3579">
        <v>202101</v>
      </c>
      <c r="D3579" t="str">
        <f t="shared" si="55"/>
        <v>2021</v>
      </c>
      <c r="E3579">
        <v>9</v>
      </c>
      <c r="F3579">
        <v>214432</v>
      </c>
      <c r="G3579">
        <v>0</v>
      </c>
      <c r="H3579" t="s">
        <v>10</v>
      </c>
      <c r="I3579" t="s">
        <v>11</v>
      </c>
    </row>
    <row r="3580" spans="1:9" hidden="1" x14ac:dyDescent="0.25">
      <c r="A3580" t="s">
        <v>17</v>
      </c>
      <c r="B3580" t="s">
        <v>40</v>
      </c>
      <c r="C3580">
        <v>202102</v>
      </c>
      <c r="D3580" t="str">
        <f t="shared" si="55"/>
        <v>2021</v>
      </c>
      <c r="E3580">
        <v>33</v>
      </c>
      <c r="F3580">
        <v>214432</v>
      </c>
      <c r="G3580">
        <v>0.02</v>
      </c>
      <c r="H3580" t="s">
        <v>10</v>
      </c>
      <c r="I3580" t="s">
        <v>11</v>
      </c>
    </row>
    <row r="3581" spans="1:9" hidden="1" x14ac:dyDescent="0.25">
      <c r="A3581" t="s">
        <v>17</v>
      </c>
      <c r="B3581" t="s">
        <v>40</v>
      </c>
      <c r="C3581">
        <v>202103</v>
      </c>
      <c r="D3581" t="str">
        <f t="shared" si="55"/>
        <v>2021</v>
      </c>
      <c r="E3581">
        <v>49</v>
      </c>
      <c r="F3581">
        <v>214432</v>
      </c>
      <c r="G3581">
        <v>0.02</v>
      </c>
      <c r="H3581" t="s">
        <v>10</v>
      </c>
      <c r="I3581" t="s">
        <v>11</v>
      </c>
    </row>
    <row r="3582" spans="1:9" hidden="1" x14ac:dyDescent="0.25">
      <c r="A3582" t="s">
        <v>17</v>
      </c>
      <c r="B3582" t="s">
        <v>40</v>
      </c>
      <c r="C3582">
        <v>202104</v>
      </c>
      <c r="D3582" t="str">
        <f t="shared" si="55"/>
        <v>2021</v>
      </c>
      <c r="E3582">
        <v>30</v>
      </c>
      <c r="F3582">
        <v>214432</v>
      </c>
      <c r="G3582">
        <v>0.01</v>
      </c>
      <c r="H3582" t="s">
        <v>10</v>
      </c>
      <c r="I3582" t="s">
        <v>11</v>
      </c>
    </row>
    <row r="3583" spans="1:9" hidden="1" x14ac:dyDescent="0.25">
      <c r="A3583" t="s">
        <v>17</v>
      </c>
      <c r="B3583" t="s">
        <v>40</v>
      </c>
      <c r="C3583">
        <v>202105</v>
      </c>
      <c r="D3583" t="str">
        <f t="shared" si="55"/>
        <v>2021</v>
      </c>
      <c r="E3583">
        <v>11</v>
      </c>
      <c r="F3583">
        <v>214432</v>
      </c>
      <c r="G3583">
        <v>0.01</v>
      </c>
      <c r="H3583" t="s">
        <v>10</v>
      </c>
      <c r="I3583" t="s">
        <v>11</v>
      </c>
    </row>
    <row r="3584" spans="1:9" hidden="1" x14ac:dyDescent="0.25">
      <c r="A3584" t="s">
        <v>17</v>
      </c>
      <c r="B3584" t="s">
        <v>40</v>
      </c>
      <c r="C3584">
        <v>202106</v>
      </c>
      <c r="D3584" t="str">
        <f t="shared" si="55"/>
        <v>2021</v>
      </c>
      <c r="E3584">
        <v>19</v>
      </c>
      <c r="F3584">
        <v>214432</v>
      </c>
      <c r="G3584">
        <v>0.01</v>
      </c>
      <c r="H3584" t="s">
        <v>10</v>
      </c>
      <c r="I3584" t="s">
        <v>11</v>
      </c>
    </row>
    <row r="3585" spans="1:9" hidden="1" x14ac:dyDescent="0.25">
      <c r="A3585" t="s">
        <v>17</v>
      </c>
      <c r="B3585" t="s">
        <v>40</v>
      </c>
      <c r="C3585">
        <v>202107</v>
      </c>
      <c r="D3585" t="str">
        <f t="shared" si="55"/>
        <v>2021</v>
      </c>
      <c r="E3585">
        <v>25</v>
      </c>
      <c r="F3585">
        <v>214432</v>
      </c>
      <c r="G3585">
        <v>0.01</v>
      </c>
      <c r="H3585" t="s">
        <v>10</v>
      </c>
      <c r="I3585" t="s">
        <v>11</v>
      </c>
    </row>
    <row r="3586" spans="1:9" hidden="1" x14ac:dyDescent="0.25">
      <c r="A3586" t="s">
        <v>17</v>
      </c>
      <c r="B3586" t="s">
        <v>40</v>
      </c>
      <c r="C3586">
        <v>202108</v>
      </c>
      <c r="D3586" t="str">
        <f t="shared" si="55"/>
        <v>2021</v>
      </c>
      <c r="E3586">
        <v>13</v>
      </c>
      <c r="F3586">
        <v>214432</v>
      </c>
      <c r="G3586">
        <v>0.01</v>
      </c>
      <c r="H3586" t="s">
        <v>10</v>
      </c>
      <c r="I3586" t="s">
        <v>11</v>
      </c>
    </row>
    <row r="3587" spans="1:9" hidden="1" x14ac:dyDescent="0.25">
      <c r="A3587" t="s">
        <v>17</v>
      </c>
      <c r="B3587" t="s">
        <v>40</v>
      </c>
      <c r="C3587">
        <v>202109</v>
      </c>
      <c r="D3587" t="str">
        <f t="shared" ref="D3587:D3650" si="56">LEFT(C3587,4)</f>
        <v>2021</v>
      </c>
      <c r="E3587">
        <v>29</v>
      </c>
      <c r="F3587">
        <v>214432</v>
      </c>
      <c r="G3587">
        <v>0.01</v>
      </c>
      <c r="H3587" t="s">
        <v>10</v>
      </c>
      <c r="I3587" t="s">
        <v>11</v>
      </c>
    </row>
    <row r="3588" spans="1:9" hidden="1" x14ac:dyDescent="0.25">
      <c r="A3588" t="s">
        <v>17</v>
      </c>
      <c r="B3588" t="s">
        <v>40</v>
      </c>
      <c r="C3588">
        <v>202110</v>
      </c>
      <c r="D3588" t="str">
        <f t="shared" si="56"/>
        <v>2021</v>
      </c>
      <c r="E3588">
        <v>19</v>
      </c>
      <c r="F3588">
        <v>214432</v>
      </c>
      <c r="G3588">
        <v>0.01</v>
      </c>
      <c r="H3588" t="s">
        <v>10</v>
      </c>
      <c r="I3588" t="s">
        <v>11</v>
      </c>
    </row>
    <row r="3589" spans="1:9" hidden="1" x14ac:dyDescent="0.25">
      <c r="A3589" t="s">
        <v>17</v>
      </c>
      <c r="B3589" t="s">
        <v>40</v>
      </c>
      <c r="C3589">
        <v>202111</v>
      </c>
      <c r="D3589" t="str">
        <f t="shared" si="56"/>
        <v>2021</v>
      </c>
      <c r="E3589">
        <v>59</v>
      </c>
      <c r="F3589">
        <v>214432</v>
      </c>
      <c r="G3589">
        <v>0.03</v>
      </c>
      <c r="H3589" t="s">
        <v>10</v>
      </c>
      <c r="I3589" t="s">
        <v>11</v>
      </c>
    </row>
    <row r="3590" spans="1:9" hidden="1" x14ac:dyDescent="0.25">
      <c r="A3590" t="s">
        <v>17</v>
      </c>
      <c r="B3590" t="s">
        <v>40</v>
      </c>
      <c r="C3590">
        <v>202112</v>
      </c>
      <c r="D3590" t="str">
        <f t="shared" si="56"/>
        <v>2021</v>
      </c>
      <c r="E3590">
        <v>14</v>
      </c>
      <c r="F3590">
        <v>214432</v>
      </c>
      <c r="G3590">
        <v>0.01</v>
      </c>
      <c r="H3590" t="s">
        <v>10</v>
      </c>
      <c r="I3590" t="s">
        <v>11</v>
      </c>
    </row>
    <row r="3591" spans="1:9" hidden="1" x14ac:dyDescent="0.25">
      <c r="A3591" t="s">
        <v>17</v>
      </c>
      <c r="B3591" t="s">
        <v>40</v>
      </c>
      <c r="C3591">
        <v>202201</v>
      </c>
      <c r="D3591" t="str">
        <f t="shared" si="56"/>
        <v>2022</v>
      </c>
      <c r="E3591">
        <v>14</v>
      </c>
      <c r="F3591">
        <v>214432</v>
      </c>
      <c r="G3591">
        <v>0.01</v>
      </c>
      <c r="H3591" t="s">
        <v>10</v>
      </c>
      <c r="I3591" t="s">
        <v>11</v>
      </c>
    </row>
    <row r="3592" spans="1:9" hidden="1" x14ac:dyDescent="0.25">
      <c r="A3592" t="s">
        <v>17</v>
      </c>
      <c r="B3592" t="s">
        <v>40</v>
      </c>
      <c r="C3592">
        <v>202202</v>
      </c>
      <c r="D3592" t="str">
        <f t="shared" si="56"/>
        <v>2022</v>
      </c>
      <c r="E3592">
        <v>37</v>
      </c>
      <c r="F3592">
        <v>214432</v>
      </c>
      <c r="G3592">
        <v>0.02</v>
      </c>
      <c r="H3592" t="s">
        <v>10</v>
      </c>
      <c r="I3592" t="s">
        <v>11</v>
      </c>
    </row>
    <row r="3593" spans="1:9" hidden="1" x14ac:dyDescent="0.25">
      <c r="A3593" t="s">
        <v>17</v>
      </c>
      <c r="B3593" t="s">
        <v>40</v>
      </c>
      <c r="C3593">
        <v>202203</v>
      </c>
      <c r="D3593" t="str">
        <f t="shared" si="56"/>
        <v>2022</v>
      </c>
      <c r="E3593">
        <v>8</v>
      </c>
      <c r="F3593">
        <v>214432</v>
      </c>
      <c r="G3593">
        <v>0</v>
      </c>
      <c r="H3593" t="s">
        <v>10</v>
      </c>
      <c r="I3593" t="s">
        <v>11</v>
      </c>
    </row>
    <row r="3594" spans="1:9" hidden="1" x14ac:dyDescent="0.25">
      <c r="A3594" t="s">
        <v>17</v>
      </c>
      <c r="B3594" t="s">
        <v>40</v>
      </c>
      <c r="C3594">
        <v>202204</v>
      </c>
      <c r="D3594" t="str">
        <f t="shared" si="56"/>
        <v>2022</v>
      </c>
      <c r="E3594">
        <v>76</v>
      </c>
      <c r="F3594">
        <v>214432</v>
      </c>
      <c r="G3594">
        <v>0.04</v>
      </c>
      <c r="H3594" t="s">
        <v>10</v>
      </c>
      <c r="I3594" t="s">
        <v>11</v>
      </c>
    </row>
    <row r="3595" spans="1:9" hidden="1" x14ac:dyDescent="0.25">
      <c r="A3595" t="s">
        <v>17</v>
      </c>
      <c r="B3595" t="s">
        <v>40</v>
      </c>
      <c r="C3595">
        <v>202205</v>
      </c>
      <c r="D3595" t="str">
        <f t="shared" si="56"/>
        <v>2022</v>
      </c>
      <c r="E3595">
        <v>38</v>
      </c>
      <c r="F3595">
        <v>214432</v>
      </c>
      <c r="G3595">
        <v>0.02</v>
      </c>
      <c r="H3595" t="s">
        <v>10</v>
      </c>
      <c r="I3595" t="s">
        <v>11</v>
      </c>
    </row>
    <row r="3596" spans="1:9" hidden="1" x14ac:dyDescent="0.25">
      <c r="A3596" t="s">
        <v>17</v>
      </c>
      <c r="B3596" t="s">
        <v>40</v>
      </c>
      <c r="C3596">
        <v>202206</v>
      </c>
      <c r="D3596" t="str">
        <f t="shared" si="56"/>
        <v>2022</v>
      </c>
      <c r="E3596">
        <v>150</v>
      </c>
      <c r="F3596">
        <v>214432</v>
      </c>
      <c r="G3596">
        <v>7.0000000000000007E-2</v>
      </c>
      <c r="H3596" t="s">
        <v>10</v>
      </c>
      <c r="I3596" t="s">
        <v>11</v>
      </c>
    </row>
    <row r="3597" spans="1:9" hidden="1" x14ac:dyDescent="0.25">
      <c r="A3597" t="s">
        <v>17</v>
      </c>
      <c r="B3597" t="s">
        <v>40</v>
      </c>
      <c r="C3597">
        <v>202207</v>
      </c>
      <c r="D3597" t="str">
        <f t="shared" si="56"/>
        <v>2022</v>
      </c>
      <c r="E3597">
        <v>62</v>
      </c>
      <c r="F3597">
        <v>214432</v>
      </c>
      <c r="G3597">
        <v>0.03</v>
      </c>
      <c r="H3597" t="s">
        <v>10</v>
      </c>
      <c r="I3597" t="s">
        <v>11</v>
      </c>
    </row>
    <row r="3598" spans="1:9" hidden="1" x14ac:dyDescent="0.25">
      <c r="A3598" t="s">
        <v>17</v>
      </c>
      <c r="B3598" t="s">
        <v>40</v>
      </c>
      <c r="C3598">
        <v>202208</v>
      </c>
      <c r="D3598" t="str">
        <f t="shared" si="56"/>
        <v>2022</v>
      </c>
      <c r="E3598">
        <v>111</v>
      </c>
      <c r="F3598">
        <v>214432</v>
      </c>
      <c r="G3598">
        <v>0.05</v>
      </c>
      <c r="H3598" t="s">
        <v>10</v>
      </c>
      <c r="I3598" t="s">
        <v>11</v>
      </c>
    </row>
    <row r="3599" spans="1:9" hidden="1" x14ac:dyDescent="0.25">
      <c r="A3599" t="s">
        <v>17</v>
      </c>
      <c r="B3599" t="s">
        <v>40</v>
      </c>
      <c r="C3599">
        <v>202209</v>
      </c>
      <c r="D3599" t="str">
        <f t="shared" si="56"/>
        <v>2022</v>
      </c>
      <c r="E3599">
        <v>121</v>
      </c>
      <c r="F3599">
        <v>214432</v>
      </c>
      <c r="G3599">
        <v>0.06</v>
      </c>
      <c r="H3599" t="s">
        <v>10</v>
      </c>
      <c r="I3599" t="s">
        <v>11</v>
      </c>
    </row>
    <row r="3600" spans="1:9" hidden="1" x14ac:dyDescent="0.25">
      <c r="A3600" t="s">
        <v>17</v>
      </c>
      <c r="B3600" t="s">
        <v>40</v>
      </c>
      <c r="C3600">
        <v>202210</v>
      </c>
      <c r="D3600" t="str">
        <f t="shared" si="56"/>
        <v>2022</v>
      </c>
      <c r="E3600">
        <v>187</v>
      </c>
      <c r="F3600">
        <v>214432</v>
      </c>
      <c r="G3600">
        <v>0.09</v>
      </c>
      <c r="H3600" t="s">
        <v>10</v>
      </c>
      <c r="I3600" t="s">
        <v>11</v>
      </c>
    </row>
    <row r="3601" spans="1:9" hidden="1" x14ac:dyDescent="0.25">
      <c r="A3601" t="s">
        <v>17</v>
      </c>
      <c r="B3601" t="s">
        <v>40</v>
      </c>
      <c r="C3601">
        <v>202211</v>
      </c>
      <c r="D3601" t="str">
        <f t="shared" si="56"/>
        <v>2022</v>
      </c>
      <c r="E3601">
        <v>227</v>
      </c>
      <c r="F3601">
        <v>214432</v>
      </c>
      <c r="G3601">
        <v>0.11</v>
      </c>
      <c r="H3601" t="s">
        <v>10</v>
      </c>
      <c r="I3601" t="s">
        <v>11</v>
      </c>
    </row>
    <row r="3602" spans="1:9" hidden="1" x14ac:dyDescent="0.25">
      <c r="A3602" t="s">
        <v>17</v>
      </c>
      <c r="B3602" t="s">
        <v>40</v>
      </c>
      <c r="C3602">
        <v>202212</v>
      </c>
      <c r="D3602" t="str">
        <f t="shared" si="56"/>
        <v>2022</v>
      </c>
      <c r="E3602">
        <v>196</v>
      </c>
      <c r="F3602">
        <v>214432</v>
      </c>
      <c r="G3602">
        <v>0.09</v>
      </c>
      <c r="H3602" t="s">
        <v>10</v>
      </c>
      <c r="I3602" t="s">
        <v>11</v>
      </c>
    </row>
    <row r="3603" spans="1:9" hidden="1" x14ac:dyDescent="0.25">
      <c r="A3603" t="s">
        <v>17</v>
      </c>
      <c r="B3603" t="s">
        <v>40</v>
      </c>
      <c r="C3603">
        <v>202301</v>
      </c>
      <c r="D3603" t="str">
        <f t="shared" si="56"/>
        <v>2023</v>
      </c>
      <c r="E3603">
        <v>1538</v>
      </c>
      <c r="F3603">
        <v>214432</v>
      </c>
      <c r="G3603">
        <v>0.72</v>
      </c>
      <c r="H3603" t="s">
        <v>10</v>
      </c>
      <c r="I3603" t="s">
        <v>11</v>
      </c>
    </row>
    <row r="3604" spans="1:9" hidden="1" x14ac:dyDescent="0.25">
      <c r="A3604" t="s">
        <v>17</v>
      </c>
      <c r="B3604" t="s">
        <v>40</v>
      </c>
      <c r="C3604">
        <v>202302</v>
      </c>
      <c r="D3604" t="str">
        <f t="shared" si="56"/>
        <v>2023</v>
      </c>
      <c r="E3604">
        <v>1852</v>
      </c>
      <c r="F3604">
        <v>214432</v>
      </c>
      <c r="G3604">
        <v>0.86</v>
      </c>
      <c r="H3604" t="s">
        <v>10</v>
      </c>
      <c r="I3604" t="s">
        <v>11</v>
      </c>
    </row>
    <row r="3605" spans="1:9" hidden="1" x14ac:dyDescent="0.25">
      <c r="A3605" t="s">
        <v>17</v>
      </c>
      <c r="B3605" t="s">
        <v>40</v>
      </c>
      <c r="C3605">
        <v>202303</v>
      </c>
      <c r="D3605" t="str">
        <f t="shared" si="56"/>
        <v>2023</v>
      </c>
      <c r="E3605">
        <v>2605</v>
      </c>
      <c r="F3605">
        <v>214432</v>
      </c>
      <c r="G3605">
        <v>1.21</v>
      </c>
      <c r="H3605" t="s">
        <v>10</v>
      </c>
      <c r="I3605" t="s">
        <v>11</v>
      </c>
    </row>
    <row r="3606" spans="1:9" hidden="1" x14ac:dyDescent="0.25">
      <c r="A3606" t="s">
        <v>17</v>
      </c>
      <c r="B3606" t="s">
        <v>40</v>
      </c>
      <c r="C3606">
        <v>202304</v>
      </c>
      <c r="D3606" t="str">
        <f t="shared" si="56"/>
        <v>2023</v>
      </c>
      <c r="E3606">
        <v>2679</v>
      </c>
      <c r="F3606">
        <v>214432</v>
      </c>
      <c r="G3606">
        <v>1.25</v>
      </c>
      <c r="H3606" t="s">
        <v>10</v>
      </c>
      <c r="I3606" t="s">
        <v>11</v>
      </c>
    </row>
    <row r="3607" spans="1:9" hidden="1" x14ac:dyDescent="0.25">
      <c r="A3607" t="s">
        <v>17</v>
      </c>
      <c r="B3607" t="s">
        <v>40</v>
      </c>
      <c r="C3607">
        <v>202305</v>
      </c>
      <c r="D3607" t="str">
        <f t="shared" si="56"/>
        <v>2023</v>
      </c>
      <c r="E3607">
        <v>3527</v>
      </c>
      <c r="F3607">
        <v>214432</v>
      </c>
      <c r="G3607">
        <v>1.64</v>
      </c>
      <c r="H3607" t="s">
        <v>10</v>
      </c>
      <c r="I3607" t="s">
        <v>11</v>
      </c>
    </row>
    <row r="3608" spans="1:9" hidden="1" x14ac:dyDescent="0.25">
      <c r="A3608" t="s">
        <v>17</v>
      </c>
      <c r="B3608" t="s">
        <v>40</v>
      </c>
      <c r="C3608">
        <v>202306</v>
      </c>
      <c r="D3608" t="str">
        <f t="shared" si="56"/>
        <v>2023</v>
      </c>
      <c r="E3608">
        <v>4083</v>
      </c>
      <c r="F3608">
        <v>214432</v>
      </c>
      <c r="G3608">
        <v>1.9</v>
      </c>
      <c r="H3608" t="s">
        <v>10</v>
      </c>
      <c r="I3608" t="s">
        <v>11</v>
      </c>
    </row>
    <row r="3609" spans="1:9" hidden="1" x14ac:dyDescent="0.25">
      <c r="A3609" t="s">
        <v>17</v>
      </c>
      <c r="B3609" t="s">
        <v>40</v>
      </c>
      <c r="C3609">
        <v>202307</v>
      </c>
      <c r="D3609" t="str">
        <f t="shared" si="56"/>
        <v>2023</v>
      </c>
      <c r="E3609">
        <v>3963</v>
      </c>
      <c r="F3609">
        <v>214432</v>
      </c>
      <c r="G3609">
        <v>1.85</v>
      </c>
      <c r="H3609" t="s">
        <v>10</v>
      </c>
      <c r="I3609" t="s">
        <v>11</v>
      </c>
    </row>
    <row r="3610" spans="1:9" hidden="1" x14ac:dyDescent="0.25">
      <c r="A3610" t="s">
        <v>17</v>
      </c>
      <c r="B3610" t="s">
        <v>40</v>
      </c>
      <c r="C3610">
        <v>202308</v>
      </c>
      <c r="D3610" t="str">
        <f t="shared" si="56"/>
        <v>2023</v>
      </c>
      <c r="E3610">
        <v>5553</v>
      </c>
      <c r="F3610">
        <v>214432</v>
      </c>
      <c r="G3610">
        <v>2.59</v>
      </c>
      <c r="H3610" t="s">
        <v>10</v>
      </c>
      <c r="I3610" t="s">
        <v>11</v>
      </c>
    </row>
    <row r="3611" spans="1:9" hidden="1" x14ac:dyDescent="0.25">
      <c r="A3611" t="s">
        <v>17</v>
      </c>
      <c r="B3611" t="s">
        <v>40</v>
      </c>
      <c r="C3611">
        <v>202309</v>
      </c>
      <c r="D3611" t="str">
        <f t="shared" si="56"/>
        <v>2023</v>
      </c>
      <c r="E3611">
        <v>6451</v>
      </c>
      <c r="F3611">
        <v>214432</v>
      </c>
      <c r="G3611">
        <v>3.01</v>
      </c>
      <c r="H3611" t="s">
        <v>10</v>
      </c>
      <c r="I3611" t="s">
        <v>11</v>
      </c>
    </row>
    <row r="3612" spans="1:9" hidden="1" x14ac:dyDescent="0.25">
      <c r="A3612" t="s">
        <v>17</v>
      </c>
      <c r="B3612" t="s">
        <v>40</v>
      </c>
      <c r="C3612">
        <v>202310</v>
      </c>
      <c r="D3612" t="str">
        <f t="shared" si="56"/>
        <v>2023</v>
      </c>
      <c r="E3612">
        <v>4154</v>
      </c>
      <c r="F3612">
        <v>214432</v>
      </c>
      <c r="G3612">
        <v>1.94</v>
      </c>
      <c r="H3612" t="s">
        <v>10</v>
      </c>
      <c r="I3612" t="s">
        <v>11</v>
      </c>
    </row>
    <row r="3613" spans="1:9" hidden="1" x14ac:dyDescent="0.25">
      <c r="A3613" t="s">
        <v>17</v>
      </c>
      <c r="B3613" t="s">
        <v>40</v>
      </c>
      <c r="C3613">
        <v>202311</v>
      </c>
      <c r="D3613" t="str">
        <f t="shared" si="56"/>
        <v>2023</v>
      </c>
      <c r="E3613">
        <v>8117</v>
      </c>
      <c r="F3613">
        <v>214432</v>
      </c>
      <c r="G3613">
        <v>3.79</v>
      </c>
      <c r="H3613" t="s">
        <v>10</v>
      </c>
      <c r="I3613" t="s">
        <v>11</v>
      </c>
    </row>
    <row r="3614" spans="1:9" hidden="1" x14ac:dyDescent="0.25">
      <c r="A3614" t="s">
        <v>17</v>
      </c>
      <c r="B3614" t="s">
        <v>40</v>
      </c>
      <c r="C3614">
        <v>202312</v>
      </c>
      <c r="D3614" t="str">
        <f t="shared" si="56"/>
        <v>2023</v>
      </c>
      <c r="E3614">
        <v>5213</v>
      </c>
      <c r="F3614">
        <v>214432</v>
      </c>
      <c r="G3614">
        <v>2.4300000000000002</v>
      </c>
      <c r="H3614" t="s">
        <v>10</v>
      </c>
      <c r="I3614" t="s">
        <v>11</v>
      </c>
    </row>
    <row r="3615" spans="1:9" hidden="1" x14ac:dyDescent="0.25">
      <c r="A3615" t="s">
        <v>17</v>
      </c>
      <c r="B3615" t="s">
        <v>40</v>
      </c>
      <c r="C3615">
        <v>202401</v>
      </c>
      <c r="D3615" t="str">
        <f t="shared" si="56"/>
        <v>2024</v>
      </c>
      <c r="E3615">
        <v>20308</v>
      </c>
      <c r="F3615">
        <v>214432</v>
      </c>
      <c r="G3615">
        <v>9.4700000000000006</v>
      </c>
      <c r="H3615" t="s">
        <v>10</v>
      </c>
      <c r="I3615" t="s">
        <v>11</v>
      </c>
    </row>
    <row r="3616" spans="1:9" hidden="1" x14ac:dyDescent="0.25">
      <c r="A3616" t="s">
        <v>17</v>
      </c>
      <c r="B3616" t="s">
        <v>40</v>
      </c>
      <c r="C3616">
        <v>202402</v>
      </c>
      <c r="D3616" t="str">
        <f t="shared" si="56"/>
        <v>2024</v>
      </c>
      <c r="E3616">
        <v>81881</v>
      </c>
      <c r="F3616">
        <v>214432</v>
      </c>
      <c r="G3616">
        <v>38.19</v>
      </c>
      <c r="H3616" t="s">
        <v>10</v>
      </c>
      <c r="I3616" t="s">
        <v>11</v>
      </c>
    </row>
    <row r="3617" spans="1:9" hidden="1" x14ac:dyDescent="0.25">
      <c r="A3617" t="s">
        <v>17</v>
      </c>
      <c r="B3617" t="s">
        <v>40</v>
      </c>
      <c r="C3617">
        <v>202403</v>
      </c>
      <c r="D3617" t="str">
        <f t="shared" si="56"/>
        <v>2024</v>
      </c>
      <c r="E3617">
        <v>60842</v>
      </c>
      <c r="F3617">
        <v>214432</v>
      </c>
      <c r="G3617">
        <v>28.37</v>
      </c>
      <c r="H3617" t="s">
        <v>10</v>
      </c>
      <c r="I3617" t="s">
        <v>11</v>
      </c>
    </row>
    <row r="3618" spans="1:9" hidden="1" x14ac:dyDescent="0.25">
      <c r="A3618" t="s">
        <v>17</v>
      </c>
      <c r="B3618" t="s">
        <v>121</v>
      </c>
      <c r="C3618">
        <v>201601</v>
      </c>
      <c r="D3618" t="str">
        <f t="shared" si="56"/>
        <v>2016</v>
      </c>
      <c r="E3618">
        <v>1</v>
      </c>
      <c r="F3618">
        <v>175591</v>
      </c>
      <c r="G3618">
        <v>0</v>
      </c>
      <c r="H3618" t="s">
        <v>10</v>
      </c>
      <c r="I3618" t="s">
        <v>11</v>
      </c>
    </row>
    <row r="3619" spans="1:9" hidden="1" x14ac:dyDescent="0.25">
      <c r="A3619" t="s">
        <v>17</v>
      </c>
      <c r="B3619" t="s">
        <v>121</v>
      </c>
      <c r="C3619">
        <v>201607</v>
      </c>
      <c r="D3619" t="str">
        <f t="shared" si="56"/>
        <v>2016</v>
      </c>
      <c r="E3619">
        <v>1</v>
      </c>
      <c r="F3619">
        <v>175591</v>
      </c>
      <c r="G3619">
        <v>0</v>
      </c>
      <c r="H3619" t="s">
        <v>10</v>
      </c>
      <c r="I3619" t="s">
        <v>11</v>
      </c>
    </row>
    <row r="3620" spans="1:9" hidden="1" x14ac:dyDescent="0.25">
      <c r="A3620" t="s">
        <v>17</v>
      </c>
      <c r="B3620" t="s">
        <v>121</v>
      </c>
      <c r="C3620">
        <v>201612</v>
      </c>
      <c r="D3620" t="str">
        <f t="shared" si="56"/>
        <v>2016</v>
      </c>
      <c r="E3620">
        <v>1</v>
      </c>
      <c r="F3620">
        <v>175591</v>
      </c>
      <c r="G3620">
        <v>0</v>
      </c>
      <c r="H3620" t="s">
        <v>10</v>
      </c>
      <c r="I3620" t="s">
        <v>11</v>
      </c>
    </row>
    <row r="3621" spans="1:9" hidden="1" x14ac:dyDescent="0.25">
      <c r="A3621" t="s">
        <v>17</v>
      </c>
      <c r="B3621" t="s">
        <v>121</v>
      </c>
      <c r="C3621">
        <v>201705</v>
      </c>
      <c r="D3621" t="str">
        <f t="shared" si="56"/>
        <v>2017</v>
      </c>
      <c r="E3621">
        <v>18</v>
      </c>
      <c r="F3621">
        <v>175591</v>
      </c>
      <c r="G3621">
        <v>0.01</v>
      </c>
      <c r="H3621" t="s">
        <v>10</v>
      </c>
      <c r="I3621" t="s">
        <v>11</v>
      </c>
    </row>
    <row r="3622" spans="1:9" hidden="1" x14ac:dyDescent="0.25">
      <c r="A3622" t="s">
        <v>17</v>
      </c>
      <c r="B3622" t="s">
        <v>121</v>
      </c>
      <c r="C3622">
        <v>201706</v>
      </c>
      <c r="D3622" t="str">
        <f t="shared" si="56"/>
        <v>2017</v>
      </c>
      <c r="E3622">
        <v>1</v>
      </c>
      <c r="F3622">
        <v>175591</v>
      </c>
      <c r="G3622">
        <v>0</v>
      </c>
      <c r="H3622" t="s">
        <v>10</v>
      </c>
      <c r="I3622" t="s">
        <v>11</v>
      </c>
    </row>
    <row r="3623" spans="1:9" hidden="1" x14ac:dyDescent="0.25">
      <c r="A3623" t="s">
        <v>17</v>
      </c>
      <c r="B3623" t="s">
        <v>121</v>
      </c>
      <c r="C3623">
        <v>201802</v>
      </c>
      <c r="D3623" t="str">
        <f t="shared" si="56"/>
        <v>2018</v>
      </c>
      <c r="E3623">
        <v>1</v>
      </c>
      <c r="F3623">
        <v>175591</v>
      </c>
      <c r="G3623">
        <v>0</v>
      </c>
      <c r="H3623" t="s">
        <v>10</v>
      </c>
      <c r="I3623" t="s">
        <v>11</v>
      </c>
    </row>
    <row r="3624" spans="1:9" hidden="1" x14ac:dyDescent="0.25">
      <c r="A3624" t="s">
        <v>17</v>
      </c>
      <c r="B3624" t="s">
        <v>121</v>
      </c>
      <c r="C3624">
        <v>201803</v>
      </c>
      <c r="D3624" t="str">
        <f t="shared" si="56"/>
        <v>2018</v>
      </c>
      <c r="E3624">
        <v>2</v>
      </c>
      <c r="F3624">
        <v>175591</v>
      </c>
      <c r="G3624">
        <v>0</v>
      </c>
      <c r="H3624" t="s">
        <v>10</v>
      </c>
      <c r="I3624" t="s">
        <v>11</v>
      </c>
    </row>
    <row r="3625" spans="1:9" hidden="1" x14ac:dyDescent="0.25">
      <c r="A3625" t="s">
        <v>17</v>
      </c>
      <c r="B3625" t="s">
        <v>121</v>
      </c>
      <c r="C3625">
        <v>201804</v>
      </c>
      <c r="D3625" t="str">
        <f t="shared" si="56"/>
        <v>2018</v>
      </c>
      <c r="E3625">
        <v>1</v>
      </c>
      <c r="F3625">
        <v>175591</v>
      </c>
      <c r="G3625">
        <v>0</v>
      </c>
      <c r="H3625" t="s">
        <v>10</v>
      </c>
      <c r="I3625" t="s">
        <v>11</v>
      </c>
    </row>
    <row r="3626" spans="1:9" hidden="1" x14ac:dyDescent="0.25">
      <c r="A3626" t="s">
        <v>17</v>
      </c>
      <c r="B3626" t="s">
        <v>121</v>
      </c>
      <c r="C3626">
        <v>201805</v>
      </c>
      <c r="D3626" t="str">
        <f t="shared" si="56"/>
        <v>2018</v>
      </c>
      <c r="E3626">
        <v>13</v>
      </c>
      <c r="F3626">
        <v>175591</v>
      </c>
      <c r="G3626">
        <v>0.01</v>
      </c>
      <c r="H3626" t="s">
        <v>10</v>
      </c>
      <c r="I3626" t="s">
        <v>11</v>
      </c>
    </row>
    <row r="3627" spans="1:9" hidden="1" x14ac:dyDescent="0.25">
      <c r="A3627" t="s">
        <v>17</v>
      </c>
      <c r="B3627" t="s">
        <v>121</v>
      </c>
      <c r="C3627">
        <v>201806</v>
      </c>
      <c r="D3627" t="str">
        <f t="shared" si="56"/>
        <v>2018</v>
      </c>
      <c r="E3627">
        <v>27</v>
      </c>
      <c r="F3627">
        <v>175591</v>
      </c>
      <c r="G3627">
        <v>0.02</v>
      </c>
      <c r="H3627" t="s">
        <v>10</v>
      </c>
      <c r="I3627" t="s">
        <v>11</v>
      </c>
    </row>
    <row r="3628" spans="1:9" hidden="1" x14ac:dyDescent="0.25">
      <c r="A3628" t="s">
        <v>17</v>
      </c>
      <c r="B3628" t="s">
        <v>121</v>
      </c>
      <c r="C3628">
        <v>201807</v>
      </c>
      <c r="D3628" t="str">
        <f t="shared" si="56"/>
        <v>2018</v>
      </c>
      <c r="E3628">
        <v>24</v>
      </c>
      <c r="F3628">
        <v>175591</v>
      </c>
      <c r="G3628">
        <v>0.01</v>
      </c>
      <c r="H3628" t="s">
        <v>10</v>
      </c>
      <c r="I3628" t="s">
        <v>11</v>
      </c>
    </row>
    <row r="3629" spans="1:9" hidden="1" x14ac:dyDescent="0.25">
      <c r="A3629" t="s">
        <v>17</v>
      </c>
      <c r="B3629" t="s">
        <v>121</v>
      </c>
      <c r="C3629">
        <v>201808</v>
      </c>
      <c r="D3629" t="str">
        <f t="shared" si="56"/>
        <v>2018</v>
      </c>
      <c r="E3629">
        <v>16</v>
      </c>
      <c r="F3629">
        <v>175591</v>
      </c>
      <c r="G3629">
        <v>0.01</v>
      </c>
      <c r="H3629" t="s">
        <v>10</v>
      </c>
      <c r="I3629" t="s">
        <v>11</v>
      </c>
    </row>
    <row r="3630" spans="1:9" hidden="1" x14ac:dyDescent="0.25">
      <c r="A3630" t="s">
        <v>17</v>
      </c>
      <c r="B3630" t="s">
        <v>121</v>
      </c>
      <c r="C3630">
        <v>201809</v>
      </c>
      <c r="D3630" t="str">
        <f t="shared" si="56"/>
        <v>2018</v>
      </c>
      <c r="E3630">
        <v>1</v>
      </c>
      <c r="F3630">
        <v>175591</v>
      </c>
      <c r="G3630">
        <v>0</v>
      </c>
      <c r="H3630" t="s">
        <v>10</v>
      </c>
      <c r="I3630" t="s">
        <v>11</v>
      </c>
    </row>
    <row r="3631" spans="1:9" hidden="1" x14ac:dyDescent="0.25">
      <c r="A3631" t="s">
        <v>17</v>
      </c>
      <c r="B3631" t="s">
        <v>121</v>
      </c>
      <c r="C3631">
        <v>201810</v>
      </c>
      <c r="D3631" t="str">
        <f t="shared" si="56"/>
        <v>2018</v>
      </c>
      <c r="E3631">
        <v>10</v>
      </c>
      <c r="F3631">
        <v>175591</v>
      </c>
      <c r="G3631">
        <v>0.01</v>
      </c>
      <c r="H3631" t="s">
        <v>10</v>
      </c>
      <c r="I3631" t="s">
        <v>11</v>
      </c>
    </row>
    <row r="3632" spans="1:9" hidden="1" x14ac:dyDescent="0.25">
      <c r="A3632" t="s">
        <v>17</v>
      </c>
      <c r="B3632" t="s">
        <v>121</v>
      </c>
      <c r="C3632">
        <v>201811</v>
      </c>
      <c r="D3632" t="str">
        <f t="shared" si="56"/>
        <v>2018</v>
      </c>
      <c r="E3632">
        <v>28</v>
      </c>
      <c r="F3632">
        <v>175591</v>
      </c>
      <c r="G3632">
        <v>0.02</v>
      </c>
      <c r="H3632" t="s">
        <v>10</v>
      </c>
      <c r="I3632" t="s">
        <v>11</v>
      </c>
    </row>
    <row r="3633" spans="1:9" hidden="1" x14ac:dyDescent="0.25">
      <c r="A3633" t="s">
        <v>17</v>
      </c>
      <c r="B3633" t="s">
        <v>121</v>
      </c>
      <c r="C3633">
        <v>201812</v>
      </c>
      <c r="D3633" t="str">
        <f t="shared" si="56"/>
        <v>2018</v>
      </c>
      <c r="E3633">
        <v>23</v>
      </c>
      <c r="F3633">
        <v>175591</v>
      </c>
      <c r="G3633">
        <v>0.01</v>
      </c>
      <c r="H3633" t="s">
        <v>10</v>
      </c>
      <c r="I3633" t="s">
        <v>11</v>
      </c>
    </row>
    <row r="3634" spans="1:9" hidden="1" x14ac:dyDescent="0.25">
      <c r="A3634" t="s">
        <v>17</v>
      </c>
      <c r="B3634" t="s">
        <v>121</v>
      </c>
      <c r="C3634">
        <v>201901</v>
      </c>
      <c r="D3634" t="str">
        <f t="shared" si="56"/>
        <v>2019</v>
      </c>
      <c r="E3634">
        <v>1</v>
      </c>
      <c r="F3634">
        <v>175591</v>
      </c>
      <c r="G3634">
        <v>0</v>
      </c>
      <c r="H3634" t="s">
        <v>10</v>
      </c>
      <c r="I3634" t="s">
        <v>11</v>
      </c>
    </row>
    <row r="3635" spans="1:9" hidden="1" x14ac:dyDescent="0.25">
      <c r="A3635" t="s">
        <v>17</v>
      </c>
      <c r="B3635" t="s">
        <v>121</v>
      </c>
      <c r="C3635">
        <v>201902</v>
      </c>
      <c r="D3635" t="str">
        <f t="shared" si="56"/>
        <v>2019</v>
      </c>
      <c r="E3635">
        <v>7</v>
      </c>
      <c r="F3635">
        <v>175591</v>
      </c>
      <c r="G3635">
        <v>0</v>
      </c>
      <c r="H3635" t="s">
        <v>10</v>
      </c>
      <c r="I3635" t="s">
        <v>11</v>
      </c>
    </row>
    <row r="3636" spans="1:9" hidden="1" x14ac:dyDescent="0.25">
      <c r="A3636" t="s">
        <v>17</v>
      </c>
      <c r="B3636" t="s">
        <v>121</v>
      </c>
      <c r="C3636">
        <v>201912</v>
      </c>
      <c r="D3636" t="str">
        <f t="shared" si="56"/>
        <v>2019</v>
      </c>
      <c r="E3636">
        <v>26</v>
      </c>
      <c r="F3636">
        <v>175591</v>
      </c>
      <c r="G3636">
        <v>0.01</v>
      </c>
      <c r="H3636" t="s">
        <v>10</v>
      </c>
      <c r="I3636" t="s">
        <v>11</v>
      </c>
    </row>
    <row r="3637" spans="1:9" hidden="1" x14ac:dyDescent="0.25">
      <c r="A3637" t="s">
        <v>17</v>
      </c>
      <c r="B3637" t="s">
        <v>121</v>
      </c>
      <c r="C3637">
        <v>202002</v>
      </c>
      <c r="D3637" t="str">
        <f t="shared" si="56"/>
        <v>2020</v>
      </c>
      <c r="E3637">
        <v>7</v>
      </c>
      <c r="F3637">
        <v>175591</v>
      </c>
      <c r="G3637">
        <v>0</v>
      </c>
      <c r="H3637" t="s">
        <v>10</v>
      </c>
      <c r="I3637" t="s">
        <v>11</v>
      </c>
    </row>
    <row r="3638" spans="1:9" hidden="1" x14ac:dyDescent="0.25">
      <c r="A3638" t="s">
        <v>17</v>
      </c>
      <c r="B3638" t="s">
        <v>121</v>
      </c>
      <c r="C3638">
        <v>202005</v>
      </c>
      <c r="D3638" t="str">
        <f t="shared" si="56"/>
        <v>2020</v>
      </c>
      <c r="E3638">
        <v>27</v>
      </c>
      <c r="F3638">
        <v>175591</v>
      </c>
      <c r="G3638">
        <v>0.02</v>
      </c>
      <c r="H3638" t="s">
        <v>10</v>
      </c>
      <c r="I3638" t="s">
        <v>11</v>
      </c>
    </row>
    <row r="3639" spans="1:9" hidden="1" x14ac:dyDescent="0.25">
      <c r="A3639" t="s">
        <v>17</v>
      </c>
      <c r="B3639" t="s">
        <v>121</v>
      </c>
      <c r="C3639">
        <v>202006</v>
      </c>
      <c r="D3639" t="str">
        <f t="shared" si="56"/>
        <v>2020</v>
      </c>
      <c r="E3639">
        <v>27</v>
      </c>
      <c r="F3639">
        <v>175591</v>
      </c>
      <c r="G3639">
        <v>0.02</v>
      </c>
      <c r="H3639" t="s">
        <v>10</v>
      </c>
      <c r="I3639" t="s">
        <v>11</v>
      </c>
    </row>
    <row r="3640" spans="1:9" hidden="1" x14ac:dyDescent="0.25">
      <c r="A3640" t="s">
        <v>17</v>
      </c>
      <c r="B3640" t="s">
        <v>121</v>
      </c>
      <c r="C3640">
        <v>202010</v>
      </c>
      <c r="D3640" t="str">
        <f t="shared" si="56"/>
        <v>2020</v>
      </c>
      <c r="E3640">
        <v>19</v>
      </c>
      <c r="F3640">
        <v>175591</v>
      </c>
      <c r="G3640">
        <v>0.01</v>
      </c>
      <c r="H3640" t="s">
        <v>10</v>
      </c>
      <c r="I3640" t="s">
        <v>11</v>
      </c>
    </row>
    <row r="3641" spans="1:9" hidden="1" x14ac:dyDescent="0.25">
      <c r="A3641" t="s">
        <v>17</v>
      </c>
      <c r="B3641" t="s">
        <v>121</v>
      </c>
      <c r="C3641">
        <v>202101</v>
      </c>
      <c r="D3641" t="str">
        <f t="shared" si="56"/>
        <v>2021</v>
      </c>
      <c r="E3641">
        <v>1</v>
      </c>
      <c r="F3641">
        <v>175591</v>
      </c>
      <c r="G3641">
        <v>0</v>
      </c>
      <c r="H3641" t="s">
        <v>10</v>
      </c>
      <c r="I3641" t="s">
        <v>11</v>
      </c>
    </row>
    <row r="3642" spans="1:9" hidden="1" x14ac:dyDescent="0.25">
      <c r="A3642" t="s">
        <v>17</v>
      </c>
      <c r="B3642" t="s">
        <v>121</v>
      </c>
      <c r="C3642">
        <v>202107</v>
      </c>
      <c r="D3642" t="str">
        <f t="shared" si="56"/>
        <v>2021</v>
      </c>
      <c r="E3642">
        <v>4</v>
      </c>
      <c r="F3642">
        <v>175591</v>
      </c>
      <c r="G3642">
        <v>0</v>
      </c>
      <c r="H3642" t="s">
        <v>10</v>
      </c>
      <c r="I3642" t="s">
        <v>11</v>
      </c>
    </row>
    <row r="3643" spans="1:9" hidden="1" x14ac:dyDescent="0.25">
      <c r="A3643" t="s">
        <v>17</v>
      </c>
      <c r="B3643" t="s">
        <v>121</v>
      </c>
      <c r="C3643">
        <v>202110</v>
      </c>
      <c r="D3643" t="str">
        <f t="shared" si="56"/>
        <v>2021</v>
      </c>
      <c r="E3643">
        <v>1</v>
      </c>
      <c r="F3643">
        <v>175591</v>
      </c>
      <c r="G3643">
        <v>0</v>
      </c>
      <c r="H3643" t="s">
        <v>10</v>
      </c>
      <c r="I3643" t="s">
        <v>11</v>
      </c>
    </row>
    <row r="3644" spans="1:9" hidden="1" x14ac:dyDescent="0.25">
      <c r="A3644" t="s">
        <v>17</v>
      </c>
      <c r="B3644" t="s">
        <v>121</v>
      </c>
      <c r="C3644">
        <v>202111</v>
      </c>
      <c r="D3644" t="str">
        <f t="shared" si="56"/>
        <v>2021</v>
      </c>
      <c r="E3644">
        <v>16</v>
      </c>
      <c r="F3644">
        <v>175591</v>
      </c>
      <c r="G3644">
        <v>0.01</v>
      </c>
      <c r="H3644" t="s">
        <v>10</v>
      </c>
      <c r="I3644" t="s">
        <v>11</v>
      </c>
    </row>
    <row r="3645" spans="1:9" hidden="1" x14ac:dyDescent="0.25">
      <c r="A3645" t="s">
        <v>17</v>
      </c>
      <c r="B3645" t="s">
        <v>121</v>
      </c>
      <c r="C3645">
        <v>202112</v>
      </c>
      <c r="D3645" t="str">
        <f t="shared" si="56"/>
        <v>2021</v>
      </c>
      <c r="E3645">
        <v>22</v>
      </c>
      <c r="F3645">
        <v>175591</v>
      </c>
      <c r="G3645">
        <v>0.01</v>
      </c>
      <c r="H3645" t="s">
        <v>10</v>
      </c>
      <c r="I3645" t="s">
        <v>11</v>
      </c>
    </row>
    <row r="3646" spans="1:9" hidden="1" x14ac:dyDescent="0.25">
      <c r="A3646" t="s">
        <v>17</v>
      </c>
      <c r="B3646" t="s">
        <v>121</v>
      </c>
      <c r="C3646">
        <v>202201</v>
      </c>
      <c r="D3646" t="str">
        <f t="shared" si="56"/>
        <v>2022</v>
      </c>
      <c r="E3646">
        <v>61</v>
      </c>
      <c r="F3646">
        <v>175591</v>
      </c>
      <c r="G3646">
        <v>0.03</v>
      </c>
      <c r="H3646" t="s">
        <v>10</v>
      </c>
      <c r="I3646" t="s">
        <v>11</v>
      </c>
    </row>
    <row r="3647" spans="1:9" hidden="1" x14ac:dyDescent="0.25">
      <c r="A3647" t="s">
        <v>17</v>
      </c>
      <c r="B3647" t="s">
        <v>121</v>
      </c>
      <c r="C3647">
        <v>202202</v>
      </c>
      <c r="D3647" t="str">
        <f t="shared" si="56"/>
        <v>2022</v>
      </c>
      <c r="E3647">
        <v>134</v>
      </c>
      <c r="F3647">
        <v>175591</v>
      </c>
      <c r="G3647">
        <v>0.08</v>
      </c>
      <c r="H3647" t="s">
        <v>10</v>
      </c>
      <c r="I3647" t="s">
        <v>11</v>
      </c>
    </row>
    <row r="3648" spans="1:9" hidden="1" x14ac:dyDescent="0.25">
      <c r="A3648" t="s">
        <v>17</v>
      </c>
      <c r="B3648" t="s">
        <v>121</v>
      </c>
      <c r="C3648">
        <v>202203</v>
      </c>
      <c r="D3648" t="str">
        <f t="shared" si="56"/>
        <v>2022</v>
      </c>
      <c r="E3648">
        <v>132</v>
      </c>
      <c r="F3648">
        <v>175591</v>
      </c>
      <c r="G3648">
        <v>0.08</v>
      </c>
      <c r="H3648" t="s">
        <v>10</v>
      </c>
      <c r="I3648" t="s">
        <v>11</v>
      </c>
    </row>
    <row r="3649" spans="1:9" hidden="1" x14ac:dyDescent="0.25">
      <c r="A3649" t="s">
        <v>17</v>
      </c>
      <c r="B3649" t="s">
        <v>121</v>
      </c>
      <c r="C3649">
        <v>202204</v>
      </c>
      <c r="D3649" t="str">
        <f t="shared" si="56"/>
        <v>2022</v>
      </c>
      <c r="E3649">
        <v>410</v>
      </c>
      <c r="F3649">
        <v>175591</v>
      </c>
      <c r="G3649">
        <v>0.23</v>
      </c>
      <c r="H3649" t="s">
        <v>10</v>
      </c>
      <c r="I3649" t="s">
        <v>11</v>
      </c>
    </row>
    <row r="3650" spans="1:9" hidden="1" x14ac:dyDescent="0.25">
      <c r="A3650" t="s">
        <v>17</v>
      </c>
      <c r="B3650" t="s">
        <v>121</v>
      </c>
      <c r="C3650">
        <v>202205</v>
      </c>
      <c r="D3650" t="str">
        <f t="shared" si="56"/>
        <v>2022</v>
      </c>
      <c r="E3650">
        <v>73</v>
      </c>
      <c r="F3650">
        <v>175591</v>
      </c>
      <c r="G3650">
        <v>0.04</v>
      </c>
      <c r="H3650" t="s">
        <v>10</v>
      </c>
      <c r="I3650" t="s">
        <v>11</v>
      </c>
    </row>
    <row r="3651" spans="1:9" hidden="1" x14ac:dyDescent="0.25">
      <c r="A3651" t="s">
        <v>17</v>
      </c>
      <c r="B3651" t="s">
        <v>121</v>
      </c>
      <c r="C3651">
        <v>202206</v>
      </c>
      <c r="D3651" t="str">
        <f t="shared" ref="D3651:D3714" si="57">LEFT(C3651,4)</f>
        <v>2022</v>
      </c>
      <c r="E3651">
        <v>86</v>
      </c>
      <c r="F3651">
        <v>175591</v>
      </c>
      <c r="G3651">
        <v>0.05</v>
      </c>
      <c r="H3651" t="s">
        <v>10</v>
      </c>
      <c r="I3651" t="s">
        <v>11</v>
      </c>
    </row>
    <row r="3652" spans="1:9" hidden="1" x14ac:dyDescent="0.25">
      <c r="A3652" t="s">
        <v>17</v>
      </c>
      <c r="B3652" t="s">
        <v>121</v>
      </c>
      <c r="C3652">
        <v>202207</v>
      </c>
      <c r="D3652" t="str">
        <f t="shared" si="57"/>
        <v>2022</v>
      </c>
      <c r="E3652">
        <v>30</v>
      </c>
      <c r="F3652">
        <v>175591</v>
      </c>
      <c r="G3652">
        <v>0.02</v>
      </c>
      <c r="H3652" t="s">
        <v>10</v>
      </c>
      <c r="I3652" t="s">
        <v>11</v>
      </c>
    </row>
    <row r="3653" spans="1:9" hidden="1" x14ac:dyDescent="0.25">
      <c r="A3653" t="s">
        <v>17</v>
      </c>
      <c r="B3653" t="s">
        <v>121</v>
      </c>
      <c r="C3653">
        <v>202208</v>
      </c>
      <c r="D3653" t="str">
        <f t="shared" si="57"/>
        <v>2022</v>
      </c>
      <c r="E3653">
        <v>175</v>
      </c>
      <c r="F3653">
        <v>175591</v>
      </c>
      <c r="G3653">
        <v>0.1</v>
      </c>
      <c r="H3653" t="s">
        <v>10</v>
      </c>
      <c r="I3653" t="s">
        <v>11</v>
      </c>
    </row>
    <row r="3654" spans="1:9" hidden="1" x14ac:dyDescent="0.25">
      <c r="A3654" t="s">
        <v>17</v>
      </c>
      <c r="B3654" t="s">
        <v>121</v>
      </c>
      <c r="C3654">
        <v>202209</v>
      </c>
      <c r="D3654" t="str">
        <f t="shared" si="57"/>
        <v>2022</v>
      </c>
      <c r="E3654">
        <v>114</v>
      </c>
      <c r="F3654">
        <v>175591</v>
      </c>
      <c r="G3654">
        <v>0.06</v>
      </c>
      <c r="H3654" t="s">
        <v>10</v>
      </c>
      <c r="I3654" t="s">
        <v>11</v>
      </c>
    </row>
    <row r="3655" spans="1:9" hidden="1" x14ac:dyDescent="0.25">
      <c r="A3655" t="s">
        <v>17</v>
      </c>
      <c r="B3655" t="s">
        <v>121</v>
      </c>
      <c r="C3655">
        <v>202210</v>
      </c>
      <c r="D3655" t="str">
        <f t="shared" si="57"/>
        <v>2022</v>
      </c>
      <c r="E3655">
        <v>104</v>
      </c>
      <c r="F3655">
        <v>175591</v>
      </c>
      <c r="G3655">
        <v>0.06</v>
      </c>
      <c r="H3655" t="s">
        <v>10</v>
      </c>
      <c r="I3655" t="s">
        <v>11</v>
      </c>
    </row>
    <row r="3656" spans="1:9" hidden="1" x14ac:dyDescent="0.25">
      <c r="A3656" t="s">
        <v>17</v>
      </c>
      <c r="B3656" t="s">
        <v>121</v>
      </c>
      <c r="C3656">
        <v>202211</v>
      </c>
      <c r="D3656" t="str">
        <f t="shared" si="57"/>
        <v>2022</v>
      </c>
      <c r="E3656">
        <v>221</v>
      </c>
      <c r="F3656">
        <v>175591</v>
      </c>
      <c r="G3656">
        <v>0.13</v>
      </c>
      <c r="H3656" t="s">
        <v>10</v>
      </c>
      <c r="I3656" t="s">
        <v>11</v>
      </c>
    </row>
    <row r="3657" spans="1:9" hidden="1" x14ac:dyDescent="0.25">
      <c r="A3657" t="s">
        <v>17</v>
      </c>
      <c r="B3657" t="s">
        <v>121</v>
      </c>
      <c r="C3657">
        <v>202212</v>
      </c>
      <c r="D3657" t="str">
        <f t="shared" si="57"/>
        <v>2022</v>
      </c>
      <c r="E3657">
        <v>164</v>
      </c>
      <c r="F3657">
        <v>175591</v>
      </c>
      <c r="G3657">
        <v>0.09</v>
      </c>
      <c r="H3657" t="s">
        <v>10</v>
      </c>
      <c r="I3657" t="s">
        <v>11</v>
      </c>
    </row>
    <row r="3658" spans="1:9" hidden="1" x14ac:dyDescent="0.25">
      <c r="A3658" t="s">
        <v>17</v>
      </c>
      <c r="B3658" t="s">
        <v>121</v>
      </c>
      <c r="C3658">
        <v>202301</v>
      </c>
      <c r="D3658" t="str">
        <f t="shared" si="57"/>
        <v>2023</v>
      </c>
      <c r="E3658">
        <v>317</v>
      </c>
      <c r="F3658">
        <v>175591</v>
      </c>
      <c r="G3658">
        <v>0.18</v>
      </c>
      <c r="H3658" t="s">
        <v>10</v>
      </c>
      <c r="I3658" t="s">
        <v>11</v>
      </c>
    </row>
    <row r="3659" spans="1:9" hidden="1" x14ac:dyDescent="0.25">
      <c r="A3659" t="s">
        <v>17</v>
      </c>
      <c r="B3659" t="s">
        <v>121</v>
      </c>
      <c r="C3659">
        <v>202302</v>
      </c>
      <c r="D3659" t="str">
        <f t="shared" si="57"/>
        <v>2023</v>
      </c>
      <c r="E3659">
        <v>460</v>
      </c>
      <c r="F3659">
        <v>175591</v>
      </c>
      <c r="G3659">
        <v>0.26</v>
      </c>
      <c r="H3659" t="s">
        <v>10</v>
      </c>
      <c r="I3659" t="s">
        <v>11</v>
      </c>
    </row>
    <row r="3660" spans="1:9" hidden="1" x14ac:dyDescent="0.25">
      <c r="A3660" t="s">
        <v>17</v>
      </c>
      <c r="B3660" t="s">
        <v>121</v>
      </c>
      <c r="C3660">
        <v>202303</v>
      </c>
      <c r="D3660" t="str">
        <f t="shared" si="57"/>
        <v>2023</v>
      </c>
      <c r="E3660">
        <v>647</v>
      </c>
      <c r="F3660">
        <v>175591</v>
      </c>
      <c r="G3660">
        <v>0.37</v>
      </c>
      <c r="H3660" t="s">
        <v>10</v>
      </c>
      <c r="I3660" t="s">
        <v>11</v>
      </c>
    </row>
    <row r="3661" spans="1:9" hidden="1" x14ac:dyDescent="0.25">
      <c r="A3661" t="s">
        <v>17</v>
      </c>
      <c r="B3661" t="s">
        <v>121</v>
      </c>
      <c r="C3661">
        <v>202304</v>
      </c>
      <c r="D3661" t="str">
        <f t="shared" si="57"/>
        <v>2023</v>
      </c>
      <c r="E3661">
        <v>734</v>
      </c>
      <c r="F3661">
        <v>175591</v>
      </c>
      <c r="G3661">
        <v>0.42</v>
      </c>
      <c r="H3661" t="s">
        <v>10</v>
      </c>
      <c r="I3661" t="s">
        <v>11</v>
      </c>
    </row>
    <row r="3662" spans="1:9" hidden="1" x14ac:dyDescent="0.25">
      <c r="A3662" t="s">
        <v>17</v>
      </c>
      <c r="B3662" t="s">
        <v>121</v>
      </c>
      <c r="C3662">
        <v>202305</v>
      </c>
      <c r="D3662" t="str">
        <f t="shared" si="57"/>
        <v>2023</v>
      </c>
      <c r="E3662">
        <v>822</v>
      </c>
      <c r="F3662">
        <v>175591</v>
      </c>
      <c r="G3662">
        <v>0.47</v>
      </c>
      <c r="H3662" t="s">
        <v>10</v>
      </c>
      <c r="I3662" t="s">
        <v>11</v>
      </c>
    </row>
    <row r="3663" spans="1:9" hidden="1" x14ac:dyDescent="0.25">
      <c r="A3663" t="s">
        <v>17</v>
      </c>
      <c r="B3663" t="s">
        <v>121</v>
      </c>
      <c r="C3663">
        <v>202306</v>
      </c>
      <c r="D3663" t="str">
        <f t="shared" si="57"/>
        <v>2023</v>
      </c>
      <c r="E3663">
        <v>1155</v>
      </c>
      <c r="F3663">
        <v>175591</v>
      </c>
      <c r="G3663">
        <v>0.66</v>
      </c>
      <c r="H3663" t="s">
        <v>10</v>
      </c>
      <c r="I3663" t="s">
        <v>11</v>
      </c>
    </row>
    <row r="3664" spans="1:9" hidden="1" x14ac:dyDescent="0.25">
      <c r="A3664" t="s">
        <v>17</v>
      </c>
      <c r="B3664" t="s">
        <v>121</v>
      </c>
      <c r="C3664">
        <v>202307</v>
      </c>
      <c r="D3664" t="str">
        <f t="shared" si="57"/>
        <v>2023</v>
      </c>
      <c r="E3664">
        <v>1091</v>
      </c>
      <c r="F3664">
        <v>175591</v>
      </c>
      <c r="G3664">
        <v>0.62</v>
      </c>
      <c r="H3664" t="s">
        <v>10</v>
      </c>
      <c r="I3664" t="s">
        <v>11</v>
      </c>
    </row>
    <row r="3665" spans="1:9" hidden="1" x14ac:dyDescent="0.25">
      <c r="A3665" t="s">
        <v>17</v>
      </c>
      <c r="B3665" t="s">
        <v>121</v>
      </c>
      <c r="C3665">
        <v>202308</v>
      </c>
      <c r="D3665" t="str">
        <f t="shared" si="57"/>
        <v>2023</v>
      </c>
      <c r="E3665">
        <v>2173</v>
      </c>
      <c r="F3665">
        <v>175591</v>
      </c>
      <c r="G3665">
        <v>1.24</v>
      </c>
      <c r="H3665" t="s">
        <v>10</v>
      </c>
      <c r="I3665" t="s">
        <v>11</v>
      </c>
    </row>
    <row r="3666" spans="1:9" hidden="1" x14ac:dyDescent="0.25">
      <c r="A3666" t="s">
        <v>17</v>
      </c>
      <c r="B3666" t="s">
        <v>121</v>
      </c>
      <c r="C3666">
        <v>202309</v>
      </c>
      <c r="D3666" t="str">
        <f t="shared" si="57"/>
        <v>2023</v>
      </c>
      <c r="E3666">
        <v>3569</v>
      </c>
      <c r="F3666">
        <v>175591</v>
      </c>
      <c r="G3666">
        <v>2.0299999999999998</v>
      </c>
      <c r="H3666" t="s">
        <v>10</v>
      </c>
      <c r="I3666" t="s">
        <v>11</v>
      </c>
    </row>
    <row r="3667" spans="1:9" hidden="1" x14ac:dyDescent="0.25">
      <c r="A3667" t="s">
        <v>17</v>
      </c>
      <c r="B3667" t="s">
        <v>121</v>
      </c>
      <c r="C3667">
        <v>202310</v>
      </c>
      <c r="D3667" t="str">
        <f t="shared" si="57"/>
        <v>2023</v>
      </c>
      <c r="E3667">
        <v>4905</v>
      </c>
      <c r="F3667">
        <v>175591</v>
      </c>
      <c r="G3667">
        <v>2.79</v>
      </c>
      <c r="H3667" t="s">
        <v>10</v>
      </c>
      <c r="I3667" t="s">
        <v>11</v>
      </c>
    </row>
    <row r="3668" spans="1:9" hidden="1" x14ac:dyDescent="0.25">
      <c r="A3668" t="s">
        <v>17</v>
      </c>
      <c r="B3668" t="s">
        <v>121</v>
      </c>
      <c r="C3668">
        <v>202311</v>
      </c>
      <c r="D3668" t="str">
        <f t="shared" si="57"/>
        <v>2023</v>
      </c>
      <c r="E3668">
        <v>4858</v>
      </c>
      <c r="F3668">
        <v>175591</v>
      </c>
      <c r="G3668">
        <v>2.77</v>
      </c>
      <c r="H3668" t="s">
        <v>10</v>
      </c>
      <c r="I3668" t="s">
        <v>11</v>
      </c>
    </row>
    <row r="3669" spans="1:9" hidden="1" x14ac:dyDescent="0.25">
      <c r="A3669" t="s">
        <v>17</v>
      </c>
      <c r="B3669" t="s">
        <v>121</v>
      </c>
      <c r="C3669">
        <v>202312</v>
      </c>
      <c r="D3669" t="str">
        <f t="shared" si="57"/>
        <v>2023</v>
      </c>
      <c r="E3669">
        <v>4955</v>
      </c>
      <c r="F3669">
        <v>175591</v>
      </c>
      <c r="G3669">
        <v>2.82</v>
      </c>
      <c r="H3669" t="s">
        <v>10</v>
      </c>
      <c r="I3669" t="s">
        <v>11</v>
      </c>
    </row>
    <row r="3670" spans="1:9" hidden="1" x14ac:dyDescent="0.25">
      <c r="A3670" t="s">
        <v>17</v>
      </c>
      <c r="B3670" t="s">
        <v>121</v>
      </c>
      <c r="C3670">
        <v>202401</v>
      </c>
      <c r="D3670" t="str">
        <f t="shared" si="57"/>
        <v>2024</v>
      </c>
      <c r="E3670">
        <v>4358</v>
      </c>
      <c r="F3670">
        <v>175591</v>
      </c>
      <c r="G3670">
        <v>2.48</v>
      </c>
      <c r="H3670" t="s">
        <v>10</v>
      </c>
      <c r="I3670" t="s">
        <v>11</v>
      </c>
    </row>
    <row r="3671" spans="1:9" hidden="1" x14ac:dyDescent="0.25">
      <c r="A3671" t="s">
        <v>17</v>
      </c>
      <c r="B3671" t="s">
        <v>121</v>
      </c>
      <c r="C3671">
        <v>202402</v>
      </c>
      <c r="D3671" t="str">
        <f t="shared" si="57"/>
        <v>2024</v>
      </c>
      <c r="E3671">
        <v>4997</v>
      </c>
      <c r="F3671">
        <v>175591</v>
      </c>
      <c r="G3671">
        <v>2.85</v>
      </c>
      <c r="H3671" t="s">
        <v>10</v>
      </c>
      <c r="I3671" t="s">
        <v>11</v>
      </c>
    </row>
    <row r="3672" spans="1:9" hidden="1" x14ac:dyDescent="0.25">
      <c r="A3672" t="s">
        <v>17</v>
      </c>
      <c r="B3672" t="s">
        <v>121</v>
      </c>
      <c r="C3672">
        <v>202403</v>
      </c>
      <c r="D3672" t="str">
        <f t="shared" si="57"/>
        <v>2024</v>
      </c>
      <c r="E3672">
        <v>10899</v>
      </c>
      <c r="F3672">
        <v>175591</v>
      </c>
      <c r="G3672">
        <v>6.21</v>
      </c>
      <c r="H3672" t="s">
        <v>10</v>
      </c>
      <c r="I3672" t="s">
        <v>11</v>
      </c>
    </row>
    <row r="3673" spans="1:9" hidden="1" x14ac:dyDescent="0.25">
      <c r="A3673" t="s">
        <v>17</v>
      </c>
      <c r="B3673" t="s">
        <v>121</v>
      </c>
      <c r="C3673">
        <v>202404</v>
      </c>
      <c r="D3673" t="str">
        <f t="shared" si="57"/>
        <v>2024</v>
      </c>
      <c r="E3673">
        <v>74204</v>
      </c>
      <c r="F3673">
        <v>175591</v>
      </c>
      <c r="G3673">
        <v>42.26</v>
      </c>
      <c r="H3673" t="s">
        <v>10</v>
      </c>
      <c r="I3673" t="s">
        <v>11</v>
      </c>
    </row>
    <row r="3674" spans="1:9" hidden="1" x14ac:dyDescent="0.25">
      <c r="A3674" t="s">
        <v>17</v>
      </c>
      <c r="B3674" t="s">
        <v>121</v>
      </c>
      <c r="C3674">
        <v>202405</v>
      </c>
      <c r="D3674" t="str">
        <f t="shared" si="57"/>
        <v>2024</v>
      </c>
      <c r="E3674">
        <v>53417</v>
      </c>
      <c r="F3674">
        <v>175591</v>
      </c>
      <c r="G3674">
        <v>30.42</v>
      </c>
      <c r="H3674" t="s">
        <v>10</v>
      </c>
      <c r="I3674" t="s">
        <v>11</v>
      </c>
    </row>
    <row r="3675" spans="1:9" hidden="1" x14ac:dyDescent="0.25">
      <c r="A3675" t="s">
        <v>17</v>
      </c>
      <c r="B3675" t="s">
        <v>91</v>
      </c>
      <c r="C3675">
        <v>202103</v>
      </c>
      <c r="D3675" t="str">
        <f t="shared" si="57"/>
        <v>2021</v>
      </c>
      <c r="E3675">
        <v>1</v>
      </c>
      <c r="F3675">
        <v>187609</v>
      </c>
      <c r="G3675">
        <v>0</v>
      </c>
      <c r="H3675" t="s">
        <v>10</v>
      </c>
      <c r="I3675" t="s">
        <v>11</v>
      </c>
    </row>
    <row r="3676" spans="1:9" hidden="1" x14ac:dyDescent="0.25">
      <c r="A3676" t="s">
        <v>17</v>
      </c>
      <c r="B3676" t="s">
        <v>91</v>
      </c>
      <c r="C3676">
        <v>202111</v>
      </c>
      <c r="D3676" t="str">
        <f t="shared" si="57"/>
        <v>2021</v>
      </c>
      <c r="E3676">
        <v>16</v>
      </c>
      <c r="F3676">
        <v>187609</v>
      </c>
      <c r="G3676">
        <v>0.01</v>
      </c>
      <c r="H3676" t="s">
        <v>10</v>
      </c>
      <c r="I3676" t="s">
        <v>11</v>
      </c>
    </row>
    <row r="3677" spans="1:9" hidden="1" x14ac:dyDescent="0.25">
      <c r="A3677" t="s">
        <v>17</v>
      </c>
      <c r="B3677" t="s">
        <v>91</v>
      </c>
      <c r="C3677">
        <v>202112</v>
      </c>
      <c r="D3677" t="str">
        <f t="shared" si="57"/>
        <v>2021</v>
      </c>
      <c r="E3677">
        <v>24</v>
      </c>
      <c r="F3677">
        <v>187609</v>
      </c>
      <c r="G3677">
        <v>0.01</v>
      </c>
      <c r="H3677" t="s">
        <v>10</v>
      </c>
      <c r="I3677" t="s">
        <v>11</v>
      </c>
    </row>
    <row r="3678" spans="1:9" hidden="1" x14ac:dyDescent="0.25">
      <c r="A3678" t="s">
        <v>17</v>
      </c>
      <c r="B3678" t="s">
        <v>91</v>
      </c>
      <c r="C3678">
        <v>202202</v>
      </c>
      <c r="D3678" t="str">
        <f t="shared" si="57"/>
        <v>2022</v>
      </c>
      <c r="E3678">
        <v>54</v>
      </c>
      <c r="F3678">
        <v>187609</v>
      </c>
      <c r="G3678">
        <v>0.03</v>
      </c>
      <c r="H3678" t="s">
        <v>10</v>
      </c>
      <c r="I3678" t="s">
        <v>11</v>
      </c>
    </row>
    <row r="3679" spans="1:9" hidden="1" x14ac:dyDescent="0.25">
      <c r="A3679" t="s">
        <v>17</v>
      </c>
      <c r="B3679" t="s">
        <v>91</v>
      </c>
      <c r="C3679">
        <v>202204</v>
      </c>
      <c r="D3679" t="str">
        <f t="shared" si="57"/>
        <v>2022</v>
      </c>
      <c r="E3679">
        <v>17</v>
      </c>
      <c r="F3679">
        <v>187609</v>
      </c>
      <c r="G3679">
        <v>0.01</v>
      </c>
      <c r="H3679" t="s">
        <v>10</v>
      </c>
      <c r="I3679" t="s">
        <v>11</v>
      </c>
    </row>
    <row r="3680" spans="1:9" hidden="1" x14ac:dyDescent="0.25">
      <c r="A3680" t="s">
        <v>17</v>
      </c>
      <c r="B3680" t="s">
        <v>91</v>
      </c>
      <c r="C3680">
        <v>202205</v>
      </c>
      <c r="D3680" t="str">
        <f t="shared" si="57"/>
        <v>2022</v>
      </c>
      <c r="E3680">
        <v>24</v>
      </c>
      <c r="F3680">
        <v>187609</v>
      </c>
      <c r="G3680">
        <v>0.01</v>
      </c>
      <c r="H3680" t="s">
        <v>10</v>
      </c>
      <c r="I3680" t="s">
        <v>11</v>
      </c>
    </row>
    <row r="3681" spans="1:9" hidden="1" x14ac:dyDescent="0.25">
      <c r="A3681" t="s">
        <v>17</v>
      </c>
      <c r="B3681" t="s">
        <v>91</v>
      </c>
      <c r="C3681">
        <v>202206</v>
      </c>
      <c r="D3681" t="str">
        <f t="shared" si="57"/>
        <v>2022</v>
      </c>
      <c r="E3681">
        <v>26</v>
      </c>
      <c r="F3681">
        <v>187609</v>
      </c>
      <c r="G3681">
        <v>0.01</v>
      </c>
      <c r="H3681" t="s">
        <v>10</v>
      </c>
      <c r="I3681" t="s">
        <v>11</v>
      </c>
    </row>
    <row r="3682" spans="1:9" hidden="1" x14ac:dyDescent="0.25">
      <c r="A3682" t="s">
        <v>17</v>
      </c>
      <c r="B3682" t="s">
        <v>91</v>
      </c>
      <c r="C3682">
        <v>202207</v>
      </c>
      <c r="D3682" t="str">
        <f t="shared" si="57"/>
        <v>2022</v>
      </c>
      <c r="E3682">
        <v>16</v>
      </c>
      <c r="F3682">
        <v>187609</v>
      </c>
      <c r="G3682">
        <v>0.01</v>
      </c>
      <c r="H3682" t="s">
        <v>10</v>
      </c>
      <c r="I3682" t="s">
        <v>11</v>
      </c>
    </row>
    <row r="3683" spans="1:9" hidden="1" x14ac:dyDescent="0.25">
      <c r="A3683" t="s">
        <v>17</v>
      </c>
      <c r="B3683" t="s">
        <v>91</v>
      </c>
      <c r="C3683">
        <v>202208</v>
      </c>
      <c r="D3683" t="str">
        <f t="shared" si="57"/>
        <v>2022</v>
      </c>
      <c r="E3683">
        <v>34</v>
      </c>
      <c r="F3683">
        <v>187609</v>
      </c>
      <c r="G3683">
        <v>0.02</v>
      </c>
      <c r="H3683" t="s">
        <v>10</v>
      </c>
      <c r="I3683" t="s">
        <v>11</v>
      </c>
    </row>
    <row r="3684" spans="1:9" hidden="1" x14ac:dyDescent="0.25">
      <c r="A3684" t="s">
        <v>17</v>
      </c>
      <c r="B3684" t="s">
        <v>91</v>
      </c>
      <c r="C3684">
        <v>202209</v>
      </c>
      <c r="D3684" t="str">
        <f t="shared" si="57"/>
        <v>2022</v>
      </c>
      <c r="E3684">
        <v>102</v>
      </c>
      <c r="F3684">
        <v>187609</v>
      </c>
      <c r="G3684">
        <v>0.05</v>
      </c>
      <c r="H3684" t="s">
        <v>10</v>
      </c>
      <c r="I3684" t="s">
        <v>11</v>
      </c>
    </row>
    <row r="3685" spans="1:9" hidden="1" x14ac:dyDescent="0.25">
      <c r="A3685" t="s">
        <v>17</v>
      </c>
      <c r="B3685" t="s">
        <v>91</v>
      </c>
      <c r="C3685">
        <v>202210</v>
      </c>
      <c r="D3685" t="str">
        <f t="shared" si="57"/>
        <v>2022</v>
      </c>
      <c r="E3685">
        <v>47</v>
      </c>
      <c r="F3685">
        <v>187609</v>
      </c>
      <c r="G3685">
        <v>0.03</v>
      </c>
      <c r="H3685" t="s">
        <v>10</v>
      </c>
      <c r="I3685" t="s">
        <v>11</v>
      </c>
    </row>
    <row r="3686" spans="1:9" hidden="1" x14ac:dyDescent="0.25">
      <c r="A3686" t="s">
        <v>17</v>
      </c>
      <c r="B3686" t="s">
        <v>91</v>
      </c>
      <c r="C3686">
        <v>202211</v>
      </c>
      <c r="D3686" t="str">
        <f t="shared" si="57"/>
        <v>2022</v>
      </c>
      <c r="E3686">
        <v>340</v>
      </c>
      <c r="F3686">
        <v>187609</v>
      </c>
      <c r="G3686">
        <v>0.18</v>
      </c>
      <c r="H3686" t="s">
        <v>10</v>
      </c>
      <c r="I3686" t="s">
        <v>11</v>
      </c>
    </row>
    <row r="3687" spans="1:9" hidden="1" x14ac:dyDescent="0.25">
      <c r="A3687" t="s">
        <v>17</v>
      </c>
      <c r="B3687" t="s">
        <v>91</v>
      </c>
      <c r="C3687">
        <v>202212</v>
      </c>
      <c r="D3687" t="str">
        <f t="shared" si="57"/>
        <v>2022</v>
      </c>
      <c r="E3687">
        <v>112</v>
      </c>
      <c r="F3687">
        <v>187609</v>
      </c>
      <c r="G3687">
        <v>0.06</v>
      </c>
      <c r="H3687" t="s">
        <v>10</v>
      </c>
      <c r="I3687" t="s">
        <v>11</v>
      </c>
    </row>
    <row r="3688" spans="1:9" hidden="1" x14ac:dyDescent="0.25">
      <c r="A3688" t="s">
        <v>17</v>
      </c>
      <c r="B3688" t="s">
        <v>91</v>
      </c>
      <c r="C3688">
        <v>202301</v>
      </c>
      <c r="D3688" t="str">
        <f t="shared" si="57"/>
        <v>2023</v>
      </c>
      <c r="E3688">
        <v>1704</v>
      </c>
      <c r="F3688">
        <v>187609</v>
      </c>
      <c r="G3688">
        <v>0.91</v>
      </c>
      <c r="H3688" t="s">
        <v>10</v>
      </c>
      <c r="I3688" t="s">
        <v>11</v>
      </c>
    </row>
    <row r="3689" spans="1:9" hidden="1" x14ac:dyDescent="0.25">
      <c r="A3689" t="s">
        <v>17</v>
      </c>
      <c r="B3689" t="s">
        <v>91</v>
      </c>
      <c r="C3689">
        <v>202302</v>
      </c>
      <c r="D3689" t="str">
        <f t="shared" si="57"/>
        <v>2023</v>
      </c>
      <c r="E3689">
        <v>1448</v>
      </c>
      <c r="F3689">
        <v>187609</v>
      </c>
      <c r="G3689">
        <v>0.77</v>
      </c>
      <c r="H3689" t="s">
        <v>10</v>
      </c>
      <c r="I3689" t="s">
        <v>11</v>
      </c>
    </row>
    <row r="3690" spans="1:9" hidden="1" x14ac:dyDescent="0.25">
      <c r="A3690" t="s">
        <v>17</v>
      </c>
      <c r="B3690" t="s">
        <v>91</v>
      </c>
      <c r="C3690">
        <v>202303</v>
      </c>
      <c r="D3690" t="str">
        <f t="shared" si="57"/>
        <v>2023</v>
      </c>
      <c r="E3690">
        <v>2449</v>
      </c>
      <c r="F3690">
        <v>187609</v>
      </c>
      <c r="G3690">
        <v>1.31</v>
      </c>
      <c r="H3690" t="s">
        <v>10</v>
      </c>
      <c r="I3690" t="s">
        <v>11</v>
      </c>
    </row>
    <row r="3691" spans="1:9" hidden="1" x14ac:dyDescent="0.25">
      <c r="A3691" t="s">
        <v>17</v>
      </c>
      <c r="B3691" t="s">
        <v>91</v>
      </c>
      <c r="C3691">
        <v>202304</v>
      </c>
      <c r="D3691" t="str">
        <f t="shared" si="57"/>
        <v>2023</v>
      </c>
      <c r="E3691">
        <v>2622</v>
      </c>
      <c r="F3691">
        <v>187609</v>
      </c>
      <c r="G3691">
        <v>1.4</v>
      </c>
      <c r="H3691" t="s">
        <v>10</v>
      </c>
      <c r="I3691" t="s">
        <v>11</v>
      </c>
    </row>
    <row r="3692" spans="1:9" hidden="1" x14ac:dyDescent="0.25">
      <c r="A3692" t="s">
        <v>17</v>
      </c>
      <c r="B3692" t="s">
        <v>91</v>
      </c>
      <c r="C3692">
        <v>202305</v>
      </c>
      <c r="D3692" t="str">
        <f t="shared" si="57"/>
        <v>2023</v>
      </c>
      <c r="E3692">
        <v>3048</v>
      </c>
      <c r="F3692">
        <v>187609</v>
      </c>
      <c r="G3692">
        <v>1.62</v>
      </c>
      <c r="H3692" t="s">
        <v>10</v>
      </c>
      <c r="I3692" t="s">
        <v>11</v>
      </c>
    </row>
    <row r="3693" spans="1:9" hidden="1" x14ac:dyDescent="0.25">
      <c r="A3693" t="s">
        <v>17</v>
      </c>
      <c r="B3693" t="s">
        <v>91</v>
      </c>
      <c r="C3693">
        <v>202306</v>
      </c>
      <c r="D3693" t="str">
        <f t="shared" si="57"/>
        <v>2023</v>
      </c>
      <c r="E3693">
        <v>3076</v>
      </c>
      <c r="F3693">
        <v>187609</v>
      </c>
      <c r="G3693">
        <v>1.64</v>
      </c>
      <c r="H3693" t="s">
        <v>10</v>
      </c>
      <c r="I3693" t="s">
        <v>11</v>
      </c>
    </row>
    <row r="3694" spans="1:9" hidden="1" x14ac:dyDescent="0.25">
      <c r="A3694" t="s">
        <v>17</v>
      </c>
      <c r="B3694" t="s">
        <v>91</v>
      </c>
      <c r="C3694">
        <v>202307</v>
      </c>
      <c r="D3694" t="str">
        <f t="shared" si="57"/>
        <v>2023</v>
      </c>
      <c r="E3694">
        <v>3412</v>
      </c>
      <c r="F3694">
        <v>187609</v>
      </c>
      <c r="G3694">
        <v>1.82</v>
      </c>
      <c r="H3694" t="s">
        <v>10</v>
      </c>
      <c r="I3694" t="s">
        <v>11</v>
      </c>
    </row>
    <row r="3695" spans="1:9" hidden="1" x14ac:dyDescent="0.25">
      <c r="A3695" t="s">
        <v>17</v>
      </c>
      <c r="B3695" t="s">
        <v>91</v>
      </c>
      <c r="C3695">
        <v>202308</v>
      </c>
      <c r="D3695" t="str">
        <f t="shared" si="57"/>
        <v>2023</v>
      </c>
      <c r="E3695">
        <v>4041</v>
      </c>
      <c r="F3695">
        <v>187609</v>
      </c>
      <c r="G3695">
        <v>2.15</v>
      </c>
      <c r="H3695" t="s">
        <v>10</v>
      </c>
      <c r="I3695" t="s">
        <v>11</v>
      </c>
    </row>
    <row r="3696" spans="1:9" hidden="1" x14ac:dyDescent="0.25">
      <c r="A3696" t="s">
        <v>17</v>
      </c>
      <c r="B3696" t="s">
        <v>91</v>
      </c>
      <c r="C3696">
        <v>202309</v>
      </c>
      <c r="D3696" t="str">
        <f t="shared" si="57"/>
        <v>2023</v>
      </c>
      <c r="E3696">
        <v>6476</v>
      </c>
      <c r="F3696">
        <v>187609</v>
      </c>
      <c r="G3696">
        <v>3.45</v>
      </c>
      <c r="H3696" t="s">
        <v>10</v>
      </c>
      <c r="I3696" t="s">
        <v>11</v>
      </c>
    </row>
    <row r="3697" spans="1:9" hidden="1" x14ac:dyDescent="0.25">
      <c r="A3697" t="s">
        <v>17</v>
      </c>
      <c r="B3697" t="s">
        <v>91</v>
      </c>
      <c r="C3697">
        <v>202310</v>
      </c>
      <c r="D3697" t="str">
        <f t="shared" si="57"/>
        <v>2023</v>
      </c>
      <c r="E3697">
        <v>3854</v>
      </c>
      <c r="F3697">
        <v>187609</v>
      </c>
      <c r="G3697">
        <v>2.0499999999999998</v>
      </c>
      <c r="H3697" t="s">
        <v>10</v>
      </c>
      <c r="I3697" t="s">
        <v>11</v>
      </c>
    </row>
    <row r="3698" spans="1:9" hidden="1" x14ac:dyDescent="0.25">
      <c r="A3698" t="s">
        <v>17</v>
      </c>
      <c r="B3698" t="s">
        <v>91</v>
      </c>
      <c r="C3698">
        <v>202311</v>
      </c>
      <c r="D3698" t="str">
        <f t="shared" si="57"/>
        <v>2023</v>
      </c>
      <c r="E3698">
        <v>2178</v>
      </c>
      <c r="F3698">
        <v>187609</v>
      </c>
      <c r="G3698">
        <v>1.1599999999999999</v>
      </c>
      <c r="H3698" t="s">
        <v>10</v>
      </c>
      <c r="I3698" t="s">
        <v>11</v>
      </c>
    </row>
    <row r="3699" spans="1:9" hidden="1" x14ac:dyDescent="0.25">
      <c r="A3699" t="s">
        <v>17</v>
      </c>
      <c r="B3699" t="s">
        <v>91</v>
      </c>
      <c r="C3699">
        <v>202312</v>
      </c>
      <c r="D3699" t="str">
        <f t="shared" si="57"/>
        <v>2023</v>
      </c>
      <c r="E3699">
        <v>1841</v>
      </c>
      <c r="F3699">
        <v>187609</v>
      </c>
      <c r="G3699">
        <v>0.98</v>
      </c>
      <c r="H3699" t="s">
        <v>10</v>
      </c>
      <c r="I3699" t="s">
        <v>11</v>
      </c>
    </row>
    <row r="3700" spans="1:9" hidden="1" x14ac:dyDescent="0.25">
      <c r="A3700" t="s">
        <v>17</v>
      </c>
      <c r="B3700" t="s">
        <v>91</v>
      </c>
      <c r="C3700">
        <v>202401</v>
      </c>
      <c r="D3700" t="str">
        <f t="shared" si="57"/>
        <v>2024</v>
      </c>
      <c r="E3700">
        <v>3250</v>
      </c>
      <c r="F3700">
        <v>187609</v>
      </c>
      <c r="G3700">
        <v>1.73</v>
      </c>
      <c r="H3700" t="s">
        <v>10</v>
      </c>
      <c r="I3700" t="s">
        <v>11</v>
      </c>
    </row>
    <row r="3701" spans="1:9" hidden="1" x14ac:dyDescent="0.25">
      <c r="A3701" t="s">
        <v>17</v>
      </c>
      <c r="B3701" t="s">
        <v>91</v>
      </c>
      <c r="C3701">
        <v>202402</v>
      </c>
      <c r="D3701" t="str">
        <f t="shared" si="57"/>
        <v>2024</v>
      </c>
      <c r="E3701">
        <v>2938</v>
      </c>
      <c r="F3701">
        <v>187609</v>
      </c>
      <c r="G3701">
        <v>1.57</v>
      </c>
      <c r="H3701" t="s">
        <v>10</v>
      </c>
      <c r="I3701" t="s">
        <v>11</v>
      </c>
    </row>
    <row r="3702" spans="1:9" hidden="1" x14ac:dyDescent="0.25">
      <c r="A3702" t="s">
        <v>17</v>
      </c>
      <c r="B3702" t="s">
        <v>91</v>
      </c>
      <c r="C3702">
        <v>202403</v>
      </c>
      <c r="D3702" t="str">
        <f t="shared" si="57"/>
        <v>2024</v>
      </c>
      <c r="E3702">
        <v>5940</v>
      </c>
      <c r="F3702">
        <v>187609</v>
      </c>
      <c r="G3702">
        <v>3.17</v>
      </c>
      <c r="H3702" t="s">
        <v>10</v>
      </c>
      <c r="I3702" t="s">
        <v>11</v>
      </c>
    </row>
    <row r="3703" spans="1:9" hidden="1" x14ac:dyDescent="0.25">
      <c r="A3703" t="s">
        <v>17</v>
      </c>
      <c r="B3703" t="s">
        <v>91</v>
      </c>
      <c r="C3703">
        <v>202404</v>
      </c>
      <c r="D3703" t="str">
        <f t="shared" si="57"/>
        <v>2024</v>
      </c>
      <c r="E3703">
        <v>8926</v>
      </c>
      <c r="F3703">
        <v>187609</v>
      </c>
      <c r="G3703">
        <v>4.76</v>
      </c>
      <c r="H3703" t="s">
        <v>10</v>
      </c>
      <c r="I3703" t="s">
        <v>11</v>
      </c>
    </row>
    <row r="3704" spans="1:9" hidden="1" x14ac:dyDescent="0.25">
      <c r="A3704" t="s">
        <v>17</v>
      </c>
      <c r="B3704" t="s">
        <v>91</v>
      </c>
      <c r="C3704">
        <v>202405</v>
      </c>
      <c r="D3704" t="str">
        <f t="shared" si="57"/>
        <v>2024</v>
      </c>
      <c r="E3704">
        <v>79757</v>
      </c>
      <c r="F3704">
        <v>187609</v>
      </c>
      <c r="G3704">
        <v>42.51</v>
      </c>
      <c r="H3704" t="s">
        <v>10</v>
      </c>
      <c r="I3704" t="s">
        <v>11</v>
      </c>
    </row>
    <row r="3705" spans="1:9" hidden="1" x14ac:dyDescent="0.25">
      <c r="A3705" t="s">
        <v>17</v>
      </c>
      <c r="B3705" t="s">
        <v>91</v>
      </c>
      <c r="C3705">
        <v>202406</v>
      </c>
      <c r="D3705" t="str">
        <f t="shared" si="57"/>
        <v>2024</v>
      </c>
      <c r="E3705">
        <v>49836</v>
      </c>
      <c r="F3705">
        <v>187609</v>
      </c>
      <c r="G3705">
        <v>26.56</v>
      </c>
      <c r="H3705" t="s">
        <v>10</v>
      </c>
      <c r="I3705" t="s">
        <v>11</v>
      </c>
    </row>
    <row r="3706" spans="1:9" hidden="1" x14ac:dyDescent="0.25">
      <c r="A3706" t="s">
        <v>17</v>
      </c>
      <c r="B3706" t="s">
        <v>86</v>
      </c>
      <c r="C3706">
        <v>201803</v>
      </c>
      <c r="D3706" t="str">
        <f t="shared" si="57"/>
        <v>2018</v>
      </c>
      <c r="E3706">
        <v>1</v>
      </c>
      <c r="F3706">
        <v>173610</v>
      </c>
      <c r="G3706">
        <v>0</v>
      </c>
      <c r="H3706" t="s">
        <v>10</v>
      </c>
      <c r="I3706" t="s">
        <v>11</v>
      </c>
    </row>
    <row r="3707" spans="1:9" hidden="1" x14ac:dyDescent="0.25">
      <c r="A3707" t="s">
        <v>17</v>
      </c>
      <c r="B3707" t="s">
        <v>86</v>
      </c>
      <c r="C3707">
        <v>201909</v>
      </c>
      <c r="D3707" t="str">
        <f t="shared" si="57"/>
        <v>2019</v>
      </c>
      <c r="E3707">
        <v>14</v>
      </c>
      <c r="F3707">
        <v>173610</v>
      </c>
      <c r="G3707">
        <v>0.01</v>
      </c>
      <c r="H3707" t="s">
        <v>10</v>
      </c>
      <c r="I3707" t="s">
        <v>11</v>
      </c>
    </row>
    <row r="3708" spans="1:9" hidden="1" x14ac:dyDescent="0.25">
      <c r="A3708" t="s">
        <v>17</v>
      </c>
      <c r="B3708" t="s">
        <v>86</v>
      </c>
      <c r="C3708">
        <v>202009</v>
      </c>
      <c r="D3708" t="str">
        <f t="shared" si="57"/>
        <v>2020</v>
      </c>
      <c r="E3708">
        <v>43</v>
      </c>
      <c r="F3708">
        <v>173610</v>
      </c>
      <c r="G3708">
        <v>0.02</v>
      </c>
      <c r="H3708" t="s">
        <v>10</v>
      </c>
      <c r="I3708" t="s">
        <v>11</v>
      </c>
    </row>
    <row r="3709" spans="1:9" hidden="1" x14ac:dyDescent="0.25">
      <c r="A3709" t="s">
        <v>17</v>
      </c>
      <c r="B3709" t="s">
        <v>86</v>
      </c>
      <c r="C3709">
        <v>202010</v>
      </c>
      <c r="D3709" t="str">
        <f t="shared" si="57"/>
        <v>2020</v>
      </c>
      <c r="E3709">
        <v>200</v>
      </c>
      <c r="F3709">
        <v>173610</v>
      </c>
      <c r="G3709">
        <v>0.12</v>
      </c>
      <c r="H3709" t="s">
        <v>10</v>
      </c>
      <c r="I3709" t="s">
        <v>11</v>
      </c>
    </row>
    <row r="3710" spans="1:9" hidden="1" x14ac:dyDescent="0.25">
      <c r="A3710" t="s">
        <v>17</v>
      </c>
      <c r="B3710" t="s">
        <v>86</v>
      </c>
      <c r="C3710">
        <v>202107</v>
      </c>
      <c r="D3710" t="str">
        <f t="shared" si="57"/>
        <v>2021</v>
      </c>
      <c r="E3710">
        <v>2</v>
      </c>
      <c r="F3710">
        <v>173610</v>
      </c>
      <c r="G3710">
        <v>0</v>
      </c>
      <c r="H3710" t="s">
        <v>10</v>
      </c>
      <c r="I3710" t="s">
        <v>11</v>
      </c>
    </row>
    <row r="3711" spans="1:9" hidden="1" x14ac:dyDescent="0.25">
      <c r="A3711" t="s">
        <v>17</v>
      </c>
      <c r="B3711" t="s">
        <v>86</v>
      </c>
      <c r="C3711">
        <v>202108</v>
      </c>
      <c r="D3711" t="str">
        <f t="shared" si="57"/>
        <v>2021</v>
      </c>
      <c r="E3711">
        <v>2</v>
      </c>
      <c r="F3711">
        <v>173610</v>
      </c>
      <c r="G3711">
        <v>0</v>
      </c>
      <c r="H3711" t="s">
        <v>10</v>
      </c>
      <c r="I3711" t="s">
        <v>11</v>
      </c>
    </row>
    <row r="3712" spans="1:9" hidden="1" x14ac:dyDescent="0.25">
      <c r="A3712" t="s">
        <v>17</v>
      </c>
      <c r="B3712" t="s">
        <v>86</v>
      </c>
      <c r="C3712">
        <v>202109</v>
      </c>
      <c r="D3712" t="str">
        <f t="shared" si="57"/>
        <v>2021</v>
      </c>
      <c r="E3712">
        <v>1</v>
      </c>
      <c r="F3712">
        <v>173610</v>
      </c>
      <c r="G3712">
        <v>0</v>
      </c>
      <c r="H3712" t="s">
        <v>10</v>
      </c>
      <c r="I3712" t="s">
        <v>11</v>
      </c>
    </row>
    <row r="3713" spans="1:9" hidden="1" x14ac:dyDescent="0.25">
      <c r="A3713" t="s">
        <v>17</v>
      </c>
      <c r="B3713" t="s">
        <v>86</v>
      </c>
      <c r="C3713">
        <v>202111</v>
      </c>
      <c r="D3713" t="str">
        <f t="shared" si="57"/>
        <v>2021</v>
      </c>
      <c r="E3713">
        <v>18</v>
      </c>
      <c r="F3713">
        <v>173610</v>
      </c>
      <c r="G3713">
        <v>0.01</v>
      </c>
      <c r="H3713" t="s">
        <v>10</v>
      </c>
      <c r="I3713" t="s">
        <v>11</v>
      </c>
    </row>
    <row r="3714" spans="1:9" hidden="1" x14ac:dyDescent="0.25">
      <c r="A3714" t="s">
        <v>17</v>
      </c>
      <c r="B3714" t="s">
        <v>86</v>
      </c>
      <c r="C3714">
        <v>202112</v>
      </c>
      <c r="D3714" t="str">
        <f t="shared" si="57"/>
        <v>2021</v>
      </c>
      <c r="E3714">
        <v>7</v>
      </c>
      <c r="F3714">
        <v>173610</v>
      </c>
      <c r="G3714">
        <v>0</v>
      </c>
      <c r="H3714" t="s">
        <v>10</v>
      </c>
      <c r="I3714" t="s">
        <v>11</v>
      </c>
    </row>
    <row r="3715" spans="1:9" hidden="1" x14ac:dyDescent="0.25">
      <c r="A3715" t="s">
        <v>17</v>
      </c>
      <c r="B3715" t="s">
        <v>86</v>
      </c>
      <c r="C3715">
        <v>202201</v>
      </c>
      <c r="D3715" t="str">
        <f t="shared" ref="D3715:D3778" si="58">LEFT(C3715,4)</f>
        <v>2022</v>
      </c>
      <c r="E3715">
        <v>1</v>
      </c>
      <c r="F3715">
        <v>173610</v>
      </c>
      <c r="G3715">
        <v>0</v>
      </c>
      <c r="H3715" t="s">
        <v>10</v>
      </c>
      <c r="I3715" t="s">
        <v>11</v>
      </c>
    </row>
    <row r="3716" spans="1:9" hidden="1" x14ac:dyDescent="0.25">
      <c r="A3716" t="s">
        <v>17</v>
      </c>
      <c r="B3716" t="s">
        <v>86</v>
      </c>
      <c r="C3716">
        <v>202202</v>
      </c>
      <c r="D3716" t="str">
        <f t="shared" si="58"/>
        <v>2022</v>
      </c>
      <c r="E3716">
        <v>22</v>
      </c>
      <c r="F3716">
        <v>173610</v>
      </c>
      <c r="G3716">
        <v>0.01</v>
      </c>
      <c r="H3716" t="s">
        <v>10</v>
      </c>
      <c r="I3716" t="s">
        <v>11</v>
      </c>
    </row>
    <row r="3717" spans="1:9" hidden="1" x14ac:dyDescent="0.25">
      <c r="A3717" t="s">
        <v>17</v>
      </c>
      <c r="B3717" t="s">
        <v>86</v>
      </c>
      <c r="C3717">
        <v>202203</v>
      </c>
      <c r="D3717" t="str">
        <f t="shared" si="58"/>
        <v>2022</v>
      </c>
      <c r="E3717">
        <v>5</v>
      </c>
      <c r="F3717">
        <v>173610</v>
      </c>
      <c r="G3717">
        <v>0</v>
      </c>
      <c r="H3717" t="s">
        <v>10</v>
      </c>
      <c r="I3717" t="s">
        <v>11</v>
      </c>
    </row>
    <row r="3718" spans="1:9" hidden="1" x14ac:dyDescent="0.25">
      <c r="A3718" t="s">
        <v>17</v>
      </c>
      <c r="B3718" t="s">
        <v>86</v>
      </c>
      <c r="C3718">
        <v>202204</v>
      </c>
      <c r="D3718" t="str">
        <f t="shared" si="58"/>
        <v>2022</v>
      </c>
      <c r="E3718">
        <v>9</v>
      </c>
      <c r="F3718">
        <v>173610</v>
      </c>
      <c r="G3718">
        <v>0.01</v>
      </c>
      <c r="H3718" t="s">
        <v>10</v>
      </c>
      <c r="I3718" t="s">
        <v>11</v>
      </c>
    </row>
    <row r="3719" spans="1:9" hidden="1" x14ac:dyDescent="0.25">
      <c r="A3719" t="s">
        <v>17</v>
      </c>
      <c r="B3719" t="s">
        <v>86</v>
      </c>
      <c r="C3719">
        <v>202205</v>
      </c>
      <c r="D3719" t="str">
        <f t="shared" si="58"/>
        <v>2022</v>
      </c>
      <c r="E3719">
        <v>4</v>
      </c>
      <c r="F3719">
        <v>173610</v>
      </c>
      <c r="G3719">
        <v>0</v>
      </c>
      <c r="H3719" t="s">
        <v>10</v>
      </c>
      <c r="I3719" t="s">
        <v>11</v>
      </c>
    </row>
    <row r="3720" spans="1:9" hidden="1" x14ac:dyDescent="0.25">
      <c r="A3720" t="s">
        <v>17</v>
      </c>
      <c r="B3720" t="s">
        <v>86</v>
      </c>
      <c r="C3720">
        <v>202206</v>
      </c>
      <c r="D3720" t="str">
        <f t="shared" si="58"/>
        <v>2022</v>
      </c>
      <c r="E3720">
        <v>10</v>
      </c>
      <c r="F3720">
        <v>173610</v>
      </c>
      <c r="G3720">
        <v>0.01</v>
      </c>
      <c r="H3720" t="s">
        <v>10</v>
      </c>
      <c r="I3720" t="s">
        <v>11</v>
      </c>
    </row>
    <row r="3721" spans="1:9" hidden="1" x14ac:dyDescent="0.25">
      <c r="A3721" t="s">
        <v>17</v>
      </c>
      <c r="B3721" t="s">
        <v>86</v>
      </c>
      <c r="C3721">
        <v>202207</v>
      </c>
      <c r="D3721" t="str">
        <f t="shared" si="58"/>
        <v>2022</v>
      </c>
      <c r="E3721">
        <v>5</v>
      </c>
      <c r="F3721">
        <v>173610</v>
      </c>
      <c r="G3721">
        <v>0</v>
      </c>
      <c r="H3721" t="s">
        <v>10</v>
      </c>
      <c r="I3721" t="s">
        <v>11</v>
      </c>
    </row>
    <row r="3722" spans="1:9" hidden="1" x14ac:dyDescent="0.25">
      <c r="A3722" t="s">
        <v>17</v>
      </c>
      <c r="B3722" t="s">
        <v>86</v>
      </c>
      <c r="C3722">
        <v>202208</v>
      </c>
      <c r="D3722" t="str">
        <f t="shared" si="58"/>
        <v>2022</v>
      </c>
      <c r="E3722">
        <v>8</v>
      </c>
      <c r="F3722">
        <v>173610</v>
      </c>
      <c r="G3722">
        <v>0</v>
      </c>
      <c r="H3722" t="s">
        <v>10</v>
      </c>
      <c r="I3722" t="s">
        <v>11</v>
      </c>
    </row>
    <row r="3723" spans="1:9" hidden="1" x14ac:dyDescent="0.25">
      <c r="A3723" t="s">
        <v>17</v>
      </c>
      <c r="B3723" t="s">
        <v>86</v>
      </c>
      <c r="C3723">
        <v>202209</v>
      </c>
      <c r="D3723" t="str">
        <f t="shared" si="58"/>
        <v>2022</v>
      </c>
      <c r="E3723">
        <v>115</v>
      </c>
      <c r="F3723">
        <v>173610</v>
      </c>
      <c r="G3723">
        <v>7.0000000000000007E-2</v>
      </c>
      <c r="H3723" t="s">
        <v>10</v>
      </c>
      <c r="I3723" t="s">
        <v>11</v>
      </c>
    </row>
    <row r="3724" spans="1:9" hidden="1" x14ac:dyDescent="0.25">
      <c r="A3724" t="s">
        <v>17</v>
      </c>
      <c r="B3724" t="s">
        <v>86</v>
      </c>
      <c r="C3724">
        <v>202210</v>
      </c>
      <c r="D3724" t="str">
        <f t="shared" si="58"/>
        <v>2022</v>
      </c>
      <c r="E3724">
        <v>165</v>
      </c>
      <c r="F3724">
        <v>173610</v>
      </c>
      <c r="G3724">
        <v>0.1</v>
      </c>
      <c r="H3724" t="s">
        <v>10</v>
      </c>
      <c r="I3724" t="s">
        <v>11</v>
      </c>
    </row>
    <row r="3725" spans="1:9" hidden="1" x14ac:dyDescent="0.25">
      <c r="A3725" t="s">
        <v>17</v>
      </c>
      <c r="B3725" t="s">
        <v>86</v>
      </c>
      <c r="C3725">
        <v>202211</v>
      </c>
      <c r="D3725" t="str">
        <f t="shared" si="58"/>
        <v>2022</v>
      </c>
      <c r="E3725">
        <v>61</v>
      </c>
      <c r="F3725">
        <v>173610</v>
      </c>
      <c r="G3725">
        <v>0.04</v>
      </c>
      <c r="H3725" t="s">
        <v>10</v>
      </c>
      <c r="I3725" t="s">
        <v>11</v>
      </c>
    </row>
    <row r="3726" spans="1:9" hidden="1" x14ac:dyDescent="0.25">
      <c r="A3726" t="s">
        <v>17</v>
      </c>
      <c r="B3726" t="s">
        <v>86</v>
      </c>
      <c r="C3726">
        <v>202212</v>
      </c>
      <c r="D3726" t="str">
        <f t="shared" si="58"/>
        <v>2022</v>
      </c>
      <c r="E3726">
        <v>117</v>
      </c>
      <c r="F3726">
        <v>173610</v>
      </c>
      <c r="G3726">
        <v>7.0000000000000007E-2</v>
      </c>
      <c r="H3726" t="s">
        <v>10</v>
      </c>
      <c r="I3726" t="s">
        <v>11</v>
      </c>
    </row>
    <row r="3727" spans="1:9" hidden="1" x14ac:dyDescent="0.25">
      <c r="A3727" t="s">
        <v>17</v>
      </c>
      <c r="B3727" t="s">
        <v>86</v>
      </c>
      <c r="C3727">
        <v>202301</v>
      </c>
      <c r="D3727" t="str">
        <f t="shared" si="58"/>
        <v>2023</v>
      </c>
      <c r="E3727">
        <v>629</v>
      </c>
      <c r="F3727">
        <v>173610</v>
      </c>
      <c r="G3727">
        <v>0.36</v>
      </c>
      <c r="H3727" t="s">
        <v>10</v>
      </c>
      <c r="I3727" t="s">
        <v>11</v>
      </c>
    </row>
    <row r="3728" spans="1:9" hidden="1" x14ac:dyDescent="0.25">
      <c r="A3728" t="s">
        <v>17</v>
      </c>
      <c r="B3728" t="s">
        <v>86</v>
      </c>
      <c r="C3728">
        <v>202302</v>
      </c>
      <c r="D3728" t="str">
        <f t="shared" si="58"/>
        <v>2023</v>
      </c>
      <c r="E3728">
        <v>518</v>
      </c>
      <c r="F3728">
        <v>173610</v>
      </c>
      <c r="G3728">
        <v>0.3</v>
      </c>
      <c r="H3728" t="s">
        <v>10</v>
      </c>
      <c r="I3728" t="s">
        <v>11</v>
      </c>
    </row>
    <row r="3729" spans="1:9" hidden="1" x14ac:dyDescent="0.25">
      <c r="A3729" t="s">
        <v>17</v>
      </c>
      <c r="B3729" t="s">
        <v>86</v>
      </c>
      <c r="C3729">
        <v>202303</v>
      </c>
      <c r="D3729" t="str">
        <f t="shared" si="58"/>
        <v>2023</v>
      </c>
      <c r="E3729">
        <v>923</v>
      </c>
      <c r="F3729">
        <v>173610</v>
      </c>
      <c r="G3729">
        <v>0.53</v>
      </c>
      <c r="H3729" t="s">
        <v>10</v>
      </c>
      <c r="I3729" t="s">
        <v>11</v>
      </c>
    </row>
    <row r="3730" spans="1:9" hidden="1" x14ac:dyDescent="0.25">
      <c r="A3730" t="s">
        <v>17</v>
      </c>
      <c r="B3730" t="s">
        <v>86</v>
      </c>
      <c r="C3730">
        <v>202304</v>
      </c>
      <c r="D3730" t="str">
        <f t="shared" si="58"/>
        <v>2023</v>
      </c>
      <c r="E3730">
        <v>623</v>
      </c>
      <c r="F3730">
        <v>173610</v>
      </c>
      <c r="G3730">
        <v>0.36</v>
      </c>
      <c r="H3730" t="s">
        <v>10</v>
      </c>
      <c r="I3730" t="s">
        <v>11</v>
      </c>
    </row>
    <row r="3731" spans="1:9" hidden="1" x14ac:dyDescent="0.25">
      <c r="A3731" t="s">
        <v>17</v>
      </c>
      <c r="B3731" t="s">
        <v>86</v>
      </c>
      <c r="C3731">
        <v>202305</v>
      </c>
      <c r="D3731" t="str">
        <f t="shared" si="58"/>
        <v>2023</v>
      </c>
      <c r="E3731">
        <v>980</v>
      </c>
      <c r="F3731">
        <v>173610</v>
      </c>
      <c r="G3731">
        <v>0.56000000000000005</v>
      </c>
      <c r="H3731" t="s">
        <v>10</v>
      </c>
      <c r="I3731" t="s">
        <v>11</v>
      </c>
    </row>
    <row r="3732" spans="1:9" hidden="1" x14ac:dyDescent="0.25">
      <c r="A3732" t="s">
        <v>17</v>
      </c>
      <c r="B3732" t="s">
        <v>86</v>
      </c>
      <c r="C3732">
        <v>202306</v>
      </c>
      <c r="D3732" t="str">
        <f t="shared" si="58"/>
        <v>2023</v>
      </c>
      <c r="E3732">
        <v>1406</v>
      </c>
      <c r="F3732">
        <v>173610</v>
      </c>
      <c r="G3732">
        <v>0.81</v>
      </c>
      <c r="H3732" t="s">
        <v>10</v>
      </c>
      <c r="I3732" t="s">
        <v>11</v>
      </c>
    </row>
    <row r="3733" spans="1:9" hidden="1" x14ac:dyDescent="0.25">
      <c r="A3733" t="s">
        <v>17</v>
      </c>
      <c r="B3733" t="s">
        <v>86</v>
      </c>
      <c r="C3733">
        <v>202307</v>
      </c>
      <c r="D3733" t="str">
        <f t="shared" si="58"/>
        <v>2023</v>
      </c>
      <c r="E3733">
        <v>1322</v>
      </c>
      <c r="F3733">
        <v>173610</v>
      </c>
      <c r="G3733">
        <v>0.76</v>
      </c>
      <c r="H3733" t="s">
        <v>10</v>
      </c>
      <c r="I3733" t="s">
        <v>11</v>
      </c>
    </row>
    <row r="3734" spans="1:9" hidden="1" x14ac:dyDescent="0.25">
      <c r="A3734" t="s">
        <v>17</v>
      </c>
      <c r="B3734" t="s">
        <v>86</v>
      </c>
      <c r="C3734">
        <v>202308</v>
      </c>
      <c r="D3734" t="str">
        <f t="shared" si="58"/>
        <v>2023</v>
      </c>
      <c r="E3734">
        <v>1570</v>
      </c>
      <c r="F3734">
        <v>173610</v>
      </c>
      <c r="G3734">
        <v>0.9</v>
      </c>
      <c r="H3734" t="s">
        <v>10</v>
      </c>
      <c r="I3734" t="s">
        <v>11</v>
      </c>
    </row>
    <row r="3735" spans="1:9" hidden="1" x14ac:dyDescent="0.25">
      <c r="A3735" t="s">
        <v>17</v>
      </c>
      <c r="B3735" t="s">
        <v>86</v>
      </c>
      <c r="C3735">
        <v>202309</v>
      </c>
      <c r="D3735" t="str">
        <f t="shared" si="58"/>
        <v>2023</v>
      </c>
      <c r="E3735">
        <v>2140</v>
      </c>
      <c r="F3735">
        <v>173610</v>
      </c>
      <c r="G3735">
        <v>1.23</v>
      </c>
      <c r="H3735" t="s">
        <v>10</v>
      </c>
      <c r="I3735" t="s">
        <v>11</v>
      </c>
    </row>
    <row r="3736" spans="1:9" hidden="1" x14ac:dyDescent="0.25">
      <c r="A3736" t="s">
        <v>17</v>
      </c>
      <c r="B3736" t="s">
        <v>86</v>
      </c>
      <c r="C3736">
        <v>202310</v>
      </c>
      <c r="D3736" t="str">
        <f t="shared" si="58"/>
        <v>2023</v>
      </c>
      <c r="E3736">
        <v>3777</v>
      </c>
      <c r="F3736">
        <v>173610</v>
      </c>
      <c r="G3736">
        <v>2.1800000000000002</v>
      </c>
      <c r="H3736" t="s">
        <v>10</v>
      </c>
      <c r="I3736" t="s">
        <v>11</v>
      </c>
    </row>
    <row r="3737" spans="1:9" hidden="1" x14ac:dyDescent="0.25">
      <c r="A3737" t="s">
        <v>17</v>
      </c>
      <c r="B3737" t="s">
        <v>86</v>
      </c>
      <c r="C3737">
        <v>202311</v>
      </c>
      <c r="D3737" t="str">
        <f t="shared" si="58"/>
        <v>2023</v>
      </c>
      <c r="E3737">
        <v>3540</v>
      </c>
      <c r="F3737">
        <v>173610</v>
      </c>
      <c r="G3737">
        <v>2.04</v>
      </c>
      <c r="H3737" t="s">
        <v>10</v>
      </c>
      <c r="I3737" t="s">
        <v>11</v>
      </c>
    </row>
    <row r="3738" spans="1:9" hidden="1" x14ac:dyDescent="0.25">
      <c r="A3738" t="s">
        <v>17</v>
      </c>
      <c r="B3738" t="s">
        <v>86</v>
      </c>
      <c r="C3738">
        <v>202312</v>
      </c>
      <c r="D3738" t="str">
        <f t="shared" si="58"/>
        <v>2023</v>
      </c>
      <c r="E3738">
        <v>3072</v>
      </c>
      <c r="F3738">
        <v>173610</v>
      </c>
      <c r="G3738">
        <v>1.77</v>
      </c>
      <c r="H3738" t="s">
        <v>10</v>
      </c>
      <c r="I3738" t="s">
        <v>11</v>
      </c>
    </row>
    <row r="3739" spans="1:9" hidden="1" x14ac:dyDescent="0.25">
      <c r="A3739" t="s">
        <v>17</v>
      </c>
      <c r="B3739" t="s">
        <v>86</v>
      </c>
      <c r="C3739">
        <v>202401</v>
      </c>
      <c r="D3739" t="str">
        <f t="shared" si="58"/>
        <v>2024</v>
      </c>
      <c r="E3739">
        <v>2554</v>
      </c>
      <c r="F3739">
        <v>173610</v>
      </c>
      <c r="G3739">
        <v>1.47</v>
      </c>
      <c r="H3739" t="s">
        <v>10</v>
      </c>
      <c r="I3739" t="s">
        <v>11</v>
      </c>
    </row>
    <row r="3740" spans="1:9" hidden="1" x14ac:dyDescent="0.25">
      <c r="A3740" t="s">
        <v>17</v>
      </c>
      <c r="B3740" t="s">
        <v>86</v>
      </c>
      <c r="C3740">
        <v>202402</v>
      </c>
      <c r="D3740" t="str">
        <f t="shared" si="58"/>
        <v>2024</v>
      </c>
      <c r="E3740">
        <v>3024</v>
      </c>
      <c r="F3740">
        <v>173610</v>
      </c>
      <c r="G3740">
        <v>1.74</v>
      </c>
      <c r="H3740" t="s">
        <v>10</v>
      </c>
      <c r="I3740" t="s">
        <v>11</v>
      </c>
    </row>
    <row r="3741" spans="1:9" hidden="1" x14ac:dyDescent="0.25">
      <c r="A3741" t="s">
        <v>17</v>
      </c>
      <c r="B3741" t="s">
        <v>86</v>
      </c>
      <c r="C3741">
        <v>202403</v>
      </c>
      <c r="D3741" t="str">
        <f t="shared" si="58"/>
        <v>2024</v>
      </c>
      <c r="E3741">
        <v>3171</v>
      </c>
      <c r="F3741">
        <v>173610</v>
      </c>
      <c r="G3741">
        <v>1.83</v>
      </c>
      <c r="H3741" t="s">
        <v>10</v>
      </c>
      <c r="I3741" t="s">
        <v>11</v>
      </c>
    </row>
    <row r="3742" spans="1:9" hidden="1" x14ac:dyDescent="0.25">
      <c r="A3742" t="s">
        <v>17</v>
      </c>
      <c r="B3742" t="s">
        <v>86</v>
      </c>
      <c r="C3742">
        <v>202404</v>
      </c>
      <c r="D3742" t="str">
        <f t="shared" si="58"/>
        <v>2024</v>
      </c>
      <c r="E3742">
        <v>4604</v>
      </c>
      <c r="F3742">
        <v>173610</v>
      </c>
      <c r="G3742">
        <v>2.65</v>
      </c>
      <c r="H3742" t="s">
        <v>10</v>
      </c>
      <c r="I3742" t="s">
        <v>11</v>
      </c>
    </row>
    <row r="3743" spans="1:9" hidden="1" x14ac:dyDescent="0.25">
      <c r="A3743" t="s">
        <v>17</v>
      </c>
      <c r="B3743" t="s">
        <v>86</v>
      </c>
      <c r="C3743">
        <v>202405</v>
      </c>
      <c r="D3743" t="str">
        <f t="shared" si="58"/>
        <v>2024</v>
      </c>
      <c r="E3743">
        <v>12310</v>
      </c>
      <c r="F3743">
        <v>173610</v>
      </c>
      <c r="G3743">
        <v>7.09</v>
      </c>
      <c r="H3743" t="s">
        <v>10</v>
      </c>
      <c r="I3743" t="s">
        <v>11</v>
      </c>
    </row>
    <row r="3744" spans="1:9" hidden="1" x14ac:dyDescent="0.25">
      <c r="A3744" t="s">
        <v>17</v>
      </c>
      <c r="B3744" t="s">
        <v>86</v>
      </c>
      <c r="C3744">
        <v>202406</v>
      </c>
      <c r="D3744" t="str">
        <f t="shared" si="58"/>
        <v>2024</v>
      </c>
      <c r="E3744">
        <v>76087</v>
      </c>
      <c r="F3744">
        <v>173610</v>
      </c>
      <c r="G3744">
        <v>43.83</v>
      </c>
      <c r="H3744" t="s">
        <v>10</v>
      </c>
      <c r="I3744" t="s">
        <v>11</v>
      </c>
    </row>
    <row r="3745" spans="1:9" hidden="1" x14ac:dyDescent="0.25">
      <c r="A3745" t="s">
        <v>17</v>
      </c>
      <c r="B3745" t="s">
        <v>86</v>
      </c>
      <c r="C3745">
        <v>202407</v>
      </c>
      <c r="D3745" t="str">
        <f t="shared" si="58"/>
        <v>2024</v>
      </c>
      <c r="E3745">
        <v>50550</v>
      </c>
      <c r="F3745">
        <v>173610</v>
      </c>
      <c r="G3745">
        <v>29.12</v>
      </c>
      <c r="H3745" t="s">
        <v>10</v>
      </c>
      <c r="I3745" t="s">
        <v>11</v>
      </c>
    </row>
    <row r="3746" spans="1:9" hidden="1" x14ac:dyDescent="0.25">
      <c r="A3746" t="s">
        <v>17</v>
      </c>
      <c r="B3746" t="s">
        <v>106</v>
      </c>
      <c r="C3746">
        <v>202104</v>
      </c>
      <c r="D3746" t="str">
        <f t="shared" si="58"/>
        <v>2021</v>
      </c>
      <c r="E3746">
        <v>1</v>
      </c>
      <c r="F3746">
        <v>167093</v>
      </c>
      <c r="G3746">
        <v>0</v>
      </c>
      <c r="H3746" t="s">
        <v>10</v>
      </c>
      <c r="I3746" t="s">
        <v>11</v>
      </c>
    </row>
    <row r="3747" spans="1:9" hidden="1" x14ac:dyDescent="0.25">
      <c r="A3747" t="s">
        <v>17</v>
      </c>
      <c r="B3747" t="s">
        <v>106</v>
      </c>
      <c r="C3747">
        <v>202107</v>
      </c>
      <c r="D3747" t="str">
        <f t="shared" si="58"/>
        <v>2021</v>
      </c>
      <c r="E3747">
        <v>3</v>
      </c>
      <c r="F3747">
        <v>167093</v>
      </c>
      <c r="G3747">
        <v>0</v>
      </c>
      <c r="H3747" t="s">
        <v>10</v>
      </c>
      <c r="I3747" t="s">
        <v>11</v>
      </c>
    </row>
    <row r="3748" spans="1:9" hidden="1" x14ac:dyDescent="0.25">
      <c r="A3748" t="s">
        <v>17</v>
      </c>
      <c r="B3748" t="s">
        <v>106</v>
      </c>
      <c r="C3748">
        <v>202108</v>
      </c>
      <c r="D3748" t="str">
        <f t="shared" si="58"/>
        <v>2021</v>
      </c>
      <c r="E3748">
        <v>2</v>
      </c>
      <c r="F3748">
        <v>167093</v>
      </c>
      <c r="G3748">
        <v>0</v>
      </c>
      <c r="H3748" t="s">
        <v>10</v>
      </c>
      <c r="I3748" t="s">
        <v>11</v>
      </c>
    </row>
    <row r="3749" spans="1:9" hidden="1" x14ac:dyDescent="0.25">
      <c r="A3749" t="s">
        <v>17</v>
      </c>
      <c r="B3749" t="s">
        <v>106</v>
      </c>
      <c r="C3749">
        <v>202109</v>
      </c>
      <c r="D3749" t="str">
        <f t="shared" si="58"/>
        <v>2021</v>
      </c>
      <c r="E3749">
        <v>8</v>
      </c>
      <c r="F3749">
        <v>167093</v>
      </c>
      <c r="G3749">
        <v>0</v>
      </c>
      <c r="H3749" t="s">
        <v>10</v>
      </c>
      <c r="I3749" t="s">
        <v>11</v>
      </c>
    </row>
    <row r="3750" spans="1:9" hidden="1" x14ac:dyDescent="0.25">
      <c r="A3750" t="s">
        <v>17</v>
      </c>
      <c r="B3750" t="s">
        <v>106</v>
      </c>
      <c r="C3750">
        <v>202111</v>
      </c>
      <c r="D3750" t="str">
        <f t="shared" si="58"/>
        <v>2021</v>
      </c>
      <c r="E3750">
        <v>2</v>
      </c>
      <c r="F3750">
        <v>167093</v>
      </c>
      <c r="G3750">
        <v>0</v>
      </c>
      <c r="H3750" t="s">
        <v>10</v>
      </c>
      <c r="I3750" t="s">
        <v>11</v>
      </c>
    </row>
    <row r="3751" spans="1:9" hidden="1" x14ac:dyDescent="0.25">
      <c r="A3751" t="s">
        <v>17</v>
      </c>
      <c r="B3751" t="s">
        <v>106</v>
      </c>
      <c r="C3751">
        <v>202201</v>
      </c>
      <c r="D3751" t="str">
        <f t="shared" si="58"/>
        <v>2022</v>
      </c>
      <c r="E3751">
        <v>2</v>
      </c>
      <c r="F3751">
        <v>167093</v>
      </c>
      <c r="G3751">
        <v>0</v>
      </c>
      <c r="H3751" t="s">
        <v>10</v>
      </c>
      <c r="I3751" t="s">
        <v>11</v>
      </c>
    </row>
    <row r="3752" spans="1:9" hidden="1" x14ac:dyDescent="0.25">
      <c r="A3752" t="s">
        <v>17</v>
      </c>
      <c r="B3752" t="s">
        <v>106</v>
      </c>
      <c r="C3752">
        <v>202202</v>
      </c>
      <c r="D3752" t="str">
        <f t="shared" si="58"/>
        <v>2022</v>
      </c>
      <c r="E3752">
        <v>10</v>
      </c>
      <c r="F3752">
        <v>167093</v>
      </c>
      <c r="G3752">
        <v>0.01</v>
      </c>
      <c r="H3752" t="s">
        <v>10</v>
      </c>
      <c r="I3752" t="s">
        <v>11</v>
      </c>
    </row>
    <row r="3753" spans="1:9" hidden="1" x14ac:dyDescent="0.25">
      <c r="A3753" t="s">
        <v>17</v>
      </c>
      <c r="B3753" t="s">
        <v>106</v>
      </c>
      <c r="C3753">
        <v>202203</v>
      </c>
      <c r="D3753" t="str">
        <f t="shared" si="58"/>
        <v>2022</v>
      </c>
      <c r="E3753">
        <v>6</v>
      </c>
      <c r="F3753">
        <v>167093</v>
      </c>
      <c r="G3753">
        <v>0</v>
      </c>
      <c r="H3753" t="s">
        <v>10</v>
      </c>
      <c r="I3753" t="s">
        <v>11</v>
      </c>
    </row>
    <row r="3754" spans="1:9" hidden="1" x14ac:dyDescent="0.25">
      <c r="A3754" t="s">
        <v>17</v>
      </c>
      <c r="B3754" t="s">
        <v>106</v>
      </c>
      <c r="C3754">
        <v>202204</v>
      </c>
      <c r="D3754" t="str">
        <f t="shared" si="58"/>
        <v>2022</v>
      </c>
      <c r="E3754">
        <v>43</v>
      </c>
      <c r="F3754">
        <v>167093</v>
      </c>
      <c r="G3754">
        <v>0.03</v>
      </c>
      <c r="H3754" t="s">
        <v>10</v>
      </c>
      <c r="I3754" t="s">
        <v>11</v>
      </c>
    </row>
    <row r="3755" spans="1:9" hidden="1" x14ac:dyDescent="0.25">
      <c r="A3755" t="s">
        <v>17</v>
      </c>
      <c r="B3755" t="s">
        <v>106</v>
      </c>
      <c r="C3755">
        <v>202205</v>
      </c>
      <c r="D3755" t="str">
        <f t="shared" si="58"/>
        <v>2022</v>
      </c>
      <c r="E3755">
        <v>38</v>
      </c>
      <c r="F3755">
        <v>167093</v>
      </c>
      <c r="G3755">
        <v>0.02</v>
      </c>
      <c r="H3755" t="s">
        <v>10</v>
      </c>
      <c r="I3755" t="s">
        <v>11</v>
      </c>
    </row>
    <row r="3756" spans="1:9" hidden="1" x14ac:dyDescent="0.25">
      <c r="A3756" t="s">
        <v>17</v>
      </c>
      <c r="B3756" t="s">
        <v>106</v>
      </c>
      <c r="C3756">
        <v>202206</v>
      </c>
      <c r="D3756" t="str">
        <f t="shared" si="58"/>
        <v>2022</v>
      </c>
      <c r="E3756">
        <v>26</v>
      </c>
      <c r="F3756">
        <v>167093</v>
      </c>
      <c r="G3756">
        <v>0.02</v>
      </c>
      <c r="H3756" t="s">
        <v>10</v>
      </c>
      <c r="I3756" t="s">
        <v>11</v>
      </c>
    </row>
    <row r="3757" spans="1:9" hidden="1" x14ac:dyDescent="0.25">
      <c r="A3757" t="s">
        <v>17</v>
      </c>
      <c r="B3757" t="s">
        <v>106</v>
      </c>
      <c r="C3757">
        <v>202207</v>
      </c>
      <c r="D3757" t="str">
        <f t="shared" si="58"/>
        <v>2022</v>
      </c>
      <c r="E3757">
        <v>13</v>
      </c>
      <c r="F3757">
        <v>167093</v>
      </c>
      <c r="G3757">
        <v>0.01</v>
      </c>
      <c r="H3757" t="s">
        <v>10</v>
      </c>
      <c r="I3757" t="s">
        <v>11</v>
      </c>
    </row>
    <row r="3758" spans="1:9" hidden="1" x14ac:dyDescent="0.25">
      <c r="A3758" t="s">
        <v>17</v>
      </c>
      <c r="B3758" t="s">
        <v>106</v>
      </c>
      <c r="C3758">
        <v>202208</v>
      </c>
      <c r="D3758" t="str">
        <f t="shared" si="58"/>
        <v>2022</v>
      </c>
      <c r="E3758">
        <v>12</v>
      </c>
      <c r="F3758">
        <v>167093</v>
      </c>
      <c r="G3758">
        <v>0.01</v>
      </c>
      <c r="H3758" t="s">
        <v>10</v>
      </c>
      <c r="I3758" t="s">
        <v>11</v>
      </c>
    </row>
    <row r="3759" spans="1:9" hidden="1" x14ac:dyDescent="0.25">
      <c r="A3759" t="s">
        <v>17</v>
      </c>
      <c r="B3759" t="s">
        <v>106</v>
      </c>
      <c r="C3759">
        <v>202209</v>
      </c>
      <c r="D3759" t="str">
        <f t="shared" si="58"/>
        <v>2022</v>
      </c>
      <c r="E3759">
        <v>82</v>
      </c>
      <c r="F3759">
        <v>167093</v>
      </c>
      <c r="G3759">
        <v>0.05</v>
      </c>
      <c r="H3759" t="s">
        <v>10</v>
      </c>
      <c r="I3759" t="s">
        <v>11</v>
      </c>
    </row>
    <row r="3760" spans="1:9" hidden="1" x14ac:dyDescent="0.25">
      <c r="A3760" t="s">
        <v>17</v>
      </c>
      <c r="B3760" t="s">
        <v>106</v>
      </c>
      <c r="C3760">
        <v>202210</v>
      </c>
      <c r="D3760" t="str">
        <f t="shared" si="58"/>
        <v>2022</v>
      </c>
      <c r="E3760">
        <v>38</v>
      </c>
      <c r="F3760">
        <v>167093</v>
      </c>
      <c r="G3760">
        <v>0.02</v>
      </c>
      <c r="H3760" t="s">
        <v>10</v>
      </c>
      <c r="I3760" t="s">
        <v>11</v>
      </c>
    </row>
    <row r="3761" spans="1:9" hidden="1" x14ac:dyDescent="0.25">
      <c r="A3761" t="s">
        <v>17</v>
      </c>
      <c r="B3761" t="s">
        <v>106</v>
      </c>
      <c r="C3761">
        <v>202211</v>
      </c>
      <c r="D3761" t="str">
        <f t="shared" si="58"/>
        <v>2022</v>
      </c>
      <c r="E3761">
        <v>164</v>
      </c>
      <c r="F3761">
        <v>167093</v>
      </c>
      <c r="G3761">
        <v>0.1</v>
      </c>
      <c r="H3761" t="s">
        <v>10</v>
      </c>
      <c r="I3761" t="s">
        <v>11</v>
      </c>
    </row>
    <row r="3762" spans="1:9" hidden="1" x14ac:dyDescent="0.25">
      <c r="A3762" t="s">
        <v>17</v>
      </c>
      <c r="B3762" t="s">
        <v>106</v>
      </c>
      <c r="C3762">
        <v>202212</v>
      </c>
      <c r="D3762" t="str">
        <f t="shared" si="58"/>
        <v>2022</v>
      </c>
      <c r="E3762">
        <v>39</v>
      </c>
      <c r="F3762">
        <v>167093</v>
      </c>
      <c r="G3762">
        <v>0.02</v>
      </c>
      <c r="H3762" t="s">
        <v>10</v>
      </c>
      <c r="I3762" t="s">
        <v>11</v>
      </c>
    </row>
    <row r="3763" spans="1:9" hidden="1" x14ac:dyDescent="0.25">
      <c r="A3763" t="s">
        <v>17</v>
      </c>
      <c r="B3763" t="s">
        <v>106</v>
      </c>
      <c r="C3763">
        <v>202301</v>
      </c>
      <c r="D3763" t="str">
        <f t="shared" si="58"/>
        <v>2023</v>
      </c>
      <c r="E3763">
        <v>455</v>
      </c>
      <c r="F3763">
        <v>167093</v>
      </c>
      <c r="G3763">
        <v>0.27</v>
      </c>
      <c r="H3763" t="s">
        <v>10</v>
      </c>
      <c r="I3763" t="s">
        <v>11</v>
      </c>
    </row>
    <row r="3764" spans="1:9" hidden="1" x14ac:dyDescent="0.25">
      <c r="A3764" t="s">
        <v>17</v>
      </c>
      <c r="B3764" t="s">
        <v>106</v>
      </c>
      <c r="C3764">
        <v>202302</v>
      </c>
      <c r="D3764" t="str">
        <f t="shared" si="58"/>
        <v>2023</v>
      </c>
      <c r="E3764">
        <v>518</v>
      </c>
      <c r="F3764">
        <v>167093</v>
      </c>
      <c r="G3764">
        <v>0.31</v>
      </c>
      <c r="H3764" t="s">
        <v>10</v>
      </c>
      <c r="I3764" t="s">
        <v>11</v>
      </c>
    </row>
    <row r="3765" spans="1:9" hidden="1" x14ac:dyDescent="0.25">
      <c r="A3765" t="s">
        <v>17</v>
      </c>
      <c r="B3765" t="s">
        <v>106</v>
      </c>
      <c r="C3765">
        <v>202303</v>
      </c>
      <c r="D3765" t="str">
        <f t="shared" si="58"/>
        <v>2023</v>
      </c>
      <c r="E3765">
        <v>626</v>
      </c>
      <c r="F3765">
        <v>167093</v>
      </c>
      <c r="G3765">
        <v>0.37</v>
      </c>
      <c r="H3765" t="s">
        <v>10</v>
      </c>
      <c r="I3765" t="s">
        <v>11</v>
      </c>
    </row>
    <row r="3766" spans="1:9" hidden="1" x14ac:dyDescent="0.25">
      <c r="A3766" t="s">
        <v>17</v>
      </c>
      <c r="B3766" t="s">
        <v>106</v>
      </c>
      <c r="C3766">
        <v>202304</v>
      </c>
      <c r="D3766" t="str">
        <f t="shared" si="58"/>
        <v>2023</v>
      </c>
      <c r="E3766">
        <v>757</v>
      </c>
      <c r="F3766">
        <v>167093</v>
      </c>
      <c r="G3766">
        <v>0.45</v>
      </c>
      <c r="H3766" t="s">
        <v>10</v>
      </c>
      <c r="I3766" t="s">
        <v>11</v>
      </c>
    </row>
    <row r="3767" spans="1:9" hidden="1" x14ac:dyDescent="0.25">
      <c r="A3767" t="s">
        <v>17</v>
      </c>
      <c r="B3767" t="s">
        <v>106</v>
      </c>
      <c r="C3767">
        <v>202305</v>
      </c>
      <c r="D3767" t="str">
        <f t="shared" si="58"/>
        <v>2023</v>
      </c>
      <c r="E3767">
        <v>758</v>
      </c>
      <c r="F3767">
        <v>167093</v>
      </c>
      <c r="G3767">
        <v>0.45</v>
      </c>
      <c r="H3767" t="s">
        <v>10</v>
      </c>
      <c r="I3767" t="s">
        <v>11</v>
      </c>
    </row>
    <row r="3768" spans="1:9" hidden="1" x14ac:dyDescent="0.25">
      <c r="A3768" t="s">
        <v>17</v>
      </c>
      <c r="B3768" t="s">
        <v>106</v>
      </c>
      <c r="C3768">
        <v>202306</v>
      </c>
      <c r="D3768" t="str">
        <f t="shared" si="58"/>
        <v>2023</v>
      </c>
      <c r="E3768">
        <v>800</v>
      </c>
      <c r="F3768">
        <v>167093</v>
      </c>
      <c r="G3768">
        <v>0.48</v>
      </c>
      <c r="H3768" t="s">
        <v>10</v>
      </c>
      <c r="I3768" t="s">
        <v>11</v>
      </c>
    </row>
    <row r="3769" spans="1:9" hidden="1" x14ac:dyDescent="0.25">
      <c r="A3769" t="s">
        <v>17</v>
      </c>
      <c r="B3769" t="s">
        <v>106</v>
      </c>
      <c r="C3769">
        <v>202307</v>
      </c>
      <c r="D3769" t="str">
        <f t="shared" si="58"/>
        <v>2023</v>
      </c>
      <c r="E3769">
        <v>875</v>
      </c>
      <c r="F3769">
        <v>167093</v>
      </c>
      <c r="G3769">
        <v>0.52</v>
      </c>
      <c r="H3769" t="s">
        <v>10</v>
      </c>
      <c r="I3769" t="s">
        <v>11</v>
      </c>
    </row>
    <row r="3770" spans="1:9" hidden="1" x14ac:dyDescent="0.25">
      <c r="A3770" t="s">
        <v>17</v>
      </c>
      <c r="B3770" t="s">
        <v>106</v>
      </c>
      <c r="C3770">
        <v>202308</v>
      </c>
      <c r="D3770" t="str">
        <f t="shared" si="58"/>
        <v>2023</v>
      </c>
      <c r="E3770">
        <v>1577</v>
      </c>
      <c r="F3770">
        <v>167093</v>
      </c>
      <c r="G3770">
        <v>0.94</v>
      </c>
      <c r="H3770" t="s">
        <v>10</v>
      </c>
      <c r="I3770" t="s">
        <v>11</v>
      </c>
    </row>
    <row r="3771" spans="1:9" hidden="1" x14ac:dyDescent="0.25">
      <c r="A3771" t="s">
        <v>17</v>
      </c>
      <c r="B3771" t="s">
        <v>106</v>
      </c>
      <c r="C3771">
        <v>202309</v>
      </c>
      <c r="D3771" t="str">
        <f t="shared" si="58"/>
        <v>2023</v>
      </c>
      <c r="E3771">
        <v>1579</v>
      </c>
      <c r="F3771">
        <v>167093</v>
      </c>
      <c r="G3771">
        <v>0.94</v>
      </c>
      <c r="H3771" t="s">
        <v>10</v>
      </c>
      <c r="I3771" t="s">
        <v>11</v>
      </c>
    </row>
    <row r="3772" spans="1:9" hidden="1" x14ac:dyDescent="0.25">
      <c r="A3772" t="s">
        <v>17</v>
      </c>
      <c r="B3772" t="s">
        <v>106</v>
      </c>
      <c r="C3772">
        <v>202310</v>
      </c>
      <c r="D3772" t="str">
        <f t="shared" si="58"/>
        <v>2023</v>
      </c>
      <c r="E3772">
        <v>2788</v>
      </c>
      <c r="F3772">
        <v>167093</v>
      </c>
      <c r="G3772">
        <v>1.67</v>
      </c>
      <c r="H3772" t="s">
        <v>10</v>
      </c>
      <c r="I3772" t="s">
        <v>11</v>
      </c>
    </row>
    <row r="3773" spans="1:9" hidden="1" x14ac:dyDescent="0.25">
      <c r="A3773" t="s">
        <v>17</v>
      </c>
      <c r="B3773" t="s">
        <v>106</v>
      </c>
      <c r="C3773">
        <v>202311</v>
      </c>
      <c r="D3773" t="str">
        <f t="shared" si="58"/>
        <v>2023</v>
      </c>
      <c r="E3773">
        <v>1950</v>
      </c>
      <c r="F3773">
        <v>167093</v>
      </c>
      <c r="G3773">
        <v>1.17</v>
      </c>
      <c r="H3773" t="s">
        <v>10</v>
      </c>
      <c r="I3773" t="s">
        <v>11</v>
      </c>
    </row>
    <row r="3774" spans="1:9" hidden="1" x14ac:dyDescent="0.25">
      <c r="A3774" t="s">
        <v>17</v>
      </c>
      <c r="B3774" t="s">
        <v>106</v>
      </c>
      <c r="C3774">
        <v>202312</v>
      </c>
      <c r="D3774" t="str">
        <f t="shared" si="58"/>
        <v>2023</v>
      </c>
      <c r="E3774">
        <v>1986</v>
      </c>
      <c r="F3774">
        <v>167093</v>
      </c>
      <c r="G3774">
        <v>1.19</v>
      </c>
      <c r="H3774" t="s">
        <v>10</v>
      </c>
      <c r="I3774" t="s">
        <v>11</v>
      </c>
    </row>
    <row r="3775" spans="1:9" hidden="1" x14ac:dyDescent="0.25">
      <c r="A3775" t="s">
        <v>17</v>
      </c>
      <c r="B3775" t="s">
        <v>106</v>
      </c>
      <c r="C3775">
        <v>202401</v>
      </c>
      <c r="D3775" t="str">
        <f t="shared" si="58"/>
        <v>2024</v>
      </c>
      <c r="E3775">
        <v>1563</v>
      </c>
      <c r="F3775">
        <v>167093</v>
      </c>
      <c r="G3775">
        <v>0.94</v>
      </c>
      <c r="H3775" t="s">
        <v>10</v>
      </c>
      <c r="I3775" t="s">
        <v>11</v>
      </c>
    </row>
    <row r="3776" spans="1:9" hidden="1" x14ac:dyDescent="0.25">
      <c r="A3776" t="s">
        <v>17</v>
      </c>
      <c r="B3776" t="s">
        <v>106</v>
      </c>
      <c r="C3776">
        <v>202402</v>
      </c>
      <c r="D3776" t="str">
        <f t="shared" si="58"/>
        <v>2024</v>
      </c>
      <c r="E3776">
        <v>1689</v>
      </c>
      <c r="F3776">
        <v>167093</v>
      </c>
      <c r="G3776">
        <v>1.01</v>
      </c>
      <c r="H3776" t="s">
        <v>10</v>
      </c>
      <c r="I3776" t="s">
        <v>11</v>
      </c>
    </row>
    <row r="3777" spans="1:9" hidden="1" x14ac:dyDescent="0.25">
      <c r="A3777" t="s">
        <v>17</v>
      </c>
      <c r="B3777" t="s">
        <v>106</v>
      </c>
      <c r="C3777">
        <v>202403</v>
      </c>
      <c r="D3777" t="str">
        <f t="shared" si="58"/>
        <v>2024</v>
      </c>
      <c r="E3777">
        <v>2028</v>
      </c>
      <c r="F3777">
        <v>167093</v>
      </c>
      <c r="G3777">
        <v>1.21</v>
      </c>
      <c r="H3777" t="s">
        <v>10</v>
      </c>
      <c r="I3777" t="s">
        <v>11</v>
      </c>
    </row>
    <row r="3778" spans="1:9" hidden="1" x14ac:dyDescent="0.25">
      <c r="A3778" t="s">
        <v>17</v>
      </c>
      <c r="B3778" t="s">
        <v>106</v>
      </c>
      <c r="C3778">
        <v>202404</v>
      </c>
      <c r="D3778" t="str">
        <f t="shared" si="58"/>
        <v>2024</v>
      </c>
      <c r="E3778">
        <v>2714</v>
      </c>
      <c r="F3778">
        <v>167093</v>
      </c>
      <c r="G3778">
        <v>1.62</v>
      </c>
      <c r="H3778" t="s">
        <v>10</v>
      </c>
      <c r="I3778" t="s">
        <v>11</v>
      </c>
    </row>
    <row r="3779" spans="1:9" hidden="1" x14ac:dyDescent="0.25">
      <c r="A3779" t="s">
        <v>17</v>
      </c>
      <c r="B3779" t="s">
        <v>106</v>
      </c>
      <c r="C3779">
        <v>202405</v>
      </c>
      <c r="D3779" t="str">
        <f t="shared" ref="D3779:D3842" si="59">LEFT(C3779,4)</f>
        <v>2024</v>
      </c>
      <c r="E3779">
        <v>3623</v>
      </c>
      <c r="F3779">
        <v>167093</v>
      </c>
      <c r="G3779">
        <v>2.17</v>
      </c>
      <c r="H3779" t="s">
        <v>10</v>
      </c>
      <c r="I3779" t="s">
        <v>11</v>
      </c>
    </row>
    <row r="3780" spans="1:9" hidden="1" x14ac:dyDescent="0.25">
      <c r="A3780" t="s">
        <v>17</v>
      </c>
      <c r="B3780" t="s">
        <v>106</v>
      </c>
      <c r="C3780">
        <v>202406</v>
      </c>
      <c r="D3780" t="str">
        <f t="shared" si="59"/>
        <v>2024</v>
      </c>
      <c r="E3780">
        <v>11242</v>
      </c>
      <c r="F3780">
        <v>167093</v>
      </c>
      <c r="G3780">
        <v>6.73</v>
      </c>
      <c r="H3780" t="s">
        <v>10</v>
      </c>
      <c r="I3780" t="s">
        <v>11</v>
      </c>
    </row>
    <row r="3781" spans="1:9" hidden="1" x14ac:dyDescent="0.25">
      <c r="A3781" t="s">
        <v>17</v>
      </c>
      <c r="B3781" t="s">
        <v>106</v>
      </c>
      <c r="C3781">
        <v>202407</v>
      </c>
      <c r="D3781" t="str">
        <f t="shared" si="59"/>
        <v>2024</v>
      </c>
      <c r="E3781">
        <v>77441</v>
      </c>
      <c r="F3781">
        <v>167093</v>
      </c>
      <c r="G3781">
        <v>46.35</v>
      </c>
      <c r="H3781" t="s">
        <v>10</v>
      </c>
      <c r="I3781" t="s">
        <v>11</v>
      </c>
    </row>
    <row r="3782" spans="1:9" hidden="1" x14ac:dyDescent="0.25">
      <c r="A3782" t="s">
        <v>17</v>
      </c>
      <c r="B3782" t="s">
        <v>106</v>
      </c>
      <c r="C3782">
        <v>202408</v>
      </c>
      <c r="D3782" t="str">
        <f t="shared" si="59"/>
        <v>2024</v>
      </c>
      <c r="E3782">
        <v>51635</v>
      </c>
      <c r="F3782">
        <v>167093</v>
      </c>
      <c r="G3782">
        <v>30.9</v>
      </c>
      <c r="H3782" t="s">
        <v>10</v>
      </c>
      <c r="I3782" t="s">
        <v>11</v>
      </c>
    </row>
    <row r="3783" spans="1:9" hidden="1" x14ac:dyDescent="0.25">
      <c r="A3783" t="s">
        <v>17</v>
      </c>
      <c r="B3783" t="s">
        <v>127</v>
      </c>
      <c r="C3783">
        <v>201901</v>
      </c>
      <c r="D3783" t="str">
        <f t="shared" si="59"/>
        <v>2019</v>
      </c>
      <c r="E3783">
        <v>11</v>
      </c>
      <c r="F3783">
        <v>124290</v>
      </c>
      <c r="G3783">
        <v>0.01</v>
      </c>
      <c r="H3783" t="s">
        <v>10</v>
      </c>
      <c r="I3783" t="s">
        <v>11</v>
      </c>
    </row>
    <row r="3784" spans="1:9" hidden="1" x14ac:dyDescent="0.25">
      <c r="A3784" t="s">
        <v>17</v>
      </c>
      <c r="B3784" t="s">
        <v>127</v>
      </c>
      <c r="C3784">
        <v>201902</v>
      </c>
      <c r="D3784" t="str">
        <f t="shared" si="59"/>
        <v>2019</v>
      </c>
      <c r="E3784">
        <v>1</v>
      </c>
      <c r="F3784">
        <v>124290</v>
      </c>
      <c r="G3784">
        <v>0</v>
      </c>
      <c r="H3784" t="s">
        <v>10</v>
      </c>
      <c r="I3784" t="s">
        <v>11</v>
      </c>
    </row>
    <row r="3785" spans="1:9" hidden="1" x14ac:dyDescent="0.25">
      <c r="A3785" t="s">
        <v>17</v>
      </c>
      <c r="B3785" t="s">
        <v>127</v>
      </c>
      <c r="C3785">
        <v>201912</v>
      </c>
      <c r="D3785" t="str">
        <f t="shared" si="59"/>
        <v>2019</v>
      </c>
      <c r="E3785">
        <v>1</v>
      </c>
      <c r="F3785">
        <v>124290</v>
      </c>
      <c r="G3785">
        <v>0</v>
      </c>
      <c r="H3785" t="s">
        <v>10</v>
      </c>
      <c r="I3785" t="s">
        <v>11</v>
      </c>
    </row>
    <row r="3786" spans="1:9" hidden="1" x14ac:dyDescent="0.25">
      <c r="A3786" t="s">
        <v>17</v>
      </c>
      <c r="B3786" t="s">
        <v>127</v>
      </c>
      <c r="C3786">
        <v>202011</v>
      </c>
      <c r="D3786" t="str">
        <f t="shared" si="59"/>
        <v>2020</v>
      </c>
      <c r="E3786">
        <v>3</v>
      </c>
      <c r="F3786">
        <v>124290</v>
      </c>
      <c r="G3786">
        <v>0</v>
      </c>
      <c r="H3786" t="s">
        <v>10</v>
      </c>
      <c r="I3786" t="s">
        <v>11</v>
      </c>
    </row>
    <row r="3787" spans="1:9" hidden="1" x14ac:dyDescent="0.25">
      <c r="A3787" t="s">
        <v>17</v>
      </c>
      <c r="B3787" t="s">
        <v>127</v>
      </c>
      <c r="C3787">
        <v>202101</v>
      </c>
      <c r="D3787" t="str">
        <f t="shared" si="59"/>
        <v>2021</v>
      </c>
      <c r="E3787">
        <v>4</v>
      </c>
      <c r="F3787">
        <v>124290</v>
      </c>
      <c r="G3787">
        <v>0</v>
      </c>
      <c r="H3787" t="s">
        <v>10</v>
      </c>
      <c r="I3787" t="s">
        <v>11</v>
      </c>
    </row>
    <row r="3788" spans="1:9" hidden="1" x14ac:dyDescent="0.25">
      <c r="A3788" t="s">
        <v>17</v>
      </c>
      <c r="B3788" t="s">
        <v>127</v>
      </c>
      <c r="C3788">
        <v>202102</v>
      </c>
      <c r="D3788" t="str">
        <f t="shared" si="59"/>
        <v>2021</v>
      </c>
      <c r="E3788">
        <v>6</v>
      </c>
      <c r="F3788">
        <v>124290</v>
      </c>
      <c r="G3788">
        <v>0</v>
      </c>
      <c r="H3788" t="s">
        <v>10</v>
      </c>
      <c r="I3788" t="s">
        <v>11</v>
      </c>
    </row>
    <row r="3789" spans="1:9" hidden="1" x14ac:dyDescent="0.25">
      <c r="A3789" t="s">
        <v>17</v>
      </c>
      <c r="B3789" t="s">
        <v>127</v>
      </c>
      <c r="C3789">
        <v>202103</v>
      </c>
      <c r="D3789" t="str">
        <f t="shared" si="59"/>
        <v>2021</v>
      </c>
      <c r="E3789">
        <v>5</v>
      </c>
      <c r="F3789">
        <v>124290</v>
      </c>
      <c r="G3789">
        <v>0</v>
      </c>
      <c r="H3789" t="s">
        <v>10</v>
      </c>
      <c r="I3789" t="s">
        <v>11</v>
      </c>
    </row>
    <row r="3790" spans="1:9" hidden="1" x14ac:dyDescent="0.25">
      <c r="A3790" t="s">
        <v>17</v>
      </c>
      <c r="B3790" t="s">
        <v>127</v>
      </c>
      <c r="C3790">
        <v>202104</v>
      </c>
      <c r="D3790" t="str">
        <f t="shared" si="59"/>
        <v>2021</v>
      </c>
      <c r="E3790">
        <v>8</v>
      </c>
      <c r="F3790">
        <v>124290</v>
      </c>
      <c r="G3790">
        <v>0.01</v>
      </c>
      <c r="H3790" t="s">
        <v>10</v>
      </c>
      <c r="I3790" t="s">
        <v>11</v>
      </c>
    </row>
    <row r="3791" spans="1:9" hidden="1" x14ac:dyDescent="0.25">
      <c r="A3791" t="s">
        <v>17</v>
      </c>
      <c r="B3791" t="s">
        <v>127</v>
      </c>
      <c r="C3791">
        <v>202105</v>
      </c>
      <c r="D3791" t="str">
        <f t="shared" si="59"/>
        <v>2021</v>
      </c>
      <c r="E3791">
        <v>5</v>
      </c>
      <c r="F3791">
        <v>124290</v>
      </c>
      <c r="G3791">
        <v>0</v>
      </c>
      <c r="H3791" t="s">
        <v>10</v>
      </c>
      <c r="I3791" t="s">
        <v>11</v>
      </c>
    </row>
    <row r="3792" spans="1:9" hidden="1" x14ac:dyDescent="0.25">
      <c r="A3792" t="s">
        <v>17</v>
      </c>
      <c r="B3792" t="s">
        <v>127</v>
      </c>
      <c r="C3792">
        <v>202106</v>
      </c>
      <c r="D3792" t="str">
        <f t="shared" si="59"/>
        <v>2021</v>
      </c>
      <c r="E3792">
        <v>5</v>
      </c>
      <c r="F3792">
        <v>124290</v>
      </c>
      <c r="G3792">
        <v>0</v>
      </c>
      <c r="H3792" t="s">
        <v>10</v>
      </c>
      <c r="I3792" t="s">
        <v>11</v>
      </c>
    </row>
    <row r="3793" spans="1:9" hidden="1" x14ac:dyDescent="0.25">
      <c r="A3793" t="s">
        <v>17</v>
      </c>
      <c r="B3793" t="s">
        <v>127</v>
      </c>
      <c r="C3793">
        <v>202107</v>
      </c>
      <c r="D3793" t="str">
        <f t="shared" si="59"/>
        <v>2021</v>
      </c>
      <c r="E3793">
        <v>3</v>
      </c>
      <c r="F3793">
        <v>124290</v>
      </c>
      <c r="G3793">
        <v>0</v>
      </c>
      <c r="H3793" t="s">
        <v>10</v>
      </c>
      <c r="I3793" t="s">
        <v>11</v>
      </c>
    </row>
    <row r="3794" spans="1:9" hidden="1" x14ac:dyDescent="0.25">
      <c r="A3794" t="s">
        <v>17</v>
      </c>
      <c r="B3794" t="s">
        <v>127</v>
      </c>
      <c r="C3794">
        <v>202108</v>
      </c>
      <c r="D3794" t="str">
        <f t="shared" si="59"/>
        <v>2021</v>
      </c>
      <c r="E3794">
        <v>2</v>
      </c>
      <c r="F3794">
        <v>124290</v>
      </c>
      <c r="G3794">
        <v>0</v>
      </c>
      <c r="H3794" t="s">
        <v>10</v>
      </c>
      <c r="I3794" t="s">
        <v>11</v>
      </c>
    </row>
    <row r="3795" spans="1:9" hidden="1" x14ac:dyDescent="0.25">
      <c r="A3795" t="s">
        <v>17</v>
      </c>
      <c r="B3795" t="s">
        <v>127</v>
      </c>
      <c r="C3795">
        <v>202109</v>
      </c>
      <c r="D3795" t="str">
        <f t="shared" si="59"/>
        <v>2021</v>
      </c>
      <c r="E3795">
        <v>3</v>
      </c>
      <c r="F3795">
        <v>124290</v>
      </c>
      <c r="G3795">
        <v>0</v>
      </c>
      <c r="H3795" t="s">
        <v>10</v>
      </c>
      <c r="I3795" t="s">
        <v>11</v>
      </c>
    </row>
    <row r="3796" spans="1:9" hidden="1" x14ac:dyDescent="0.25">
      <c r="A3796" t="s">
        <v>17</v>
      </c>
      <c r="B3796" t="s">
        <v>127</v>
      </c>
      <c r="C3796">
        <v>202110</v>
      </c>
      <c r="D3796" t="str">
        <f t="shared" si="59"/>
        <v>2021</v>
      </c>
      <c r="E3796">
        <v>4</v>
      </c>
      <c r="F3796">
        <v>124290</v>
      </c>
      <c r="G3796">
        <v>0</v>
      </c>
      <c r="H3796" t="s">
        <v>10</v>
      </c>
      <c r="I3796" t="s">
        <v>11</v>
      </c>
    </row>
    <row r="3797" spans="1:9" hidden="1" x14ac:dyDescent="0.25">
      <c r="A3797" t="s">
        <v>17</v>
      </c>
      <c r="B3797" t="s">
        <v>127</v>
      </c>
      <c r="C3797">
        <v>202112</v>
      </c>
      <c r="D3797" t="str">
        <f t="shared" si="59"/>
        <v>2021</v>
      </c>
      <c r="E3797">
        <v>3</v>
      </c>
      <c r="F3797">
        <v>124290</v>
      </c>
      <c r="G3797">
        <v>0</v>
      </c>
      <c r="H3797" t="s">
        <v>10</v>
      </c>
      <c r="I3797" t="s">
        <v>11</v>
      </c>
    </row>
    <row r="3798" spans="1:9" hidden="1" x14ac:dyDescent="0.25">
      <c r="A3798" t="s">
        <v>17</v>
      </c>
      <c r="B3798" t="s">
        <v>127</v>
      </c>
      <c r="C3798">
        <v>202201</v>
      </c>
      <c r="D3798" t="str">
        <f t="shared" si="59"/>
        <v>2022</v>
      </c>
      <c r="E3798">
        <v>25</v>
      </c>
      <c r="F3798">
        <v>124290</v>
      </c>
      <c r="G3798">
        <v>0.02</v>
      </c>
      <c r="H3798" t="s">
        <v>10</v>
      </c>
      <c r="I3798" t="s">
        <v>11</v>
      </c>
    </row>
    <row r="3799" spans="1:9" hidden="1" x14ac:dyDescent="0.25">
      <c r="A3799" t="s">
        <v>17</v>
      </c>
      <c r="B3799" t="s">
        <v>127</v>
      </c>
      <c r="C3799">
        <v>202202</v>
      </c>
      <c r="D3799" t="str">
        <f t="shared" si="59"/>
        <v>2022</v>
      </c>
      <c r="E3799">
        <v>2</v>
      </c>
      <c r="F3799">
        <v>124290</v>
      </c>
      <c r="G3799">
        <v>0</v>
      </c>
      <c r="H3799" t="s">
        <v>10</v>
      </c>
      <c r="I3799" t="s">
        <v>11</v>
      </c>
    </row>
    <row r="3800" spans="1:9" hidden="1" x14ac:dyDescent="0.25">
      <c r="A3800" t="s">
        <v>17</v>
      </c>
      <c r="B3800" t="s">
        <v>127</v>
      </c>
      <c r="C3800">
        <v>202204</v>
      </c>
      <c r="D3800" t="str">
        <f t="shared" si="59"/>
        <v>2022</v>
      </c>
      <c r="E3800">
        <v>2</v>
      </c>
      <c r="F3800">
        <v>124290</v>
      </c>
      <c r="G3800">
        <v>0</v>
      </c>
      <c r="H3800" t="s">
        <v>10</v>
      </c>
      <c r="I3800" t="s">
        <v>11</v>
      </c>
    </row>
    <row r="3801" spans="1:9" hidden="1" x14ac:dyDescent="0.25">
      <c r="A3801" t="s">
        <v>17</v>
      </c>
      <c r="B3801" t="s">
        <v>127</v>
      </c>
      <c r="C3801">
        <v>202205</v>
      </c>
      <c r="D3801" t="str">
        <f t="shared" si="59"/>
        <v>2022</v>
      </c>
      <c r="E3801">
        <v>42</v>
      </c>
      <c r="F3801">
        <v>124290</v>
      </c>
      <c r="G3801">
        <v>0.03</v>
      </c>
      <c r="H3801" t="s">
        <v>10</v>
      </c>
      <c r="I3801" t="s">
        <v>11</v>
      </c>
    </row>
    <row r="3802" spans="1:9" hidden="1" x14ac:dyDescent="0.25">
      <c r="A3802" t="s">
        <v>17</v>
      </c>
      <c r="B3802" t="s">
        <v>127</v>
      </c>
      <c r="C3802">
        <v>202206</v>
      </c>
      <c r="D3802" t="str">
        <f t="shared" si="59"/>
        <v>2022</v>
      </c>
      <c r="E3802">
        <v>50</v>
      </c>
      <c r="F3802">
        <v>124290</v>
      </c>
      <c r="G3802">
        <v>0.04</v>
      </c>
      <c r="H3802" t="s">
        <v>10</v>
      </c>
      <c r="I3802" t="s">
        <v>11</v>
      </c>
    </row>
    <row r="3803" spans="1:9" hidden="1" x14ac:dyDescent="0.25">
      <c r="A3803" t="s">
        <v>17</v>
      </c>
      <c r="B3803" t="s">
        <v>127</v>
      </c>
      <c r="C3803">
        <v>202207</v>
      </c>
      <c r="D3803" t="str">
        <f t="shared" si="59"/>
        <v>2022</v>
      </c>
      <c r="E3803">
        <v>11</v>
      </c>
      <c r="F3803">
        <v>124290</v>
      </c>
      <c r="G3803">
        <v>0.01</v>
      </c>
      <c r="H3803" t="s">
        <v>10</v>
      </c>
      <c r="I3803" t="s">
        <v>11</v>
      </c>
    </row>
    <row r="3804" spans="1:9" hidden="1" x14ac:dyDescent="0.25">
      <c r="A3804" t="s">
        <v>17</v>
      </c>
      <c r="B3804" t="s">
        <v>127</v>
      </c>
      <c r="C3804">
        <v>202208</v>
      </c>
      <c r="D3804" t="str">
        <f t="shared" si="59"/>
        <v>2022</v>
      </c>
      <c r="E3804">
        <v>5</v>
      </c>
      <c r="F3804">
        <v>124290</v>
      </c>
      <c r="G3804">
        <v>0</v>
      </c>
      <c r="H3804" t="s">
        <v>10</v>
      </c>
      <c r="I3804" t="s">
        <v>11</v>
      </c>
    </row>
    <row r="3805" spans="1:9" hidden="1" x14ac:dyDescent="0.25">
      <c r="A3805" t="s">
        <v>17</v>
      </c>
      <c r="B3805" t="s">
        <v>127</v>
      </c>
      <c r="C3805">
        <v>202209</v>
      </c>
      <c r="D3805" t="str">
        <f t="shared" si="59"/>
        <v>2022</v>
      </c>
      <c r="E3805">
        <v>25</v>
      </c>
      <c r="F3805">
        <v>124290</v>
      </c>
      <c r="G3805">
        <v>0.02</v>
      </c>
      <c r="H3805" t="s">
        <v>10</v>
      </c>
      <c r="I3805" t="s">
        <v>11</v>
      </c>
    </row>
    <row r="3806" spans="1:9" hidden="1" x14ac:dyDescent="0.25">
      <c r="A3806" t="s">
        <v>17</v>
      </c>
      <c r="B3806" t="s">
        <v>127</v>
      </c>
      <c r="C3806">
        <v>202210</v>
      </c>
      <c r="D3806" t="str">
        <f t="shared" si="59"/>
        <v>2022</v>
      </c>
      <c r="E3806">
        <v>34</v>
      </c>
      <c r="F3806">
        <v>124290</v>
      </c>
      <c r="G3806">
        <v>0.03</v>
      </c>
      <c r="H3806" t="s">
        <v>10</v>
      </c>
      <c r="I3806" t="s">
        <v>11</v>
      </c>
    </row>
    <row r="3807" spans="1:9" hidden="1" x14ac:dyDescent="0.25">
      <c r="A3807" t="s">
        <v>17</v>
      </c>
      <c r="B3807" t="s">
        <v>127</v>
      </c>
      <c r="C3807">
        <v>202211</v>
      </c>
      <c r="D3807" t="str">
        <f t="shared" si="59"/>
        <v>2022</v>
      </c>
      <c r="E3807">
        <v>89</v>
      </c>
      <c r="F3807">
        <v>124290</v>
      </c>
      <c r="G3807">
        <v>7.0000000000000007E-2</v>
      </c>
      <c r="H3807" t="s">
        <v>10</v>
      </c>
      <c r="I3807" t="s">
        <v>11</v>
      </c>
    </row>
    <row r="3808" spans="1:9" hidden="1" x14ac:dyDescent="0.25">
      <c r="A3808" t="s">
        <v>17</v>
      </c>
      <c r="B3808" t="s">
        <v>127</v>
      </c>
      <c r="C3808">
        <v>202212</v>
      </c>
      <c r="D3808" t="str">
        <f t="shared" si="59"/>
        <v>2022</v>
      </c>
      <c r="E3808">
        <v>26</v>
      </c>
      <c r="F3808">
        <v>124290</v>
      </c>
      <c r="G3808">
        <v>0.02</v>
      </c>
      <c r="H3808" t="s">
        <v>10</v>
      </c>
      <c r="I3808" t="s">
        <v>11</v>
      </c>
    </row>
    <row r="3809" spans="1:9" hidden="1" x14ac:dyDescent="0.25">
      <c r="A3809" t="s">
        <v>17</v>
      </c>
      <c r="B3809" t="s">
        <v>127</v>
      </c>
      <c r="C3809">
        <v>202301</v>
      </c>
      <c r="D3809" t="str">
        <f t="shared" si="59"/>
        <v>2023</v>
      </c>
      <c r="E3809">
        <v>256</v>
      </c>
      <c r="F3809">
        <v>124290</v>
      </c>
      <c r="G3809">
        <v>0.21</v>
      </c>
      <c r="H3809" t="s">
        <v>10</v>
      </c>
      <c r="I3809" t="s">
        <v>11</v>
      </c>
    </row>
    <row r="3810" spans="1:9" hidden="1" x14ac:dyDescent="0.25">
      <c r="A3810" t="s">
        <v>17</v>
      </c>
      <c r="B3810" t="s">
        <v>127</v>
      </c>
      <c r="C3810">
        <v>202302</v>
      </c>
      <c r="D3810" t="str">
        <f t="shared" si="59"/>
        <v>2023</v>
      </c>
      <c r="E3810">
        <v>215</v>
      </c>
      <c r="F3810">
        <v>124290</v>
      </c>
      <c r="G3810">
        <v>0.17</v>
      </c>
      <c r="H3810" t="s">
        <v>10</v>
      </c>
      <c r="I3810" t="s">
        <v>11</v>
      </c>
    </row>
    <row r="3811" spans="1:9" hidden="1" x14ac:dyDescent="0.25">
      <c r="A3811" t="s">
        <v>17</v>
      </c>
      <c r="B3811" t="s">
        <v>127</v>
      </c>
      <c r="C3811">
        <v>202303</v>
      </c>
      <c r="D3811" t="str">
        <f t="shared" si="59"/>
        <v>2023</v>
      </c>
      <c r="E3811">
        <v>408</v>
      </c>
      <c r="F3811">
        <v>124290</v>
      </c>
      <c r="G3811">
        <v>0.33</v>
      </c>
      <c r="H3811" t="s">
        <v>10</v>
      </c>
      <c r="I3811" t="s">
        <v>11</v>
      </c>
    </row>
    <row r="3812" spans="1:9" hidden="1" x14ac:dyDescent="0.25">
      <c r="A3812" t="s">
        <v>17</v>
      </c>
      <c r="B3812" t="s">
        <v>127</v>
      </c>
      <c r="C3812">
        <v>202304</v>
      </c>
      <c r="D3812" t="str">
        <f t="shared" si="59"/>
        <v>2023</v>
      </c>
      <c r="E3812">
        <v>800</v>
      </c>
      <c r="F3812">
        <v>124290</v>
      </c>
      <c r="G3812">
        <v>0.64</v>
      </c>
      <c r="H3812" t="s">
        <v>10</v>
      </c>
      <c r="I3812" t="s">
        <v>11</v>
      </c>
    </row>
    <row r="3813" spans="1:9" hidden="1" x14ac:dyDescent="0.25">
      <c r="A3813" t="s">
        <v>17</v>
      </c>
      <c r="B3813" t="s">
        <v>127</v>
      </c>
      <c r="C3813">
        <v>202305</v>
      </c>
      <c r="D3813" t="str">
        <f t="shared" si="59"/>
        <v>2023</v>
      </c>
      <c r="E3813">
        <v>817</v>
      </c>
      <c r="F3813">
        <v>124290</v>
      </c>
      <c r="G3813">
        <v>0.66</v>
      </c>
      <c r="H3813" t="s">
        <v>10</v>
      </c>
      <c r="I3813" t="s">
        <v>11</v>
      </c>
    </row>
    <row r="3814" spans="1:9" hidden="1" x14ac:dyDescent="0.25">
      <c r="A3814" t="s">
        <v>17</v>
      </c>
      <c r="B3814" t="s">
        <v>127</v>
      </c>
      <c r="C3814">
        <v>202306</v>
      </c>
      <c r="D3814" t="str">
        <f t="shared" si="59"/>
        <v>2023</v>
      </c>
      <c r="E3814">
        <v>657</v>
      </c>
      <c r="F3814">
        <v>124290</v>
      </c>
      <c r="G3814">
        <v>0.53</v>
      </c>
      <c r="H3814" t="s">
        <v>10</v>
      </c>
      <c r="I3814" t="s">
        <v>11</v>
      </c>
    </row>
    <row r="3815" spans="1:9" hidden="1" x14ac:dyDescent="0.25">
      <c r="A3815" t="s">
        <v>17</v>
      </c>
      <c r="B3815" t="s">
        <v>127</v>
      </c>
      <c r="C3815">
        <v>202307</v>
      </c>
      <c r="D3815" t="str">
        <f t="shared" si="59"/>
        <v>2023</v>
      </c>
      <c r="E3815">
        <v>663</v>
      </c>
      <c r="F3815">
        <v>124290</v>
      </c>
      <c r="G3815">
        <v>0.53</v>
      </c>
      <c r="H3815" t="s">
        <v>10</v>
      </c>
      <c r="I3815" t="s">
        <v>11</v>
      </c>
    </row>
    <row r="3816" spans="1:9" hidden="1" x14ac:dyDescent="0.25">
      <c r="A3816" t="s">
        <v>17</v>
      </c>
      <c r="B3816" t="s">
        <v>127</v>
      </c>
      <c r="C3816">
        <v>202308</v>
      </c>
      <c r="D3816" t="str">
        <f t="shared" si="59"/>
        <v>2023</v>
      </c>
      <c r="E3816">
        <v>811</v>
      </c>
      <c r="F3816">
        <v>124290</v>
      </c>
      <c r="G3816">
        <v>0.65</v>
      </c>
      <c r="H3816" t="s">
        <v>10</v>
      </c>
      <c r="I3816" t="s">
        <v>11</v>
      </c>
    </row>
    <row r="3817" spans="1:9" hidden="1" x14ac:dyDescent="0.25">
      <c r="A3817" t="s">
        <v>17</v>
      </c>
      <c r="B3817" t="s">
        <v>127</v>
      </c>
      <c r="C3817">
        <v>202309</v>
      </c>
      <c r="D3817" t="str">
        <f t="shared" si="59"/>
        <v>2023</v>
      </c>
      <c r="E3817">
        <v>1355</v>
      </c>
      <c r="F3817">
        <v>124290</v>
      </c>
      <c r="G3817">
        <v>1.0900000000000001</v>
      </c>
      <c r="H3817" t="s">
        <v>10</v>
      </c>
      <c r="I3817" t="s">
        <v>11</v>
      </c>
    </row>
    <row r="3818" spans="1:9" hidden="1" x14ac:dyDescent="0.25">
      <c r="A3818" t="s">
        <v>17</v>
      </c>
      <c r="B3818" t="s">
        <v>127</v>
      </c>
      <c r="C3818">
        <v>202310</v>
      </c>
      <c r="D3818" t="str">
        <f t="shared" si="59"/>
        <v>2023</v>
      </c>
      <c r="E3818">
        <v>1778</v>
      </c>
      <c r="F3818">
        <v>124290</v>
      </c>
      <c r="G3818">
        <v>1.43</v>
      </c>
      <c r="H3818" t="s">
        <v>10</v>
      </c>
      <c r="I3818" t="s">
        <v>11</v>
      </c>
    </row>
    <row r="3819" spans="1:9" hidden="1" x14ac:dyDescent="0.25">
      <c r="A3819" t="s">
        <v>17</v>
      </c>
      <c r="B3819" t="s">
        <v>127</v>
      </c>
      <c r="C3819">
        <v>202311</v>
      </c>
      <c r="D3819" t="str">
        <f t="shared" si="59"/>
        <v>2023</v>
      </c>
      <c r="E3819">
        <v>2155</v>
      </c>
      <c r="F3819">
        <v>124290</v>
      </c>
      <c r="G3819">
        <v>1.73</v>
      </c>
      <c r="H3819" t="s">
        <v>10</v>
      </c>
      <c r="I3819" t="s">
        <v>11</v>
      </c>
    </row>
    <row r="3820" spans="1:9" hidden="1" x14ac:dyDescent="0.25">
      <c r="A3820" t="s">
        <v>17</v>
      </c>
      <c r="B3820" t="s">
        <v>127</v>
      </c>
      <c r="C3820">
        <v>202312</v>
      </c>
      <c r="D3820" t="str">
        <f t="shared" si="59"/>
        <v>2023</v>
      </c>
      <c r="E3820">
        <v>1360</v>
      </c>
      <c r="F3820">
        <v>124290</v>
      </c>
      <c r="G3820">
        <v>1.0900000000000001</v>
      </c>
      <c r="H3820" t="s">
        <v>10</v>
      </c>
      <c r="I3820" t="s">
        <v>11</v>
      </c>
    </row>
    <row r="3821" spans="1:9" hidden="1" x14ac:dyDescent="0.25">
      <c r="A3821" t="s">
        <v>17</v>
      </c>
      <c r="B3821" t="s">
        <v>127</v>
      </c>
      <c r="C3821">
        <v>202401</v>
      </c>
      <c r="D3821" t="str">
        <f t="shared" si="59"/>
        <v>2024</v>
      </c>
      <c r="E3821">
        <v>1110</v>
      </c>
      <c r="F3821">
        <v>124290</v>
      </c>
      <c r="G3821">
        <v>0.89</v>
      </c>
      <c r="H3821" t="s">
        <v>10</v>
      </c>
      <c r="I3821" t="s">
        <v>11</v>
      </c>
    </row>
    <row r="3822" spans="1:9" hidden="1" x14ac:dyDescent="0.25">
      <c r="A3822" t="s">
        <v>17</v>
      </c>
      <c r="B3822" t="s">
        <v>127</v>
      </c>
      <c r="C3822">
        <v>202402</v>
      </c>
      <c r="D3822" t="str">
        <f t="shared" si="59"/>
        <v>2024</v>
      </c>
      <c r="E3822">
        <v>1371</v>
      </c>
      <c r="F3822">
        <v>124290</v>
      </c>
      <c r="G3822">
        <v>1.1000000000000001</v>
      </c>
      <c r="H3822" t="s">
        <v>10</v>
      </c>
      <c r="I3822" t="s">
        <v>11</v>
      </c>
    </row>
    <row r="3823" spans="1:9" hidden="1" x14ac:dyDescent="0.25">
      <c r="A3823" t="s">
        <v>17</v>
      </c>
      <c r="B3823" t="s">
        <v>127</v>
      </c>
      <c r="C3823">
        <v>202403</v>
      </c>
      <c r="D3823" t="str">
        <f t="shared" si="59"/>
        <v>2024</v>
      </c>
      <c r="E3823">
        <v>1268</v>
      </c>
      <c r="F3823">
        <v>124290</v>
      </c>
      <c r="G3823">
        <v>1.02</v>
      </c>
      <c r="H3823" t="s">
        <v>10</v>
      </c>
      <c r="I3823" t="s">
        <v>11</v>
      </c>
    </row>
    <row r="3824" spans="1:9" hidden="1" x14ac:dyDescent="0.25">
      <c r="A3824" t="s">
        <v>17</v>
      </c>
      <c r="B3824" t="s">
        <v>127</v>
      </c>
      <c r="C3824">
        <v>202404</v>
      </c>
      <c r="D3824" t="str">
        <f t="shared" si="59"/>
        <v>2024</v>
      </c>
      <c r="E3824">
        <v>1406</v>
      </c>
      <c r="F3824">
        <v>124290</v>
      </c>
      <c r="G3824">
        <v>1.1299999999999999</v>
      </c>
      <c r="H3824" t="s">
        <v>10</v>
      </c>
      <c r="I3824" t="s">
        <v>11</v>
      </c>
    </row>
    <row r="3825" spans="1:9" hidden="1" x14ac:dyDescent="0.25">
      <c r="A3825" t="s">
        <v>17</v>
      </c>
      <c r="B3825" t="s">
        <v>127</v>
      </c>
      <c r="C3825">
        <v>202405</v>
      </c>
      <c r="D3825" t="str">
        <f t="shared" si="59"/>
        <v>2024</v>
      </c>
      <c r="E3825">
        <v>1873</v>
      </c>
      <c r="F3825">
        <v>124290</v>
      </c>
      <c r="G3825">
        <v>1.51</v>
      </c>
      <c r="H3825" t="s">
        <v>10</v>
      </c>
      <c r="I3825" t="s">
        <v>11</v>
      </c>
    </row>
    <row r="3826" spans="1:9" hidden="1" x14ac:dyDescent="0.25">
      <c r="A3826" t="s">
        <v>17</v>
      </c>
      <c r="B3826" t="s">
        <v>127</v>
      </c>
      <c r="C3826">
        <v>202406</v>
      </c>
      <c r="D3826" t="str">
        <f t="shared" si="59"/>
        <v>2024</v>
      </c>
      <c r="E3826">
        <v>3564</v>
      </c>
      <c r="F3826">
        <v>124290</v>
      </c>
      <c r="G3826">
        <v>2.87</v>
      </c>
      <c r="H3826" t="s">
        <v>10</v>
      </c>
      <c r="I3826" t="s">
        <v>11</v>
      </c>
    </row>
    <row r="3827" spans="1:9" hidden="1" x14ac:dyDescent="0.25">
      <c r="A3827" t="s">
        <v>17</v>
      </c>
      <c r="B3827" t="s">
        <v>127</v>
      </c>
      <c r="C3827">
        <v>202407</v>
      </c>
      <c r="D3827" t="str">
        <f t="shared" si="59"/>
        <v>2024</v>
      </c>
      <c r="E3827">
        <v>8882</v>
      </c>
      <c r="F3827">
        <v>124290</v>
      </c>
      <c r="G3827">
        <v>7.15</v>
      </c>
      <c r="H3827" t="s">
        <v>10</v>
      </c>
      <c r="I3827" t="s">
        <v>11</v>
      </c>
    </row>
    <row r="3828" spans="1:9" hidden="1" x14ac:dyDescent="0.25">
      <c r="A3828" t="s">
        <v>17</v>
      </c>
      <c r="B3828" t="s">
        <v>127</v>
      </c>
      <c r="C3828">
        <v>202408</v>
      </c>
      <c r="D3828" t="str">
        <f t="shared" si="59"/>
        <v>2024</v>
      </c>
      <c r="E3828">
        <v>60619</v>
      </c>
      <c r="F3828">
        <v>124290</v>
      </c>
      <c r="G3828">
        <v>48.77</v>
      </c>
      <c r="H3828" t="s">
        <v>10</v>
      </c>
      <c r="I3828" t="s">
        <v>11</v>
      </c>
    </row>
    <row r="3829" spans="1:9" hidden="1" x14ac:dyDescent="0.25">
      <c r="A3829" t="s">
        <v>17</v>
      </c>
      <c r="B3829" t="s">
        <v>127</v>
      </c>
      <c r="C3829">
        <v>202409</v>
      </c>
      <c r="D3829" t="str">
        <f t="shared" si="59"/>
        <v>2024</v>
      </c>
      <c r="E3829">
        <v>32547</v>
      </c>
      <c r="F3829">
        <v>124290</v>
      </c>
      <c r="G3829">
        <v>26.19</v>
      </c>
      <c r="H3829" t="s">
        <v>10</v>
      </c>
      <c r="I3829" t="s">
        <v>11</v>
      </c>
    </row>
    <row r="3830" spans="1:9" hidden="1" x14ac:dyDescent="0.25">
      <c r="A3830" t="s">
        <v>17</v>
      </c>
      <c r="B3830" t="s">
        <v>124</v>
      </c>
      <c r="C3830">
        <v>201901</v>
      </c>
      <c r="D3830" t="str">
        <f t="shared" si="59"/>
        <v>2019</v>
      </c>
      <c r="E3830">
        <v>11</v>
      </c>
      <c r="F3830">
        <v>187669</v>
      </c>
      <c r="G3830">
        <v>0.01</v>
      </c>
      <c r="H3830" t="s">
        <v>10</v>
      </c>
      <c r="I3830" t="s">
        <v>11</v>
      </c>
    </row>
    <row r="3831" spans="1:9" hidden="1" x14ac:dyDescent="0.25">
      <c r="A3831" t="s">
        <v>17</v>
      </c>
      <c r="B3831" t="s">
        <v>124</v>
      </c>
      <c r="C3831">
        <v>201902</v>
      </c>
      <c r="D3831" t="str">
        <f t="shared" si="59"/>
        <v>2019</v>
      </c>
      <c r="E3831">
        <v>12</v>
      </c>
      <c r="F3831">
        <v>187669</v>
      </c>
      <c r="G3831">
        <v>0.01</v>
      </c>
      <c r="H3831" t="s">
        <v>10</v>
      </c>
      <c r="I3831" t="s">
        <v>11</v>
      </c>
    </row>
    <row r="3832" spans="1:9" hidden="1" x14ac:dyDescent="0.25">
      <c r="A3832" t="s">
        <v>17</v>
      </c>
      <c r="B3832" t="s">
        <v>124</v>
      </c>
      <c r="C3832">
        <v>201906</v>
      </c>
      <c r="D3832" t="str">
        <f t="shared" si="59"/>
        <v>2019</v>
      </c>
      <c r="E3832">
        <v>4</v>
      </c>
      <c r="F3832">
        <v>187669</v>
      </c>
      <c r="G3832">
        <v>0</v>
      </c>
      <c r="H3832" t="s">
        <v>10</v>
      </c>
      <c r="I3832" t="s">
        <v>11</v>
      </c>
    </row>
    <row r="3833" spans="1:9" hidden="1" x14ac:dyDescent="0.25">
      <c r="A3833" t="s">
        <v>17</v>
      </c>
      <c r="B3833" t="s">
        <v>124</v>
      </c>
      <c r="C3833">
        <v>202004</v>
      </c>
      <c r="D3833" t="str">
        <f t="shared" si="59"/>
        <v>2020</v>
      </c>
      <c r="E3833">
        <v>3</v>
      </c>
      <c r="F3833">
        <v>187669</v>
      </c>
      <c r="G3833">
        <v>0</v>
      </c>
      <c r="H3833" t="s">
        <v>10</v>
      </c>
      <c r="I3833" t="s">
        <v>11</v>
      </c>
    </row>
    <row r="3834" spans="1:9" hidden="1" x14ac:dyDescent="0.25">
      <c r="A3834" t="s">
        <v>17</v>
      </c>
      <c r="B3834" t="s">
        <v>124</v>
      </c>
      <c r="C3834">
        <v>202005</v>
      </c>
      <c r="D3834" t="str">
        <f t="shared" si="59"/>
        <v>2020</v>
      </c>
      <c r="E3834">
        <v>1</v>
      </c>
      <c r="F3834">
        <v>187669</v>
      </c>
      <c r="G3834">
        <v>0</v>
      </c>
      <c r="H3834" t="s">
        <v>10</v>
      </c>
      <c r="I3834" t="s">
        <v>11</v>
      </c>
    </row>
    <row r="3835" spans="1:9" hidden="1" x14ac:dyDescent="0.25">
      <c r="A3835" t="s">
        <v>17</v>
      </c>
      <c r="B3835" t="s">
        <v>124</v>
      </c>
      <c r="C3835">
        <v>202010</v>
      </c>
      <c r="D3835" t="str">
        <f t="shared" si="59"/>
        <v>2020</v>
      </c>
      <c r="E3835">
        <v>1</v>
      </c>
      <c r="F3835">
        <v>187669</v>
      </c>
      <c r="G3835">
        <v>0</v>
      </c>
      <c r="H3835" t="s">
        <v>10</v>
      </c>
      <c r="I3835" t="s">
        <v>11</v>
      </c>
    </row>
    <row r="3836" spans="1:9" hidden="1" x14ac:dyDescent="0.25">
      <c r="A3836" t="s">
        <v>17</v>
      </c>
      <c r="B3836" t="s">
        <v>124</v>
      </c>
      <c r="C3836">
        <v>202101</v>
      </c>
      <c r="D3836" t="str">
        <f t="shared" si="59"/>
        <v>2021</v>
      </c>
      <c r="E3836">
        <v>3</v>
      </c>
      <c r="F3836">
        <v>187669</v>
      </c>
      <c r="G3836">
        <v>0</v>
      </c>
      <c r="H3836" t="s">
        <v>10</v>
      </c>
      <c r="I3836" t="s">
        <v>11</v>
      </c>
    </row>
    <row r="3837" spans="1:9" hidden="1" x14ac:dyDescent="0.25">
      <c r="A3837" t="s">
        <v>17</v>
      </c>
      <c r="B3837" t="s">
        <v>124</v>
      </c>
      <c r="C3837">
        <v>202102</v>
      </c>
      <c r="D3837" t="str">
        <f t="shared" si="59"/>
        <v>2021</v>
      </c>
      <c r="E3837">
        <v>7</v>
      </c>
      <c r="F3837">
        <v>187669</v>
      </c>
      <c r="G3837">
        <v>0</v>
      </c>
      <c r="H3837" t="s">
        <v>10</v>
      </c>
      <c r="I3837" t="s">
        <v>11</v>
      </c>
    </row>
    <row r="3838" spans="1:9" hidden="1" x14ac:dyDescent="0.25">
      <c r="A3838" t="s">
        <v>17</v>
      </c>
      <c r="B3838" t="s">
        <v>124</v>
      </c>
      <c r="C3838">
        <v>202103</v>
      </c>
      <c r="D3838" t="str">
        <f t="shared" si="59"/>
        <v>2021</v>
      </c>
      <c r="E3838">
        <v>3</v>
      </c>
      <c r="F3838">
        <v>187669</v>
      </c>
      <c r="G3838">
        <v>0</v>
      </c>
      <c r="H3838" t="s">
        <v>10</v>
      </c>
      <c r="I3838" t="s">
        <v>11</v>
      </c>
    </row>
    <row r="3839" spans="1:9" hidden="1" x14ac:dyDescent="0.25">
      <c r="A3839" t="s">
        <v>17</v>
      </c>
      <c r="B3839" t="s">
        <v>124</v>
      </c>
      <c r="C3839">
        <v>202104</v>
      </c>
      <c r="D3839" t="str">
        <f t="shared" si="59"/>
        <v>2021</v>
      </c>
      <c r="E3839">
        <v>3</v>
      </c>
      <c r="F3839">
        <v>187669</v>
      </c>
      <c r="G3839">
        <v>0</v>
      </c>
      <c r="H3839" t="s">
        <v>10</v>
      </c>
      <c r="I3839" t="s">
        <v>11</v>
      </c>
    </row>
    <row r="3840" spans="1:9" hidden="1" x14ac:dyDescent="0.25">
      <c r="A3840" t="s">
        <v>17</v>
      </c>
      <c r="B3840" t="s">
        <v>124</v>
      </c>
      <c r="C3840">
        <v>202105</v>
      </c>
      <c r="D3840" t="str">
        <f t="shared" si="59"/>
        <v>2021</v>
      </c>
      <c r="E3840">
        <v>3</v>
      </c>
      <c r="F3840">
        <v>187669</v>
      </c>
      <c r="G3840">
        <v>0</v>
      </c>
      <c r="H3840" t="s">
        <v>10</v>
      </c>
      <c r="I3840" t="s">
        <v>11</v>
      </c>
    </row>
    <row r="3841" spans="1:9" hidden="1" x14ac:dyDescent="0.25">
      <c r="A3841" t="s">
        <v>17</v>
      </c>
      <c r="B3841" t="s">
        <v>124</v>
      </c>
      <c r="C3841">
        <v>202106</v>
      </c>
      <c r="D3841" t="str">
        <f t="shared" si="59"/>
        <v>2021</v>
      </c>
      <c r="E3841">
        <v>3</v>
      </c>
      <c r="F3841">
        <v>187669</v>
      </c>
      <c r="G3841">
        <v>0</v>
      </c>
      <c r="H3841" t="s">
        <v>10</v>
      </c>
      <c r="I3841" t="s">
        <v>11</v>
      </c>
    </row>
    <row r="3842" spans="1:9" hidden="1" x14ac:dyDescent="0.25">
      <c r="A3842" t="s">
        <v>17</v>
      </c>
      <c r="B3842" t="s">
        <v>124</v>
      </c>
      <c r="C3842">
        <v>202107</v>
      </c>
      <c r="D3842" t="str">
        <f t="shared" si="59"/>
        <v>2021</v>
      </c>
      <c r="E3842">
        <v>3</v>
      </c>
      <c r="F3842">
        <v>187669</v>
      </c>
      <c r="G3842">
        <v>0</v>
      </c>
      <c r="H3842" t="s">
        <v>10</v>
      </c>
      <c r="I3842" t="s">
        <v>11</v>
      </c>
    </row>
    <row r="3843" spans="1:9" hidden="1" x14ac:dyDescent="0.25">
      <c r="A3843" t="s">
        <v>17</v>
      </c>
      <c r="B3843" t="s">
        <v>124</v>
      </c>
      <c r="C3843">
        <v>202108</v>
      </c>
      <c r="D3843" t="str">
        <f t="shared" ref="D3843:D3906" si="60">LEFT(C3843,4)</f>
        <v>2021</v>
      </c>
      <c r="E3843">
        <v>3</v>
      </c>
      <c r="F3843">
        <v>187669</v>
      </c>
      <c r="G3843">
        <v>0</v>
      </c>
      <c r="H3843" t="s">
        <v>10</v>
      </c>
      <c r="I3843" t="s">
        <v>11</v>
      </c>
    </row>
    <row r="3844" spans="1:9" hidden="1" x14ac:dyDescent="0.25">
      <c r="A3844" t="s">
        <v>17</v>
      </c>
      <c r="B3844" t="s">
        <v>124</v>
      </c>
      <c r="C3844">
        <v>202109</v>
      </c>
      <c r="D3844" t="str">
        <f t="shared" si="60"/>
        <v>2021</v>
      </c>
      <c r="E3844">
        <v>3</v>
      </c>
      <c r="F3844">
        <v>187669</v>
      </c>
      <c r="G3844">
        <v>0</v>
      </c>
      <c r="H3844" t="s">
        <v>10</v>
      </c>
      <c r="I3844" t="s">
        <v>11</v>
      </c>
    </row>
    <row r="3845" spans="1:9" hidden="1" x14ac:dyDescent="0.25">
      <c r="A3845" t="s">
        <v>17</v>
      </c>
      <c r="B3845" t="s">
        <v>124</v>
      </c>
      <c r="C3845">
        <v>202110</v>
      </c>
      <c r="D3845" t="str">
        <f t="shared" si="60"/>
        <v>2021</v>
      </c>
      <c r="E3845">
        <v>6</v>
      </c>
      <c r="F3845">
        <v>187669</v>
      </c>
      <c r="G3845">
        <v>0</v>
      </c>
      <c r="H3845" t="s">
        <v>10</v>
      </c>
      <c r="I3845" t="s">
        <v>11</v>
      </c>
    </row>
    <row r="3846" spans="1:9" hidden="1" x14ac:dyDescent="0.25">
      <c r="A3846" t="s">
        <v>17</v>
      </c>
      <c r="B3846" t="s">
        <v>124</v>
      </c>
      <c r="C3846">
        <v>202111</v>
      </c>
      <c r="D3846" t="str">
        <f t="shared" si="60"/>
        <v>2021</v>
      </c>
      <c r="E3846">
        <v>9</v>
      </c>
      <c r="F3846">
        <v>187669</v>
      </c>
      <c r="G3846">
        <v>0</v>
      </c>
      <c r="H3846" t="s">
        <v>10</v>
      </c>
      <c r="I3846" t="s">
        <v>11</v>
      </c>
    </row>
    <row r="3847" spans="1:9" hidden="1" x14ac:dyDescent="0.25">
      <c r="A3847" t="s">
        <v>17</v>
      </c>
      <c r="B3847" t="s">
        <v>124</v>
      </c>
      <c r="C3847">
        <v>202112</v>
      </c>
      <c r="D3847" t="str">
        <f t="shared" si="60"/>
        <v>2021</v>
      </c>
      <c r="E3847">
        <v>3</v>
      </c>
      <c r="F3847">
        <v>187669</v>
      </c>
      <c r="G3847">
        <v>0</v>
      </c>
      <c r="H3847" t="s">
        <v>10</v>
      </c>
      <c r="I3847" t="s">
        <v>11</v>
      </c>
    </row>
    <row r="3848" spans="1:9" hidden="1" x14ac:dyDescent="0.25">
      <c r="A3848" t="s">
        <v>17</v>
      </c>
      <c r="B3848" t="s">
        <v>124</v>
      </c>
      <c r="C3848">
        <v>202201</v>
      </c>
      <c r="D3848" t="str">
        <f t="shared" si="60"/>
        <v>2022</v>
      </c>
      <c r="E3848">
        <v>42</v>
      </c>
      <c r="F3848">
        <v>187669</v>
      </c>
      <c r="G3848">
        <v>0.02</v>
      </c>
      <c r="H3848" t="s">
        <v>10</v>
      </c>
      <c r="I3848" t="s">
        <v>11</v>
      </c>
    </row>
    <row r="3849" spans="1:9" hidden="1" x14ac:dyDescent="0.25">
      <c r="A3849" t="s">
        <v>17</v>
      </c>
      <c r="B3849" t="s">
        <v>124</v>
      </c>
      <c r="C3849">
        <v>202203</v>
      </c>
      <c r="D3849" t="str">
        <f t="shared" si="60"/>
        <v>2022</v>
      </c>
      <c r="E3849">
        <v>8</v>
      </c>
      <c r="F3849">
        <v>187669</v>
      </c>
      <c r="G3849">
        <v>0</v>
      </c>
      <c r="H3849" t="s">
        <v>10</v>
      </c>
      <c r="I3849" t="s">
        <v>11</v>
      </c>
    </row>
    <row r="3850" spans="1:9" hidden="1" x14ac:dyDescent="0.25">
      <c r="A3850" t="s">
        <v>17</v>
      </c>
      <c r="B3850" t="s">
        <v>124</v>
      </c>
      <c r="C3850">
        <v>202204</v>
      </c>
      <c r="D3850" t="str">
        <f t="shared" si="60"/>
        <v>2022</v>
      </c>
      <c r="E3850">
        <v>38</v>
      </c>
      <c r="F3850">
        <v>187669</v>
      </c>
      <c r="G3850">
        <v>0.02</v>
      </c>
      <c r="H3850" t="s">
        <v>10</v>
      </c>
      <c r="I3850" t="s">
        <v>11</v>
      </c>
    </row>
    <row r="3851" spans="1:9" hidden="1" x14ac:dyDescent="0.25">
      <c r="A3851" t="s">
        <v>17</v>
      </c>
      <c r="B3851" t="s">
        <v>124</v>
      </c>
      <c r="C3851">
        <v>202205</v>
      </c>
      <c r="D3851" t="str">
        <f t="shared" si="60"/>
        <v>2022</v>
      </c>
      <c r="E3851">
        <v>66</v>
      </c>
      <c r="F3851">
        <v>187669</v>
      </c>
      <c r="G3851">
        <v>0.04</v>
      </c>
      <c r="H3851" t="s">
        <v>10</v>
      </c>
      <c r="I3851" t="s">
        <v>11</v>
      </c>
    </row>
    <row r="3852" spans="1:9" hidden="1" x14ac:dyDescent="0.25">
      <c r="A3852" t="s">
        <v>17</v>
      </c>
      <c r="B3852" t="s">
        <v>124</v>
      </c>
      <c r="C3852">
        <v>202206</v>
      </c>
      <c r="D3852" t="str">
        <f t="shared" si="60"/>
        <v>2022</v>
      </c>
      <c r="E3852">
        <v>13</v>
      </c>
      <c r="F3852">
        <v>187669</v>
      </c>
      <c r="G3852">
        <v>0.01</v>
      </c>
      <c r="H3852" t="s">
        <v>10</v>
      </c>
      <c r="I3852" t="s">
        <v>11</v>
      </c>
    </row>
    <row r="3853" spans="1:9" hidden="1" x14ac:dyDescent="0.25">
      <c r="A3853" t="s">
        <v>17</v>
      </c>
      <c r="B3853" t="s">
        <v>124</v>
      </c>
      <c r="C3853">
        <v>202207</v>
      </c>
      <c r="D3853" t="str">
        <f t="shared" si="60"/>
        <v>2022</v>
      </c>
      <c r="E3853">
        <v>10</v>
      </c>
      <c r="F3853">
        <v>187669</v>
      </c>
      <c r="G3853">
        <v>0.01</v>
      </c>
      <c r="H3853" t="s">
        <v>10</v>
      </c>
      <c r="I3853" t="s">
        <v>11</v>
      </c>
    </row>
    <row r="3854" spans="1:9" hidden="1" x14ac:dyDescent="0.25">
      <c r="A3854" t="s">
        <v>17</v>
      </c>
      <c r="B3854" t="s">
        <v>124</v>
      </c>
      <c r="C3854">
        <v>202208</v>
      </c>
      <c r="D3854" t="str">
        <f t="shared" si="60"/>
        <v>2022</v>
      </c>
      <c r="E3854">
        <v>10</v>
      </c>
      <c r="F3854">
        <v>187669</v>
      </c>
      <c r="G3854">
        <v>0.01</v>
      </c>
      <c r="H3854" t="s">
        <v>10</v>
      </c>
      <c r="I3854" t="s">
        <v>11</v>
      </c>
    </row>
    <row r="3855" spans="1:9" hidden="1" x14ac:dyDescent="0.25">
      <c r="A3855" t="s">
        <v>17</v>
      </c>
      <c r="B3855" t="s">
        <v>124</v>
      </c>
      <c r="C3855">
        <v>202209</v>
      </c>
      <c r="D3855" t="str">
        <f t="shared" si="60"/>
        <v>2022</v>
      </c>
      <c r="E3855">
        <v>4</v>
      </c>
      <c r="F3855">
        <v>187669</v>
      </c>
      <c r="G3855">
        <v>0</v>
      </c>
      <c r="H3855" t="s">
        <v>10</v>
      </c>
      <c r="I3855" t="s">
        <v>11</v>
      </c>
    </row>
    <row r="3856" spans="1:9" hidden="1" x14ac:dyDescent="0.25">
      <c r="A3856" t="s">
        <v>17</v>
      </c>
      <c r="B3856" t="s">
        <v>124</v>
      </c>
      <c r="C3856">
        <v>202210</v>
      </c>
      <c r="D3856" t="str">
        <f t="shared" si="60"/>
        <v>2022</v>
      </c>
      <c r="E3856">
        <v>15</v>
      </c>
      <c r="F3856">
        <v>187669</v>
      </c>
      <c r="G3856">
        <v>0.01</v>
      </c>
      <c r="H3856" t="s">
        <v>10</v>
      </c>
      <c r="I3856" t="s">
        <v>11</v>
      </c>
    </row>
    <row r="3857" spans="1:9" hidden="1" x14ac:dyDescent="0.25">
      <c r="A3857" t="s">
        <v>17</v>
      </c>
      <c r="B3857" t="s">
        <v>124</v>
      </c>
      <c r="C3857">
        <v>202211</v>
      </c>
      <c r="D3857" t="str">
        <f t="shared" si="60"/>
        <v>2022</v>
      </c>
      <c r="E3857">
        <v>124</v>
      </c>
      <c r="F3857">
        <v>187669</v>
      </c>
      <c r="G3857">
        <v>7.0000000000000007E-2</v>
      </c>
      <c r="H3857" t="s">
        <v>10</v>
      </c>
      <c r="I3857" t="s">
        <v>11</v>
      </c>
    </row>
    <row r="3858" spans="1:9" hidden="1" x14ac:dyDescent="0.25">
      <c r="A3858" t="s">
        <v>17</v>
      </c>
      <c r="B3858" t="s">
        <v>124</v>
      </c>
      <c r="C3858">
        <v>202212</v>
      </c>
      <c r="D3858" t="str">
        <f t="shared" si="60"/>
        <v>2022</v>
      </c>
      <c r="E3858">
        <v>40</v>
      </c>
      <c r="F3858">
        <v>187669</v>
      </c>
      <c r="G3858">
        <v>0.02</v>
      </c>
      <c r="H3858" t="s">
        <v>10</v>
      </c>
      <c r="I3858" t="s">
        <v>11</v>
      </c>
    </row>
    <row r="3859" spans="1:9" hidden="1" x14ac:dyDescent="0.25">
      <c r="A3859" t="s">
        <v>17</v>
      </c>
      <c r="B3859" t="s">
        <v>124</v>
      </c>
      <c r="C3859">
        <v>202301</v>
      </c>
      <c r="D3859" t="str">
        <f t="shared" si="60"/>
        <v>2023</v>
      </c>
      <c r="E3859">
        <v>154</v>
      </c>
      <c r="F3859">
        <v>187669</v>
      </c>
      <c r="G3859">
        <v>0.08</v>
      </c>
      <c r="H3859" t="s">
        <v>10</v>
      </c>
      <c r="I3859" t="s">
        <v>11</v>
      </c>
    </row>
    <row r="3860" spans="1:9" hidden="1" x14ac:dyDescent="0.25">
      <c r="A3860" t="s">
        <v>17</v>
      </c>
      <c r="B3860" t="s">
        <v>124</v>
      </c>
      <c r="C3860">
        <v>202302</v>
      </c>
      <c r="D3860" t="str">
        <f t="shared" si="60"/>
        <v>2023</v>
      </c>
      <c r="E3860">
        <v>137</v>
      </c>
      <c r="F3860">
        <v>187669</v>
      </c>
      <c r="G3860">
        <v>7.0000000000000007E-2</v>
      </c>
      <c r="H3860" t="s">
        <v>10</v>
      </c>
      <c r="I3860" t="s">
        <v>11</v>
      </c>
    </row>
    <row r="3861" spans="1:9" hidden="1" x14ac:dyDescent="0.25">
      <c r="A3861" t="s">
        <v>17</v>
      </c>
      <c r="B3861" t="s">
        <v>124</v>
      </c>
      <c r="C3861">
        <v>202303</v>
      </c>
      <c r="D3861" t="str">
        <f t="shared" si="60"/>
        <v>2023</v>
      </c>
      <c r="E3861">
        <v>190</v>
      </c>
      <c r="F3861">
        <v>187669</v>
      </c>
      <c r="G3861">
        <v>0.1</v>
      </c>
      <c r="H3861" t="s">
        <v>10</v>
      </c>
      <c r="I3861" t="s">
        <v>11</v>
      </c>
    </row>
    <row r="3862" spans="1:9" hidden="1" x14ac:dyDescent="0.25">
      <c r="A3862" t="s">
        <v>17</v>
      </c>
      <c r="B3862" t="s">
        <v>124</v>
      </c>
      <c r="C3862">
        <v>202304</v>
      </c>
      <c r="D3862" t="str">
        <f t="shared" si="60"/>
        <v>2023</v>
      </c>
      <c r="E3862">
        <v>150</v>
      </c>
      <c r="F3862">
        <v>187669</v>
      </c>
      <c r="G3862">
        <v>0.08</v>
      </c>
      <c r="H3862" t="s">
        <v>10</v>
      </c>
      <c r="I3862" t="s">
        <v>11</v>
      </c>
    </row>
    <row r="3863" spans="1:9" hidden="1" x14ac:dyDescent="0.25">
      <c r="A3863" t="s">
        <v>17</v>
      </c>
      <c r="B3863" t="s">
        <v>124</v>
      </c>
      <c r="C3863">
        <v>202305</v>
      </c>
      <c r="D3863" t="str">
        <f t="shared" si="60"/>
        <v>2023</v>
      </c>
      <c r="E3863">
        <v>322</v>
      </c>
      <c r="F3863">
        <v>187669</v>
      </c>
      <c r="G3863">
        <v>0.17</v>
      </c>
      <c r="H3863" t="s">
        <v>10</v>
      </c>
      <c r="I3863" t="s">
        <v>11</v>
      </c>
    </row>
    <row r="3864" spans="1:9" hidden="1" x14ac:dyDescent="0.25">
      <c r="A3864" t="s">
        <v>17</v>
      </c>
      <c r="B3864" t="s">
        <v>124</v>
      </c>
      <c r="C3864">
        <v>202306</v>
      </c>
      <c r="D3864" t="str">
        <f t="shared" si="60"/>
        <v>2023</v>
      </c>
      <c r="E3864">
        <v>374</v>
      </c>
      <c r="F3864">
        <v>187669</v>
      </c>
      <c r="G3864">
        <v>0.2</v>
      </c>
      <c r="H3864" t="s">
        <v>10</v>
      </c>
      <c r="I3864" t="s">
        <v>11</v>
      </c>
    </row>
    <row r="3865" spans="1:9" hidden="1" x14ac:dyDescent="0.25">
      <c r="A3865" t="s">
        <v>17</v>
      </c>
      <c r="B3865" t="s">
        <v>124</v>
      </c>
      <c r="C3865">
        <v>202307</v>
      </c>
      <c r="D3865" t="str">
        <f t="shared" si="60"/>
        <v>2023</v>
      </c>
      <c r="E3865">
        <v>525</v>
      </c>
      <c r="F3865">
        <v>187669</v>
      </c>
      <c r="G3865">
        <v>0.28000000000000003</v>
      </c>
      <c r="H3865" t="s">
        <v>10</v>
      </c>
      <c r="I3865" t="s">
        <v>11</v>
      </c>
    </row>
    <row r="3866" spans="1:9" hidden="1" x14ac:dyDescent="0.25">
      <c r="A3866" t="s">
        <v>17</v>
      </c>
      <c r="B3866" t="s">
        <v>124</v>
      </c>
      <c r="C3866">
        <v>202308</v>
      </c>
      <c r="D3866" t="str">
        <f t="shared" si="60"/>
        <v>2023</v>
      </c>
      <c r="E3866">
        <v>835</v>
      </c>
      <c r="F3866">
        <v>187669</v>
      </c>
      <c r="G3866">
        <v>0.44</v>
      </c>
      <c r="H3866" t="s">
        <v>10</v>
      </c>
      <c r="I3866" t="s">
        <v>11</v>
      </c>
    </row>
    <row r="3867" spans="1:9" hidden="1" x14ac:dyDescent="0.25">
      <c r="A3867" t="s">
        <v>17</v>
      </c>
      <c r="B3867" t="s">
        <v>124</v>
      </c>
      <c r="C3867">
        <v>202309</v>
      </c>
      <c r="D3867" t="str">
        <f t="shared" si="60"/>
        <v>2023</v>
      </c>
      <c r="E3867">
        <v>1200</v>
      </c>
      <c r="F3867">
        <v>187669</v>
      </c>
      <c r="G3867">
        <v>0.64</v>
      </c>
      <c r="H3867" t="s">
        <v>10</v>
      </c>
      <c r="I3867" t="s">
        <v>11</v>
      </c>
    </row>
    <row r="3868" spans="1:9" hidden="1" x14ac:dyDescent="0.25">
      <c r="A3868" t="s">
        <v>17</v>
      </c>
      <c r="B3868" t="s">
        <v>124</v>
      </c>
      <c r="C3868">
        <v>202310</v>
      </c>
      <c r="D3868" t="str">
        <f t="shared" si="60"/>
        <v>2023</v>
      </c>
      <c r="E3868">
        <v>1627</v>
      </c>
      <c r="F3868">
        <v>187669</v>
      </c>
      <c r="G3868">
        <v>0.87</v>
      </c>
      <c r="H3868" t="s">
        <v>10</v>
      </c>
      <c r="I3868" t="s">
        <v>11</v>
      </c>
    </row>
    <row r="3869" spans="1:9" hidden="1" x14ac:dyDescent="0.25">
      <c r="A3869" t="s">
        <v>17</v>
      </c>
      <c r="B3869" t="s">
        <v>124</v>
      </c>
      <c r="C3869">
        <v>202311</v>
      </c>
      <c r="D3869" t="str">
        <f t="shared" si="60"/>
        <v>2023</v>
      </c>
      <c r="E3869">
        <v>969</v>
      </c>
      <c r="F3869">
        <v>187669</v>
      </c>
      <c r="G3869">
        <v>0.52</v>
      </c>
      <c r="H3869" t="s">
        <v>10</v>
      </c>
      <c r="I3869" t="s">
        <v>11</v>
      </c>
    </row>
    <row r="3870" spans="1:9" hidden="1" x14ac:dyDescent="0.25">
      <c r="A3870" t="s">
        <v>17</v>
      </c>
      <c r="B3870" t="s">
        <v>124</v>
      </c>
      <c r="C3870">
        <v>202312</v>
      </c>
      <c r="D3870" t="str">
        <f t="shared" si="60"/>
        <v>2023</v>
      </c>
      <c r="E3870">
        <v>1424</v>
      </c>
      <c r="F3870">
        <v>187669</v>
      </c>
      <c r="G3870">
        <v>0.76</v>
      </c>
      <c r="H3870" t="s">
        <v>10</v>
      </c>
      <c r="I3870" t="s">
        <v>11</v>
      </c>
    </row>
    <row r="3871" spans="1:9" hidden="1" x14ac:dyDescent="0.25">
      <c r="A3871" t="s">
        <v>17</v>
      </c>
      <c r="B3871" t="s">
        <v>124</v>
      </c>
      <c r="C3871">
        <v>202401</v>
      </c>
      <c r="D3871" t="str">
        <f t="shared" si="60"/>
        <v>2024</v>
      </c>
      <c r="E3871">
        <v>7718</v>
      </c>
      <c r="F3871">
        <v>187669</v>
      </c>
      <c r="G3871">
        <v>4.1100000000000003</v>
      </c>
      <c r="H3871" t="s">
        <v>10</v>
      </c>
      <c r="I3871" t="s">
        <v>11</v>
      </c>
    </row>
    <row r="3872" spans="1:9" hidden="1" x14ac:dyDescent="0.25">
      <c r="A3872" t="s">
        <v>17</v>
      </c>
      <c r="B3872" t="s">
        <v>124</v>
      </c>
      <c r="C3872">
        <v>202402</v>
      </c>
      <c r="D3872" t="str">
        <f t="shared" si="60"/>
        <v>2024</v>
      </c>
      <c r="E3872">
        <v>7832</v>
      </c>
      <c r="F3872">
        <v>187669</v>
      </c>
      <c r="G3872">
        <v>4.17</v>
      </c>
      <c r="H3872" t="s">
        <v>10</v>
      </c>
      <c r="I3872" t="s">
        <v>11</v>
      </c>
    </row>
    <row r="3873" spans="1:9" hidden="1" x14ac:dyDescent="0.25">
      <c r="A3873" t="s">
        <v>17</v>
      </c>
      <c r="B3873" t="s">
        <v>124</v>
      </c>
      <c r="C3873">
        <v>202403</v>
      </c>
      <c r="D3873" t="str">
        <f t="shared" si="60"/>
        <v>2024</v>
      </c>
      <c r="E3873">
        <v>5860</v>
      </c>
      <c r="F3873">
        <v>187669</v>
      </c>
      <c r="G3873">
        <v>3.12</v>
      </c>
      <c r="H3873" t="s">
        <v>10</v>
      </c>
      <c r="I3873" t="s">
        <v>11</v>
      </c>
    </row>
    <row r="3874" spans="1:9" hidden="1" x14ac:dyDescent="0.25">
      <c r="A3874" t="s">
        <v>17</v>
      </c>
      <c r="B3874" t="s">
        <v>124</v>
      </c>
      <c r="C3874">
        <v>202404</v>
      </c>
      <c r="D3874" t="str">
        <f t="shared" si="60"/>
        <v>2024</v>
      </c>
      <c r="E3874">
        <v>1653</v>
      </c>
      <c r="F3874">
        <v>187669</v>
      </c>
      <c r="G3874">
        <v>0.88</v>
      </c>
      <c r="H3874" t="s">
        <v>10</v>
      </c>
      <c r="I3874" t="s">
        <v>11</v>
      </c>
    </row>
    <row r="3875" spans="1:9" hidden="1" x14ac:dyDescent="0.25">
      <c r="A3875" t="s">
        <v>17</v>
      </c>
      <c r="B3875" t="s">
        <v>124</v>
      </c>
      <c r="C3875">
        <v>202405</v>
      </c>
      <c r="D3875" t="str">
        <f t="shared" si="60"/>
        <v>2024</v>
      </c>
      <c r="E3875">
        <v>1836</v>
      </c>
      <c r="F3875">
        <v>187669</v>
      </c>
      <c r="G3875">
        <v>0.98</v>
      </c>
      <c r="H3875" t="s">
        <v>10</v>
      </c>
      <c r="I3875" t="s">
        <v>11</v>
      </c>
    </row>
    <row r="3876" spans="1:9" hidden="1" x14ac:dyDescent="0.25">
      <c r="A3876" t="s">
        <v>17</v>
      </c>
      <c r="B3876" t="s">
        <v>124</v>
      </c>
      <c r="C3876">
        <v>202406</v>
      </c>
      <c r="D3876" t="str">
        <f t="shared" si="60"/>
        <v>2024</v>
      </c>
      <c r="E3876">
        <v>5253</v>
      </c>
      <c r="F3876">
        <v>187669</v>
      </c>
      <c r="G3876">
        <v>2.8</v>
      </c>
      <c r="H3876" t="s">
        <v>10</v>
      </c>
      <c r="I3876" t="s">
        <v>11</v>
      </c>
    </row>
    <row r="3877" spans="1:9" hidden="1" x14ac:dyDescent="0.25">
      <c r="A3877" t="s">
        <v>17</v>
      </c>
      <c r="B3877" t="s">
        <v>124</v>
      </c>
      <c r="C3877">
        <v>202407</v>
      </c>
      <c r="D3877" t="str">
        <f t="shared" si="60"/>
        <v>2024</v>
      </c>
      <c r="E3877">
        <v>7164</v>
      </c>
      <c r="F3877">
        <v>187669</v>
      </c>
      <c r="G3877">
        <v>3.82</v>
      </c>
      <c r="H3877" t="s">
        <v>10</v>
      </c>
      <c r="I3877" t="s">
        <v>11</v>
      </c>
    </row>
    <row r="3878" spans="1:9" hidden="1" x14ac:dyDescent="0.25">
      <c r="A3878" t="s">
        <v>17</v>
      </c>
      <c r="B3878" t="s">
        <v>124</v>
      </c>
      <c r="C3878">
        <v>202408</v>
      </c>
      <c r="D3878" t="str">
        <f t="shared" si="60"/>
        <v>2024</v>
      </c>
      <c r="E3878">
        <v>13480</v>
      </c>
      <c r="F3878">
        <v>187669</v>
      </c>
      <c r="G3878">
        <v>7.18</v>
      </c>
      <c r="H3878" t="s">
        <v>10</v>
      </c>
      <c r="I3878" t="s">
        <v>11</v>
      </c>
    </row>
    <row r="3879" spans="1:9" hidden="1" x14ac:dyDescent="0.25">
      <c r="A3879" t="s">
        <v>17</v>
      </c>
      <c r="B3879" t="s">
        <v>124</v>
      </c>
      <c r="C3879">
        <v>202409</v>
      </c>
      <c r="D3879" t="str">
        <f t="shared" si="60"/>
        <v>2024</v>
      </c>
      <c r="E3879">
        <v>72099</v>
      </c>
      <c r="F3879">
        <v>187669</v>
      </c>
      <c r="G3879">
        <v>38.42</v>
      </c>
      <c r="H3879" t="s">
        <v>10</v>
      </c>
      <c r="I3879" t="s">
        <v>11</v>
      </c>
    </row>
    <row r="3880" spans="1:9" hidden="1" x14ac:dyDescent="0.25">
      <c r="A3880" t="s">
        <v>17</v>
      </c>
      <c r="B3880" t="s">
        <v>124</v>
      </c>
      <c r="C3880">
        <v>202410</v>
      </c>
      <c r="D3880" t="str">
        <f t="shared" si="60"/>
        <v>2024</v>
      </c>
      <c r="E3880">
        <v>56416</v>
      </c>
      <c r="F3880">
        <v>187669</v>
      </c>
      <c r="G3880">
        <v>30.06</v>
      </c>
      <c r="H3880" t="s">
        <v>10</v>
      </c>
      <c r="I3880" t="s">
        <v>11</v>
      </c>
    </row>
    <row r="3881" spans="1:9" hidden="1" x14ac:dyDescent="0.25">
      <c r="A3881" t="s">
        <v>17</v>
      </c>
      <c r="B3881" t="s">
        <v>118</v>
      </c>
      <c r="C3881">
        <v>202004</v>
      </c>
      <c r="D3881" t="str">
        <f t="shared" si="60"/>
        <v>2020</v>
      </c>
      <c r="E3881">
        <v>29</v>
      </c>
      <c r="F3881">
        <v>168150</v>
      </c>
      <c r="G3881">
        <v>0.02</v>
      </c>
      <c r="H3881" t="s">
        <v>10</v>
      </c>
      <c r="I3881" t="s">
        <v>11</v>
      </c>
    </row>
    <row r="3882" spans="1:9" hidden="1" x14ac:dyDescent="0.25">
      <c r="A3882" t="s">
        <v>17</v>
      </c>
      <c r="B3882" t="s">
        <v>118</v>
      </c>
      <c r="C3882">
        <v>202005</v>
      </c>
      <c r="D3882" t="str">
        <f t="shared" si="60"/>
        <v>2020</v>
      </c>
      <c r="E3882">
        <v>415</v>
      </c>
      <c r="F3882">
        <v>168150</v>
      </c>
      <c r="G3882">
        <v>0.25</v>
      </c>
      <c r="H3882" t="s">
        <v>10</v>
      </c>
      <c r="I3882" t="s">
        <v>11</v>
      </c>
    </row>
    <row r="3883" spans="1:9" hidden="1" x14ac:dyDescent="0.25">
      <c r="A3883" t="s">
        <v>17</v>
      </c>
      <c r="B3883" t="s">
        <v>118</v>
      </c>
      <c r="C3883">
        <v>202101</v>
      </c>
      <c r="D3883" t="str">
        <f t="shared" si="60"/>
        <v>2021</v>
      </c>
      <c r="E3883">
        <v>1</v>
      </c>
      <c r="F3883">
        <v>168150</v>
      </c>
      <c r="G3883">
        <v>0</v>
      </c>
      <c r="H3883" t="s">
        <v>10</v>
      </c>
      <c r="I3883" t="s">
        <v>11</v>
      </c>
    </row>
    <row r="3884" spans="1:9" hidden="1" x14ac:dyDescent="0.25">
      <c r="A3884" t="s">
        <v>17</v>
      </c>
      <c r="B3884" t="s">
        <v>118</v>
      </c>
      <c r="C3884">
        <v>202102</v>
      </c>
      <c r="D3884" t="str">
        <f t="shared" si="60"/>
        <v>2021</v>
      </c>
      <c r="E3884">
        <v>12</v>
      </c>
      <c r="F3884">
        <v>168150</v>
      </c>
      <c r="G3884">
        <v>0.01</v>
      </c>
      <c r="H3884" t="s">
        <v>10</v>
      </c>
      <c r="I3884" t="s">
        <v>11</v>
      </c>
    </row>
    <row r="3885" spans="1:9" hidden="1" x14ac:dyDescent="0.25">
      <c r="A3885" t="s">
        <v>17</v>
      </c>
      <c r="B3885" t="s">
        <v>118</v>
      </c>
      <c r="C3885">
        <v>202103</v>
      </c>
      <c r="D3885" t="str">
        <f t="shared" si="60"/>
        <v>2021</v>
      </c>
      <c r="E3885">
        <v>8</v>
      </c>
      <c r="F3885">
        <v>168150</v>
      </c>
      <c r="G3885">
        <v>0</v>
      </c>
      <c r="H3885" t="s">
        <v>10</v>
      </c>
      <c r="I3885" t="s">
        <v>11</v>
      </c>
    </row>
    <row r="3886" spans="1:9" hidden="1" x14ac:dyDescent="0.25">
      <c r="A3886" t="s">
        <v>17</v>
      </c>
      <c r="B3886" t="s">
        <v>118</v>
      </c>
      <c r="C3886">
        <v>202104</v>
      </c>
      <c r="D3886" t="str">
        <f t="shared" si="60"/>
        <v>2021</v>
      </c>
      <c r="E3886">
        <v>7</v>
      </c>
      <c r="F3886">
        <v>168150</v>
      </c>
      <c r="G3886">
        <v>0</v>
      </c>
      <c r="H3886" t="s">
        <v>10</v>
      </c>
      <c r="I3886" t="s">
        <v>11</v>
      </c>
    </row>
    <row r="3887" spans="1:9" hidden="1" x14ac:dyDescent="0.25">
      <c r="A3887" t="s">
        <v>17</v>
      </c>
      <c r="B3887" t="s">
        <v>118</v>
      </c>
      <c r="C3887">
        <v>202106</v>
      </c>
      <c r="D3887" t="str">
        <f t="shared" si="60"/>
        <v>2021</v>
      </c>
      <c r="E3887">
        <v>4</v>
      </c>
      <c r="F3887">
        <v>168150</v>
      </c>
      <c r="G3887">
        <v>0</v>
      </c>
      <c r="H3887" t="s">
        <v>10</v>
      </c>
      <c r="I3887" t="s">
        <v>11</v>
      </c>
    </row>
    <row r="3888" spans="1:9" hidden="1" x14ac:dyDescent="0.25">
      <c r="A3888" t="s">
        <v>17</v>
      </c>
      <c r="B3888" t="s">
        <v>118</v>
      </c>
      <c r="C3888">
        <v>202107</v>
      </c>
      <c r="D3888" t="str">
        <f t="shared" si="60"/>
        <v>2021</v>
      </c>
      <c r="E3888">
        <v>11</v>
      </c>
      <c r="F3888">
        <v>168150</v>
      </c>
      <c r="G3888">
        <v>0.01</v>
      </c>
      <c r="H3888" t="s">
        <v>10</v>
      </c>
      <c r="I3888" t="s">
        <v>11</v>
      </c>
    </row>
    <row r="3889" spans="1:9" hidden="1" x14ac:dyDescent="0.25">
      <c r="A3889" t="s">
        <v>17</v>
      </c>
      <c r="B3889" t="s">
        <v>118</v>
      </c>
      <c r="C3889">
        <v>202108</v>
      </c>
      <c r="D3889" t="str">
        <f t="shared" si="60"/>
        <v>2021</v>
      </c>
      <c r="E3889">
        <v>1</v>
      </c>
      <c r="F3889">
        <v>168150</v>
      </c>
      <c r="G3889">
        <v>0</v>
      </c>
      <c r="H3889" t="s">
        <v>10</v>
      </c>
      <c r="I3889" t="s">
        <v>11</v>
      </c>
    </row>
    <row r="3890" spans="1:9" hidden="1" x14ac:dyDescent="0.25">
      <c r="A3890" t="s">
        <v>17</v>
      </c>
      <c r="B3890" t="s">
        <v>118</v>
      </c>
      <c r="C3890">
        <v>202109</v>
      </c>
      <c r="D3890" t="str">
        <f t="shared" si="60"/>
        <v>2021</v>
      </c>
      <c r="E3890">
        <v>14</v>
      </c>
      <c r="F3890">
        <v>168150</v>
      </c>
      <c r="G3890">
        <v>0.01</v>
      </c>
      <c r="H3890" t="s">
        <v>10</v>
      </c>
      <c r="I3890" t="s">
        <v>11</v>
      </c>
    </row>
    <row r="3891" spans="1:9" hidden="1" x14ac:dyDescent="0.25">
      <c r="A3891" t="s">
        <v>17</v>
      </c>
      <c r="B3891" t="s">
        <v>118</v>
      </c>
      <c r="C3891">
        <v>202110</v>
      </c>
      <c r="D3891" t="str">
        <f t="shared" si="60"/>
        <v>2021</v>
      </c>
      <c r="E3891">
        <v>16</v>
      </c>
      <c r="F3891">
        <v>168150</v>
      </c>
      <c r="G3891">
        <v>0.01</v>
      </c>
      <c r="H3891" t="s">
        <v>10</v>
      </c>
      <c r="I3891" t="s">
        <v>11</v>
      </c>
    </row>
    <row r="3892" spans="1:9" hidden="1" x14ac:dyDescent="0.25">
      <c r="A3892" t="s">
        <v>17</v>
      </c>
      <c r="B3892" t="s">
        <v>118</v>
      </c>
      <c r="C3892">
        <v>202111</v>
      </c>
      <c r="D3892" t="str">
        <f t="shared" si="60"/>
        <v>2021</v>
      </c>
      <c r="E3892">
        <v>25</v>
      </c>
      <c r="F3892">
        <v>168150</v>
      </c>
      <c r="G3892">
        <v>0.01</v>
      </c>
      <c r="H3892" t="s">
        <v>10</v>
      </c>
      <c r="I3892" t="s">
        <v>11</v>
      </c>
    </row>
    <row r="3893" spans="1:9" hidden="1" x14ac:dyDescent="0.25">
      <c r="A3893" t="s">
        <v>17</v>
      </c>
      <c r="B3893" t="s">
        <v>118</v>
      </c>
      <c r="C3893">
        <v>202203</v>
      </c>
      <c r="D3893" t="str">
        <f t="shared" si="60"/>
        <v>2022</v>
      </c>
      <c r="E3893">
        <v>3</v>
      </c>
      <c r="F3893">
        <v>168150</v>
      </c>
      <c r="G3893">
        <v>0</v>
      </c>
      <c r="H3893" t="s">
        <v>10</v>
      </c>
      <c r="I3893" t="s">
        <v>11</v>
      </c>
    </row>
    <row r="3894" spans="1:9" hidden="1" x14ac:dyDescent="0.25">
      <c r="A3894" t="s">
        <v>17</v>
      </c>
      <c r="B3894" t="s">
        <v>118</v>
      </c>
      <c r="C3894">
        <v>202204</v>
      </c>
      <c r="D3894" t="str">
        <f t="shared" si="60"/>
        <v>2022</v>
      </c>
      <c r="E3894">
        <v>9</v>
      </c>
      <c r="F3894">
        <v>168150</v>
      </c>
      <c r="G3894">
        <v>0.01</v>
      </c>
      <c r="H3894" t="s">
        <v>10</v>
      </c>
      <c r="I3894" t="s">
        <v>11</v>
      </c>
    </row>
    <row r="3895" spans="1:9" hidden="1" x14ac:dyDescent="0.25">
      <c r="A3895" t="s">
        <v>17</v>
      </c>
      <c r="B3895" t="s">
        <v>118</v>
      </c>
      <c r="C3895">
        <v>202205</v>
      </c>
      <c r="D3895" t="str">
        <f t="shared" si="60"/>
        <v>2022</v>
      </c>
      <c r="E3895">
        <v>22</v>
      </c>
      <c r="F3895">
        <v>168150</v>
      </c>
      <c r="G3895">
        <v>0.01</v>
      </c>
      <c r="H3895" t="s">
        <v>10</v>
      </c>
      <c r="I3895" t="s">
        <v>11</v>
      </c>
    </row>
    <row r="3896" spans="1:9" hidden="1" x14ac:dyDescent="0.25">
      <c r="A3896" t="s">
        <v>17</v>
      </c>
      <c r="B3896" t="s">
        <v>118</v>
      </c>
      <c r="C3896">
        <v>202206</v>
      </c>
      <c r="D3896" t="str">
        <f t="shared" si="60"/>
        <v>2022</v>
      </c>
      <c r="E3896">
        <v>21</v>
      </c>
      <c r="F3896">
        <v>168150</v>
      </c>
      <c r="G3896">
        <v>0.01</v>
      </c>
      <c r="H3896" t="s">
        <v>10</v>
      </c>
      <c r="I3896" t="s">
        <v>11</v>
      </c>
    </row>
    <row r="3897" spans="1:9" hidden="1" x14ac:dyDescent="0.25">
      <c r="A3897" t="s">
        <v>17</v>
      </c>
      <c r="B3897" t="s">
        <v>118</v>
      </c>
      <c r="C3897">
        <v>202207</v>
      </c>
      <c r="D3897" t="str">
        <f t="shared" si="60"/>
        <v>2022</v>
      </c>
      <c r="E3897">
        <v>24</v>
      </c>
      <c r="F3897">
        <v>168150</v>
      </c>
      <c r="G3897">
        <v>0.01</v>
      </c>
      <c r="H3897" t="s">
        <v>10</v>
      </c>
      <c r="I3897" t="s">
        <v>11</v>
      </c>
    </row>
    <row r="3898" spans="1:9" hidden="1" x14ac:dyDescent="0.25">
      <c r="A3898" t="s">
        <v>17</v>
      </c>
      <c r="B3898" t="s">
        <v>118</v>
      </c>
      <c r="C3898">
        <v>202208</v>
      </c>
      <c r="D3898" t="str">
        <f t="shared" si="60"/>
        <v>2022</v>
      </c>
      <c r="E3898">
        <v>11</v>
      </c>
      <c r="F3898">
        <v>168150</v>
      </c>
      <c r="G3898">
        <v>0.01</v>
      </c>
      <c r="H3898" t="s">
        <v>10</v>
      </c>
      <c r="I3898" t="s">
        <v>11</v>
      </c>
    </row>
    <row r="3899" spans="1:9" hidden="1" x14ac:dyDescent="0.25">
      <c r="A3899" t="s">
        <v>17</v>
      </c>
      <c r="B3899" t="s">
        <v>118</v>
      </c>
      <c r="C3899">
        <v>202209</v>
      </c>
      <c r="D3899" t="str">
        <f t="shared" si="60"/>
        <v>2022</v>
      </c>
      <c r="E3899">
        <v>22</v>
      </c>
      <c r="F3899">
        <v>168150</v>
      </c>
      <c r="G3899">
        <v>0.01</v>
      </c>
      <c r="H3899" t="s">
        <v>10</v>
      </c>
      <c r="I3899" t="s">
        <v>11</v>
      </c>
    </row>
    <row r="3900" spans="1:9" hidden="1" x14ac:dyDescent="0.25">
      <c r="A3900" t="s">
        <v>17</v>
      </c>
      <c r="B3900" t="s">
        <v>118</v>
      </c>
      <c r="C3900">
        <v>202210</v>
      </c>
      <c r="D3900" t="str">
        <f t="shared" si="60"/>
        <v>2022</v>
      </c>
      <c r="E3900">
        <v>59</v>
      </c>
      <c r="F3900">
        <v>168150</v>
      </c>
      <c r="G3900">
        <v>0.04</v>
      </c>
      <c r="H3900" t="s">
        <v>10</v>
      </c>
      <c r="I3900" t="s">
        <v>11</v>
      </c>
    </row>
    <row r="3901" spans="1:9" hidden="1" x14ac:dyDescent="0.25">
      <c r="A3901" t="s">
        <v>17</v>
      </c>
      <c r="B3901" t="s">
        <v>118</v>
      </c>
      <c r="C3901">
        <v>202211</v>
      </c>
      <c r="D3901" t="str">
        <f t="shared" si="60"/>
        <v>2022</v>
      </c>
      <c r="E3901">
        <v>168</v>
      </c>
      <c r="F3901">
        <v>168150</v>
      </c>
      <c r="G3901">
        <v>0.1</v>
      </c>
      <c r="H3901" t="s">
        <v>10</v>
      </c>
      <c r="I3901" t="s">
        <v>11</v>
      </c>
    </row>
    <row r="3902" spans="1:9" hidden="1" x14ac:dyDescent="0.25">
      <c r="A3902" t="s">
        <v>17</v>
      </c>
      <c r="B3902" t="s">
        <v>118</v>
      </c>
      <c r="C3902">
        <v>202212</v>
      </c>
      <c r="D3902" t="str">
        <f t="shared" si="60"/>
        <v>2022</v>
      </c>
      <c r="E3902">
        <v>109</v>
      </c>
      <c r="F3902">
        <v>168150</v>
      </c>
      <c r="G3902">
        <v>0.06</v>
      </c>
      <c r="H3902" t="s">
        <v>10</v>
      </c>
      <c r="I3902" t="s">
        <v>11</v>
      </c>
    </row>
    <row r="3903" spans="1:9" hidden="1" x14ac:dyDescent="0.25">
      <c r="A3903" t="s">
        <v>17</v>
      </c>
      <c r="B3903" t="s">
        <v>118</v>
      </c>
      <c r="C3903">
        <v>202301</v>
      </c>
      <c r="D3903" t="str">
        <f t="shared" si="60"/>
        <v>2023</v>
      </c>
      <c r="E3903">
        <v>1356</v>
      </c>
      <c r="F3903">
        <v>168150</v>
      </c>
      <c r="G3903">
        <v>0.81</v>
      </c>
      <c r="H3903" t="s">
        <v>10</v>
      </c>
      <c r="I3903" t="s">
        <v>11</v>
      </c>
    </row>
    <row r="3904" spans="1:9" hidden="1" x14ac:dyDescent="0.25">
      <c r="A3904" t="s">
        <v>17</v>
      </c>
      <c r="B3904" t="s">
        <v>118</v>
      </c>
      <c r="C3904">
        <v>202302</v>
      </c>
      <c r="D3904" t="str">
        <f t="shared" si="60"/>
        <v>2023</v>
      </c>
      <c r="E3904">
        <v>995</v>
      </c>
      <c r="F3904">
        <v>168150</v>
      </c>
      <c r="G3904">
        <v>0.59</v>
      </c>
      <c r="H3904" t="s">
        <v>10</v>
      </c>
      <c r="I3904" t="s">
        <v>11</v>
      </c>
    </row>
    <row r="3905" spans="1:9" hidden="1" x14ac:dyDescent="0.25">
      <c r="A3905" t="s">
        <v>17</v>
      </c>
      <c r="B3905" t="s">
        <v>118</v>
      </c>
      <c r="C3905">
        <v>202303</v>
      </c>
      <c r="D3905" t="str">
        <f t="shared" si="60"/>
        <v>2023</v>
      </c>
      <c r="E3905">
        <v>980</v>
      </c>
      <c r="F3905">
        <v>168150</v>
      </c>
      <c r="G3905">
        <v>0.57999999999999996</v>
      </c>
      <c r="H3905" t="s">
        <v>10</v>
      </c>
      <c r="I3905" t="s">
        <v>11</v>
      </c>
    </row>
    <row r="3906" spans="1:9" hidden="1" x14ac:dyDescent="0.25">
      <c r="A3906" t="s">
        <v>17</v>
      </c>
      <c r="B3906" t="s">
        <v>118</v>
      </c>
      <c r="C3906">
        <v>202304</v>
      </c>
      <c r="D3906" t="str">
        <f t="shared" si="60"/>
        <v>2023</v>
      </c>
      <c r="E3906">
        <v>1210</v>
      </c>
      <c r="F3906">
        <v>168150</v>
      </c>
      <c r="G3906">
        <v>0.72</v>
      </c>
      <c r="H3906" t="s">
        <v>10</v>
      </c>
      <c r="I3906" t="s">
        <v>11</v>
      </c>
    </row>
    <row r="3907" spans="1:9" hidden="1" x14ac:dyDescent="0.25">
      <c r="A3907" t="s">
        <v>17</v>
      </c>
      <c r="B3907" t="s">
        <v>118</v>
      </c>
      <c r="C3907">
        <v>202305</v>
      </c>
      <c r="D3907" t="str">
        <f t="shared" ref="D3907:D3970" si="61">LEFT(C3907,4)</f>
        <v>2023</v>
      </c>
      <c r="E3907">
        <v>1060</v>
      </c>
      <c r="F3907">
        <v>168150</v>
      </c>
      <c r="G3907">
        <v>0.63</v>
      </c>
      <c r="H3907" t="s">
        <v>10</v>
      </c>
      <c r="I3907" t="s">
        <v>11</v>
      </c>
    </row>
    <row r="3908" spans="1:9" hidden="1" x14ac:dyDescent="0.25">
      <c r="A3908" t="s">
        <v>17</v>
      </c>
      <c r="B3908" t="s">
        <v>118</v>
      </c>
      <c r="C3908">
        <v>202306</v>
      </c>
      <c r="D3908" t="str">
        <f t="shared" si="61"/>
        <v>2023</v>
      </c>
      <c r="E3908">
        <v>943</v>
      </c>
      <c r="F3908">
        <v>168150</v>
      </c>
      <c r="G3908">
        <v>0.56000000000000005</v>
      </c>
      <c r="H3908" t="s">
        <v>10</v>
      </c>
      <c r="I3908" t="s">
        <v>11</v>
      </c>
    </row>
    <row r="3909" spans="1:9" hidden="1" x14ac:dyDescent="0.25">
      <c r="A3909" t="s">
        <v>17</v>
      </c>
      <c r="B3909" t="s">
        <v>118</v>
      </c>
      <c r="C3909">
        <v>202307</v>
      </c>
      <c r="D3909" t="str">
        <f t="shared" si="61"/>
        <v>2023</v>
      </c>
      <c r="E3909">
        <v>1436</v>
      </c>
      <c r="F3909">
        <v>168150</v>
      </c>
      <c r="G3909">
        <v>0.85</v>
      </c>
      <c r="H3909" t="s">
        <v>10</v>
      </c>
      <c r="I3909" t="s">
        <v>11</v>
      </c>
    </row>
    <row r="3910" spans="1:9" hidden="1" x14ac:dyDescent="0.25">
      <c r="A3910" t="s">
        <v>17</v>
      </c>
      <c r="B3910" t="s">
        <v>118</v>
      </c>
      <c r="C3910">
        <v>202308</v>
      </c>
      <c r="D3910" t="str">
        <f t="shared" si="61"/>
        <v>2023</v>
      </c>
      <c r="E3910">
        <v>1665</v>
      </c>
      <c r="F3910">
        <v>168150</v>
      </c>
      <c r="G3910">
        <v>0.99</v>
      </c>
      <c r="H3910" t="s">
        <v>10</v>
      </c>
      <c r="I3910" t="s">
        <v>11</v>
      </c>
    </row>
    <row r="3911" spans="1:9" hidden="1" x14ac:dyDescent="0.25">
      <c r="A3911" t="s">
        <v>17</v>
      </c>
      <c r="B3911" t="s">
        <v>118</v>
      </c>
      <c r="C3911">
        <v>202309</v>
      </c>
      <c r="D3911" t="str">
        <f t="shared" si="61"/>
        <v>2023</v>
      </c>
      <c r="E3911">
        <v>1446</v>
      </c>
      <c r="F3911">
        <v>168150</v>
      </c>
      <c r="G3911">
        <v>0.86</v>
      </c>
      <c r="H3911" t="s">
        <v>10</v>
      </c>
      <c r="I3911" t="s">
        <v>11</v>
      </c>
    </row>
    <row r="3912" spans="1:9" hidden="1" x14ac:dyDescent="0.25">
      <c r="A3912" t="s">
        <v>17</v>
      </c>
      <c r="B3912" t="s">
        <v>118</v>
      </c>
      <c r="C3912">
        <v>202310</v>
      </c>
      <c r="D3912" t="str">
        <f t="shared" si="61"/>
        <v>2023</v>
      </c>
      <c r="E3912">
        <v>1729</v>
      </c>
      <c r="F3912">
        <v>168150</v>
      </c>
      <c r="G3912">
        <v>1.03</v>
      </c>
      <c r="H3912" t="s">
        <v>10</v>
      </c>
      <c r="I3912" t="s">
        <v>11</v>
      </c>
    </row>
    <row r="3913" spans="1:9" hidden="1" x14ac:dyDescent="0.25">
      <c r="A3913" t="s">
        <v>17</v>
      </c>
      <c r="B3913" t="s">
        <v>118</v>
      </c>
      <c r="C3913">
        <v>202311</v>
      </c>
      <c r="D3913" t="str">
        <f t="shared" si="61"/>
        <v>2023</v>
      </c>
      <c r="E3913">
        <v>1443</v>
      </c>
      <c r="F3913">
        <v>168150</v>
      </c>
      <c r="G3913">
        <v>0.86</v>
      </c>
      <c r="H3913" t="s">
        <v>10</v>
      </c>
      <c r="I3913" t="s">
        <v>11</v>
      </c>
    </row>
    <row r="3914" spans="1:9" hidden="1" x14ac:dyDescent="0.25">
      <c r="A3914" t="s">
        <v>17</v>
      </c>
      <c r="B3914" t="s">
        <v>118</v>
      </c>
      <c r="C3914">
        <v>202312</v>
      </c>
      <c r="D3914" t="str">
        <f t="shared" si="61"/>
        <v>2023</v>
      </c>
      <c r="E3914">
        <v>1452</v>
      </c>
      <c r="F3914">
        <v>168150</v>
      </c>
      <c r="G3914">
        <v>0.86</v>
      </c>
      <c r="H3914" t="s">
        <v>10</v>
      </c>
      <c r="I3914" t="s">
        <v>11</v>
      </c>
    </row>
    <row r="3915" spans="1:9" hidden="1" x14ac:dyDescent="0.25">
      <c r="A3915" t="s">
        <v>17</v>
      </c>
      <c r="B3915" t="s">
        <v>118</v>
      </c>
      <c r="C3915">
        <v>202401</v>
      </c>
      <c r="D3915" t="str">
        <f t="shared" si="61"/>
        <v>2024</v>
      </c>
      <c r="E3915">
        <v>1456</v>
      </c>
      <c r="F3915">
        <v>168150</v>
      </c>
      <c r="G3915">
        <v>0.87</v>
      </c>
      <c r="H3915" t="s">
        <v>10</v>
      </c>
      <c r="I3915" t="s">
        <v>11</v>
      </c>
    </row>
    <row r="3916" spans="1:9" hidden="1" x14ac:dyDescent="0.25">
      <c r="A3916" t="s">
        <v>17</v>
      </c>
      <c r="B3916" t="s">
        <v>118</v>
      </c>
      <c r="C3916">
        <v>202402</v>
      </c>
      <c r="D3916" t="str">
        <f t="shared" si="61"/>
        <v>2024</v>
      </c>
      <c r="E3916">
        <v>1549</v>
      </c>
      <c r="F3916">
        <v>168150</v>
      </c>
      <c r="G3916">
        <v>0.92</v>
      </c>
      <c r="H3916" t="s">
        <v>10</v>
      </c>
      <c r="I3916" t="s">
        <v>11</v>
      </c>
    </row>
    <row r="3917" spans="1:9" hidden="1" x14ac:dyDescent="0.25">
      <c r="A3917" t="s">
        <v>17</v>
      </c>
      <c r="B3917" t="s">
        <v>118</v>
      </c>
      <c r="C3917">
        <v>202403</v>
      </c>
      <c r="D3917" t="str">
        <f t="shared" si="61"/>
        <v>2024</v>
      </c>
      <c r="E3917">
        <v>2222</v>
      </c>
      <c r="F3917">
        <v>168150</v>
      </c>
      <c r="G3917">
        <v>1.32</v>
      </c>
      <c r="H3917" t="s">
        <v>10</v>
      </c>
      <c r="I3917" t="s">
        <v>11</v>
      </c>
    </row>
    <row r="3918" spans="1:9" hidden="1" x14ac:dyDescent="0.25">
      <c r="A3918" t="s">
        <v>17</v>
      </c>
      <c r="B3918" t="s">
        <v>118</v>
      </c>
      <c r="C3918">
        <v>202404</v>
      </c>
      <c r="D3918" t="str">
        <f t="shared" si="61"/>
        <v>2024</v>
      </c>
      <c r="E3918">
        <v>1862</v>
      </c>
      <c r="F3918">
        <v>168150</v>
      </c>
      <c r="G3918">
        <v>1.1100000000000001</v>
      </c>
      <c r="H3918" t="s">
        <v>10</v>
      </c>
      <c r="I3918" t="s">
        <v>11</v>
      </c>
    </row>
    <row r="3919" spans="1:9" hidden="1" x14ac:dyDescent="0.25">
      <c r="A3919" t="s">
        <v>17</v>
      </c>
      <c r="B3919" t="s">
        <v>118</v>
      </c>
      <c r="C3919">
        <v>202405</v>
      </c>
      <c r="D3919" t="str">
        <f t="shared" si="61"/>
        <v>2024</v>
      </c>
      <c r="E3919">
        <v>1308</v>
      </c>
      <c r="F3919">
        <v>168150</v>
      </c>
      <c r="G3919">
        <v>0.78</v>
      </c>
      <c r="H3919" t="s">
        <v>10</v>
      </c>
      <c r="I3919" t="s">
        <v>11</v>
      </c>
    </row>
    <row r="3920" spans="1:9" hidden="1" x14ac:dyDescent="0.25">
      <c r="A3920" t="s">
        <v>17</v>
      </c>
      <c r="B3920" t="s">
        <v>118</v>
      </c>
      <c r="C3920">
        <v>202406</v>
      </c>
      <c r="D3920" t="str">
        <f t="shared" si="61"/>
        <v>2024</v>
      </c>
      <c r="E3920">
        <v>2384</v>
      </c>
      <c r="F3920">
        <v>168150</v>
      </c>
      <c r="G3920">
        <v>1.42</v>
      </c>
      <c r="H3920" t="s">
        <v>10</v>
      </c>
      <c r="I3920" t="s">
        <v>11</v>
      </c>
    </row>
    <row r="3921" spans="1:9" hidden="1" x14ac:dyDescent="0.25">
      <c r="A3921" t="s">
        <v>17</v>
      </c>
      <c r="B3921" t="s">
        <v>118</v>
      </c>
      <c r="C3921">
        <v>202407</v>
      </c>
      <c r="D3921" t="str">
        <f t="shared" si="61"/>
        <v>2024</v>
      </c>
      <c r="E3921">
        <v>2708</v>
      </c>
      <c r="F3921">
        <v>168150</v>
      </c>
      <c r="G3921">
        <v>1.61</v>
      </c>
      <c r="H3921" t="s">
        <v>10</v>
      </c>
      <c r="I3921" t="s">
        <v>11</v>
      </c>
    </row>
    <row r="3922" spans="1:9" hidden="1" x14ac:dyDescent="0.25">
      <c r="A3922" t="s">
        <v>17</v>
      </c>
      <c r="B3922" t="s">
        <v>118</v>
      </c>
      <c r="C3922">
        <v>202408</v>
      </c>
      <c r="D3922" t="str">
        <f t="shared" si="61"/>
        <v>2024</v>
      </c>
      <c r="E3922">
        <v>4987</v>
      </c>
      <c r="F3922">
        <v>168150</v>
      </c>
      <c r="G3922">
        <v>2.97</v>
      </c>
      <c r="H3922" t="s">
        <v>10</v>
      </c>
      <c r="I3922" t="s">
        <v>11</v>
      </c>
    </row>
    <row r="3923" spans="1:9" hidden="1" x14ac:dyDescent="0.25">
      <c r="A3923" t="s">
        <v>17</v>
      </c>
      <c r="B3923" t="s">
        <v>118</v>
      </c>
      <c r="C3923">
        <v>202409</v>
      </c>
      <c r="D3923" t="str">
        <f t="shared" si="61"/>
        <v>2024</v>
      </c>
      <c r="E3923">
        <v>8378</v>
      </c>
      <c r="F3923">
        <v>168150</v>
      </c>
      <c r="G3923">
        <v>4.9800000000000004</v>
      </c>
      <c r="H3923" t="s">
        <v>10</v>
      </c>
      <c r="I3923" t="s">
        <v>11</v>
      </c>
    </row>
    <row r="3924" spans="1:9" hidden="1" x14ac:dyDescent="0.25">
      <c r="A3924" t="s">
        <v>17</v>
      </c>
      <c r="B3924" t="s">
        <v>118</v>
      </c>
      <c r="C3924">
        <v>202410</v>
      </c>
      <c r="D3924" t="str">
        <f t="shared" si="61"/>
        <v>2024</v>
      </c>
      <c r="E3924">
        <v>73807</v>
      </c>
      <c r="F3924">
        <v>168150</v>
      </c>
      <c r="G3924">
        <v>43.89</v>
      </c>
      <c r="H3924" t="s">
        <v>10</v>
      </c>
      <c r="I3924" t="s">
        <v>11</v>
      </c>
    </row>
    <row r="3925" spans="1:9" hidden="1" x14ac:dyDescent="0.25">
      <c r="A3925" t="s">
        <v>17</v>
      </c>
      <c r="B3925" t="s">
        <v>118</v>
      </c>
      <c r="C3925">
        <v>202411</v>
      </c>
      <c r="D3925" t="str">
        <f t="shared" si="61"/>
        <v>2024</v>
      </c>
      <c r="E3925">
        <v>50783</v>
      </c>
      <c r="F3925">
        <v>168150</v>
      </c>
      <c r="G3925">
        <v>30.2</v>
      </c>
      <c r="H3925" t="s">
        <v>10</v>
      </c>
      <c r="I3925" t="s">
        <v>11</v>
      </c>
    </row>
    <row r="3926" spans="1:9" hidden="1" x14ac:dyDescent="0.25">
      <c r="A3926" t="s">
        <v>17</v>
      </c>
      <c r="B3926" t="s">
        <v>70</v>
      </c>
      <c r="C3926">
        <v>201801</v>
      </c>
      <c r="D3926" t="str">
        <f t="shared" si="61"/>
        <v>2018</v>
      </c>
      <c r="E3926">
        <v>31</v>
      </c>
      <c r="F3926">
        <v>145626</v>
      </c>
      <c r="G3926">
        <v>0.02</v>
      </c>
      <c r="H3926" t="s">
        <v>10</v>
      </c>
      <c r="I3926" t="s">
        <v>11</v>
      </c>
    </row>
    <row r="3927" spans="1:9" hidden="1" x14ac:dyDescent="0.25">
      <c r="A3927" t="s">
        <v>17</v>
      </c>
      <c r="B3927" t="s">
        <v>70</v>
      </c>
      <c r="C3927">
        <v>201802</v>
      </c>
      <c r="D3927" t="str">
        <f t="shared" si="61"/>
        <v>2018</v>
      </c>
      <c r="E3927">
        <v>14</v>
      </c>
      <c r="F3927">
        <v>145626</v>
      </c>
      <c r="G3927">
        <v>0.01</v>
      </c>
      <c r="H3927" t="s">
        <v>10</v>
      </c>
      <c r="I3927" t="s">
        <v>11</v>
      </c>
    </row>
    <row r="3928" spans="1:9" hidden="1" x14ac:dyDescent="0.25">
      <c r="A3928" t="s">
        <v>17</v>
      </c>
      <c r="B3928" t="s">
        <v>70</v>
      </c>
      <c r="C3928">
        <v>201803</v>
      </c>
      <c r="D3928" t="str">
        <f t="shared" si="61"/>
        <v>2018</v>
      </c>
      <c r="E3928">
        <v>21</v>
      </c>
      <c r="F3928">
        <v>145626</v>
      </c>
      <c r="G3928">
        <v>0.01</v>
      </c>
      <c r="H3928" t="s">
        <v>10</v>
      </c>
      <c r="I3928" t="s">
        <v>11</v>
      </c>
    </row>
    <row r="3929" spans="1:9" hidden="1" x14ac:dyDescent="0.25">
      <c r="A3929" t="s">
        <v>17</v>
      </c>
      <c r="B3929" t="s">
        <v>70</v>
      </c>
      <c r="C3929">
        <v>201804</v>
      </c>
      <c r="D3929" t="str">
        <f t="shared" si="61"/>
        <v>2018</v>
      </c>
      <c r="E3929">
        <v>30</v>
      </c>
      <c r="F3929">
        <v>145626</v>
      </c>
      <c r="G3929">
        <v>0.02</v>
      </c>
      <c r="H3929" t="s">
        <v>10</v>
      </c>
      <c r="I3929" t="s">
        <v>11</v>
      </c>
    </row>
    <row r="3930" spans="1:9" hidden="1" x14ac:dyDescent="0.25">
      <c r="A3930" t="s">
        <v>17</v>
      </c>
      <c r="B3930" t="s">
        <v>70</v>
      </c>
      <c r="C3930">
        <v>201805</v>
      </c>
      <c r="D3930" t="str">
        <f t="shared" si="61"/>
        <v>2018</v>
      </c>
      <c r="E3930">
        <v>32</v>
      </c>
      <c r="F3930">
        <v>145626</v>
      </c>
      <c r="G3930">
        <v>0.02</v>
      </c>
      <c r="H3930" t="s">
        <v>10</v>
      </c>
      <c r="I3930" t="s">
        <v>11</v>
      </c>
    </row>
    <row r="3931" spans="1:9" hidden="1" x14ac:dyDescent="0.25">
      <c r="A3931" t="s">
        <v>17</v>
      </c>
      <c r="B3931" t="s">
        <v>70</v>
      </c>
      <c r="C3931">
        <v>201806</v>
      </c>
      <c r="D3931" t="str">
        <f t="shared" si="61"/>
        <v>2018</v>
      </c>
      <c r="E3931">
        <v>56</v>
      </c>
      <c r="F3931">
        <v>145626</v>
      </c>
      <c r="G3931">
        <v>0.04</v>
      </c>
      <c r="H3931" t="s">
        <v>10</v>
      </c>
      <c r="I3931" t="s">
        <v>11</v>
      </c>
    </row>
    <row r="3932" spans="1:9" hidden="1" x14ac:dyDescent="0.25">
      <c r="A3932" t="s">
        <v>17</v>
      </c>
      <c r="B3932" t="s">
        <v>70</v>
      </c>
      <c r="C3932">
        <v>201807</v>
      </c>
      <c r="D3932" t="str">
        <f t="shared" si="61"/>
        <v>2018</v>
      </c>
      <c r="E3932">
        <v>81</v>
      </c>
      <c r="F3932">
        <v>145626</v>
      </c>
      <c r="G3932">
        <v>0.06</v>
      </c>
      <c r="H3932" t="s">
        <v>10</v>
      </c>
      <c r="I3932" t="s">
        <v>11</v>
      </c>
    </row>
    <row r="3933" spans="1:9" hidden="1" x14ac:dyDescent="0.25">
      <c r="A3933" t="s">
        <v>17</v>
      </c>
      <c r="B3933" t="s">
        <v>70</v>
      </c>
      <c r="C3933">
        <v>201808</v>
      </c>
      <c r="D3933" t="str">
        <f t="shared" si="61"/>
        <v>2018</v>
      </c>
      <c r="E3933">
        <v>146</v>
      </c>
      <c r="F3933">
        <v>145626</v>
      </c>
      <c r="G3933">
        <v>0.1</v>
      </c>
      <c r="H3933" t="s">
        <v>10</v>
      </c>
      <c r="I3933" t="s">
        <v>11</v>
      </c>
    </row>
    <row r="3934" spans="1:9" hidden="1" x14ac:dyDescent="0.25">
      <c r="A3934" t="s">
        <v>17</v>
      </c>
      <c r="B3934" t="s">
        <v>70</v>
      </c>
      <c r="C3934">
        <v>201809</v>
      </c>
      <c r="D3934" t="str">
        <f t="shared" si="61"/>
        <v>2018</v>
      </c>
      <c r="E3934">
        <v>380</v>
      </c>
      <c r="F3934">
        <v>145626</v>
      </c>
      <c r="G3934">
        <v>0.26</v>
      </c>
      <c r="H3934" t="s">
        <v>10</v>
      </c>
      <c r="I3934" t="s">
        <v>11</v>
      </c>
    </row>
    <row r="3935" spans="1:9" hidden="1" x14ac:dyDescent="0.25">
      <c r="A3935" t="s">
        <v>17</v>
      </c>
      <c r="B3935" t="s">
        <v>70</v>
      </c>
      <c r="C3935">
        <v>201810</v>
      </c>
      <c r="D3935" t="str">
        <f t="shared" si="61"/>
        <v>2018</v>
      </c>
      <c r="E3935">
        <v>669</v>
      </c>
      <c r="F3935">
        <v>145626</v>
      </c>
      <c r="G3935">
        <v>0.46</v>
      </c>
      <c r="H3935" t="s">
        <v>10</v>
      </c>
      <c r="I3935" t="s">
        <v>11</v>
      </c>
    </row>
    <row r="3936" spans="1:9" hidden="1" x14ac:dyDescent="0.25">
      <c r="A3936" t="s">
        <v>17</v>
      </c>
      <c r="B3936" t="s">
        <v>70</v>
      </c>
      <c r="C3936">
        <v>201811</v>
      </c>
      <c r="D3936" t="str">
        <f t="shared" si="61"/>
        <v>2018</v>
      </c>
      <c r="E3936">
        <v>41</v>
      </c>
      <c r="F3936">
        <v>145626</v>
      </c>
      <c r="G3936">
        <v>0.03</v>
      </c>
      <c r="H3936" t="s">
        <v>10</v>
      </c>
      <c r="I3936" t="s">
        <v>11</v>
      </c>
    </row>
    <row r="3937" spans="1:9" hidden="1" x14ac:dyDescent="0.25">
      <c r="A3937" t="s">
        <v>17</v>
      </c>
      <c r="B3937" t="s">
        <v>70</v>
      </c>
      <c r="C3937">
        <v>201812</v>
      </c>
      <c r="D3937" t="str">
        <f t="shared" si="61"/>
        <v>2018</v>
      </c>
      <c r="E3937">
        <v>10</v>
      </c>
      <c r="F3937">
        <v>145626</v>
      </c>
      <c r="G3937">
        <v>0.01</v>
      </c>
      <c r="H3937" t="s">
        <v>10</v>
      </c>
      <c r="I3937" t="s">
        <v>11</v>
      </c>
    </row>
    <row r="3938" spans="1:9" hidden="1" x14ac:dyDescent="0.25">
      <c r="A3938" t="s">
        <v>17</v>
      </c>
      <c r="B3938" t="s">
        <v>70</v>
      </c>
      <c r="C3938">
        <v>201901</v>
      </c>
      <c r="D3938" t="str">
        <f t="shared" si="61"/>
        <v>2019</v>
      </c>
      <c r="E3938">
        <v>22</v>
      </c>
      <c r="F3938">
        <v>145626</v>
      </c>
      <c r="G3938">
        <v>0.02</v>
      </c>
      <c r="H3938" t="s">
        <v>10</v>
      </c>
      <c r="I3938" t="s">
        <v>11</v>
      </c>
    </row>
    <row r="3939" spans="1:9" hidden="1" x14ac:dyDescent="0.25">
      <c r="A3939" t="s">
        <v>17</v>
      </c>
      <c r="B3939" t="s">
        <v>70</v>
      </c>
      <c r="C3939">
        <v>201902</v>
      </c>
      <c r="D3939" t="str">
        <f t="shared" si="61"/>
        <v>2019</v>
      </c>
      <c r="E3939">
        <v>4</v>
      </c>
      <c r="F3939">
        <v>145626</v>
      </c>
      <c r="G3939">
        <v>0</v>
      </c>
      <c r="H3939" t="s">
        <v>10</v>
      </c>
      <c r="I3939" t="s">
        <v>11</v>
      </c>
    </row>
    <row r="3940" spans="1:9" hidden="1" x14ac:dyDescent="0.25">
      <c r="A3940" t="s">
        <v>17</v>
      </c>
      <c r="B3940" t="s">
        <v>70</v>
      </c>
      <c r="C3940">
        <v>202001</v>
      </c>
      <c r="D3940" t="str">
        <f t="shared" si="61"/>
        <v>2020</v>
      </c>
      <c r="E3940">
        <v>2</v>
      </c>
      <c r="F3940">
        <v>145626</v>
      </c>
      <c r="G3940">
        <v>0</v>
      </c>
      <c r="H3940" t="s">
        <v>10</v>
      </c>
      <c r="I3940" t="s">
        <v>11</v>
      </c>
    </row>
    <row r="3941" spans="1:9" hidden="1" x14ac:dyDescent="0.25">
      <c r="A3941" t="s">
        <v>17</v>
      </c>
      <c r="B3941" t="s">
        <v>70</v>
      </c>
      <c r="C3941">
        <v>202002</v>
      </c>
      <c r="D3941" t="str">
        <f t="shared" si="61"/>
        <v>2020</v>
      </c>
      <c r="E3941">
        <v>4</v>
      </c>
      <c r="F3941">
        <v>145626</v>
      </c>
      <c r="G3941">
        <v>0</v>
      </c>
      <c r="H3941" t="s">
        <v>10</v>
      </c>
      <c r="I3941" t="s">
        <v>11</v>
      </c>
    </row>
    <row r="3942" spans="1:9" hidden="1" x14ac:dyDescent="0.25">
      <c r="A3942" t="s">
        <v>17</v>
      </c>
      <c r="B3942" t="s">
        <v>70</v>
      </c>
      <c r="C3942">
        <v>202003</v>
      </c>
      <c r="D3942" t="str">
        <f t="shared" si="61"/>
        <v>2020</v>
      </c>
      <c r="E3942">
        <v>7</v>
      </c>
      <c r="F3942">
        <v>145626</v>
      </c>
      <c r="G3942">
        <v>0</v>
      </c>
      <c r="H3942" t="s">
        <v>10</v>
      </c>
      <c r="I3942" t="s">
        <v>11</v>
      </c>
    </row>
    <row r="3943" spans="1:9" hidden="1" x14ac:dyDescent="0.25">
      <c r="A3943" t="s">
        <v>17</v>
      </c>
      <c r="B3943" t="s">
        <v>70</v>
      </c>
      <c r="C3943">
        <v>202004</v>
      </c>
      <c r="D3943" t="str">
        <f t="shared" si="61"/>
        <v>2020</v>
      </c>
      <c r="E3943">
        <v>36</v>
      </c>
      <c r="F3943">
        <v>145626</v>
      </c>
      <c r="G3943">
        <v>0.02</v>
      </c>
      <c r="H3943" t="s">
        <v>10</v>
      </c>
      <c r="I3943" t="s">
        <v>11</v>
      </c>
    </row>
    <row r="3944" spans="1:9" hidden="1" x14ac:dyDescent="0.25">
      <c r="A3944" t="s">
        <v>17</v>
      </c>
      <c r="B3944" t="s">
        <v>70</v>
      </c>
      <c r="C3944">
        <v>202005</v>
      </c>
      <c r="D3944" t="str">
        <f t="shared" si="61"/>
        <v>2020</v>
      </c>
      <c r="E3944">
        <v>148</v>
      </c>
      <c r="F3944">
        <v>145626</v>
      </c>
      <c r="G3944">
        <v>0.1</v>
      </c>
      <c r="H3944" t="s">
        <v>10</v>
      </c>
      <c r="I3944" t="s">
        <v>11</v>
      </c>
    </row>
    <row r="3945" spans="1:9" hidden="1" x14ac:dyDescent="0.25">
      <c r="A3945" t="s">
        <v>17</v>
      </c>
      <c r="B3945" t="s">
        <v>70</v>
      </c>
      <c r="C3945">
        <v>202006</v>
      </c>
      <c r="D3945" t="str">
        <f t="shared" si="61"/>
        <v>2020</v>
      </c>
      <c r="E3945">
        <v>63</v>
      </c>
      <c r="F3945">
        <v>145626</v>
      </c>
      <c r="G3945">
        <v>0.04</v>
      </c>
      <c r="H3945" t="s">
        <v>10</v>
      </c>
      <c r="I3945" t="s">
        <v>11</v>
      </c>
    </row>
    <row r="3946" spans="1:9" hidden="1" x14ac:dyDescent="0.25">
      <c r="A3946" t="s">
        <v>17</v>
      </c>
      <c r="B3946" t="s">
        <v>70</v>
      </c>
      <c r="C3946">
        <v>202007</v>
      </c>
      <c r="D3946" t="str">
        <f t="shared" si="61"/>
        <v>2020</v>
      </c>
      <c r="E3946">
        <v>89</v>
      </c>
      <c r="F3946">
        <v>145626</v>
      </c>
      <c r="G3946">
        <v>0.06</v>
      </c>
      <c r="H3946" t="s">
        <v>10</v>
      </c>
      <c r="I3946" t="s">
        <v>11</v>
      </c>
    </row>
    <row r="3947" spans="1:9" hidden="1" x14ac:dyDescent="0.25">
      <c r="A3947" t="s">
        <v>17</v>
      </c>
      <c r="B3947" t="s">
        <v>70</v>
      </c>
      <c r="C3947">
        <v>202102</v>
      </c>
      <c r="D3947" t="str">
        <f t="shared" si="61"/>
        <v>2021</v>
      </c>
      <c r="E3947">
        <v>5</v>
      </c>
      <c r="F3947">
        <v>145626</v>
      </c>
      <c r="G3947">
        <v>0</v>
      </c>
      <c r="H3947" t="s">
        <v>10</v>
      </c>
      <c r="I3947" t="s">
        <v>11</v>
      </c>
    </row>
    <row r="3948" spans="1:9" hidden="1" x14ac:dyDescent="0.25">
      <c r="A3948" t="s">
        <v>17</v>
      </c>
      <c r="B3948" t="s">
        <v>70</v>
      </c>
      <c r="C3948">
        <v>202103</v>
      </c>
      <c r="D3948" t="str">
        <f t="shared" si="61"/>
        <v>2021</v>
      </c>
      <c r="E3948">
        <v>4</v>
      </c>
      <c r="F3948">
        <v>145626</v>
      </c>
      <c r="G3948">
        <v>0</v>
      </c>
      <c r="H3948" t="s">
        <v>10</v>
      </c>
      <c r="I3948" t="s">
        <v>11</v>
      </c>
    </row>
    <row r="3949" spans="1:9" hidden="1" x14ac:dyDescent="0.25">
      <c r="A3949" t="s">
        <v>17</v>
      </c>
      <c r="B3949" t="s">
        <v>70</v>
      </c>
      <c r="C3949">
        <v>202104</v>
      </c>
      <c r="D3949" t="str">
        <f t="shared" si="61"/>
        <v>2021</v>
      </c>
      <c r="E3949">
        <v>7</v>
      </c>
      <c r="F3949">
        <v>145626</v>
      </c>
      <c r="G3949">
        <v>0</v>
      </c>
      <c r="H3949" t="s">
        <v>10</v>
      </c>
      <c r="I3949" t="s">
        <v>11</v>
      </c>
    </row>
    <row r="3950" spans="1:9" hidden="1" x14ac:dyDescent="0.25">
      <c r="A3950" t="s">
        <v>17</v>
      </c>
      <c r="B3950" t="s">
        <v>70</v>
      </c>
      <c r="C3950">
        <v>202106</v>
      </c>
      <c r="D3950" t="str">
        <f t="shared" si="61"/>
        <v>2021</v>
      </c>
      <c r="E3950">
        <v>3</v>
      </c>
      <c r="F3950">
        <v>145626</v>
      </c>
      <c r="G3950">
        <v>0</v>
      </c>
      <c r="H3950" t="s">
        <v>10</v>
      </c>
      <c r="I3950" t="s">
        <v>11</v>
      </c>
    </row>
    <row r="3951" spans="1:9" hidden="1" x14ac:dyDescent="0.25">
      <c r="A3951" t="s">
        <v>17</v>
      </c>
      <c r="B3951" t="s">
        <v>70</v>
      </c>
      <c r="C3951">
        <v>202107</v>
      </c>
      <c r="D3951" t="str">
        <f t="shared" si="61"/>
        <v>2021</v>
      </c>
      <c r="E3951">
        <v>4</v>
      </c>
      <c r="F3951">
        <v>145626</v>
      </c>
      <c r="G3951">
        <v>0</v>
      </c>
      <c r="H3951" t="s">
        <v>10</v>
      </c>
      <c r="I3951" t="s">
        <v>11</v>
      </c>
    </row>
    <row r="3952" spans="1:9" hidden="1" x14ac:dyDescent="0.25">
      <c r="A3952" t="s">
        <v>17</v>
      </c>
      <c r="B3952" t="s">
        <v>70</v>
      </c>
      <c r="C3952">
        <v>202109</v>
      </c>
      <c r="D3952" t="str">
        <f t="shared" si="61"/>
        <v>2021</v>
      </c>
      <c r="E3952">
        <v>1</v>
      </c>
      <c r="F3952">
        <v>145626</v>
      </c>
      <c r="G3952">
        <v>0</v>
      </c>
      <c r="H3952" t="s">
        <v>10</v>
      </c>
      <c r="I3952" t="s">
        <v>11</v>
      </c>
    </row>
    <row r="3953" spans="1:9" hidden="1" x14ac:dyDescent="0.25">
      <c r="A3953" t="s">
        <v>17</v>
      </c>
      <c r="B3953" t="s">
        <v>70</v>
      </c>
      <c r="C3953">
        <v>202112</v>
      </c>
      <c r="D3953" t="str">
        <f t="shared" si="61"/>
        <v>2021</v>
      </c>
      <c r="E3953">
        <v>6</v>
      </c>
      <c r="F3953">
        <v>145626</v>
      </c>
      <c r="G3953">
        <v>0</v>
      </c>
      <c r="H3953" t="s">
        <v>10</v>
      </c>
      <c r="I3953" t="s">
        <v>11</v>
      </c>
    </row>
    <row r="3954" spans="1:9" hidden="1" x14ac:dyDescent="0.25">
      <c r="A3954" t="s">
        <v>17</v>
      </c>
      <c r="B3954" t="s">
        <v>70</v>
      </c>
      <c r="C3954">
        <v>202201</v>
      </c>
      <c r="D3954" t="str">
        <f t="shared" si="61"/>
        <v>2022</v>
      </c>
      <c r="E3954">
        <v>1</v>
      </c>
      <c r="F3954">
        <v>145626</v>
      </c>
      <c r="G3954">
        <v>0</v>
      </c>
      <c r="H3954" t="s">
        <v>10</v>
      </c>
      <c r="I3954" t="s">
        <v>11</v>
      </c>
    </row>
    <row r="3955" spans="1:9" hidden="1" x14ac:dyDescent="0.25">
      <c r="A3955" t="s">
        <v>17</v>
      </c>
      <c r="B3955" t="s">
        <v>70</v>
      </c>
      <c r="C3955">
        <v>202204</v>
      </c>
      <c r="D3955" t="str">
        <f t="shared" si="61"/>
        <v>2022</v>
      </c>
      <c r="E3955">
        <v>20</v>
      </c>
      <c r="F3955">
        <v>145626</v>
      </c>
      <c r="G3955">
        <v>0.01</v>
      </c>
      <c r="H3955" t="s">
        <v>10</v>
      </c>
      <c r="I3955" t="s">
        <v>11</v>
      </c>
    </row>
    <row r="3956" spans="1:9" hidden="1" x14ac:dyDescent="0.25">
      <c r="A3956" t="s">
        <v>17</v>
      </c>
      <c r="B3956" t="s">
        <v>70</v>
      </c>
      <c r="C3956">
        <v>202205</v>
      </c>
      <c r="D3956" t="str">
        <f t="shared" si="61"/>
        <v>2022</v>
      </c>
      <c r="E3956">
        <v>3</v>
      </c>
      <c r="F3956">
        <v>145626</v>
      </c>
      <c r="G3956">
        <v>0</v>
      </c>
      <c r="H3956" t="s">
        <v>10</v>
      </c>
      <c r="I3956" t="s">
        <v>11</v>
      </c>
    </row>
    <row r="3957" spans="1:9" hidden="1" x14ac:dyDescent="0.25">
      <c r="A3957" t="s">
        <v>17</v>
      </c>
      <c r="B3957" t="s">
        <v>70</v>
      </c>
      <c r="C3957">
        <v>202206</v>
      </c>
      <c r="D3957" t="str">
        <f t="shared" si="61"/>
        <v>2022</v>
      </c>
      <c r="E3957">
        <v>3</v>
      </c>
      <c r="F3957">
        <v>145626</v>
      </c>
      <c r="G3957">
        <v>0</v>
      </c>
      <c r="H3957" t="s">
        <v>10</v>
      </c>
      <c r="I3957" t="s">
        <v>11</v>
      </c>
    </row>
    <row r="3958" spans="1:9" hidden="1" x14ac:dyDescent="0.25">
      <c r="A3958" t="s">
        <v>17</v>
      </c>
      <c r="B3958" t="s">
        <v>70</v>
      </c>
      <c r="C3958">
        <v>202207</v>
      </c>
      <c r="D3958" t="str">
        <f t="shared" si="61"/>
        <v>2022</v>
      </c>
      <c r="E3958">
        <v>32</v>
      </c>
      <c r="F3958">
        <v>145626</v>
      </c>
      <c r="G3958">
        <v>0.02</v>
      </c>
      <c r="H3958" t="s">
        <v>10</v>
      </c>
      <c r="I3958" t="s">
        <v>11</v>
      </c>
    </row>
    <row r="3959" spans="1:9" hidden="1" x14ac:dyDescent="0.25">
      <c r="A3959" t="s">
        <v>17</v>
      </c>
      <c r="B3959" t="s">
        <v>70</v>
      </c>
      <c r="C3959">
        <v>202208</v>
      </c>
      <c r="D3959" t="str">
        <f t="shared" si="61"/>
        <v>2022</v>
      </c>
      <c r="E3959">
        <v>15</v>
      </c>
      <c r="F3959">
        <v>145626</v>
      </c>
      <c r="G3959">
        <v>0.01</v>
      </c>
      <c r="H3959" t="s">
        <v>10</v>
      </c>
      <c r="I3959" t="s">
        <v>11</v>
      </c>
    </row>
    <row r="3960" spans="1:9" hidden="1" x14ac:dyDescent="0.25">
      <c r="A3960" t="s">
        <v>17</v>
      </c>
      <c r="B3960" t="s">
        <v>70</v>
      </c>
      <c r="C3960">
        <v>202209</v>
      </c>
      <c r="D3960" t="str">
        <f t="shared" si="61"/>
        <v>2022</v>
      </c>
      <c r="E3960">
        <v>3</v>
      </c>
      <c r="F3960">
        <v>145626</v>
      </c>
      <c r="G3960">
        <v>0</v>
      </c>
      <c r="H3960" t="s">
        <v>10</v>
      </c>
      <c r="I3960" t="s">
        <v>11</v>
      </c>
    </row>
    <row r="3961" spans="1:9" hidden="1" x14ac:dyDescent="0.25">
      <c r="A3961" t="s">
        <v>17</v>
      </c>
      <c r="B3961" t="s">
        <v>70</v>
      </c>
      <c r="C3961">
        <v>202210</v>
      </c>
      <c r="D3961" t="str">
        <f t="shared" si="61"/>
        <v>2022</v>
      </c>
      <c r="E3961">
        <v>46</v>
      </c>
      <c r="F3961">
        <v>145626</v>
      </c>
      <c r="G3961">
        <v>0.03</v>
      </c>
      <c r="H3961" t="s">
        <v>10</v>
      </c>
      <c r="I3961" t="s">
        <v>11</v>
      </c>
    </row>
    <row r="3962" spans="1:9" hidden="1" x14ac:dyDescent="0.25">
      <c r="A3962" t="s">
        <v>17</v>
      </c>
      <c r="B3962" t="s">
        <v>70</v>
      </c>
      <c r="C3962">
        <v>202211</v>
      </c>
      <c r="D3962" t="str">
        <f t="shared" si="61"/>
        <v>2022</v>
      </c>
      <c r="E3962">
        <v>88</v>
      </c>
      <c r="F3962">
        <v>145626</v>
      </c>
      <c r="G3962">
        <v>0.06</v>
      </c>
      <c r="H3962" t="s">
        <v>10</v>
      </c>
      <c r="I3962" t="s">
        <v>11</v>
      </c>
    </row>
    <row r="3963" spans="1:9" hidden="1" x14ac:dyDescent="0.25">
      <c r="A3963" t="s">
        <v>17</v>
      </c>
      <c r="B3963" t="s">
        <v>70</v>
      </c>
      <c r="C3963">
        <v>202212</v>
      </c>
      <c r="D3963" t="str">
        <f t="shared" si="61"/>
        <v>2022</v>
      </c>
      <c r="E3963">
        <v>20</v>
      </c>
      <c r="F3963">
        <v>145626</v>
      </c>
      <c r="G3963">
        <v>0.01</v>
      </c>
      <c r="H3963" t="s">
        <v>10</v>
      </c>
      <c r="I3963" t="s">
        <v>11</v>
      </c>
    </row>
    <row r="3964" spans="1:9" hidden="1" x14ac:dyDescent="0.25">
      <c r="A3964" t="s">
        <v>17</v>
      </c>
      <c r="B3964" t="s">
        <v>70</v>
      </c>
      <c r="C3964">
        <v>202301</v>
      </c>
      <c r="D3964" t="str">
        <f t="shared" si="61"/>
        <v>2023</v>
      </c>
      <c r="E3964">
        <v>367</v>
      </c>
      <c r="F3964">
        <v>145626</v>
      </c>
      <c r="G3964">
        <v>0.25</v>
      </c>
      <c r="H3964" t="s">
        <v>10</v>
      </c>
      <c r="I3964" t="s">
        <v>11</v>
      </c>
    </row>
    <row r="3965" spans="1:9" hidden="1" x14ac:dyDescent="0.25">
      <c r="A3965" t="s">
        <v>17</v>
      </c>
      <c r="B3965" t="s">
        <v>70</v>
      </c>
      <c r="C3965">
        <v>202302</v>
      </c>
      <c r="D3965" t="str">
        <f t="shared" si="61"/>
        <v>2023</v>
      </c>
      <c r="E3965">
        <v>356</v>
      </c>
      <c r="F3965">
        <v>145626</v>
      </c>
      <c r="G3965">
        <v>0.24</v>
      </c>
      <c r="H3965" t="s">
        <v>10</v>
      </c>
      <c r="I3965" t="s">
        <v>11</v>
      </c>
    </row>
    <row r="3966" spans="1:9" hidden="1" x14ac:dyDescent="0.25">
      <c r="A3966" t="s">
        <v>17</v>
      </c>
      <c r="B3966" t="s">
        <v>70</v>
      </c>
      <c r="C3966">
        <v>202303</v>
      </c>
      <c r="D3966" t="str">
        <f t="shared" si="61"/>
        <v>2023</v>
      </c>
      <c r="E3966">
        <v>366</v>
      </c>
      <c r="F3966">
        <v>145626</v>
      </c>
      <c r="G3966">
        <v>0.25</v>
      </c>
      <c r="H3966" t="s">
        <v>10</v>
      </c>
      <c r="I3966" t="s">
        <v>11</v>
      </c>
    </row>
    <row r="3967" spans="1:9" hidden="1" x14ac:dyDescent="0.25">
      <c r="A3967" t="s">
        <v>17</v>
      </c>
      <c r="B3967" t="s">
        <v>70</v>
      </c>
      <c r="C3967">
        <v>202304</v>
      </c>
      <c r="D3967" t="str">
        <f t="shared" si="61"/>
        <v>2023</v>
      </c>
      <c r="E3967">
        <v>338</v>
      </c>
      <c r="F3967">
        <v>145626</v>
      </c>
      <c r="G3967">
        <v>0.23</v>
      </c>
      <c r="H3967" t="s">
        <v>10</v>
      </c>
      <c r="I3967" t="s">
        <v>11</v>
      </c>
    </row>
    <row r="3968" spans="1:9" hidden="1" x14ac:dyDescent="0.25">
      <c r="A3968" t="s">
        <v>17</v>
      </c>
      <c r="B3968" t="s">
        <v>70</v>
      </c>
      <c r="C3968">
        <v>202305</v>
      </c>
      <c r="D3968" t="str">
        <f t="shared" si="61"/>
        <v>2023</v>
      </c>
      <c r="E3968">
        <v>403</v>
      </c>
      <c r="F3968">
        <v>145626</v>
      </c>
      <c r="G3968">
        <v>0.28000000000000003</v>
      </c>
      <c r="H3968" t="s">
        <v>10</v>
      </c>
      <c r="I3968" t="s">
        <v>11</v>
      </c>
    </row>
    <row r="3969" spans="1:9" hidden="1" x14ac:dyDescent="0.25">
      <c r="A3969" t="s">
        <v>17</v>
      </c>
      <c r="B3969" t="s">
        <v>70</v>
      </c>
      <c r="C3969">
        <v>202306</v>
      </c>
      <c r="D3969" t="str">
        <f t="shared" si="61"/>
        <v>2023</v>
      </c>
      <c r="E3969">
        <v>507</v>
      </c>
      <c r="F3969">
        <v>145626</v>
      </c>
      <c r="G3969">
        <v>0.35</v>
      </c>
      <c r="H3969" t="s">
        <v>10</v>
      </c>
      <c r="I3969" t="s">
        <v>11</v>
      </c>
    </row>
    <row r="3970" spans="1:9" hidden="1" x14ac:dyDescent="0.25">
      <c r="A3970" t="s">
        <v>17</v>
      </c>
      <c r="B3970" t="s">
        <v>70</v>
      </c>
      <c r="C3970">
        <v>202307</v>
      </c>
      <c r="D3970" t="str">
        <f t="shared" si="61"/>
        <v>2023</v>
      </c>
      <c r="E3970">
        <v>406</v>
      </c>
      <c r="F3970">
        <v>145626</v>
      </c>
      <c r="G3970">
        <v>0.28000000000000003</v>
      </c>
      <c r="H3970" t="s">
        <v>10</v>
      </c>
      <c r="I3970" t="s">
        <v>11</v>
      </c>
    </row>
    <row r="3971" spans="1:9" hidden="1" x14ac:dyDescent="0.25">
      <c r="A3971" t="s">
        <v>17</v>
      </c>
      <c r="B3971" t="s">
        <v>70</v>
      </c>
      <c r="C3971">
        <v>202308</v>
      </c>
      <c r="D3971" t="str">
        <f t="shared" ref="D3971:D4034" si="62">LEFT(C3971,4)</f>
        <v>2023</v>
      </c>
      <c r="E3971">
        <v>727</v>
      </c>
      <c r="F3971">
        <v>145626</v>
      </c>
      <c r="G3971">
        <v>0.5</v>
      </c>
      <c r="H3971" t="s">
        <v>10</v>
      </c>
      <c r="I3971" t="s">
        <v>11</v>
      </c>
    </row>
    <row r="3972" spans="1:9" hidden="1" x14ac:dyDescent="0.25">
      <c r="A3972" t="s">
        <v>17</v>
      </c>
      <c r="B3972" t="s">
        <v>70</v>
      </c>
      <c r="C3972">
        <v>202309</v>
      </c>
      <c r="D3972" t="str">
        <f t="shared" si="62"/>
        <v>2023</v>
      </c>
      <c r="E3972">
        <v>807</v>
      </c>
      <c r="F3972">
        <v>145626</v>
      </c>
      <c r="G3972">
        <v>0.55000000000000004</v>
      </c>
      <c r="H3972" t="s">
        <v>10</v>
      </c>
      <c r="I3972" t="s">
        <v>11</v>
      </c>
    </row>
    <row r="3973" spans="1:9" hidden="1" x14ac:dyDescent="0.25">
      <c r="A3973" t="s">
        <v>17</v>
      </c>
      <c r="B3973" t="s">
        <v>70</v>
      </c>
      <c r="C3973">
        <v>202310</v>
      </c>
      <c r="D3973" t="str">
        <f t="shared" si="62"/>
        <v>2023</v>
      </c>
      <c r="E3973">
        <v>616</v>
      </c>
      <c r="F3973">
        <v>145626</v>
      </c>
      <c r="G3973">
        <v>0.42</v>
      </c>
      <c r="H3973" t="s">
        <v>10</v>
      </c>
      <c r="I3973" t="s">
        <v>11</v>
      </c>
    </row>
    <row r="3974" spans="1:9" hidden="1" x14ac:dyDescent="0.25">
      <c r="A3974" t="s">
        <v>17</v>
      </c>
      <c r="B3974" t="s">
        <v>70</v>
      </c>
      <c r="C3974">
        <v>202311</v>
      </c>
      <c r="D3974" t="str">
        <f t="shared" si="62"/>
        <v>2023</v>
      </c>
      <c r="E3974">
        <v>606</v>
      </c>
      <c r="F3974">
        <v>145626</v>
      </c>
      <c r="G3974">
        <v>0.42</v>
      </c>
      <c r="H3974" t="s">
        <v>10</v>
      </c>
      <c r="I3974" t="s">
        <v>11</v>
      </c>
    </row>
    <row r="3975" spans="1:9" hidden="1" x14ac:dyDescent="0.25">
      <c r="A3975" t="s">
        <v>17</v>
      </c>
      <c r="B3975" t="s">
        <v>70</v>
      </c>
      <c r="C3975">
        <v>202312</v>
      </c>
      <c r="D3975" t="str">
        <f t="shared" si="62"/>
        <v>2023</v>
      </c>
      <c r="E3975">
        <v>607</v>
      </c>
      <c r="F3975">
        <v>145626</v>
      </c>
      <c r="G3975">
        <v>0.42</v>
      </c>
      <c r="H3975" t="s">
        <v>10</v>
      </c>
      <c r="I3975" t="s">
        <v>11</v>
      </c>
    </row>
    <row r="3976" spans="1:9" hidden="1" x14ac:dyDescent="0.25">
      <c r="A3976" t="s">
        <v>17</v>
      </c>
      <c r="B3976" t="s">
        <v>70</v>
      </c>
      <c r="C3976">
        <v>202401</v>
      </c>
      <c r="D3976" t="str">
        <f t="shared" si="62"/>
        <v>2024</v>
      </c>
      <c r="E3976">
        <v>2533</v>
      </c>
      <c r="F3976">
        <v>145626</v>
      </c>
      <c r="G3976">
        <v>1.74</v>
      </c>
      <c r="H3976" t="s">
        <v>10</v>
      </c>
      <c r="I3976" t="s">
        <v>11</v>
      </c>
    </row>
    <row r="3977" spans="1:9" hidden="1" x14ac:dyDescent="0.25">
      <c r="A3977" t="s">
        <v>17</v>
      </c>
      <c r="B3977" t="s">
        <v>70</v>
      </c>
      <c r="C3977">
        <v>202402</v>
      </c>
      <c r="D3977" t="str">
        <f t="shared" si="62"/>
        <v>2024</v>
      </c>
      <c r="E3977">
        <v>654</v>
      </c>
      <c r="F3977">
        <v>145626</v>
      </c>
      <c r="G3977">
        <v>0.45</v>
      </c>
      <c r="H3977" t="s">
        <v>10</v>
      </c>
      <c r="I3977" t="s">
        <v>11</v>
      </c>
    </row>
    <row r="3978" spans="1:9" hidden="1" x14ac:dyDescent="0.25">
      <c r="A3978" t="s">
        <v>17</v>
      </c>
      <c r="B3978" t="s">
        <v>70</v>
      </c>
      <c r="C3978">
        <v>202403</v>
      </c>
      <c r="D3978" t="str">
        <f t="shared" si="62"/>
        <v>2024</v>
      </c>
      <c r="E3978">
        <v>999</v>
      </c>
      <c r="F3978">
        <v>145626</v>
      </c>
      <c r="G3978">
        <v>0.69</v>
      </c>
      <c r="H3978" t="s">
        <v>10</v>
      </c>
      <c r="I3978" t="s">
        <v>11</v>
      </c>
    </row>
    <row r="3979" spans="1:9" hidden="1" x14ac:dyDescent="0.25">
      <c r="A3979" t="s">
        <v>17</v>
      </c>
      <c r="B3979" t="s">
        <v>70</v>
      </c>
      <c r="C3979">
        <v>202404</v>
      </c>
      <c r="D3979" t="str">
        <f t="shared" si="62"/>
        <v>2024</v>
      </c>
      <c r="E3979">
        <v>952</v>
      </c>
      <c r="F3979">
        <v>145626</v>
      </c>
      <c r="G3979">
        <v>0.65</v>
      </c>
      <c r="H3979" t="s">
        <v>10</v>
      </c>
      <c r="I3979" t="s">
        <v>11</v>
      </c>
    </row>
    <row r="3980" spans="1:9" hidden="1" x14ac:dyDescent="0.25">
      <c r="A3980" t="s">
        <v>17</v>
      </c>
      <c r="B3980" t="s">
        <v>70</v>
      </c>
      <c r="C3980">
        <v>202405</v>
      </c>
      <c r="D3980" t="str">
        <f t="shared" si="62"/>
        <v>2024</v>
      </c>
      <c r="E3980">
        <v>1007</v>
      </c>
      <c r="F3980">
        <v>145626</v>
      </c>
      <c r="G3980">
        <v>0.69</v>
      </c>
      <c r="H3980" t="s">
        <v>10</v>
      </c>
      <c r="I3980" t="s">
        <v>11</v>
      </c>
    </row>
    <row r="3981" spans="1:9" hidden="1" x14ac:dyDescent="0.25">
      <c r="A3981" t="s">
        <v>17</v>
      </c>
      <c r="B3981" t="s">
        <v>70</v>
      </c>
      <c r="C3981">
        <v>202406</v>
      </c>
      <c r="D3981" t="str">
        <f t="shared" si="62"/>
        <v>2024</v>
      </c>
      <c r="E3981">
        <v>1374</v>
      </c>
      <c r="F3981">
        <v>145626</v>
      </c>
      <c r="G3981">
        <v>0.94</v>
      </c>
      <c r="H3981" t="s">
        <v>10</v>
      </c>
      <c r="I3981" t="s">
        <v>11</v>
      </c>
    </row>
    <row r="3982" spans="1:9" hidden="1" x14ac:dyDescent="0.25">
      <c r="A3982" t="s">
        <v>17</v>
      </c>
      <c r="B3982" t="s">
        <v>70</v>
      </c>
      <c r="C3982">
        <v>202407</v>
      </c>
      <c r="D3982" t="str">
        <f t="shared" si="62"/>
        <v>2024</v>
      </c>
      <c r="E3982">
        <v>1631</v>
      </c>
      <c r="F3982">
        <v>145626</v>
      </c>
      <c r="G3982">
        <v>1.1200000000000001</v>
      </c>
      <c r="H3982" t="s">
        <v>10</v>
      </c>
      <c r="I3982" t="s">
        <v>11</v>
      </c>
    </row>
    <row r="3983" spans="1:9" hidden="1" x14ac:dyDescent="0.25">
      <c r="A3983" t="s">
        <v>17</v>
      </c>
      <c r="B3983" t="s">
        <v>70</v>
      </c>
      <c r="C3983">
        <v>202408</v>
      </c>
      <c r="D3983" t="str">
        <f t="shared" si="62"/>
        <v>2024</v>
      </c>
      <c r="E3983">
        <v>2740</v>
      </c>
      <c r="F3983">
        <v>145626</v>
      </c>
      <c r="G3983">
        <v>1.88</v>
      </c>
      <c r="H3983" t="s">
        <v>10</v>
      </c>
      <c r="I3983" t="s">
        <v>11</v>
      </c>
    </row>
    <row r="3984" spans="1:9" hidden="1" x14ac:dyDescent="0.25">
      <c r="A3984" t="s">
        <v>17</v>
      </c>
      <c r="B3984" t="s">
        <v>70</v>
      </c>
      <c r="C3984">
        <v>202409</v>
      </c>
      <c r="D3984" t="str">
        <f t="shared" si="62"/>
        <v>2024</v>
      </c>
      <c r="E3984">
        <v>3602</v>
      </c>
      <c r="F3984">
        <v>145626</v>
      </c>
      <c r="G3984">
        <v>2.4700000000000002</v>
      </c>
      <c r="H3984" t="s">
        <v>10</v>
      </c>
      <c r="I3984" t="s">
        <v>11</v>
      </c>
    </row>
    <row r="3985" spans="1:9" hidden="1" x14ac:dyDescent="0.25">
      <c r="A3985" t="s">
        <v>17</v>
      </c>
      <c r="B3985" t="s">
        <v>70</v>
      </c>
      <c r="C3985">
        <v>202410</v>
      </c>
      <c r="D3985" t="str">
        <f t="shared" si="62"/>
        <v>2024</v>
      </c>
      <c r="E3985">
        <v>9861</v>
      </c>
      <c r="F3985">
        <v>145626</v>
      </c>
      <c r="G3985">
        <v>6.77</v>
      </c>
      <c r="H3985" t="s">
        <v>10</v>
      </c>
      <c r="I3985" t="s">
        <v>11</v>
      </c>
    </row>
    <row r="3986" spans="1:9" hidden="1" x14ac:dyDescent="0.25">
      <c r="A3986" t="s">
        <v>17</v>
      </c>
      <c r="B3986" t="s">
        <v>70</v>
      </c>
      <c r="C3986">
        <v>202411</v>
      </c>
      <c r="D3986" t="str">
        <f t="shared" si="62"/>
        <v>2024</v>
      </c>
      <c r="E3986">
        <v>61730</v>
      </c>
      <c r="F3986">
        <v>145626</v>
      </c>
      <c r="G3986">
        <v>42.39</v>
      </c>
      <c r="H3986" t="s">
        <v>10</v>
      </c>
      <c r="I3986" t="s">
        <v>11</v>
      </c>
    </row>
    <row r="3987" spans="1:9" hidden="1" x14ac:dyDescent="0.25">
      <c r="A3987" t="s">
        <v>17</v>
      </c>
      <c r="B3987" t="s">
        <v>70</v>
      </c>
      <c r="C3987">
        <v>202412</v>
      </c>
      <c r="D3987" t="str">
        <f t="shared" si="62"/>
        <v>2024</v>
      </c>
      <c r="E3987">
        <v>50290</v>
      </c>
      <c r="F3987">
        <v>145626</v>
      </c>
      <c r="G3987">
        <v>34.53</v>
      </c>
      <c r="H3987" t="s">
        <v>10</v>
      </c>
      <c r="I3987" t="s">
        <v>11</v>
      </c>
    </row>
    <row r="3988" spans="1:9" hidden="1" x14ac:dyDescent="0.25">
      <c r="A3988" t="s">
        <v>17</v>
      </c>
      <c r="B3988" t="s">
        <v>51</v>
      </c>
      <c r="C3988">
        <v>201806</v>
      </c>
      <c r="D3988" t="str">
        <f t="shared" si="62"/>
        <v>2018</v>
      </c>
      <c r="E3988">
        <v>2</v>
      </c>
      <c r="F3988">
        <v>147957</v>
      </c>
      <c r="G3988">
        <v>0</v>
      </c>
      <c r="H3988" t="s">
        <v>10</v>
      </c>
      <c r="I3988" t="s">
        <v>11</v>
      </c>
    </row>
    <row r="3989" spans="1:9" hidden="1" x14ac:dyDescent="0.25">
      <c r="A3989" t="s">
        <v>17</v>
      </c>
      <c r="B3989" t="s">
        <v>51</v>
      </c>
      <c r="C3989">
        <v>202005</v>
      </c>
      <c r="D3989" t="str">
        <f t="shared" si="62"/>
        <v>2020</v>
      </c>
      <c r="E3989">
        <v>4</v>
      </c>
      <c r="F3989">
        <v>147957</v>
      </c>
      <c r="G3989">
        <v>0</v>
      </c>
      <c r="H3989" t="s">
        <v>10</v>
      </c>
      <c r="I3989" t="s">
        <v>11</v>
      </c>
    </row>
    <row r="3990" spans="1:9" hidden="1" x14ac:dyDescent="0.25">
      <c r="A3990" t="s">
        <v>17</v>
      </c>
      <c r="B3990" t="s">
        <v>51</v>
      </c>
      <c r="C3990">
        <v>202008</v>
      </c>
      <c r="D3990" t="str">
        <f t="shared" si="62"/>
        <v>2020</v>
      </c>
      <c r="E3990">
        <v>9</v>
      </c>
      <c r="F3990">
        <v>147957</v>
      </c>
      <c r="G3990">
        <v>0.01</v>
      </c>
      <c r="H3990" t="s">
        <v>10</v>
      </c>
      <c r="I3990" t="s">
        <v>11</v>
      </c>
    </row>
    <row r="3991" spans="1:9" hidden="1" x14ac:dyDescent="0.25">
      <c r="A3991" t="s">
        <v>17</v>
      </c>
      <c r="B3991" t="s">
        <v>51</v>
      </c>
      <c r="C3991">
        <v>202201</v>
      </c>
      <c r="D3991" t="str">
        <f t="shared" si="62"/>
        <v>2022</v>
      </c>
      <c r="E3991">
        <v>10</v>
      </c>
      <c r="F3991">
        <v>147957</v>
      </c>
      <c r="G3991">
        <v>0.01</v>
      </c>
      <c r="H3991" t="s">
        <v>10</v>
      </c>
      <c r="I3991" t="s">
        <v>11</v>
      </c>
    </row>
    <row r="3992" spans="1:9" hidden="1" x14ac:dyDescent="0.25">
      <c r="A3992" t="s">
        <v>17</v>
      </c>
      <c r="B3992" t="s">
        <v>51</v>
      </c>
      <c r="C3992">
        <v>202203</v>
      </c>
      <c r="D3992" t="str">
        <f t="shared" si="62"/>
        <v>2022</v>
      </c>
      <c r="E3992">
        <v>1</v>
      </c>
      <c r="F3992">
        <v>147957</v>
      </c>
      <c r="G3992">
        <v>0</v>
      </c>
      <c r="H3992" t="s">
        <v>10</v>
      </c>
      <c r="I3992" t="s">
        <v>11</v>
      </c>
    </row>
    <row r="3993" spans="1:9" hidden="1" x14ac:dyDescent="0.25">
      <c r="A3993" t="s">
        <v>17</v>
      </c>
      <c r="B3993" t="s">
        <v>51</v>
      </c>
      <c r="C3993">
        <v>202205</v>
      </c>
      <c r="D3993" t="str">
        <f t="shared" si="62"/>
        <v>2022</v>
      </c>
      <c r="E3993">
        <v>1</v>
      </c>
      <c r="F3993">
        <v>147957</v>
      </c>
      <c r="G3993">
        <v>0</v>
      </c>
      <c r="H3993" t="s">
        <v>10</v>
      </c>
      <c r="I3993" t="s">
        <v>11</v>
      </c>
    </row>
    <row r="3994" spans="1:9" hidden="1" x14ac:dyDescent="0.25">
      <c r="A3994" t="s">
        <v>17</v>
      </c>
      <c r="B3994" t="s">
        <v>51</v>
      </c>
      <c r="C3994">
        <v>202206</v>
      </c>
      <c r="D3994" t="str">
        <f t="shared" si="62"/>
        <v>2022</v>
      </c>
      <c r="E3994">
        <v>2</v>
      </c>
      <c r="F3994">
        <v>147957</v>
      </c>
      <c r="G3994">
        <v>0</v>
      </c>
      <c r="H3994" t="s">
        <v>10</v>
      </c>
      <c r="I3994" t="s">
        <v>11</v>
      </c>
    </row>
    <row r="3995" spans="1:9" hidden="1" x14ac:dyDescent="0.25">
      <c r="A3995" t="s">
        <v>17</v>
      </c>
      <c r="B3995" t="s">
        <v>51</v>
      </c>
      <c r="C3995">
        <v>202208</v>
      </c>
      <c r="D3995" t="str">
        <f t="shared" si="62"/>
        <v>2022</v>
      </c>
      <c r="E3995">
        <v>21</v>
      </c>
      <c r="F3995">
        <v>147957</v>
      </c>
      <c r="G3995">
        <v>0.01</v>
      </c>
      <c r="H3995" t="s">
        <v>10</v>
      </c>
      <c r="I3995" t="s">
        <v>11</v>
      </c>
    </row>
    <row r="3996" spans="1:9" hidden="1" x14ac:dyDescent="0.25">
      <c r="A3996" t="s">
        <v>17</v>
      </c>
      <c r="B3996" t="s">
        <v>51</v>
      </c>
      <c r="C3996">
        <v>202209</v>
      </c>
      <c r="D3996" t="str">
        <f t="shared" si="62"/>
        <v>2022</v>
      </c>
      <c r="E3996">
        <v>129</v>
      </c>
      <c r="F3996">
        <v>147957</v>
      </c>
      <c r="G3996">
        <v>0.09</v>
      </c>
      <c r="H3996" t="s">
        <v>10</v>
      </c>
      <c r="I3996" t="s">
        <v>11</v>
      </c>
    </row>
    <row r="3997" spans="1:9" hidden="1" x14ac:dyDescent="0.25">
      <c r="A3997" t="s">
        <v>17</v>
      </c>
      <c r="B3997" t="s">
        <v>51</v>
      </c>
      <c r="C3997">
        <v>202210</v>
      </c>
      <c r="D3997" t="str">
        <f t="shared" si="62"/>
        <v>2022</v>
      </c>
      <c r="E3997">
        <v>217</v>
      </c>
      <c r="F3997">
        <v>147957</v>
      </c>
      <c r="G3997">
        <v>0.15</v>
      </c>
      <c r="H3997" t="s">
        <v>10</v>
      </c>
      <c r="I3997" t="s">
        <v>11</v>
      </c>
    </row>
    <row r="3998" spans="1:9" hidden="1" x14ac:dyDescent="0.25">
      <c r="A3998" t="s">
        <v>17</v>
      </c>
      <c r="B3998" t="s">
        <v>51</v>
      </c>
      <c r="C3998">
        <v>202211</v>
      </c>
      <c r="D3998" t="str">
        <f t="shared" si="62"/>
        <v>2022</v>
      </c>
      <c r="E3998">
        <v>298</v>
      </c>
      <c r="F3998">
        <v>147957</v>
      </c>
      <c r="G3998">
        <v>0.2</v>
      </c>
      <c r="H3998" t="s">
        <v>10</v>
      </c>
      <c r="I3998" t="s">
        <v>11</v>
      </c>
    </row>
    <row r="3999" spans="1:9" hidden="1" x14ac:dyDescent="0.25">
      <c r="A3999" t="s">
        <v>17</v>
      </c>
      <c r="B3999" t="s">
        <v>51</v>
      </c>
      <c r="C3999">
        <v>202212</v>
      </c>
      <c r="D3999" t="str">
        <f t="shared" si="62"/>
        <v>2022</v>
      </c>
      <c r="E3999">
        <v>367</v>
      </c>
      <c r="F3999">
        <v>147957</v>
      </c>
      <c r="G3999">
        <v>0.25</v>
      </c>
      <c r="H3999" t="s">
        <v>10</v>
      </c>
      <c r="I3999" t="s">
        <v>11</v>
      </c>
    </row>
    <row r="4000" spans="1:9" hidden="1" x14ac:dyDescent="0.25">
      <c r="A4000" t="s">
        <v>17</v>
      </c>
      <c r="B4000" t="s">
        <v>51</v>
      </c>
      <c r="C4000">
        <v>202301</v>
      </c>
      <c r="D4000" t="str">
        <f t="shared" si="62"/>
        <v>2023</v>
      </c>
      <c r="E4000">
        <v>345</v>
      </c>
      <c r="F4000">
        <v>147957</v>
      </c>
      <c r="G4000">
        <v>0.23</v>
      </c>
      <c r="H4000" t="s">
        <v>10</v>
      </c>
      <c r="I4000" t="s">
        <v>11</v>
      </c>
    </row>
    <row r="4001" spans="1:9" hidden="1" x14ac:dyDescent="0.25">
      <c r="A4001" t="s">
        <v>17</v>
      </c>
      <c r="B4001" t="s">
        <v>51</v>
      </c>
      <c r="C4001">
        <v>202302</v>
      </c>
      <c r="D4001" t="str">
        <f t="shared" si="62"/>
        <v>2023</v>
      </c>
      <c r="E4001">
        <v>352</v>
      </c>
      <c r="F4001">
        <v>147957</v>
      </c>
      <c r="G4001">
        <v>0.24</v>
      </c>
      <c r="H4001" t="s">
        <v>10</v>
      </c>
      <c r="I4001" t="s">
        <v>11</v>
      </c>
    </row>
    <row r="4002" spans="1:9" hidden="1" x14ac:dyDescent="0.25">
      <c r="A4002" t="s">
        <v>17</v>
      </c>
      <c r="B4002" t="s">
        <v>51</v>
      </c>
      <c r="C4002">
        <v>202303</v>
      </c>
      <c r="D4002" t="str">
        <f t="shared" si="62"/>
        <v>2023</v>
      </c>
      <c r="E4002">
        <v>536</v>
      </c>
      <c r="F4002">
        <v>147957</v>
      </c>
      <c r="G4002">
        <v>0.36</v>
      </c>
      <c r="H4002" t="s">
        <v>10</v>
      </c>
      <c r="I4002" t="s">
        <v>11</v>
      </c>
    </row>
    <row r="4003" spans="1:9" hidden="1" x14ac:dyDescent="0.25">
      <c r="A4003" t="s">
        <v>17</v>
      </c>
      <c r="B4003" t="s">
        <v>51</v>
      </c>
      <c r="C4003">
        <v>202304</v>
      </c>
      <c r="D4003" t="str">
        <f t="shared" si="62"/>
        <v>2023</v>
      </c>
      <c r="E4003">
        <v>87</v>
      </c>
      <c r="F4003">
        <v>147957</v>
      </c>
      <c r="G4003">
        <v>0.06</v>
      </c>
      <c r="H4003" t="s">
        <v>10</v>
      </c>
      <c r="I4003" t="s">
        <v>11</v>
      </c>
    </row>
    <row r="4004" spans="1:9" hidden="1" x14ac:dyDescent="0.25">
      <c r="A4004" t="s">
        <v>17</v>
      </c>
      <c r="B4004" t="s">
        <v>51</v>
      </c>
      <c r="C4004">
        <v>202305</v>
      </c>
      <c r="D4004" t="str">
        <f t="shared" si="62"/>
        <v>2023</v>
      </c>
      <c r="E4004">
        <v>143</v>
      </c>
      <c r="F4004">
        <v>147957</v>
      </c>
      <c r="G4004">
        <v>0.1</v>
      </c>
      <c r="H4004" t="s">
        <v>10</v>
      </c>
      <c r="I4004" t="s">
        <v>11</v>
      </c>
    </row>
    <row r="4005" spans="1:9" hidden="1" x14ac:dyDescent="0.25">
      <c r="A4005" t="s">
        <v>17</v>
      </c>
      <c r="B4005" t="s">
        <v>51</v>
      </c>
      <c r="C4005">
        <v>202306</v>
      </c>
      <c r="D4005" t="str">
        <f t="shared" si="62"/>
        <v>2023</v>
      </c>
      <c r="E4005">
        <v>251</v>
      </c>
      <c r="F4005">
        <v>147957</v>
      </c>
      <c r="G4005">
        <v>0.17</v>
      </c>
      <c r="H4005" t="s">
        <v>10</v>
      </c>
      <c r="I4005" t="s">
        <v>11</v>
      </c>
    </row>
    <row r="4006" spans="1:9" hidden="1" x14ac:dyDescent="0.25">
      <c r="A4006" t="s">
        <v>17</v>
      </c>
      <c r="B4006" t="s">
        <v>51</v>
      </c>
      <c r="C4006">
        <v>202307</v>
      </c>
      <c r="D4006" t="str">
        <f t="shared" si="62"/>
        <v>2023</v>
      </c>
      <c r="E4006">
        <v>109</v>
      </c>
      <c r="F4006">
        <v>147957</v>
      </c>
      <c r="G4006">
        <v>7.0000000000000007E-2</v>
      </c>
      <c r="H4006" t="s">
        <v>10</v>
      </c>
      <c r="I4006" t="s">
        <v>11</v>
      </c>
    </row>
    <row r="4007" spans="1:9" hidden="1" x14ac:dyDescent="0.25">
      <c r="A4007" t="s">
        <v>17</v>
      </c>
      <c r="B4007" t="s">
        <v>51</v>
      </c>
      <c r="C4007">
        <v>202308</v>
      </c>
      <c r="D4007" t="str">
        <f t="shared" si="62"/>
        <v>2023</v>
      </c>
      <c r="E4007">
        <v>360</v>
      </c>
      <c r="F4007">
        <v>147957</v>
      </c>
      <c r="G4007">
        <v>0.24</v>
      </c>
      <c r="H4007" t="s">
        <v>10</v>
      </c>
      <c r="I4007" t="s">
        <v>11</v>
      </c>
    </row>
    <row r="4008" spans="1:9" hidden="1" x14ac:dyDescent="0.25">
      <c r="A4008" t="s">
        <v>17</v>
      </c>
      <c r="B4008" t="s">
        <v>51</v>
      </c>
      <c r="C4008">
        <v>202309</v>
      </c>
      <c r="D4008" t="str">
        <f t="shared" si="62"/>
        <v>2023</v>
      </c>
      <c r="E4008">
        <v>327</v>
      </c>
      <c r="F4008">
        <v>147957</v>
      </c>
      <c r="G4008">
        <v>0.22</v>
      </c>
      <c r="H4008" t="s">
        <v>10</v>
      </c>
      <c r="I4008" t="s">
        <v>11</v>
      </c>
    </row>
    <row r="4009" spans="1:9" hidden="1" x14ac:dyDescent="0.25">
      <c r="A4009" t="s">
        <v>17</v>
      </c>
      <c r="B4009" t="s">
        <v>51</v>
      </c>
      <c r="C4009">
        <v>202310</v>
      </c>
      <c r="D4009" t="str">
        <f t="shared" si="62"/>
        <v>2023</v>
      </c>
      <c r="E4009">
        <v>459</v>
      </c>
      <c r="F4009">
        <v>147957</v>
      </c>
      <c r="G4009">
        <v>0.31</v>
      </c>
      <c r="H4009" t="s">
        <v>10</v>
      </c>
      <c r="I4009" t="s">
        <v>11</v>
      </c>
    </row>
    <row r="4010" spans="1:9" hidden="1" x14ac:dyDescent="0.25">
      <c r="A4010" t="s">
        <v>17</v>
      </c>
      <c r="B4010" t="s">
        <v>51</v>
      </c>
      <c r="C4010">
        <v>202311</v>
      </c>
      <c r="D4010" t="str">
        <f t="shared" si="62"/>
        <v>2023</v>
      </c>
      <c r="E4010">
        <v>680</v>
      </c>
      <c r="F4010">
        <v>147957</v>
      </c>
      <c r="G4010">
        <v>0.46</v>
      </c>
      <c r="H4010" t="s">
        <v>10</v>
      </c>
      <c r="I4010" t="s">
        <v>11</v>
      </c>
    </row>
    <row r="4011" spans="1:9" hidden="1" x14ac:dyDescent="0.25">
      <c r="A4011" t="s">
        <v>17</v>
      </c>
      <c r="B4011" t="s">
        <v>51</v>
      </c>
      <c r="C4011">
        <v>202312</v>
      </c>
      <c r="D4011" t="str">
        <f t="shared" si="62"/>
        <v>2023</v>
      </c>
      <c r="E4011">
        <v>414</v>
      </c>
      <c r="F4011">
        <v>147957</v>
      </c>
      <c r="G4011">
        <v>0.28000000000000003</v>
      </c>
      <c r="H4011" t="s">
        <v>10</v>
      </c>
      <c r="I4011" t="s">
        <v>11</v>
      </c>
    </row>
    <row r="4012" spans="1:9" hidden="1" x14ac:dyDescent="0.25">
      <c r="A4012" t="s">
        <v>17</v>
      </c>
      <c r="B4012" t="s">
        <v>51</v>
      </c>
      <c r="C4012">
        <v>202401</v>
      </c>
      <c r="D4012" t="str">
        <f t="shared" si="62"/>
        <v>2024</v>
      </c>
      <c r="E4012">
        <v>1706</v>
      </c>
      <c r="F4012">
        <v>147957</v>
      </c>
      <c r="G4012">
        <v>1.1499999999999999</v>
      </c>
      <c r="H4012" t="s">
        <v>10</v>
      </c>
      <c r="I4012" t="s">
        <v>11</v>
      </c>
    </row>
    <row r="4013" spans="1:9" hidden="1" x14ac:dyDescent="0.25">
      <c r="A4013" t="s">
        <v>17</v>
      </c>
      <c r="B4013" t="s">
        <v>51</v>
      </c>
      <c r="C4013">
        <v>202402</v>
      </c>
      <c r="D4013" t="str">
        <f t="shared" si="62"/>
        <v>2024</v>
      </c>
      <c r="E4013">
        <v>2341</v>
      </c>
      <c r="F4013">
        <v>147957</v>
      </c>
      <c r="G4013">
        <v>1.58</v>
      </c>
      <c r="H4013" t="s">
        <v>10</v>
      </c>
      <c r="I4013" t="s">
        <v>11</v>
      </c>
    </row>
    <row r="4014" spans="1:9" hidden="1" x14ac:dyDescent="0.25">
      <c r="A4014" t="s">
        <v>17</v>
      </c>
      <c r="B4014" t="s">
        <v>51</v>
      </c>
      <c r="C4014">
        <v>202403</v>
      </c>
      <c r="D4014" t="str">
        <f t="shared" si="62"/>
        <v>2024</v>
      </c>
      <c r="E4014">
        <v>3054</v>
      </c>
      <c r="F4014">
        <v>147957</v>
      </c>
      <c r="G4014">
        <v>2.06</v>
      </c>
      <c r="H4014" t="s">
        <v>10</v>
      </c>
      <c r="I4014" t="s">
        <v>11</v>
      </c>
    </row>
    <row r="4015" spans="1:9" hidden="1" x14ac:dyDescent="0.25">
      <c r="A4015" t="s">
        <v>17</v>
      </c>
      <c r="B4015" t="s">
        <v>51</v>
      </c>
      <c r="C4015">
        <v>202404</v>
      </c>
      <c r="D4015" t="str">
        <f t="shared" si="62"/>
        <v>2024</v>
      </c>
      <c r="E4015">
        <v>2028</v>
      </c>
      <c r="F4015">
        <v>147957</v>
      </c>
      <c r="G4015">
        <v>1.37</v>
      </c>
      <c r="H4015" t="s">
        <v>10</v>
      </c>
      <c r="I4015" t="s">
        <v>11</v>
      </c>
    </row>
    <row r="4016" spans="1:9" hidden="1" x14ac:dyDescent="0.25">
      <c r="A4016" t="s">
        <v>17</v>
      </c>
      <c r="B4016" t="s">
        <v>51</v>
      </c>
      <c r="C4016">
        <v>202405</v>
      </c>
      <c r="D4016" t="str">
        <f t="shared" si="62"/>
        <v>2024</v>
      </c>
      <c r="E4016">
        <v>2117</v>
      </c>
      <c r="F4016">
        <v>147957</v>
      </c>
      <c r="G4016">
        <v>1.43</v>
      </c>
      <c r="H4016" t="s">
        <v>10</v>
      </c>
      <c r="I4016" t="s">
        <v>11</v>
      </c>
    </row>
    <row r="4017" spans="1:9" hidden="1" x14ac:dyDescent="0.25">
      <c r="A4017" t="s">
        <v>17</v>
      </c>
      <c r="B4017" t="s">
        <v>51</v>
      </c>
      <c r="C4017">
        <v>202406</v>
      </c>
      <c r="D4017" t="str">
        <f t="shared" si="62"/>
        <v>2024</v>
      </c>
      <c r="E4017">
        <v>1821</v>
      </c>
      <c r="F4017">
        <v>147957</v>
      </c>
      <c r="G4017">
        <v>1.23</v>
      </c>
      <c r="H4017" t="s">
        <v>10</v>
      </c>
      <c r="I4017" t="s">
        <v>11</v>
      </c>
    </row>
    <row r="4018" spans="1:9" hidden="1" x14ac:dyDescent="0.25">
      <c r="A4018" t="s">
        <v>17</v>
      </c>
      <c r="B4018" t="s">
        <v>51</v>
      </c>
      <c r="C4018">
        <v>202407</v>
      </c>
      <c r="D4018" t="str">
        <f t="shared" si="62"/>
        <v>2024</v>
      </c>
      <c r="E4018">
        <v>2346</v>
      </c>
      <c r="F4018">
        <v>147957</v>
      </c>
      <c r="G4018">
        <v>1.59</v>
      </c>
      <c r="H4018" t="s">
        <v>10</v>
      </c>
      <c r="I4018" t="s">
        <v>11</v>
      </c>
    </row>
    <row r="4019" spans="1:9" hidden="1" x14ac:dyDescent="0.25">
      <c r="A4019" t="s">
        <v>17</v>
      </c>
      <c r="B4019" t="s">
        <v>51</v>
      </c>
      <c r="C4019">
        <v>202408</v>
      </c>
      <c r="D4019" t="str">
        <f t="shared" si="62"/>
        <v>2024</v>
      </c>
      <c r="E4019">
        <v>1917</v>
      </c>
      <c r="F4019">
        <v>147957</v>
      </c>
      <c r="G4019">
        <v>1.3</v>
      </c>
      <c r="H4019" t="s">
        <v>10</v>
      </c>
      <c r="I4019" t="s">
        <v>11</v>
      </c>
    </row>
    <row r="4020" spans="1:9" hidden="1" x14ac:dyDescent="0.25">
      <c r="A4020" t="s">
        <v>17</v>
      </c>
      <c r="B4020" t="s">
        <v>51</v>
      </c>
      <c r="C4020">
        <v>202409</v>
      </c>
      <c r="D4020" t="str">
        <f t="shared" si="62"/>
        <v>2024</v>
      </c>
      <c r="E4020">
        <v>2650</v>
      </c>
      <c r="F4020">
        <v>147957</v>
      </c>
      <c r="G4020">
        <v>1.79</v>
      </c>
      <c r="H4020" t="s">
        <v>10</v>
      </c>
      <c r="I4020" t="s">
        <v>11</v>
      </c>
    </row>
    <row r="4021" spans="1:9" hidden="1" x14ac:dyDescent="0.25">
      <c r="A4021" t="s">
        <v>17</v>
      </c>
      <c r="B4021" t="s">
        <v>51</v>
      </c>
      <c r="C4021">
        <v>202410</v>
      </c>
      <c r="D4021" t="str">
        <f t="shared" si="62"/>
        <v>2024</v>
      </c>
      <c r="E4021">
        <v>4563</v>
      </c>
      <c r="F4021">
        <v>147957</v>
      </c>
      <c r="G4021">
        <v>3.08</v>
      </c>
      <c r="H4021" t="s">
        <v>10</v>
      </c>
      <c r="I4021" t="s">
        <v>11</v>
      </c>
    </row>
    <row r="4022" spans="1:9" hidden="1" x14ac:dyDescent="0.25">
      <c r="A4022" t="s">
        <v>17</v>
      </c>
      <c r="B4022" t="s">
        <v>51</v>
      </c>
      <c r="C4022">
        <v>202411</v>
      </c>
      <c r="D4022" t="str">
        <f t="shared" si="62"/>
        <v>2024</v>
      </c>
      <c r="E4022">
        <v>11241</v>
      </c>
      <c r="F4022">
        <v>147957</v>
      </c>
      <c r="G4022">
        <v>7.6</v>
      </c>
      <c r="H4022" t="s">
        <v>10</v>
      </c>
      <c r="I4022" t="s">
        <v>11</v>
      </c>
    </row>
    <row r="4023" spans="1:9" hidden="1" x14ac:dyDescent="0.25">
      <c r="A4023" t="s">
        <v>17</v>
      </c>
      <c r="B4023" t="s">
        <v>51</v>
      </c>
      <c r="C4023">
        <v>202412</v>
      </c>
      <c r="D4023" t="str">
        <f t="shared" si="62"/>
        <v>2024</v>
      </c>
      <c r="E4023">
        <v>66900</v>
      </c>
      <c r="F4023">
        <v>147957</v>
      </c>
      <c r="G4023">
        <v>45.22</v>
      </c>
      <c r="H4023" t="s">
        <v>10</v>
      </c>
      <c r="I4023" t="s">
        <v>11</v>
      </c>
    </row>
    <row r="4024" spans="1:9" x14ac:dyDescent="0.25">
      <c r="A4024" t="s">
        <v>17</v>
      </c>
      <c r="B4024" t="s">
        <v>51</v>
      </c>
      <c r="C4024">
        <v>202501</v>
      </c>
      <c r="D4024" t="str">
        <f t="shared" si="62"/>
        <v>2025</v>
      </c>
      <c r="E4024">
        <v>40149</v>
      </c>
      <c r="F4024">
        <v>147957</v>
      </c>
      <c r="G4024">
        <v>27.14</v>
      </c>
      <c r="H4024" t="s">
        <v>10</v>
      </c>
      <c r="I4024" t="s">
        <v>11</v>
      </c>
    </row>
    <row r="4025" spans="1:9" hidden="1" x14ac:dyDescent="0.25">
      <c r="A4025" t="s">
        <v>17</v>
      </c>
      <c r="B4025" t="s">
        <v>135</v>
      </c>
      <c r="C4025">
        <v>201810</v>
      </c>
      <c r="D4025" t="str">
        <f t="shared" si="62"/>
        <v>2018</v>
      </c>
      <c r="E4025">
        <v>1</v>
      </c>
      <c r="F4025">
        <v>177622</v>
      </c>
      <c r="G4025">
        <v>0</v>
      </c>
      <c r="H4025" t="s">
        <v>10</v>
      </c>
      <c r="I4025" t="s">
        <v>11</v>
      </c>
    </row>
    <row r="4026" spans="1:9" hidden="1" x14ac:dyDescent="0.25">
      <c r="A4026" t="s">
        <v>17</v>
      </c>
      <c r="B4026" t="s">
        <v>135</v>
      </c>
      <c r="C4026">
        <v>202101</v>
      </c>
      <c r="D4026" t="str">
        <f t="shared" si="62"/>
        <v>2021</v>
      </c>
      <c r="E4026">
        <v>6</v>
      </c>
      <c r="F4026">
        <v>177622</v>
      </c>
      <c r="G4026">
        <v>0</v>
      </c>
      <c r="H4026" t="s">
        <v>10</v>
      </c>
      <c r="I4026" t="s">
        <v>11</v>
      </c>
    </row>
    <row r="4027" spans="1:9" hidden="1" x14ac:dyDescent="0.25">
      <c r="A4027" t="s">
        <v>17</v>
      </c>
      <c r="B4027" t="s">
        <v>135</v>
      </c>
      <c r="C4027">
        <v>202105</v>
      </c>
      <c r="D4027" t="str">
        <f t="shared" si="62"/>
        <v>2021</v>
      </c>
      <c r="E4027">
        <v>101</v>
      </c>
      <c r="F4027">
        <v>177622</v>
      </c>
      <c r="G4027">
        <v>0.06</v>
      </c>
      <c r="H4027" t="s">
        <v>10</v>
      </c>
      <c r="I4027" t="s">
        <v>11</v>
      </c>
    </row>
    <row r="4028" spans="1:9" hidden="1" x14ac:dyDescent="0.25">
      <c r="A4028" t="s">
        <v>17</v>
      </c>
      <c r="B4028" t="s">
        <v>135</v>
      </c>
      <c r="C4028">
        <v>202106</v>
      </c>
      <c r="D4028" t="str">
        <f t="shared" si="62"/>
        <v>2021</v>
      </c>
      <c r="E4028">
        <v>6</v>
      </c>
      <c r="F4028">
        <v>177622</v>
      </c>
      <c r="G4028">
        <v>0</v>
      </c>
      <c r="H4028" t="s">
        <v>10</v>
      </c>
      <c r="I4028" t="s">
        <v>11</v>
      </c>
    </row>
    <row r="4029" spans="1:9" hidden="1" x14ac:dyDescent="0.25">
      <c r="A4029" t="s">
        <v>17</v>
      </c>
      <c r="B4029" t="s">
        <v>135</v>
      </c>
      <c r="C4029">
        <v>202107</v>
      </c>
      <c r="D4029" t="str">
        <f t="shared" si="62"/>
        <v>2021</v>
      </c>
      <c r="E4029">
        <v>2</v>
      </c>
      <c r="F4029">
        <v>177622</v>
      </c>
      <c r="G4029">
        <v>0</v>
      </c>
      <c r="H4029" t="s">
        <v>10</v>
      </c>
      <c r="I4029" t="s">
        <v>11</v>
      </c>
    </row>
    <row r="4030" spans="1:9" hidden="1" x14ac:dyDescent="0.25">
      <c r="A4030" t="s">
        <v>17</v>
      </c>
      <c r="B4030" t="s">
        <v>135</v>
      </c>
      <c r="C4030">
        <v>202108</v>
      </c>
      <c r="D4030" t="str">
        <f t="shared" si="62"/>
        <v>2021</v>
      </c>
      <c r="E4030">
        <v>6</v>
      </c>
      <c r="F4030">
        <v>177622</v>
      </c>
      <c r="G4030">
        <v>0</v>
      </c>
      <c r="H4030" t="s">
        <v>10</v>
      </c>
      <c r="I4030" t="s">
        <v>11</v>
      </c>
    </row>
    <row r="4031" spans="1:9" hidden="1" x14ac:dyDescent="0.25">
      <c r="A4031" t="s">
        <v>17</v>
      </c>
      <c r="B4031" t="s">
        <v>135</v>
      </c>
      <c r="C4031">
        <v>202109</v>
      </c>
      <c r="D4031" t="str">
        <f t="shared" si="62"/>
        <v>2021</v>
      </c>
      <c r="E4031">
        <v>3</v>
      </c>
      <c r="F4031">
        <v>177622</v>
      </c>
      <c r="G4031">
        <v>0</v>
      </c>
      <c r="H4031" t="s">
        <v>10</v>
      </c>
      <c r="I4031" t="s">
        <v>11</v>
      </c>
    </row>
    <row r="4032" spans="1:9" hidden="1" x14ac:dyDescent="0.25">
      <c r="A4032" t="s">
        <v>17</v>
      </c>
      <c r="B4032" t="s">
        <v>135</v>
      </c>
      <c r="C4032">
        <v>202110</v>
      </c>
      <c r="D4032" t="str">
        <f t="shared" si="62"/>
        <v>2021</v>
      </c>
      <c r="E4032">
        <v>1</v>
      </c>
      <c r="F4032">
        <v>177622</v>
      </c>
      <c r="G4032">
        <v>0</v>
      </c>
      <c r="H4032" t="s">
        <v>10</v>
      </c>
      <c r="I4032" t="s">
        <v>11</v>
      </c>
    </row>
    <row r="4033" spans="1:9" hidden="1" x14ac:dyDescent="0.25">
      <c r="A4033" t="s">
        <v>17</v>
      </c>
      <c r="B4033" t="s">
        <v>135</v>
      </c>
      <c r="C4033">
        <v>202111</v>
      </c>
      <c r="D4033" t="str">
        <f t="shared" si="62"/>
        <v>2021</v>
      </c>
      <c r="E4033">
        <v>1</v>
      </c>
      <c r="F4033">
        <v>177622</v>
      </c>
      <c r="G4033">
        <v>0</v>
      </c>
      <c r="H4033" t="s">
        <v>10</v>
      </c>
      <c r="I4033" t="s">
        <v>11</v>
      </c>
    </row>
    <row r="4034" spans="1:9" hidden="1" x14ac:dyDescent="0.25">
      <c r="A4034" t="s">
        <v>17</v>
      </c>
      <c r="B4034" t="s">
        <v>135</v>
      </c>
      <c r="C4034">
        <v>202112</v>
      </c>
      <c r="D4034" t="str">
        <f t="shared" si="62"/>
        <v>2021</v>
      </c>
      <c r="E4034">
        <v>6</v>
      </c>
      <c r="F4034">
        <v>177622</v>
      </c>
      <c r="G4034">
        <v>0</v>
      </c>
      <c r="H4034" t="s">
        <v>10</v>
      </c>
      <c r="I4034" t="s">
        <v>11</v>
      </c>
    </row>
    <row r="4035" spans="1:9" hidden="1" x14ac:dyDescent="0.25">
      <c r="A4035" t="s">
        <v>17</v>
      </c>
      <c r="B4035" t="s">
        <v>135</v>
      </c>
      <c r="C4035">
        <v>202203</v>
      </c>
      <c r="D4035" t="str">
        <f t="shared" ref="D4035:D4098" si="63">LEFT(C4035,4)</f>
        <v>2022</v>
      </c>
      <c r="E4035">
        <v>1</v>
      </c>
      <c r="F4035">
        <v>177622</v>
      </c>
      <c r="G4035">
        <v>0</v>
      </c>
      <c r="H4035" t="s">
        <v>10</v>
      </c>
      <c r="I4035" t="s">
        <v>11</v>
      </c>
    </row>
    <row r="4036" spans="1:9" hidden="1" x14ac:dyDescent="0.25">
      <c r="A4036" t="s">
        <v>17</v>
      </c>
      <c r="B4036" t="s">
        <v>135</v>
      </c>
      <c r="C4036">
        <v>202206</v>
      </c>
      <c r="D4036" t="str">
        <f t="shared" si="63"/>
        <v>2022</v>
      </c>
      <c r="E4036">
        <v>11</v>
      </c>
      <c r="F4036">
        <v>177622</v>
      </c>
      <c r="G4036">
        <v>0.01</v>
      </c>
      <c r="H4036" t="s">
        <v>10</v>
      </c>
      <c r="I4036" t="s">
        <v>11</v>
      </c>
    </row>
    <row r="4037" spans="1:9" hidden="1" x14ac:dyDescent="0.25">
      <c r="A4037" t="s">
        <v>17</v>
      </c>
      <c r="B4037" t="s">
        <v>135</v>
      </c>
      <c r="C4037">
        <v>202207</v>
      </c>
      <c r="D4037" t="str">
        <f t="shared" si="63"/>
        <v>2022</v>
      </c>
      <c r="E4037">
        <v>10</v>
      </c>
      <c r="F4037">
        <v>177622</v>
      </c>
      <c r="G4037">
        <v>0.01</v>
      </c>
      <c r="H4037" t="s">
        <v>10</v>
      </c>
      <c r="I4037" t="s">
        <v>11</v>
      </c>
    </row>
    <row r="4038" spans="1:9" hidden="1" x14ac:dyDescent="0.25">
      <c r="A4038" t="s">
        <v>17</v>
      </c>
      <c r="B4038" t="s">
        <v>135</v>
      </c>
      <c r="C4038">
        <v>202208</v>
      </c>
      <c r="D4038" t="str">
        <f t="shared" si="63"/>
        <v>2022</v>
      </c>
      <c r="E4038">
        <v>17</v>
      </c>
      <c r="F4038">
        <v>177622</v>
      </c>
      <c r="G4038">
        <v>0.01</v>
      </c>
      <c r="H4038" t="s">
        <v>10</v>
      </c>
      <c r="I4038" t="s">
        <v>11</v>
      </c>
    </row>
    <row r="4039" spans="1:9" hidden="1" x14ac:dyDescent="0.25">
      <c r="A4039" t="s">
        <v>17</v>
      </c>
      <c r="B4039" t="s">
        <v>135</v>
      </c>
      <c r="C4039">
        <v>202209</v>
      </c>
      <c r="D4039" t="str">
        <f t="shared" si="63"/>
        <v>2022</v>
      </c>
      <c r="E4039">
        <v>29</v>
      </c>
      <c r="F4039">
        <v>177622</v>
      </c>
      <c r="G4039">
        <v>0.02</v>
      </c>
      <c r="H4039" t="s">
        <v>10</v>
      </c>
      <c r="I4039" t="s">
        <v>11</v>
      </c>
    </row>
    <row r="4040" spans="1:9" hidden="1" x14ac:dyDescent="0.25">
      <c r="A4040" t="s">
        <v>17</v>
      </c>
      <c r="B4040" t="s">
        <v>135</v>
      </c>
      <c r="C4040">
        <v>202210</v>
      </c>
      <c r="D4040" t="str">
        <f t="shared" si="63"/>
        <v>2022</v>
      </c>
      <c r="E4040">
        <v>103</v>
      </c>
      <c r="F4040">
        <v>177622</v>
      </c>
      <c r="G4040">
        <v>0.06</v>
      </c>
      <c r="H4040" t="s">
        <v>10</v>
      </c>
      <c r="I4040" t="s">
        <v>11</v>
      </c>
    </row>
    <row r="4041" spans="1:9" hidden="1" x14ac:dyDescent="0.25">
      <c r="A4041" t="s">
        <v>17</v>
      </c>
      <c r="B4041" t="s">
        <v>135</v>
      </c>
      <c r="C4041">
        <v>202211</v>
      </c>
      <c r="D4041" t="str">
        <f t="shared" si="63"/>
        <v>2022</v>
      </c>
      <c r="E4041">
        <v>35</v>
      </c>
      <c r="F4041">
        <v>177622</v>
      </c>
      <c r="G4041">
        <v>0.02</v>
      </c>
      <c r="H4041" t="s">
        <v>10</v>
      </c>
      <c r="I4041" t="s">
        <v>11</v>
      </c>
    </row>
    <row r="4042" spans="1:9" hidden="1" x14ac:dyDescent="0.25">
      <c r="A4042" t="s">
        <v>17</v>
      </c>
      <c r="B4042" t="s">
        <v>135</v>
      </c>
      <c r="C4042">
        <v>202212</v>
      </c>
      <c r="D4042" t="str">
        <f t="shared" si="63"/>
        <v>2022</v>
      </c>
      <c r="E4042">
        <v>108</v>
      </c>
      <c r="F4042">
        <v>177622</v>
      </c>
      <c r="G4042">
        <v>0.06</v>
      </c>
      <c r="H4042" t="s">
        <v>10</v>
      </c>
      <c r="I4042" t="s">
        <v>11</v>
      </c>
    </row>
    <row r="4043" spans="1:9" hidden="1" x14ac:dyDescent="0.25">
      <c r="A4043" t="s">
        <v>17</v>
      </c>
      <c r="B4043" t="s">
        <v>135</v>
      </c>
      <c r="C4043">
        <v>202301</v>
      </c>
      <c r="D4043" t="str">
        <f t="shared" si="63"/>
        <v>2023</v>
      </c>
      <c r="E4043">
        <v>84</v>
      </c>
      <c r="F4043">
        <v>177622</v>
      </c>
      <c r="G4043">
        <v>0.05</v>
      </c>
      <c r="H4043" t="s">
        <v>10</v>
      </c>
      <c r="I4043" t="s">
        <v>11</v>
      </c>
    </row>
    <row r="4044" spans="1:9" hidden="1" x14ac:dyDescent="0.25">
      <c r="A4044" t="s">
        <v>17</v>
      </c>
      <c r="B4044" t="s">
        <v>135</v>
      </c>
      <c r="C4044">
        <v>202302</v>
      </c>
      <c r="D4044" t="str">
        <f t="shared" si="63"/>
        <v>2023</v>
      </c>
      <c r="E4044">
        <v>44</v>
      </c>
      <c r="F4044">
        <v>177622</v>
      </c>
      <c r="G4044">
        <v>0.02</v>
      </c>
      <c r="H4044" t="s">
        <v>10</v>
      </c>
      <c r="I4044" t="s">
        <v>11</v>
      </c>
    </row>
    <row r="4045" spans="1:9" hidden="1" x14ac:dyDescent="0.25">
      <c r="A4045" t="s">
        <v>17</v>
      </c>
      <c r="B4045" t="s">
        <v>135</v>
      </c>
      <c r="C4045">
        <v>202303</v>
      </c>
      <c r="D4045" t="str">
        <f t="shared" si="63"/>
        <v>2023</v>
      </c>
      <c r="E4045">
        <v>136</v>
      </c>
      <c r="F4045">
        <v>177622</v>
      </c>
      <c r="G4045">
        <v>0.08</v>
      </c>
      <c r="H4045" t="s">
        <v>10</v>
      </c>
      <c r="I4045" t="s">
        <v>11</v>
      </c>
    </row>
    <row r="4046" spans="1:9" hidden="1" x14ac:dyDescent="0.25">
      <c r="A4046" t="s">
        <v>17</v>
      </c>
      <c r="B4046" t="s">
        <v>135</v>
      </c>
      <c r="C4046">
        <v>202304</v>
      </c>
      <c r="D4046" t="str">
        <f t="shared" si="63"/>
        <v>2023</v>
      </c>
      <c r="E4046">
        <v>202</v>
      </c>
      <c r="F4046">
        <v>177622</v>
      </c>
      <c r="G4046">
        <v>0.11</v>
      </c>
      <c r="H4046" t="s">
        <v>10</v>
      </c>
      <c r="I4046" t="s">
        <v>11</v>
      </c>
    </row>
    <row r="4047" spans="1:9" hidden="1" x14ac:dyDescent="0.25">
      <c r="A4047" t="s">
        <v>17</v>
      </c>
      <c r="B4047" t="s">
        <v>135</v>
      </c>
      <c r="C4047">
        <v>202305</v>
      </c>
      <c r="D4047" t="str">
        <f t="shared" si="63"/>
        <v>2023</v>
      </c>
      <c r="E4047">
        <v>80</v>
      </c>
      <c r="F4047">
        <v>177622</v>
      </c>
      <c r="G4047">
        <v>0.05</v>
      </c>
      <c r="H4047" t="s">
        <v>10</v>
      </c>
      <c r="I4047" t="s">
        <v>11</v>
      </c>
    </row>
    <row r="4048" spans="1:9" hidden="1" x14ac:dyDescent="0.25">
      <c r="A4048" t="s">
        <v>17</v>
      </c>
      <c r="B4048" t="s">
        <v>135</v>
      </c>
      <c r="C4048">
        <v>202306</v>
      </c>
      <c r="D4048" t="str">
        <f t="shared" si="63"/>
        <v>2023</v>
      </c>
      <c r="E4048">
        <v>133</v>
      </c>
      <c r="F4048">
        <v>177622</v>
      </c>
      <c r="G4048">
        <v>7.0000000000000007E-2</v>
      </c>
      <c r="H4048" t="s">
        <v>10</v>
      </c>
      <c r="I4048" t="s">
        <v>11</v>
      </c>
    </row>
    <row r="4049" spans="1:9" hidden="1" x14ac:dyDescent="0.25">
      <c r="A4049" t="s">
        <v>17</v>
      </c>
      <c r="B4049" t="s">
        <v>135</v>
      </c>
      <c r="C4049">
        <v>202307</v>
      </c>
      <c r="D4049" t="str">
        <f t="shared" si="63"/>
        <v>2023</v>
      </c>
      <c r="E4049">
        <v>124</v>
      </c>
      <c r="F4049">
        <v>177622</v>
      </c>
      <c r="G4049">
        <v>7.0000000000000007E-2</v>
      </c>
      <c r="H4049" t="s">
        <v>10</v>
      </c>
      <c r="I4049" t="s">
        <v>11</v>
      </c>
    </row>
    <row r="4050" spans="1:9" hidden="1" x14ac:dyDescent="0.25">
      <c r="A4050" t="s">
        <v>17</v>
      </c>
      <c r="B4050" t="s">
        <v>135</v>
      </c>
      <c r="C4050">
        <v>202308</v>
      </c>
      <c r="D4050" t="str">
        <f t="shared" si="63"/>
        <v>2023</v>
      </c>
      <c r="E4050">
        <v>217</v>
      </c>
      <c r="F4050">
        <v>177622</v>
      </c>
      <c r="G4050">
        <v>0.12</v>
      </c>
      <c r="H4050" t="s">
        <v>10</v>
      </c>
      <c r="I4050" t="s">
        <v>11</v>
      </c>
    </row>
    <row r="4051" spans="1:9" hidden="1" x14ac:dyDescent="0.25">
      <c r="A4051" t="s">
        <v>17</v>
      </c>
      <c r="B4051" t="s">
        <v>135</v>
      </c>
      <c r="C4051">
        <v>202309</v>
      </c>
      <c r="D4051" t="str">
        <f t="shared" si="63"/>
        <v>2023</v>
      </c>
      <c r="E4051">
        <v>125</v>
      </c>
      <c r="F4051">
        <v>177622</v>
      </c>
      <c r="G4051">
        <v>7.0000000000000007E-2</v>
      </c>
      <c r="H4051" t="s">
        <v>10</v>
      </c>
      <c r="I4051" t="s">
        <v>11</v>
      </c>
    </row>
    <row r="4052" spans="1:9" hidden="1" x14ac:dyDescent="0.25">
      <c r="A4052" t="s">
        <v>17</v>
      </c>
      <c r="B4052" t="s">
        <v>135</v>
      </c>
      <c r="C4052">
        <v>202310</v>
      </c>
      <c r="D4052" t="str">
        <f t="shared" si="63"/>
        <v>2023</v>
      </c>
      <c r="E4052">
        <v>223</v>
      </c>
      <c r="F4052">
        <v>177622</v>
      </c>
      <c r="G4052">
        <v>0.13</v>
      </c>
      <c r="H4052" t="s">
        <v>10</v>
      </c>
      <c r="I4052" t="s">
        <v>11</v>
      </c>
    </row>
    <row r="4053" spans="1:9" hidden="1" x14ac:dyDescent="0.25">
      <c r="A4053" t="s">
        <v>17</v>
      </c>
      <c r="B4053" t="s">
        <v>135</v>
      </c>
      <c r="C4053">
        <v>202311</v>
      </c>
      <c r="D4053" t="str">
        <f t="shared" si="63"/>
        <v>2023</v>
      </c>
      <c r="E4053">
        <v>331</v>
      </c>
      <c r="F4053">
        <v>177622</v>
      </c>
      <c r="G4053">
        <v>0.19</v>
      </c>
      <c r="H4053" t="s">
        <v>10</v>
      </c>
      <c r="I4053" t="s">
        <v>11</v>
      </c>
    </row>
    <row r="4054" spans="1:9" hidden="1" x14ac:dyDescent="0.25">
      <c r="A4054" t="s">
        <v>17</v>
      </c>
      <c r="B4054" t="s">
        <v>135</v>
      </c>
      <c r="C4054">
        <v>202312</v>
      </c>
      <c r="D4054" t="str">
        <f t="shared" si="63"/>
        <v>2023</v>
      </c>
      <c r="E4054">
        <v>301</v>
      </c>
      <c r="F4054">
        <v>177622</v>
      </c>
      <c r="G4054">
        <v>0.17</v>
      </c>
      <c r="H4054" t="s">
        <v>10</v>
      </c>
      <c r="I4054" t="s">
        <v>11</v>
      </c>
    </row>
    <row r="4055" spans="1:9" hidden="1" x14ac:dyDescent="0.25">
      <c r="A4055" t="s">
        <v>17</v>
      </c>
      <c r="B4055" t="s">
        <v>135</v>
      </c>
      <c r="C4055">
        <v>202401</v>
      </c>
      <c r="D4055" t="str">
        <f t="shared" si="63"/>
        <v>2024</v>
      </c>
      <c r="E4055">
        <v>684</v>
      </c>
      <c r="F4055">
        <v>177622</v>
      </c>
      <c r="G4055">
        <v>0.39</v>
      </c>
      <c r="H4055" t="s">
        <v>10</v>
      </c>
      <c r="I4055" t="s">
        <v>11</v>
      </c>
    </row>
    <row r="4056" spans="1:9" hidden="1" x14ac:dyDescent="0.25">
      <c r="A4056" t="s">
        <v>17</v>
      </c>
      <c r="B4056" t="s">
        <v>135</v>
      </c>
      <c r="C4056">
        <v>202402</v>
      </c>
      <c r="D4056" t="str">
        <f t="shared" si="63"/>
        <v>2024</v>
      </c>
      <c r="E4056">
        <v>653</v>
      </c>
      <c r="F4056">
        <v>177622</v>
      </c>
      <c r="G4056">
        <v>0.37</v>
      </c>
      <c r="H4056" t="s">
        <v>10</v>
      </c>
      <c r="I4056" t="s">
        <v>11</v>
      </c>
    </row>
    <row r="4057" spans="1:9" hidden="1" x14ac:dyDescent="0.25">
      <c r="A4057" t="s">
        <v>17</v>
      </c>
      <c r="B4057" t="s">
        <v>135</v>
      </c>
      <c r="C4057">
        <v>202403</v>
      </c>
      <c r="D4057" t="str">
        <f t="shared" si="63"/>
        <v>2024</v>
      </c>
      <c r="E4057">
        <v>888</v>
      </c>
      <c r="F4057">
        <v>177622</v>
      </c>
      <c r="G4057">
        <v>0.5</v>
      </c>
      <c r="H4057" t="s">
        <v>10</v>
      </c>
      <c r="I4057" t="s">
        <v>11</v>
      </c>
    </row>
    <row r="4058" spans="1:9" hidden="1" x14ac:dyDescent="0.25">
      <c r="A4058" t="s">
        <v>17</v>
      </c>
      <c r="B4058" t="s">
        <v>135</v>
      </c>
      <c r="C4058">
        <v>202404</v>
      </c>
      <c r="D4058" t="str">
        <f t="shared" si="63"/>
        <v>2024</v>
      </c>
      <c r="E4058">
        <v>2743</v>
      </c>
      <c r="F4058">
        <v>177622</v>
      </c>
      <c r="G4058">
        <v>1.54</v>
      </c>
      <c r="H4058" t="s">
        <v>10</v>
      </c>
      <c r="I4058" t="s">
        <v>11</v>
      </c>
    </row>
    <row r="4059" spans="1:9" hidden="1" x14ac:dyDescent="0.25">
      <c r="A4059" t="s">
        <v>17</v>
      </c>
      <c r="B4059" t="s">
        <v>135</v>
      </c>
      <c r="C4059">
        <v>202405</v>
      </c>
      <c r="D4059" t="str">
        <f t="shared" si="63"/>
        <v>2024</v>
      </c>
      <c r="E4059">
        <v>2138</v>
      </c>
      <c r="F4059">
        <v>177622</v>
      </c>
      <c r="G4059">
        <v>1.2</v>
      </c>
      <c r="H4059" t="s">
        <v>10</v>
      </c>
      <c r="I4059" t="s">
        <v>11</v>
      </c>
    </row>
    <row r="4060" spans="1:9" hidden="1" x14ac:dyDescent="0.25">
      <c r="A4060" t="s">
        <v>17</v>
      </c>
      <c r="B4060" t="s">
        <v>135</v>
      </c>
      <c r="C4060">
        <v>202406</v>
      </c>
      <c r="D4060" t="str">
        <f t="shared" si="63"/>
        <v>2024</v>
      </c>
      <c r="E4060">
        <v>2901</v>
      </c>
      <c r="F4060">
        <v>177622</v>
      </c>
      <c r="G4060">
        <v>1.63</v>
      </c>
      <c r="H4060" t="s">
        <v>10</v>
      </c>
      <c r="I4060" t="s">
        <v>11</v>
      </c>
    </row>
    <row r="4061" spans="1:9" hidden="1" x14ac:dyDescent="0.25">
      <c r="A4061" t="s">
        <v>17</v>
      </c>
      <c r="B4061" t="s">
        <v>135</v>
      </c>
      <c r="C4061">
        <v>202407</v>
      </c>
      <c r="D4061" t="str">
        <f t="shared" si="63"/>
        <v>2024</v>
      </c>
      <c r="E4061">
        <v>4397</v>
      </c>
      <c r="F4061">
        <v>177622</v>
      </c>
      <c r="G4061">
        <v>2.48</v>
      </c>
      <c r="H4061" t="s">
        <v>10</v>
      </c>
      <c r="I4061" t="s">
        <v>11</v>
      </c>
    </row>
    <row r="4062" spans="1:9" hidden="1" x14ac:dyDescent="0.25">
      <c r="A4062" t="s">
        <v>17</v>
      </c>
      <c r="B4062" t="s">
        <v>135</v>
      </c>
      <c r="C4062">
        <v>202408</v>
      </c>
      <c r="D4062" t="str">
        <f t="shared" si="63"/>
        <v>2024</v>
      </c>
      <c r="E4062">
        <v>3846</v>
      </c>
      <c r="F4062">
        <v>177622</v>
      </c>
      <c r="G4062">
        <v>2.17</v>
      </c>
      <c r="H4062" t="s">
        <v>10</v>
      </c>
      <c r="I4062" t="s">
        <v>11</v>
      </c>
    </row>
    <row r="4063" spans="1:9" hidden="1" x14ac:dyDescent="0.25">
      <c r="A4063" t="s">
        <v>17</v>
      </c>
      <c r="B4063" t="s">
        <v>135</v>
      </c>
      <c r="C4063">
        <v>202409</v>
      </c>
      <c r="D4063" t="str">
        <f t="shared" si="63"/>
        <v>2024</v>
      </c>
      <c r="E4063">
        <v>3930</v>
      </c>
      <c r="F4063">
        <v>177622</v>
      </c>
      <c r="G4063">
        <v>2.21</v>
      </c>
      <c r="H4063" t="s">
        <v>10</v>
      </c>
      <c r="I4063" t="s">
        <v>11</v>
      </c>
    </row>
    <row r="4064" spans="1:9" hidden="1" x14ac:dyDescent="0.25">
      <c r="A4064" t="s">
        <v>17</v>
      </c>
      <c r="B4064" t="s">
        <v>135</v>
      </c>
      <c r="C4064">
        <v>202410</v>
      </c>
      <c r="D4064" t="str">
        <f t="shared" si="63"/>
        <v>2024</v>
      </c>
      <c r="E4064">
        <v>6281</v>
      </c>
      <c r="F4064">
        <v>177622</v>
      </c>
      <c r="G4064">
        <v>3.54</v>
      </c>
      <c r="H4064" t="s">
        <v>10</v>
      </c>
      <c r="I4064" t="s">
        <v>11</v>
      </c>
    </row>
    <row r="4065" spans="1:9" hidden="1" x14ac:dyDescent="0.25">
      <c r="A4065" t="s">
        <v>17</v>
      </c>
      <c r="B4065" t="s">
        <v>135</v>
      </c>
      <c r="C4065">
        <v>202411</v>
      </c>
      <c r="D4065" t="str">
        <f t="shared" si="63"/>
        <v>2024</v>
      </c>
      <c r="E4065">
        <v>5628</v>
      </c>
      <c r="F4065">
        <v>177622</v>
      </c>
      <c r="G4065">
        <v>3.17</v>
      </c>
      <c r="H4065" t="s">
        <v>10</v>
      </c>
      <c r="I4065" t="s">
        <v>11</v>
      </c>
    </row>
    <row r="4066" spans="1:9" hidden="1" x14ac:dyDescent="0.25">
      <c r="A4066" t="s">
        <v>17</v>
      </c>
      <c r="B4066" t="s">
        <v>135</v>
      </c>
      <c r="C4066">
        <v>202412</v>
      </c>
      <c r="D4066" t="str">
        <f t="shared" si="63"/>
        <v>2024</v>
      </c>
      <c r="E4066">
        <v>13321</v>
      </c>
      <c r="F4066">
        <v>177622</v>
      </c>
      <c r="G4066">
        <v>7.5</v>
      </c>
      <c r="H4066" t="s">
        <v>10</v>
      </c>
      <c r="I4066" t="s">
        <v>11</v>
      </c>
    </row>
    <row r="4067" spans="1:9" x14ac:dyDescent="0.25">
      <c r="A4067" t="s">
        <v>17</v>
      </c>
      <c r="B4067" t="s">
        <v>135</v>
      </c>
      <c r="C4067">
        <v>202501</v>
      </c>
      <c r="D4067" t="str">
        <f t="shared" si="63"/>
        <v>2025</v>
      </c>
      <c r="E4067">
        <v>90921</v>
      </c>
      <c r="F4067">
        <v>177622</v>
      </c>
      <c r="G4067">
        <v>51.19</v>
      </c>
      <c r="H4067" t="s">
        <v>10</v>
      </c>
      <c r="I4067" t="s">
        <v>11</v>
      </c>
    </row>
    <row r="4068" spans="1:9" x14ac:dyDescent="0.25">
      <c r="A4068" t="s">
        <v>17</v>
      </c>
      <c r="B4068" t="s">
        <v>135</v>
      </c>
      <c r="C4068">
        <v>202502</v>
      </c>
      <c r="D4068" t="str">
        <f t="shared" si="63"/>
        <v>2025</v>
      </c>
      <c r="E4068">
        <v>36844</v>
      </c>
      <c r="F4068">
        <v>177622</v>
      </c>
      <c r="G4068">
        <v>20.74</v>
      </c>
      <c r="H4068" t="s">
        <v>10</v>
      </c>
      <c r="I4068" t="s">
        <v>11</v>
      </c>
    </row>
    <row r="4069" spans="1:9" hidden="1" x14ac:dyDescent="0.25">
      <c r="A4069" t="s">
        <v>17</v>
      </c>
      <c r="B4069" t="s">
        <v>46</v>
      </c>
      <c r="C4069">
        <v>201901</v>
      </c>
      <c r="D4069" t="str">
        <f t="shared" si="63"/>
        <v>2019</v>
      </c>
      <c r="E4069">
        <v>3</v>
      </c>
      <c r="F4069">
        <v>187381</v>
      </c>
      <c r="G4069">
        <v>0</v>
      </c>
      <c r="H4069" t="s">
        <v>10</v>
      </c>
      <c r="I4069" t="s">
        <v>11</v>
      </c>
    </row>
    <row r="4070" spans="1:9" hidden="1" x14ac:dyDescent="0.25">
      <c r="A4070" t="s">
        <v>17</v>
      </c>
      <c r="B4070" t="s">
        <v>46</v>
      </c>
      <c r="C4070">
        <v>202005</v>
      </c>
      <c r="D4070" t="str">
        <f t="shared" si="63"/>
        <v>2020</v>
      </c>
      <c r="E4070">
        <v>12</v>
      </c>
      <c r="F4070">
        <v>187381</v>
      </c>
      <c r="G4070">
        <v>0.01</v>
      </c>
      <c r="H4070" t="s">
        <v>10</v>
      </c>
      <c r="I4070" t="s">
        <v>11</v>
      </c>
    </row>
    <row r="4071" spans="1:9" hidden="1" x14ac:dyDescent="0.25">
      <c r="A4071" t="s">
        <v>17</v>
      </c>
      <c r="B4071" t="s">
        <v>46</v>
      </c>
      <c r="C4071">
        <v>202012</v>
      </c>
      <c r="D4071" t="str">
        <f t="shared" si="63"/>
        <v>2020</v>
      </c>
      <c r="E4071">
        <v>2</v>
      </c>
      <c r="F4071">
        <v>187381</v>
      </c>
      <c r="G4071">
        <v>0</v>
      </c>
      <c r="H4071" t="s">
        <v>10</v>
      </c>
      <c r="I4071" t="s">
        <v>11</v>
      </c>
    </row>
    <row r="4072" spans="1:9" hidden="1" x14ac:dyDescent="0.25">
      <c r="A4072" t="s">
        <v>17</v>
      </c>
      <c r="B4072" t="s">
        <v>46</v>
      </c>
      <c r="C4072">
        <v>202101</v>
      </c>
      <c r="D4072" t="str">
        <f t="shared" si="63"/>
        <v>2021</v>
      </c>
      <c r="E4072">
        <v>9</v>
      </c>
      <c r="F4072">
        <v>187381</v>
      </c>
      <c r="G4072">
        <v>0</v>
      </c>
      <c r="H4072" t="s">
        <v>10</v>
      </c>
      <c r="I4072" t="s">
        <v>11</v>
      </c>
    </row>
    <row r="4073" spans="1:9" hidden="1" x14ac:dyDescent="0.25">
      <c r="A4073" t="s">
        <v>17</v>
      </c>
      <c r="B4073" t="s">
        <v>46</v>
      </c>
      <c r="C4073">
        <v>202102</v>
      </c>
      <c r="D4073" t="str">
        <f t="shared" si="63"/>
        <v>2021</v>
      </c>
      <c r="E4073">
        <v>9</v>
      </c>
      <c r="F4073">
        <v>187381</v>
      </c>
      <c r="G4073">
        <v>0</v>
      </c>
      <c r="H4073" t="s">
        <v>10</v>
      </c>
      <c r="I4073" t="s">
        <v>11</v>
      </c>
    </row>
    <row r="4074" spans="1:9" hidden="1" x14ac:dyDescent="0.25">
      <c r="A4074" t="s">
        <v>17</v>
      </c>
      <c r="B4074" t="s">
        <v>46</v>
      </c>
      <c r="C4074">
        <v>202104</v>
      </c>
      <c r="D4074" t="str">
        <f t="shared" si="63"/>
        <v>2021</v>
      </c>
      <c r="E4074">
        <v>3</v>
      </c>
      <c r="F4074">
        <v>187381</v>
      </c>
      <c r="G4074">
        <v>0</v>
      </c>
      <c r="H4074" t="s">
        <v>10</v>
      </c>
      <c r="I4074" t="s">
        <v>11</v>
      </c>
    </row>
    <row r="4075" spans="1:9" hidden="1" x14ac:dyDescent="0.25">
      <c r="A4075" t="s">
        <v>17</v>
      </c>
      <c r="B4075" t="s">
        <v>46</v>
      </c>
      <c r="C4075">
        <v>202105</v>
      </c>
      <c r="D4075" t="str">
        <f t="shared" si="63"/>
        <v>2021</v>
      </c>
      <c r="E4075">
        <v>25</v>
      </c>
      <c r="F4075">
        <v>187381</v>
      </c>
      <c r="G4075">
        <v>0.01</v>
      </c>
      <c r="H4075" t="s">
        <v>10</v>
      </c>
      <c r="I4075" t="s">
        <v>11</v>
      </c>
    </row>
    <row r="4076" spans="1:9" hidden="1" x14ac:dyDescent="0.25">
      <c r="A4076" t="s">
        <v>17</v>
      </c>
      <c r="B4076" t="s">
        <v>46</v>
      </c>
      <c r="C4076">
        <v>202106</v>
      </c>
      <c r="D4076" t="str">
        <f t="shared" si="63"/>
        <v>2021</v>
      </c>
      <c r="E4076">
        <v>10</v>
      </c>
      <c r="F4076">
        <v>187381</v>
      </c>
      <c r="G4076">
        <v>0.01</v>
      </c>
      <c r="H4076" t="s">
        <v>10</v>
      </c>
      <c r="I4076" t="s">
        <v>11</v>
      </c>
    </row>
    <row r="4077" spans="1:9" hidden="1" x14ac:dyDescent="0.25">
      <c r="A4077" t="s">
        <v>17</v>
      </c>
      <c r="B4077" t="s">
        <v>46</v>
      </c>
      <c r="C4077">
        <v>202107</v>
      </c>
      <c r="D4077" t="str">
        <f t="shared" si="63"/>
        <v>2021</v>
      </c>
      <c r="E4077">
        <v>25</v>
      </c>
      <c r="F4077">
        <v>187381</v>
      </c>
      <c r="G4077">
        <v>0.01</v>
      </c>
      <c r="H4077" t="s">
        <v>10</v>
      </c>
      <c r="I4077" t="s">
        <v>11</v>
      </c>
    </row>
    <row r="4078" spans="1:9" hidden="1" x14ac:dyDescent="0.25">
      <c r="A4078" t="s">
        <v>17</v>
      </c>
      <c r="B4078" t="s">
        <v>46</v>
      </c>
      <c r="C4078">
        <v>202108</v>
      </c>
      <c r="D4078" t="str">
        <f t="shared" si="63"/>
        <v>2021</v>
      </c>
      <c r="E4078">
        <v>9</v>
      </c>
      <c r="F4078">
        <v>187381</v>
      </c>
      <c r="G4078">
        <v>0</v>
      </c>
      <c r="H4078" t="s">
        <v>10</v>
      </c>
      <c r="I4078" t="s">
        <v>11</v>
      </c>
    </row>
    <row r="4079" spans="1:9" hidden="1" x14ac:dyDescent="0.25">
      <c r="A4079" t="s">
        <v>17</v>
      </c>
      <c r="B4079" t="s">
        <v>46</v>
      </c>
      <c r="C4079">
        <v>202109</v>
      </c>
      <c r="D4079" t="str">
        <f t="shared" si="63"/>
        <v>2021</v>
      </c>
      <c r="E4079">
        <v>39</v>
      </c>
      <c r="F4079">
        <v>187381</v>
      </c>
      <c r="G4079">
        <v>0.02</v>
      </c>
      <c r="H4079" t="s">
        <v>10</v>
      </c>
      <c r="I4079" t="s">
        <v>11</v>
      </c>
    </row>
    <row r="4080" spans="1:9" hidden="1" x14ac:dyDescent="0.25">
      <c r="A4080" t="s">
        <v>17</v>
      </c>
      <c r="B4080" t="s">
        <v>46</v>
      </c>
      <c r="C4080">
        <v>202110</v>
      </c>
      <c r="D4080" t="str">
        <f t="shared" si="63"/>
        <v>2021</v>
      </c>
      <c r="E4080">
        <v>22</v>
      </c>
      <c r="F4080">
        <v>187381</v>
      </c>
      <c r="G4080">
        <v>0.01</v>
      </c>
      <c r="H4080" t="s">
        <v>10</v>
      </c>
      <c r="I4080" t="s">
        <v>11</v>
      </c>
    </row>
    <row r="4081" spans="1:9" hidden="1" x14ac:dyDescent="0.25">
      <c r="A4081" t="s">
        <v>17</v>
      </c>
      <c r="B4081" t="s">
        <v>46</v>
      </c>
      <c r="C4081">
        <v>202111</v>
      </c>
      <c r="D4081" t="str">
        <f t="shared" si="63"/>
        <v>2021</v>
      </c>
      <c r="E4081">
        <v>27</v>
      </c>
      <c r="F4081">
        <v>187381</v>
      </c>
      <c r="G4081">
        <v>0.01</v>
      </c>
      <c r="H4081" t="s">
        <v>10</v>
      </c>
      <c r="I4081" t="s">
        <v>11</v>
      </c>
    </row>
    <row r="4082" spans="1:9" hidden="1" x14ac:dyDescent="0.25">
      <c r="A4082" t="s">
        <v>17</v>
      </c>
      <c r="B4082" t="s">
        <v>46</v>
      </c>
      <c r="C4082">
        <v>202112</v>
      </c>
      <c r="D4082" t="str">
        <f t="shared" si="63"/>
        <v>2021</v>
      </c>
      <c r="E4082">
        <v>23</v>
      </c>
      <c r="F4082">
        <v>187381</v>
      </c>
      <c r="G4082">
        <v>0.01</v>
      </c>
      <c r="H4082" t="s">
        <v>10</v>
      </c>
      <c r="I4082" t="s">
        <v>11</v>
      </c>
    </row>
    <row r="4083" spans="1:9" hidden="1" x14ac:dyDescent="0.25">
      <c r="A4083" t="s">
        <v>17</v>
      </c>
      <c r="B4083" t="s">
        <v>46</v>
      </c>
      <c r="C4083">
        <v>202201</v>
      </c>
      <c r="D4083" t="str">
        <f t="shared" si="63"/>
        <v>2022</v>
      </c>
      <c r="E4083">
        <v>15</v>
      </c>
      <c r="F4083">
        <v>187381</v>
      </c>
      <c r="G4083">
        <v>0.01</v>
      </c>
      <c r="H4083" t="s">
        <v>10</v>
      </c>
      <c r="I4083" t="s">
        <v>11</v>
      </c>
    </row>
    <row r="4084" spans="1:9" hidden="1" x14ac:dyDescent="0.25">
      <c r="A4084" t="s">
        <v>17</v>
      </c>
      <c r="B4084" t="s">
        <v>46</v>
      </c>
      <c r="C4084">
        <v>202203</v>
      </c>
      <c r="D4084" t="str">
        <f t="shared" si="63"/>
        <v>2022</v>
      </c>
      <c r="E4084">
        <v>1</v>
      </c>
      <c r="F4084">
        <v>187381</v>
      </c>
      <c r="G4084">
        <v>0</v>
      </c>
      <c r="H4084" t="s">
        <v>10</v>
      </c>
      <c r="I4084" t="s">
        <v>11</v>
      </c>
    </row>
    <row r="4085" spans="1:9" hidden="1" x14ac:dyDescent="0.25">
      <c r="A4085" t="s">
        <v>17</v>
      </c>
      <c r="B4085" t="s">
        <v>46</v>
      </c>
      <c r="C4085">
        <v>202204</v>
      </c>
      <c r="D4085" t="str">
        <f t="shared" si="63"/>
        <v>2022</v>
      </c>
      <c r="E4085">
        <v>11</v>
      </c>
      <c r="F4085">
        <v>187381</v>
      </c>
      <c r="G4085">
        <v>0.01</v>
      </c>
      <c r="H4085" t="s">
        <v>10</v>
      </c>
      <c r="I4085" t="s">
        <v>11</v>
      </c>
    </row>
    <row r="4086" spans="1:9" hidden="1" x14ac:dyDescent="0.25">
      <c r="A4086" t="s">
        <v>17</v>
      </c>
      <c r="B4086" t="s">
        <v>46</v>
      </c>
      <c r="C4086">
        <v>202205</v>
      </c>
      <c r="D4086" t="str">
        <f t="shared" si="63"/>
        <v>2022</v>
      </c>
      <c r="E4086">
        <v>8</v>
      </c>
      <c r="F4086">
        <v>187381</v>
      </c>
      <c r="G4086">
        <v>0</v>
      </c>
      <c r="H4086" t="s">
        <v>10</v>
      </c>
      <c r="I4086" t="s">
        <v>11</v>
      </c>
    </row>
    <row r="4087" spans="1:9" hidden="1" x14ac:dyDescent="0.25">
      <c r="A4087" t="s">
        <v>17</v>
      </c>
      <c r="B4087" t="s">
        <v>46</v>
      </c>
      <c r="C4087">
        <v>202206</v>
      </c>
      <c r="D4087" t="str">
        <f t="shared" si="63"/>
        <v>2022</v>
      </c>
      <c r="E4087">
        <v>7</v>
      </c>
      <c r="F4087">
        <v>187381</v>
      </c>
      <c r="G4087">
        <v>0</v>
      </c>
      <c r="H4087" t="s">
        <v>10</v>
      </c>
      <c r="I4087" t="s">
        <v>11</v>
      </c>
    </row>
    <row r="4088" spans="1:9" hidden="1" x14ac:dyDescent="0.25">
      <c r="A4088" t="s">
        <v>17</v>
      </c>
      <c r="B4088" t="s">
        <v>46</v>
      </c>
      <c r="C4088">
        <v>202207</v>
      </c>
      <c r="D4088" t="str">
        <f t="shared" si="63"/>
        <v>2022</v>
      </c>
      <c r="E4088">
        <v>1</v>
      </c>
      <c r="F4088">
        <v>187381</v>
      </c>
      <c r="G4088">
        <v>0</v>
      </c>
      <c r="H4088" t="s">
        <v>10</v>
      </c>
      <c r="I4088" t="s">
        <v>11</v>
      </c>
    </row>
    <row r="4089" spans="1:9" hidden="1" x14ac:dyDescent="0.25">
      <c r="A4089" t="s">
        <v>17</v>
      </c>
      <c r="B4089" t="s">
        <v>46</v>
      </c>
      <c r="C4089">
        <v>202209</v>
      </c>
      <c r="D4089" t="str">
        <f t="shared" si="63"/>
        <v>2022</v>
      </c>
      <c r="E4089">
        <v>1</v>
      </c>
      <c r="F4089">
        <v>187381</v>
      </c>
      <c r="G4089">
        <v>0</v>
      </c>
      <c r="H4089" t="s">
        <v>10</v>
      </c>
      <c r="I4089" t="s">
        <v>11</v>
      </c>
    </row>
    <row r="4090" spans="1:9" hidden="1" x14ac:dyDescent="0.25">
      <c r="A4090" t="s">
        <v>17</v>
      </c>
      <c r="B4090" t="s">
        <v>46</v>
      </c>
      <c r="C4090">
        <v>202210</v>
      </c>
      <c r="D4090" t="str">
        <f t="shared" si="63"/>
        <v>2022</v>
      </c>
      <c r="E4090">
        <v>26</v>
      </c>
      <c r="F4090">
        <v>187381</v>
      </c>
      <c r="G4090">
        <v>0.01</v>
      </c>
      <c r="H4090" t="s">
        <v>10</v>
      </c>
      <c r="I4090" t="s">
        <v>11</v>
      </c>
    </row>
    <row r="4091" spans="1:9" hidden="1" x14ac:dyDescent="0.25">
      <c r="A4091" t="s">
        <v>17</v>
      </c>
      <c r="B4091" t="s">
        <v>46</v>
      </c>
      <c r="C4091">
        <v>202211</v>
      </c>
      <c r="D4091" t="str">
        <f t="shared" si="63"/>
        <v>2022</v>
      </c>
      <c r="E4091">
        <v>27</v>
      </c>
      <c r="F4091">
        <v>187381</v>
      </c>
      <c r="G4091">
        <v>0.01</v>
      </c>
      <c r="H4091" t="s">
        <v>10</v>
      </c>
      <c r="I4091" t="s">
        <v>11</v>
      </c>
    </row>
    <row r="4092" spans="1:9" hidden="1" x14ac:dyDescent="0.25">
      <c r="A4092" t="s">
        <v>17</v>
      </c>
      <c r="B4092" t="s">
        <v>46</v>
      </c>
      <c r="C4092">
        <v>202212</v>
      </c>
      <c r="D4092" t="str">
        <f t="shared" si="63"/>
        <v>2022</v>
      </c>
      <c r="E4092">
        <v>52</v>
      </c>
      <c r="F4092">
        <v>187381</v>
      </c>
      <c r="G4092">
        <v>0.03</v>
      </c>
      <c r="H4092" t="s">
        <v>10</v>
      </c>
      <c r="I4092" t="s">
        <v>11</v>
      </c>
    </row>
    <row r="4093" spans="1:9" hidden="1" x14ac:dyDescent="0.25">
      <c r="A4093" t="s">
        <v>17</v>
      </c>
      <c r="B4093" t="s">
        <v>46</v>
      </c>
      <c r="C4093">
        <v>202301</v>
      </c>
      <c r="D4093" t="str">
        <f t="shared" si="63"/>
        <v>2023</v>
      </c>
      <c r="E4093">
        <v>60</v>
      </c>
      <c r="F4093">
        <v>187381</v>
      </c>
      <c r="G4093">
        <v>0.03</v>
      </c>
      <c r="H4093" t="s">
        <v>10</v>
      </c>
      <c r="I4093" t="s">
        <v>11</v>
      </c>
    </row>
    <row r="4094" spans="1:9" hidden="1" x14ac:dyDescent="0.25">
      <c r="A4094" t="s">
        <v>17</v>
      </c>
      <c r="B4094" t="s">
        <v>46</v>
      </c>
      <c r="C4094">
        <v>202302</v>
      </c>
      <c r="D4094" t="str">
        <f t="shared" si="63"/>
        <v>2023</v>
      </c>
      <c r="E4094">
        <v>17</v>
      </c>
      <c r="F4094">
        <v>187381</v>
      </c>
      <c r="G4094">
        <v>0.01</v>
      </c>
      <c r="H4094" t="s">
        <v>10</v>
      </c>
      <c r="I4094" t="s">
        <v>11</v>
      </c>
    </row>
    <row r="4095" spans="1:9" hidden="1" x14ac:dyDescent="0.25">
      <c r="A4095" t="s">
        <v>17</v>
      </c>
      <c r="B4095" t="s">
        <v>46</v>
      </c>
      <c r="C4095">
        <v>202303</v>
      </c>
      <c r="D4095" t="str">
        <f t="shared" si="63"/>
        <v>2023</v>
      </c>
      <c r="E4095">
        <v>7</v>
      </c>
      <c r="F4095">
        <v>187381</v>
      </c>
      <c r="G4095">
        <v>0</v>
      </c>
      <c r="H4095" t="s">
        <v>10</v>
      </c>
      <c r="I4095" t="s">
        <v>11</v>
      </c>
    </row>
    <row r="4096" spans="1:9" hidden="1" x14ac:dyDescent="0.25">
      <c r="A4096" t="s">
        <v>17</v>
      </c>
      <c r="B4096" t="s">
        <v>46</v>
      </c>
      <c r="C4096">
        <v>202304</v>
      </c>
      <c r="D4096" t="str">
        <f t="shared" si="63"/>
        <v>2023</v>
      </c>
      <c r="E4096">
        <v>105</v>
      </c>
      <c r="F4096">
        <v>187381</v>
      </c>
      <c r="G4096">
        <v>0.06</v>
      </c>
      <c r="H4096" t="s">
        <v>10</v>
      </c>
      <c r="I4096" t="s">
        <v>11</v>
      </c>
    </row>
    <row r="4097" spans="1:9" hidden="1" x14ac:dyDescent="0.25">
      <c r="A4097" t="s">
        <v>17</v>
      </c>
      <c r="B4097" t="s">
        <v>46</v>
      </c>
      <c r="C4097">
        <v>202305</v>
      </c>
      <c r="D4097" t="str">
        <f t="shared" si="63"/>
        <v>2023</v>
      </c>
      <c r="E4097">
        <v>361</v>
      </c>
      <c r="F4097">
        <v>187381</v>
      </c>
      <c r="G4097">
        <v>0.19</v>
      </c>
      <c r="H4097" t="s">
        <v>10</v>
      </c>
      <c r="I4097" t="s">
        <v>11</v>
      </c>
    </row>
    <row r="4098" spans="1:9" hidden="1" x14ac:dyDescent="0.25">
      <c r="A4098" t="s">
        <v>17</v>
      </c>
      <c r="B4098" t="s">
        <v>46</v>
      </c>
      <c r="C4098">
        <v>202306</v>
      </c>
      <c r="D4098" t="str">
        <f t="shared" si="63"/>
        <v>2023</v>
      </c>
      <c r="E4098">
        <v>476</v>
      </c>
      <c r="F4098">
        <v>187381</v>
      </c>
      <c r="G4098">
        <v>0.25</v>
      </c>
      <c r="H4098" t="s">
        <v>10</v>
      </c>
      <c r="I4098" t="s">
        <v>11</v>
      </c>
    </row>
    <row r="4099" spans="1:9" hidden="1" x14ac:dyDescent="0.25">
      <c r="A4099" t="s">
        <v>17</v>
      </c>
      <c r="B4099" t="s">
        <v>46</v>
      </c>
      <c r="C4099">
        <v>202307</v>
      </c>
      <c r="D4099" t="str">
        <f t="shared" ref="D4099:D4162" si="64">LEFT(C4099,4)</f>
        <v>2023</v>
      </c>
      <c r="E4099">
        <v>418</v>
      </c>
      <c r="F4099">
        <v>187381</v>
      </c>
      <c r="G4099">
        <v>0.22</v>
      </c>
      <c r="H4099" t="s">
        <v>10</v>
      </c>
      <c r="I4099" t="s">
        <v>11</v>
      </c>
    </row>
    <row r="4100" spans="1:9" hidden="1" x14ac:dyDescent="0.25">
      <c r="A4100" t="s">
        <v>17</v>
      </c>
      <c r="B4100" t="s">
        <v>46</v>
      </c>
      <c r="C4100">
        <v>202308</v>
      </c>
      <c r="D4100" t="str">
        <f t="shared" si="64"/>
        <v>2023</v>
      </c>
      <c r="E4100">
        <v>534</v>
      </c>
      <c r="F4100">
        <v>187381</v>
      </c>
      <c r="G4100">
        <v>0.28000000000000003</v>
      </c>
      <c r="H4100" t="s">
        <v>10</v>
      </c>
      <c r="I4100" t="s">
        <v>11</v>
      </c>
    </row>
    <row r="4101" spans="1:9" hidden="1" x14ac:dyDescent="0.25">
      <c r="A4101" t="s">
        <v>17</v>
      </c>
      <c r="B4101" t="s">
        <v>46</v>
      </c>
      <c r="C4101">
        <v>202309</v>
      </c>
      <c r="D4101" t="str">
        <f t="shared" si="64"/>
        <v>2023</v>
      </c>
      <c r="E4101">
        <v>403</v>
      </c>
      <c r="F4101">
        <v>187381</v>
      </c>
      <c r="G4101">
        <v>0.22</v>
      </c>
      <c r="H4101" t="s">
        <v>10</v>
      </c>
      <c r="I4101" t="s">
        <v>11</v>
      </c>
    </row>
    <row r="4102" spans="1:9" hidden="1" x14ac:dyDescent="0.25">
      <c r="A4102" t="s">
        <v>17</v>
      </c>
      <c r="B4102" t="s">
        <v>46</v>
      </c>
      <c r="C4102">
        <v>202310</v>
      </c>
      <c r="D4102" t="str">
        <f t="shared" si="64"/>
        <v>2023</v>
      </c>
      <c r="E4102">
        <v>246</v>
      </c>
      <c r="F4102">
        <v>187381</v>
      </c>
      <c r="G4102">
        <v>0.13</v>
      </c>
      <c r="H4102" t="s">
        <v>10</v>
      </c>
      <c r="I4102" t="s">
        <v>11</v>
      </c>
    </row>
    <row r="4103" spans="1:9" hidden="1" x14ac:dyDescent="0.25">
      <c r="A4103" t="s">
        <v>17</v>
      </c>
      <c r="B4103" t="s">
        <v>46</v>
      </c>
      <c r="C4103">
        <v>202311</v>
      </c>
      <c r="D4103" t="str">
        <f t="shared" si="64"/>
        <v>2023</v>
      </c>
      <c r="E4103">
        <v>212</v>
      </c>
      <c r="F4103">
        <v>187381</v>
      </c>
      <c r="G4103">
        <v>0.11</v>
      </c>
      <c r="H4103" t="s">
        <v>10</v>
      </c>
      <c r="I4103" t="s">
        <v>11</v>
      </c>
    </row>
    <row r="4104" spans="1:9" hidden="1" x14ac:dyDescent="0.25">
      <c r="A4104" t="s">
        <v>17</v>
      </c>
      <c r="B4104" t="s">
        <v>46</v>
      </c>
      <c r="C4104">
        <v>202312</v>
      </c>
      <c r="D4104" t="str">
        <f t="shared" si="64"/>
        <v>2023</v>
      </c>
      <c r="E4104">
        <v>366</v>
      </c>
      <c r="F4104">
        <v>187381</v>
      </c>
      <c r="G4104">
        <v>0.2</v>
      </c>
      <c r="H4104" t="s">
        <v>10</v>
      </c>
      <c r="I4104" t="s">
        <v>11</v>
      </c>
    </row>
    <row r="4105" spans="1:9" hidden="1" x14ac:dyDescent="0.25">
      <c r="A4105" t="s">
        <v>17</v>
      </c>
      <c r="B4105" t="s">
        <v>46</v>
      </c>
      <c r="C4105">
        <v>202401</v>
      </c>
      <c r="D4105" t="str">
        <f t="shared" si="64"/>
        <v>2024</v>
      </c>
      <c r="E4105">
        <v>1687</v>
      </c>
      <c r="F4105">
        <v>187381</v>
      </c>
      <c r="G4105">
        <v>0.9</v>
      </c>
      <c r="H4105" t="s">
        <v>10</v>
      </c>
      <c r="I4105" t="s">
        <v>11</v>
      </c>
    </row>
    <row r="4106" spans="1:9" hidden="1" x14ac:dyDescent="0.25">
      <c r="A4106" t="s">
        <v>17</v>
      </c>
      <c r="B4106" t="s">
        <v>46</v>
      </c>
      <c r="C4106">
        <v>202402</v>
      </c>
      <c r="D4106" t="str">
        <f t="shared" si="64"/>
        <v>2024</v>
      </c>
      <c r="E4106">
        <v>1766</v>
      </c>
      <c r="F4106">
        <v>187381</v>
      </c>
      <c r="G4106">
        <v>0.94</v>
      </c>
      <c r="H4106" t="s">
        <v>10</v>
      </c>
      <c r="I4106" t="s">
        <v>11</v>
      </c>
    </row>
    <row r="4107" spans="1:9" hidden="1" x14ac:dyDescent="0.25">
      <c r="A4107" t="s">
        <v>17</v>
      </c>
      <c r="B4107" t="s">
        <v>46</v>
      </c>
      <c r="C4107">
        <v>202403</v>
      </c>
      <c r="D4107" t="str">
        <f t="shared" si="64"/>
        <v>2024</v>
      </c>
      <c r="E4107">
        <v>1843</v>
      </c>
      <c r="F4107">
        <v>187381</v>
      </c>
      <c r="G4107">
        <v>0.98</v>
      </c>
      <c r="H4107" t="s">
        <v>10</v>
      </c>
      <c r="I4107" t="s">
        <v>11</v>
      </c>
    </row>
    <row r="4108" spans="1:9" hidden="1" x14ac:dyDescent="0.25">
      <c r="A4108" t="s">
        <v>17</v>
      </c>
      <c r="B4108" t="s">
        <v>46</v>
      </c>
      <c r="C4108">
        <v>202404</v>
      </c>
      <c r="D4108" t="str">
        <f t="shared" si="64"/>
        <v>2024</v>
      </c>
      <c r="E4108">
        <v>2153</v>
      </c>
      <c r="F4108">
        <v>187381</v>
      </c>
      <c r="G4108">
        <v>1.1499999999999999</v>
      </c>
      <c r="H4108" t="s">
        <v>10</v>
      </c>
      <c r="I4108" t="s">
        <v>11</v>
      </c>
    </row>
    <row r="4109" spans="1:9" hidden="1" x14ac:dyDescent="0.25">
      <c r="A4109" t="s">
        <v>17</v>
      </c>
      <c r="B4109" t="s">
        <v>46</v>
      </c>
      <c r="C4109">
        <v>202405</v>
      </c>
      <c r="D4109" t="str">
        <f t="shared" si="64"/>
        <v>2024</v>
      </c>
      <c r="E4109">
        <v>2604</v>
      </c>
      <c r="F4109">
        <v>187381</v>
      </c>
      <c r="G4109">
        <v>1.39</v>
      </c>
      <c r="H4109" t="s">
        <v>10</v>
      </c>
      <c r="I4109" t="s">
        <v>11</v>
      </c>
    </row>
    <row r="4110" spans="1:9" hidden="1" x14ac:dyDescent="0.25">
      <c r="A4110" t="s">
        <v>17</v>
      </c>
      <c r="B4110" t="s">
        <v>46</v>
      </c>
      <c r="C4110">
        <v>202406</v>
      </c>
      <c r="D4110" t="str">
        <f t="shared" si="64"/>
        <v>2024</v>
      </c>
      <c r="E4110">
        <v>2156</v>
      </c>
      <c r="F4110">
        <v>187381</v>
      </c>
      <c r="G4110">
        <v>1.1499999999999999</v>
      </c>
      <c r="H4110" t="s">
        <v>10</v>
      </c>
      <c r="I4110" t="s">
        <v>11</v>
      </c>
    </row>
    <row r="4111" spans="1:9" hidden="1" x14ac:dyDescent="0.25">
      <c r="A4111" t="s">
        <v>17</v>
      </c>
      <c r="B4111" t="s">
        <v>46</v>
      </c>
      <c r="C4111">
        <v>202407</v>
      </c>
      <c r="D4111" t="str">
        <f t="shared" si="64"/>
        <v>2024</v>
      </c>
      <c r="E4111">
        <v>2277</v>
      </c>
      <c r="F4111">
        <v>187381</v>
      </c>
      <c r="G4111">
        <v>1.22</v>
      </c>
      <c r="H4111" t="s">
        <v>10</v>
      </c>
      <c r="I4111" t="s">
        <v>11</v>
      </c>
    </row>
    <row r="4112" spans="1:9" hidden="1" x14ac:dyDescent="0.25">
      <c r="A4112" t="s">
        <v>17</v>
      </c>
      <c r="B4112" t="s">
        <v>46</v>
      </c>
      <c r="C4112">
        <v>202408</v>
      </c>
      <c r="D4112" t="str">
        <f t="shared" si="64"/>
        <v>2024</v>
      </c>
      <c r="E4112">
        <v>2119</v>
      </c>
      <c r="F4112">
        <v>187381</v>
      </c>
      <c r="G4112">
        <v>1.1299999999999999</v>
      </c>
      <c r="H4112" t="s">
        <v>10</v>
      </c>
      <c r="I4112" t="s">
        <v>11</v>
      </c>
    </row>
    <row r="4113" spans="1:9" hidden="1" x14ac:dyDescent="0.25">
      <c r="A4113" t="s">
        <v>17</v>
      </c>
      <c r="B4113" t="s">
        <v>46</v>
      </c>
      <c r="C4113">
        <v>202409</v>
      </c>
      <c r="D4113" t="str">
        <f t="shared" si="64"/>
        <v>2024</v>
      </c>
      <c r="E4113">
        <v>2094</v>
      </c>
      <c r="F4113">
        <v>187381</v>
      </c>
      <c r="G4113">
        <v>1.1200000000000001</v>
      </c>
      <c r="H4113" t="s">
        <v>10</v>
      </c>
      <c r="I4113" t="s">
        <v>11</v>
      </c>
    </row>
    <row r="4114" spans="1:9" hidden="1" x14ac:dyDescent="0.25">
      <c r="A4114" t="s">
        <v>17</v>
      </c>
      <c r="B4114" t="s">
        <v>46</v>
      </c>
      <c r="C4114">
        <v>202410</v>
      </c>
      <c r="D4114" t="str">
        <f t="shared" si="64"/>
        <v>2024</v>
      </c>
      <c r="E4114">
        <v>2797</v>
      </c>
      <c r="F4114">
        <v>187381</v>
      </c>
      <c r="G4114">
        <v>1.49</v>
      </c>
      <c r="H4114" t="s">
        <v>10</v>
      </c>
      <c r="I4114" t="s">
        <v>11</v>
      </c>
    </row>
    <row r="4115" spans="1:9" hidden="1" x14ac:dyDescent="0.25">
      <c r="A4115" t="s">
        <v>17</v>
      </c>
      <c r="B4115" t="s">
        <v>46</v>
      </c>
      <c r="C4115">
        <v>202411</v>
      </c>
      <c r="D4115" t="str">
        <f t="shared" si="64"/>
        <v>2024</v>
      </c>
      <c r="E4115">
        <v>4576</v>
      </c>
      <c r="F4115">
        <v>187381</v>
      </c>
      <c r="G4115">
        <v>2.44</v>
      </c>
      <c r="H4115" t="s">
        <v>10</v>
      </c>
      <c r="I4115" t="s">
        <v>11</v>
      </c>
    </row>
    <row r="4116" spans="1:9" hidden="1" x14ac:dyDescent="0.25">
      <c r="A4116" t="s">
        <v>17</v>
      </c>
      <c r="B4116" t="s">
        <v>46</v>
      </c>
      <c r="C4116">
        <v>202412</v>
      </c>
      <c r="D4116" t="str">
        <f t="shared" si="64"/>
        <v>2024</v>
      </c>
      <c r="E4116">
        <v>5611</v>
      </c>
      <c r="F4116">
        <v>187381</v>
      </c>
      <c r="G4116">
        <v>2.99</v>
      </c>
      <c r="H4116" t="s">
        <v>10</v>
      </c>
      <c r="I4116" t="s">
        <v>11</v>
      </c>
    </row>
    <row r="4117" spans="1:9" x14ac:dyDescent="0.25">
      <c r="A4117" t="s">
        <v>17</v>
      </c>
      <c r="B4117" t="s">
        <v>46</v>
      </c>
      <c r="C4117">
        <v>202501</v>
      </c>
      <c r="D4117" t="str">
        <f t="shared" si="64"/>
        <v>2025</v>
      </c>
      <c r="E4117">
        <v>16470</v>
      </c>
      <c r="F4117">
        <v>187381</v>
      </c>
      <c r="G4117">
        <v>8.7899999999999991</v>
      </c>
      <c r="H4117" t="s">
        <v>10</v>
      </c>
      <c r="I4117" t="s">
        <v>11</v>
      </c>
    </row>
    <row r="4118" spans="1:9" x14ac:dyDescent="0.25">
      <c r="A4118" t="s">
        <v>17</v>
      </c>
      <c r="B4118" t="s">
        <v>46</v>
      </c>
      <c r="C4118">
        <v>202502</v>
      </c>
      <c r="D4118" t="str">
        <f t="shared" si="64"/>
        <v>2025</v>
      </c>
      <c r="E4118">
        <v>78388</v>
      </c>
      <c r="F4118">
        <v>187381</v>
      </c>
      <c r="G4118">
        <v>41.83</v>
      </c>
      <c r="H4118" t="s">
        <v>10</v>
      </c>
      <c r="I4118" t="s">
        <v>11</v>
      </c>
    </row>
    <row r="4119" spans="1:9" x14ac:dyDescent="0.25">
      <c r="A4119" t="s">
        <v>17</v>
      </c>
      <c r="B4119" t="s">
        <v>46</v>
      </c>
      <c r="C4119">
        <v>202503</v>
      </c>
      <c r="D4119" t="str">
        <f t="shared" si="64"/>
        <v>2025</v>
      </c>
      <c r="E4119">
        <v>57268</v>
      </c>
      <c r="F4119">
        <v>187381</v>
      </c>
      <c r="G4119">
        <v>30.56</v>
      </c>
      <c r="H4119" t="s">
        <v>10</v>
      </c>
      <c r="I4119" t="s">
        <v>11</v>
      </c>
    </row>
    <row r="4120" spans="1:9" hidden="1" x14ac:dyDescent="0.25">
      <c r="A4120" t="s">
        <v>17</v>
      </c>
      <c r="B4120" t="s">
        <v>128</v>
      </c>
      <c r="C4120">
        <v>201510</v>
      </c>
      <c r="D4120" t="str">
        <f t="shared" si="64"/>
        <v>2015</v>
      </c>
      <c r="E4120">
        <v>40</v>
      </c>
      <c r="F4120">
        <v>164322</v>
      </c>
      <c r="G4120">
        <v>0.02</v>
      </c>
      <c r="H4120" t="s">
        <v>10</v>
      </c>
      <c r="I4120" t="s">
        <v>11</v>
      </c>
    </row>
    <row r="4121" spans="1:9" hidden="1" x14ac:dyDescent="0.25">
      <c r="A4121" t="s">
        <v>17</v>
      </c>
      <c r="B4121" t="s">
        <v>128</v>
      </c>
      <c r="C4121">
        <v>201511</v>
      </c>
      <c r="D4121" t="str">
        <f t="shared" si="64"/>
        <v>2015</v>
      </c>
      <c r="E4121">
        <v>38</v>
      </c>
      <c r="F4121">
        <v>164322</v>
      </c>
      <c r="G4121">
        <v>0.02</v>
      </c>
      <c r="H4121" t="s">
        <v>10</v>
      </c>
      <c r="I4121" t="s">
        <v>11</v>
      </c>
    </row>
    <row r="4122" spans="1:9" hidden="1" x14ac:dyDescent="0.25">
      <c r="A4122" t="s">
        <v>17</v>
      </c>
      <c r="B4122" t="s">
        <v>128</v>
      </c>
      <c r="C4122">
        <v>201512</v>
      </c>
      <c r="D4122" t="str">
        <f t="shared" si="64"/>
        <v>2015</v>
      </c>
      <c r="E4122">
        <v>57</v>
      </c>
      <c r="F4122">
        <v>164322</v>
      </c>
      <c r="G4122">
        <v>0.03</v>
      </c>
      <c r="H4122" t="s">
        <v>10</v>
      </c>
      <c r="I4122" t="s">
        <v>11</v>
      </c>
    </row>
    <row r="4123" spans="1:9" hidden="1" x14ac:dyDescent="0.25">
      <c r="A4123" t="s">
        <v>17</v>
      </c>
      <c r="B4123" t="s">
        <v>128</v>
      </c>
      <c r="C4123">
        <v>201901</v>
      </c>
      <c r="D4123" t="str">
        <f t="shared" si="64"/>
        <v>2019</v>
      </c>
      <c r="E4123">
        <v>4</v>
      </c>
      <c r="F4123">
        <v>164322</v>
      </c>
      <c r="G4123">
        <v>0</v>
      </c>
      <c r="H4123" t="s">
        <v>10</v>
      </c>
      <c r="I4123" t="s">
        <v>11</v>
      </c>
    </row>
    <row r="4124" spans="1:9" hidden="1" x14ac:dyDescent="0.25">
      <c r="A4124" t="s">
        <v>17</v>
      </c>
      <c r="B4124" t="s">
        <v>128</v>
      </c>
      <c r="C4124">
        <v>201903</v>
      </c>
      <c r="D4124" t="str">
        <f t="shared" si="64"/>
        <v>2019</v>
      </c>
      <c r="E4124">
        <v>6</v>
      </c>
      <c r="F4124">
        <v>164322</v>
      </c>
      <c r="G4124">
        <v>0</v>
      </c>
      <c r="H4124" t="s">
        <v>10</v>
      </c>
      <c r="I4124" t="s">
        <v>11</v>
      </c>
    </row>
    <row r="4125" spans="1:9" hidden="1" x14ac:dyDescent="0.25">
      <c r="A4125" t="s">
        <v>17</v>
      </c>
      <c r="B4125" t="s">
        <v>128</v>
      </c>
      <c r="C4125">
        <v>201907</v>
      </c>
      <c r="D4125" t="str">
        <f t="shared" si="64"/>
        <v>2019</v>
      </c>
      <c r="E4125">
        <v>4</v>
      </c>
      <c r="F4125">
        <v>164322</v>
      </c>
      <c r="G4125">
        <v>0</v>
      </c>
      <c r="H4125" t="s">
        <v>10</v>
      </c>
      <c r="I4125" t="s">
        <v>11</v>
      </c>
    </row>
    <row r="4126" spans="1:9" hidden="1" x14ac:dyDescent="0.25">
      <c r="A4126" t="s">
        <v>17</v>
      </c>
      <c r="B4126" t="s">
        <v>128</v>
      </c>
      <c r="C4126">
        <v>202006</v>
      </c>
      <c r="D4126" t="str">
        <f t="shared" si="64"/>
        <v>2020</v>
      </c>
      <c r="E4126">
        <v>12</v>
      </c>
      <c r="F4126">
        <v>164322</v>
      </c>
      <c r="G4126">
        <v>0.01</v>
      </c>
      <c r="H4126" t="s">
        <v>10</v>
      </c>
      <c r="I4126" t="s">
        <v>11</v>
      </c>
    </row>
    <row r="4127" spans="1:9" hidden="1" x14ac:dyDescent="0.25">
      <c r="A4127" t="s">
        <v>17</v>
      </c>
      <c r="B4127" t="s">
        <v>128</v>
      </c>
      <c r="C4127">
        <v>202011</v>
      </c>
      <c r="D4127" t="str">
        <f t="shared" si="64"/>
        <v>2020</v>
      </c>
      <c r="E4127">
        <v>1</v>
      </c>
      <c r="F4127">
        <v>164322</v>
      </c>
      <c r="G4127">
        <v>0</v>
      </c>
      <c r="H4127" t="s">
        <v>10</v>
      </c>
      <c r="I4127" t="s">
        <v>11</v>
      </c>
    </row>
    <row r="4128" spans="1:9" hidden="1" x14ac:dyDescent="0.25">
      <c r="A4128" t="s">
        <v>17</v>
      </c>
      <c r="B4128" t="s">
        <v>128</v>
      </c>
      <c r="C4128">
        <v>202107</v>
      </c>
      <c r="D4128" t="str">
        <f t="shared" si="64"/>
        <v>2021</v>
      </c>
      <c r="E4128">
        <v>10</v>
      </c>
      <c r="F4128">
        <v>164322</v>
      </c>
      <c r="G4128">
        <v>0.01</v>
      </c>
      <c r="H4128" t="s">
        <v>10</v>
      </c>
      <c r="I4128" t="s">
        <v>11</v>
      </c>
    </row>
    <row r="4129" spans="1:9" hidden="1" x14ac:dyDescent="0.25">
      <c r="A4129" t="s">
        <v>17</v>
      </c>
      <c r="B4129" t="s">
        <v>128</v>
      </c>
      <c r="C4129">
        <v>202108</v>
      </c>
      <c r="D4129" t="str">
        <f t="shared" si="64"/>
        <v>2021</v>
      </c>
      <c r="E4129">
        <v>12</v>
      </c>
      <c r="F4129">
        <v>164322</v>
      </c>
      <c r="G4129">
        <v>0.01</v>
      </c>
      <c r="H4129" t="s">
        <v>10</v>
      </c>
      <c r="I4129" t="s">
        <v>11</v>
      </c>
    </row>
    <row r="4130" spans="1:9" hidden="1" x14ac:dyDescent="0.25">
      <c r="A4130" t="s">
        <v>17</v>
      </c>
      <c r="B4130" t="s">
        <v>128</v>
      </c>
      <c r="C4130">
        <v>202109</v>
      </c>
      <c r="D4130" t="str">
        <f t="shared" si="64"/>
        <v>2021</v>
      </c>
      <c r="E4130">
        <v>5</v>
      </c>
      <c r="F4130">
        <v>164322</v>
      </c>
      <c r="G4130">
        <v>0</v>
      </c>
      <c r="H4130" t="s">
        <v>10</v>
      </c>
      <c r="I4130" t="s">
        <v>11</v>
      </c>
    </row>
    <row r="4131" spans="1:9" hidden="1" x14ac:dyDescent="0.25">
      <c r="A4131" t="s">
        <v>17</v>
      </c>
      <c r="B4131" t="s">
        <v>128</v>
      </c>
      <c r="C4131">
        <v>202110</v>
      </c>
      <c r="D4131" t="str">
        <f t="shared" si="64"/>
        <v>2021</v>
      </c>
      <c r="E4131">
        <v>11</v>
      </c>
      <c r="F4131">
        <v>164322</v>
      </c>
      <c r="G4131">
        <v>0.01</v>
      </c>
      <c r="H4131" t="s">
        <v>10</v>
      </c>
      <c r="I4131" t="s">
        <v>11</v>
      </c>
    </row>
    <row r="4132" spans="1:9" hidden="1" x14ac:dyDescent="0.25">
      <c r="A4132" t="s">
        <v>17</v>
      </c>
      <c r="B4132" t="s">
        <v>128</v>
      </c>
      <c r="C4132">
        <v>202202</v>
      </c>
      <c r="D4132" t="str">
        <f t="shared" si="64"/>
        <v>2022</v>
      </c>
      <c r="E4132">
        <v>5</v>
      </c>
      <c r="F4132">
        <v>164322</v>
      </c>
      <c r="G4132">
        <v>0</v>
      </c>
      <c r="H4132" t="s">
        <v>10</v>
      </c>
      <c r="I4132" t="s">
        <v>11</v>
      </c>
    </row>
    <row r="4133" spans="1:9" hidden="1" x14ac:dyDescent="0.25">
      <c r="A4133" t="s">
        <v>17</v>
      </c>
      <c r="B4133" t="s">
        <v>128</v>
      </c>
      <c r="C4133">
        <v>202204</v>
      </c>
      <c r="D4133" t="str">
        <f t="shared" si="64"/>
        <v>2022</v>
      </c>
      <c r="E4133">
        <v>1</v>
      </c>
      <c r="F4133">
        <v>164322</v>
      </c>
      <c r="G4133">
        <v>0</v>
      </c>
      <c r="H4133" t="s">
        <v>10</v>
      </c>
      <c r="I4133" t="s">
        <v>11</v>
      </c>
    </row>
    <row r="4134" spans="1:9" hidden="1" x14ac:dyDescent="0.25">
      <c r="A4134" t="s">
        <v>17</v>
      </c>
      <c r="B4134" t="s">
        <v>128</v>
      </c>
      <c r="C4134">
        <v>202208</v>
      </c>
      <c r="D4134" t="str">
        <f t="shared" si="64"/>
        <v>2022</v>
      </c>
      <c r="E4134">
        <v>70</v>
      </c>
      <c r="F4134">
        <v>164322</v>
      </c>
      <c r="G4134">
        <v>0.04</v>
      </c>
      <c r="H4134" t="s">
        <v>10</v>
      </c>
      <c r="I4134" t="s">
        <v>11</v>
      </c>
    </row>
    <row r="4135" spans="1:9" hidden="1" x14ac:dyDescent="0.25">
      <c r="A4135" t="s">
        <v>17</v>
      </c>
      <c r="B4135" t="s">
        <v>128</v>
      </c>
      <c r="C4135">
        <v>202209</v>
      </c>
      <c r="D4135" t="str">
        <f t="shared" si="64"/>
        <v>2022</v>
      </c>
      <c r="E4135">
        <v>43</v>
      </c>
      <c r="F4135">
        <v>164322</v>
      </c>
      <c r="G4135">
        <v>0.03</v>
      </c>
      <c r="H4135" t="s">
        <v>10</v>
      </c>
      <c r="I4135" t="s">
        <v>11</v>
      </c>
    </row>
    <row r="4136" spans="1:9" hidden="1" x14ac:dyDescent="0.25">
      <c r="A4136" t="s">
        <v>17</v>
      </c>
      <c r="B4136" t="s">
        <v>128</v>
      </c>
      <c r="C4136">
        <v>202210</v>
      </c>
      <c r="D4136" t="str">
        <f t="shared" si="64"/>
        <v>2022</v>
      </c>
      <c r="E4136">
        <v>35</v>
      </c>
      <c r="F4136">
        <v>164322</v>
      </c>
      <c r="G4136">
        <v>0.02</v>
      </c>
      <c r="H4136" t="s">
        <v>10</v>
      </c>
      <c r="I4136" t="s">
        <v>11</v>
      </c>
    </row>
    <row r="4137" spans="1:9" hidden="1" x14ac:dyDescent="0.25">
      <c r="A4137" t="s">
        <v>17</v>
      </c>
      <c r="B4137" t="s">
        <v>128</v>
      </c>
      <c r="C4137">
        <v>202211</v>
      </c>
      <c r="D4137" t="str">
        <f t="shared" si="64"/>
        <v>2022</v>
      </c>
      <c r="E4137">
        <v>61</v>
      </c>
      <c r="F4137">
        <v>164322</v>
      </c>
      <c r="G4137">
        <v>0.04</v>
      </c>
      <c r="H4137" t="s">
        <v>10</v>
      </c>
      <c r="I4137" t="s">
        <v>11</v>
      </c>
    </row>
    <row r="4138" spans="1:9" hidden="1" x14ac:dyDescent="0.25">
      <c r="A4138" t="s">
        <v>17</v>
      </c>
      <c r="B4138" t="s">
        <v>128</v>
      </c>
      <c r="C4138">
        <v>202212</v>
      </c>
      <c r="D4138" t="str">
        <f t="shared" si="64"/>
        <v>2022</v>
      </c>
      <c r="E4138">
        <v>18</v>
      </c>
      <c r="F4138">
        <v>164322</v>
      </c>
      <c r="G4138">
        <v>0.01</v>
      </c>
      <c r="H4138" t="s">
        <v>10</v>
      </c>
      <c r="I4138" t="s">
        <v>11</v>
      </c>
    </row>
    <row r="4139" spans="1:9" hidden="1" x14ac:dyDescent="0.25">
      <c r="A4139" t="s">
        <v>17</v>
      </c>
      <c r="B4139" t="s">
        <v>128</v>
      </c>
      <c r="C4139">
        <v>202301</v>
      </c>
      <c r="D4139" t="str">
        <f t="shared" si="64"/>
        <v>2023</v>
      </c>
      <c r="E4139">
        <v>54</v>
      </c>
      <c r="F4139">
        <v>164322</v>
      </c>
      <c r="G4139">
        <v>0.03</v>
      </c>
      <c r="H4139" t="s">
        <v>10</v>
      </c>
      <c r="I4139" t="s">
        <v>11</v>
      </c>
    </row>
    <row r="4140" spans="1:9" hidden="1" x14ac:dyDescent="0.25">
      <c r="A4140" t="s">
        <v>17</v>
      </c>
      <c r="B4140" t="s">
        <v>128</v>
      </c>
      <c r="C4140">
        <v>202302</v>
      </c>
      <c r="D4140" t="str">
        <f t="shared" si="64"/>
        <v>2023</v>
      </c>
      <c r="E4140">
        <v>34</v>
      </c>
      <c r="F4140">
        <v>164322</v>
      </c>
      <c r="G4140">
        <v>0.02</v>
      </c>
      <c r="H4140" t="s">
        <v>10</v>
      </c>
      <c r="I4140" t="s">
        <v>11</v>
      </c>
    </row>
    <row r="4141" spans="1:9" hidden="1" x14ac:dyDescent="0.25">
      <c r="A4141" t="s">
        <v>17</v>
      </c>
      <c r="B4141" t="s">
        <v>128</v>
      </c>
      <c r="C4141">
        <v>202303</v>
      </c>
      <c r="D4141" t="str">
        <f t="shared" si="64"/>
        <v>2023</v>
      </c>
      <c r="E4141">
        <v>61</v>
      </c>
      <c r="F4141">
        <v>164322</v>
      </c>
      <c r="G4141">
        <v>0.04</v>
      </c>
      <c r="H4141" t="s">
        <v>10</v>
      </c>
      <c r="I4141" t="s">
        <v>11</v>
      </c>
    </row>
    <row r="4142" spans="1:9" hidden="1" x14ac:dyDescent="0.25">
      <c r="A4142" t="s">
        <v>17</v>
      </c>
      <c r="B4142" t="s">
        <v>128</v>
      </c>
      <c r="C4142">
        <v>202304</v>
      </c>
      <c r="D4142" t="str">
        <f t="shared" si="64"/>
        <v>2023</v>
      </c>
      <c r="E4142">
        <v>13</v>
      </c>
      <c r="F4142">
        <v>164322</v>
      </c>
      <c r="G4142">
        <v>0.01</v>
      </c>
      <c r="H4142" t="s">
        <v>10</v>
      </c>
      <c r="I4142" t="s">
        <v>11</v>
      </c>
    </row>
    <row r="4143" spans="1:9" hidden="1" x14ac:dyDescent="0.25">
      <c r="A4143" t="s">
        <v>17</v>
      </c>
      <c r="B4143" t="s">
        <v>128</v>
      </c>
      <c r="C4143">
        <v>202305</v>
      </c>
      <c r="D4143" t="str">
        <f t="shared" si="64"/>
        <v>2023</v>
      </c>
      <c r="E4143">
        <v>59</v>
      </c>
      <c r="F4143">
        <v>164322</v>
      </c>
      <c r="G4143">
        <v>0.04</v>
      </c>
      <c r="H4143" t="s">
        <v>10</v>
      </c>
      <c r="I4143" t="s">
        <v>11</v>
      </c>
    </row>
    <row r="4144" spans="1:9" hidden="1" x14ac:dyDescent="0.25">
      <c r="A4144" t="s">
        <v>17</v>
      </c>
      <c r="B4144" t="s">
        <v>128</v>
      </c>
      <c r="C4144">
        <v>202306</v>
      </c>
      <c r="D4144" t="str">
        <f t="shared" si="64"/>
        <v>2023</v>
      </c>
      <c r="E4144">
        <v>50</v>
      </c>
      <c r="F4144">
        <v>164322</v>
      </c>
      <c r="G4144">
        <v>0.03</v>
      </c>
      <c r="H4144" t="s">
        <v>10</v>
      </c>
      <c r="I4144" t="s">
        <v>11</v>
      </c>
    </row>
    <row r="4145" spans="1:9" hidden="1" x14ac:dyDescent="0.25">
      <c r="A4145" t="s">
        <v>17</v>
      </c>
      <c r="B4145" t="s">
        <v>128</v>
      </c>
      <c r="C4145">
        <v>202307</v>
      </c>
      <c r="D4145" t="str">
        <f t="shared" si="64"/>
        <v>2023</v>
      </c>
      <c r="E4145">
        <v>124</v>
      </c>
      <c r="F4145">
        <v>164322</v>
      </c>
      <c r="G4145">
        <v>0.08</v>
      </c>
      <c r="H4145" t="s">
        <v>10</v>
      </c>
      <c r="I4145" t="s">
        <v>11</v>
      </c>
    </row>
    <row r="4146" spans="1:9" hidden="1" x14ac:dyDescent="0.25">
      <c r="A4146" t="s">
        <v>17</v>
      </c>
      <c r="B4146" t="s">
        <v>128</v>
      </c>
      <c r="C4146">
        <v>202308</v>
      </c>
      <c r="D4146" t="str">
        <f t="shared" si="64"/>
        <v>2023</v>
      </c>
      <c r="E4146">
        <v>428</v>
      </c>
      <c r="F4146">
        <v>164322</v>
      </c>
      <c r="G4146">
        <v>0.26</v>
      </c>
      <c r="H4146" t="s">
        <v>10</v>
      </c>
      <c r="I4146" t="s">
        <v>11</v>
      </c>
    </row>
    <row r="4147" spans="1:9" hidden="1" x14ac:dyDescent="0.25">
      <c r="A4147" t="s">
        <v>17</v>
      </c>
      <c r="B4147" t="s">
        <v>128</v>
      </c>
      <c r="C4147">
        <v>202309</v>
      </c>
      <c r="D4147" t="str">
        <f t="shared" si="64"/>
        <v>2023</v>
      </c>
      <c r="E4147">
        <v>2057</v>
      </c>
      <c r="F4147">
        <v>164322</v>
      </c>
      <c r="G4147">
        <v>1.25</v>
      </c>
      <c r="H4147" t="s">
        <v>10</v>
      </c>
      <c r="I4147" t="s">
        <v>11</v>
      </c>
    </row>
    <row r="4148" spans="1:9" hidden="1" x14ac:dyDescent="0.25">
      <c r="A4148" t="s">
        <v>17</v>
      </c>
      <c r="B4148" t="s">
        <v>128</v>
      </c>
      <c r="C4148">
        <v>202310</v>
      </c>
      <c r="D4148" t="str">
        <f t="shared" si="64"/>
        <v>2023</v>
      </c>
      <c r="E4148">
        <v>276</v>
      </c>
      <c r="F4148">
        <v>164322</v>
      </c>
      <c r="G4148">
        <v>0.17</v>
      </c>
      <c r="H4148" t="s">
        <v>10</v>
      </c>
      <c r="I4148" t="s">
        <v>11</v>
      </c>
    </row>
    <row r="4149" spans="1:9" hidden="1" x14ac:dyDescent="0.25">
      <c r="A4149" t="s">
        <v>17</v>
      </c>
      <c r="B4149" t="s">
        <v>128</v>
      </c>
      <c r="C4149">
        <v>202311</v>
      </c>
      <c r="D4149" t="str">
        <f t="shared" si="64"/>
        <v>2023</v>
      </c>
      <c r="E4149">
        <v>456</v>
      </c>
      <c r="F4149">
        <v>164322</v>
      </c>
      <c r="G4149">
        <v>0.28000000000000003</v>
      </c>
      <c r="H4149" t="s">
        <v>10</v>
      </c>
      <c r="I4149" t="s">
        <v>11</v>
      </c>
    </row>
    <row r="4150" spans="1:9" hidden="1" x14ac:dyDescent="0.25">
      <c r="A4150" t="s">
        <v>17</v>
      </c>
      <c r="B4150" t="s">
        <v>128</v>
      </c>
      <c r="C4150">
        <v>202312</v>
      </c>
      <c r="D4150" t="str">
        <f t="shared" si="64"/>
        <v>2023</v>
      </c>
      <c r="E4150">
        <v>312</v>
      </c>
      <c r="F4150">
        <v>164322</v>
      </c>
      <c r="G4150">
        <v>0.19</v>
      </c>
      <c r="H4150" t="s">
        <v>10</v>
      </c>
      <c r="I4150" t="s">
        <v>11</v>
      </c>
    </row>
    <row r="4151" spans="1:9" hidden="1" x14ac:dyDescent="0.25">
      <c r="A4151" t="s">
        <v>17</v>
      </c>
      <c r="B4151" t="s">
        <v>128</v>
      </c>
      <c r="C4151">
        <v>202401</v>
      </c>
      <c r="D4151" t="str">
        <f t="shared" si="64"/>
        <v>2024</v>
      </c>
      <c r="E4151">
        <v>367</v>
      </c>
      <c r="F4151">
        <v>164322</v>
      </c>
      <c r="G4151">
        <v>0.22</v>
      </c>
      <c r="H4151" t="s">
        <v>10</v>
      </c>
      <c r="I4151" t="s">
        <v>11</v>
      </c>
    </row>
    <row r="4152" spans="1:9" hidden="1" x14ac:dyDescent="0.25">
      <c r="A4152" t="s">
        <v>17</v>
      </c>
      <c r="B4152" t="s">
        <v>128</v>
      </c>
      <c r="C4152">
        <v>202402</v>
      </c>
      <c r="D4152" t="str">
        <f t="shared" si="64"/>
        <v>2024</v>
      </c>
      <c r="E4152">
        <v>516</v>
      </c>
      <c r="F4152">
        <v>164322</v>
      </c>
      <c r="G4152">
        <v>0.31</v>
      </c>
      <c r="H4152" t="s">
        <v>10</v>
      </c>
      <c r="I4152" t="s">
        <v>11</v>
      </c>
    </row>
    <row r="4153" spans="1:9" hidden="1" x14ac:dyDescent="0.25">
      <c r="A4153" t="s">
        <v>17</v>
      </c>
      <c r="B4153" t="s">
        <v>128</v>
      </c>
      <c r="C4153">
        <v>202403</v>
      </c>
      <c r="D4153" t="str">
        <f t="shared" si="64"/>
        <v>2024</v>
      </c>
      <c r="E4153">
        <v>429</v>
      </c>
      <c r="F4153">
        <v>164322</v>
      </c>
      <c r="G4153">
        <v>0.26</v>
      </c>
      <c r="H4153" t="s">
        <v>10</v>
      </c>
      <c r="I4153" t="s">
        <v>11</v>
      </c>
    </row>
    <row r="4154" spans="1:9" hidden="1" x14ac:dyDescent="0.25">
      <c r="A4154" t="s">
        <v>17</v>
      </c>
      <c r="B4154" t="s">
        <v>128</v>
      </c>
      <c r="C4154">
        <v>202404</v>
      </c>
      <c r="D4154" t="str">
        <f t="shared" si="64"/>
        <v>2024</v>
      </c>
      <c r="E4154">
        <v>718</v>
      </c>
      <c r="F4154">
        <v>164322</v>
      </c>
      <c r="G4154">
        <v>0.44</v>
      </c>
      <c r="H4154" t="s">
        <v>10</v>
      </c>
      <c r="I4154" t="s">
        <v>11</v>
      </c>
    </row>
    <row r="4155" spans="1:9" hidden="1" x14ac:dyDescent="0.25">
      <c r="A4155" t="s">
        <v>17</v>
      </c>
      <c r="B4155" t="s">
        <v>128</v>
      </c>
      <c r="C4155">
        <v>202405</v>
      </c>
      <c r="D4155" t="str">
        <f t="shared" si="64"/>
        <v>2024</v>
      </c>
      <c r="E4155">
        <v>545</v>
      </c>
      <c r="F4155">
        <v>164322</v>
      </c>
      <c r="G4155">
        <v>0.33</v>
      </c>
      <c r="H4155" t="s">
        <v>10</v>
      </c>
      <c r="I4155" t="s">
        <v>11</v>
      </c>
    </row>
    <row r="4156" spans="1:9" hidden="1" x14ac:dyDescent="0.25">
      <c r="A4156" t="s">
        <v>17</v>
      </c>
      <c r="B4156" t="s">
        <v>128</v>
      </c>
      <c r="C4156">
        <v>202406</v>
      </c>
      <c r="D4156" t="str">
        <f t="shared" si="64"/>
        <v>2024</v>
      </c>
      <c r="E4156">
        <v>1633</v>
      </c>
      <c r="F4156">
        <v>164322</v>
      </c>
      <c r="G4156">
        <v>0.99</v>
      </c>
      <c r="H4156" t="s">
        <v>10</v>
      </c>
      <c r="I4156" t="s">
        <v>11</v>
      </c>
    </row>
    <row r="4157" spans="1:9" hidden="1" x14ac:dyDescent="0.25">
      <c r="A4157" t="s">
        <v>17</v>
      </c>
      <c r="B4157" t="s">
        <v>128</v>
      </c>
      <c r="C4157">
        <v>202407</v>
      </c>
      <c r="D4157" t="str">
        <f t="shared" si="64"/>
        <v>2024</v>
      </c>
      <c r="E4157">
        <v>1508</v>
      </c>
      <c r="F4157">
        <v>164322</v>
      </c>
      <c r="G4157">
        <v>0.92</v>
      </c>
      <c r="H4157" t="s">
        <v>10</v>
      </c>
      <c r="I4157" t="s">
        <v>11</v>
      </c>
    </row>
    <row r="4158" spans="1:9" hidden="1" x14ac:dyDescent="0.25">
      <c r="A4158" t="s">
        <v>17</v>
      </c>
      <c r="B4158" t="s">
        <v>128</v>
      </c>
      <c r="C4158">
        <v>202408</v>
      </c>
      <c r="D4158" t="str">
        <f t="shared" si="64"/>
        <v>2024</v>
      </c>
      <c r="E4158">
        <v>1165</v>
      </c>
      <c r="F4158">
        <v>164322</v>
      </c>
      <c r="G4158">
        <v>0.71</v>
      </c>
      <c r="H4158" t="s">
        <v>10</v>
      </c>
      <c r="I4158" t="s">
        <v>11</v>
      </c>
    </row>
    <row r="4159" spans="1:9" hidden="1" x14ac:dyDescent="0.25">
      <c r="A4159" t="s">
        <v>17</v>
      </c>
      <c r="B4159" t="s">
        <v>128</v>
      </c>
      <c r="C4159">
        <v>202409</v>
      </c>
      <c r="D4159" t="str">
        <f t="shared" si="64"/>
        <v>2024</v>
      </c>
      <c r="E4159">
        <v>1500</v>
      </c>
      <c r="F4159">
        <v>164322</v>
      </c>
      <c r="G4159">
        <v>0.91</v>
      </c>
      <c r="H4159" t="s">
        <v>10</v>
      </c>
      <c r="I4159" t="s">
        <v>11</v>
      </c>
    </row>
    <row r="4160" spans="1:9" hidden="1" x14ac:dyDescent="0.25">
      <c r="A4160" t="s">
        <v>17</v>
      </c>
      <c r="B4160" t="s">
        <v>128</v>
      </c>
      <c r="C4160">
        <v>202410</v>
      </c>
      <c r="D4160" t="str">
        <f t="shared" si="64"/>
        <v>2024</v>
      </c>
      <c r="E4160">
        <v>2229</v>
      </c>
      <c r="F4160">
        <v>164322</v>
      </c>
      <c r="G4160">
        <v>1.36</v>
      </c>
      <c r="H4160" t="s">
        <v>10</v>
      </c>
      <c r="I4160" t="s">
        <v>11</v>
      </c>
    </row>
    <row r="4161" spans="1:9" hidden="1" x14ac:dyDescent="0.25">
      <c r="A4161" t="s">
        <v>17</v>
      </c>
      <c r="B4161" t="s">
        <v>128</v>
      </c>
      <c r="C4161">
        <v>202411</v>
      </c>
      <c r="D4161" t="str">
        <f t="shared" si="64"/>
        <v>2024</v>
      </c>
      <c r="E4161">
        <v>2175</v>
      </c>
      <c r="F4161">
        <v>164322</v>
      </c>
      <c r="G4161">
        <v>1.32</v>
      </c>
      <c r="H4161" t="s">
        <v>10</v>
      </c>
      <c r="I4161" t="s">
        <v>11</v>
      </c>
    </row>
    <row r="4162" spans="1:9" hidden="1" x14ac:dyDescent="0.25">
      <c r="A4162" t="s">
        <v>17</v>
      </c>
      <c r="B4162" t="s">
        <v>128</v>
      </c>
      <c r="C4162">
        <v>202412</v>
      </c>
      <c r="D4162" t="str">
        <f t="shared" si="64"/>
        <v>2024</v>
      </c>
      <c r="E4162">
        <v>2571</v>
      </c>
      <c r="F4162">
        <v>164322</v>
      </c>
      <c r="G4162">
        <v>1.56</v>
      </c>
      <c r="H4162" t="s">
        <v>10</v>
      </c>
      <c r="I4162" t="s">
        <v>11</v>
      </c>
    </row>
    <row r="4163" spans="1:9" x14ac:dyDescent="0.25">
      <c r="A4163" t="s">
        <v>17</v>
      </c>
      <c r="B4163" t="s">
        <v>128</v>
      </c>
      <c r="C4163">
        <v>202501</v>
      </c>
      <c r="D4163" t="str">
        <f t="shared" ref="D4163:D4226" si="65">LEFT(C4163,4)</f>
        <v>2025</v>
      </c>
      <c r="E4163">
        <v>5393</v>
      </c>
      <c r="F4163">
        <v>164322</v>
      </c>
      <c r="G4163">
        <v>3.28</v>
      </c>
      <c r="H4163" t="s">
        <v>10</v>
      </c>
      <c r="I4163" t="s">
        <v>11</v>
      </c>
    </row>
    <row r="4164" spans="1:9" x14ac:dyDescent="0.25">
      <c r="A4164" t="s">
        <v>17</v>
      </c>
      <c r="B4164" t="s">
        <v>128</v>
      </c>
      <c r="C4164">
        <v>202502</v>
      </c>
      <c r="D4164" t="str">
        <f t="shared" si="65"/>
        <v>2025</v>
      </c>
      <c r="E4164">
        <v>10028</v>
      </c>
      <c r="F4164">
        <v>164322</v>
      </c>
      <c r="G4164">
        <v>6.1</v>
      </c>
      <c r="H4164" t="s">
        <v>10</v>
      </c>
      <c r="I4164" t="s">
        <v>11</v>
      </c>
    </row>
    <row r="4165" spans="1:9" x14ac:dyDescent="0.25">
      <c r="A4165" t="s">
        <v>17</v>
      </c>
      <c r="B4165" t="s">
        <v>128</v>
      </c>
      <c r="C4165">
        <v>202503</v>
      </c>
      <c r="D4165" t="str">
        <f t="shared" si="65"/>
        <v>2025</v>
      </c>
      <c r="E4165">
        <v>77461</v>
      </c>
      <c r="F4165">
        <v>164322</v>
      </c>
      <c r="G4165">
        <v>47.14</v>
      </c>
      <c r="H4165" t="s">
        <v>10</v>
      </c>
      <c r="I4165" t="s">
        <v>11</v>
      </c>
    </row>
    <row r="4166" spans="1:9" x14ac:dyDescent="0.25">
      <c r="A4166" t="s">
        <v>17</v>
      </c>
      <c r="B4166" t="s">
        <v>128</v>
      </c>
      <c r="C4166">
        <v>202504</v>
      </c>
      <c r="D4166" t="str">
        <f t="shared" si="65"/>
        <v>2025</v>
      </c>
      <c r="E4166">
        <v>51727</v>
      </c>
      <c r="F4166">
        <v>164322</v>
      </c>
      <c r="G4166">
        <v>31.48</v>
      </c>
      <c r="H4166" t="s">
        <v>10</v>
      </c>
      <c r="I4166" t="s">
        <v>11</v>
      </c>
    </row>
    <row r="4167" spans="1:9" hidden="1" x14ac:dyDescent="0.25">
      <c r="A4167" t="s">
        <v>17</v>
      </c>
      <c r="B4167" t="s">
        <v>171</v>
      </c>
      <c r="C4167">
        <v>202105</v>
      </c>
      <c r="D4167" t="str">
        <f t="shared" si="65"/>
        <v>2021</v>
      </c>
      <c r="E4167">
        <v>2</v>
      </c>
      <c r="F4167">
        <v>188388</v>
      </c>
      <c r="G4167">
        <v>0</v>
      </c>
      <c r="H4167" t="s">
        <v>10</v>
      </c>
      <c r="I4167" t="s">
        <v>11</v>
      </c>
    </row>
    <row r="4168" spans="1:9" hidden="1" x14ac:dyDescent="0.25">
      <c r="A4168" t="s">
        <v>17</v>
      </c>
      <c r="B4168" t="s">
        <v>171</v>
      </c>
      <c r="C4168">
        <v>202111</v>
      </c>
      <c r="D4168" t="str">
        <f t="shared" si="65"/>
        <v>2021</v>
      </c>
      <c r="E4168">
        <v>3</v>
      </c>
      <c r="F4168">
        <v>188388</v>
      </c>
      <c r="G4168">
        <v>0</v>
      </c>
      <c r="H4168" t="s">
        <v>10</v>
      </c>
      <c r="I4168" t="s">
        <v>11</v>
      </c>
    </row>
    <row r="4169" spans="1:9" hidden="1" x14ac:dyDescent="0.25">
      <c r="A4169" t="s">
        <v>17</v>
      </c>
      <c r="B4169" t="s">
        <v>171</v>
      </c>
      <c r="C4169">
        <v>202202</v>
      </c>
      <c r="D4169" t="str">
        <f t="shared" si="65"/>
        <v>2022</v>
      </c>
      <c r="E4169">
        <v>8</v>
      </c>
      <c r="F4169">
        <v>188388</v>
      </c>
      <c r="G4169">
        <v>0</v>
      </c>
      <c r="H4169" t="s">
        <v>10</v>
      </c>
      <c r="I4169" t="s">
        <v>11</v>
      </c>
    </row>
    <row r="4170" spans="1:9" hidden="1" x14ac:dyDescent="0.25">
      <c r="A4170" t="s">
        <v>17</v>
      </c>
      <c r="B4170" t="s">
        <v>171</v>
      </c>
      <c r="C4170">
        <v>202205</v>
      </c>
      <c r="D4170" t="str">
        <f t="shared" si="65"/>
        <v>2022</v>
      </c>
      <c r="E4170">
        <v>2</v>
      </c>
      <c r="F4170">
        <v>188388</v>
      </c>
      <c r="G4170">
        <v>0</v>
      </c>
      <c r="H4170" t="s">
        <v>10</v>
      </c>
      <c r="I4170" t="s">
        <v>11</v>
      </c>
    </row>
    <row r="4171" spans="1:9" hidden="1" x14ac:dyDescent="0.25">
      <c r="A4171" t="s">
        <v>17</v>
      </c>
      <c r="B4171" t="s">
        <v>171</v>
      </c>
      <c r="C4171">
        <v>202206</v>
      </c>
      <c r="D4171" t="str">
        <f t="shared" si="65"/>
        <v>2022</v>
      </c>
      <c r="E4171">
        <v>8</v>
      </c>
      <c r="F4171">
        <v>188388</v>
      </c>
      <c r="G4171">
        <v>0</v>
      </c>
      <c r="H4171" t="s">
        <v>10</v>
      </c>
      <c r="I4171" t="s">
        <v>11</v>
      </c>
    </row>
    <row r="4172" spans="1:9" hidden="1" x14ac:dyDescent="0.25">
      <c r="A4172" t="s">
        <v>17</v>
      </c>
      <c r="B4172" t="s">
        <v>171</v>
      </c>
      <c r="C4172">
        <v>202207</v>
      </c>
      <c r="D4172" t="str">
        <f t="shared" si="65"/>
        <v>2022</v>
      </c>
      <c r="E4172">
        <v>3</v>
      </c>
      <c r="F4172">
        <v>188388</v>
      </c>
      <c r="G4172">
        <v>0</v>
      </c>
      <c r="H4172" t="s">
        <v>10</v>
      </c>
      <c r="I4172" t="s">
        <v>11</v>
      </c>
    </row>
    <row r="4173" spans="1:9" hidden="1" x14ac:dyDescent="0.25">
      <c r="A4173" t="s">
        <v>17</v>
      </c>
      <c r="B4173" t="s">
        <v>171</v>
      </c>
      <c r="C4173">
        <v>202208</v>
      </c>
      <c r="D4173" t="str">
        <f t="shared" si="65"/>
        <v>2022</v>
      </c>
      <c r="E4173">
        <v>1</v>
      </c>
      <c r="F4173">
        <v>188388</v>
      </c>
      <c r="G4173">
        <v>0</v>
      </c>
      <c r="H4173" t="s">
        <v>10</v>
      </c>
      <c r="I4173" t="s">
        <v>11</v>
      </c>
    </row>
    <row r="4174" spans="1:9" hidden="1" x14ac:dyDescent="0.25">
      <c r="A4174" t="s">
        <v>17</v>
      </c>
      <c r="B4174" t="s">
        <v>171</v>
      </c>
      <c r="C4174">
        <v>202210</v>
      </c>
      <c r="D4174" t="str">
        <f t="shared" si="65"/>
        <v>2022</v>
      </c>
      <c r="E4174">
        <v>62</v>
      </c>
      <c r="F4174">
        <v>188388</v>
      </c>
      <c r="G4174">
        <v>0.03</v>
      </c>
      <c r="H4174" t="s">
        <v>10</v>
      </c>
      <c r="I4174" t="s">
        <v>11</v>
      </c>
    </row>
    <row r="4175" spans="1:9" hidden="1" x14ac:dyDescent="0.25">
      <c r="A4175" t="s">
        <v>17</v>
      </c>
      <c r="B4175" t="s">
        <v>171</v>
      </c>
      <c r="C4175">
        <v>202211</v>
      </c>
      <c r="D4175" t="str">
        <f t="shared" si="65"/>
        <v>2022</v>
      </c>
      <c r="E4175">
        <v>172</v>
      </c>
      <c r="F4175">
        <v>188388</v>
      </c>
      <c r="G4175">
        <v>0.09</v>
      </c>
      <c r="H4175" t="s">
        <v>10</v>
      </c>
      <c r="I4175" t="s">
        <v>11</v>
      </c>
    </row>
    <row r="4176" spans="1:9" hidden="1" x14ac:dyDescent="0.25">
      <c r="A4176" t="s">
        <v>17</v>
      </c>
      <c r="B4176" t="s">
        <v>171</v>
      </c>
      <c r="C4176">
        <v>202212</v>
      </c>
      <c r="D4176" t="str">
        <f t="shared" si="65"/>
        <v>2022</v>
      </c>
      <c r="E4176">
        <v>227</v>
      </c>
      <c r="F4176">
        <v>188388</v>
      </c>
      <c r="G4176">
        <v>0.12</v>
      </c>
      <c r="H4176" t="s">
        <v>10</v>
      </c>
      <c r="I4176" t="s">
        <v>11</v>
      </c>
    </row>
    <row r="4177" spans="1:9" hidden="1" x14ac:dyDescent="0.25">
      <c r="A4177" t="s">
        <v>17</v>
      </c>
      <c r="B4177" t="s">
        <v>171</v>
      </c>
      <c r="C4177">
        <v>202301</v>
      </c>
      <c r="D4177" t="str">
        <f t="shared" si="65"/>
        <v>2023</v>
      </c>
      <c r="E4177">
        <v>37</v>
      </c>
      <c r="F4177">
        <v>188388</v>
      </c>
      <c r="G4177">
        <v>0.02</v>
      </c>
      <c r="H4177" t="s">
        <v>10</v>
      </c>
      <c r="I4177" t="s">
        <v>11</v>
      </c>
    </row>
    <row r="4178" spans="1:9" hidden="1" x14ac:dyDescent="0.25">
      <c r="A4178" t="s">
        <v>17</v>
      </c>
      <c r="B4178" t="s">
        <v>171</v>
      </c>
      <c r="C4178">
        <v>202302</v>
      </c>
      <c r="D4178" t="str">
        <f t="shared" si="65"/>
        <v>2023</v>
      </c>
      <c r="E4178">
        <v>28</v>
      </c>
      <c r="F4178">
        <v>188388</v>
      </c>
      <c r="G4178">
        <v>0.01</v>
      </c>
      <c r="H4178" t="s">
        <v>10</v>
      </c>
      <c r="I4178" t="s">
        <v>11</v>
      </c>
    </row>
    <row r="4179" spans="1:9" hidden="1" x14ac:dyDescent="0.25">
      <c r="A4179" t="s">
        <v>17</v>
      </c>
      <c r="B4179" t="s">
        <v>171</v>
      </c>
      <c r="C4179">
        <v>202303</v>
      </c>
      <c r="D4179" t="str">
        <f t="shared" si="65"/>
        <v>2023</v>
      </c>
      <c r="E4179">
        <v>17</v>
      </c>
      <c r="F4179">
        <v>188388</v>
      </c>
      <c r="G4179">
        <v>0.01</v>
      </c>
      <c r="H4179" t="s">
        <v>10</v>
      </c>
      <c r="I4179" t="s">
        <v>11</v>
      </c>
    </row>
    <row r="4180" spans="1:9" hidden="1" x14ac:dyDescent="0.25">
      <c r="A4180" t="s">
        <v>17</v>
      </c>
      <c r="B4180" t="s">
        <v>171</v>
      </c>
      <c r="C4180">
        <v>202304</v>
      </c>
      <c r="D4180" t="str">
        <f t="shared" si="65"/>
        <v>2023</v>
      </c>
      <c r="E4180">
        <v>30</v>
      </c>
      <c r="F4180">
        <v>188388</v>
      </c>
      <c r="G4180">
        <v>0.02</v>
      </c>
      <c r="H4180" t="s">
        <v>10</v>
      </c>
      <c r="I4180" t="s">
        <v>11</v>
      </c>
    </row>
    <row r="4181" spans="1:9" hidden="1" x14ac:dyDescent="0.25">
      <c r="A4181" t="s">
        <v>17</v>
      </c>
      <c r="B4181" t="s">
        <v>171</v>
      </c>
      <c r="C4181">
        <v>202305</v>
      </c>
      <c r="D4181" t="str">
        <f t="shared" si="65"/>
        <v>2023</v>
      </c>
      <c r="E4181">
        <v>29</v>
      </c>
      <c r="F4181">
        <v>188388</v>
      </c>
      <c r="G4181">
        <v>0.02</v>
      </c>
      <c r="H4181" t="s">
        <v>10</v>
      </c>
      <c r="I4181" t="s">
        <v>11</v>
      </c>
    </row>
    <row r="4182" spans="1:9" hidden="1" x14ac:dyDescent="0.25">
      <c r="A4182" t="s">
        <v>17</v>
      </c>
      <c r="B4182" t="s">
        <v>171</v>
      </c>
      <c r="C4182">
        <v>202306</v>
      </c>
      <c r="D4182" t="str">
        <f t="shared" si="65"/>
        <v>2023</v>
      </c>
      <c r="E4182">
        <v>32</v>
      </c>
      <c r="F4182">
        <v>188388</v>
      </c>
      <c r="G4182">
        <v>0.02</v>
      </c>
      <c r="H4182" t="s">
        <v>10</v>
      </c>
      <c r="I4182" t="s">
        <v>11</v>
      </c>
    </row>
    <row r="4183" spans="1:9" hidden="1" x14ac:dyDescent="0.25">
      <c r="A4183" t="s">
        <v>17</v>
      </c>
      <c r="B4183" t="s">
        <v>171</v>
      </c>
      <c r="C4183">
        <v>202307</v>
      </c>
      <c r="D4183" t="str">
        <f t="shared" si="65"/>
        <v>2023</v>
      </c>
      <c r="E4183">
        <v>63</v>
      </c>
      <c r="F4183">
        <v>188388</v>
      </c>
      <c r="G4183">
        <v>0.03</v>
      </c>
      <c r="H4183" t="s">
        <v>10</v>
      </c>
      <c r="I4183" t="s">
        <v>11</v>
      </c>
    </row>
    <row r="4184" spans="1:9" hidden="1" x14ac:dyDescent="0.25">
      <c r="A4184" t="s">
        <v>17</v>
      </c>
      <c r="B4184" t="s">
        <v>171</v>
      </c>
      <c r="C4184">
        <v>202308</v>
      </c>
      <c r="D4184" t="str">
        <f t="shared" si="65"/>
        <v>2023</v>
      </c>
      <c r="E4184">
        <v>304</v>
      </c>
      <c r="F4184">
        <v>188388</v>
      </c>
      <c r="G4184">
        <v>0.16</v>
      </c>
      <c r="H4184" t="s">
        <v>10</v>
      </c>
      <c r="I4184" t="s">
        <v>11</v>
      </c>
    </row>
    <row r="4185" spans="1:9" hidden="1" x14ac:dyDescent="0.25">
      <c r="A4185" t="s">
        <v>17</v>
      </c>
      <c r="B4185" t="s">
        <v>171</v>
      </c>
      <c r="C4185">
        <v>202309</v>
      </c>
      <c r="D4185" t="str">
        <f t="shared" si="65"/>
        <v>2023</v>
      </c>
      <c r="E4185">
        <v>121</v>
      </c>
      <c r="F4185">
        <v>188388</v>
      </c>
      <c r="G4185">
        <v>0.06</v>
      </c>
      <c r="H4185" t="s">
        <v>10</v>
      </c>
      <c r="I4185" t="s">
        <v>11</v>
      </c>
    </row>
    <row r="4186" spans="1:9" hidden="1" x14ac:dyDescent="0.25">
      <c r="A4186" t="s">
        <v>17</v>
      </c>
      <c r="B4186" t="s">
        <v>171</v>
      </c>
      <c r="C4186">
        <v>202310</v>
      </c>
      <c r="D4186" t="str">
        <f t="shared" si="65"/>
        <v>2023</v>
      </c>
      <c r="E4186">
        <v>144</v>
      </c>
      <c r="F4186">
        <v>188388</v>
      </c>
      <c r="G4186">
        <v>0.08</v>
      </c>
      <c r="H4186" t="s">
        <v>10</v>
      </c>
      <c r="I4186" t="s">
        <v>11</v>
      </c>
    </row>
    <row r="4187" spans="1:9" hidden="1" x14ac:dyDescent="0.25">
      <c r="A4187" t="s">
        <v>17</v>
      </c>
      <c r="B4187" t="s">
        <v>171</v>
      </c>
      <c r="C4187">
        <v>202311</v>
      </c>
      <c r="D4187" t="str">
        <f t="shared" si="65"/>
        <v>2023</v>
      </c>
      <c r="E4187">
        <v>207</v>
      </c>
      <c r="F4187">
        <v>188388</v>
      </c>
      <c r="G4187">
        <v>0.11</v>
      </c>
      <c r="H4187" t="s">
        <v>10</v>
      </c>
      <c r="I4187" t="s">
        <v>11</v>
      </c>
    </row>
    <row r="4188" spans="1:9" hidden="1" x14ac:dyDescent="0.25">
      <c r="A4188" t="s">
        <v>17</v>
      </c>
      <c r="B4188" t="s">
        <v>171</v>
      </c>
      <c r="C4188">
        <v>202312</v>
      </c>
      <c r="D4188" t="str">
        <f t="shared" si="65"/>
        <v>2023</v>
      </c>
      <c r="E4188">
        <v>253</v>
      </c>
      <c r="F4188">
        <v>188388</v>
      </c>
      <c r="G4188">
        <v>0.13</v>
      </c>
      <c r="H4188" t="s">
        <v>10</v>
      </c>
      <c r="I4188" t="s">
        <v>11</v>
      </c>
    </row>
    <row r="4189" spans="1:9" hidden="1" x14ac:dyDescent="0.25">
      <c r="A4189" t="s">
        <v>17</v>
      </c>
      <c r="B4189" t="s">
        <v>171</v>
      </c>
      <c r="C4189">
        <v>202401</v>
      </c>
      <c r="D4189" t="str">
        <f t="shared" si="65"/>
        <v>2024</v>
      </c>
      <c r="E4189">
        <v>561</v>
      </c>
      <c r="F4189">
        <v>188388</v>
      </c>
      <c r="G4189">
        <v>0.3</v>
      </c>
      <c r="H4189" t="s">
        <v>10</v>
      </c>
      <c r="I4189" t="s">
        <v>11</v>
      </c>
    </row>
    <row r="4190" spans="1:9" hidden="1" x14ac:dyDescent="0.25">
      <c r="A4190" t="s">
        <v>17</v>
      </c>
      <c r="B4190" t="s">
        <v>171</v>
      </c>
      <c r="C4190">
        <v>202402</v>
      </c>
      <c r="D4190" t="str">
        <f t="shared" si="65"/>
        <v>2024</v>
      </c>
      <c r="E4190">
        <v>559</v>
      </c>
      <c r="F4190">
        <v>188388</v>
      </c>
      <c r="G4190">
        <v>0.3</v>
      </c>
      <c r="H4190" t="s">
        <v>10</v>
      </c>
      <c r="I4190" t="s">
        <v>11</v>
      </c>
    </row>
    <row r="4191" spans="1:9" hidden="1" x14ac:dyDescent="0.25">
      <c r="A4191" t="s">
        <v>17</v>
      </c>
      <c r="B4191" t="s">
        <v>171</v>
      </c>
      <c r="C4191">
        <v>202403</v>
      </c>
      <c r="D4191" t="str">
        <f t="shared" si="65"/>
        <v>2024</v>
      </c>
      <c r="E4191">
        <v>820</v>
      </c>
      <c r="F4191">
        <v>188388</v>
      </c>
      <c r="G4191">
        <v>0.44</v>
      </c>
      <c r="H4191" t="s">
        <v>10</v>
      </c>
      <c r="I4191" t="s">
        <v>11</v>
      </c>
    </row>
    <row r="4192" spans="1:9" hidden="1" x14ac:dyDescent="0.25">
      <c r="A4192" t="s">
        <v>17</v>
      </c>
      <c r="B4192" t="s">
        <v>171</v>
      </c>
      <c r="C4192">
        <v>202404</v>
      </c>
      <c r="D4192" t="str">
        <f t="shared" si="65"/>
        <v>2024</v>
      </c>
      <c r="E4192">
        <v>737</v>
      </c>
      <c r="F4192">
        <v>188388</v>
      </c>
      <c r="G4192">
        <v>0.39</v>
      </c>
      <c r="H4192" t="s">
        <v>10</v>
      </c>
      <c r="I4192" t="s">
        <v>11</v>
      </c>
    </row>
    <row r="4193" spans="1:9" hidden="1" x14ac:dyDescent="0.25">
      <c r="A4193" t="s">
        <v>17</v>
      </c>
      <c r="B4193" t="s">
        <v>171</v>
      </c>
      <c r="C4193">
        <v>202405</v>
      </c>
      <c r="D4193" t="str">
        <f t="shared" si="65"/>
        <v>2024</v>
      </c>
      <c r="E4193">
        <v>781</v>
      </c>
      <c r="F4193">
        <v>188388</v>
      </c>
      <c r="G4193">
        <v>0.41</v>
      </c>
      <c r="H4193" t="s">
        <v>10</v>
      </c>
      <c r="I4193" t="s">
        <v>11</v>
      </c>
    </row>
    <row r="4194" spans="1:9" hidden="1" x14ac:dyDescent="0.25">
      <c r="A4194" t="s">
        <v>17</v>
      </c>
      <c r="B4194" t="s">
        <v>171</v>
      </c>
      <c r="C4194">
        <v>202406</v>
      </c>
      <c r="D4194" t="str">
        <f t="shared" si="65"/>
        <v>2024</v>
      </c>
      <c r="E4194">
        <v>1147</v>
      </c>
      <c r="F4194">
        <v>188388</v>
      </c>
      <c r="G4194">
        <v>0.61</v>
      </c>
      <c r="H4194" t="s">
        <v>10</v>
      </c>
      <c r="I4194" t="s">
        <v>11</v>
      </c>
    </row>
    <row r="4195" spans="1:9" hidden="1" x14ac:dyDescent="0.25">
      <c r="A4195" t="s">
        <v>17</v>
      </c>
      <c r="B4195" t="s">
        <v>171</v>
      </c>
      <c r="C4195">
        <v>202407</v>
      </c>
      <c r="D4195" t="str">
        <f t="shared" si="65"/>
        <v>2024</v>
      </c>
      <c r="E4195">
        <v>1397</v>
      </c>
      <c r="F4195">
        <v>188388</v>
      </c>
      <c r="G4195">
        <v>0.74</v>
      </c>
      <c r="H4195" t="s">
        <v>10</v>
      </c>
      <c r="I4195" t="s">
        <v>11</v>
      </c>
    </row>
    <row r="4196" spans="1:9" hidden="1" x14ac:dyDescent="0.25">
      <c r="A4196" t="s">
        <v>17</v>
      </c>
      <c r="B4196" t="s">
        <v>171</v>
      </c>
      <c r="C4196">
        <v>202408</v>
      </c>
      <c r="D4196" t="str">
        <f t="shared" si="65"/>
        <v>2024</v>
      </c>
      <c r="E4196">
        <v>1576</v>
      </c>
      <c r="F4196">
        <v>188388</v>
      </c>
      <c r="G4196">
        <v>0.84</v>
      </c>
      <c r="H4196" t="s">
        <v>10</v>
      </c>
      <c r="I4196" t="s">
        <v>11</v>
      </c>
    </row>
    <row r="4197" spans="1:9" hidden="1" x14ac:dyDescent="0.25">
      <c r="A4197" t="s">
        <v>17</v>
      </c>
      <c r="B4197" t="s">
        <v>171</v>
      </c>
      <c r="C4197">
        <v>202409</v>
      </c>
      <c r="D4197" t="str">
        <f t="shared" si="65"/>
        <v>2024</v>
      </c>
      <c r="E4197">
        <v>1379</v>
      </c>
      <c r="F4197">
        <v>188388</v>
      </c>
      <c r="G4197">
        <v>0.73</v>
      </c>
      <c r="H4197" t="s">
        <v>10</v>
      </c>
      <c r="I4197" t="s">
        <v>11</v>
      </c>
    </row>
    <row r="4198" spans="1:9" hidden="1" x14ac:dyDescent="0.25">
      <c r="A4198" t="s">
        <v>17</v>
      </c>
      <c r="B4198" t="s">
        <v>171</v>
      </c>
      <c r="C4198">
        <v>202410</v>
      </c>
      <c r="D4198" t="str">
        <f t="shared" si="65"/>
        <v>2024</v>
      </c>
      <c r="E4198">
        <v>3070</v>
      </c>
      <c r="F4198">
        <v>188388</v>
      </c>
      <c r="G4198">
        <v>1.63</v>
      </c>
      <c r="H4198" t="s">
        <v>10</v>
      </c>
      <c r="I4198" t="s">
        <v>11</v>
      </c>
    </row>
    <row r="4199" spans="1:9" hidden="1" x14ac:dyDescent="0.25">
      <c r="A4199" t="s">
        <v>17</v>
      </c>
      <c r="B4199" t="s">
        <v>171</v>
      </c>
      <c r="C4199">
        <v>202411</v>
      </c>
      <c r="D4199" t="str">
        <f t="shared" si="65"/>
        <v>2024</v>
      </c>
      <c r="E4199">
        <v>2161</v>
      </c>
      <c r="F4199">
        <v>188388</v>
      </c>
      <c r="G4199">
        <v>1.1499999999999999</v>
      </c>
      <c r="H4199" t="s">
        <v>10</v>
      </c>
      <c r="I4199" t="s">
        <v>11</v>
      </c>
    </row>
    <row r="4200" spans="1:9" hidden="1" x14ac:dyDescent="0.25">
      <c r="A4200" t="s">
        <v>17</v>
      </c>
      <c r="B4200" t="s">
        <v>171</v>
      </c>
      <c r="C4200">
        <v>202412</v>
      </c>
      <c r="D4200" t="str">
        <f t="shared" si="65"/>
        <v>2024</v>
      </c>
      <c r="E4200">
        <v>1871</v>
      </c>
      <c r="F4200">
        <v>188388</v>
      </c>
      <c r="G4200">
        <v>0.99</v>
      </c>
      <c r="H4200" t="s">
        <v>10</v>
      </c>
      <c r="I4200" t="s">
        <v>11</v>
      </c>
    </row>
    <row r="4201" spans="1:9" x14ac:dyDescent="0.25">
      <c r="A4201" t="s">
        <v>17</v>
      </c>
      <c r="B4201" t="s">
        <v>171</v>
      </c>
      <c r="C4201">
        <v>202501</v>
      </c>
      <c r="D4201" t="str">
        <f t="shared" si="65"/>
        <v>2025</v>
      </c>
      <c r="E4201">
        <v>2640</v>
      </c>
      <c r="F4201">
        <v>188388</v>
      </c>
      <c r="G4201">
        <v>1.4</v>
      </c>
      <c r="H4201" t="s">
        <v>10</v>
      </c>
      <c r="I4201" t="s">
        <v>11</v>
      </c>
    </row>
    <row r="4202" spans="1:9" x14ac:dyDescent="0.25">
      <c r="A4202" t="s">
        <v>17</v>
      </c>
      <c r="B4202" t="s">
        <v>171</v>
      </c>
      <c r="C4202">
        <v>202502</v>
      </c>
      <c r="D4202" t="str">
        <f t="shared" si="65"/>
        <v>2025</v>
      </c>
      <c r="E4202">
        <v>3502</v>
      </c>
      <c r="F4202">
        <v>188388</v>
      </c>
      <c r="G4202">
        <v>1.86</v>
      </c>
      <c r="H4202" t="s">
        <v>10</v>
      </c>
      <c r="I4202" t="s">
        <v>11</v>
      </c>
    </row>
    <row r="4203" spans="1:9" x14ac:dyDescent="0.25">
      <c r="A4203" t="s">
        <v>17</v>
      </c>
      <c r="B4203" t="s">
        <v>171</v>
      </c>
      <c r="C4203">
        <v>202503</v>
      </c>
      <c r="D4203" t="str">
        <f t="shared" si="65"/>
        <v>2025</v>
      </c>
      <c r="E4203">
        <v>11159</v>
      </c>
      <c r="F4203">
        <v>188388</v>
      </c>
      <c r="G4203">
        <v>5.92</v>
      </c>
      <c r="H4203" t="s">
        <v>10</v>
      </c>
      <c r="I4203" t="s">
        <v>11</v>
      </c>
    </row>
    <row r="4204" spans="1:9" x14ac:dyDescent="0.25">
      <c r="A4204" t="s">
        <v>17</v>
      </c>
      <c r="B4204" t="s">
        <v>171</v>
      </c>
      <c r="C4204">
        <v>202504</v>
      </c>
      <c r="D4204" t="str">
        <f t="shared" si="65"/>
        <v>2025</v>
      </c>
      <c r="E4204">
        <v>92006</v>
      </c>
      <c r="F4204">
        <v>188388</v>
      </c>
      <c r="G4204">
        <v>48.84</v>
      </c>
      <c r="H4204" t="s">
        <v>10</v>
      </c>
      <c r="I4204" t="s">
        <v>11</v>
      </c>
    </row>
    <row r="4205" spans="1:9" x14ac:dyDescent="0.25">
      <c r="A4205" t="s">
        <v>17</v>
      </c>
      <c r="B4205" t="s">
        <v>171</v>
      </c>
      <c r="C4205">
        <v>202505</v>
      </c>
      <c r="D4205" t="str">
        <f t="shared" si="65"/>
        <v>2025</v>
      </c>
      <c r="E4205">
        <v>61269</v>
      </c>
      <c r="F4205">
        <v>188388</v>
      </c>
      <c r="G4205">
        <v>32.520000000000003</v>
      </c>
      <c r="H4205" t="s">
        <v>10</v>
      </c>
      <c r="I4205" t="s">
        <v>11</v>
      </c>
    </row>
    <row r="4206" spans="1:9" hidden="1" x14ac:dyDescent="0.25">
      <c r="A4206" t="s">
        <v>17</v>
      </c>
      <c r="B4206" t="s">
        <v>163</v>
      </c>
      <c r="C4206">
        <v>201901</v>
      </c>
      <c r="D4206" t="str">
        <f t="shared" si="65"/>
        <v>2019</v>
      </c>
      <c r="E4206">
        <v>3</v>
      </c>
      <c r="F4206">
        <v>166725</v>
      </c>
      <c r="G4206">
        <v>0</v>
      </c>
      <c r="H4206" t="s">
        <v>10</v>
      </c>
      <c r="I4206" t="s">
        <v>11</v>
      </c>
    </row>
    <row r="4207" spans="1:9" hidden="1" x14ac:dyDescent="0.25">
      <c r="A4207" t="s">
        <v>17</v>
      </c>
      <c r="B4207" t="s">
        <v>163</v>
      </c>
      <c r="C4207">
        <v>201912</v>
      </c>
      <c r="D4207" t="str">
        <f t="shared" si="65"/>
        <v>2019</v>
      </c>
      <c r="E4207">
        <v>4</v>
      </c>
      <c r="F4207">
        <v>166725</v>
      </c>
      <c r="G4207">
        <v>0</v>
      </c>
      <c r="H4207" t="s">
        <v>10</v>
      </c>
      <c r="I4207" t="s">
        <v>11</v>
      </c>
    </row>
    <row r="4208" spans="1:9" hidden="1" x14ac:dyDescent="0.25">
      <c r="A4208" t="s">
        <v>17</v>
      </c>
      <c r="B4208" t="s">
        <v>163</v>
      </c>
      <c r="C4208">
        <v>202104</v>
      </c>
      <c r="D4208" t="str">
        <f t="shared" si="65"/>
        <v>2021</v>
      </c>
      <c r="E4208">
        <v>6</v>
      </c>
      <c r="F4208">
        <v>166725</v>
      </c>
      <c r="G4208">
        <v>0</v>
      </c>
      <c r="H4208" t="s">
        <v>10</v>
      </c>
      <c r="I4208" t="s">
        <v>11</v>
      </c>
    </row>
    <row r="4209" spans="1:9" hidden="1" x14ac:dyDescent="0.25">
      <c r="A4209" t="s">
        <v>17</v>
      </c>
      <c r="B4209" t="s">
        <v>163</v>
      </c>
      <c r="C4209">
        <v>202105</v>
      </c>
      <c r="D4209" t="str">
        <f t="shared" si="65"/>
        <v>2021</v>
      </c>
      <c r="E4209">
        <v>1</v>
      </c>
      <c r="F4209">
        <v>166725</v>
      </c>
      <c r="G4209">
        <v>0</v>
      </c>
      <c r="H4209" t="s">
        <v>10</v>
      </c>
      <c r="I4209" t="s">
        <v>11</v>
      </c>
    </row>
    <row r="4210" spans="1:9" hidden="1" x14ac:dyDescent="0.25">
      <c r="A4210" t="s">
        <v>17</v>
      </c>
      <c r="B4210" t="s">
        <v>163</v>
      </c>
      <c r="C4210">
        <v>202201</v>
      </c>
      <c r="D4210" t="str">
        <f t="shared" si="65"/>
        <v>2022</v>
      </c>
      <c r="E4210">
        <v>43</v>
      </c>
      <c r="F4210">
        <v>166725</v>
      </c>
      <c r="G4210">
        <v>0.03</v>
      </c>
      <c r="H4210" t="s">
        <v>10</v>
      </c>
      <c r="I4210" t="s">
        <v>11</v>
      </c>
    </row>
    <row r="4211" spans="1:9" hidden="1" x14ac:dyDescent="0.25">
      <c r="A4211" t="s">
        <v>17</v>
      </c>
      <c r="B4211" t="s">
        <v>163</v>
      </c>
      <c r="C4211">
        <v>202202</v>
      </c>
      <c r="D4211" t="str">
        <f t="shared" si="65"/>
        <v>2022</v>
      </c>
      <c r="E4211">
        <v>7</v>
      </c>
      <c r="F4211">
        <v>166725</v>
      </c>
      <c r="G4211">
        <v>0</v>
      </c>
      <c r="H4211" t="s">
        <v>10</v>
      </c>
      <c r="I4211" t="s">
        <v>11</v>
      </c>
    </row>
    <row r="4212" spans="1:9" hidden="1" x14ac:dyDescent="0.25">
      <c r="A4212" t="s">
        <v>17</v>
      </c>
      <c r="B4212" t="s">
        <v>163</v>
      </c>
      <c r="C4212">
        <v>202203</v>
      </c>
      <c r="D4212" t="str">
        <f t="shared" si="65"/>
        <v>2022</v>
      </c>
      <c r="E4212">
        <v>32</v>
      </c>
      <c r="F4212">
        <v>166725</v>
      </c>
      <c r="G4212">
        <v>0.02</v>
      </c>
      <c r="H4212" t="s">
        <v>10</v>
      </c>
      <c r="I4212" t="s">
        <v>11</v>
      </c>
    </row>
    <row r="4213" spans="1:9" hidden="1" x14ac:dyDescent="0.25">
      <c r="A4213" t="s">
        <v>17</v>
      </c>
      <c r="B4213" t="s">
        <v>163</v>
      </c>
      <c r="C4213">
        <v>202204</v>
      </c>
      <c r="D4213" t="str">
        <f t="shared" si="65"/>
        <v>2022</v>
      </c>
      <c r="E4213">
        <v>29</v>
      </c>
      <c r="F4213">
        <v>166725</v>
      </c>
      <c r="G4213">
        <v>0.02</v>
      </c>
      <c r="H4213" t="s">
        <v>10</v>
      </c>
      <c r="I4213" t="s">
        <v>11</v>
      </c>
    </row>
    <row r="4214" spans="1:9" hidden="1" x14ac:dyDescent="0.25">
      <c r="A4214" t="s">
        <v>17</v>
      </c>
      <c r="B4214" t="s">
        <v>163</v>
      </c>
      <c r="C4214">
        <v>202205</v>
      </c>
      <c r="D4214" t="str">
        <f t="shared" si="65"/>
        <v>2022</v>
      </c>
      <c r="E4214">
        <v>18</v>
      </c>
      <c r="F4214">
        <v>166725</v>
      </c>
      <c r="G4214">
        <v>0.01</v>
      </c>
      <c r="H4214" t="s">
        <v>10</v>
      </c>
      <c r="I4214" t="s">
        <v>11</v>
      </c>
    </row>
    <row r="4215" spans="1:9" hidden="1" x14ac:dyDescent="0.25">
      <c r="A4215" t="s">
        <v>17</v>
      </c>
      <c r="B4215" t="s">
        <v>163</v>
      </c>
      <c r="C4215">
        <v>202206</v>
      </c>
      <c r="D4215" t="str">
        <f t="shared" si="65"/>
        <v>2022</v>
      </c>
      <c r="E4215">
        <v>28</v>
      </c>
      <c r="F4215">
        <v>166725</v>
      </c>
      <c r="G4215">
        <v>0.02</v>
      </c>
      <c r="H4215" t="s">
        <v>10</v>
      </c>
      <c r="I4215" t="s">
        <v>11</v>
      </c>
    </row>
    <row r="4216" spans="1:9" hidden="1" x14ac:dyDescent="0.25">
      <c r="A4216" t="s">
        <v>17</v>
      </c>
      <c r="B4216" t="s">
        <v>163</v>
      </c>
      <c r="C4216">
        <v>202207</v>
      </c>
      <c r="D4216" t="str">
        <f t="shared" si="65"/>
        <v>2022</v>
      </c>
      <c r="E4216">
        <v>27</v>
      </c>
      <c r="F4216">
        <v>166725</v>
      </c>
      <c r="G4216">
        <v>0.02</v>
      </c>
      <c r="H4216" t="s">
        <v>10</v>
      </c>
      <c r="I4216" t="s">
        <v>11</v>
      </c>
    </row>
    <row r="4217" spans="1:9" hidden="1" x14ac:dyDescent="0.25">
      <c r="A4217" t="s">
        <v>17</v>
      </c>
      <c r="B4217" t="s">
        <v>163</v>
      </c>
      <c r="C4217">
        <v>202208</v>
      </c>
      <c r="D4217" t="str">
        <f t="shared" si="65"/>
        <v>2022</v>
      </c>
      <c r="E4217">
        <v>21</v>
      </c>
      <c r="F4217">
        <v>166725</v>
      </c>
      <c r="G4217">
        <v>0.01</v>
      </c>
      <c r="H4217" t="s">
        <v>10</v>
      </c>
      <c r="I4217" t="s">
        <v>11</v>
      </c>
    </row>
    <row r="4218" spans="1:9" hidden="1" x14ac:dyDescent="0.25">
      <c r="A4218" t="s">
        <v>17</v>
      </c>
      <c r="B4218" t="s">
        <v>163</v>
      </c>
      <c r="C4218">
        <v>202209</v>
      </c>
      <c r="D4218" t="str">
        <f t="shared" si="65"/>
        <v>2022</v>
      </c>
      <c r="E4218">
        <v>92</v>
      </c>
      <c r="F4218">
        <v>166725</v>
      </c>
      <c r="G4218">
        <v>0.06</v>
      </c>
      <c r="H4218" t="s">
        <v>10</v>
      </c>
      <c r="I4218" t="s">
        <v>11</v>
      </c>
    </row>
    <row r="4219" spans="1:9" hidden="1" x14ac:dyDescent="0.25">
      <c r="A4219" t="s">
        <v>17</v>
      </c>
      <c r="B4219" t="s">
        <v>163</v>
      </c>
      <c r="C4219">
        <v>202210</v>
      </c>
      <c r="D4219" t="str">
        <f t="shared" si="65"/>
        <v>2022</v>
      </c>
      <c r="E4219">
        <v>171</v>
      </c>
      <c r="F4219">
        <v>166725</v>
      </c>
      <c r="G4219">
        <v>0.1</v>
      </c>
      <c r="H4219" t="s">
        <v>10</v>
      </c>
      <c r="I4219" t="s">
        <v>11</v>
      </c>
    </row>
    <row r="4220" spans="1:9" hidden="1" x14ac:dyDescent="0.25">
      <c r="A4220" t="s">
        <v>17</v>
      </c>
      <c r="B4220" t="s">
        <v>163</v>
      </c>
      <c r="C4220">
        <v>202211</v>
      </c>
      <c r="D4220" t="str">
        <f t="shared" si="65"/>
        <v>2022</v>
      </c>
      <c r="E4220">
        <v>255</v>
      </c>
      <c r="F4220">
        <v>166725</v>
      </c>
      <c r="G4220">
        <v>0.15</v>
      </c>
      <c r="H4220" t="s">
        <v>10</v>
      </c>
      <c r="I4220" t="s">
        <v>11</v>
      </c>
    </row>
    <row r="4221" spans="1:9" hidden="1" x14ac:dyDescent="0.25">
      <c r="A4221" t="s">
        <v>17</v>
      </c>
      <c r="B4221" t="s">
        <v>163</v>
      </c>
      <c r="C4221">
        <v>202212</v>
      </c>
      <c r="D4221" t="str">
        <f t="shared" si="65"/>
        <v>2022</v>
      </c>
      <c r="E4221">
        <v>182</v>
      </c>
      <c r="F4221">
        <v>166725</v>
      </c>
      <c r="G4221">
        <v>0.11</v>
      </c>
      <c r="H4221" t="s">
        <v>10</v>
      </c>
      <c r="I4221" t="s">
        <v>11</v>
      </c>
    </row>
    <row r="4222" spans="1:9" hidden="1" x14ac:dyDescent="0.25">
      <c r="A4222" t="s">
        <v>17</v>
      </c>
      <c r="B4222" t="s">
        <v>163</v>
      </c>
      <c r="C4222">
        <v>202301</v>
      </c>
      <c r="D4222" t="str">
        <f t="shared" si="65"/>
        <v>2023</v>
      </c>
      <c r="E4222">
        <v>153</v>
      </c>
      <c r="F4222">
        <v>166725</v>
      </c>
      <c r="G4222">
        <v>0.09</v>
      </c>
      <c r="H4222" t="s">
        <v>10</v>
      </c>
      <c r="I4222" t="s">
        <v>11</v>
      </c>
    </row>
    <row r="4223" spans="1:9" hidden="1" x14ac:dyDescent="0.25">
      <c r="A4223" t="s">
        <v>17</v>
      </c>
      <c r="B4223" t="s">
        <v>163</v>
      </c>
      <c r="C4223">
        <v>202302</v>
      </c>
      <c r="D4223" t="str">
        <f t="shared" si="65"/>
        <v>2023</v>
      </c>
      <c r="E4223">
        <v>160</v>
      </c>
      <c r="F4223">
        <v>166725</v>
      </c>
      <c r="G4223">
        <v>0.1</v>
      </c>
      <c r="H4223" t="s">
        <v>10</v>
      </c>
      <c r="I4223" t="s">
        <v>11</v>
      </c>
    </row>
    <row r="4224" spans="1:9" hidden="1" x14ac:dyDescent="0.25">
      <c r="A4224" t="s">
        <v>17</v>
      </c>
      <c r="B4224" t="s">
        <v>163</v>
      </c>
      <c r="C4224">
        <v>202303</v>
      </c>
      <c r="D4224" t="str">
        <f t="shared" si="65"/>
        <v>2023</v>
      </c>
      <c r="E4224">
        <v>169</v>
      </c>
      <c r="F4224">
        <v>166725</v>
      </c>
      <c r="G4224">
        <v>0.1</v>
      </c>
      <c r="H4224" t="s">
        <v>10</v>
      </c>
      <c r="I4224" t="s">
        <v>11</v>
      </c>
    </row>
    <row r="4225" spans="1:9" hidden="1" x14ac:dyDescent="0.25">
      <c r="A4225" t="s">
        <v>17</v>
      </c>
      <c r="B4225" t="s">
        <v>163</v>
      </c>
      <c r="C4225">
        <v>202304</v>
      </c>
      <c r="D4225" t="str">
        <f t="shared" si="65"/>
        <v>2023</v>
      </c>
      <c r="E4225">
        <v>38</v>
      </c>
      <c r="F4225">
        <v>166725</v>
      </c>
      <c r="G4225">
        <v>0.02</v>
      </c>
      <c r="H4225" t="s">
        <v>10</v>
      </c>
      <c r="I4225" t="s">
        <v>11</v>
      </c>
    </row>
    <row r="4226" spans="1:9" hidden="1" x14ac:dyDescent="0.25">
      <c r="A4226" t="s">
        <v>17</v>
      </c>
      <c r="B4226" t="s">
        <v>163</v>
      </c>
      <c r="C4226">
        <v>202305</v>
      </c>
      <c r="D4226" t="str">
        <f t="shared" si="65"/>
        <v>2023</v>
      </c>
      <c r="E4226">
        <v>41</v>
      </c>
      <c r="F4226">
        <v>166725</v>
      </c>
      <c r="G4226">
        <v>0.02</v>
      </c>
      <c r="H4226" t="s">
        <v>10</v>
      </c>
      <c r="I4226" t="s">
        <v>11</v>
      </c>
    </row>
    <row r="4227" spans="1:9" hidden="1" x14ac:dyDescent="0.25">
      <c r="A4227" t="s">
        <v>17</v>
      </c>
      <c r="B4227" t="s">
        <v>163</v>
      </c>
      <c r="C4227">
        <v>202306</v>
      </c>
      <c r="D4227" t="str">
        <f t="shared" ref="D4227:D4290" si="66">LEFT(C4227,4)</f>
        <v>2023</v>
      </c>
      <c r="E4227">
        <v>75</v>
      </c>
      <c r="F4227">
        <v>166725</v>
      </c>
      <c r="G4227">
        <v>0.04</v>
      </c>
      <c r="H4227" t="s">
        <v>10</v>
      </c>
      <c r="I4227" t="s">
        <v>11</v>
      </c>
    </row>
    <row r="4228" spans="1:9" hidden="1" x14ac:dyDescent="0.25">
      <c r="A4228" t="s">
        <v>17</v>
      </c>
      <c r="B4228" t="s">
        <v>163</v>
      </c>
      <c r="C4228">
        <v>202307</v>
      </c>
      <c r="D4228" t="str">
        <f t="shared" si="66"/>
        <v>2023</v>
      </c>
      <c r="E4228">
        <v>88</v>
      </c>
      <c r="F4228">
        <v>166725</v>
      </c>
      <c r="G4228">
        <v>0.05</v>
      </c>
      <c r="H4228" t="s">
        <v>10</v>
      </c>
      <c r="I4228" t="s">
        <v>11</v>
      </c>
    </row>
    <row r="4229" spans="1:9" hidden="1" x14ac:dyDescent="0.25">
      <c r="A4229" t="s">
        <v>17</v>
      </c>
      <c r="B4229" t="s">
        <v>163</v>
      </c>
      <c r="C4229">
        <v>202308</v>
      </c>
      <c r="D4229" t="str">
        <f t="shared" si="66"/>
        <v>2023</v>
      </c>
      <c r="E4229">
        <v>153</v>
      </c>
      <c r="F4229">
        <v>166725</v>
      </c>
      <c r="G4229">
        <v>0.09</v>
      </c>
      <c r="H4229" t="s">
        <v>10</v>
      </c>
      <c r="I4229" t="s">
        <v>11</v>
      </c>
    </row>
    <row r="4230" spans="1:9" hidden="1" x14ac:dyDescent="0.25">
      <c r="A4230" t="s">
        <v>17</v>
      </c>
      <c r="B4230" t="s">
        <v>163</v>
      </c>
      <c r="C4230">
        <v>202309</v>
      </c>
      <c r="D4230" t="str">
        <f t="shared" si="66"/>
        <v>2023</v>
      </c>
      <c r="E4230">
        <v>123</v>
      </c>
      <c r="F4230">
        <v>166725</v>
      </c>
      <c r="G4230">
        <v>7.0000000000000007E-2</v>
      </c>
      <c r="H4230" t="s">
        <v>10</v>
      </c>
      <c r="I4230" t="s">
        <v>11</v>
      </c>
    </row>
    <row r="4231" spans="1:9" hidden="1" x14ac:dyDescent="0.25">
      <c r="A4231" t="s">
        <v>17</v>
      </c>
      <c r="B4231" t="s">
        <v>163</v>
      </c>
      <c r="C4231">
        <v>202310</v>
      </c>
      <c r="D4231" t="str">
        <f t="shared" si="66"/>
        <v>2023</v>
      </c>
      <c r="E4231">
        <v>273</v>
      </c>
      <c r="F4231">
        <v>166725</v>
      </c>
      <c r="G4231">
        <v>0.16</v>
      </c>
      <c r="H4231" t="s">
        <v>10</v>
      </c>
      <c r="I4231" t="s">
        <v>11</v>
      </c>
    </row>
    <row r="4232" spans="1:9" hidden="1" x14ac:dyDescent="0.25">
      <c r="A4232" t="s">
        <v>17</v>
      </c>
      <c r="B4232" t="s">
        <v>163</v>
      </c>
      <c r="C4232">
        <v>202311</v>
      </c>
      <c r="D4232" t="str">
        <f t="shared" si="66"/>
        <v>2023</v>
      </c>
      <c r="E4232">
        <v>402</v>
      </c>
      <c r="F4232">
        <v>166725</v>
      </c>
      <c r="G4232">
        <v>0.24</v>
      </c>
      <c r="H4232" t="s">
        <v>10</v>
      </c>
      <c r="I4232" t="s">
        <v>11</v>
      </c>
    </row>
    <row r="4233" spans="1:9" hidden="1" x14ac:dyDescent="0.25">
      <c r="A4233" t="s">
        <v>17</v>
      </c>
      <c r="B4233" t="s">
        <v>163</v>
      </c>
      <c r="C4233">
        <v>202312</v>
      </c>
      <c r="D4233" t="str">
        <f t="shared" si="66"/>
        <v>2023</v>
      </c>
      <c r="E4233">
        <v>398</v>
      </c>
      <c r="F4233">
        <v>166725</v>
      </c>
      <c r="G4233">
        <v>0.24</v>
      </c>
      <c r="H4233" t="s">
        <v>10</v>
      </c>
      <c r="I4233" t="s">
        <v>11</v>
      </c>
    </row>
    <row r="4234" spans="1:9" hidden="1" x14ac:dyDescent="0.25">
      <c r="A4234" t="s">
        <v>17</v>
      </c>
      <c r="B4234" t="s">
        <v>163</v>
      </c>
      <c r="C4234">
        <v>202401</v>
      </c>
      <c r="D4234" t="str">
        <f t="shared" si="66"/>
        <v>2024</v>
      </c>
      <c r="E4234">
        <v>291</v>
      </c>
      <c r="F4234">
        <v>166725</v>
      </c>
      <c r="G4234">
        <v>0.17</v>
      </c>
      <c r="H4234" t="s">
        <v>10</v>
      </c>
      <c r="I4234" t="s">
        <v>11</v>
      </c>
    </row>
    <row r="4235" spans="1:9" hidden="1" x14ac:dyDescent="0.25">
      <c r="A4235" t="s">
        <v>17</v>
      </c>
      <c r="B4235" t="s">
        <v>163</v>
      </c>
      <c r="C4235">
        <v>202402</v>
      </c>
      <c r="D4235" t="str">
        <f t="shared" si="66"/>
        <v>2024</v>
      </c>
      <c r="E4235">
        <v>220</v>
      </c>
      <c r="F4235">
        <v>166725</v>
      </c>
      <c r="G4235">
        <v>0.13</v>
      </c>
      <c r="H4235" t="s">
        <v>10</v>
      </c>
      <c r="I4235" t="s">
        <v>11</v>
      </c>
    </row>
    <row r="4236" spans="1:9" hidden="1" x14ac:dyDescent="0.25">
      <c r="A4236" t="s">
        <v>17</v>
      </c>
      <c r="B4236" t="s">
        <v>163</v>
      </c>
      <c r="C4236">
        <v>202403</v>
      </c>
      <c r="D4236" t="str">
        <f t="shared" si="66"/>
        <v>2024</v>
      </c>
      <c r="E4236">
        <v>326</v>
      </c>
      <c r="F4236">
        <v>166725</v>
      </c>
      <c r="G4236">
        <v>0.2</v>
      </c>
      <c r="H4236" t="s">
        <v>10</v>
      </c>
      <c r="I4236" t="s">
        <v>11</v>
      </c>
    </row>
    <row r="4237" spans="1:9" hidden="1" x14ac:dyDescent="0.25">
      <c r="A4237" t="s">
        <v>17</v>
      </c>
      <c r="B4237" t="s">
        <v>163</v>
      </c>
      <c r="C4237">
        <v>202404</v>
      </c>
      <c r="D4237" t="str">
        <f t="shared" si="66"/>
        <v>2024</v>
      </c>
      <c r="E4237">
        <v>409</v>
      </c>
      <c r="F4237">
        <v>166725</v>
      </c>
      <c r="G4237">
        <v>0.25</v>
      </c>
      <c r="H4237" t="s">
        <v>10</v>
      </c>
      <c r="I4237" t="s">
        <v>11</v>
      </c>
    </row>
    <row r="4238" spans="1:9" hidden="1" x14ac:dyDescent="0.25">
      <c r="A4238" t="s">
        <v>17</v>
      </c>
      <c r="B4238" t="s">
        <v>163</v>
      </c>
      <c r="C4238">
        <v>202405</v>
      </c>
      <c r="D4238" t="str">
        <f t="shared" si="66"/>
        <v>2024</v>
      </c>
      <c r="E4238">
        <v>521</v>
      </c>
      <c r="F4238">
        <v>166725</v>
      </c>
      <c r="G4238">
        <v>0.31</v>
      </c>
      <c r="H4238" t="s">
        <v>10</v>
      </c>
      <c r="I4238" t="s">
        <v>11</v>
      </c>
    </row>
    <row r="4239" spans="1:9" hidden="1" x14ac:dyDescent="0.25">
      <c r="A4239" t="s">
        <v>17</v>
      </c>
      <c r="B4239" t="s">
        <v>163</v>
      </c>
      <c r="C4239">
        <v>202406</v>
      </c>
      <c r="D4239" t="str">
        <f t="shared" si="66"/>
        <v>2024</v>
      </c>
      <c r="E4239">
        <v>774</v>
      </c>
      <c r="F4239">
        <v>166725</v>
      </c>
      <c r="G4239">
        <v>0.46</v>
      </c>
      <c r="H4239" t="s">
        <v>10</v>
      </c>
      <c r="I4239" t="s">
        <v>11</v>
      </c>
    </row>
    <row r="4240" spans="1:9" hidden="1" x14ac:dyDescent="0.25">
      <c r="A4240" t="s">
        <v>17</v>
      </c>
      <c r="B4240" t="s">
        <v>163</v>
      </c>
      <c r="C4240">
        <v>202407</v>
      </c>
      <c r="D4240" t="str">
        <f t="shared" si="66"/>
        <v>2024</v>
      </c>
      <c r="E4240">
        <v>826</v>
      </c>
      <c r="F4240">
        <v>166725</v>
      </c>
      <c r="G4240">
        <v>0.5</v>
      </c>
      <c r="H4240" t="s">
        <v>10</v>
      </c>
      <c r="I4240" t="s">
        <v>11</v>
      </c>
    </row>
    <row r="4241" spans="1:9" hidden="1" x14ac:dyDescent="0.25">
      <c r="A4241" t="s">
        <v>17</v>
      </c>
      <c r="B4241" t="s">
        <v>163</v>
      </c>
      <c r="C4241">
        <v>202408</v>
      </c>
      <c r="D4241" t="str">
        <f t="shared" si="66"/>
        <v>2024</v>
      </c>
      <c r="E4241">
        <v>625</v>
      </c>
      <c r="F4241">
        <v>166725</v>
      </c>
      <c r="G4241">
        <v>0.37</v>
      </c>
      <c r="H4241" t="s">
        <v>10</v>
      </c>
      <c r="I4241" t="s">
        <v>11</v>
      </c>
    </row>
    <row r="4242" spans="1:9" hidden="1" x14ac:dyDescent="0.25">
      <c r="A4242" t="s">
        <v>17</v>
      </c>
      <c r="B4242" t="s">
        <v>163</v>
      </c>
      <c r="C4242">
        <v>202409</v>
      </c>
      <c r="D4242" t="str">
        <f t="shared" si="66"/>
        <v>2024</v>
      </c>
      <c r="E4242">
        <v>930</v>
      </c>
      <c r="F4242">
        <v>166725</v>
      </c>
      <c r="G4242">
        <v>0.56000000000000005</v>
      </c>
      <c r="H4242" t="s">
        <v>10</v>
      </c>
      <c r="I4242" t="s">
        <v>11</v>
      </c>
    </row>
    <row r="4243" spans="1:9" hidden="1" x14ac:dyDescent="0.25">
      <c r="A4243" t="s">
        <v>17</v>
      </c>
      <c r="B4243" t="s">
        <v>163</v>
      </c>
      <c r="C4243">
        <v>202410</v>
      </c>
      <c r="D4243" t="str">
        <f t="shared" si="66"/>
        <v>2024</v>
      </c>
      <c r="E4243">
        <v>4131</v>
      </c>
      <c r="F4243">
        <v>166725</v>
      </c>
      <c r="G4243">
        <v>2.48</v>
      </c>
      <c r="H4243" t="s">
        <v>10</v>
      </c>
      <c r="I4243" t="s">
        <v>11</v>
      </c>
    </row>
    <row r="4244" spans="1:9" hidden="1" x14ac:dyDescent="0.25">
      <c r="A4244" t="s">
        <v>17</v>
      </c>
      <c r="B4244" t="s">
        <v>163</v>
      </c>
      <c r="C4244">
        <v>202411</v>
      </c>
      <c r="D4244" t="str">
        <f t="shared" si="66"/>
        <v>2024</v>
      </c>
      <c r="E4244">
        <v>2861</v>
      </c>
      <c r="F4244">
        <v>166725</v>
      </c>
      <c r="G4244">
        <v>1.72</v>
      </c>
      <c r="H4244" t="s">
        <v>10</v>
      </c>
      <c r="I4244" t="s">
        <v>11</v>
      </c>
    </row>
    <row r="4245" spans="1:9" hidden="1" x14ac:dyDescent="0.25">
      <c r="A4245" t="s">
        <v>17</v>
      </c>
      <c r="B4245" t="s">
        <v>163</v>
      </c>
      <c r="C4245">
        <v>202412</v>
      </c>
      <c r="D4245" t="str">
        <f t="shared" si="66"/>
        <v>2024</v>
      </c>
      <c r="E4245">
        <v>1779</v>
      </c>
      <c r="F4245">
        <v>166725</v>
      </c>
      <c r="G4245">
        <v>1.07</v>
      </c>
      <c r="H4245" t="s">
        <v>10</v>
      </c>
      <c r="I4245" t="s">
        <v>11</v>
      </c>
    </row>
    <row r="4246" spans="1:9" x14ac:dyDescent="0.25">
      <c r="A4246" t="s">
        <v>17</v>
      </c>
      <c r="B4246" t="s">
        <v>163</v>
      </c>
      <c r="C4246">
        <v>202501</v>
      </c>
      <c r="D4246" t="str">
        <f t="shared" si="66"/>
        <v>2025</v>
      </c>
      <c r="E4246">
        <v>5501</v>
      </c>
      <c r="F4246">
        <v>166725</v>
      </c>
      <c r="G4246">
        <v>3.3</v>
      </c>
      <c r="H4246" t="s">
        <v>10</v>
      </c>
      <c r="I4246" t="s">
        <v>11</v>
      </c>
    </row>
    <row r="4247" spans="1:9" x14ac:dyDescent="0.25">
      <c r="A4247" t="s">
        <v>17</v>
      </c>
      <c r="B4247" t="s">
        <v>163</v>
      </c>
      <c r="C4247">
        <v>202502</v>
      </c>
      <c r="D4247" t="str">
        <f t="shared" si="66"/>
        <v>2025</v>
      </c>
      <c r="E4247">
        <v>2946</v>
      </c>
      <c r="F4247">
        <v>166725</v>
      </c>
      <c r="G4247">
        <v>1.77</v>
      </c>
      <c r="H4247" t="s">
        <v>10</v>
      </c>
      <c r="I4247" t="s">
        <v>11</v>
      </c>
    </row>
    <row r="4248" spans="1:9" x14ac:dyDescent="0.25">
      <c r="A4248" t="s">
        <v>17</v>
      </c>
      <c r="B4248" t="s">
        <v>163</v>
      </c>
      <c r="C4248">
        <v>202503</v>
      </c>
      <c r="D4248" t="str">
        <f t="shared" si="66"/>
        <v>2025</v>
      </c>
      <c r="E4248">
        <v>4338</v>
      </c>
      <c r="F4248">
        <v>166725</v>
      </c>
      <c r="G4248">
        <v>2.6</v>
      </c>
      <c r="H4248" t="s">
        <v>10</v>
      </c>
      <c r="I4248" t="s">
        <v>11</v>
      </c>
    </row>
    <row r="4249" spans="1:9" x14ac:dyDescent="0.25">
      <c r="A4249" t="s">
        <v>17</v>
      </c>
      <c r="B4249" t="s">
        <v>163</v>
      </c>
      <c r="C4249">
        <v>202504</v>
      </c>
      <c r="D4249" t="str">
        <f t="shared" si="66"/>
        <v>2025</v>
      </c>
      <c r="E4249">
        <v>9322</v>
      </c>
      <c r="F4249">
        <v>166725</v>
      </c>
      <c r="G4249">
        <v>5.59</v>
      </c>
      <c r="H4249" t="s">
        <v>10</v>
      </c>
      <c r="I4249" t="s">
        <v>11</v>
      </c>
    </row>
    <row r="4250" spans="1:9" x14ac:dyDescent="0.25">
      <c r="A4250" t="s">
        <v>17</v>
      </c>
      <c r="B4250" t="s">
        <v>163</v>
      </c>
      <c r="C4250">
        <v>202505</v>
      </c>
      <c r="D4250" t="str">
        <f t="shared" si="66"/>
        <v>2025</v>
      </c>
      <c r="E4250">
        <v>73493</v>
      </c>
      <c r="F4250">
        <v>166725</v>
      </c>
      <c r="G4250">
        <v>44.08</v>
      </c>
      <c r="H4250" t="s">
        <v>10</v>
      </c>
      <c r="I4250" t="s">
        <v>11</v>
      </c>
    </row>
    <row r="4251" spans="1:9" x14ac:dyDescent="0.25">
      <c r="A4251" t="s">
        <v>17</v>
      </c>
      <c r="B4251" t="s">
        <v>163</v>
      </c>
      <c r="C4251">
        <v>202506</v>
      </c>
      <c r="D4251" t="str">
        <f t="shared" si="66"/>
        <v>2025</v>
      </c>
      <c r="E4251">
        <v>54440</v>
      </c>
      <c r="F4251">
        <v>166725</v>
      </c>
      <c r="G4251">
        <v>32.65</v>
      </c>
      <c r="H4251" t="s">
        <v>10</v>
      </c>
      <c r="I4251" t="s">
        <v>11</v>
      </c>
    </row>
    <row r="4252" spans="1:9" hidden="1" x14ac:dyDescent="0.25">
      <c r="A4252" t="s">
        <v>17</v>
      </c>
      <c r="B4252" t="s">
        <v>30</v>
      </c>
      <c r="C4252">
        <v>202203</v>
      </c>
      <c r="D4252" t="str">
        <f t="shared" si="66"/>
        <v>2022</v>
      </c>
      <c r="E4252">
        <v>23</v>
      </c>
      <c r="F4252">
        <v>168980</v>
      </c>
      <c r="G4252">
        <v>0.01</v>
      </c>
      <c r="H4252" t="s">
        <v>10</v>
      </c>
      <c r="I4252" t="s">
        <v>11</v>
      </c>
    </row>
    <row r="4253" spans="1:9" hidden="1" x14ac:dyDescent="0.25">
      <c r="A4253" t="s">
        <v>17</v>
      </c>
      <c r="B4253" t="s">
        <v>30</v>
      </c>
      <c r="C4253">
        <v>202210</v>
      </c>
      <c r="D4253" t="str">
        <f t="shared" si="66"/>
        <v>2022</v>
      </c>
      <c r="E4253">
        <v>3</v>
      </c>
      <c r="F4253">
        <v>168980</v>
      </c>
      <c r="G4253">
        <v>0</v>
      </c>
      <c r="H4253" t="s">
        <v>10</v>
      </c>
      <c r="I4253" t="s">
        <v>11</v>
      </c>
    </row>
    <row r="4254" spans="1:9" hidden="1" x14ac:dyDescent="0.25">
      <c r="A4254" t="s">
        <v>17</v>
      </c>
      <c r="B4254" t="s">
        <v>30</v>
      </c>
      <c r="C4254">
        <v>202212</v>
      </c>
      <c r="D4254" t="str">
        <f t="shared" si="66"/>
        <v>2022</v>
      </c>
      <c r="E4254">
        <v>25</v>
      </c>
      <c r="F4254">
        <v>168980</v>
      </c>
      <c r="G4254">
        <v>0.01</v>
      </c>
      <c r="H4254" t="s">
        <v>10</v>
      </c>
      <c r="I4254" t="s">
        <v>11</v>
      </c>
    </row>
    <row r="4255" spans="1:9" hidden="1" x14ac:dyDescent="0.25">
      <c r="A4255" t="s">
        <v>17</v>
      </c>
      <c r="B4255" t="s">
        <v>30</v>
      </c>
      <c r="C4255">
        <v>202301</v>
      </c>
      <c r="D4255" t="str">
        <f t="shared" si="66"/>
        <v>2023</v>
      </c>
      <c r="E4255">
        <v>42</v>
      </c>
      <c r="F4255">
        <v>168980</v>
      </c>
      <c r="G4255">
        <v>0.02</v>
      </c>
      <c r="H4255" t="s">
        <v>10</v>
      </c>
      <c r="I4255" t="s">
        <v>11</v>
      </c>
    </row>
    <row r="4256" spans="1:9" hidden="1" x14ac:dyDescent="0.25">
      <c r="A4256" t="s">
        <v>17</v>
      </c>
      <c r="B4256" t="s">
        <v>30</v>
      </c>
      <c r="C4256">
        <v>202302</v>
      </c>
      <c r="D4256" t="str">
        <f t="shared" si="66"/>
        <v>2023</v>
      </c>
      <c r="E4256">
        <v>32</v>
      </c>
      <c r="F4256">
        <v>168980</v>
      </c>
      <c r="G4256">
        <v>0.02</v>
      </c>
      <c r="H4256" t="s">
        <v>10</v>
      </c>
      <c r="I4256" t="s">
        <v>11</v>
      </c>
    </row>
    <row r="4257" spans="1:9" hidden="1" x14ac:dyDescent="0.25">
      <c r="A4257" t="s">
        <v>17</v>
      </c>
      <c r="B4257" t="s">
        <v>30</v>
      </c>
      <c r="C4257">
        <v>202303</v>
      </c>
      <c r="D4257" t="str">
        <f t="shared" si="66"/>
        <v>2023</v>
      </c>
      <c r="E4257">
        <v>45</v>
      </c>
      <c r="F4257">
        <v>168980</v>
      </c>
      <c r="G4257">
        <v>0.03</v>
      </c>
      <c r="H4257" t="s">
        <v>10</v>
      </c>
      <c r="I4257" t="s">
        <v>11</v>
      </c>
    </row>
    <row r="4258" spans="1:9" hidden="1" x14ac:dyDescent="0.25">
      <c r="A4258" t="s">
        <v>17</v>
      </c>
      <c r="B4258" t="s">
        <v>30</v>
      </c>
      <c r="C4258">
        <v>202304</v>
      </c>
      <c r="D4258" t="str">
        <f t="shared" si="66"/>
        <v>2023</v>
      </c>
      <c r="E4258">
        <v>20</v>
      </c>
      <c r="F4258">
        <v>168980</v>
      </c>
      <c r="G4258">
        <v>0.01</v>
      </c>
      <c r="H4258" t="s">
        <v>10</v>
      </c>
      <c r="I4258" t="s">
        <v>11</v>
      </c>
    </row>
    <row r="4259" spans="1:9" hidden="1" x14ac:dyDescent="0.25">
      <c r="A4259" t="s">
        <v>17</v>
      </c>
      <c r="B4259" t="s">
        <v>30</v>
      </c>
      <c r="C4259">
        <v>202305</v>
      </c>
      <c r="D4259" t="str">
        <f t="shared" si="66"/>
        <v>2023</v>
      </c>
      <c r="E4259">
        <v>32</v>
      </c>
      <c r="F4259">
        <v>168980</v>
      </c>
      <c r="G4259">
        <v>0.02</v>
      </c>
      <c r="H4259" t="s">
        <v>10</v>
      </c>
      <c r="I4259" t="s">
        <v>11</v>
      </c>
    </row>
    <row r="4260" spans="1:9" hidden="1" x14ac:dyDescent="0.25">
      <c r="A4260" t="s">
        <v>17</v>
      </c>
      <c r="B4260" t="s">
        <v>30</v>
      </c>
      <c r="C4260">
        <v>202306</v>
      </c>
      <c r="D4260" t="str">
        <f t="shared" si="66"/>
        <v>2023</v>
      </c>
      <c r="E4260">
        <v>90</v>
      </c>
      <c r="F4260">
        <v>168980</v>
      </c>
      <c r="G4260">
        <v>0.05</v>
      </c>
      <c r="H4260" t="s">
        <v>10</v>
      </c>
      <c r="I4260" t="s">
        <v>11</v>
      </c>
    </row>
    <row r="4261" spans="1:9" hidden="1" x14ac:dyDescent="0.25">
      <c r="A4261" t="s">
        <v>17</v>
      </c>
      <c r="B4261" t="s">
        <v>30</v>
      </c>
      <c r="C4261">
        <v>202307</v>
      </c>
      <c r="D4261" t="str">
        <f t="shared" si="66"/>
        <v>2023</v>
      </c>
      <c r="E4261">
        <v>144</v>
      </c>
      <c r="F4261">
        <v>168980</v>
      </c>
      <c r="G4261">
        <v>0.09</v>
      </c>
      <c r="H4261" t="s">
        <v>10</v>
      </c>
      <c r="I4261" t="s">
        <v>11</v>
      </c>
    </row>
    <row r="4262" spans="1:9" hidden="1" x14ac:dyDescent="0.25">
      <c r="A4262" t="s">
        <v>17</v>
      </c>
      <c r="B4262" t="s">
        <v>30</v>
      </c>
      <c r="C4262">
        <v>202308</v>
      </c>
      <c r="D4262" t="str">
        <f t="shared" si="66"/>
        <v>2023</v>
      </c>
      <c r="E4262">
        <v>158</v>
      </c>
      <c r="F4262">
        <v>168980</v>
      </c>
      <c r="G4262">
        <v>0.09</v>
      </c>
      <c r="H4262" t="s">
        <v>10</v>
      </c>
      <c r="I4262" t="s">
        <v>11</v>
      </c>
    </row>
    <row r="4263" spans="1:9" hidden="1" x14ac:dyDescent="0.25">
      <c r="A4263" t="s">
        <v>17</v>
      </c>
      <c r="B4263" t="s">
        <v>30</v>
      </c>
      <c r="C4263">
        <v>202309</v>
      </c>
      <c r="D4263" t="str">
        <f t="shared" si="66"/>
        <v>2023</v>
      </c>
      <c r="E4263">
        <v>139</v>
      </c>
      <c r="F4263">
        <v>168980</v>
      </c>
      <c r="G4263">
        <v>0.08</v>
      </c>
      <c r="H4263" t="s">
        <v>10</v>
      </c>
      <c r="I4263" t="s">
        <v>11</v>
      </c>
    </row>
    <row r="4264" spans="1:9" hidden="1" x14ac:dyDescent="0.25">
      <c r="A4264" t="s">
        <v>17</v>
      </c>
      <c r="B4264" t="s">
        <v>30</v>
      </c>
      <c r="C4264">
        <v>202310</v>
      </c>
      <c r="D4264" t="str">
        <f t="shared" si="66"/>
        <v>2023</v>
      </c>
      <c r="E4264">
        <v>45</v>
      </c>
      <c r="F4264">
        <v>168980</v>
      </c>
      <c r="G4264">
        <v>0.03</v>
      </c>
      <c r="H4264" t="s">
        <v>10</v>
      </c>
      <c r="I4264" t="s">
        <v>11</v>
      </c>
    </row>
    <row r="4265" spans="1:9" hidden="1" x14ac:dyDescent="0.25">
      <c r="A4265" t="s">
        <v>17</v>
      </c>
      <c r="B4265" t="s">
        <v>30</v>
      </c>
      <c r="C4265">
        <v>202311</v>
      </c>
      <c r="D4265" t="str">
        <f t="shared" si="66"/>
        <v>2023</v>
      </c>
      <c r="E4265">
        <v>73</v>
      </c>
      <c r="F4265">
        <v>168980</v>
      </c>
      <c r="G4265">
        <v>0.04</v>
      </c>
      <c r="H4265" t="s">
        <v>10</v>
      </c>
      <c r="I4265" t="s">
        <v>11</v>
      </c>
    </row>
    <row r="4266" spans="1:9" hidden="1" x14ac:dyDescent="0.25">
      <c r="A4266" t="s">
        <v>17</v>
      </c>
      <c r="B4266" t="s">
        <v>30</v>
      </c>
      <c r="C4266">
        <v>202312</v>
      </c>
      <c r="D4266" t="str">
        <f t="shared" si="66"/>
        <v>2023</v>
      </c>
      <c r="E4266">
        <v>46</v>
      </c>
      <c r="F4266">
        <v>168980</v>
      </c>
      <c r="G4266">
        <v>0.03</v>
      </c>
      <c r="H4266" t="s">
        <v>10</v>
      </c>
      <c r="I4266" t="s">
        <v>11</v>
      </c>
    </row>
    <row r="4267" spans="1:9" hidden="1" x14ac:dyDescent="0.25">
      <c r="A4267" t="s">
        <v>17</v>
      </c>
      <c r="B4267" t="s">
        <v>30</v>
      </c>
      <c r="C4267">
        <v>202401</v>
      </c>
      <c r="D4267" t="str">
        <f t="shared" si="66"/>
        <v>2024</v>
      </c>
      <c r="E4267">
        <v>404</v>
      </c>
      <c r="F4267">
        <v>168980</v>
      </c>
      <c r="G4267">
        <v>0.24</v>
      </c>
      <c r="H4267" t="s">
        <v>10</v>
      </c>
      <c r="I4267" t="s">
        <v>11</v>
      </c>
    </row>
    <row r="4268" spans="1:9" hidden="1" x14ac:dyDescent="0.25">
      <c r="A4268" t="s">
        <v>17</v>
      </c>
      <c r="B4268" t="s">
        <v>30</v>
      </c>
      <c r="C4268">
        <v>202402</v>
      </c>
      <c r="D4268" t="str">
        <f t="shared" si="66"/>
        <v>2024</v>
      </c>
      <c r="E4268">
        <v>582</v>
      </c>
      <c r="F4268">
        <v>168980</v>
      </c>
      <c r="G4268">
        <v>0.34</v>
      </c>
      <c r="H4268" t="s">
        <v>10</v>
      </c>
      <c r="I4268" t="s">
        <v>11</v>
      </c>
    </row>
    <row r="4269" spans="1:9" hidden="1" x14ac:dyDescent="0.25">
      <c r="A4269" t="s">
        <v>17</v>
      </c>
      <c r="B4269" t="s">
        <v>30</v>
      </c>
      <c r="C4269">
        <v>202403</v>
      </c>
      <c r="D4269" t="str">
        <f t="shared" si="66"/>
        <v>2024</v>
      </c>
      <c r="E4269">
        <v>591</v>
      </c>
      <c r="F4269">
        <v>168980</v>
      </c>
      <c r="G4269">
        <v>0.35</v>
      </c>
      <c r="H4269" t="s">
        <v>10</v>
      </c>
      <c r="I4269" t="s">
        <v>11</v>
      </c>
    </row>
    <row r="4270" spans="1:9" hidden="1" x14ac:dyDescent="0.25">
      <c r="A4270" t="s">
        <v>17</v>
      </c>
      <c r="B4270" t="s">
        <v>30</v>
      </c>
      <c r="C4270">
        <v>202404</v>
      </c>
      <c r="D4270" t="str">
        <f t="shared" si="66"/>
        <v>2024</v>
      </c>
      <c r="E4270">
        <v>466</v>
      </c>
      <c r="F4270">
        <v>168980</v>
      </c>
      <c r="G4270">
        <v>0.28000000000000003</v>
      </c>
      <c r="H4270" t="s">
        <v>10</v>
      </c>
      <c r="I4270" t="s">
        <v>11</v>
      </c>
    </row>
    <row r="4271" spans="1:9" hidden="1" x14ac:dyDescent="0.25">
      <c r="A4271" t="s">
        <v>17</v>
      </c>
      <c r="B4271" t="s">
        <v>30</v>
      </c>
      <c r="C4271">
        <v>202405</v>
      </c>
      <c r="D4271" t="str">
        <f t="shared" si="66"/>
        <v>2024</v>
      </c>
      <c r="E4271">
        <v>293</v>
      </c>
      <c r="F4271">
        <v>168980</v>
      </c>
      <c r="G4271">
        <v>0.17</v>
      </c>
      <c r="H4271" t="s">
        <v>10</v>
      </c>
      <c r="I4271" t="s">
        <v>11</v>
      </c>
    </row>
    <row r="4272" spans="1:9" hidden="1" x14ac:dyDescent="0.25">
      <c r="A4272" t="s">
        <v>17</v>
      </c>
      <c r="B4272" t="s">
        <v>30</v>
      </c>
      <c r="C4272">
        <v>202406</v>
      </c>
      <c r="D4272" t="str">
        <f t="shared" si="66"/>
        <v>2024</v>
      </c>
      <c r="E4272">
        <v>598</v>
      </c>
      <c r="F4272">
        <v>168980</v>
      </c>
      <c r="G4272">
        <v>0.35</v>
      </c>
      <c r="H4272" t="s">
        <v>10</v>
      </c>
      <c r="I4272" t="s">
        <v>11</v>
      </c>
    </row>
    <row r="4273" spans="1:9" hidden="1" x14ac:dyDescent="0.25">
      <c r="A4273" t="s">
        <v>17</v>
      </c>
      <c r="B4273" t="s">
        <v>30</v>
      </c>
      <c r="C4273">
        <v>202407</v>
      </c>
      <c r="D4273" t="str">
        <f t="shared" si="66"/>
        <v>2024</v>
      </c>
      <c r="E4273">
        <v>747</v>
      </c>
      <c r="F4273">
        <v>168980</v>
      </c>
      <c r="G4273">
        <v>0.44</v>
      </c>
      <c r="H4273" t="s">
        <v>10</v>
      </c>
      <c r="I4273" t="s">
        <v>11</v>
      </c>
    </row>
    <row r="4274" spans="1:9" hidden="1" x14ac:dyDescent="0.25">
      <c r="A4274" t="s">
        <v>17</v>
      </c>
      <c r="B4274" t="s">
        <v>30</v>
      </c>
      <c r="C4274">
        <v>202408</v>
      </c>
      <c r="D4274" t="str">
        <f t="shared" si="66"/>
        <v>2024</v>
      </c>
      <c r="E4274">
        <v>616</v>
      </c>
      <c r="F4274">
        <v>168980</v>
      </c>
      <c r="G4274">
        <v>0.36</v>
      </c>
      <c r="H4274" t="s">
        <v>10</v>
      </c>
      <c r="I4274" t="s">
        <v>11</v>
      </c>
    </row>
    <row r="4275" spans="1:9" hidden="1" x14ac:dyDescent="0.25">
      <c r="A4275" t="s">
        <v>17</v>
      </c>
      <c r="B4275" t="s">
        <v>30</v>
      </c>
      <c r="C4275">
        <v>202409</v>
      </c>
      <c r="D4275" t="str">
        <f t="shared" si="66"/>
        <v>2024</v>
      </c>
      <c r="E4275">
        <v>691</v>
      </c>
      <c r="F4275">
        <v>168980</v>
      </c>
      <c r="G4275">
        <v>0.41</v>
      </c>
      <c r="H4275" t="s">
        <v>10</v>
      </c>
      <c r="I4275" t="s">
        <v>11</v>
      </c>
    </row>
    <row r="4276" spans="1:9" hidden="1" x14ac:dyDescent="0.25">
      <c r="A4276" t="s">
        <v>17</v>
      </c>
      <c r="B4276" t="s">
        <v>30</v>
      </c>
      <c r="C4276">
        <v>202410</v>
      </c>
      <c r="D4276" t="str">
        <f t="shared" si="66"/>
        <v>2024</v>
      </c>
      <c r="E4276">
        <v>1445</v>
      </c>
      <c r="F4276">
        <v>168980</v>
      </c>
      <c r="G4276">
        <v>0.86</v>
      </c>
      <c r="H4276" t="s">
        <v>10</v>
      </c>
      <c r="I4276" t="s">
        <v>11</v>
      </c>
    </row>
    <row r="4277" spans="1:9" hidden="1" x14ac:dyDescent="0.25">
      <c r="A4277" t="s">
        <v>17</v>
      </c>
      <c r="B4277" t="s">
        <v>30</v>
      </c>
      <c r="C4277">
        <v>202411</v>
      </c>
      <c r="D4277" t="str">
        <f t="shared" si="66"/>
        <v>2024</v>
      </c>
      <c r="E4277">
        <v>1094</v>
      </c>
      <c r="F4277">
        <v>168980</v>
      </c>
      <c r="G4277">
        <v>0.65</v>
      </c>
      <c r="H4277" t="s">
        <v>10</v>
      </c>
      <c r="I4277" t="s">
        <v>11</v>
      </c>
    </row>
    <row r="4278" spans="1:9" hidden="1" x14ac:dyDescent="0.25">
      <c r="A4278" t="s">
        <v>17</v>
      </c>
      <c r="B4278" t="s">
        <v>30</v>
      </c>
      <c r="C4278">
        <v>202412</v>
      </c>
      <c r="D4278" t="str">
        <f t="shared" si="66"/>
        <v>2024</v>
      </c>
      <c r="E4278">
        <v>1331</v>
      </c>
      <c r="F4278">
        <v>168980</v>
      </c>
      <c r="G4278">
        <v>0.79</v>
      </c>
      <c r="H4278" t="s">
        <v>10</v>
      </c>
      <c r="I4278" t="s">
        <v>11</v>
      </c>
    </row>
    <row r="4279" spans="1:9" x14ac:dyDescent="0.25">
      <c r="A4279" t="s">
        <v>17</v>
      </c>
      <c r="B4279" t="s">
        <v>30</v>
      </c>
      <c r="C4279">
        <v>202501</v>
      </c>
      <c r="D4279" t="str">
        <f t="shared" si="66"/>
        <v>2025</v>
      </c>
      <c r="E4279">
        <v>3704</v>
      </c>
      <c r="F4279">
        <v>168980</v>
      </c>
      <c r="G4279">
        <v>2.19</v>
      </c>
      <c r="H4279" t="s">
        <v>10</v>
      </c>
      <c r="I4279" t="s">
        <v>11</v>
      </c>
    </row>
    <row r="4280" spans="1:9" x14ac:dyDescent="0.25">
      <c r="A4280" t="s">
        <v>17</v>
      </c>
      <c r="B4280" t="s">
        <v>30</v>
      </c>
      <c r="C4280">
        <v>202502</v>
      </c>
      <c r="D4280" t="str">
        <f t="shared" si="66"/>
        <v>2025</v>
      </c>
      <c r="E4280">
        <v>5908</v>
      </c>
      <c r="F4280">
        <v>168980</v>
      </c>
      <c r="G4280">
        <v>3.5</v>
      </c>
      <c r="H4280" t="s">
        <v>10</v>
      </c>
      <c r="I4280" t="s">
        <v>11</v>
      </c>
    </row>
    <row r="4281" spans="1:9" x14ac:dyDescent="0.25">
      <c r="A4281" t="s">
        <v>17</v>
      </c>
      <c r="B4281" t="s">
        <v>30</v>
      </c>
      <c r="C4281">
        <v>202503</v>
      </c>
      <c r="D4281" t="str">
        <f t="shared" si="66"/>
        <v>2025</v>
      </c>
      <c r="E4281">
        <v>4626</v>
      </c>
      <c r="F4281">
        <v>168980</v>
      </c>
      <c r="G4281">
        <v>2.74</v>
      </c>
      <c r="H4281" t="s">
        <v>10</v>
      </c>
      <c r="I4281" t="s">
        <v>11</v>
      </c>
    </row>
    <row r="4282" spans="1:9" x14ac:dyDescent="0.25">
      <c r="A4282" t="s">
        <v>17</v>
      </c>
      <c r="B4282" t="s">
        <v>30</v>
      </c>
      <c r="C4282">
        <v>202504</v>
      </c>
      <c r="D4282" t="str">
        <f t="shared" si="66"/>
        <v>2025</v>
      </c>
      <c r="E4282">
        <v>6172</v>
      </c>
      <c r="F4282">
        <v>168980</v>
      </c>
      <c r="G4282">
        <v>3.65</v>
      </c>
      <c r="H4282" t="s">
        <v>10</v>
      </c>
      <c r="I4282" t="s">
        <v>11</v>
      </c>
    </row>
    <row r="4283" spans="1:9" x14ac:dyDescent="0.25">
      <c r="A4283" t="s">
        <v>17</v>
      </c>
      <c r="B4283" t="s">
        <v>30</v>
      </c>
      <c r="C4283">
        <v>202505</v>
      </c>
      <c r="D4283" t="str">
        <f t="shared" si="66"/>
        <v>2025</v>
      </c>
      <c r="E4283">
        <v>10834</v>
      </c>
      <c r="F4283">
        <v>168980</v>
      </c>
      <c r="G4283">
        <v>6.41</v>
      </c>
      <c r="H4283" t="s">
        <v>10</v>
      </c>
      <c r="I4283" t="s">
        <v>11</v>
      </c>
    </row>
    <row r="4284" spans="1:9" x14ac:dyDescent="0.25">
      <c r="A4284" t="s">
        <v>17</v>
      </c>
      <c r="B4284" t="s">
        <v>30</v>
      </c>
      <c r="C4284">
        <v>202506</v>
      </c>
      <c r="D4284" t="str">
        <f t="shared" si="66"/>
        <v>2025</v>
      </c>
      <c r="E4284">
        <v>70719</v>
      </c>
      <c r="F4284">
        <v>168980</v>
      </c>
      <c r="G4284">
        <v>41.85</v>
      </c>
      <c r="H4284" t="s">
        <v>10</v>
      </c>
      <c r="I4284" t="s">
        <v>11</v>
      </c>
    </row>
    <row r="4285" spans="1:9" x14ac:dyDescent="0.25">
      <c r="A4285" t="s">
        <v>17</v>
      </c>
      <c r="B4285" t="s">
        <v>30</v>
      </c>
      <c r="C4285">
        <v>202507</v>
      </c>
      <c r="D4285" t="str">
        <f t="shared" si="66"/>
        <v>2025</v>
      </c>
      <c r="E4285">
        <v>57242</v>
      </c>
      <c r="F4285">
        <v>168980</v>
      </c>
      <c r="G4285">
        <v>33.880000000000003</v>
      </c>
      <c r="H4285" t="s">
        <v>10</v>
      </c>
      <c r="I4285" t="s">
        <v>11</v>
      </c>
    </row>
    <row r="4286" spans="1:9" hidden="1" x14ac:dyDescent="0.25">
      <c r="A4286" t="s">
        <v>17</v>
      </c>
      <c r="B4286" t="s">
        <v>29</v>
      </c>
      <c r="C4286">
        <v>202201</v>
      </c>
      <c r="D4286" t="str">
        <f t="shared" si="66"/>
        <v>2022</v>
      </c>
      <c r="E4286">
        <v>3</v>
      </c>
      <c r="F4286">
        <v>177354</v>
      </c>
      <c r="G4286">
        <v>0</v>
      </c>
      <c r="H4286" t="s">
        <v>10</v>
      </c>
      <c r="I4286" t="s">
        <v>11</v>
      </c>
    </row>
    <row r="4287" spans="1:9" hidden="1" x14ac:dyDescent="0.25">
      <c r="A4287" t="s">
        <v>17</v>
      </c>
      <c r="B4287" t="s">
        <v>29</v>
      </c>
      <c r="C4287">
        <v>202202</v>
      </c>
      <c r="D4287" t="str">
        <f t="shared" si="66"/>
        <v>2022</v>
      </c>
      <c r="E4287">
        <v>2</v>
      </c>
      <c r="F4287">
        <v>177354</v>
      </c>
      <c r="G4287">
        <v>0</v>
      </c>
      <c r="H4287" t="s">
        <v>10</v>
      </c>
      <c r="I4287" t="s">
        <v>11</v>
      </c>
    </row>
    <row r="4288" spans="1:9" hidden="1" x14ac:dyDescent="0.25">
      <c r="A4288" t="s">
        <v>17</v>
      </c>
      <c r="B4288" t="s">
        <v>29</v>
      </c>
      <c r="C4288">
        <v>202203</v>
      </c>
      <c r="D4288" t="str">
        <f t="shared" si="66"/>
        <v>2022</v>
      </c>
      <c r="E4288">
        <v>8</v>
      </c>
      <c r="F4288">
        <v>177354</v>
      </c>
      <c r="G4288">
        <v>0</v>
      </c>
      <c r="H4288" t="s">
        <v>10</v>
      </c>
      <c r="I4288" t="s">
        <v>11</v>
      </c>
    </row>
    <row r="4289" spans="1:9" hidden="1" x14ac:dyDescent="0.25">
      <c r="A4289" t="s">
        <v>17</v>
      </c>
      <c r="B4289" t="s">
        <v>29</v>
      </c>
      <c r="C4289">
        <v>202204</v>
      </c>
      <c r="D4289" t="str">
        <f t="shared" si="66"/>
        <v>2022</v>
      </c>
      <c r="E4289">
        <v>11</v>
      </c>
      <c r="F4289">
        <v>177354</v>
      </c>
      <c r="G4289">
        <v>0.01</v>
      </c>
      <c r="H4289" t="s">
        <v>10</v>
      </c>
      <c r="I4289" t="s">
        <v>11</v>
      </c>
    </row>
    <row r="4290" spans="1:9" hidden="1" x14ac:dyDescent="0.25">
      <c r="A4290" t="s">
        <v>17</v>
      </c>
      <c r="B4290" t="s">
        <v>29</v>
      </c>
      <c r="C4290">
        <v>202205</v>
      </c>
      <c r="D4290" t="str">
        <f t="shared" si="66"/>
        <v>2022</v>
      </c>
      <c r="E4290">
        <v>8</v>
      </c>
      <c r="F4290">
        <v>177354</v>
      </c>
      <c r="G4290">
        <v>0</v>
      </c>
      <c r="H4290" t="s">
        <v>10</v>
      </c>
      <c r="I4290" t="s">
        <v>11</v>
      </c>
    </row>
    <row r="4291" spans="1:9" hidden="1" x14ac:dyDescent="0.25">
      <c r="A4291" t="s">
        <v>17</v>
      </c>
      <c r="B4291" t="s">
        <v>29</v>
      </c>
      <c r="C4291">
        <v>202207</v>
      </c>
      <c r="D4291" t="str">
        <f t="shared" ref="D4291:D4354" si="67">LEFT(C4291,4)</f>
        <v>2022</v>
      </c>
      <c r="E4291">
        <v>4</v>
      </c>
      <c r="F4291">
        <v>177354</v>
      </c>
      <c r="G4291">
        <v>0</v>
      </c>
      <c r="H4291" t="s">
        <v>10</v>
      </c>
      <c r="I4291" t="s">
        <v>11</v>
      </c>
    </row>
    <row r="4292" spans="1:9" hidden="1" x14ac:dyDescent="0.25">
      <c r="A4292" t="s">
        <v>17</v>
      </c>
      <c r="B4292" t="s">
        <v>29</v>
      </c>
      <c r="C4292">
        <v>202208</v>
      </c>
      <c r="D4292" t="str">
        <f t="shared" si="67"/>
        <v>2022</v>
      </c>
      <c r="E4292">
        <v>5</v>
      </c>
      <c r="F4292">
        <v>177354</v>
      </c>
      <c r="G4292">
        <v>0</v>
      </c>
      <c r="H4292" t="s">
        <v>10</v>
      </c>
      <c r="I4292" t="s">
        <v>11</v>
      </c>
    </row>
    <row r="4293" spans="1:9" hidden="1" x14ac:dyDescent="0.25">
      <c r="A4293" t="s">
        <v>17</v>
      </c>
      <c r="B4293" t="s">
        <v>29</v>
      </c>
      <c r="C4293">
        <v>202209</v>
      </c>
      <c r="D4293" t="str">
        <f t="shared" si="67"/>
        <v>2022</v>
      </c>
      <c r="E4293">
        <v>4</v>
      </c>
      <c r="F4293">
        <v>177354</v>
      </c>
      <c r="G4293">
        <v>0</v>
      </c>
      <c r="H4293" t="s">
        <v>10</v>
      </c>
      <c r="I4293" t="s">
        <v>11</v>
      </c>
    </row>
    <row r="4294" spans="1:9" hidden="1" x14ac:dyDescent="0.25">
      <c r="A4294" t="s">
        <v>17</v>
      </c>
      <c r="B4294" t="s">
        <v>29</v>
      </c>
      <c r="C4294">
        <v>202211</v>
      </c>
      <c r="D4294" t="str">
        <f t="shared" si="67"/>
        <v>2022</v>
      </c>
      <c r="E4294">
        <v>16</v>
      </c>
      <c r="F4294">
        <v>177354</v>
      </c>
      <c r="G4294">
        <v>0.01</v>
      </c>
      <c r="H4294" t="s">
        <v>10</v>
      </c>
      <c r="I4294" t="s">
        <v>11</v>
      </c>
    </row>
    <row r="4295" spans="1:9" hidden="1" x14ac:dyDescent="0.25">
      <c r="A4295" t="s">
        <v>17</v>
      </c>
      <c r="B4295" t="s">
        <v>29</v>
      </c>
      <c r="C4295">
        <v>202212</v>
      </c>
      <c r="D4295" t="str">
        <f t="shared" si="67"/>
        <v>2022</v>
      </c>
      <c r="E4295">
        <v>20</v>
      </c>
      <c r="F4295">
        <v>177354</v>
      </c>
      <c r="G4295">
        <v>0.01</v>
      </c>
      <c r="H4295" t="s">
        <v>10</v>
      </c>
      <c r="I4295" t="s">
        <v>11</v>
      </c>
    </row>
    <row r="4296" spans="1:9" hidden="1" x14ac:dyDescent="0.25">
      <c r="A4296" t="s">
        <v>17</v>
      </c>
      <c r="B4296" t="s">
        <v>29</v>
      </c>
      <c r="C4296">
        <v>202301</v>
      </c>
      <c r="D4296" t="str">
        <f t="shared" si="67"/>
        <v>2023</v>
      </c>
      <c r="E4296">
        <v>25</v>
      </c>
      <c r="F4296">
        <v>177354</v>
      </c>
      <c r="G4296">
        <v>0.01</v>
      </c>
      <c r="H4296" t="s">
        <v>10</v>
      </c>
      <c r="I4296" t="s">
        <v>11</v>
      </c>
    </row>
    <row r="4297" spans="1:9" hidden="1" x14ac:dyDescent="0.25">
      <c r="A4297" t="s">
        <v>17</v>
      </c>
      <c r="B4297" t="s">
        <v>29</v>
      </c>
      <c r="C4297">
        <v>202302</v>
      </c>
      <c r="D4297" t="str">
        <f t="shared" si="67"/>
        <v>2023</v>
      </c>
      <c r="E4297">
        <v>3</v>
      </c>
      <c r="F4297">
        <v>177354</v>
      </c>
      <c r="G4297">
        <v>0</v>
      </c>
      <c r="H4297" t="s">
        <v>10</v>
      </c>
      <c r="I4297" t="s">
        <v>11</v>
      </c>
    </row>
    <row r="4298" spans="1:9" hidden="1" x14ac:dyDescent="0.25">
      <c r="A4298" t="s">
        <v>17</v>
      </c>
      <c r="B4298" t="s">
        <v>29</v>
      </c>
      <c r="C4298">
        <v>202303</v>
      </c>
      <c r="D4298" t="str">
        <f t="shared" si="67"/>
        <v>2023</v>
      </c>
      <c r="E4298">
        <v>17</v>
      </c>
      <c r="F4298">
        <v>177354</v>
      </c>
      <c r="G4298">
        <v>0.01</v>
      </c>
      <c r="H4298" t="s">
        <v>10</v>
      </c>
      <c r="I4298" t="s">
        <v>11</v>
      </c>
    </row>
    <row r="4299" spans="1:9" hidden="1" x14ac:dyDescent="0.25">
      <c r="A4299" t="s">
        <v>17</v>
      </c>
      <c r="B4299" t="s">
        <v>29</v>
      </c>
      <c r="C4299">
        <v>202304</v>
      </c>
      <c r="D4299" t="str">
        <f t="shared" si="67"/>
        <v>2023</v>
      </c>
      <c r="E4299">
        <v>32</v>
      </c>
      <c r="F4299">
        <v>177354</v>
      </c>
      <c r="G4299">
        <v>0.02</v>
      </c>
      <c r="H4299" t="s">
        <v>10</v>
      </c>
      <c r="I4299" t="s">
        <v>11</v>
      </c>
    </row>
    <row r="4300" spans="1:9" hidden="1" x14ac:dyDescent="0.25">
      <c r="A4300" t="s">
        <v>17</v>
      </c>
      <c r="B4300" t="s">
        <v>29</v>
      </c>
      <c r="C4300">
        <v>202305</v>
      </c>
      <c r="D4300" t="str">
        <f t="shared" si="67"/>
        <v>2023</v>
      </c>
      <c r="E4300">
        <v>17</v>
      </c>
      <c r="F4300">
        <v>177354</v>
      </c>
      <c r="G4300">
        <v>0.01</v>
      </c>
      <c r="H4300" t="s">
        <v>10</v>
      </c>
      <c r="I4300" t="s">
        <v>11</v>
      </c>
    </row>
    <row r="4301" spans="1:9" hidden="1" x14ac:dyDescent="0.25">
      <c r="A4301" t="s">
        <v>17</v>
      </c>
      <c r="B4301" t="s">
        <v>29</v>
      </c>
      <c r="C4301">
        <v>202306</v>
      </c>
      <c r="D4301" t="str">
        <f t="shared" si="67"/>
        <v>2023</v>
      </c>
      <c r="E4301">
        <v>17</v>
      </c>
      <c r="F4301">
        <v>177354</v>
      </c>
      <c r="G4301">
        <v>0.01</v>
      </c>
      <c r="H4301" t="s">
        <v>10</v>
      </c>
      <c r="I4301" t="s">
        <v>11</v>
      </c>
    </row>
    <row r="4302" spans="1:9" hidden="1" x14ac:dyDescent="0.25">
      <c r="A4302" t="s">
        <v>17</v>
      </c>
      <c r="B4302" t="s">
        <v>29</v>
      </c>
      <c r="C4302">
        <v>202307</v>
      </c>
      <c r="D4302" t="str">
        <f t="shared" si="67"/>
        <v>2023</v>
      </c>
      <c r="E4302">
        <v>38</v>
      </c>
      <c r="F4302">
        <v>177354</v>
      </c>
      <c r="G4302">
        <v>0.02</v>
      </c>
      <c r="H4302" t="s">
        <v>10</v>
      </c>
      <c r="I4302" t="s">
        <v>11</v>
      </c>
    </row>
    <row r="4303" spans="1:9" hidden="1" x14ac:dyDescent="0.25">
      <c r="A4303" t="s">
        <v>17</v>
      </c>
      <c r="B4303" t="s">
        <v>29</v>
      </c>
      <c r="C4303">
        <v>202308</v>
      </c>
      <c r="D4303" t="str">
        <f t="shared" si="67"/>
        <v>2023</v>
      </c>
      <c r="E4303">
        <v>81</v>
      </c>
      <c r="F4303">
        <v>177354</v>
      </c>
      <c r="G4303">
        <v>0.05</v>
      </c>
      <c r="H4303" t="s">
        <v>10</v>
      </c>
      <c r="I4303" t="s">
        <v>11</v>
      </c>
    </row>
    <row r="4304" spans="1:9" hidden="1" x14ac:dyDescent="0.25">
      <c r="A4304" t="s">
        <v>17</v>
      </c>
      <c r="B4304" t="s">
        <v>29</v>
      </c>
      <c r="C4304">
        <v>202309</v>
      </c>
      <c r="D4304" t="str">
        <f t="shared" si="67"/>
        <v>2023</v>
      </c>
      <c r="E4304">
        <v>42</v>
      </c>
      <c r="F4304">
        <v>177354</v>
      </c>
      <c r="G4304">
        <v>0.02</v>
      </c>
      <c r="H4304" t="s">
        <v>10</v>
      </c>
      <c r="I4304" t="s">
        <v>11</v>
      </c>
    </row>
    <row r="4305" spans="1:9" hidden="1" x14ac:dyDescent="0.25">
      <c r="A4305" t="s">
        <v>17</v>
      </c>
      <c r="B4305" t="s">
        <v>29</v>
      </c>
      <c r="C4305">
        <v>202310</v>
      </c>
      <c r="D4305" t="str">
        <f t="shared" si="67"/>
        <v>2023</v>
      </c>
      <c r="E4305">
        <v>33</v>
      </c>
      <c r="F4305">
        <v>177354</v>
      </c>
      <c r="G4305">
        <v>0.02</v>
      </c>
      <c r="H4305" t="s">
        <v>10</v>
      </c>
      <c r="I4305" t="s">
        <v>11</v>
      </c>
    </row>
    <row r="4306" spans="1:9" hidden="1" x14ac:dyDescent="0.25">
      <c r="A4306" t="s">
        <v>17</v>
      </c>
      <c r="B4306" t="s">
        <v>29</v>
      </c>
      <c r="C4306">
        <v>202311</v>
      </c>
      <c r="D4306" t="str">
        <f t="shared" si="67"/>
        <v>2023</v>
      </c>
      <c r="E4306">
        <v>56</v>
      </c>
      <c r="F4306">
        <v>177354</v>
      </c>
      <c r="G4306">
        <v>0.03</v>
      </c>
      <c r="H4306" t="s">
        <v>10</v>
      </c>
      <c r="I4306" t="s">
        <v>11</v>
      </c>
    </row>
    <row r="4307" spans="1:9" hidden="1" x14ac:dyDescent="0.25">
      <c r="A4307" t="s">
        <v>17</v>
      </c>
      <c r="B4307" t="s">
        <v>29</v>
      </c>
      <c r="C4307">
        <v>202312</v>
      </c>
      <c r="D4307" t="str">
        <f t="shared" si="67"/>
        <v>2023</v>
      </c>
      <c r="E4307">
        <v>6</v>
      </c>
      <c r="F4307">
        <v>177354</v>
      </c>
      <c r="G4307">
        <v>0</v>
      </c>
      <c r="H4307" t="s">
        <v>10</v>
      </c>
      <c r="I4307" t="s">
        <v>11</v>
      </c>
    </row>
    <row r="4308" spans="1:9" hidden="1" x14ac:dyDescent="0.25">
      <c r="A4308" t="s">
        <v>17</v>
      </c>
      <c r="B4308" t="s">
        <v>29</v>
      </c>
      <c r="C4308">
        <v>202401</v>
      </c>
      <c r="D4308" t="str">
        <f t="shared" si="67"/>
        <v>2024</v>
      </c>
      <c r="E4308">
        <v>342</v>
      </c>
      <c r="F4308">
        <v>177354</v>
      </c>
      <c r="G4308">
        <v>0.19</v>
      </c>
      <c r="H4308" t="s">
        <v>10</v>
      </c>
      <c r="I4308" t="s">
        <v>11</v>
      </c>
    </row>
    <row r="4309" spans="1:9" hidden="1" x14ac:dyDescent="0.25">
      <c r="A4309" t="s">
        <v>17</v>
      </c>
      <c r="B4309" t="s">
        <v>29</v>
      </c>
      <c r="C4309">
        <v>202402</v>
      </c>
      <c r="D4309" t="str">
        <f t="shared" si="67"/>
        <v>2024</v>
      </c>
      <c r="E4309">
        <v>343</v>
      </c>
      <c r="F4309">
        <v>177354</v>
      </c>
      <c r="G4309">
        <v>0.19</v>
      </c>
      <c r="H4309" t="s">
        <v>10</v>
      </c>
      <c r="I4309" t="s">
        <v>11</v>
      </c>
    </row>
    <row r="4310" spans="1:9" hidden="1" x14ac:dyDescent="0.25">
      <c r="A4310" t="s">
        <v>17</v>
      </c>
      <c r="B4310" t="s">
        <v>29</v>
      </c>
      <c r="C4310">
        <v>202403</v>
      </c>
      <c r="D4310" t="str">
        <f t="shared" si="67"/>
        <v>2024</v>
      </c>
      <c r="E4310">
        <v>491</v>
      </c>
      <c r="F4310">
        <v>177354</v>
      </c>
      <c r="G4310">
        <v>0.28000000000000003</v>
      </c>
      <c r="H4310" t="s">
        <v>10</v>
      </c>
      <c r="I4310" t="s">
        <v>11</v>
      </c>
    </row>
    <row r="4311" spans="1:9" hidden="1" x14ac:dyDescent="0.25">
      <c r="A4311" t="s">
        <v>17</v>
      </c>
      <c r="B4311" t="s">
        <v>29</v>
      </c>
      <c r="C4311">
        <v>202404</v>
      </c>
      <c r="D4311" t="str">
        <f t="shared" si="67"/>
        <v>2024</v>
      </c>
      <c r="E4311">
        <v>376</v>
      </c>
      <c r="F4311">
        <v>177354</v>
      </c>
      <c r="G4311">
        <v>0.21</v>
      </c>
      <c r="H4311" t="s">
        <v>10</v>
      </c>
      <c r="I4311" t="s">
        <v>11</v>
      </c>
    </row>
    <row r="4312" spans="1:9" hidden="1" x14ac:dyDescent="0.25">
      <c r="A4312" t="s">
        <v>17</v>
      </c>
      <c r="B4312" t="s">
        <v>29</v>
      </c>
      <c r="C4312">
        <v>202405</v>
      </c>
      <c r="D4312" t="str">
        <f t="shared" si="67"/>
        <v>2024</v>
      </c>
      <c r="E4312">
        <v>449</v>
      </c>
      <c r="F4312">
        <v>177354</v>
      </c>
      <c r="G4312">
        <v>0.25</v>
      </c>
      <c r="H4312" t="s">
        <v>10</v>
      </c>
      <c r="I4312" t="s">
        <v>11</v>
      </c>
    </row>
    <row r="4313" spans="1:9" hidden="1" x14ac:dyDescent="0.25">
      <c r="A4313" t="s">
        <v>17</v>
      </c>
      <c r="B4313" t="s">
        <v>29</v>
      </c>
      <c r="C4313">
        <v>202406</v>
      </c>
      <c r="D4313" t="str">
        <f t="shared" si="67"/>
        <v>2024</v>
      </c>
      <c r="E4313">
        <v>651</v>
      </c>
      <c r="F4313">
        <v>177354</v>
      </c>
      <c r="G4313">
        <v>0.37</v>
      </c>
      <c r="H4313" t="s">
        <v>10</v>
      </c>
      <c r="I4313" t="s">
        <v>11</v>
      </c>
    </row>
    <row r="4314" spans="1:9" hidden="1" x14ac:dyDescent="0.25">
      <c r="A4314" t="s">
        <v>17</v>
      </c>
      <c r="B4314" t="s">
        <v>29</v>
      </c>
      <c r="C4314">
        <v>202407</v>
      </c>
      <c r="D4314" t="str">
        <f t="shared" si="67"/>
        <v>2024</v>
      </c>
      <c r="E4314">
        <v>1025</v>
      </c>
      <c r="F4314">
        <v>177354</v>
      </c>
      <c r="G4314">
        <v>0.57999999999999996</v>
      </c>
      <c r="H4314" t="s">
        <v>10</v>
      </c>
      <c r="I4314" t="s">
        <v>11</v>
      </c>
    </row>
    <row r="4315" spans="1:9" hidden="1" x14ac:dyDescent="0.25">
      <c r="A4315" t="s">
        <v>17</v>
      </c>
      <c r="B4315" t="s">
        <v>29</v>
      </c>
      <c r="C4315">
        <v>202408</v>
      </c>
      <c r="D4315" t="str">
        <f t="shared" si="67"/>
        <v>2024</v>
      </c>
      <c r="E4315">
        <v>673</v>
      </c>
      <c r="F4315">
        <v>177354</v>
      </c>
      <c r="G4315">
        <v>0.38</v>
      </c>
      <c r="H4315" t="s">
        <v>10</v>
      </c>
      <c r="I4315" t="s">
        <v>11</v>
      </c>
    </row>
    <row r="4316" spans="1:9" hidden="1" x14ac:dyDescent="0.25">
      <c r="A4316" t="s">
        <v>17</v>
      </c>
      <c r="B4316" t="s">
        <v>29</v>
      </c>
      <c r="C4316">
        <v>202409</v>
      </c>
      <c r="D4316" t="str">
        <f t="shared" si="67"/>
        <v>2024</v>
      </c>
      <c r="E4316">
        <v>668</v>
      </c>
      <c r="F4316">
        <v>177354</v>
      </c>
      <c r="G4316">
        <v>0.38</v>
      </c>
      <c r="H4316" t="s">
        <v>10</v>
      </c>
      <c r="I4316" t="s">
        <v>11</v>
      </c>
    </row>
    <row r="4317" spans="1:9" hidden="1" x14ac:dyDescent="0.25">
      <c r="A4317" t="s">
        <v>17</v>
      </c>
      <c r="B4317" t="s">
        <v>29</v>
      </c>
      <c r="C4317">
        <v>202410</v>
      </c>
      <c r="D4317" t="str">
        <f t="shared" si="67"/>
        <v>2024</v>
      </c>
      <c r="E4317">
        <v>936</v>
      </c>
      <c r="F4317">
        <v>177354</v>
      </c>
      <c r="G4317">
        <v>0.53</v>
      </c>
      <c r="H4317" t="s">
        <v>10</v>
      </c>
      <c r="I4317" t="s">
        <v>11</v>
      </c>
    </row>
    <row r="4318" spans="1:9" hidden="1" x14ac:dyDescent="0.25">
      <c r="A4318" t="s">
        <v>17</v>
      </c>
      <c r="B4318" t="s">
        <v>29</v>
      </c>
      <c r="C4318">
        <v>202411</v>
      </c>
      <c r="D4318" t="str">
        <f t="shared" si="67"/>
        <v>2024</v>
      </c>
      <c r="E4318">
        <v>1522</v>
      </c>
      <c r="F4318">
        <v>177354</v>
      </c>
      <c r="G4318">
        <v>0.86</v>
      </c>
      <c r="H4318" t="s">
        <v>10</v>
      </c>
      <c r="I4318" t="s">
        <v>11</v>
      </c>
    </row>
    <row r="4319" spans="1:9" hidden="1" x14ac:dyDescent="0.25">
      <c r="A4319" t="s">
        <v>17</v>
      </c>
      <c r="B4319" t="s">
        <v>29</v>
      </c>
      <c r="C4319">
        <v>202412</v>
      </c>
      <c r="D4319" t="str">
        <f t="shared" si="67"/>
        <v>2024</v>
      </c>
      <c r="E4319">
        <v>3724</v>
      </c>
      <c r="F4319">
        <v>177354</v>
      </c>
      <c r="G4319">
        <v>2.1</v>
      </c>
      <c r="H4319" t="s">
        <v>10</v>
      </c>
      <c r="I4319" t="s">
        <v>11</v>
      </c>
    </row>
    <row r="4320" spans="1:9" x14ac:dyDescent="0.25">
      <c r="A4320" t="s">
        <v>17</v>
      </c>
      <c r="B4320" t="s">
        <v>29</v>
      </c>
      <c r="C4320">
        <v>202501</v>
      </c>
      <c r="D4320" t="str">
        <f t="shared" si="67"/>
        <v>2025</v>
      </c>
      <c r="E4320">
        <v>11489</v>
      </c>
      <c r="F4320">
        <v>177354</v>
      </c>
      <c r="G4320">
        <v>6.48</v>
      </c>
      <c r="H4320" t="s">
        <v>10</v>
      </c>
      <c r="I4320" t="s">
        <v>11</v>
      </c>
    </row>
    <row r="4321" spans="1:9" x14ac:dyDescent="0.25">
      <c r="A4321" t="s">
        <v>17</v>
      </c>
      <c r="B4321" t="s">
        <v>29</v>
      </c>
      <c r="C4321">
        <v>202502</v>
      </c>
      <c r="D4321" t="str">
        <f t="shared" si="67"/>
        <v>2025</v>
      </c>
      <c r="E4321">
        <v>9253</v>
      </c>
      <c r="F4321">
        <v>177354</v>
      </c>
      <c r="G4321">
        <v>5.22</v>
      </c>
      <c r="H4321" t="s">
        <v>10</v>
      </c>
      <c r="I4321" t="s">
        <v>11</v>
      </c>
    </row>
    <row r="4322" spans="1:9" x14ac:dyDescent="0.25">
      <c r="A4322" t="s">
        <v>17</v>
      </c>
      <c r="B4322" t="s">
        <v>29</v>
      </c>
      <c r="C4322">
        <v>202503</v>
      </c>
      <c r="D4322" t="str">
        <f t="shared" si="67"/>
        <v>2025</v>
      </c>
      <c r="E4322">
        <v>4448</v>
      </c>
      <c r="F4322">
        <v>177354</v>
      </c>
      <c r="G4322">
        <v>2.5099999999999998</v>
      </c>
      <c r="H4322" t="s">
        <v>10</v>
      </c>
      <c r="I4322" t="s">
        <v>11</v>
      </c>
    </row>
    <row r="4323" spans="1:9" x14ac:dyDescent="0.25">
      <c r="A4323" t="s">
        <v>17</v>
      </c>
      <c r="B4323" t="s">
        <v>29</v>
      </c>
      <c r="C4323">
        <v>202504</v>
      </c>
      <c r="D4323" t="str">
        <f t="shared" si="67"/>
        <v>2025</v>
      </c>
      <c r="E4323">
        <v>2444</v>
      </c>
      <c r="F4323">
        <v>177354</v>
      </c>
      <c r="G4323">
        <v>1.38</v>
      </c>
      <c r="H4323" t="s">
        <v>10</v>
      </c>
      <c r="I4323" t="s">
        <v>11</v>
      </c>
    </row>
    <row r="4324" spans="1:9" x14ac:dyDescent="0.25">
      <c r="A4324" t="s">
        <v>17</v>
      </c>
      <c r="B4324" t="s">
        <v>29</v>
      </c>
      <c r="C4324">
        <v>202505</v>
      </c>
      <c r="D4324" t="str">
        <f t="shared" si="67"/>
        <v>2025</v>
      </c>
      <c r="E4324">
        <v>3268</v>
      </c>
      <c r="F4324">
        <v>177354</v>
      </c>
      <c r="G4324">
        <v>1.84</v>
      </c>
      <c r="H4324" t="s">
        <v>10</v>
      </c>
      <c r="I4324" t="s">
        <v>11</v>
      </c>
    </row>
    <row r="4325" spans="1:9" x14ac:dyDescent="0.25">
      <c r="A4325" t="s">
        <v>17</v>
      </c>
      <c r="B4325" t="s">
        <v>29</v>
      </c>
      <c r="C4325">
        <v>202506</v>
      </c>
      <c r="D4325" t="str">
        <f t="shared" si="67"/>
        <v>2025</v>
      </c>
      <c r="E4325">
        <v>7556</v>
      </c>
      <c r="F4325">
        <v>177354</v>
      </c>
      <c r="G4325">
        <v>4.26</v>
      </c>
      <c r="H4325" t="s">
        <v>10</v>
      </c>
      <c r="I4325" t="s">
        <v>11</v>
      </c>
    </row>
    <row r="4326" spans="1:9" x14ac:dyDescent="0.25">
      <c r="A4326" t="s">
        <v>17</v>
      </c>
      <c r="B4326" t="s">
        <v>29</v>
      </c>
      <c r="C4326">
        <v>202507</v>
      </c>
      <c r="D4326" t="str">
        <f t="shared" si="67"/>
        <v>2025</v>
      </c>
      <c r="E4326">
        <v>75173</v>
      </c>
      <c r="F4326">
        <v>177354</v>
      </c>
      <c r="G4326">
        <v>42.39</v>
      </c>
      <c r="H4326" t="s">
        <v>10</v>
      </c>
      <c r="I4326" t="s">
        <v>11</v>
      </c>
    </row>
    <row r="4327" spans="1:9" x14ac:dyDescent="0.25">
      <c r="A4327" t="s">
        <v>17</v>
      </c>
      <c r="B4327" t="s">
        <v>29</v>
      </c>
      <c r="C4327">
        <v>202508</v>
      </c>
      <c r="D4327" t="str">
        <f t="shared" si="67"/>
        <v>2025</v>
      </c>
      <c r="E4327">
        <v>52075</v>
      </c>
      <c r="F4327">
        <v>177354</v>
      </c>
      <c r="G4327">
        <v>29.36</v>
      </c>
      <c r="H4327" t="s">
        <v>10</v>
      </c>
      <c r="I4327" t="s">
        <v>11</v>
      </c>
    </row>
    <row r="4328" spans="1:9" hidden="1" x14ac:dyDescent="0.25">
      <c r="A4328" t="s">
        <v>17</v>
      </c>
      <c r="B4328" t="s">
        <v>210</v>
      </c>
      <c r="C4328">
        <v>202209</v>
      </c>
      <c r="D4328" t="str">
        <f t="shared" si="67"/>
        <v>2022</v>
      </c>
      <c r="E4328">
        <v>9</v>
      </c>
      <c r="F4328">
        <v>159779</v>
      </c>
      <c r="G4328">
        <v>0.01</v>
      </c>
      <c r="H4328" t="s">
        <v>10</v>
      </c>
      <c r="I4328" t="s">
        <v>11</v>
      </c>
    </row>
    <row r="4329" spans="1:9" hidden="1" x14ac:dyDescent="0.25">
      <c r="A4329" t="s">
        <v>17</v>
      </c>
      <c r="B4329" t="s">
        <v>210</v>
      </c>
      <c r="C4329">
        <v>202212</v>
      </c>
      <c r="D4329" t="str">
        <f t="shared" si="67"/>
        <v>2022</v>
      </c>
      <c r="E4329">
        <v>13</v>
      </c>
      <c r="F4329">
        <v>159779</v>
      </c>
      <c r="G4329">
        <v>0.01</v>
      </c>
      <c r="H4329" t="s">
        <v>10</v>
      </c>
      <c r="I4329" t="s">
        <v>11</v>
      </c>
    </row>
    <row r="4330" spans="1:9" hidden="1" x14ac:dyDescent="0.25">
      <c r="A4330" t="s">
        <v>17</v>
      </c>
      <c r="B4330" t="s">
        <v>210</v>
      </c>
      <c r="C4330">
        <v>202301</v>
      </c>
      <c r="D4330" t="str">
        <f t="shared" si="67"/>
        <v>2023</v>
      </c>
      <c r="E4330">
        <v>1</v>
      </c>
      <c r="F4330">
        <v>159779</v>
      </c>
      <c r="G4330">
        <v>0</v>
      </c>
      <c r="H4330" t="s">
        <v>10</v>
      </c>
      <c r="I4330" t="s">
        <v>11</v>
      </c>
    </row>
    <row r="4331" spans="1:9" hidden="1" x14ac:dyDescent="0.25">
      <c r="A4331" t="s">
        <v>17</v>
      </c>
      <c r="B4331" t="s">
        <v>210</v>
      </c>
      <c r="C4331">
        <v>202302</v>
      </c>
      <c r="D4331" t="str">
        <f t="shared" si="67"/>
        <v>2023</v>
      </c>
      <c r="E4331">
        <v>7</v>
      </c>
      <c r="F4331">
        <v>159779</v>
      </c>
      <c r="G4331">
        <v>0</v>
      </c>
      <c r="H4331" t="s">
        <v>10</v>
      </c>
      <c r="I4331" t="s">
        <v>11</v>
      </c>
    </row>
    <row r="4332" spans="1:9" hidden="1" x14ac:dyDescent="0.25">
      <c r="A4332" t="s">
        <v>17</v>
      </c>
      <c r="B4332" t="s">
        <v>210</v>
      </c>
      <c r="C4332">
        <v>202303</v>
      </c>
      <c r="D4332" t="str">
        <f t="shared" si="67"/>
        <v>2023</v>
      </c>
      <c r="E4332">
        <v>6</v>
      </c>
      <c r="F4332">
        <v>159779</v>
      </c>
      <c r="G4332">
        <v>0</v>
      </c>
      <c r="H4332" t="s">
        <v>10</v>
      </c>
      <c r="I4332" t="s">
        <v>11</v>
      </c>
    </row>
    <row r="4333" spans="1:9" hidden="1" x14ac:dyDescent="0.25">
      <c r="A4333" t="s">
        <v>17</v>
      </c>
      <c r="B4333" t="s">
        <v>210</v>
      </c>
      <c r="C4333">
        <v>202304</v>
      </c>
      <c r="D4333" t="str">
        <f t="shared" si="67"/>
        <v>2023</v>
      </c>
      <c r="E4333">
        <v>10</v>
      </c>
      <c r="F4333">
        <v>159779</v>
      </c>
      <c r="G4333">
        <v>0.01</v>
      </c>
      <c r="H4333" t="s">
        <v>10</v>
      </c>
      <c r="I4333" t="s">
        <v>11</v>
      </c>
    </row>
    <row r="4334" spans="1:9" hidden="1" x14ac:dyDescent="0.25">
      <c r="A4334" t="s">
        <v>17</v>
      </c>
      <c r="B4334" t="s">
        <v>210</v>
      </c>
      <c r="C4334">
        <v>202305</v>
      </c>
      <c r="D4334" t="str">
        <f t="shared" si="67"/>
        <v>2023</v>
      </c>
      <c r="E4334">
        <v>37</v>
      </c>
      <c r="F4334">
        <v>159779</v>
      </c>
      <c r="G4334">
        <v>0.02</v>
      </c>
      <c r="H4334" t="s">
        <v>10</v>
      </c>
      <c r="I4334" t="s">
        <v>11</v>
      </c>
    </row>
    <row r="4335" spans="1:9" hidden="1" x14ac:dyDescent="0.25">
      <c r="A4335" t="s">
        <v>17</v>
      </c>
      <c r="B4335" t="s">
        <v>210</v>
      </c>
      <c r="C4335">
        <v>202306</v>
      </c>
      <c r="D4335" t="str">
        <f t="shared" si="67"/>
        <v>2023</v>
      </c>
      <c r="E4335">
        <v>32</v>
      </c>
      <c r="F4335">
        <v>159779</v>
      </c>
      <c r="G4335">
        <v>0.02</v>
      </c>
      <c r="H4335" t="s">
        <v>10</v>
      </c>
      <c r="I4335" t="s">
        <v>11</v>
      </c>
    </row>
    <row r="4336" spans="1:9" hidden="1" x14ac:dyDescent="0.25">
      <c r="A4336" t="s">
        <v>17</v>
      </c>
      <c r="B4336" t="s">
        <v>210</v>
      </c>
      <c r="C4336">
        <v>202307</v>
      </c>
      <c r="D4336" t="str">
        <f t="shared" si="67"/>
        <v>2023</v>
      </c>
      <c r="E4336">
        <v>19</v>
      </c>
      <c r="F4336">
        <v>159779</v>
      </c>
      <c r="G4336">
        <v>0.01</v>
      </c>
      <c r="H4336" t="s">
        <v>10</v>
      </c>
      <c r="I4336" t="s">
        <v>11</v>
      </c>
    </row>
    <row r="4337" spans="1:9" hidden="1" x14ac:dyDescent="0.25">
      <c r="A4337" t="s">
        <v>17</v>
      </c>
      <c r="B4337" t="s">
        <v>210</v>
      </c>
      <c r="C4337">
        <v>202308</v>
      </c>
      <c r="D4337" t="str">
        <f t="shared" si="67"/>
        <v>2023</v>
      </c>
      <c r="E4337">
        <v>42</v>
      </c>
      <c r="F4337">
        <v>159779</v>
      </c>
      <c r="G4337">
        <v>0.03</v>
      </c>
      <c r="H4337" t="s">
        <v>10</v>
      </c>
      <c r="I4337" t="s">
        <v>11</v>
      </c>
    </row>
    <row r="4338" spans="1:9" hidden="1" x14ac:dyDescent="0.25">
      <c r="A4338" t="s">
        <v>17</v>
      </c>
      <c r="B4338" t="s">
        <v>210</v>
      </c>
      <c r="C4338">
        <v>202309</v>
      </c>
      <c r="D4338" t="str">
        <f t="shared" si="67"/>
        <v>2023</v>
      </c>
      <c r="E4338">
        <v>4</v>
      </c>
      <c r="F4338">
        <v>159779</v>
      </c>
      <c r="G4338">
        <v>0</v>
      </c>
      <c r="H4338" t="s">
        <v>10</v>
      </c>
      <c r="I4338" t="s">
        <v>11</v>
      </c>
    </row>
    <row r="4339" spans="1:9" hidden="1" x14ac:dyDescent="0.25">
      <c r="A4339" t="s">
        <v>17</v>
      </c>
      <c r="B4339" t="s">
        <v>210</v>
      </c>
      <c r="C4339">
        <v>202310</v>
      </c>
      <c r="D4339" t="str">
        <f t="shared" si="67"/>
        <v>2023</v>
      </c>
      <c r="E4339">
        <v>32</v>
      </c>
      <c r="F4339">
        <v>159779</v>
      </c>
      <c r="G4339">
        <v>0.02</v>
      </c>
      <c r="H4339" t="s">
        <v>10</v>
      </c>
      <c r="I4339" t="s">
        <v>11</v>
      </c>
    </row>
    <row r="4340" spans="1:9" hidden="1" x14ac:dyDescent="0.25">
      <c r="A4340" t="s">
        <v>17</v>
      </c>
      <c r="B4340" t="s">
        <v>210</v>
      </c>
      <c r="C4340">
        <v>202311</v>
      </c>
      <c r="D4340" t="str">
        <f t="shared" si="67"/>
        <v>2023</v>
      </c>
      <c r="E4340">
        <v>25</v>
      </c>
      <c r="F4340">
        <v>159779</v>
      </c>
      <c r="G4340">
        <v>0.02</v>
      </c>
      <c r="H4340" t="s">
        <v>10</v>
      </c>
      <c r="I4340" t="s">
        <v>11</v>
      </c>
    </row>
    <row r="4341" spans="1:9" hidden="1" x14ac:dyDescent="0.25">
      <c r="A4341" t="s">
        <v>17</v>
      </c>
      <c r="B4341" t="s">
        <v>210</v>
      </c>
      <c r="C4341">
        <v>202312</v>
      </c>
      <c r="D4341" t="str">
        <f t="shared" si="67"/>
        <v>2023</v>
      </c>
      <c r="E4341">
        <v>93</v>
      </c>
      <c r="F4341">
        <v>159779</v>
      </c>
      <c r="G4341">
        <v>0.06</v>
      </c>
      <c r="H4341" t="s">
        <v>10</v>
      </c>
      <c r="I4341" t="s">
        <v>11</v>
      </c>
    </row>
    <row r="4342" spans="1:9" hidden="1" x14ac:dyDescent="0.25">
      <c r="A4342" t="s">
        <v>17</v>
      </c>
      <c r="B4342" t="s">
        <v>210</v>
      </c>
      <c r="C4342">
        <v>202401</v>
      </c>
      <c r="D4342" t="str">
        <f t="shared" si="67"/>
        <v>2024</v>
      </c>
      <c r="E4342">
        <v>391</v>
      </c>
      <c r="F4342">
        <v>159779</v>
      </c>
      <c r="G4342">
        <v>0.24</v>
      </c>
      <c r="H4342" t="s">
        <v>10</v>
      </c>
      <c r="I4342" t="s">
        <v>11</v>
      </c>
    </row>
    <row r="4343" spans="1:9" hidden="1" x14ac:dyDescent="0.25">
      <c r="A4343" t="s">
        <v>17</v>
      </c>
      <c r="B4343" t="s">
        <v>210</v>
      </c>
      <c r="C4343">
        <v>202402</v>
      </c>
      <c r="D4343" t="str">
        <f t="shared" si="67"/>
        <v>2024</v>
      </c>
      <c r="E4343">
        <v>414</v>
      </c>
      <c r="F4343">
        <v>159779</v>
      </c>
      <c r="G4343">
        <v>0.26</v>
      </c>
      <c r="H4343" t="s">
        <v>10</v>
      </c>
      <c r="I4343" t="s">
        <v>11</v>
      </c>
    </row>
    <row r="4344" spans="1:9" hidden="1" x14ac:dyDescent="0.25">
      <c r="A4344" t="s">
        <v>17</v>
      </c>
      <c r="B4344" t="s">
        <v>210</v>
      </c>
      <c r="C4344">
        <v>202403</v>
      </c>
      <c r="D4344" t="str">
        <f t="shared" si="67"/>
        <v>2024</v>
      </c>
      <c r="E4344">
        <v>303</v>
      </c>
      <c r="F4344">
        <v>159779</v>
      </c>
      <c r="G4344">
        <v>0.19</v>
      </c>
      <c r="H4344" t="s">
        <v>10</v>
      </c>
      <c r="I4344" t="s">
        <v>11</v>
      </c>
    </row>
    <row r="4345" spans="1:9" hidden="1" x14ac:dyDescent="0.25">
      <c r="A4345" t="s">
        <v>17</v>
      </c>
      <c r="B4345" t="s">
        <v>210</v>
      </c>
      <c r="C4345">
        <v>202404</v>
      </c>
      <c r="D4345" t="str">
        <f t="shared" si="67"/>
        <v>2024</v>
      </c>
      <c r="E4345">
        <v>259</v>
      </c>
      <c r="F4345">
        <v>159779</v>
      </c>
      <c r="G4345">
        <v>0.16</v>
      </c>
      <c r="H4345" t="s">
        <v>10</v>
      </c>
      <c r="I4345" t="s">
        <v>11</v>
      </c>
    </row>
    <row r="4346" spans="1:9" hidden="1" x14ac:dyDescent="0.25">
      <c r="A4346" t="s">
        <v>17</v>
      </c>
      <c r="B4346" t="s">
        <v>210</v>
      </c>
      <c r="C4346">
        <v>202405</v>
      </c>
      <c r="D4346" t="str">
        <f t="shared" si="67"/>
        <v>2024</v>
      </c>
      <c r="E4346">
        <v>304</v>
      </c>
      <c r="F4346">
        <v>159779</v>
      </c>
      <c r="G4346">
        <v>0.19</v>
      </c>
      <c r="H4346" t="s">
        <v>10</v>
      </c>
      <c r="I4346" t="s">
        <v>11</v>
      </c>
    </row>
    <row r="4347" spans="1:9" hidden="1" x14ac:dyDescent="0.25">
      <c r="A4347" t="s">
        <v>17</v>
      </c>
      <c r="B4347" t="s">
        <v>210</v>
      </c>
      <c r="C4347">
        <v>202406</v>
      </c>
      <c r="D4347" t="str">
        <f t="shared" si="67"/>
        <v>2024</v>
      </c>
      <c r="E4347">
        <v>424</v>
      </c>
      <c r="F4347">
        <v>159779</v>
      </c>
      <c r="G4347">
        <v>0.27</v>
      </c>
      <c r="H4347" t="s">
        <v>10</v>
      </c>
      <c r="I4347" t="s">
        <v>11</v>
      </c>
    </row>
    <row r="4348" spans="1:9" hidden="1" x14ac:dyDescent="0.25">
      <c r="A4348" t="s">
        <v>17</v>
      </c>
      <c r="B4348" t="s">
        <v>210</v>
      </c>
      <c r="C4348">
        <v>202407</v>
      </c>
      <c r="D4348" t="str">
        <f t="shared" si="67"/>
        <v>2024</v>
      </c>
      <c r="E4348">
        <v>710</v>
      </c>
      <c r="F4348">
        <v>159779</v>
      </c>
      <c r="G4348">
        <v>0.44</v>
      </c>
      <c r="H4348" t="s">
        <v>10</v>
      </c>
      <c r="I4348" t="s">
        <v>11</v>
      </c>
    </row>
    <row r="4349" spans="1:9" hidden="1" x14ac:dyDescent="0.25">
      <c r="A4349" t="s">
        <v>17</v>
      </c>
      <c r="B4349" t="s">
        <v>210</v>
      </c>
      <c r="C4349">
        <v>202408</v>
      </c>
      <c r="D4349" t="str">
        <f t="shared" si="67"/>
        <v>2024</v>
      </c>
      <c r="E4349">
        <v>461</v>
      </c>
      <c r="F4349">
        <v>159779</v>
      </c>
      <c r="G4349">
        <v>0.28999999999999998</v>
      </c>
      <c r="H4349" t="s">
        <v>10</v>
      </c>
      <c r="I4349" t="s">
        <v>11</v>
      </c>
    </row>
    <row r="4350" spans="1:9" hidden="1" x14ac:dyDescent="0.25">
      <c r="A4350" t="s">
        <v>17</v>
      </c>
      <c r="B4350" t="s">
        <v>210</v>
      </c>
      <c r="C4350">
        <v>202409</v>
      </c>
      <c r="D4350" t="str">
        <f t="shared" si="67"/>
        <v>2024</v>
      </c>
      <c r="E4350">
        <v>488</v>
      </c>
      <c r="F4350">
        <v>159779</v>
      </c>
      <c r="G4350">
        <v>0.31</v>
      </c>
      <c r="H4350" t="s">
        <v>10</v>
      </c>
      <c r="I4350" t="s">
        <v>11</v>
      </c>
    </row>
    <row r="4351" spans="1:9" hidden="1" x14ac:dyDescent="0.25">
      <c r="A4351" t="s">
        <v>17</v>
      </c>
      <c r="B4351" t="s">
        <v>210</v>
      </c>
      <c r="C4351">
        <v>202410</v>
      </c>
      <c r="D4351" t="str">
        <f t="shared" si="67"/>
        <v>2024</v>
      </c>
      <c r="E4351">
        <v>1237</v>
      </c>
      <c r="F4351">
        <v>159779</v>
      </c>
      <c r="G4351">
        <v>0.77</v>
      </c>
      <c r="H4351" t="s">
        <v>10</v>
      </c>
      <c r="I4351" t="s">
        <v>11</v>
      </c>
    </row>
    <row r="4352" spans="1:9" hidden="1" x14ac:dyDescent="0.25">
      <c r="A4352" t="s">
        <v>17</v>
      </c>
      <c r="B4352" t="s">
        <v>210</v>
      </c>
      <c r="C4352">
        <v>202411</v>
      </c>
      <c r="D4352" t="str">
        <f t="shared" si="67"/>
        <v>2024</v>
      </c>
      <c r="E4352">
        <v>2045</v>
      </c>
      <c r="F4352">
        <v>159779</v>
      </c>
      <c r="G4352">
        <v>1.28</v>
      </c>
      <c r="H4352" t="s">
        <v>10</v>
      </c>
      <c r="I4352" t="s">
        <v>11</v>
      </c>
    </row>
    <row r="4353" spans="1:9" hidden="1" x14ac:dyDescent="0.25">
      <c r="A4353" t="s">
        <v>17</v>
      </c>
      <c r="B4353" t="s">
        <v>210</v>
      </c>
      <c r="C4353">
        <v>202412</v>
      </c>
      <c r="D4353" t="str">
        <f t="shared" si="67"/>
        <v>2024</v>
      </c>
      <c r="E4353">
        <v>4620</v>
      </c>
      <c r="F4353">
        <v>159779</v>
      </c>
      <c r="G4353">
        <v>2.89</v>
      </c>
      <c r="H4353" t="s">
        <v>10</v>
      </c>
      <c r="I4353" t="s">
        <v>11</v>
      </c>
    </row>
    <row r="4354" spans="1:9" x14ac:dyDescent="0.25">
      <c r="A4354" t="s">
        <v>17</v>
      </c>
      <c r="B4354" t="s">
        <v>210</v>
      </c>
      <c r="C4354">
        <v>202501</v>
      </c>
      <c r="D4354" t="str">
        <f t="shared" si="67"/>
        <v>2025</v>
      </c>
      <c r="E4354">
        <v>3499</v>
      </c>
      <c r="F4354">
        <v>159779</v>
      </c>
      <c r="G4354">
        <v>2.19</v>
      </c>
      <c r="H4354" t="s">
        <v>10</v>
      </c>
      <c r="I4354" t="s">
        <v>11</v>
      </c>
    </row>
    <row r="4355" spans="1:9" x14ac:dyDescent="0.25">
      <c r="A4355" t="s">
        <v>17</v>
      </c>
      <c r="B4355" t="s">
        <v>210</v>
      </c>
      <c r="C4355">
        <v>202502</v>
      </c>
      <c r="D4355" t="str">
        <f t="shared" ref="D4355:D4418" si="68">LEFT(C4355,4)</f>
        <v>2025</v>
      </c>
      <c r="E4355">
        <v>3624</v>
      </c>
      <c r="F4355">
        <v>159779</v>
      </c>
      <c r="G4355">
        <v>2.27</v>
      </c>
      <c r="H4355" t="s">
        <v>10</v>
      </c>
      <c r="I4355" t="s">
        <v>11</v>
      </c>
    </row>
    <row r="4356" spans="1:9" x14ac:dyDescent="0.25">
      <c r="A4356" t="s">
        <v>17</v>
      </c>
      <c r="B4356" t="s">
        <v>210</v>
      </c>
      <c r="C4356">
        <v>202503</v>
      </c>
      <c r="D4356" t="str">
        <f t="shared" si="68"/>
        <v>2025</v>
      </c>
      <c r="E4356">
        <v>3029</v>
      </c>
      <c r="F4356">
        <v>159779</v>
      </c>
      <c r="G4356">
        <v>1.9</v>
      </c>
      <c r="H4356" t="s">
        <v>10</v>
      </c>
      <c r="I4356" t="s">
        <v>11</v>
      </c>
    </row>
    <row r="4357" spans="1:9" x14ac:dyDescent="0.25">
      <c r="A4357" t="s">
        <v>17</v>
      </c>
      <c r="B4357" t="s">
        <v>210</v>
      </c>
      <c r="C4357">
        <v>202504</v>
      </c>
      <c r="D4357" t="str">
        <f t="shared" si="68"/>
        <v>2025</v>
      </c>
      <c r="E4357">
        <v>3122</v>
      </c>
      <c r="F4357">
        <v>159779</v>
      </c>
      <c r="G4357">
        <v>1.95</v>
      </c>
      <c r="H4357" t="s">
        <v>10</v>
      </c>
      <c r="I4357" t="s">
        <v>11</v>
      </c>
    </row>
    <row r="4358" spans="1:9" x14ac:dyDescent="0.25">
      <c r="A4358" t="s">
        <v>17</v>
      </c>
      <c r="B4358" t="s">
        <v>210</v>
      </c>
      <c r="C4358">
        <v>202505</v>
      </c>
      <c r="D4358" t="str">
        <f t="shared" si="68"/>
        <v>2025</v>
      </c>
      <c r="E4358">
        <v>2963</v>
      </c>
      <c r="F4358">
        <v>159779</v>
      </c>
      <c r="G4358">
        <v>1.85</v>
      </c>
      <c r="H4358" t="s">
        <v>10</v>
      </c>
      <c r="I4358" t="s">
        <v>11</v>
      </c>
    </row>
    <row r="4359" spans="1:9" x14ac:dyDescent="0.25">
      <c r="A4359" t="s">
        <v>17</v>
      </c>
      <c r="B4359" t="s">
        <v>210</v>
      </c>
      <c r="C4359">
        <v>202506</v>
      </c>
      <c r="D4359" t="str">
        <f t="shared" si="68"/>
        <v>2025</v>
      </c>
      <c r="E4359">
        <v>4414</v>
      </c>
      <c r="F4359">
        <v>159779</v>
      </c>
      <c r="G4359">
        <v>2.76</v>
      </c>
      <c r="H4359" t="s">
        <v>10</v>
      </c>
      <c r="I4359" t="s">
        <v>11</v>
      </c>
    </row>
    <row r="4360" spans="1:9" x14ac:dyDescent="0.25">
      <c r="A4360" t="s">
        <v>17</v>
      </c>
      <c r="B4360" t="s">
        <v>210</v>
      </c>
      <c r="C4360">
        <v>202507</v>
      </c>
      <c r="D4360" t="str">
        <f t="shared" si="68"/>
        <v>2025</v>
      </c>
      <c r="E4360">
        <v>12354</v>
      </c>
      <c r="F4360">
        <v>159779</v>
      </c>
      <c r="G4360">
        <v>7.73</v>
      </c>
      <c r="H4360" t="s">
        <v>10</v>
      </c>
      <c r="I4360" t="s">
        <v>11</v>
      </c>
    </row>
    <row r="4361" spans="1:9" x14ac:dyDescent="0.25">
      <c r="A4361" t="s">
        <v>17</v>
      </c>
      <c r="B4361" t="s">
        <v>210</v>
      </c>
      <c r="C4361">
        <v>202508</v>
      </c>
      <c r="D4361" t="str">
        <f t="shared" si="68"/>
        <v>2025</v>
      </c>
      <c r="E4361">
        <v>65467</v>
      </c>
      <c r="F4361">
        <v>159779</v>
      </c>
      <c r="G4361">
        <v>40.97</v>
      </c>
      <c r="H4361" t="s">
        <v>10</v>
      </c>
      <c r="I4361" t="s">
        <v>11</v>
      </c>
    </row>
    <row r="4362" spans="1:9" x14ac:dyDescent="0.25">
      <c r="A4362" t="s">
        <v>17</v>
      </c>
      <c r="B4362" t="s">
        <v>210</v>
      </c>
      <c r="C4362">
        <v>202509</v>
      </c>
      <c r="D4362" t="str">
        <f t="shared" si="68"/>
        <v>2025</v>
      </c>
      <c r="E4362">
        <v>49321</v>
      </c>
      <c r="F4362">
        <v>159779</v>
      </c>
      <c r="G4362">
        <v>30.87</v>
      </c>
      <c r="H4362" t="s">
        <v>10</v>
      </c>
      <c r="I4362" t="s">
        <v>11</v>
      </c>
    </row>
    <row r="4363" spans="1:9" hidden="1" x14ac:dyDescent="0.25">
      <c r="A4363" t="s">
        <v>17</v>
      </c>
      <c r="B4363" t="s">
        <v>170</v>
      </c>
      <c r="C4363">
        <v>202207</v>
      </c>
      <c r="D4363" t="str">
        <f t="shared" si="68"/>
        <v>2022</v>
      </c>
      <c r="E4363">
        <v>2</v>
      </c>
      <c r="F4363">
        <v>210554</v>
      </c>
      <c r="G4363">
        <v>0</v>
      </c>
      <c r="H4363" t="s">
        <v>10</v>
      </c>
      <c r="I4363" t="s">
        <v>11</v>
      </c>
    </row>
    <row r="4364" spans="1:9" hidden="1" x14ac:dyDescent="0.25">
      <c r="A4364" t="s">
        <v>17</v>
      </c>
      <c r="B4364" t="s">
        <v>170</v>
      </c>
      <c r="C4364">
        <v>202209</v>
      </c>
      <c r="D4364" t="str">
        <f t="shared" si="68"/>
        <v>2022</v>
      </c>
      <c r="E4364">
        <v>1</v>
      </c>
      <c r="F4364">
        <v>210554</v>
      </c>
      <c r="G4364">
        <v>0</v>
      </c>
      <c r="H4364" t="s">
        <v>10</v>
      </c>
      <c r="I4364" t="s">
        <v>11</v>
      </c>
    </row>
    <row r="4365" spans="1:9" hidden="1" x14ac:dyDescent="0.25">
      <c r="A4365" t="s">
        <v>17</v>
      </c>
      <c r="B4365" t="s">
        <v>170</v>
      </c>
      <c r="C4365">
        <v>202212</v>
      </c>
      <c r="D4365" t="str">
        <f t="shared" si="68"/>
        <v>2022</v>
      </c>
      <c r="E4365">
        <v>20</v>
      </c>
      <c r="F4365">
        <v>210554</v>
      </c>
      <c r="G4365">
        <v>0.01</v>
      </c>
      <c r="H4365" t="s">
        <v>10</v>
      </c>
      <c r="I4365" t="s">
        <v>11</v>
      </c>
    </row>
    <row r="4366" spans="1:9" hidden="1" x14ac:dyDescent="0.25">
      <c r="A4366" t="s">
        <v>17</v>
      </c>
      <c r="B4366" t="s">
        <v>170</v>
      </c>
      <c r="C4366">
        <v>202301</v>
      </c>
      <c r="D4366" t="str">
        <f t="shared" si="68"/>
        <v>2023</v>
      </c>
      <c r="E4366">
        <v>3</v>
      </c>
      <c r="F4366">
        <v>210554</v>
      </c>
      <c r="G4366">
        <v>0</v>
      </c>
      <c r="H4366" t="s">
        <v>10</v>
      </c>
      <c r="I4366" t="s">
        <v>11</v>
      </c>
    </row>
    <row r="4367" spans="1:9" hidden="1" x14ac:dyDescent="0.25">
      <c r="A4367" t="s">
        <v>17</v>
      </c>
      <c r="B4367" t="s">
        <v>170</v>
      </c>
      <c r="C4367">
        <v>202302</v>
      </c>
      <c r="D4367" t="str">
        <f t="shared" si="68"/>
        <v>2023</v>
      </c>
      <c r="E4367">
        <v>32</v>
      </c>
      <c r="F4367">
        <v>210554</v>
      </c>
      <c r="G4367">
        <v>0.02</v>
      </c>
      <c r="H4367" t="s">
        <v>10</v>
      </c>
      <c r="I4367" t="s">
        <v>11</v>
      </c>
    </row>
    <row r="4368" spans="1:9" hidden="1" x14ac:dyDescent="0.25">
      <c r="A4368" t="s">
        <v>17</v>
      </c>
      <c r="B4368" t="s">
        <v>170</v>
      </c>
      <c r="C4368">
        <v>202303</v>
      </c>
      <c r="D4368" t="str">
        <f t="shared" si="68"/>
        <v>2023</v>
      </c>
      <c r="E4368">
        <v>3</v>
      </c>
      <c r="F4368">
        <v>210554</v>
      </c>
      <c r="G4368">
        <v>0</v>
      </c>
      <c r="H4368" t="s">
        <v>10</v>
      </c>
      <c r="I4368" t="s">
        <v>11</v>
      </c>
    </row>
    <row r="4369" spans="1:9" hidden="1" x14ac:dyDescent="0.25">
      <c r="A4369" t="s">
        <v>17</v>
      </c>
      <c r="B4369" t="s">
        <v>170</v>
      </c>
      <c r="C4369">
        <v>202304</v>
      </c>
      <c r="D4369" t="str">
        <f t="shared" si="68"/>
        <v>2023</v>
      </c>
      <c r="E4369">
        <v>4</v>
      </c>
      <c r="F4369">
        <v>210554</v>
      </c>
      <c r="G4369">
        <v>0</v>
      </c>
      <c r="H4369" t="s">
        <v>10</v>
      </c>
      <c r="I4369" t="s">
        <v>11</v>
      </c>
    </row>
    <row r="4370" spans="1:9" hidden="1" x14ac:dyDescent="0.25">
      <c r="A4370" t="s">
        <v>17</v>
      </c>
      <c r="B4370" t="s">
        <v>170</v>
      </c>
      <c r="C4370">
        <v>202305</v>
      </c>
      <c r="D4370" t="str">
        <f t="shared" si="68"/>
        <v>2023</v>
      </c>
      <c r="E4370">
        <v>10</v>
      </c>
      <c r="F4370">
        <v>210554</v>
      </c>
      <c r="G4370">
        <v>0</v>
      </c>
      <c r="H4370" t="s">
        <v>10</v>
      </c>
      <c r="I4370" t="s">
        <v>11</v>
      </c>
    </row>
    <row r="4371" spans="1:9" hidden="1" x14ac:dyDescent="0.25">
      <c r="A4371" t="s">
        <v>17</v>
      </c>
      <c r="B4371" t="s">
        <v>170</v>
      </c>
      <c r="C4371">
        <v>202306</v>
      </c>
      <c r="D4371" t="str">
        <f t="shared" si="68"/>
        <v>2023</v>
      </c>
      <c r="E4371">
        <v>23</v>
      </c>
      <c r="F4371">
        <v>210554</v>
      </c>
      <c r="G4371">
        <v>0.01</v>
      </c>
      <c r="H4371" t="s">
        <v>10</v>
      </c>
      <c r="I4371" t="s">
        <v>11</v>
      </c>
    </row>
    <row r="4372" spans="1:9" hidden="1" x14ac:dyDescent="0.25">
      <c r="A4372" t="s">
        <v>17</v>
      </c>
      <c r="B4372" t="s">
        <v>170</v>
      </c>
      <c r="C4372">
        <v>202307</v>
      </c>
      <c r="D4372" t="str">
        <f t="shared" si="68"/>
        <v>2023</v>
      </c>
      <c r="E4372">
        <v>2</v>
      </c>
      <c r="F4372">
        <v>210554</v>
      </c>
      <c r="G4372">
        <v>0</v>
      </c>
      <c r="H4372" t="s">
        <v>10</v>
      </c>
      <c r="I4372" t="s">
        <v>11</v>
      </c>
    </row>
    <row r="4373" spans="1:9" hidden="1" x14ac:dyDescent="0.25">
      <c r="A4373" t="s">
        <v>17</v>
      </c>
      <c r="B4373" t="s">
        <v>170</v>
      </c>
      <c r="C4373">
        <v>202308</v>
      </c>
      <c r="D4373" t="str">
        <f t="shared" si="68"/>
        <v>2023</v>
      </c>
      <c r="E4373">
        <v>107</v>
      </c>
      <c r="F4373">
        <v>210554</v>
      </c>
      <c r="G4373">
        <v>0.05</v>
      </c>
      <c r="H4373" t="s">
        <v>10</v>
      </c>
      <c r="I4373" t="s">
        <v>11</v>
      </c>
    </row>
    <row r="4374" spans="1:9" hidden="1" x14ac:dyDescent="0.25">
      <c r="A4374" t="s">
        <v>17</v>
      </c>
      <c r="B4374" t="s">
        <v>170</v>
      </c>
      <c r="C4374">
        <v>202309</v>
      </c>
      <c r="D4374" t="str">
        <f t="shared" si="68"/>
        <v>2023</v>
      </c>
      <c r="E4374">
        <v>81</v>
      </c>
      <c r="F4374">
        <v>210554</v>
      </c>
      <c r="G4374">
        <v>0.04</v>
      </c>
      <c r="H4374" t="s">
        <v>10</v>
      </c>
      <c r="I4374" t="s">
        <v>11</v>
      </c>
    </row>
    <row r="4375" spans="1:9" hidden="1" x14ac:dyDescent="0.25">
      <c r="A4375" t="s">
        <v>17</v>
      </c>
      <c r="B4375" t="s">
        <v>170</v>
      </c>
      <c r="C4375">
        <v>202310</v>
      </c>
      <c r="D4375" t="str">
        <f t="shared" si="68"/>
        <v>2023</v>
      </c>
      <c r="E4375">
        <v>54</v>
      </c>
      <c r="F4375">
        <v>210554</v>
      </c>
      <c r="G4375">
        <v>0.03</v>
      </c>
      <c r="H4375" t="s">
        <v>10</v>
      </c>
      <c r="I4375" t="s">
        <v>11</v>
      </c>
    </row>
    <row r="4376" spans="1:9" hidden="1" x14ac:dyDescent="0.25">
      <c r="A4376" t="s">
        <v>17</v>
      </c>
      <c r="B4376" t="s">
        <v>170</v>
      </c>
      <c r="C4376">
        <v>202311</v>
      </c>
      <c r="D4376" t="str">
        <f t="shared" si="68"/>
        <v>2023</v>
      </c>
      <c r="E4376">
        <v>27</v>
      </c>
      <c r="F4376">
        <v>210554</v>
      </c>
      <c r="G4376">
        <v>0.01</v>
      </c>
      <c r="H4376" t="s">
        <v>10</v>
      </c>
      <c r="I4376" t="s">
        <v>11</v>
      </c>
    </row>
    <row r="4377" spans="1:9" hidden="1" x14ac:dyDescent="0.25">
      <c r="A4377" t="s">
        <v>17</v>
      </c>
      <c r="B4377" t="s">
        <v>170</v>
      </c>
      <c r="C4377">
        <v>202312</v>
      </c>
      <c r="D4377" t="str">
        <f t="shared" si="68"/>
        <v>2023</v>
      </c>
      <c r="E4377">
        <v>111</v>
      </c>
      <c r="F4377">
        <v>210554</v>
      </c>
      <c r="G4377">
        <v>0.05</v>
      </c>
      <c r="H4377" t="s">
        <v>10</v>
      </c>
      <c r="I4377" t="s">
        <v>11</v>
      </c>
    </row>
    <row r="4378" spans="1:9" hidden="1" x14ac:dyDescent="0.25">
      <c r="A4378" t="s">
        <v>17</v>
      </c>
      <c r="B4378" t="s">
        <v>170</v>
      </c>
      <c r="C4378">
        <v>202401</v>
      </c>
      <c r="D4378" t="str">
        <f t="shared" si="68"/>
        <v>2024</v>
      </c>
      <c r="E4378">
        <v>138</v>
      </c>
      <c r="F4378">
        <v>210554</v>
      </c>
      <c r="G4378">
        <v>7.0000000000000007E-2</v>
      </c>
      <c r="H4378" t="s">
        <v>10</v>
      </c>
      <c r="I4378" t="s">
        <v>11</v>
      </c>
    </row>
    <row r="4379" spans="1:9" hidden="1" x14ac:dyDescent="0.25">
      <c r="A4379" t="s">
        <v>17</v>
      </c>
      <c r="B4379" t="s">
        <v>170</v>
      </c>
      <c r="C4379">
        <v>202402</v>
      </c>
      <c r="D4379" t="str">
        <f t="shared" si="68"/>
        <v>2024</v>
      </c>
      <c r="E4379">
        <v>173</v>
      </c>
      <c r="F4379">
        <v>210554</v>
      </c>
      <c r="G4379">
        <v>0.08</v>
      </c>
      <c r="H4379" t="s">
        <v>10</v>
      </c>
      <c r="I4379" t="s">
        <v>11</v>
      </c>
    </row>
    <row r="4380" spans="1:9" hidden="1" x14ac:dyDescent="0.25">
      <c r="A4380" t="s">
        <v>17</v>
      </c>
      <c r="B4380" t="s">
        <v>170</v>
      </c>
      <c r="C4380">
        <v>202403</v>
      </c>
      <c r="D4380" t="str">
        <f t="shared" si="68"/>
        <v>2024</v>
      </c>
      <c r="E4380">
        <v>415</v>
      </c>
      <c r="F4380">
        <v>210554</v>
      </c>
      <c r="G4380">
        <v>0.2</v>
      </c>
      <c r="H4380" t="s">
        <v>10</v>
      </c>
      <c r="I4380" t="s">
        <v>11</v>
      </c>
    </row>
    <row r="4381" spans="1:9" hidden="1" x14ac:dyDescent="0.25">
      <c r="A4381" t="s">
        <v>17</v>
      </c>
      <c r="B4381" t="s">
        <v>170</v>
      </c>
      <c r="C4381">
        <v>202404</v>
      </c>
      <c r="D4381" t="str">
        <f t="shared" si="68"/>
        <v>2024</v>
      </c>
      <c r="E4381">
        <v>380</v>
      </c>
      <c r="F4381">
        <v>210554</v>
      </c>
      <c r="G4381">
        <v>0.18</v>
      </c>
      <c r="H4381" t="s">
        <v>10</v>
      </c>
      <c r="I4381" t="s">
        <v>11</v>
      </c>
    </row>
    <row r="4382" spans="1:9" hidden="1" x14ac:dyDescent="0.25">
      <c r="A4382" t="s">
        <v>17</v>
      </c>
      <c r="B4382" t="s">
        <v>170</v>
      </c>
      <c r="C4382">
        <v>202405</v>
      </c>
      <c r="D4382" t="str">
        <f t="shared" si="68"/>
        <v>2024</v>
      </c>
      <c r="E4382">
        <v>259</v>
      </c>
      <c r="F4382">
        <v>210554</v>
      </c>
      <c r="G4382">
        <v>0.12</v>
      </c>
      <c r="H4382" t="s">
        <v>10</v>
      </c>
      <c r="I4382" t="s">
        <v>11</v>
      </c>
    </row>
    <row r="4383" spans="1:9" hidden="1" x14ac:dyDescent="0.25">
      <c r="A4383" t="s">
        <v>17</v>
      </c>
      <c r="B4383" t="s">
        <v>170</v>
      </c>
      <c r="C4383">
        <v>202406</v>
      </c>
      <c r="D4383" t="str">
        <f t="shared" si="68"/>
        <v>2024</v>
      </c>
      <c r="E4383">
        <v>430</v>
      </c>
      <c r="F4383">
        <v>210554</v>
      </c>
      <c r="G4383">
        <v>0.2</v>
      </c>
      <c r="H4383" t="s">
        <v>10</v>
      </c>
      <c r="I4383" t="s">
        <v>11</v>
      </c>
    </row>
    <row r="4384" spans="1:9" hidden="1" x14ac:dyDescent="0.25">
      <c r="A4384" t="s">
        <v>17</v>
      </c>
      <c r="B4384" t="s">
        <v>170</v>
      </c>
      <c r="C4384">
        <v>202407</v>
      </c>
      <c r="D4384" t="str">
        <f t="shared" si="68"/>
        <v>2024</v>
      </c>
      <c r="E4384">
        <v>308</v>
      </c>
      <c r="F4384">
        <v>210554</v>
      </c>
      <c r="G4384">
        <v>0.15</v>
      </c>
      <c r="H4384" t="s">
        <v>10</v>
      </c>
      <c r="I4384" t="s">
        <v>11</v>
      </c>
    </row>
    <row r="4385" spans="1:9" hidden="1" x14ac:dyDescent="0.25">
      <c r="A4385" t="s">
        <v>17</v>
      </c>
      <c r="B4385" t="s">
        <v>170</v>
      </c>
      <c r="C4385">
        <v>202408</v>
      </c>
      <c r="D4385" t="str">
        <f t="shared" si="68"/>
        <v>2024</v>
      </c>
      <c r="E4385">
        <v>439</v>
      </c>
      <c r="F4385">
        <v>210554</v>
      </c>
      <c r="G4385">
        <v>0.21</v>
      </c>
      <c r="H4385" t="s">
        <v>10</v>
      </c>
      <c r="I4385" t="s">
        <v>11</v>
      </c>
    </row>
    <row r="4386" spans="1:9" hidden="1" x14ac:dyDescent="0.25">
      <c r="A4386" t="s">
        <v>17</v>
      </c>
      <c r="B4386" t="s">
        <v>170</v>
      </c>
      <c r="C4386">
        <v>202409</v>
      </c>
      <c r="D4386" t="str">
        <f t="shared" si="68"/>
        <v>2024</v>
      </c>
      <c r="E4386">
        <v>544</v>
      </c>
      <c r="F4386">
        <v>210554</v>
      </c>
      <c r="G4386">
        <v>0.26</v>
      </c>
      <c r="H4386" t="s">
        <v>10</v>
      </c>
      <c r="I4386" t="s">
        <v>11</v>
      </c>
    </row>
    <row r="4387" spans="1:9" hidden="1" x14ac:dyDescent="0.25">
      <c r="A4387" t="s">
        <v>17</v>
      </c>
      <c r="B4387" t="s">
        <v>170</v>
      </c>
      <c r="C4387">
        <v>202410</v>
      </c>
      <c r="D4387" t="str">
        <f t="shared" si="68"/>
        <v>2024</v>
      </c>
      <c r="E4387">
        <v>621</v>
      </c>
      <c r="F4387">
        <v>210554</v>
      </c>
      <c r="G4387">
        <v>0.28999999999999998</v>
      </c>
      <c r="H4387" t="s">
        <v>10</v>
      </c>
      <c r="I4387" t="s">
        <v>11</v>
      </c>
    </row>
    <row r="4388" spans="1:9" hidden="1" x14ac:dyDescent="0.25">
      <c r="A4388" t="s">
        <v>17</v>
      </c>
      <c r="B4388" t="s">
        <v>170</v>
      </c>
      <c r="C4388">
        <v>202411</v>
      </c>
      <c r="D4388" t="str">
        <f t="shared" si="68"/>
        <v>2024</v>
      </c>
      <c r="E4388">
        <v>526</v>
      </c>
      <c r="F4388">
        <v>210554</v>
      </c>
      <c r="G4388">
        <v>0.25</v>
      </c>
      <c r="H4388" t="s">
        <v>10</v>
      </c>
      <c r="I4388" t="s">
        <v>11</v>
      </c>
    </row>
    <row r="4389" spans="1:9" hidden="1" x14ac:dyDescent="0.25">
      <c r="A4389" t="s">
        <v>17</v>
      </c>
      <c r="B4389" t="s">
        <v>170</v>
      </c>
      <c r="C4389">
        <v>202412</v>
      </c>
      <c r="D4389" t="str">
        <f t="shared" si="68"/>
        <v>2024</v>
      </c>
      <c r="E4389">
        <v>1221</v>
      </c>
      <c r="F4389">
        <v>210554</v>
      </c>
      <c r="G4389">
        <v>0.57999999999999996</v>
      </c>
      <c r="H4389" t="s">
        <v>10</v>
      </c>
      <c r="I4389" t="s">
        <v>11</v>
      </c>
    </row>
    <row r="4390" spans="1:9" x14ac:dyDescent="0.25">
      <c r="A4390" t="s">
        <v>17</v>
      </c>
      <c r="B4390" t="s">
        <v>170</v>
      </c>
      <c r="C4390">
        <v>202501</v>
      </c>
      <c r="D4390" t="str">
        <f t="shared" si="68"/>
        <v>2025</v>
      </c>
      <c r="E4390">
        <v>5100</v>
      </c>
      <c r="F4390">
        <v>210554</v>
      </c>
      <c r="G4390">
        <v>2.42</v>
      </c>
      <c r="H4390" t="s">
        <v>10</v>
      </c>
      <c r="I4390" t="s">
        <v>11</v>
      </c>
    </row>
    <row r="4391" spans="1:9" x14ac:dyDescent="0.25">
      <c r="A4391" t="s">
        <v>17</v>
      </c>
      <c r="B4391" t="s">
        <v>170</v>
      </c>
      <c r="C4391">
        <v>202502</v>
      </c>
      <c r="D4391" t="str">
        <f t="shared" si="68"/>
        <v>2025</v>
      </c>
      <c r="E4391">
        <v>4695</v>
      </c>
      <c r="F4391">
        <v>210554</v>
      </c>
      <c r="G4391">
        <v>2.23</v>
      </c>
      <c r="H4391" t="s">
        <v>10</v>
      </c>
      <c r="I4391" t="s">
        <v>11</v>
      </c>
    </row>
    <row r="4392" spans="1:9" x14ac:dyDescent="0.25">
      <c r="A4392" t="s">
        <v>17</v>
      </c>
      <c r="B4392" t="s">
        <v>170</v>
      </c>
      <c r="C4392">
        <v>202503</v>
      </c>
      <c r="D4392" t="str">
        <f t="shared" si="68"/>
        <v>2025</v>
      </c>
      <c r="E4392">
        <v>5799</v>
      </c>
      <c r="F4392">
        <v>210554</v>
      </c>
      <c r="G4392">
        <v>2.75</v>
      </c>
      <c r="H4392" t="s">
        <v>10</v>
      </c>
      <c r="I4392" t="s">
        <v>11</v>
      </c>
    </row>
    <row r="4393" spans="1:9" x14ac:dyDescent="0.25">
      <c r="A4393" t="s">
        <v>17</v>
      </c>
      <c r="B4393" t="s">
        <v>170</v>
      </c>
      <c r="C4393">
        <v>202504</v>
      </c>
      <c r="D4393" t="str">
        <f t="shared" si="68"/>
        <v>2025</v>
      </c>
      <c r="E4393">
        <v>5517</v>
      </c>
      <c r="F4393">
        <v>210554</v>
      </c>
      <c r="G4393">
        <v>2.62</v>
      </c>
      <c r="H4393" t="s">
        <v>10</v>
      </c>
      <c r="I4393" t="s">
        <v>11</v>
      </c>
    </row>
    <row r="4394" spans="1:9" x14ac:dyDescent="0.25">
      <c r="A4394" t="s">
        <v>17</v>
      </c>
      <c r="B4394" t="s">
        <v>170</v>
      </c>
      <c r="C4394">
        <v>202505</v>
      </c>
      <c r="D4394" t="str">
        <f t="shared" si="68"/>
        <v>2025</v>
      </c>
      <c r="E4394">
        <v>5746</v>
      </c>
      <c r="F4394">
        <v>210554</v>
      </c>
      <c r="G4394">
        <v>2.73</v>
      </c>
      <c r="H4394" t="s">
        <v>10</v>
      </c>
      <c r="I4394" t="s">
        <v>11</v>
      </c>
    </row>
    <row r="4395" spans="1:9" x14ac:dyDescent="0.25">
      <c r="A4395" t="s">
        <v>17</v>
      </c>
      <c r="B4395" t="s">
        <v>170</v>
      </c>
      <c r="C4395">
        <v>202506</v>
      </c>
      <c r="D4395" t="str">
        <f t="shared" si="68"/>
        <v>2025</v>
      </c>
      <c r="E4395">
        <v>6208</v>
      </c>
      <c r="F4395">
        <v>210554</v>
      </c>
      <c r="G4395">
        <v>2.95</v>
      </c>
      <c r="H4395" t="s">
        <v>10</v>
      </c>
      <c r="I4395" t="s">
        <v>11</v>
      </c>
    </row>
    <row r="4396" spans="1:9" x14ac:dyDescent="0.25">
      <c r="A4396" t="s">
        <v>17</v>
      </c>
      <c r="B4396" t="s">
        <v>170</v>
      </c>
      <c r="C4396">
        <v>202507</v>
      </c>
      <c r="D4396" t="str">
        <f t="shared" si="68"/>
        <v>2025</v>
      </c>
      <c r="E4396">
        <v>12366</v>
      </c>
      <c r="F4396">
        <v>210554</v>
      </c>
      <c r="G4396">
        <v>5.87</v>
      </c>
      <c r="H4396" t="s">
        <v>10</v>
      </c>
      <c r="I4396" t="s">
        <v>11</v>
      </c>
    </row>
    <row r="4397" spans="1:9" x14ac:dyDescent="0.25">
      <c r="A4397" t="s">
        <v>17</v>
      </c>
      <c r="B4397" t="s">
        <v>170</v>
      </c>
      <c r="C4397">
        <v>202508</v>
      </c>
      <c r="D4397" t="str">
        <f t="shared" si="68"/>
        <v>2025</v>
      </c>
      <c r="E4397">
        <v>23426</v>
      </c>
      <c r="F4397">
        <v>210554</v>
      </c>
      <c r="G4397">
        <v>11.13</v>
      </c>
      <c r="H4397" t="s">
        <v>10</v>
      </c>
      <c r="I4397" t="s">
        <v>11</v>
      </c>
    </row>
    <row r="4398" spans="1:9" x14ac:dyDescent="0.25">
      <c r="A4398" t="s">
        <v>17</v>
      </c>
      <c r="B4398" t="s">
        <v>170</v>
      </c>
      <c r="C4398">
        <v>202509</v>
      </c>
      <c r="D4398" t="str">
        <f t="shared" si="68"/>
        <v>2025</v>
      </c>
      <c r="E4398">
        <v>79750</v>
      </c>
      <c r="F4398">
        <v>210554</v>
      </c>
      <c r="G4398">
        <v>37.880000000000003</v>
      </c>
      <c r="H4398" t="s">
        <v>10</v>
      </c>
      <c r="I4398" t="s">
        <v>11</v>
      </c>
    </row>
    <row r="4399" spans="1:9" x14ac:dyDescent="0.25">
      <c r="A4399" t="s">
        <v>17</v>
      </c>
      <c r="B4399" t="s">
        <v>170</v>
      </c>
      <c r="C4399">
        <v>202510</v>
      </c>
      <c r="D4399" t="str">
        <f t="shared" si="68"/>
        <v>2025</v>
      </c>
      <c r="E4399">
        <v>56013</v>
      </c>
      <c r="F4399">
        <v>210554</v>
      </c>
      <c r="G4399">
        <v>26.6</v>
      </c>
      <c r="H4399" t="s">
        <v>10</v>
      </c>
      <c r="I4399" t="s">
        <v>11</v>
      </c>
    </row>
    <row r="4400" spans="1:9" hidden="1" x14ac:dyDescent="0.25">
      <c r="A4400" t="s">
        <v>17</v>
      </c>
      <c r="B4400" t="s">
        <v>60</v>
      </c>
      <c r="C4400">
        <v>202207</v>
      </c>
      <c r="D4400" t="str">
        <f t="shared" si="68"/>
        <v>2022</v>
      </c>
      <c r="E4400">
        <v>4</v>
      </c>
      <c r="F4400">
        <v>170365</v>
      </c>
      <c r="G4400">
        <v>0</v>
      </c>
      <c r="H4400" t="s">
        <v>10</v>
      </c>
      <c r="I4400" t="s">
        <v>11</v>
      </c>
    </row>
    <row r="4401" spans="1:9" hidden="1" x14ac:dyDescent="0.25">
      <c r="A4401" t="s">
        <v>17</v>
      </c>
      <c r="B4401" t="s">
        <v>60</v>
      </c>
      <c r="C4401">
        <v>202210</v>
      </c>
      <c r="D4401" t="str">
        <f t="shared" si="68"/>
        <v>2022</v>
      </c>
      <c r="E4401">
        <v>7</v>
      </c>
      <c r="F4401">
        <v>170365</v>
      </c>
      <c r="G4401">
        <v>0</v>
      </c>
      <c r="H4401" t="s">
        <v>10</v>
      </c>
      <c r="I4401" t="s">
        <v>11</v>
      </c>
    </row>
    <row r="4402" spans="1:9" hidden="1" x14ac:dyDescent="0.25">
      <c r="A4402" t="s">
        <v>17</v>
      </c>
      <c r="B4402" t="s">
        <v>60</v>
      </c>
      <c r="C4402">
        <v>202212</v>
      </c>
      <c r="D4402" t="str">
        <f t="shared" si="68"/>
        <v>2022</v>
      </c>
      <c r="E4402">
        <v>9</v>
      </c>
      <c r="F4402">
        <v>170365</v>
      </c>
      <c r="G4402">
        <v>0.01</v>
      </c>
      <c r="H4402" t="s">
        <v>10</v>
      </c>
      <c r="I4402" t="s">
        <v>11</v>
      </c>
    </row>
    <row r="4403" spans="1:9" hidden="1" x14ac:dyDescent="0.25">
      <c r="A4403" t="s">
        <v>17</v>
      </c>
      <c r="B4403" t="s">
        <v>60</v>
      </c>
      <c r="C4403">
        <v>202302</v>
      </c>
      <c r="D4403" t="str">
        <f t="shared" si="68"/>
        <v>2023</v>
      </c>
      <c r="E4403">
        <v>18</v>
      </c>
      <c r="F4403">
        <v>170365</v>
      </c>
      <c r="G4403">
        <v>0.01</v>
      </c>
      <c r="H4403" t="s">
        <v>10</v>
      </c>
      <c r="I4403" t="s">
        <v>11</v>
      </c>
    </row>
    <row r="4404" spans="1:9" hidden="1" x14ac:dyDescent="0.25">
      <c r="A4404" t="s">
        <v>17</v>
      </c>
      <c r="B4404" t="s">
        <v>60</v>
      </c>
      <c r="C4404">
        <v>202303</v>
      </c>
      <c r="D4404" t="str">
        <f t="shared" si="68"/>
        <v>2023</v>
      </c>
      <c r="E4404">
        <v>17</v>
      </c>
      <c r="F4404">
        <v>170365</v>
      </c>
      <c r="G4404">
        <v>0.01</v>
      </c>
      <c r="H4404" t="s">
        <v>10</v>
      </c>
      <c r="I4404" t="s">
        <v>11</v>
      </c>
    </row>
    <row r="4405" spans="1:9" hidden="1" x14ac:dyDescent="0.25">
      <c r="A4405" t="s">
        <v>17</v>
      </c>
      <c r="B4405" t="s">
        <v>60</v>
      </c>
      <c r="C4405">
        <v>202304</v>
      </c>
      <c r="D4405" t="str">
        <f t="shared" si="68"/>
        <v>2023</v>
      </c>
      <c r="E4405">
        <v>6</v>
      </c>
      <c r="F4405">
        <v>170365</v>
      </c>
      <c r="G4405">
        <v>0</v>
      </c>
      <c r="H4405" t="s">
        <v>10</v>
      </c>
      <c r="I4405" t="s">
        <v>11</v>
      </c>
    </row>
    <row r="4406" spans="1:9" hidden="1" x14ac:dyDescent="0.25">
      <c r="A4406" t="s">
        <v>17</v>
      </c>
      <c r="B4406" t="s">
        <v>60</v>
      </c>
      <c r="C4406">
        <v>202306</v>
      </c>
      <c r="D4406" t="str">
        <f t="shared" si="68"/>
        <v>2023</v>
      </c>
      <c r="E4406">
        <v>1</v>
      </c>
      <c r="F4406">
        <v>170365</v>
      </c>
      <c r="G4406">
        <v>0</v>
      </c>
      <c r="H4406" t="s">
        <v>10</v>
      </c>
      <c r="I4406" t="s">
        <v>11</v>
      </c>
    </row>
    <row r="4407" spans="1:9" hidden="1" x14ac:dyDescent="0.25">
      <c r="A4407" t="s">
        <v>17</v>
      </c>
      <c r="B4407" t="s">
        <v>60</v>
      </c>
      <c r="C4407">
        <v>202308</v>
      </c>
      <c r="D4407" t="str">
        <f t="shared" si="68"/>
        <v>2023</v>
      </c>
      <c r="E4407">
        <v>9</v>
      </c>
      <c r="F4407">
        <v>170365</v>
      </c>
      <c r="G4407">
        <v>0.01</v>
      </c>
      <c r="H4407" t="s">
        <v>10</v>
      </c>
      <c r="I4407" t="s">
        <v>11</v>
      </c>
    </row>
    <row r="4408" spans="1:9" hidden="1" x14ac:dyDescent="0.25">
      <c r="A4408" t="s">
        <v>17</v>
      </c>
      <c r="B4408" t="s">
        <v>60</v>
      </c>
      <c r="C4408">
        <v>202310</v>
      </c>
      <c r="D4408" t="str">
        <f t="shared" si="68"/>
        <v>2023</v>
      </c>
      <c r="E4408">
        <v>32</v>
      </c>
      <c r="F4408">
        <v>170365</v>
      </c>
      <c r="G4408">
        <v>0.02</v>
      </c>
      <c r="H4408" t="s">
        <v>10</v>
      </c>
      <c r="I4408" t="s">
        <v>11</v>
      </c>
    </row>
    <row r="4409" spans="1:9" hidden="1" x14ac:dyDescent="0.25">
      <c r="A4409" t="s">
        <v>17</v>
      </c>
      <c r="B4409" t="s">
        <v>60</v>
      </c>
      <c r="C4409">
        <v>202311</v>
      </c>
      <c r="D4409" t="str">
        <f t="shared" si="68"/>
        <v>2023</v>
      </c>
      <c r="E4409">
        <v>4</v>
      </c>
      <c r="F4409">
        <v>170365</v>
      </c>
      <c r="G4409">
        <v>0</v>
      </c>
      <c r="H4409" t="s">
        <v>10</v>
      </c>
      <c r="I4409" t="s">
        <v>11</v>
      </c>
    </row>
    <row r="4410" spans="1:9" hidden="1" x14ac:dyDescent="0.25">
      <c r="A4410" t="s">
        <v>17</v>
      </c>
      <c r="B4410" t="s">
        <v>60</v>
      </c>
      <c r="C4410">
        <v>202312</v>
      </c>
      <c r="D4410" t="str">
        <f t="shared" si="68"/>
        <v>2023</v>
      </c>
      <c r="E4410">
        <v>18</v>
      </c>
      <c r="F4410">
        <v>170365</v>
      </c>
      <c r="G4410">
        <v>0.01</v>
      </c>
      <c r="H4410" t="s">
        <v>10</v>
      </c>
      <c r="I4410" t="s">
        <v>11</v>
      </c>
    </row>
    <row r="4411" spans="1:9" hidden="1" x14ac:dyDescent="0.25">
      <c r="A4411" t="s">
        <v>17</v>
      </c>
      <c r="B4411" t="s">
        <v>60</v>
      </c>
      <c r="C4411">
        <v>202401</v>
      </c>
      <c r="D4411" t="str">
        <f t="shared" si="68"/>
        <v>2024</v>
      </c>
      <c r="E4411">
        <v>70</v>
      </c>
      <c r="F4411">
        <v>170365</v>
      </c>
      <c r="G4411">
        <v>0.04</v>
      </c>
      <c r="H4411" t="s">
        <v>10</v>
      </c>
      <c r="I4411" t="s">
        <v>11</v>
      </c>
    </row>
    <row r="4412" spans="1:9" hidden="1" x14ac:dyDescent="0.25">
      <c r="A4412" t="s">
        <v>17</v>
      </c>
      <c r="B4412" t="s">
        <v>60</v>
      </c>
      <c r="C4412">
        <v>202402</v>
      </c>
      <c r="D4412" t="str">
        <f t="shared" si="68"/>
        <v>2024</v>
      </c>
      <c r="E4412">
        <v>186</v>
      </c>
      <c r="F4412">
        <v>170365</v>
      </c>
      <c r="G4412">
        <v>0.11</v>
      </c>
      <c r="H4412" t="s">
        <v>10</v>
      </c>
      <c r="I4412" t="s">
        <v>11</v>
      </c>
    </row>
    <row r="4413" spans="1:9" hidden="1" x14ac:dyDescent="0.25">
      <c r="A4413" t="s">
        <v>17</v>
      </c>
      <c r="B4413" t="s">
        <v>60</v>
      </c>
      <c r="C4413">
        <v>202403</v>
      </c>
      <c r="D4413" t="str">
        <f t="shared" si="68"/>
        <v>2024</v>
      </c>
      <c r="E4413">
        <v>160</v>
      </c>
      <c r="F4413">
        <v>170365</v>
      </c>
      <c r="G4413">
        <v>0.09</v>
      </c>
      <c r="H4413" t="s">
        <v>10</v>
      </c>
      <c r="I4413" t="s">
        <v>11</v>
      </c>
    </row>
    <row r="4414" spans="1:9" hidden="1" x14ac:dyDescent="0.25">
      <c r="A4414" t="s">
        <v>17</v>
      </c>
      <c r="B4414" t="s">
        <v>60</v>
      </c>
      <c r="C4414">
        <v>202404</v>
      </c>
      <c r="D4414" t="str">
        <f t="shared" si="68"/>
        <v>2024</v>
      </c>
      <c r="E4414">
        <v>179</v>
      </c>
      <c r="F4414">
        <v>170365</v>
      </c>
      <c r="G4414">
        <v>0.11</v>
      </c>
      <c r="H4414" t="s">
        <v>10</v>
      </c>
      <c r="I4414" t="s">
        <v>11</v>
      </c>
    </row>
    <row r="4415" spans="1:9" hidden="1" x14ac:dyDescent="0.25">
      <c r="A4415" t="s">
        <v>17</v>
      </c>
      <c r="B4415" t="s">
        <v>60</v>
      </c>
      <c r="C4415">
        <v>202405</v>
      </c>
      <c r="D4415" t="str">
        <f t="shared" si="68"/>
        <v>2024</v>
      </c>
      <c r="E4415">
        <v>149</v>
      </c>
      <c r="F4415">
        <v>170365</v>
      </c>
      <c r="G4415">
        <v>0.09</v>
      </c>
      <c r="H4415" t="s">
        <v>10</v>
      </c>
      <c r="I4415" t="s">
        <v>11</v>
      </c>
    </row>
    <row r="4416" spans="1:9" hidden="1" x14ac:dyDescent="0.25">
      <c r="A4416" t="s">
        <v>17</v>
      </c>
      <c r="B4416" t="s">
        <v>60</v>
      </c>
      <c r="C4416">
        <v>202406</v>
      </c>
      <c r="D4416" t="str">
        <f t="shared" si="68"/>
        <v>2024</v>
      </c>
      <c r="E4416">
        <v>123</v>
      </c>
      <c r="F4416">
        <v>170365</v>
      </c>
      <c r="G4416">
        <v>7.0000000000000007E-2</v>
      </c>
      <c r="H4416" t="s">
        <v>10</v>
      </c>
      <c r="I4416" t="s">
        <v>11</v>
      </c>
    </row>
    <row r="4417" spans="1:9" hidden="1" x14ac:dyDescent="0.25">
      <c r="A4417" t="s">
        <v>17</v>
      </c>
      <c r="B4417" t="s">
        <v>60</v>
      </c>
      <c r="C4417">
        <v>202407</v>
      </c>
      <c r="D4417" t="str">
        <f t="shared" si="68"/>
        <v>2024</v>
      </c>
      <c r="E4417">
        <v>227</v>
      </c>
      <c r="F4417">
        <v>170365</v>
      </c>
      <c r="G4417">
        <v>0.13</v>
      </c>
      <c r="H4417" t="s">
        <v>10</v>
      </c>
      <c r="I4417" t="s">
        <v>11</v>
      </c>
    </row>
    <row r="4418" spans="1:9" hidden="1" x14ac:dyDescent="0.25">
      <c r="A4418" t="s">
        <v>17</v>
      </c>
      <c r="B4418" t="s">
        <v>60</v>
      </c>
      <c r="C4418">
        <v>202408</v>
      </c>
      <c r="D4418" t="str">
        <f t="shared" si="68"/>
        <v>2024</v>
      </c>
      <c r="E4418">
        <v>173</v>
      </c>
      <c r="F4418">
        <v>170365</v>
      </c>
      <c r="G4418">
        <v>0.1</v>
      </c>
      <c r="H4418" t="s">
        <v>10</v>
      </c>
      <c r="I4418" t="s">
        <v>11</v>
      </c>
    </row>
    <row r="4419" spans="1:9" hidden="1" x14ac:dyDescent="0.25">
      <c r="A4419" t="s">
        <v>17</v>
      </c>
      <c r="B4419" t="s">
        <v>60</v>
      </c>
      <c r="C4419">
        <v>202409</v>
      </c>
      <c r="D4419" t="str">
        <f t="shared" ref="D4419:D4482" si="69">LEFT(C4419,4)</f>
        <v>2024</v>
      </c>
      <c r="E4419">
        <v>376</v>
      </c>
      <c r="F4419">
        <v>170365</v>
      </c>
      <c r="G4419">
        <v>0.22</v>
      </c>
      <c r="H4419" t="s">
        <v>10</v>
      </c>
      <c r="I4419" t="s">
        <v>11</v>
      </c>
    </row>
    <row r="4420" spans="1:9" hidden="1" x14ac:dyDescent="0.25">
      <c r="A4420" t="s">
        <v>17</v>
      </c>
      <c r="B4420" t="s">
        <v>60</v>
      </c>
      <c r="C4420">
        <v>202410</v>
      </c>
      <c r="D4420" t="str">
        <f t="shared" si="69"/>
        <v>2024</v>
      </c>
      <c r="E4420">
        <v>552</v>
      </c>
      <c r="F4420">
        <v>170365</v>
      </c>
      <c r="G4420">
        <v>0.32</v>
      </c>
      <c r="H4420" t="s">
        <v>10</v>
      </c>
      <c r="I4420" t="s">
        <v>11</v>
      </c>
    </row>
    <row r="4421" spans="1:9" hidden="1" x14ac:dyDescent="0.25">
      <c r="A4421" t="s">
        <v>17</v>
      </c>
      <c r="B4421" t="s">
        <v>60</v>
      </c>
      <c r="C4421">
        <v>202411</v>
      </c>
      <c r="D4421" t="str">
        <f t="shared" si="69"/>
        <v>2024</v>
      </c>
      <c r="E4421">
        <v>476</v>
      </c>
      <c r="F4421">
        <v>170365</v>
      </c>
      <c r="G4421">
        <v>0.28000000000000003</v>
      </c>
      <c r="H4421" t="s">
        <v>10</v>
      </c>
      <c r="I4421" t="s">
        <v>11</v>
      </c>
    </row>
    <row r="4422" spans="1:9" hidden="1" x14ac:dyDescent="0.25">
      <c r="A4422" t="s">
        <v>17</v>
      </c>
      <c r="B4422" t="s">
        <v>60</v>
      </c>
      <c r="C4422">
        <v>202412</v>
      </c>
      <c r="D4422" t="str">
        <f t="shared" si="69"/>
        <v>2024</v>
      </c>
      <c r="E4422">
        <v>426</v>
      </c>
      <c r="F4422">
        <v>170365</v>
      </c>
      <c r="G4422">
        <v>0.25</v>
      </c>
      <c r="H4422" t="s">
        <v>10</v>
      </c>
      <c r="I4422" t="s">
        <v>11</v>
      </c>
    </row>
    <row r="4423" spans="1:9" x14ac:dyDescent="0.25">
      <c r="A4423" t="s">
        <v>17</v>
      </c>
      <c r="B4423" t="s">
        <v>60</v>
      </c>
      <c r="C4423">
        <v>202501</v>
      </c>
      <c r="D4423" t="str">
        <f t="shared" si="69"/>
        <v>2025</v>
      </c>
      <c r="E4423">
        <v>580</v>
      </c>
      <c r="F4423">
        <v>170365</v>
      </c>
      <c r="G4423">
        <v>0.34</v>
      </c>
      <c r="H4423" t="s">
        <v>10</v>
      </c>
      <c r="I4423" t="s">
        <v>11</v>
      </c>
    </row>
    <row r="4424" spans="1:9" x14ac:dyDescent="0.25">
      <c r="A4424" t="s">
        <v>17</v>
      </c>
      <c r="B4424" t="s">
        <v>60</v>
      </c>
      <c r="C4424">
        <v>202502</v>
      </c>
      <c r="D4424" t="str">
        <f t="shared" si="69"/>
        <v>2025</v>
      </c>
      <c r="E4424">
        <v>663</v>
      </c>
      <c r="F4424">
        <v>170365</v>
      </c>
      <c r="G4424">
        <v>0.39</v>
      </c>
      <c r="H4424" t="s">
        <v>10</v>
      </c>
      <c r="I4424" t="s">
        <v>11</v>
      </c>
    </row>
    <row r="4425" spans="1:9" x14ac:dyDescent="0.25">
      <c r="A4425" t="s">
        <v>17</v>
      </c>
      <c r="B4425" t="s">
        <v>60</v>
      </c>
      <c r="C4425">
        <v>202503</v>
      </c>
      <c r="D4425" t="str">
        <f t="shared" si="69"/>
        <v>2025</v>
      </c>
      <c r="E4425">
        <v>1002</v>
      </c>
      <c r="F4425">
        <v>170365</v>
      </c>
      <c r="G4425">
        <v>0.59</v>
      </c>
      <c r="H4425" t="s">
        <v>10</v>
      </c>
      <c r="I4425" t="s">
        <v>11</v>
      </c>
    </row>
    <row r="4426" spans="1:9" x14ac:dyDescent="0.25">
      <c r="A4426" t="s">
        <v>17</v>
      </c>
      <c r="B4426" t="s">
        <v>60</v>
      </c>
      <c r="C4426">
        <v>202504</v>
      </c>
      <c r="D4426" t="str">
        <f t="shared" si="69"/>
        <v>2025</v>
      </c>
      <c r="E4426">
        <v>1215</v>
      </c>
      <c r="F4426">
        <v>170365</v>
      </c>
      <c r="G4426">
        <v>0.71</v>
      </c>
      <c r="H4426" t="s">
        <v>10</v>
      </c>
      <c r="I4426" t="s">
        <v>11</v>
      </c>
    </row>
    <row r="4427" spans="1:9" x14ac:dyDescent="0.25">
      <c r="A4427" t="s">
        <v>17</v>
      </c>
      <c r="B4427" t="s">
        <v>60</v>
      </c>
      <c r="C4427">
        <v>202505</v>
      </c>
      <c r="D4427" t="str">
        <f t="shared" si="69"/>
        <v>2025</v>
      </c>
      <c r="E4427">
        <v>1808</v>
      </c>
      <c r="F4427">
        <v>170365</v>
      </c>
      <c r="G4427">
        <v>1.06</v>
      </c>
      <c r="H4427" t="s">
        <v>10</v>
      </c>
      <c r="I4427" t="s">
        <v>11</v>
      </c>
    </row>
    <row r="4428" spans="1:9" x14ac:dyDescent="0.25">
      <c r="A4428" t="s">
        <v>17</v>
      </c>
      <c r="B4428" t="s">
        <v>60</v>
      </c>
      <c r="C4428">
        <v>202506</v>
      </c>
      <c r="D4428" t="str">
        <f t="shared" si="69"/>
        <v>2025</v>
      </c>
      <c r="E4428">
        <v>1768</v>
      </c>
      <c r="F4428">
        <v>170365</v>
      </c>
      <c r="G4428">
        <v>1.04</v>
      </c>
      <c r="H4428" t="s">
        <v>10</v>
      </c>
      <c r="I4428" t="s">
        <v>11</v>
      </c>
    </row>
    <row r="4429" spans="1:9" x14ac:dyDescent="0.25">
      <c r="A4429" t="s">
        <v>17</v>
      </c>
      <c r="B4429" t="s">
        <v>60</v>
      </c>
      <c r="C4429">
        <v>202507</v>
      </c>
      <c r="D4429" t="str">
        <f t="shared" si="69"/>
        <v>2025</v>
      </c>
      <c r="E4429">
        <v>2109</v>
      </c>
      <c r="F4429">
        <v>170365</v>
      </c>
      <c r="G4429">
        <v>1.24</v>
      </c>
      <c r="H4429" t="s">
        <v>10</v>
      </c>
      <c r="I4429" t="s">
        <v>11</v>
      </c>
    </row>
    <row r="4430" spans="1:9" x14ac:dyDescent="0.25">
      <c r="A4430" t="s">
        <v>17</v>
      </c>
      <c r="B4430" t="s">
        <v>60</v>
      </c>
      <c r="C4430">
        <v>202508</v>
      </c>
      <c r="D4430" t="str">
        <f t="shared" si="69"/>
        <v>2025</v>
      </c>
      <c r="E4430">
        <v>9710</v>
      </c>
      <c r="F4430">
        <v>170365</v>
      </c>
      <c r="G4430">
        <v>5.7</v>
      </c>
      <c r="H4430" t="s">
        <v>10</v>
      </c>
      <c r="I4430" t="s">
        <v>11</v>
      </c>
    </row>
    <row r="4431" spans="1:9" x14ac:dyDescent="0.25">
      <c r="A4431" t="s">
        <v>17</v>
      </c>
      <c r="B4431" t="s">
        <v>60</v>
      </c>
      <c r="C4431">
        <v>202509</v>
      </c>
      <c r="D4431" t="str">
        <f t="shared" si="69"/>
        <v>2025</v>
      </c>
      <c r="E4431">
        <v>8632</v>
      </c>
      <c r="F4431">
        <v>170365</v>
      </c>
      <c r="G4431">
        <v>5.07</v>
      </c>
      <c r="H4431" t="s">
        <v>10</v>
      </c>
      <c r="I4431" t="s">
        <v>11</v>
      </c>
    </row>
    <row r="4432" spans="1:9" x14ac:dyDescent="0.25">
      <c r="A4432" t="s">
        <v>17</v>
      </c>
      <c r="B4432" t="s">
        <v>60</v>
      </c>
      <c r="C4432">
        <v>202510</v>
      </c>
      <c r="D4432" t="str">
        <f t="shared" si="69"/>
        <v>2025</v>
      </c>
      <c r="E4432">
        <v>85562</v>
      </c>
      <c r="F4432">
        <v>170365</v>
      </c>
      <c r="G4432">
        <v>50.22</v>
      </c>
      <c r="H4432" t="s">
        <v>10</v>
      </c>
      <c r="I4432" t="s">
        <v>11</v>
      </c>
    </row>
    <row r="4433" spans="1:9" x14ac:dyDescent="0.25">
      <c r="A4433" t="s">
        <v>17</v>
      </c>
      <c r="B4433" t="s">
        <v>60</v>
      </c>
      <c r="C4433">
        <v>202511</v>
      </c>
      <c r="D4433" t="str">
        <f t="shared" si="69"/>
        <v>2025</v>
      </c>
      <c r="E4433">
        <v>54094</v>
      </c>
      <c r="F4433">
        <v>170365</v>
      </c>
      <c r="G4433">
        <v>31.75</v>
      </c>
      <c r="H4433" t="s">
        <v>10</v>
      </c>
      <c r="I4433" t="s">
        <v>11</v>
      </c>
    </row>
    <row r="4434" spans="1:9" hidden="1" x14ac:dyDescent="0.25">
      <c r="A4434" t="s">
        <v>17</v>
      </c>
      <c r="B4434" t="s">
        <v>183</v>
      </c>
      <c r="C4434">
        <v>202005</v>
      </c>
      <c r="D4434" t="str">
        <f t="shared" si="69"/>
        <v>2020</v>
      </c>
      <c r="E4434">
        <v>3</v>
      </c>
      <c r="F4434">
        <v>178880</v>
      </c>
      <c r="G4434">
        <v>0</v>
      </c>
      <c r="H4434" t="s">
        <v>10</v>
      </c>
      <c r="I4434" t="s">
        <v>11</v>
      </c>
    </row>
    <row r="4435" spans="1:9" hidden="1" x14ac:dyDescent="0.25">
      <c r="A4435" t="s">
        <v>17</v>
      </c>
      <c r="B4435" t="s">
        <v>183</v>
      </c>
      <c r="C4435">
        <v>202103</v>
      </c>
      <c r="D4435" t="str">
        <f t="shared" si="69"/>
        <v>2021</v>
      </c>
      <c r="E4435">
        <v>3</v>
      </c>
      <c r="F4435">
        <v>178880</v>
      </c>
      <c r="G4435">
        <v>0</v>
      </c>
      <c r="H4435" t="s">
        <v>10</v>
      </c>
      <c r="I4435" t="s">
        <v>11</v>
      </c>
    </row>
    <row r="4436" spans="1:9" hidden="1" x14ac:dyDescent="0.25">
      <c r="A4436" t="s">
        <v>17</v>
      </c>
      <c r="B4436" t="s">
        <v>183</v>
      </c>
      <c r="C4436">
        <v>202208</v>
      </c>
      <c r="D4436" t="str">
        <f t="shared" si="69"/>
        <v>2022</v>
      </c>
      <c r="E4436">
        <v>1</v>
      </c>
      <c r="F4436">
        <v>178880</v>
      </c>
      <c r="G4436">
        <v>0</v>
      </c>
      <c r="H4436" t="s">
        <v>10</v>
      </c>
      <c r="I4436" t="s">
        <v>11</v>
      </c>
    </row>
    <row r="4437" spans="1:9" hidden="1" x14ac:dyDescent="0.25">
      <c r="A4437" t="s">
        <v>17</v>
      </c>
      <c r="B4437" t="s">
        <v>183</v>
      </c>
      <c r="C4437">
        <v>202211</v>
      </c>
      <c r="D4437" t="str">
        <f t="shared" si="69"/>
        <v>2022</v>
      </c>
      <c r="E4437">
        <v>11</v>
      </c>
      <c r="F4437">
        <v>178880</v>
      </c>
      <c r="G4437">
        <v>0.01</v>
      </c>
      <c r="H4437" t="s">
        <v>10</v>
      </c>
      <c r="I4437" t="s">
        <v>11</v>
      </c>
    </row>
    <row r="4438" spans="1:9" hidden="1" x14ac:dyDescent="0.25">
      <c r="A4438" t="s">
        <v>17</v>
      </c>
      <c r="B4438" t="s">
        <v>183</v>
      </c>
      <c r="C4438">
        <v>202301</v>
      </c>
      <c r="D4438" t="str">
        <f t="shared" si="69"/>
        <v>2023</v>
      </c>
      <c r="E4438">
        <v>5</v>
      </c>
      <c r="F4438">
        <v>178880</v>
      </c>
      <c r="G4438">
        <v>0</v>
      </c>
      <c r="H4438" t="s">
        <v>10</v>
      </c>
      <c r="I4438" t="s">
        <v>11</v>
      </c>
    </row>
    <row r="4439" spans="1:9" hidden="1" x14ac:dyDescent="0.25">
      <c r="A4439" t="s">
        <v>17</v>
      </c>
      <c r="B4439" t="s">
        <v>183</v>
      </c>
      <c r="C4439">
        <v>202302</v>
      </c>
      <c r="D4439" t="str">
        <f t="shared" si="69"/>
        <v>2023</v>
      </c>
      <c r="E4439">
        <v>31</v>
      </c>
      <c r="F4439">
        <v>178880</v>
      </c>
      <c r="G4439">
        <v>0.02</v>
      </c>
      <c r="H4439" t="s">
        <v>10</v>
      </c>
      <c r="I4439" t="s">
        <v>11</v>
      </c>
    </row>
    <row r="4440" spans="1:9" hidden="1" x14ac:dyDescent="0.25">
      <c r="A4440" t="s">
        <v>17</v>
      </c>
      <c r="B4440" t="s">
        <v>183</v>
      </c>
      <c r="C4440">
        <v>202303</v>
      </c>
      <c r="D4440" t="str">
        <f t="shared" si="69"/>
        <v>2023</v>
      </c>
      <c r="E4440">
        <v>6</v>
      </c>
      <c r="F4440">
        <v>178880</v>
      </c>
      <c r="G4440">
        <v>0</v>
      </c>
      <c r="H4440" t="s">
        <v>10</v>
      </c>
      <c r="I4440" t="s">
        <v>11</v>
      </c>
    </row>
    <row r="4441" spans="1:9" hidden="1" x14ac:dyDescent="0.25">
      <c r="A4441" t="s">
        <v>17</v>
      </c>
      <c r="B4441" t="s">
        <v>183</v>
      </c>
      <c r="C4441">
        <v>202305</v>
      </c>
      <c r="D4441" t="str">
        <f t="shared" si="69"/>
        <v>2023</v>
      </c>
      <c r="E4441">
        <v>12</v>
      </c>
      <c r="F4441">
        <v>178880</v>
      </c>
      <c r="G4441">
        <v>0.01</v>
      </c>
      <c r="H4441" t="s">
        <v>10</v>
      </c>
      <c r="I4441" t="s">
        <v>11</v>
      </c>
    </row>
    <row r="4442" spans="1:9" hidden="1" x14ac:dyDescent="0.25">
      <c r="A4442" t="s">
        <v>17</v>
      </c>
      <c r="B4442" t="s">
        <v>183</v>
      </c>
      <c r="C4442">
        <v>202306</v>
      </c>
      <c r="D4442" t="str">
        <f t="shared" si="69"/>
        <v>2023</v>
      </c>
      <c r="E4442">
        <v>5</v>
      </c>
      <c r="F4442">
        <v>178880</v>
      </c>
      <c r="G4442">
        <v>0</v>
      </c>
      <c r="H4442" t="s">
        <v>10</v>
      </c>
      <c r="I4442" t="s">
        <v>11</v>
      </c>
    </row>
    <row r="4443" spans="1:9" hidden="1" x14ac:dyDescent="0.25">
      <c r="A4443" t="s">
        <v>17</v>
      </c>
      <c r="B4443" t="s">
        <v>183</v>
      </c>
      <c r="C4443">
        <v>202307</v>
      </c>
      <c r="D4443" t="str">
        <f t="shared" si="69"/>
        <v>2023</v>
      </c>
      <c r="E4443">
        <v>1</v>
      </c>
      <c r="F4443">
        <v>178880</v>
      </c>
      <c r="G4443">
        <v>0</v>
      </c>
      <c r="H4443" t="s">
        <v>10</v>
      </c>
      <c r="I4443" t="s">
        <v>11</v>
      </c>
    </row>
    <row r="4444" spans="1:9" hidden="1" x14ac:dyDescent="0.25">
      <c r="A4444" t="s">
        <v>17</v>
      </c>
      <c r="B4444" t="s">
        <v>183</v>
      </c>
      <c r="C4444">
        <v>202308</v>
      </c>
      <c r="D4444" t="str">
        <f t="shared" si="69"/>
        <v>2023</v>
      </c>
      <c r="E4444">
        <v>1</v>
      </c>
      <c r="F4444">
        <v>178880</v>
      </c>
      <c r="G4444">
        <v>0</v>
      </c>
      <c r="H4444" t="s">
        <v>10</v>
      </c>
      <c r="I4444" t="s">
        <v>11</v>
      </c>
    </row>
    <row r="4445" spans="1:9" hidden="1" x14ac:dyDescent="0.25">
      <c r="A4445" t="s">
        <v>17</v>
      </c>
      <c r="B4445" t="s">
        <v>183</v>
      </c>
      <c r="C4445">
        <v>202309</v>
      </c>
      <c r="D4445" t="str">
        <f t="shared" si="69"/>
        <v>2023</v>
      </c>
      <c r="E4445">
        <v>37</v>
      </c>
      <c r="F4445">
        <v>178880</v>
      </c>
      <c r="G4445">
        <v>0.02</v>
      </c>
      <c r="H4445" t="s">
        <v>10</v>
      </c>
      <c r="I4445" t="s">
        <v>11</v>
      </c>
    </row>
    <row r="4446" spans="1:9" hidden="1" x14ac:dyDescent="0.25">
      <c r="A4446" t="s">
        <v>17</v>
      </c>
      <c r="B4446" t="s">
        <v>183</v>
      </c>
      <c r="C4446">
        <v>202310</v>
      </c>
      <c r="D4446" t="str">
        <f t="shared" si="69"/>
        <v>2023</v>
      </c>
      <c r="E4446">
        <v>69</v>
      </c>
      <c r="F4446">
        <v>178880</v>
      </c>
      <c r="G4446">
        <v>0.04</v>
      </c>
      <c r="H4446" t="s">
        <v>10</v>
      </c>
      <c r="I4446" t="s">
        <v>11</v>
      </c>
    </row>
    <row r="4447" spans="1:9" hidden="1" x14ac:dyDescent="0.25">
      <c r="A4447" t="s">
        <v>17</v>
      </c>
      <c r="B4447" t="s">
        <v>183</v>
      </c>
      <c r="C4447">
        <v>202311</v>
      </c>
      <c r="D4447" t="str">
        <f t="shared" si="69"/>
        <v>2023</v>
      </c>
      <c r="E4447">
        <v>61</v>
      </c>
      <c r="F4447">
        <v>178880</v>
      </c>
      <c r="G4447">
        <v>0.03</v>
      </c>
      <c r="H4447" t="s">
        <v>10</v>
      </c>
      <c r="I4447" t="s">
        <v>11</v>
      </c>
    </row>
    <row r="4448" spans="1:9" hidden="1" x14ac:dyDescent="0.25">
      <c r="A4448" t="s">
        <v>17</v>
      </c>
      <c r="B4448" t="s">
        <v>183</v>
      </c>
      <c r="C4448">
        <v>202312</v>
      </c>
      <c r="D4448" t="str">
        <f t="shared" si="69"/>
        <v>2023</v>
      </c>
      <c r="E4448">
        <v>76</v>
      </c>
      <c r="F4448">
        <v>178880</v>
      </c>
      <c r="G4448">
        <v>0.04</v>
      </c>
      <c r="H4448" t="s">
        <v>10</v>
      </c>
      <c r="I4448" t="s">
        <v>11</v>
      </c>
    </row>
    <row r="4449" spans="1:9" hidden="1" x14ac:dyDescent="0.25">
      <c r="A4449" t="s">
        <v>17</v>
      </c>
      <c r="B4449" t="s">
        <v>183</v>
      </c>
      <c r="C4449">
        <v>202401</v>
      </c>
      <c r="D4449" t="str">
        <f t="shared" si="69"/>
        <v>2024</v>
      </c>
      <c r="E4449">
        <v>273</v>
      </c>
      <c r="F4449">
        <v>178880</v>
      </c>
      <c r="G4449">
        <v>0.15</v>
      </c>
      <c r="H4449" t="s">
        <v>10</v>
      </c>
      <c r="I4449" t="s">
        <v>11</v>
      </c>
    </row>
    <row r="4450" spans="1:9" hidden="1" x14ac:dyDescent="0.25">
      <c r="A4450" t="s">
        <v>17</v>
      </c>
      <c r="B4450" t="s">
        <v>183</v>
      </c>
      <c r="C4450">
        <v>202402</v>
      </c>
      <c r="D4450" t="str">
        <f t="shared" si="69"/>
        <v>2024</v>
      </c>
      <c r="E4450">
        <v>273</v>
      </c>
      <c r="F4450">
        <v>178880</v>
      </c>
      <c r="G4450">
        <v>0.15</v>
      </c>
      <c r="H4450" t="s">
        <v>10</v>
      </c>
      <c r="I4450" t="s">
        <v>11</v>
      </c>
    </row>
    <row r="4451" spans="1:9" hidden="1" x14ac:dyDescent="0.25">
      <c r="A4451" t="s">
        <v>17</v>
      </c>
      <c r="B4451" t="s">
        <v>183</v>
      </c>
      <c r="C4451">
        <v>202403</v>
      </c>
      <c r="D4451" t="str">
        <f t="shared" si="69"/>
        <v>2024</v>
      </c>
      <c r="E4451">
        <v>185</v>
      </c>
      <c r="F4451">
        <v>178880</v>
      </c>
      <c r="G4451">
        <v>0.1</v>
      </c>
      <c r="H4451" t="s">
        <v>10</v>
      </c>
      <c r="I4451" t="s">
        <v>11</v>
      </c>
    </row>
    <row r="4452" spans="1:9" hidden="1" x14ac:dyDescent="0.25">
      <c r="A4452" t="s">
        <v>17</v>
      </c>
      <c r="B4452" t="s">
        <v>183</v>
      </c>
      <c r="C4452">
        <v>202404</v>
      </c>
      <c r="D4452" t="str">
        <f t="shared" si="69"/>
        <v>2024</v>
      </c>
      <c r="E4452">
        <v>292</v>
      </c>
      <c r="F4452">
        <v>178880</v>
      </c>
      <c r="G4452">
        <v>0.16</v>
      </c>
      <c r="H4452" t="s">
        <v>10</v>
      </c>
      <c r="I4452" t="s">
        <v>11</v>
      </c>
    </row>
    <row r="4453" spans="1:9" hidden="1" x14ac:dyDescent="0.25">
      <c r="A4453" t="s">
        <v>17</v>
      </c>
      <c r="B4453" t="s">
        <v>183</v>
      </c>
      <c r="C4453">
        <v>202405</v>
      </c>
      <c r="D4453" t="str">
        <f t="shared" si="69"/>
        <v>2024</v>
      </c>
      <c r="E4453">
        <v>361</v>
      </c>
      <c r="F4453">
        <v>178880</v>
      </c>
      <c r="G4453">
        <v>0.2</v>
      </c>
      <c r="H4453" t="s">
        <v>10</v>
      </c>
      <c r="I4453" t="s">
        <v>11</v>
      </c>
    </row>
    <row r="4454" spans="1:9" hidden="1" x14ac:dyDescent="0.25">
      <c r="A4454" t="s">
        <v>17</v>
      </c>
      <c r="B4454" t="s">
        <v>183</v>
      </c>
      <c r="C4454">
        <v>202406</v>
      </c>
      <c r="D4454" t="str">
        <f t="shared" si="69"/>
        <v>2024</v>
      </c>
      <c r="E4454">
        <v>291</v>
      </c>
      <c r="F4454">
        <v>178880</v>
      </c>
      <c r="G4454">
        <v>0.16</v>
      </c>
      <c r="H4454" t="s">
        <v>10</v>
      </c>
      <c r="I4454" t="s">
        <v>11</v>
      </c>
    </row>
    <row r="4455" spans="1:9" hidden="1" x14ac:dyDescent="0.25">
      <c r="A4455" t="s">
        <v>17</v>
      </c>
      <c r="B4455" t="s">
        <v>183</v>
      </c>
      <c r="C4455">
        <v>202407</v>
      </c>
      <c r="D4455" t="str">
        <f t="shared" si="69"/>
        <v>2024</v>
      </c>
      <c r="E4455">
        <v>297</v>
      </c>
      <c r="F4455">
        <v>178880</v>
      </c>
      <c r="G4455">
        <v>0.17</v>
      </c>
      <c r="H4455" t="s">
        <v>10</v>
      </c>
      <c r="I4455" t="s">
        <v>11</v>
      </c>
    </row>
    <row r="4456" spans="1:9" hidden="1" x14ac:dyDescent="0.25">
      <c r="A4456" t="s">
        <v>17</v>
      </c>
      <c r="B4456" t="s">
        <v>183</v>
      </c>
      <c r="C4456">
        <v>202408</v>
      </c>
      <c r="D4456" t="str">
        <f t="shared" si="69"/>
        <v>2024</v>
      </c>
      <c r="E4456">
        <v>195</v>
      </c>
      <c r="F4456">
        <v>178880</v>
      </c>
      <c r="G4456">
        <v>0.11</v>
      </c>
      <c r="H4456" t="s">
        <v>10</v>
      </c>
      <c r="I4456" t="s">
        <v>11</v>
      </c>
    </row>
    <row r="4457" spans="1:9" hidden="1" x14ac:dyDescent="0.25">
      <c r="A4457" t="s">
        <v>17</v>
      </c>
      <c r="B4457" t="s">
        <v>183</v>
      </c>
      <c r="C4457">
        <v>202409</v>
      </c>
      <c r="D4457" t="str">
        <f t="shared" si="69"/>
        <v>2024</v>
      </c>
      <c r="E4457">
        <v>271</v>
      </c>
      <c r="F4457">
        <v>178880</v>
      </c>
      <c r="G4457">
        <v>0.15</v>
      </c>
      <c r="H4457" t="s">
        <v>10</v>
      </c>
      <c r="I4457" t="s">
        <v>11</v>
      </c>
    </row>
    <row r="4458" spans="1:9" hidden="1" x14ac:dyDescent="0.25">
      <c r="A4458" t="s">
        <v>17</v>
      </c>
      <c r="B4458" t="s">
        <v>183</v>
      </c>
      <c r="C4458">
        <v>202410</v>
      </c>
      <c r="D4458" t="str">
        <f t="shared" si="69"/>
        <v>2024</v>
      </c>
      <c r="E4458">
        <v>492</v>
      </c>
      <c r="F4458">
        <v>178880</v>
      </c>
      <c r="G4458">
        <v>0.28000000000000003</v>
      </c>
      <c r="H4458" t="s">
        <v>10</v>
      </c>
      <c r="I4458" t="s">
        <v>11</v>
      </c>
    </row>
    <row r="4459" spans="1:9" hidden="1" x14ac:dyDescent="0.25">
      <c r="A4459" t="s">
        <v>17</v>
      </c>
      <c r="B4459" t="s">
        <v>183</v>
      </c>
      <c r="C4459">
        <v>202411</v>
      </c>
      <c r="D4459" t="str">
        <f t="shared" si="69"/>
        <v>2024</v>
      </c>
      <c r="E4459">
        <v>323</v>
      </c>
      <c r="F4459">
        <v>178880</v>
      </c>
      <c r="G4459">
        <v>0.18</v>
      </c>
      <c r="H4459" t="s">
        <v>10</v>
      </c>
      <c r="I4459" t="s">
        <v>11</v>
      </c>
    </row>
    <row r="4460" spans="1:9" hidden="1" x14ac:dyDescent="0.25">
      <c r="A4460" t="s">
        <v>17</v>
      </c>
      <c r="B4460" t="s">
        <v>183</v>
      </c>
      <c r="C4460">
        <v>202412</v>
      </c>
      <c r="D4460" t="str">
        <f t="shared" si="69"/>
        <v>2024</v>
      </c>
      <c r="E4460">
        <v>486</v>
      </c>
      <c r="F4460">
        <v>178880</v>
      </c>
      <c r="G4460">
        <v>0.27</v>
      </c>
      <c r="H4460" t="s">
        <v>10</v>
      </c>
      <c r="I4460" t="s">
        <v>11</v>
      </c>
    </row>
    <row r="4461" spans="1:9" x14ac:dyDescent="0.25">
      <c r="A4461" t="s">
        <v>17</v>
      </c>
      <c r="B4461" t="s">
        <v>183</v>
      </c>
      <c r="C4461">
        <v>202501</v>
      </c>
      <c r="D4461" t="str">
        <f t="shared" si="69"/>
        <v>2025</v>
      </c>
      <c r="E4461">
        <v>772</v>
      </c>
      <c r="F4461">
        <v>178880</v>
      </c>
      <c r="G4461">
        <v>0.43</v>
      </c>
      <c r="H4461" t="s">
        <v>10</v>
      </c>
      <c r="I4461" t="s">
        <v>11</v>
      </c>
    </row>
    <row r="4462" spans="1:9" x14ac:dyDescent="0.25">
      <c r="A4462" t="s">
        <v>17</v>
      </c>
      <c r="B4462" t="s">
        <v>183</v>
      </c>
      <c r="C4462">
        <v>202502</v>
      </c>
      <c r="D4462" t="str">
        <f t="shared" si="69"/>
        <v>2025</v>
      </c>
      <c r="E4462">
        <v>916</v>
      </c>
      <c r="F4462">
        <v>178880</v>
      </c>
      <c r="G4462">
        <v>0.51</v>
      </c>
      <c r="H4462" t="s">
        <v>10</v>
      </c>
      <c r="I4462" t="s">
        <v>11</v>
      </c>
    </row>
    <row r="4463" spans="1:9" x14ac:dyDescent="0.25">
      <c r="A4463" t="s">
        <v>17</v>
      </c>
      <c r="B4463" t="s">
        <v>183</v>
      </c>
      <c r="C4463">
        <v>202503</v>
      </c>
      <c r="D4463" t="str">
        <f t="shared" si="69"/>
        <v>2025</v>
      </c>
      <c r="E4463">
        <v>890</v>
      </c>
      <c r="F4463">
        <v>178880</v>
      </c>
      <c r="G4463">
        <v>0.5</v>
      </c>
      <c r="H4463" t="s">
        <v>10</v>
      </c>
      <c r="I4463" t="s">
        <v>11</v>
      </c>
    </row>
    <row r="4464" spans="1:9" x14ac:dyDescent="0.25">
      <c r="A4464" t="s">
        <v>17</v>
      </c>
      <c r="B4464" t="s">
        <v>183</v>
      </c>
      <c r="C4464">
        <v>202504</v>
      </c>
      <c r="D4464" t="str">
        <f t="shared" si="69"/>
        <v>2025</v>
      </c>
      <c r="E4464">
        <v>2235</v>
      </c>
      <c r="F4464">
        <v>178880</v>
      </c>
      <c r="G4464">
        <v>1.25</v>
      </c>
      <c r="H4464" t="s">
        <v>10</v>
      </c>
      <c r="I4464" t="s">
        <v>11</v>
      </c>
    </row>
    <row r="4465" spans="1:9" x14ac:dyDescent="0.25">
      <c r="A4465" t="s">
        <v>17</v>
      </c>
      <c r="B4465" t="s">
        <v>183</v>
      </c>
      <c r="C4465">
        <v>202505</v>
      </c>
      <c r="D4465" t="str">
        <f t="shared" si="69"/>
        <v>2025</v>
      </c>
      <c r="E4465">
        <v>1858</v>
      </c>
      <c r="F4465">
        <v>178880</v>
      </c>
      <c r="G4465">
        <v>1.04</v>
      </c>
      <c r="H4465" t="s">
        <v>10</v>
      </c>
      <c r="I4465" t="s">
        <v>11</v>
      </c>
    </row>
    <row r="4466" spans="1:9" x14ac:dyDescent="0.25">
      <c r="A4466" t="s">
        <v>17</v>
      </c>
      <c r="B4466" t="s">
        <v>183</v>
      </c>
      <c r="C4466">
        <v>202506</v>
      </c>
      <c r="D4466" t="str">
        <f t="shared" si="69"/>
        <v>2025</v>
      </c>
      <c r="E4466">
        <v>1879</v>
      </c>
      <c r="F4466">
        <v>178880</v>
      </c>
      <c r="G4466">
        <v>1.05</v>
      </c>
      <c r="H4466" t="s">
        <v>10</v>
      </c>
      <c r="I4466" t="s">
        <v>11</v>
      </c>
    </row>
    <row r="4467" spans="1:9" x14ac:dyDescent="0.25">
      <c r="A4467" t="s">
        <v>17</v>
      </c>
      <c r="B4467" t="s">
        <v>183</v>
      </c>
      <c r="C4467">
        <v>202507</v>
      </c>
      <c r="D4467" t="str">
        <f t="shared" si="69"/>
        <v>2025</v>
      </c>
      <c r="E4467">
        <v>2633</v>
      </c>
      <c r="F4467">
        <v>178880</v>
      </c>
      <c r="G4467">
        <v>1.47</v>
      </c>
      <c r="H4467" t="s">
        <v>10</v>
      </c>
      <c r="I4467" t="s">
        <v>11</v>
      </c>
    </row>
    <row r="4468" spans="1:9" x14ac:dyDescent="0.25">
      <c r="A4468" t="s">
        <v>17</v>
      </c>
      <c r="B4468" t="s">
        <v>183</v>
      </c>
      <c r="C4468">
        <v>202508</v>
      </c>
      <c r="D4468" t="str">
        <f t="shared" si="69"/>
        <v>2025</v>
      </c>
      <c r="E4468">
        <v>3239</v>
      </c>
      <c r="F4468">
        <v>178880</v>
      </c>
      <c r="G4468">
        <v>1.81</v>
      </c>
      <c r="H4468" t="s">
        <v>10</v>
      </c>
      <c r="I4468" t="s">
        <v>11</v>
      </c>
    </row>
    <row r="4469" spans="1:9" x14ac:dyDescent="0.25">
      <c r="A4469" t="s">
        <v>17</v>
      </c>
      <c r="B4469" t="s">
        <v>183</v>
      </c>
      <c r="C4469">
        <v>202509</v>
      </c>
      <c r="D4469" t="str">
        <f t="shared" si="69"/>
        <v>2025</v>
      </c>
      <c r="E4469">
        <v>9135</v>
      </c>
      <c r="F4469">
        <v>178880</v>
      </c>
      <c r="G4469">
        <v>5.1100000000000003</v>
      </c>
      <c r="H4469" t="s">
        <v>10</v>
      </c>
      <c r="I4469" t="s">
        <v>11</v>
      </c>
    </row>
    <row r="4470" spans="1:9" x14ac:dyDescent="0.25">
      <c r="A4470" t="s">
        <v>17</v>
      </c>
      <c r="B4470" t="s">
        <v>183</v>
      </c>
      <c r="C4470">
        <v>202510</v>
      </c>
      <c r="D4470" t="str">
        <f t="shared" si="69"/>
        <v>2025</v>
      </c>
      <c r="E4470">
        <v>16191</v>
      </c>
      <c r="F4470">
        <v>178880</v>
      </c>
      <c r="G4470">
        <v>9.0500000000000007</v>
      </c>
      <c r="H4470" t="s">
        <v>10</v>
      </c>
      <c r="I4470" t="s">
        <v>11</v>
      </c>
    </row>
    <row r="4471" spans="1:9" x14ac:dyDescent="0.25">
      <c r="A4471" t="s">
        <v>17</v>
      </c>
      <c r="B4471" t="s">
        <v>183</v>
      </c>
      <c r="C4471">
        <v>202511</v>
      </c>
      <c r="D4471" t="str">
        <f t="shared" si="69"/>
        <v>2025</v>
      </c>
      <c r="E4471">
        <v>69751</v>
      </c>
      <c r="F4471">
        <v>178880</v>
      </c>
      <c r="G4471">
        <v>38.99</v>
      </c>
      <c r="H4471" t="s">
        <v>10</v>
      </c>
      <c r="I4471" t="s">
        <v>11</v>
      </c>
    </row>
    <row r="4472" spans="1:9" x14ac:dyDescent="0.25">
      <c r="A4472" t="s">
        <v>17</v>
      </c>
      <c r="B4472" t="s">
        <v>183</v>
      </c>
      <c r="C4472">
        <v>202512</v>
      </c>
      <c r="D4472" t="str">
        <f t="shared" si="69"/>
        <v>2025</v>
      </c>
      <c r="E4472">
        <v>65320</v>
      </c>
      <c r="F4472">
        <v>178880</v>
      </c>
      <c r="G4472">
        <v>36.520000000000003</v>
      </c>
      <c r="H4472" t="s">
        <v>10</v>
      </c>
      <c r="I4472" t="s">
        <v>11</v>
      </c>
    </row>
    <row r="4473" spans="1:9" hidden="1" x14ac:dyDescent="0.25">
      <c r="A4473" t="s">
        <v>17</v>
      </c>
      <c r="B4473" t="s">
        <v>105</v>
      </c>
      <c r="C4473">
        <v>201901</v>
      </c>
      <c r="D4473" t="str">
        <f t="shared" si="69"/>
        <v>2019</v>
      </c>
      <c r="E4473">
        <v>3</v>
      </c>
      <c r="F4473">
        <v>154047</v>
      </c>
      <c r="G4473">
        <v>0</v>
      </c>
      <c r="H4473" t="s">
        <v>10</v>
      </c>
      <c r="I4473" t="s">
        <v>11</v>
      </c>
    </row>
    <row r="4474" spans="1:9" hidden="1" x14ac:dyDescent="0.25">
      <c r="A4474" t="s">
        <v>17</v>
      </c>
      <c r="B4474" t="s">
        <v>105</v>
      </c>
      <c r="C4474">
        <v>202210</v>
      </c>
      <c r="D4474" t="str">
        <f t="shared" si="69"/>
        <v>2022</v>
      </c>
      <c r="E4474">
        <v>1</v>
      </c>
      <c r="F4474">
        <v>154047</v>
      </c>
      <c r="G4474">
        <v>0</v>
      </c>
      <c r="H4474" t="s">
        <v>10</v>
      </c>
      <c r="I4474" t="s">
        <v>11</v>
      </c>
    </row>
    <row r="4475" spans="1:9" hidden="1" x14ac:dyDescent="0.25">
      <c r="A4475" t="s">
        <v>17</v>
      </c>
      <c r="B4475" t="s">
        <v>105</v>
      </c>
      <c r="C4475">
        <v>202212</v>
      </c>
      <c r="D4475" t="str">
        <f t="shared" si="69"/>
        <v>2022</v>
      </c>
      <c r="E4475">
        <v>3</v>
      </c>
      <c r="F4475">
        <v>154047</v>
      </c>
      <c r="G4475">
        <v>0</v>
      </c>
      <c r="H4475" t="s">
        <v>10</v>
      </c>
      <c r="I4475" t="s">
        <v>11</v>
      </c>
    </row>
    <row r="4476" spans="1:9" hidden="1" x14ac:dyDescent="0.25">
      <c r="A4476" t="s">
        <v>17</v>
      </c>
      <c r="B4476" t="s">
        <v>105</v>
      </c>
      <c r="C4476">
        <v>202301</v>
      </c>
      <c r="D4476" t="str">
        <f t="shared" si="69"/>
        <v>2023</v>
      </c>
      <c r="E4476">
        <v>1</v>
      </c>
      <c r="F4476">
        <v>154047</v>
      </c>
      <c r="G4476">
        <v>0</v>
      </c>
      <c r="H4476" t="s">
        <v>10</v>
      </c>
      <c r="I4476" t="s">
        <v>11</v>
      </c>
    </row>
    <row r="4477" spans="1:9" hidden="1" x14ac:dyDescent="0.25">
      <c r="A4477" t="s">
        <v>17</v>
      </c>
      <c r="B4477" t="s">
        <v>105</v>
      </c>
      <c r="C4477">
        <v>202303</v>
      </c>
      <c r="D4477" t="str">
        <f t="shared" si="69"/>
        <v>2023</v>
      </c>
      <c r="E4477">
        <v>4</v>
      </c>
      <c r="F4477">
        <v>154047</v>
      </c>
      <c r="G4477">
        <v>0</v>
      </c>
      <c r="H4477" t="s">
        <v>10</v>
      </c>
      <c r="I4477" t="s">
        <v>11</v>
      </c>
    </row>
    <row r="4478" spans="1:9" hidden="1" x14ac:dyDescent="0.25">
      <c r="A4478" t="s">
        <v>17</v>
      </c>
      <c r="B4478" t="s">
        <v>105</v>
      </c>
      <c r="C4478">
        <v>202306</v>
      </c>
      <c r="D4478" t="str">
        <f t="shared" si="69"/>
        <v>2023</v>
      </c>
      <c r="E4478">
        <v>10</v>
      </c>
      <c r="F4478">
        <v>154047</v>
      </c>
      <c r="G4478">
        <v>0.01</v>
      </c>
      <c r="H4478" t="s">
        <v>10</v>
      </c>
      <c r="I4478" t="s">
        <v>11</v>
      </c>
    </row>
    <row r="4479" spans="1:9" hidden="1" x14ac:dyDescent="0.25">
      <c r="A4479" t="s">
        <v>17</v>
      </c>
      <c r="B4479" t="s">
        <v>105</v>
      </c>
      <c r="C4479">
        <v>202307</v>
      </c>
      <c r="D4479" t="str">
        <f t="shared" si="69"/>
        <v>2023</v>
      </c>
      <c r="E4479">
        <v>4</v>
      </c>
      <c r="F4479">
        <v>154047</v>
      </c>
      <c r="G4479">
        <v>0</v>
      </c>
      <c r="H4479" t="s">
        <v>10</v>
      </c>
      <c r="I4479" t="s">
        <v>11</v>
      </c>
    </row>
    <row r="4480" spans="1:9" hidden="1" x14ac:dyDescent="0.25">
      <c r="A4480" t="s">
        <v>17</v>
      </c>
      <c r="B4480" t="s">
        <v>105</v>
      </c>
      <c r="C4480">
        <v>202310</v>
      </c>
      <c r="D4480" t="str">
        <f t="shared" si="69"/>
        <v>2023</v>
      </c>
      <c r="E4480">
        <v>45</v>
      </c>
      <c r="F4480">
        <v>154047</v>
      </c>
      <c r="G4480">
        <v>0.03</v>
      </c>
      <c r="H4480" t="s">
        <v>10</v>
      </c>
      <c r="I4480" t="s">
        <v>11</v>
      </c>
    </row>
    <row r="4481" spans="1:9" hidden="1" x14ac:dyDescent="0.25">
      <c r="A4481" t="s">
        <v>17</v>
      </c>
      <c r="B4481" t="s">
        <v>105</v>
      </c>
      <c r="C4481">
        <v>202311</v>
      </c>
      <c r="D4481" t="str">
        <f t="shared" si="69"/>
        <v>2023</v>
      </c>
      <c r="E4481">
        <v>30</v>
      </c>
      <c r="F4481">
        <v>154047</v>
      </c>
      <c r="G4481">
        <v>0.02</v>
      </c>
      <c r="H4481" t="s">
        <v>10</v>
      </c>
      <c r="I4481" t="s">
        <v>11</v>
      </c>
    </row>
    <row r="4482" spans="1:9" hidden="1" x14ac:dyDescent="0.25">
      <c r="A4482" t="s">
        <v>17</v>
      </c>
      <c r="B4482" t="s">
        <v>105</v>
      </c>
      <c r="C4482">
        <v>202312</v>
      </c>
      <c r="D4482" t="str">
        <f t="shared" si="69"/>
        <v>2023</v>
      </c>
      <c r="E4482">
        <v>9</v>
      </c>
      <c r="F4482">
        <v>154047</v>
      </c>
      <c r="G4482">
        <v>0.01</v>
      </c>
      <c r="H4482" t="s">
        <v>10</v>
      </c>
      <c r="I4482" t="s">
        <v>11</v>
      </c>
    </row>
    <row r="4483" spans="1:9" hidden="1" x14ac:dyDescent="0.25">
      <c r="A4483" t="s">
        <v>17</v>
      </c>
      <c r="B4483" t="s">
        <v>105</v>
      </c>
      <c r="C4483">
        <v>202401</v>
      </c>
      <c r="D4483" t="str">
        <f t="shared" ref="D4483:D4546" si="70">LEFT(C4483,4)</f>
        <v>2024</v>
      </c>
      <c r="E4483">
        <v>99</v>
      </c>
      <c r="F4483">
        <v>154047</v>
      </c>
      <c r="G4483">
        <v>0.06</v>
      </c>
      <c r="H4483" t="s">
        <v>10</v>
      </c>
      <c r="I4483" t="s">
        <v>11</v>
      </c>
    </row>
    <row r="4484" spans="1:9" hidden="1" x14ac:dyDescent="0.25">
      <c r="A4484" t="s">
        <v>17</v>
      </c>
      <c r="B4484" t="s">
        <v>105</v>
      </c>
      <c r="C4484">
        <v>202402</v>
      </c>
      <c r="D4484" t="str">
        <f t="shared" si="70"/>
        <v>2024</v>
      </c>
      <c r="E4484">
        <v>121</v>
      </c>
      <c r="F4484">
        <v>154047</v>
      </c>
      <c r="G4484">
        <v>0.08</v>
      </c>
      <c r="H4484" t="s">
        <v>10</v>
      </c>
      <c r="I4484" t="s">
        <v>11</v>
      </c>
    </row>
    <row r="4485" spans="1:9" hidden="1" x14ac:dyDescent="0.25">
      <c r="A4485" t="s">
        <v>17</v>
      </c>
      <c r="B4485" t="s">
        <v>105</v>
      </c>
      <c r="C4485">
        <v>202403</v>
      </c>
      <c r="D4485" t="str">
        <f t="shared" si="70"/>
        <v>2024</v>
      </c>
      <c r="E4485">
        <v>60</v>
      </c>
      <c r="F4485">
        <v>154047</v>
      </c>
      <c r="G4485">
        <v>0.04</v>
      </c>
      <c r="H4485" t="s">
        <v>10</v>
      </c>
      <c r="I4485" t="s">
        <v>11</v>
      </c>
    </row>
    <row r="4486" spans="1:9" hidden="1" x14ac:dyDescent="0.25">
      <c r="A4486" t="s">
        <v>17</v>
      </c>
      <c r="B4486" t="s">
        <v>105</v>
      </c>
      <c r="C4486">
        <v>202404</v>
      </c>
      <c r="D4486" t="str">
        <f t="shared" si="70"/>
        <v>2024</v>
      </c>
      <c r="E4486">
        <v>99</v>
      </c>
      <c r="F4486">
        <v>154047</v>
      </c>
      <c r="G4486">
        <v>0.06</v>
      </c>
      <c r="H4486" t="s">
        <v>10</v>
      </c>
      <c r="I4486" t="s">
        <v>11</v>
      </c>
    </row>
    <row r="4487" spans="1:9" hidden="1" x14ac:dyDescent="0.25">
      <c r="A4487" t="s">
        <v>17</v>
      </c>
      <c r="B4487" t="s">
        <v>105</v>
      </c>
      <c r="C4487">
        <v>202405</v>
      </c>
      <c r="D4487" t="str">
        <f t="shared" si="70"/>
        <v>2024</v>
      </c>
      <c r="E4487">
        <v>120</v>
      </c>
      <c r="F4487">
        <v>154047</v>
      </c>
      <c r="G4487">
        <v>0.08</v>
      </c>
      <c r="H4487" t="s">
        <v>10</v>
      </c>
      <c r="I4487" t="s">
        <v>11</v>
      </c>
    </row>
    <row r="4488" spans="1:9" hidden="1" x14ac:dyDescent="0.25">
      <c r="A4488" t="s">
        <v>17</v>
      </c>
      <c r="B4488" t="s">
        <v>105</v>
      </c>
      <c r="C4488">
        <v>202406</v>
      </c>
      <c r="D4488" t="str">
        <f t="shared" si="70"/>
        <v>2024</v>
      </c>
      <c r="E4488">
        <v>111</v>
      </c>
      <c r="F4488">
        <v>154047</v>
      </c>
      <c r="G4488">
        <v>7.0000000000000007E-2</v>
      </c>
      <c r="H4488" t="s">
        <v>10</v>
      </c>
      <c r="I4488" t="s">
        <v>11</v>
      </c>
    </row>
    <row r="4489" spans="1:9" hidden="1" x14ac:dyDescent="0.25">
      <c r="A4489" t="s">
        <v>17</v>
      </c>
      <c r="B4489" t="s">
        <v>105</v>
      </c>
      <c r="C4489">
        <v>202407</v>
      </c>
      <c r="D4489" t="str">
        <f t="shared" si="70"/>
        <v>2024</v>
      </c>
      <c r="E4489">
        <v>292</v>
      </c>
      <c r="F4489">
        <v>154047</v>
      </c>
      <c r="G4489">
        <v>0.19</v>
      </c>
      <c r="H4489" t="s">
        <v>10</v>
      </c>
      <c r="I4489" t="s">
        <v>11</v>
      </c>
    </row>
    <row r="4490" spans="1:9" hidden="1" x14ac:dyDescent="0.25">
      <c r="A4490" t="s">
        <v>17</v>
      </c>
      <c r="B4490" t="s">
        <v>105</v>
      </c>
      <c r="C4490">
        <v>202408</v>
      </c>
      <c r="D4490" t="str">
        <f t="shared" si="70"/>
        <v>2024</v>
      </c>
      <c r="E4490">
        <v>269</v>
      </c>
      <c r="F4490">
        <v>154047</v>
      </c>
      <c r="G4490">
        <v>0.17</v>
      </c>
      <c r="H4490" t="s">
        <v>10</v>
      </c>
      <c r="I4490" t="s">
        <v>11</v>
      </c>
    </row>
    <row r="4491" spans="1:9" hidden="1" x14ac:dyDescent="0.25">
      <c r="A4491" t="s">
        <v>17</v>
      </c>
      <c r="B4491" t="s">
        <v>105</v>
      </c>
      <c r="C4491">
        <v>202409</v>
      </c>
      <c r="D4491" t="str">
        <f t="shared" si="70"/>
        <v>2024</v>
      </c>
      <c r="E4491">
        <v>310</v>
      </c>
      <c r="F4491">
        <v>154047</v>
      </c>
      <c r="G4491">
        <v>0.2</v>
      </c>
      <c r="H4491" t="s">
        <v>10</v>
      </c>
      <c r="I4491" t="s">
        <v>11</v>
      </c>
    </row>
    <row r="4492" spans="1:9" hidden="1" x14ac:dyDescent="0.25">
      <c r="A4492" t="s">
        <v>17</v>
      </c>
      <c r="B4492" t="s">
        <v>105</v>
      </c>
      <c r="C4492">
        <v>202410</v>
      </c>
      <c r="D4492" t="str">
        <f t="shared" si="70"/>
        <v>2024</v>
      </c>
      <c r="E4492">
        <v>410</v>
      </c>
      <c r="F4492">
        <v>154047</v>
      </c>
      <c r="G4492">
        <v>0.27</v>
      </c>
      <c r="H4492" t="s">
        <v>10</v>
      </c>
      <c r="I4492" t="s">
        <v>11</v>
      </c>
    </row>
    <row r="4493" spans="1:9" hidden="1" x14ac:dyDescent="0.25">
      <c r="A4493" t="s">
        <v>17</v>
      </c>
      <c r="B4493" t="s">
        <v>105</v>
      </c>
      <c r="C4493">
        <v>202411</v>
      </c>
      <c r="D4493" t="str">
        <f t="shared" si="70"/>
        <v>2024</v>
      </c>
      <c r="E4493">
        <v>286</v>
      </c>
      <c r="F4493">
        <v>154047</v>
      </c>
      <c r="G4493">
        <v>0.19</v>
      </c>
      <c r="H4493" t="s">
        <v>10</v>
      </c>
      <c r="I4493" t="s">
        <v>11</v>
      </c>
    </row>
    <row r="4494" spans="1:9" hidden="1" x14ac:dyDescent="0.25">
      <c r="A4494" t="s">
        <v>17</v>
      </c>
      <c r="B4494" t="s">
        <v>105</v>
      </c>
      <c r="C4494">
        <v>202412</v>
      </c>
      <c r="D4494" t="str">
        <f t="shared" si="70"/>
        <v>2024</v>
      </c>
      <c r="E4494">
        <v>464</v>
      </c>
      <c r="F4494">
        <v>154047</v>
      </c>
      <c r="G4494">
        <v>0.3</v>
      </c>
      <c r="H4494" t="s">
        <v>10</v>
      </c>
      <c r="I4494" t="s">
        <v>11</v>
      </c>
    </row>
    <row r="4495" spans="1:9" x14ac:dyDescent="0.25">
      <c r="A4495" t="s">
        <v>17</v>
      </c>
      <c r="B4495" t="s">
        <v>105</v>
      </c>
      <c r="C4495">
        <v>202501</v>
      </c>
      <c r="D4495" t="str">
        <f t="shared" si="70"/>
        <v>2025</v>
      </c>
      <c r="E4495">
        <v>529</v>
      </c>
      <c r="F4495">
        <v>154047</v>
      </c>
      <c r="G4495">
        <v>0.34</v>
      </c>
      <c r="H4495" t="s">
        <v>10</v>
      </c>
      <c r="I4495" t="s">
        <v>11</v>
      </c>
    </row>
    <row r="4496" spans="1:9" x14ac:dyDescent="0.25">
      <c r="A4496" t="s">
        <v>17</v>
      </c>
      <c r="B4496" t="s">
        <v>105</v>
      </c>
      <c r="C4496">
        <v>202502</v>
      </c>
      <c r="D4496" t="str">
        <f t="shared" si="70"/>
        <v>2025</v>
      </c>
      <c r="E4496">
        <v>588</v>
      </c>
      <c r="F4496">
        <v>154047</v>
      </c>
      <c r="G4496">
        <v>0.38</v>
      </c>
      <c r="H4496" t="s">
        <v>10</v>
      </c>
      <c r="I4496" t="s">
        <v>11</v>
      </c>
    </row>
    <row r="4497" spans="1:9" x14ac:dyDescent="0.25">
      <c r="A4497" t="s">
        <v>17</v>
      </c>
      <c r="B4497" t="s">
        <v>105</v>
      </c>
      <c r="C4497">
        <v>202503</v>
      </c>
      <c r="D4497" t="str">
        <f t="shared" si="70"/>
        <v>2025</v>
      </c>
      <c r="E4497">
        <v>796</v>
      </c>
      <c r="F4497">
        <v>154047</v>
      </c>
      <c r="G4497">
        <v>0.52</v>
      </c>
      <c r="H4497" t="s">
        <v>10</v>
      </c>
      <c r="I4497" t="s">
        <v>11</v>
      </c>
    </row>
    <row r="4498" spans="1:9" x14ac:dyDescent="0.25">
      <c r="A4498" t="s">
        <v>17</v>
      </c>
      <c r="B4498" t="s">
        <v>105</v>
      </c>
      <c r="C4498">
        <v>202504</v>
      </c>
      <c r="D4498" t="str">
        <f t="shared" si="70"/>
        <v>2025</v>
      </c>
      <c r="E4498">
        <v>890</v>
      </c>
      <c r="F4498">
        <v>154047</v>
      </c>
      <c r="G4498">
        <v>0.57999999999999996</v>
      </c>
      <c r="H4498" t="s">
        <v>10</v>
      </c>
      <c r="I4498" t="s">
        <v>11</v>
      </c>
    </row>
    <row r="4499" spans="1:9" x14ac:dyDescent="0.25">
      <c r="A4499" t="s">
        <v>17</v>
      </c>
      <c r="B4499" t="s">
        <v>105</v>
      </c>
      <c r="C4499">
        <v>202505</v>
      </c>
      <c r="D4499" t="str">
        <f t="shared" si="70"/>
        <v>2025</v>
      </c>
      <c r="E4499">
        <v>1464</v>
      </c>
      <c r="F4499">
        <v>154047</v>
      </c>
      <c r="G4499">
        <v>0.95</v>
      </c>
      <c r="H4499" t="s">
        <v>10</v>
      </c>
      <c r="I4499" t="s">
        <v>11</v>
      </c>
    </row>
    <row r="4500" spans="1:9" x14ac:dyDescent="0.25">
      <c r="A4500" t="s">
        <v>17</v>
      </c>
      <c r="B4500" t="s">
        <v>105</v>
      </c>
      <c r="C4500">
        <v>202506</v>
      </c>
      <c r="D4500" t="str">
        <f t="shared" si="70"/>
        <v>2025</v>
      </c>
      <c r="E4500">
        <v>1809</v>
      </c>
      <c r="F4500">
        <v>154047</v>
      </c>
      <c r="G4500">
        <v>1.17</v>
      </c>
      <c r="H4500" t="s">
        <v>10</v>
      </c>
      <c r="I4500" t="s">
        <v>11</v>
      </c>
    </row>
    <row r="4501" spans="1:9" x14ac:dyDescent="0.25">
      <c r="A4501" t="s">
        <v>17</v>
      </c>
      <c r="B4501" t="s">
        <v>105</v>
      </c>
      <c r="C4501">
        <v>202507</v>
      </c>
      <c r="D4501" t="str">
        <f t="shared" si="70"/>
        <v>2025</v>
      </c>
      <c r="E4501">
        <v>1797</v>
      </c>
      <c r="F4501">
        <v>154047</v>
      </c>
      <c r="G4501">
        <v>1.17</v>
      </c>
      <c r="H4501" t="s">
        <v>10</v>
      </c>
      <c r="I4501" t="s">
        <v>11</v>
      </c>
    </row>
    <row r="4502" spans="1:9" x14ac:dyDescent="0.25">
      <c r="A4502" t="s">
        <v>17</v>
      </c>
      <c r="B4502" t="s">
        <v>105</v>
      </c>
      <c r="C4502">
        <v>202508</v>
      </c>
      <c r="D4502" t="str">
        <f t="shared" si="70"/>
        <v>2025</v>
      </c>
      <c r="E4502">
        <v>1692</v>
      </c>
      <c r="F4502">
        <v>154047</v>
      </c>
      <c r="G4502">
        <v>1.1000000000000001</v>
      </c>
      <c r="H4502" t="s">
        <v>10</v>
      </c>
      <c r="I4502" t="s">
        <v>11</v>
      </c>
    </row>
    <row r="4503" spans="1:9" x14ac:dyDescent="0.25">
      <c r="A4503" t="s">
        <v>17</v>
      </c>
      <c r="B4503" t="s">
        <v>105</v>
      </c>
      <c r="C4503">
        <v>202509</v>
      </c>
      <c r="D4503" t="str">
        <f t="shared" si="70"/>
        <v>2025</v>
      </c>
      <c r="E4503">
        <v>3124</v>
      </c>
      <c r="F4503">
        <v>154047</v>
      </c>
      <c r="G4503">
        <v>2.0299999999999998</v>
      </c>
      <c r="H4503" t="s">
        <v>10</v>
      </c>
      <c r="I4503" t="s">
        <v>11</v>
      </c>
    </row>
    <row r="4504" spans="1:9" x14ac:dyDescent="0.25">
      <c r="A4504" t="s">
        <v>17</v>
      </c>
      <c r="B4504" t="s">
        <v>105</v>
      </c>
      <c r="C4504">
        <v>202510</v>
      </c>
      <c r="D4504" t="str">
        <f t="shared" si="70"/>
        <v>2025</v>
      </c>
      <c r="E4504">
        <v>3692</v>
      </c>
      <c r="F4504">
        <v>154047</v>
      </c>
      <c r="G4504">
        <v>2.4</v>
      </c>
      <c r="H4504" t="s">
        <v>10</v>
      </c>
      <c r="I4504" t="s">
        <v>11</v>
      </c>
    </row>
    <row r="4505" spans="1:9" x14ac:dyDescent="0.25">
      <c r="A4505" t="s">
        <v>17</v>
      </c>
      <c r="B4505" t="s">
        <v>105</v>
      </c>
      <c r="C4505">
        <v>202511</v>
      </c>
      <c r="D4505" t="str">
        <f t="shared" si="70"/>
        <v>2025</v>
      </c>
      <c r="E4505">
        <v>7722</v>
      </c>
      <c r="F4505">
        <v>154047</v>
      </c>
      <c r="G4505">
        <v>5.01</v>
      </c>
      <c r="H4505" t="s">
        <v>10</v>
      </c>
      <c r="I4505" t="s">
        <v>11</v>
      </c>
    </row>
    <row r="4506" spans="1:9" x14ac:dyDescent="0.25">
      <c r="A4506" t="s">
        <v>17</v>
      </c>
      <c r="B4506" t="s">
        <v>105</v>
      </c>
      <c r="C4506">
        <v>202512</v>
      </c>
      <c r="D4506" t="str">
        <f t="shared" si="70"/>
        <v>2025</v>
      </c>
      <c r="E4506">
        <v>64577</v>
      </c>
      <c r="F4506">
        <v>154047</v>
      </c>
      <c r="G4506">
        <v>41.92</v>
      </c>
      <c r="H4506" t="s">
        <v>10</v>
      </c>
      <c r="I4506" t="s">
        <v>11</v>
      </c>
    </row>
    <row r="4507" spans="1:9" x14ac:dyDescent="0.25">
      <c r="A4507" t="s">
        <v>17</v>
      </c>
      <c r="B4507" t="s">
        <v>105</v>
      </c>
      <c r="C4507">
        <v>202601</v>
      </c>
      <c r="D4507" t="str">
        <f t="shared" si="70"/>
        <v>2026</v>
      </c>
      <c r="E4507">
        <v>62616</v>
      </c>
      <c r="F4507">
        <v>154047</v>
      </c>
      <c r="G4507">
        <v>40.65</v>
      </c>
      <c r="H4507" t="s">
        <v>10</v>
      </c>
      <c r="I4507" t="s">
        <v>11</v>
      </c>
    </row>
    <row r="4508" spans="1:9" hidden="1" x14ac:dyDescent="0.25">
      <c r="A4508" t="s">
        <v>17</v>
      </c>
      <c r="B4508" t="s">
        <v>131</v>
      </c>
      <c r="C4508">
        <v>202306</v>
      </c>
      <c r="D4508" t="str">
        <f t="shared" si="70"/>
        <v>2023</v>
      </c>
      <c r="E4508">
        <v>3</v>
      </c>
      <c r="F4508">
        <v>168854</v>
      </c>
      <c r="G4508">
        <v>0</v>
      </c>
      <c r="H4508" t="s">
        <v>10</v>
      </c>
      <c r="I4508" t="s">
        <v>11</v>
      </c>
    </row>
    <row r="4509" spans="1:9" hidden="1" x14ac:dyDescent="0.25">
      <c r="A4509" t="s">
        <v>17</v>
      </c>
      <c r="B4509" t="s">
        <v>131</v>
      </c>
      <c r="C4509">
        <v>202308</v>
      </c>
      <c r="D4509" t="str">
        <f t="shared" si="70"/>
        <v>2023</v>
      </c>
      <c r="E4509">
        <v>8</v>
      </c>
      <c r="F4509">
        <v>168854</v>
      </c>
      <c r="G4509">
        <v>0</v>
      </c>
      <c r="H4509" t="s">
        <v>10</v>
      </c>
      <c r="I4509" t="s">
        <v>11</v>
      </c>
    </row>
    <row r="4510" spans="1:9" hidden="1" x14ac:dyDescent="0.25">
      <c r="A4510" t="s">
        <v>17</v>
      </c>
      <c r="B4510" t="s">
        <v>131</v>
      </c>
      <c r="C4510">
        <v>202309</v>
      </c>
      <c r="D4510" t="str">
        <f t="shared" si="70"/>
        <v>2023</v>
      </c>
      <c r="E4510">
        <v>2</v>
      </c>
      <c r="F4510">
        <v>168854</v>
      </c>
      <c r="G4510">
        <v>0</v>
      </c>
      <c r="H4510" t="s">
        <v>10</v>
      </c>
      <c r="I4510" t="s">
        <v>11</v>
      </c>
    </row>
    <row r="4511" spans="1:9" hidden="1" x14ac:dyDescent="0.25">
      <c r="A4511" t="s">
        <v>17</v>
      </c>
      <c r="B4511" t="s">
        <v>131</v>
      </c>
      <c r="C4511">
        <v>202310</v>
      </c>
      <c r="D4511" t="str">
        <f t="shared" si="70"/>
        <v>2023</v>
      </c>
      <c r="E4511">
        <v>19</v>
      </c>
      <c r="F4511">
        <v>168854</v>
      </c>
      <c r="G4511">
        <v>0.01</v>
      </c>
      <c r="H4511" t="s">
        <v>10</v>
      </c>
      <c r="I4511" t="s">
        <v>11</v>
      </c>
    </row>
    <row r="4512" spans="1:9" hidden="1" x14ac:dyDescent="0.25">
      <c r="A4512" t="s">
        <v>17</v>
      </c>
      <c r="B4512" t="s">
        <v>131</v>
      </c>
      <c r="C4512">
        <v>202311</v>
      </c>
      <c r="D4512" t="str">
        <f t="shared" si="70"/>
        <v>2023</v>
      </c>
      <c r="E4512">
        <v>35</v>
      </c>
      <c r="F4512">
        <v>168854</v>
      </c>
      <c r="G4512">
        <v>0.02</v>
      </c>
      <c r="H4512" t="s">
        <v>10</v>
      </c>
      <c r="I4512" t="s">
        <v>11</v>
      </c>
    </row>
    <row r="4513" spans="1:9" hidden="1" x14ac:dyDescent="0.25">
      <c r="A4513" t="s">
        <v>17</v>
      </c>
      <c r="B4513" t="s">
        <v>131</v>
      </c>
      <c r="C4513">
        <v>202312</v>
      </c>
      <c r="D4513" t="str">
        <f t="shared" si="70"/>
        <v>2023</v>
      </c>
      <c r="E4513">
        <v>11</v>
      </c>
      <c r="F4513">
        <v>168854</v>
      </c>
      <c r="G4513">
        <v>0.01</v>
      </c>
      <c r="H4513" t="s">
        <v>10</v>
      </c>
      <c r="I4513" t="s">
        <v>11</v>
      </c>
    </row>
    <row r="4514" spans="1:9" hidden="1" x14ac:dyDescent="0.25">
      <c r="A4514" t="s">
        <v>17</v>
      </c>
      <c r="B4514" t="s">
        <v>131</v>
      </c>
      <c r="C4514">
        <v>202401</v>
      </c>
      <c r="D4514" t="str">
        <f t="shared" si="70"/>
        <v>2024</v>
      </c>
      <c r="E4514">
        <v>32</v>
      </c>
      <c r="F4514">
        <v>168854</v>
      </c>
      <c r="G4514">
        <v>0.02</v>
      </c>
      <c r="H4514" t="s">
        <v>10</v>
      </c>
      <c r="I4514" t="s">
        <v>11</v>
      </c>
    </row>
    <row r="4515" spans="1:9" hidden="1" x14ac:dyDescent="0.25">
      <c r="A4515" t="s">
        <v>17</v>
      </c>
      <c r="B4515" t="s">
        <v>131</v>
      </c>
      <c r="C4515">
        <v>202402</v>
      </c>
      <c r="D4515" t="str">
        <f t="shared" si="70"/>
        <v>2024</v>
      </c>
      <c r="E4515">
        <v>7</v>
      </c>
      <c r="F4515">
        <v>168854</v>
      </c>
      <c r="G4515">
        <v>0</v>
      </c>
      <c r="H4515" t="s">
        <v>10</v>
      </c>
      <c r="I4515" t="s">
        <v>11</v>
      </c>
    </row>
    <row r="4516" spans="1:9" hidden="1" x14ac:dyDescent="0.25">
      <c r="A4516" t="s">
        <v>17</v>
      </c>
      <c r="B4516" t="s">
        <v>131</v>
      </c>
      <c r="C4516">
        <v>202403</v>
      </c>
      <c r="D4516" t="str">
        <f t="shared" si="70"/>
        <v>2024</v>
      </c>
      <c r="E4516">
        <v>11</v>
      </c>
      <c r="F4516">
        <v>168854</v>
      </c>
      <c r="G4516">
        <v>0.01</v>
      </c>
      <c r="H4516" t="s">
        <v>10</v>
      </c>
      <c r="I4516" t="s">
        <v>11</v>
      </c>
    </row>
    <row r="4517" spans="1:9" hidden="1" x14ac:dyDescent="0.25">
      <c r="A4517" t="s">
        <v>17</v>
      </c>
      <c r="B4517" t="s">
        <v>131</v>
      </c>
      <c r="C4517">
        <v>202404</v>
      </c>
      <c r="D4517" t="str">
        <f t="shared" si="70"/>
        <v>2024</v>
      </c>
      <c r="E4517">
        <v>62</v>
      </c>
      <c r="F4517">
        <v>168854</v>
      </c>
      <c r="G4517">
        <v>0.04</v>
      </c>
      <c r="H4517" t="s">
        <v>10</v>
      </c>
      <c r="I4517" t="s">
        <v>11</v>
      </c>
    </row>
    <row r="4518" spans="1:9" hidden="1" x14ac:dyDescent="0.25">
      <c r="A4518" t="s">
        <v>17</v>
      </c>
      <c r="B4518" t="s">
        <v>131</v>
      </c>
      <c r="C4518">
        <v>202405</v>
      </c>
      <c r="D4518" t="str">
        <f t="shared" si="70"/>
        <v>2024</v>
      </c>
      <c r="E4518">
        <v>27</v>
      </c>
      <c r="F4518">
        <v>168854</v>
      </c>
      <c r="G4518">
        <v>0.02</v>
      </c>
      <c r="H4518" t="s">
        <v>10</v>
      </c>
      <c r="I4518" t="s">
        <v>11</v>
      </c>
    </row>
    <row r="4519" spans="1:9" hidden="1" x14ac:dyDescent="0.25">
      <c r="A4519" t="s">
        <v>17</v>
      </c>
      <c r="B4519" t="s">
        <v>131</v>
      </c>
      <c r="C4519">
        <v>202406</v>
      </c>
      <c r="D4519" t="str">
        <f t="shared" si="70"/>
        <v>2024</v>
      </c>
      <c r="E4519">
        <v>62</v>
      </c>
      <c r="F4519">
        <v>168854</v>
      </c>
      <c r="G4519">
        <v>0.04</v>
      </c>
      <c r="H4519" t="s">
        <v>10</v>
      </c>
      <c r="I4519" t="s">
        <v>11</v>
      </c>
    </row>
    <row r="4520" spans="1:9" hidden="1" x14ac:dyDescent="0.25">
      <c r="A4520" t="s">
        <v>17</v>
      </c>
      <c r="B4520" t="s">
        <v>131</v>
      </c>
      <c r="C4520">
        <v>202407</v>
      </c>
      <c r="D4520" t="str">
        <f t="shared" si="70"/>
        <v>2024</v>
      </c>
      <c r="E4520">
        <v>500</v>
      </c>
      <c r="F4520">
        <v>168854</v>
      </c>
      <c r="G4520">
        <v>0.3</v>
      </c>
      <c r="H4520" t="s">
        <v>10</v>
      </c>
      <c r="I4520" t="s">
        <v>11</v>
      </c>
    </row>
    <row r="4521" spans="1:9" hidden="1" x14ac:dyDescent="0.25">
      <c r="A4521" t="s">
        <v>17</v>
      </c>
      <c r="B4521" t="s">
        <v>131</v>
      </c>
      <c r="C4521">
        <v>202408</v>
      </c>
      <c r="D4521" t="str">
        <f t="shared" si="70"/>
        <v>2024</v>
      </c>
      <c r="E4521">
        <v>466</v>
      </c>
      <c r="F4521">
        <v>168854</v>
      </c>
      <c r="G4521">
        <v>0.28000000000000003</v>
      </c>
      <c r="H4521" t="s">
        <v>10</v>
      </c>
      <c r="I4521" t="s">
        <v>11</v>
      </c>
    </row>
    <row r="4522" spans="1:9" hidden="1" x14ac:dyDescent="0.25">
      <c r="A4522" t="s">
        <v>17</v>
      </c>
      <c r="B4522" t="s">
        <v>131</v>
      </c>
      <c r="C4522">
        <v>202409</v>
      </c>
      <c r="D4522" t="str">
        <f t="shared" si="70"/>
        <v>2024</v>
      </c>
      <c r="E4522">
        <v>574</v>
      </c>
      <c r="F4522">
        <v>168854</v>
      </c>
      <c r="G4522">
        <v>0.34</v>
      </c>
      <c r="H4522" t="s">
        <v>10</v>
      </c>
      <c r="I4522" t="s">
        <v>11</v>
      </c>
    </row>
    <row r="4523" spans="1:9" hidden="1" x14ac:dyDescent="0.25">
      <c r="A4523" t="s">
        <v>17</v>
      </c>
      <c r="B4523" t="s">
        <v>131</v>
      </c>
      <c r="C4523">
        <v>202410</v>
      </c>
      <c r="D4523" t="str">
        <f t="shared" si="70"/>
        <v>2024</v>
      </c>
      <c r="E4523">
        <v>733</v>
      </c>
      <c r="F4523">
        <v>168854</v>
      </c>
      <c r="G4523">
        <v>0.43</v>
      </c>
      <c r="H4523" t="s">
        <v>10</v>
      </c>
      <c r="I4523" t="s">
        <v>11</v>
      </c>
    </row>
    <row r="4524" spans="1:9" hidden="1" x14ac:dyDescent="0.25">
      <c r="A4524" t="s">
        <v>17</v>
      </c>
      <c r="B4524" t="s">
        <v>131</v>
      </c>
      <c r="C4524">
        <v>202411</v>
      </c>
      <c r="D4524" t="str">
        <f t="shared" si="70"/>
        <v>2024</v>
      </c>
      <c r="E4524">
        <v>489</v>
      </c>
      <c r="F4524">
        <v>168854</v>
      </c>
      <c r="G4524">
        <v>0.28999999999999998</v>
      </c>
      <c r="H4524" t="s">
        <v>10</v>
      </c>
      <c r="I4524" t="s">
        <v>11</v>
      </c>
    </row>
    <row r="4525" spans="1:9" hidden="1" x14ac:dyDescent="0.25">
      <c r="A4525" t="s">
        <v>17</v>
      </c>
      <c r="B4525" t="s">
        <v>131</v>
      </c>
      <c r="C4525">
        <v>202412</v>
      </c>
      <c r="D4525" t="str">
        <f t="shared" si="70"/>
        <v>2024</v>
      </c>
      <c r="E4525">
        <v>553</v>
      </c>
      <c r="F4525">
        <v>168854</v>
      </c>
      <c r="G4525">
        <v>0.33</v>
      </c>
      <c r="H4525" t="s">
        <v>10</v>
      </c>
      <c r="I4525" t="s">
        <v>11</v>
      </c>
    </row>
    <row r="4526" spans="1:9" x14ac:dyDescent="0.25">
      <c r="A4526" t="s">
        <v>17</v>
      </c>
      <c r="B4526" t="s">
        <v>131</v>
      </c>
      <c r="C4526">
        <v>202501</v>
      </c>
      <c r="D4526" t="str">
        <f t="shared" si="70"/>
        <v>2025</v>
      </c>
      <c r="E4526">
        <v>2043</v>
      </c>
      <c r="F4526">
        <v>168854</v>
      </c>
      <c r="G4526">
        <v>1.21</v>
      </c>
      <c r="H4526" t="s">
        <v>10</v>
      </c>
      <c r="I4526" t="s">
        <v>11</v>
      </c>
    </row>
    <row r="4527" spans="1:9" x14ac:dyDescent="0.25">
      <c r="A4527" t="s">
        <v>17</v>
      </c>
      <c r="B4527" t="s">
        <v>131</v>
      </c>
      <c r="C4527">
        <v>202502</v>
      </c>
      <c r="D4527" t="str">
        <f t="shared" si="70"/>
        <v>2025</v>
      </c>
      <c r="E4527">
        <v>738</v>
      </c>
      <c r="F4527">
        <v>168854</v>
      </c>
      <c r="G4527">
        <v>0.44</v>
      </c>
      <c r="H4527" t="s">
        <v>10</v>
      </c>
      <c r="I4527" t="s">
        <v>11</v>
      </c>
    </row>
    <row r="4528" spans="1:9" x14ac:dyDescent="0.25">
      <c r="A4528" t="s">
        <v>17</v>
      </c>
      <c r="B4528" t="s">
        <v>131</v>
      </c>
      <c r="C4528">
        <v>202503</v>
      </c>
      <c r="D4528" t="str">
        <f t="shared" si="70"/>
        <v>2025</v>
      </c>
      <c r="E4528">
        <v>994</v>
      </c>
      <c r="F4528">
        <v>168854</v>
      </c>
      <c r="G4528">
        <v>0.59</v>
      </c>
      <c r="H4528" t="s">
        <v>10</v>
      </c>
      <c r="I4528" t="s">
        <v>11</v>
      </c>
    </row>
    <row r="4529" spans="1:9" x14ac:dyDescent="0.25">
      <c r="A4529" t="s">
        <v>17</v>
      </c>
      <c r="B4529" t="s">
        <v>131</v>
      </c>
      <c r="C4529">
        <v>202504</v>
      </c>
      <c r="D4529" t="str">
        <f t="shared" si="70"/>
        <v>2025</v>
      </c>
      <c r="E4529">
        <v>1009</v>
      </c>
      <c r="F4529">
        <v>168854</v>
      </c>
      <c r="G4529">
        <v>0.6</v>
      </c>
      <c r="H4529" t="s">
        <v>10</v>
      </c>
      <c r="I4529" t="s">
        <v>11</v>
      </c>
    </row>
    <row r="4530" spans="1:9" x14ac:dyDescent="0.25">
      <c r="A4530" t="s">
        <v>17</v>
      </c>
      <c r="B4530" t="s">
        <v>131</v>
      </c>
      <c r="C4530">
        <v>202505</v>
      </c>
      <c r="D4530" t="str">
        <f t="shared" si="70"/>
        <v>2025</v>
      </c>
      <c r="E4530">
        <v>1395</v>
      </c>
      <c r="F4530">
        <v>168854</v>
      </c>
      <c r="G4530">
        <v>0.83</v>
      </c>
      <c r="H4530" t="s">
        <v>10</v>
      </c>
      <c r="I4530" t="s">
        <v>11</v>
      </c>
    </row>
    <row r="4531" spans="1:9" x14ac:dyDescent="0.25">
      <c r="A4531" t="s">
        <v>17</v>
      </c>
      <c r="B4531" t="s">
        <v>131</v>
      </c>
      <c r="C4531">
        <v>202506</v>
      </c>
      <c r="D4531" t="str">
        <f t="shared" si="70"/>
        <v>2025</v>
      </c>
      <c r="E4531">
        <v>1722</v>
      </c>
      <c r="F4531">
        <v>168854</v>
      </c>
      <c r="G4531">
        <v>1.02</v>
      </c>
      <c r="H4531" t="s">
        <v>10</v>
      </c>
      <c r="I4531" t="s">
        <v>11</v>
      </c>
    </row>
    <row r="4532" spans="1:9" x14ac:dyDescent="0.25">
      <c r="A4532" t="s">
        <v>17</v>
      </c>
      <c r="B4532" t="s">
        <v>131</v>
      </c>
      <c r="C4532">
        <v>202507</v>
      </c>
      <c r="D4532" t="str">
        <f t="shared" si="70"/>
        <v>2025</v>
      </c>
      <c r="E4532">
        <v>1645</v>
      </c>
      <c r="F4532">
        <v>168854</v>
      </c>
      <c r="G4532">
        <v>0.97</v>
      </c>
      <c r="H4532" t="s">
        <v>10</v>
      </c>
      <c r="I4532" t="s">
        <v>11</v>
      </c>
    </row>
    <row r="4533" spans="1:9" x14ac:dyDescent="0.25">
      <c r="A4533" t="s">
        <v>17</v>
      </c>
      <c r="B4533" t="s">
        <v>131</v>
      </c>
      <c r="C4533">
        <v>202508</v>
      </c>
      <c r="D4533" t="str">
        <f t="shared" si="70"/>
        <v>2025</v>
      </c>
      <c r="E4533">
        <v>1653</v>
      </c>
      <c r="F4533">
        <v>168854</v>
      </c>
      <c r="G4533">
        <v>0.98</v>
      </c>
      <c r="H4533" t="s">
        <v>10</v>
      </c>
      <c r="I4533" t="s">
        <v>11</v>
      </c>
    </row>
    <row r="4534" spans="1:9" x14ac:dyDescent="0.25">
      <c r="A4534" t="s">
        <v>17</v>
      </c>
      <c r="B4534" t="s">
        <v>131</v>
      </c>
      <c r="C4534">
        <v>202509</v>
      </c>
      <c r="D4534" t="str">
        <f t="shared" si="70"/>
        <v>2025</v>
      </c>
      <c r="E4534">
        <v>1541</v>
      </c>
      <c r="F4534">
        <v>168854</v>
      </c>
      <c r="G4534">
        <v>0.91</v>
      </c>
      <c r="H4534" t="s">
        <v>10</v>
      </c>
      <c r="I4534" t="s">
        <v>11</v>
      </c>
    </row>
    <row r="4535" spans="1:9" x14ac:dyDescent="0.25">
      <c r="A4535" t="s">
        <v>17</v>
      </c>
      <c r="B4535" t="s">
        <v>131</v>
      </c>
      <c r="C4535">
        <v>202510</v>
      </c>
      <c r="D4535" t="str">
        <f t="shared" si="70"/>
        <v>2025</v>
      </c>
      <c r="E4535">
        <v>1741</v>
      </c>
      <c r="F4535">
        <v>168854</v>
      </c>
      <c r="G4535">
        <v>1.03</v>
      </c>
      <c r="H4535" t="s">
        <v>10</v>
      </c>
      <c r="I4535" t="s">
        <v>11</v>
      </c>
    </row>
    <row r="4536" spans="1:9" x14ac:dyDescent="0.25">
      <c r="A4536" t="s">
        <v>17</v>
      </c>
      <c r="B4536" t="s">
        <v>131</v>
      </c>
      <c r="C4536">
        <v>202511</v>
      </c>
      <c r="D4536" t="str">
        <f t="shared" si="70"/>
        <v>2025</v>
      </c>
      <c r="E4536">
        <v>2143</v>
      </c>
      <c r="F4536">
        <v>168854</v>
      </c>
      <c r="G4536">
        <v>1.27</v>
      </c>
      <c r="H4536" t="s">
        <v>10</v>
      </c>
      <c r="I4536" t="s">
        <v>11</v>
      </c>
    </row>
    <row r="4537" spans="1:9" x14ac:dyDescent="0.25">
      <c r="A4537" t="s">
        <v>17</v>
      </c>
      <c r="B4537" t="s">
        <v>131</v>
      </c>
      <c r="C4537">
        <v>202512</v>
      </c>
      <c r="D4537" t="str">
        <f t="shared" si="70"/>
        <v>2025</v>
      </c>
      <c r="E4537">
        <v>6680</v>
      </c>
      <c r="F4537">
        <v>168854</v>
      </c>
      <c r="G4537">
        <v>3.96</v>
      </c>
      <c r="H4537" t="s">
        <v>10</v>
      </c>
      <c r="I4537" t="s">
        <v>11</v>
      </c>
    </row>
    <row r="4538" spans="1:9" x14ac:dyDescent="0.25">
      <c r="A4538" t="s">
        <v>17</v>
      </c>
      <c r="B4538" t="s">
        <v>131</v>
      </c>
      <c r="C4538">
        <v>202601</v>
      </c>
      <c r="D4538" t="str">
        <f t="shared" si="70"/>
        <v>2026</v>
      </c>
      <c r="E4538">
        <v>86470</v>
      </c>
      <c r="F4538">
        <v>168854</v>
      </c>
      <c r="G4538">
        <v>51.21</v>
      </c>
      <c r="H4538" t="s">
        <v>10</v>
      </c>
      <c r="I4538" t="s">
        <v>11</v>
      </c>
    </row>
    <row r="4539" spans="1:9" x14ac:dyDescent="0.25">
      <c r="A4539" t="s">
        <v>17</v>
      </c>
      <c r="B4539" t="s">
        <v>131</v>
      </c>
      <c r="C4539">
        <v>202602</v>
      </c>
      <c r="D4539" t="str">
        <f t="shared" si="70"/>
        <v>2026</v>
      </c>
      <c r="E4539">
        <v>55486</v>
      </c>
      <c r="F4539">
        <v>168854</v>
      </c>
      <c r="G4539">
        <v>32.86</v>
      </c>
      <c r="H4539" t="s">
        <v>10</v>
      </c>
      <c r="I4539" t="s">
        <v>11</v>
      </c>
    </row>
    <row r="4540" spans="1:9" hidden="1" x14ac:dyDescent="0.25">
      <c r="A4540" t="s">
        <v>17</v>
      </c>
      <c r="B4540" t="s">
        <v>190</v>
      </c>
      <c r="C4540">
        <v>202306</v>
      </c>
      <c r="D4540" t="str">
        <f t="shared" si="70"/>
        <v>2023</v>
      </c>
      <c r="E4540">
        <v>23</v>
      </c>
      <c r="F4540">
        <v>224675</v>
      </c>
      <c r="G4540">
        <v>0.01</v>
      </c>
      <c r="H4540" t="s">
        <v>10</v>
      </c>
      <c r="I4540" t="s">
        <v>11</v>
      </c>
    </row>
    <row r="4541" spans="1:9" hidden="1" x14ac:dyDescent="0.25">
      <c r="A4541" t="s">
        <v>17</v>
      </c>
      <c r="B4541" t="s">
        <v>190</v>
      </c>
      <c r="C4541">
        <v>202307</v>
      </c>
      <c r="D4541" t="str">
        <f t="shared" si="70"/>
        <v>2023</v>
      </c>
      <c r="E4541">
        <v>9</v>
      </c>
      <c r="F4541">
        <v>224675</v>
      </c>
      <c r="G4541">
        <v>0</v>
      </c>
      <c r="H4541" t="s">
        <v>10</v>
      </c>
      <c r="I4541" t="s">
        <v>11</v>
      </c>
    </row>
    <row r="4542" spans="1:9" hidden="1" x14ac:dyDescent="0.25">
      <c r="A4542" t="s">
        <v>17</v>
      </c>
      <c r="B4542" t="s">
        <v>190</v>
      </c>
      <c r="C4542">
        <v>202309</v>
      </c>
      <c r="D4542" t="str">
        <f t="shared" si="70"/>
        <v>2023</v>
      </c>
      <c r="E4542">
        <v>29</v>
      </c>
      <c r="F4542">
        <v>224675</v>
      </c>
      <c r="G4542">
        <v>0.01</v>
      </c>
      <c r="H4542" t="s">
        <v>10</v>
      </c>
      <c r="I4542" t="s">
        <v>11</v>
      </c>
    </row>
    <row r="4543" spans="1:9" hidden="1" x14ac:dyDescent="0.25">
      <c r="A4543" t="s">
        <v>17</v>
      </c>
      <c r="B4543" t="s">
        <v>190</v>
      </c>
      <c r="C4543">
        <v>202310</v>
      </c>
      <c r="D4543" t="str">
        <f t="shared" si="70"/>
        <v>2023</v>
      </c>
      <c r="E4543">
        <v>19</v>
      </c>
      <c r="F4543">
        <v>224675</v>
      </c>
      <c r="G4543">
        <v>0.01</v>
      </c>
      <c r="H4543" t="s">
        <v>10</v>
      </c>
      <c r="I4543" t="s">
        <v>11</v>
      </c>
    </row>
    <row r="4544" spans="1:9" hidden="1" x14ac:dyDescent="0.25">
      <c r="A4544" t="s">
        <v>17</v>
      </c>
      <c r="B4544" t="s">
        <v>190</v>
      </c>
      <c r="C4544">
        <v>202311</v>
      </c>
      <c r="D4544" t="str">
        <f t="shared" si="70"/>
        <v>2023</v>
      </c>
      <c r="E4544">
        <v>6</v>
      </c>
      <c r="F4544">
        <v>224675</v>
      </c>
      <c r="G4544">
        <v>0</v>
      </c>
      <c r="H4544" t="s">
        <v>10</v>
      </c>
      <c r="I4544" t="s">
        <v>11</v>
      </c>
    </row>
    <row r="4545" spans="1:9" hidden="1" x14ac:dyDescent="0.25">
      <c r="A4545" t="s">
        <v>17</v>
      </c>
      <c r="B4545" t="s">
        <v>190</v>
      </c>
      <c r="C4545">
        <v>202312</v>
      </c>
      <c r="D4545" t="str">
        <f t="shared" si="70"/>
        <v>2023</v>
      </c>
      <c r="E4545">
        <v>10</v>
      </c>
      <c r="F4545">
        <v>224675</v>
      </c>
      <c r="G4545">
        <v>0</v>
      </c>
      <c r="H4545" t="s">
        <v>10</v>
      </c>
      <c r="I4545" t="s">
        <v>11</v>
      </c>
    </row>
    <row r="4546" spans="1:9" hidden="1" x14ac:dyDescent="0.25">
      <c r="A4546" t="s">
        <v>17</v>
      </c>
      <c r="B4546" t="s">
        <v>190</v>
      </c>
      <c r="C4546">
        <v>202401</v>
      </c>
      <c r="D4546" t="str">
        <f t="shared" si="70"/>
        <v>2024</v>
      </c>
      <c r="E4546">
        <v>50</v>
      </c>
      <c r="F4546">
        <v>224675</v>
      </c>
      <c r="G4546">
        <v>0.02</v>
      </c>
      <c r="H4546" t="s">
        <v>10</v>
      </c>
      <c r="I4546" t="s">
        <v>11</v>
      </c>
    </row>
    <row r="4547" spans="1:9" hidden="1" x14ac:dyDescent="0.25">
      <c r="A4547" t="s">
        <v>17</v>
      </c>
      <c r="B4547" t="s">
        <v>190</v>
      </c>
      <c r="C4547">
        <v>202402</v>
      </c>
      <c r="D4547" t="str">
        <f t="shared" ref="D4547:D4610" si="71">LEFT(C4547,4)</f>
        <v>2024</v>
      </c>
      <c r="E4547">
        <v>13</v>
      </c>
      <c r="F4547">
        <v>224675</v>
      </c>
      <c r="G4547">
        <v>0.01</v>
      </c>
      <c r="H4547" t="s">
        <v>10</v>
      </c>
      <c r="I4547" t="s">
        <v>11</v>
      </c>
    </row>
    <row r="4548" spans="1:9" hidden="1" x14ac:dyDescent="0.25">
      <c r="A4548" t="s">
        <v>17</v>
      </c>
      <c r="B4548" t="s">
        <v>190</v>
      </c>
      <c r="C4548">
        <v>202403</v>
      </c>
      <c r="D4548" t="str">
        <f t="shared" si="71"/>
        <v>2024</v>
      </c>
      <c r="E4548">
        <v>5</v>
      </c>
      <c r="F4548">
        <v>224675</v>
      </c>
      <c r="G4548">
        <v>0</v>
      </c>
      <c r="H4548" t="s">
        <v>10</v>
      </c>
      <c r="I4548" t="s">
        <v>11</v>
      </c>
    </row>
    <row r="4549" spans="1:9" hidden="1" x14ac:dyDescent="0.25">
      <c r="A4549" t="s">
        <v>17</v>
      </c>
      <c r="B4549" t="s">
        <v>190</v>
      </c>
      <c r="C4549">
        <v>202404</v>
      </c>
      <c r="D4549" t="str">
        <f t="shared" si="71"/>
        <v>2024</v>
      </c>
      <c r="E4549">
        <v>41</v>
      </c>
      <c r="F4549">
        <v>224675</v>
      </c>
      <c r="G4549">
        <v>0.02</v>
      </c>
      <c r="H4549" t="s">
        <v>10</v>
      </c>
      <c r="I4549" t="s">
        <v>11</v>
      </c>
    </row>
    <row r="4550" spans="1:9" hidden="1" x14ac:dyDescent="0.25">
      <c r="A4550" t="s">
        <v>17</v>
      </c>
      <c r="B4550" t="s">
        <v>190</v>
      </c>
      <c r="C4550">
        <v>202405</v>
      </c>
      <c r="D4550" t="str">
        <f t="shared" si="71"/>
        <v>2024</v>
      </c>
      <c r="E4550">
        <v>55</v>
      </c>
      <c r="F4550">
        <v>224675</v>
      </c>
      <c r="G4550">
        <v>0.02</v>
      </c>
      <c r="H4550" t="s">
        <v>10</v>
      </c>
      <c r="I4550" t="s">
        <v>11</v>
      </c>
    </row>
    <row r="4551" spans="1:9" hidden="1" x14ac:dyDescent="0.25">
      <c r="A4551" t="s">
        <v>17</v>
      </c>
      <c r="B4551" t="s">
        <v>190</v>
      </c>
      <c r="C4551">
        <v>202406</v>
      </c>
      <c r="D4551" t="str">
        <f t="shared" si="71"/>
        <v>2024</v>
      </c>
      <c r="E4551">
        <v>21</v>
      </c>
      <c r="F4551">
        <v>224675</v>
      </c>
      <c r="G4551">
        <v>0.01</v>
      </c>
      <c r="H4551" t="s">
        <v>10</v>
      </c>
      <c r="I4551" t="s">
        <v>11</v>
      </c>
    </row>
    <row r="4552" spans="1:9" hidden="1" x14ac:dyDescent="0.25">
      <c r="A4552" t="s">
        <v>17</v>
      </c>
      <c r="B4552" t="s">
        <v>190</v>
      </c>
      <c r="C4552">
        <v>202407</v>
      </c>
      <c r="D4552" t="str">
        <f t="shared" si="71"/>
        <v>2024</v>
      </c>
      <c r="E4552">
        <v>230</v>
      </c>
      <c r="F4552">
        <v>224675</v>
      </c>
      <c r="G4552">
        <v>0.1</v>
      </c>
      <c r="H4552" t="s">
        <v>10</v>
      </c>
      <c r="I4552" t="s">
        <v>11</v>
      </c>
    </row>
    <row r="4553" spans="1:9" hidden="1" x14ac:dyDescent="0.25">
      <c r="A4553" t="s">
        <v>17</v>
      </c>
      <c r="B4553" t="s">
        <v>190</v>
      </c>
      <c r="C4553">
        <v>202408</v>
      </c>
      <c r="D4553" t="str">
        <f t="shared" si="71"/>
        <v>2024</v>
      </c>
      <c r="E4553">
        <v>196</v>
      </c>
      <c r="F4553">
        <v>224675</v>
      </c>
      <c r="G4553">
        <v>0.09</v>
      </c>
      <c r="H4553" t="s">
        <v>10</v>
      </c>
      <c r="I4553" t="s">
        <v>11</v>
      </c>
    </row>
    <row r="4554" spans="1:9" hidden="1" x14ac:dyDescent="0.25">
      <c r="A4554" t="s">
        <v>17</v>
      </c>
      <c r="B4554" t="s">
        <v>190</v>
      </c>
      <c r="C4554">
        <v>202409</v>
      </c>
      <c r="D4554" t="str">
        <f t="shared" si="71"/>
        <v>2024</v>
      </c>
      <c r="E4554">
        <v>320</v>
      </c>
      <c r="F4554">
        <v>224675</v>
      </c>
      <c r="G4554">
        <v>0.14000000000000001</v>
      </c>
      <c r="H4554" t="s">
        <v>10</v>
      </c>
      <c r="I4554" t="s">
        <v>11</v>
      </c>
    </row>
    <row r="4555" spans="1:9" hidden="1" x14ac:dyDescent="0.25">
      <c r="A4555" t="s">
        <v>17</v>
      </c>
      <c r="B4555" t="s">
        <v>190</v>
      </c>
      <c r="C4555">
        <v>202410</v>
      </c>
      <c r="D4555" t="str">
        <f t="shared" si="71"/>
        <v>2024</v>
      </c>
      <c r="E4555">
        <v>367</v>
      </c>
      <c r="F4555">
        <v>224675</v>
      </c>
      <c r="G4555">
        <v>0.16</v>
      </c>
      <c r="H4555" t="s">
        <v>10</v>
      </c>
      <c r="I4555" t="s">
        <v>11</v>
      </c>
    </row>
    <row r="4556" spans="1:9" hidden="1" x14ac:dyDescent="0.25">
      <c r="A4556" t="s">
        <v>17</v>
      </c>
      <c r="B4556" t="s">
        <v>190</v>
      </c>
      <c r="C4556">
        <v>202411</v>
      </c>
      <c r="D4556" t="str">
        <f t="shared" si="71"/>
        <v>2024</v>
      </c>
      <c r="E4556">
        <v>282</v>
      </c>
      <c r="F4556">
        <v>224675</v>
      </c>
      <c r="G4556">
        <v>0.13</v>
      </c>
      <c r="H4556" t="s">
        <v>10</v>
      </c>
      <c r="I4556" t="s">
        <v>11</v>
      </c>
    </row>
    <row r="4557" spans="1:9" hidden="1" x14ac:dyDescent="0.25">
      <c r="A4557" t="s">
        <v>17</v>
      </c>
      <c r="B4557" t="s">
        <v>190</v>
      </c>
      <c r="C4557">
        <v>202412</v>
      </c>
      <c r="D4557" t="str">
        <f t="shared" si="71"/>
        <v>2024</v>
      </c>
      <c r="E4557">
        <v>322</v>
      </c>
      <c r="F4557">
        <v>224675</v>
      </c>
      <c r="G4557">
        <v>0.14000000000000001</v>
      </c>
      <c r="H4557" t="s">
        <v>10</v>
      </c>
      <c r="I4557" t="s">
        <v>11</v>
      </c>
    </row>
    <row r="4558" spans="1:9" x14ac:dyDescent="0.25">
      <c r="A4558" t="s">
        <v>17</v>
      </c>
      <c r="B4558" t="s">
        <v>190</v>
      </c>
      <c r="C4558">
        <v>202501</v>
      </c>
      <c r="D4558" t="str">
        <f t="shared" si="71"/>
        <v>2025</v>
      </c>
      <c r="E4558">
        <v>1235</v>
      </c>
      <c r="F4558">
        <v>224675</v>
      </c>
      <c r="G4558">
        <v>0.55000000000000004</v>
      </c>
      <c r="H4558" t="s">
        <v>10</v>
      </c>
      <c r="I4558" t="s">
        <v>11</v>
      </c>
    </row>
    <row r="4559" spans="1:9" x14ac:dyDescent="0.25">
      <c r="A4559" t="s">
        <v>17</v>
      </c>
      <c r="B4559" t="s">
        <v>190</v>
      </c>
      <c r="C4559">
        <v>202502</v>
      </c>
      <c r="D4559" t="str">
        <f t="shared" si="71"/>
        <v>2025</v>
      </c>
      <c r="E4559">
        <v>1149</v>
      </c>
      <c r="F4559">
        <v>224675</v>
      </c>
      <c r="G4559">
        <v>0.51</v>
      </c>
      <c r="H4559" t="s">
        <v>10</v>
      </c>
      <c r="I4559" t="s">
        <v>11</v>
      </c>
    </row>
    <row r="4560" spans="1:9" x14ac:dyDescent="0.25">
      <c r="A4560" t="s">
        <v>17</v>
      </c>
      <c r="B4560" t="s">
        <v>190</v>
      </c>
      <c r="C4560">
        <v>202503</v>
      </c>
      <c r="D4560" t="str">
        <f t="shared" si="71"/>
        <v>2025</v>
      </c>
      <c r="E4560">
        <v>1230</v>
      </c>
      <c r="F4560">
        <v>224675</v>
      </c>
      <c r="G4560">
        <v>0.55000000000000004</v>
      </c>
      <c r="H4560" t="s">
        <v>10</v>
      </c>
      <c r="I4560" t="s">
        <v>11</v>
      </c>
    </row>
    <row r="4561" spans="1:9" x14ac:dyDescent="0.25">
      <c r="A4561" t="s">
        <v>17</v>
      </c>
      <c r="B4561" t="s">
        <v>190</v>
      </c>
      <c r="C4561">
        <v>202504</v>
      </c>
      <c r="D4561" t="str">
        <f t="shared" si="71"/>
        <v>2025</v>
      </c>
      <c r="E4561">
        <v>1738</v>
      </c>
      <c r="F4561">
        <v>224675</v>
      </c>
      <c r="G4561">
        <v>0.77</v>
      </c>
      <c r="H4561" t="s">
        <v>10</v>
      </c>
      <c r="I4561" t="s">
        <v>11</v>
      </c>
    </row>
    <row r="4562" spans="1:9" x14ac:dyDescent="0.25">
      <c r="A4562" t="s">
        <v>17</v>
      </c>
      <c r="B4562" t="s">
        <v>190</v>
      </c>
      <c r="C4562">
        <v>202505</v>
      </c>
      <c r="D4562" t="str">
        <f t="shared" si="71"/>
        <v>2025</v>
      </c>
      <c r="E4562">
        <v>1706</v>
      </c>
      <c r="F4562">
        <v>224675</v>
      </c>
      <c r="G4562">
        <v>0.76</v>
      </c>
      <c r="H4562" t="s">
        <v>10</v>
      </c>
      <c r="I4562" t="s">
        <v>11</v>
      </c>
    </row>
    <row r="4563" spans="1:9" x14ac:dyDescent="0.25">
      <c r="A4563" t="s">
        <v>17</v>
      </c>
      <c r="B4563" t="s">
        <v>190</v>
      </c>
      <c r="C4563">
        <v>202506</v>
      </c>
      <c r="D4563" t="str">
        <f t="shared" si="71"/>
        <v>2025</v>
      </c>
      <c r="E4563">
        <v>1617</v>
      </c>
      <c r="F4563">
        <v>224675</v>
      </c>
      <c r="G4563">
        <v>0.72</v>
      </c>
      <c r="H4563" t="s">
        <v>10</v>
      </c>
      <c r="I4563" t="s">
        <v>11</v>
      </c>
    </row>
    <row r="4564" spans="1:9" x14ac:dyDescent="0.25">
      <c r="A4564" t="s">
        <v>17</v>
      </c>
      <c r="B4564" t="s">
        <v>190</v>
      </c>
      <c r="C4564">
        <v>202507</v>
      </c>
      <c r="D4564" t="str">
        <f t="shared" si="71"/>
        <v>2025</v>
      </c>
      <c r="E4564">
        <v>2103</v>
      </c>
      <c r="F4564">
        <v>224675</v>
      </c>
      <c r="G4564">
        <v>0.94</v>
      </c>
      <c r="H4564" t="s">
        <v>10</v>
      </c>
      <c r="I4564" t="s">
        <v>11</v>
      </c>
    </row>
    <row r="4565" spans="1:9" x14ac:dyDescent="0.25">
      <c r="A4565" t="s">
        <v>17</v>
      </c>
      <c r="B4565" t="s">
        <v>190</v>
      </c>
      <c r="C4565">
        <v>202508</v>
      </c>
      <c r="D4565" t="str">
        <f t="shared" si="71"/>
        <v>2025</v>
      </c>
      <c r="E4565">
        <v>1808</v>
      </c>
      <c r="F4565">
        <v>224675</v>
      </c>
      <c r="G4565">
        <v>0.8</v>
      </c>
      <c r="H4565" t="s">
        <v>10</v>
      </c>
      <c r="I4565" t="s">
        <v>11</v>
      </c>
    </row>
    <row r="4566" spans="1:9" x14ac:dyDescent="0.25">
      <c r="A4566" t="s">
        <v>17</v>
      </c>
      <c r="B4566" t="s">
        <v>190</v>
      </c>
      <c r="C4566">
        <v>202509</v>
      </c>
      <c r="D4566" t="str">
        <f t="shared" si="71"/>
        <v>2025</v>
      </c>
      <c r="E4566">
        <v>2260</v>
      </c>
      <c r="F4566">
        <v>224675</v>
      </c>
      <c r="G4566">
        <v>1.01</v>
      </c>
      <c r="H4566" t="s">
        <v>10</v>
      </c>
      <c r="I4566" t="s">
        <v>11</v>
      </c>
    </row>
    <row r="4567" spans="1:9" x14ac:dyDescent="0.25">
      <c r="A4567" t="s">
        <v>17</v>
      </c>
      <c r="B4567" t="s">
        <v>190</v>
      </c>
      <c r="C4567">
        <v>202510</v>
      </c>
      <c r="D4567" t="str">
        <f t="shared" si="71"/>
        <v>2025</v>
      </c>
      <c r="E4567">
        <v>3093</v>
      </c>
      <c r="F4567">
        <v>224675</v>
      </c>
      <c r="G4567">
        <v>1.38</v>
      </c>
      <c r="H4567" t="s">
        <v>10</v>
      </c>
      <c r="I4567" t="s">
        <v>11</v>
      </c>
    </row>
    <row r="4568" spans="1:9" x14ac:dyDescent="0.25">
      <c r="A4568" t="s">
        <v>17</v>
      </c>
      <c r="B4568" t="s">
        <v>190</v>
      </c>
      <c r="C4568">
        <v>202511</v>
      </c>
      <c r="D4568" t="str">
        <f t="shared" si="71"/>
        <v>2025</v>
      </c>
      <c r="E4568">
        <v>2955</v>
      </c>
      <c r="F4568">
        <v>224675</v>
      </c>
      <c r="G4568">
        <v>1.32</v>
      </c>
      <c r="H4568" t="s">
        <v>10</v>
      </c>
      <c r="I4568" t="s">
        <v>11</v>
      </c>
    </row>
    <row r="4569" spans="1:9" x14ac:dyDescent="0.25">
      <c r="A4569" t="s">
        <v>17</v>
      </c>
      <c r="B4569" t="s">
        <v>190</v>
      </c>
      <c r="C4569">
        <v>202512</v>
      </c>
      <c r="D4569" t="str">
        <f t="shared" si="71"/>
        <v>2025</v>
      </c>
      <c r="E4569">
        <v>4610</v>
      </c>
      <c r="F4569">
        <v>224675</v>
      </c>
      <c r="G4569">
        <v>2.0499999999999998</v>
      </c>
      <c r="H4569" t="s">
        <v>10</v>
      </c>
      <c r="I4569" t="s">
        <v>11</v>
      </c>
    </row>
    <row r="4570" spans="1:9" x14ac:dyDescent="0.25">
      <c r="A4570" t="s">
        <v>17</v>
      </c>
      <c r="B4570" t="s">
        <v>190</v>
      </c>
      <c r="C4570">
        <v>202601</v>
      </c>
      <c r="D4570" t="str">
        <f t="shared" si="71"/>
        <v>2026</v>
      </c>
      <c r="E4570">
        <v>19331</v>
      </c>
      <c r="F4570">
        <v>224675</v>
      </c>
      <c r="G4570">
        <v>8.6</v>
      </c>
      <c r="H4570" t="s">
        <v>10</v>
      </c>
      <c r="I4570" t="s">
        <v>11</v>
      </c>
    </row>
    <row r="4571" spans="1:9" x14ac:dyDescent="0.25">
      <c r="A4571" t="s">
        <v>17</v>
      </c>
      <c r="B4571" t="s">
        <v>190</v>
      </c>
      <c r="C4571">
        <v>202602</v>
      </c>
      <c r="D4571" t="str">
        <f t="shared" si="71"/>
        <v>2026</v>
      </c>
      <c r="E4571">
        <v>100192</v>
      </c>
      <c r="F4571">
        <v>224675</v>
      </c>
      <c r="G4571">
        <v>44.59</v>
      </c>
      <c r="H4571" t="s">
        <v>10</v>
      </c>
      <c r="I4571" t="s">
        <v>11</v>
      </c>
    </row>
    <row r="4572" spans="1:9" x14ac:dyDescent="0.25">
      <c r="A4572" t="s">
        <v>17</v>
      </c>
      <c r="B4572" t="s">
        <v>190</v>
      </c>
      <c r="C4572">
        <v>202603</v>
      </c>
      <c r="D4572" t="str">
        <f t="shared" si="71"/>
        <v>2026</v>
      </c>
      <c r="E4572">
        <v>77650</v>
      </c>
      <c r="F4572">
        <v>224675</v>
      </c>
      <c r="G4572">
        <v>34.56</v>
      </c>
      <c r="H4572" t="s">
        <v>10</v>
      </c>
      <c r="I4572" t="s">
        <v>11</v>
      </c>
    </row>
    <row r="4573" spans="1:9" hidden="1" x14ac:dyDescent="0.25">
      <c r="A4573" t="s">
        <v>17</v>
      </c>
      <c r="B4573" t="s">
        <v>98</v>
      </c>
      <c r="C4573">
        <v>202303</v>
      </c>
      <c r="D4573" t="str">
        <f t="shared" si="71"/>
        <v>2023</v>
      </c>
      <c r="E4573">
        <v>12</v>
      </c>
      <c r="F4573">
        <v>184300</v>
      </c>
      <c r="G4573">
        <v>0.01</v>
      </c>
      <c r="H4573" t="s">
        <v>10</v>
      </c>
      <c r="I4573" t="s">
        <v>11</v>
      </c>
    </row>
    <row r="4574" spans="1:9" hidden="1" x14ac:dyDescent="0.25">
      <c r="A4574" t="s">
        <v>17</v>
      </c>
      <c r="B4574" t="s">
        <v>98</v>
      </c>
      <c r="C4574">
        <v>202306</v>
      </c>
      <c r="D4574" t="str">
        <f t="shared" si="71"/>
        <v>2023</v>
      </c>
      <c r="E4574">
        <v>23</v>
      </c>
      <c r="F4574">
        <v>184300</v>
      </c>
      <c r="G4574">
        <v>0.01</v>
      </c>
      <c r="H4574" t="s">
        <v>10</v>
      </c>
      <c r="I4574" t="s">
        <v>11</v>
      </c>
    </row>
    <row r="4575" spans="1:9" hidden="1" x14ac:dyDescent="0.25">
      <c r="A4575" t="s">
        <v>17</v>
      </c>
      <c r="B4575" t="s">
        <v>98</v>
      </c>
      <c r="C4575">
        <v>202307</v>
      </c>
      <c r="D4575" t="str">
        <f t="shared" si="71"/>
        <v>2023</v>
      </c>
      <c r="E4575">
        <v>5</v>
      </c>
      <c r="F4575">
        <v>184300</v>
      </c>
      <c r="G4575">
        <v>0</v>
      </c>
      <c r="H4575" t="s">
        <v>10</v>
      </c>
      <c r="I4575" t="s">
        <v>11</v>
      </c>
    </row>
    <row r="4576" spans="1:9" hidden="1" x14ac:dyDescent="0.25">
      <c r="A4576" t="s">
        <v>17</v>
      </c>
      <c r="B4576" t="s">
        <v>98</v>
      </c>
      <c r="C4576">
        <v>202309</v>
      </c>
      <c r="D4576" t="str">
        <f t="shared" si="71"/>
        <v>2023</v>
      </c>
      <c r="E4576">
        <v>2</v>
      </c>
      <c r="F4576">
        <v>184300</v>
      </c>
      <c r="G4576">
        <v>0</v>
      </c>
      <c r="H4576" t="s">
        <v>10</v>
      </c>
      <c r="I4576" t="s">
        <v>11</v>
      </c>
    </row>
    <row r="4577" spans="1:9" hidden="1" x14ac:dyDescent="0.25">
      <c r="A4577" t="s">
        <v>17</v>
      </c>
      <c r="B4577" t="s">
        <v>98</v>
      </c>
      <c r="C4577">
        <v>202311</v>
      </c>
      <c r="D4577" t="str">
        <f t="shared" si="71"/>
        <v>2023</v>
      </c>
      <c r="E4577">
        <v>1</v>
      </c>
      <c r="F4577">
        <v>184300</v>
      </c>
      <c r="G4577">
        <v>0</v>
      </c>
      <c r="H4577" t="s">
        <v>10</v>
      </c>
      <c r="I4577" t="s">
        <v>11</v>
      </c>
    </row>
    <row r="4578" spans="1:9" hidden="1" x14ac:dyDescent="0.25">
      <c r="A4578" t="s">
        <v>17</v>
      </c>
      <c r="B4578" t="s">
        <v>98</v>
      </c>
      <c r="C4578">
        <v>202312</v>
      </c>
      <c r="D4578" t="str">
        <f t="shared" si="71"/>
        <v>2023</v>
      </c>
      <c r="E4578">
        <v>6</v>
      </c>
      <c r="F4578">
        <v>184300</v>
      </c>
      <c r="G4578">
        <v>0</v>
      </c>
      <c r="H4578" t="s">
        <v>10</v>
      </c>
      <c r="I4578" t="s">
        <v>11</v>
      </c>
    </row>
    <row r="4579" spans="1:9" hidden="1" x14ac:dyDescent="0.25">
      <c r="A4579" t="s">
        <v>17</v>
      </c>
      <c r="B4579" t="s">
        <v>98</v>
      </c>
      <c r="C4579">
        <v>202401</v>
      </c>
      <c r="D4579" t="str">
        <f t="shared" si="71"/>
        <v>2024</v>
      </c>
      <c r="E4579">
        <v>1</v>
      </c>
      <c r="F4579">
        <v>184300</v>
      </c>
      <c r="G4579">
        <v>0</v>
      </c>
      <c r="H4579" t="s">
        <v>10</v>
      </c>
      <c r="I4579" t="s">
        <v>11</v>
      </c>
    </row>
    <row r="4580" spans="1:9" hidden="1" x14ac:dyDescent="0.25">
      <c r="A4580" t="s">
        <v>17</v>
      </c>
      <c r="B4580" t="s">
        <v>98</v>
      </c>
      <c r="C4580">
        <v>202402</v>
      </c>
      <c r="D4580" t="str">
        <f t="shared" si="71"/>
        <v>2024</v>
      </c>
      <c r="E4580">
        <v>14</v>
      </c>
      <c r="F4580">
        <v>184300</v>
      </c>
      <c r="G4580">
        <v>0.01</v>
      </c>
      <c r="H4580" t="s">
        <v>10</v>
      </c>
      <c r="I4580" t="s">
        <v>11</v>
      </c>
    </row>
    <row r="4581" spans="1:9" hidden="1" x14ac:dyDescent="0.25">
      <c r="A4581" t="s">
        <v>17</v>
      </c>
      <c r="B4581" t="s">
        <v>98</v>
      </c>
      <c r="C4581">
        <v>202403</v>
      </c>
      <c r="D4581" t="str">
        <f t="shared" si="71"/>
        <v>2024</v>
      </c>
      <c r="E4581">
        <v>3</v>
      </c>
      <c r="F4581">
        <v>184300</v>
      </c>
      <c r="G4581">
        <v>0</v>
      </c>
      <c r="H4581" t="s">
        <v>10</v>
      </c>
      <c r="I4581" t="s">
        <v>11</v>
      </c>
    </row>
    <row r="4582" spans="1:9" hidden="1" x14ac:dyDescent="0.25">
      <c r="A4582" t="s">
        <v>17</v>
      </c>
      <c r="B4582" t="s">
        <v>98</v>
      </c>
      <c r="C4582">
        <v>202404</v>
      </c>
      <c r="D4582" t="str">
        <f t="shared" si="71"/>
        <v>2024</v>
      </c>
      <c r="E4582">
        <v>8</v>
      </c>
      <c r="F4582">
        <v>184300</v>
      </c>
      <c r="G4582">
        <v>0</v>
      </c>
      <c r="H4582" t="s">
        <v>10</v>
      </c>
      <c r="I4582" t="s">
        <v>11</v>
      </c>
    </row>
    <row r="4583" spans="1:9" hidden="1" x14ac:dyDescent="0.25">
      <c r="A4583" t="s">
        <v>17</v>
      </c>
      <c r="B4583" t="s">
        <v>98</v>
      </c>
      <c r="C4583">
        <v>202405</v>
      </c>
      <c r="D4583" t="str">
        <f t="shared" si="71"/>
        <v>2024</v>
      </c>
      <c r="E4583">
        <v>13</v>
      </c>
      <c r="F4583">
        <v>184300</v>
      </c>
      <c r="G4583">
        <v>0.01</v>
      </c>
      <c r="H4583" t="s">
        <v>10</v>
      </c>
      <c r="I4583" t="s">
        <v>11</v>
      </c>
    </row>
    <row r="4584" spans="1:9" hidden="1" x14ac:dyDescent="0.25">
      <c r="A4584" t="s">
        <v>17</v>
      </c>
      <c r="B4584" t="s">
        <v>98</v>
      </c>
      <c r="C4584">
        <v>202406</v>
      </c>
      <c r="D4584" t="str">
        <f t="shared" si="71"/>
        <v>2024</v>
      </c>
      <c r="E4584">
        <v>23</v>
      </c>
      <c r="F4584">
        <v>184300</v>
      </c>
      <c r="G4584">
        <v>0.01</v>
      </c>
      <c r="H4584" t="s">
        <v>10</v>
      </c>
      <c r="I4584" t="s">
        <v>11</v>
      </c>
    </row>
    <row r="4585" spans="1:9" hidden="1" x14ac:dyDescent="0.25">
      <c r="A4585" t="s">
        <v>17</v>
      </c>
      <c r="B4585" t="s">
        <v>98</v>
      </c>
      <c r="C4585">
        <v>202407</v>
      </c>
      <c r="D4585" t="str">
        <f t="shared" si="71"/>
        <v>2024</v>
      </c>
      <c r="E4585">
        <v>31</v>
      </c>
      <c r="F4585">
        <v>184300</v>
      </c>
      <c r="G4585">
        <v>0.02</v>
      </c>
      <c r="H4585" t="s">
        <v>10</v>
      </c>
      <c r="I4585" t="s">
        <v>11</v>
      </c>
    </row>
    <row r="4586" spans="1:9" hidden="1" x14ac:dyDescent="0.25">
      <c r="A4586" t="s">
        <v>17</v>
      </c>
      <c r="B4586" t="s">
        <v>98</v>
      </c>
      <c r="C4586">
        <v>202408</v>
      </c>
      <c r="D4586" t="str">
        <f t="shared" si="71"/>
        <v>2024</v>
      </c>
      <c r="E4586">
        <v>137</v>
      </c>
      <c r="F4586">
        <v>184300</v>
      </c>
      <c r="G4586">
        <v>7.0000000000000007E-2</v>
      </c>
      <c r="H4586" t="s">
        <v>10</v>
      </c>
      <c r="I4586" t="s">
        <v>11</v>
      </c>
    </row>
    <row r="4587" spans="1:9" hidden="1" x14ac:dyDescent="0.25">
      <c r="A4587" t="s">
        <v>17</v>
      </c>
      <c r="B4587" t="s">
        <v>98</v>
      </c>
      <c r="C4587">
        <v>202409</v>
      </c>
      <c r="D4587" t="str">
        <f t="shared" si="71"/>
        <v>2024</v>
      </c>
      <c r="E4587">
        <v>272</v>
      </c>
      <c r="F4587">
        <v>184300</v>
      </c>
      <c r="G4587">
        <v>0.15</v>
      </c>
      <c r="H4587" t="s">
        <v>10</v>
      </c>
      <c r="I4587" t="s">
        <v>11</v>
      </c>
    </row>
    <row r="4588" spans="1:9" hidden="1" x14ac:dyDescent="0.25">
      <c r="A4588" t="s">
        <v>17</v>
      </c>
      <c r="B4588" t="s">
        <v>98</v>
      </c>
      <c r="C4588">
        <v>202410</v>
      </c>
      <c r="D4588" t="str">
        <f t="shared" si="71"/>
        <v>2024</v>
      </c>
      <c r="E4588">
        <v>284</v>
      </c>
      <c r="F4588">
        <v>184300</v>
      </c>
      <c r="G4588">
        <v>0.15</v>
      </c>
      <c r="H4588" t="s">
        <v>10</v>
      </c>
      <c r="I4588" t="s">
        <v>11</v>
      </c>
    </row>
    <row r="4589" spans="1:9" hidden="1" x14ac:dyDescent="0.25">
      <c r="A4589" t="s">
        <v>17</v>
      </c>
      <c r="B4589" t="s">
        <v>98</v>
      </c>
      <c r="C4589">
        <v>202411</v>
      </c>
      <c r="D4589" t="str">
        <f t="shared" si="71"/>
        <v>2024</v>
      </c>
      <c r="E4589">
        <v>233</v>
      </c>
      <c r="F4589">
        <v>184300</v>
      </c>
      <c r="G4589">
        <v>0.13</v>
      </c>
      <c r="H4589" t="s">
        <v>10</v>
      </c>
      <c r="I4589" t="s">
        <v>11</v>
      </c>
    </row>
    <row r="4590" spans="1:9" hidden="1" x14ac:dyDescent="0.25">
      <c r="A4590" t="s">
        <v>17</v>
      </c>
      <c r="B4590" t="s">
        <v>98</v>
      </c>
      <c r="C4590">
        <v>202412</v>
      </c>
      <c r="D4590" t="str">
        <f t="shared" si="71"/>
        <v>2024</v>
      </c>
      <c r="E4590">
        <v>234</v>
      </c>
      <c r="F4590">
        <v>184300</v>
      </c>
      <c r="G4590">
        <v>0.13</v>
      </c>
      <c r="H4590" t="s">
        <v>10</v>
      </c>
      <c r="I4590" t="s">
        <v>11</v>
      </c>
    </row>
    <row r="4591" spans="1:9" x14ac:dyDescent="0.25">
      <c r="A4591" t="s">
        <v>17</v>
      </c>
      <c r="B4591" t="s">
        <v>98</v>
      </c>
      <c r="C4591">
        <v>202501</v>
      </c>
      <c r="D4591" t="str">
        <f t="shared" si="71"/>
        <v>2025</v>
      </c>
      <c r="E4591">
        <v>807</v>
      </c>
      <c r="F4591">
        <v>184300</v>
      </c>
      <c r="G4591">
        <v>0.44</v>
      </c>
      <c r="H4591" t="s">
        <v>10</v>
      </c>
      <c r="I4591" t="s">
        <v>11</v>
      </c>
    </row>
    <row r="4592" spans="1:9" x14ac:dyDescent="0.25">
      <c r="A4592" t="s">
        <v>17</v>
      </c>
      <c r="B4592" t="s">
        <v>98</v>
      </c>
      <c r="C4592">
        <v>202502</v>
      </c>
      <c r="D4592" t="str">
        <f t="shared" si="71"/>
        <v>2025</v>
      </c>
      <c r="E4592">
        <v>560</v>
      </c>
      <c r="F4592">
        <v>184300</v>
      </c>
      <c r="G4592">
        <v>0.3</v>
      </c>
      <c r="H4592" t="s">
        <v>10</v>
      </c>
      <c r="I4592" t="s">
        <v>11</v>
      </c>
    </row>
    <row r="4593" spans="1:9" x14ac:dyDescent="0.25">
      <c r="A4593" t="s">
        <v>17</v>
      </c>
      <c r="B4593" t="s">
        <v>98</v>
      </c>
      <c r="C4593">
        <v>202503</v>
      </c>
      <c r="D4593" t="str">
        <f t="shared" si="71"/>
        <v>2025</v>
      </c>
      <c r="E4593">
        <v>854</v>
      </c>
      <c r="F4593">
        <v>184300</v>
      </c>
      <c r="G4593">
        <v>0.46</v>
      </c>
      <c r="H4593" t="s">
        <v>10</v>
      </c>
      <c r="I4593" t="s">
        <v>11</v>
      </c>
    </row>
    <row r="4594" spans="1:9" x14ac:dyDescent="0.25">
      <c r="A4594" t="s">
        <v>17</v>
      </c>
      <c r="B4594" t="s">
        <v>98</v>
      </c>
      <c r="C4594">
        <v>202504</v>
      </c>
      <c r="D4594" t="str">
        <f t="shared" si="71"/>
        <v>2025</v>
      </c>
      <c r="E4594">
        <v>1073</v>
      </c>
      <c r="F4594">
        <v>184300</v>
      </c>
      <c r="G4594">
        <v>0.57999999999999996</v>
      </c>
      <c r="H4594" t="s">
        <v>10</v>
      </c>
      <c r="I4594" t="s">
        <v>11</v>
      </c>
    </row>
    <row r="4595" spans="1:9" x14ac:dyDescent="0.25">
      <c r="A4595" t="s">
        <v>17</v>
      </c>
      <c r="B4595" t="s">
        <v>98</v>
      </c>
      <c r="C4595">
        <v>202505</v>
      </c>
      <c r="D4595" t="str">
        <f t="shared" si="71"/>
        <v>2025</v>
      </c>
      <c r="E4595">
        <v>925</v>
      </c>
      <c r="F4595">
        <v>184300</v>
      </c>
      <c r="G4595">
        <v>0.5</v>
      </c>
      <c r="H4595" t="s">
        <v>10</v>
      </c>
      <c r="I4595" t="s">
        <v>11</v>
      </c>
    </row>
    <row r="4596" spans="1:9" x14ac:dyDescent="0.25">
      <c r="A4596" t="s">
        <v>17</v>
      </c>
      <c r="B4596" t="s">
        <v>98</v>
      </c>
      <c r="C4596">
        <v>202506</v>
      </c>
      <c r="D4596" t="str">
        <f t="shared" si="71"/>
        <v>2025</v>
      </c>
      <c r="E4596">
        <v>1171</v>
      </c>
      <c r="F4596">
        <v>184300</v>
      </c>
      <c r="G4596">
        <v>0.64</v>
      </c>
      <c r="H4596" t="s">
        <v>10</v>
      </c>
      <c r="I4596" t="s">
        <v>11</v>
      </c>
    </row>
    <row r="4597" spans="1:9" x14ac:dyDescent="0.25">
      <c r="A4597" t="s">
        <v>17</v>
      </c>
      <c r="B4597" t="s">
        <v>98</v>
      </c>
      <c r="C4597">
        <v>202507</v>
      </c>
      <c r="D4597" t="str">
        <f t="shared" si="71"/>
        <v>2025</v>
      </c>
      <c r="E4597">
        <v>1215</v>
      </c>
      <c r="F4597">
        <v>184300</v>
      </c>
      <c r="G4597">
        <v>0.66</v>
      </c>
      <c r="H4597" t="s">
        <v>10</v>
      </c>
      <c r="I4597" t="s">
        <v>11</v>
      </c>
    </row>
    <row r="4598" spans="1:9" x14ac:dyDescent="0.25">
      <c r="A4598" t="s">
        <v>17</v>
      </c>
      <c r="B4598" t="s">
        <v>98</v>
      </c>
      <c r="C4598">
        <v>202508</v>
      </c>
      <c r="D4598" t="str">
        <f t="shared" si="71"/>
        <v>2025</v>
      </c>
      <c r="E4598">
        <v>1058</v>
      </c>
      <c r="F4598">
        <v>184300</v>
      </c>
      <c r="G4598">
        <v>0.56999999999999995</v>
      </c>
      <c r="H4598" t="s">
        <v>10</v>
      </c>
      <c r="I4598" t="s">
        <v>11</v>
      </c>
    </row>
    <row r="4599" spans="1:9" x14ac:dyDescent="0.25">
      <c r="A4599" t="s">
        <v>17</v>
      </c>
      <c r="B4599" t="s">
        <v>98</v>
      </c>
      <c r="C4599">
        <v>202509</v>
      </c>
      <c r="D4599" t="str">
        <f t="shared" si="71"/>
        <v>2025</v>
      </c>
      <c r="E4599">
        <v>1322</v>
      </c>
      <c r="F4599">
        <v>184300</v>
      </c>
      <c r="G4599">
        <v>0.72</v>
      </c>
      <c r="H4599" t="s">
        <v>10</v>
      </c>
      <c r="I4599" t="s">
        <v>11</v>
      </c>
    </row>
    <row r="4600" spans="1:9" x14ac:dyDescent="0.25">
      <c r="A4600" t="s">
        <v>17</v>
      </c>
      <c r="B4600" t="s">
        <v>98</v>
      </c>
      <c r="C4600">
        <v>202510</v>
      </c>
      <c r="D4600" t="str">
        <f t="shared" si="71"/>
        <v>2025</v>
      </c>
      <c r="E4600">
        <v>1640</v>
      </c>
      <c r="F4600">
        <v>184300</v>
      </c>
      <c r="G4600">
        <v>0.89</v>
      </c>
      <c r="H4600" t="s">
        <v>10</v>
      </c>
      <c r="I4600" t="s">
        <v>11</v>
      </c>
    </row>
    <row r="4601" spans="1:9" x14ac:dyDescent="0.25">
      <c r="A4601" t="s">
        <v>17</v>
      </c>
      <c r="B4601" t="s">
        <v>98</v>
      </c>
      <c r="C4601">
        <v>202511</v>
      </c>
      <c r="D4601" t="str">
        <f t="shared" si="71"/>
        <v>2025</v>
      </c>
      <c r="E4601">
        <v>2028</v>
      </c>
      <c r="F4601">
        <v>184300</v>
      </c>
      <c r="G4601">
        <v>1.1000000000000001</v>
      </c>
      <c r="H4601" t="s">
        <v>10</v>
      </c>
      <c r="I4601" t="s">
        <v>11</v>
      </c>
    </row>
    <row r="4602" spans="1:9" x14ac:dyDescent="0.25">
      <c r="A4602" t="s">
        <v>17</v>
      </c>
      <c r="B4602" t="s">
        <v>98</v>
      </c>
      <c r="C4602">
        <v>202512</v>
      </c>
      <c r="D4602" t="str">
        <f t="shared" si="71"/>
        <v>2025</v>
      </c>
      <c r="E4602">
        <v>2840</v>
      </c>
      <c r="F4602">
        <v>184300</v>
      </c>
      <c r="G4602">
        <v>1.54</v>
      </c>
      <c r="H4602" t="s">
        <v>10</v>
      </c>
      <c r="I4602" t="s">
        <v>11</v>
      </c>
    </row>
    <row r="4603" spans="1:9" x14ac:dyDescent="0.25">
      <c r="A4603" t="s">
        <v>17</v>
      </c>
      <c r="B4603" t="s">
        <v>98</v>
      </c>
      <c r="C4603">
        <v>202601</v>
      </c>
      <c r="D4603" t="str">
        <f t="shared" si="71"/>
        <v>2026</v>
      </c>
      <c r="E4603">
        <v>5539</v>
      </c>
      <c r="F4603">
        <v>184300</v>
      </c>
      <c r="G4603">
        <v>3.01</v>
      </c>
      <c r="H4603" t="s">
        <v>10</v>
      </c>
      <c r="I4603" t="s">
        <v>11</v>
      </c>
    </row>
    <row r="4604" spans="1:9" x14ac:dyDescent="0.25">
      <c r="A4604" t="s">
        <v>17</v>
      </c>
      <c r="B4604" t="s">
        <v>98</v>
      </c>
      <c r="C4604">
        <v>202602</v>
      </c>
      <c r="D4604" t="str">
        <f t="shared" si="71"/>
        <v>2026</v>
      </c>
      <c r="E4604">
        <v>8222</v>
      </c>
      <c r="F4604">
        <v>184300</v>
      </c>
      <c r="G4604">
        <v>4.46</v>
      </c>
      <c r="H4604" t="s">
        <v>10</v>
      </c>
      <c r="I4604" t="s">
        <v>11</v>
      </c>
    </row>
    <row r="4605" spans="1:9" x14ac:dyDescent="0.25">
      <c r="A4605" t="s">
        <v>17</v>
      </c>
      <c r="B4605" t="s">
        <v>98</v>
      </c>
      <c r="C4605">
        <v>202603</v>
      </c>
      <c r="D4605" t="str">
        <f t="shared" si="71"/>
        <v>2026</v>
      </c>
      <c r="E4605">
        <v>85458</v>
      </c>
      <c r="F4605">
        <v>184300</v>
      </c>
      <c r="G4605">
        <v>46.37</v>
      </c>
      <c r="H4605" t="s">
        <v>10</v>
      </c>
      <c r="I4605" t="s">
        <v>11</v>
      </c>
    </row>
    <row r="4606" spans="1:9" x14ac:dyDescent="0.25">
      <c r="A4606" t="s">
        <v>17</v>
      </c>
      <c r="B4606" t="s">
        <v>98</v>
      </c>
      <c r="C4606">
        <v>202604</v>
      </c>
      <c r="D4606" t="str">
        <f t="shared" si="71"/>
        <v>2026</v>
      </c>
      <c r="E4606">
        <v>68286</v>
      </c>
      <c r="F4606">
        <v>184300</v>
      </c>
      <c r="G4606">
        <v>37.049999999999997</v>
      </c>
      <c r="H4606" t="s">
        <v>10</v>
      </c>
      <c r="I4606" t="s">
        <v>11</v>
      </c>
    </row>
    <row r="4607" spans="1:9" hidden="1" x14ac:dyDescent="0.25">
      <c r="A4607" t="s">
        <v>17</v>
      </c>
      <c r="B4607" t="s">
        <v>59</v>
      </c>
      <c r="C4607">
        <v>202102</v>
      </c>
      <c r="D4607" t="str">
        <f t="shared" si="71"/>
        <v>2021</v>
      </c>
      <c r="E4607">
        <v>5</v>
      </c>
      <c r="F4607">
        <v>109190</v>
      </c>
      <c r="G4607">
        <v>0</v>
      </c>
      <c r="H4607" t="s">
        <v>10</v>
      </c>
      <c r="I4607" t="s">
        <v>11</v>
      </c>
    </row>
    <row r="4608" spans="1:9" hidden="1" x14ac:dyDescent="0.25">
      <c r="A4608" t="s">
        <v>17</v>
      </c>
      <c r="B4608" t="s">
        <v>59</v>
      </c>
      <c r="C4608">
        <v>202104</v>
      </c>
      <c r="D4608" t="str">
        <f t="shared" si="71"/>
        <v>2021</v>
      </c>
      <c r="E4608">
        <v>2</v>
      </c>
      <c r="F4608">
        <v>109190</v>
      </c>
      <c r="G4608">
        <v>0</v>
      </c>
      <c r="H4608" t="s">
        <v>10</v>
      </c>
      <c r="I4608" t="s">
        <v>11</v>
      </c>
    </row>
    <row r="4609" spans="1:9" hidden="1" x14ac:dyDescent="0.25">
      <c r="A4609" t="s">
        <v>17</v>
      </c>
      <c r="B4609" t="s">
        <v>59</v>
      </c>
      <c r="C4609">
        <v>202106</v>
      </c>
      <c r="D4609" t="str">
        <f t="shared" si="71"/>
        <v>2021</v>
      </c>
      <c r="E4609">
        <v>1</v>
      </c>
      <c r="F4609">
        <v>109190</v>
      </c>
      <c r="G4609">
        <v>0</v>
      </c>
      <c r="H4609" t="s">
        <v>10</v>
      </c>
      <c r="I4609" t="s">
        <v>11</v>
      </c>
    </row>
    <row r="4610" spans="1:9" hidden="1" x14ac:dyDescent="0.25">
      <c r="A4610" t="s">
        <v>17</v>
      </c>
      <c r="B4610" t="s">
        <v>59</v>
      </c>
      <c r="C4610">
        <v>202109</v>
      </c>
      <c r="D4610" t="str">
        <f t="shared" si="71"/>
        <v>2021</v>
      </c>
      <c r="E4610">
        <v>13</v>
      </c>
      <c r="F4610">
        <v>109190</v>
      </c>
      <c r="G4610">
        <v>0.01</v>
      </c>
      <c r="H4610" t="s">
        <v>10</v>
      </c>
      <c r="I4610" t="s">
        <v>11</v>
      </c>
    </row>
    <row r="4611" spans="1:9" hidden="1" x14ac:dyDescent="0.25">
      <c r="A4611" t="s">
        <v>17</v>
      </c>
      <c r="B4611" t="s">
        <v>59</v>
      </c>
      <c r="C4611">
        <v>202110</v>
      </c>
      <c r="D4611" t="str">
        <f t="shared" ref="D4611:D4674" si="72">LEFT(C4611,4)</f>
        <v>2021</v>
      </c>
      <c r="E4611">
        <v>4</v>
      </c>
      <c r="F4611">
        <v>109190</v>
      </c>
      <c r="G4611">
        <v>0</v>
      </c>
      <c r="H4611" t="s">
        <v>10</v>
      </c>
      <c r="I4611" t="s">
        <v>11</v>
      </c>
    </row>
    <row r="4612" spans="1:9" hidden="1" x14ac:dyDescent="0.25">
      <c r="A4612" t="s">
        <v>17</v>
      </c>
      <c r="B4612" t="s">
        <v>59</v>
      </c>
      <c r="C4612">
        <v>202111</v>
      </c>
      <c r="D4612" t="str">
        <f t="shared" si="72"/>
        <v>2021</v>
      </c>
      <c r="E4612">
        <v>15</v>
      </c>
      <c r="F4612">
        <v>109190</v>
      </c>
      <c r="G4612">
        <v>0.01</v>
      </c>
      <c r="H4612" t="s">
        <v>10</v>
      </c>
      <c r="I4612" t="s">
        <v>11</v>
      </c>
    </row>
    <row r="4613" spans="1:9" hidden="1" x14ac:dyDescent="0.25">
      <c r="A4613" t="s">
        <v>17</v>
      </c>
      <c r="B4613" t="s">
        <v>59</v>
      </c>
      <c r="C4613">
        <v>202201</v>
      </c>
      <c r="D4613" t="str">
        <f t="shared" si="72"/>
        <v>2022</v>
      </c>
      <c r="E4613">
        <v>421</v>
      </c>
      <c r="F4613">
        <v>109190</v>
      </c>
      <c r="G4613">
        <v>0.39</v>
      </c>
      <c r="H4613" t="s">
        <v>10</v>
      </c>
      <c r="I4613" t="s">
        <v>11</v>
      </c>
    </row>
    <row r="4614" spans="1:9" hidden="1" x14ac:dyDescent="0.25">
      <c r="A4614" t="s">
        <v>17</v>
      </c>
      <c r="B4614" t="s">
        <v>59</v>
      </c>
      <c r="C4614">
        <v>202202</v>
      </c>
      <c r="D4614" t="str">
        <f t="shared" si="72"/>
        <v>2022</v>
      </c>
      <c r="E4614">
        <v>683</v>
      </c>
      <c r="F4614">
        <v>109190</v>
      </c>
      <c r="G4614">
        <v>0.63</v>
      </c>
      <c r="H4614" t="s">
        <v>10</v>
      </c>
      <c r="I4614" t="s">
        <v>11</v>
      </c>
    </row>
    <row r="4615" spans="1:9" hidden="1" x14ac:dyDescent="0.25">
      <c r="A4615" t="s">
        <v>17</v>
      </c>
      <c r="B4615" t="s">
        <v>59</v>
      </c>
      <c r="C4615">
        <v>202203</v>
      </c>
      <c r="D4615" t="str">
        <f t="shared" si="72"/>
        <v>2022</v>
      </c>
      <c r="E4615">
        <v>469</v>
      </c>
      <c r="F4615">
        <v>109190</v>
      </c>
      <c r="G4615">
        <v>0.43</v>
      </c>
      <c r="H4615" t="s">
        <v>10</v>
      </c>
      <c r="I4615" t="s">
        <v>11</v>
      </c>
    </row>
    <row r="4616" spans="1:9" hidden="1" x14ac:dyDescent="0.25">
      <c r="A4616" t="s">
        <v>17</v>
      </c>
      <c r="B4616" t="s">
        <v>59</v>
      </c>
      <c r="C4616">
        <v>202204</v>
      </c>
      <c r="D4616" t="str">
        <f t="shared" si="72"/>
        <v>2022</v>
      </c>
      <c r="E4616">
        <v>697</v>
      </c>
      <c r="F4616">
        <v>109190</v>
      </c>
      <c r="G4616">
        <v>0.64</v>
      </c>
      <c r="H4616" t="s">
        <v>10</v>
      </c>
      <c r="I4616" t="s">
        <v>11</v>
      </c>
    </row>
    <row r="4617" spans="1:9" hidden="1" x14ac:dyDescent="0.25">
      <c r="A4617" t="s">
        <v>17</v>
      </c>
      <c r="B4617" t="s">
        <v>59</v>
      </c>
      <c r="C4617">
        <v>202205</v>
      </c>
      <c r="D4617" t="str">
        <f t="shared" si="72"/>
        <v>2022</v>
      </c>
      <c r="E4617">
        <v>954</v>
      </c>
      <c r="F4617">
        <v>109190</v>
      </c>
      <c r="G4617">
        <v>0.87</v>
      </c>
      <c r="H4617" t="s">
        <v>10</v>
      </c>
      <c r="I4617" t="s">
        <v>11</v>
      </c>
    </row>
    <row r="4618" spans="1:9" hidden="1" x14ac:dyDescent="0.25">
      <c r="A4618" t="s">
        <v>17</v>
      </c>
      <c r="B4618" t="s">
        <v>59</v>
      </c>
      <c r="C4618">
        <v>202206</v>
      </c>
      <c r="D4618" t="str">
        <f t="shared" si="72"/>
        <v>2022</v>
      </c>
      <c r="E4618">
        <v>1056</v>
      </c>
      <c r="F4618">
        <v>109190</v>
      </c>
      <c r="G4618">
        <v>0.97</v>
      </c>
      <c r="H4618" t="s">
        <v>10</v>
      </c>
      <c r="I4618" t="s">
        <v>11</v>
      </c>
    </row>
    <row r="4619" spans="1:9" hidden="1" x14ac:dyDescent="0.25">
      <c r="A4619" t="s">
        <v>17</v>
      </c>
      <c r="B4619" t="s">
        <v>59</v>
      </c>
      <c r="C4619">
        <v>202207</v>
      </c>
      <c r="D4619" t="str">
        <f t="shared" si="72"/>
        <v>2022</v>
      </c>
      <c r="E4619">
        <v>642</v>
      </c>
      <c r="F4619">
        <v>109190</v>
      </c>
      <c r="G4619">
        <v>0.59</v>
      </c>
      <c r="H4619" t="s">
        <v>10</v>
      </c>
      <c r="I4619" t="s">
        <v>11</v>
      </c>
    </row>
    <row r="4620" spans="1:9" hidden="1" x14ac:dyDescent="0.25">
      <c r="A4620" t="s">
        <v>17</v>
      </c>
      <c r="B4620" t="s">
        <v>59</v>
      </c>
      <c r="C4620">
        <v>202208</v>
      </c>
      <c r="D4620" t="str">
        <f t="shared" si="72"/>
        <v>2022</v>
      </c>
      <c r="E4620">
        <v>173</v>
      </c>
      <c r="F4620">
        <v>109190</v>
      </c>
      <c r="G4620">
        <v>0.16</v>
      </c>
      <c r="H4620" t="s">
        <v>10</v>
      </c>
      <c r="I4620" t="s">
        <v>11</v>
      </c>
    </row>
    <row r="4621" spans="1:9" hidden="1" x14ac:dyDescent="0.25">
      <c r="A4621" t="s">
        <v>17</v>
      </c>
      <c r="B4621" t="s">
        <v>59</v>
      </c>
      <c r="C4621">
        <v>202209</v>
      </c>
      <c r="D4621" t="str">
        <f t="shared" si="72"/>
        <v>2022</v>
      </c>
      <c r="E4621">
        <v>220</v>
      </c>
      <c r="F4621">
        <v>109190</v>
      </c>
      <c r="G4621">
        <v>0.2</v>
      </c>
      <c r="H4621" t="s">
        <v>10</v>
      </c>
      <c r="I4621" t="s">
        <v>11</v>
      </c>
    </row>
    <row r="4622" spans="1:9" hidden="1" x14ac:dyDescent="0.25">
      <c r="A4622" t="s">
        <v>17</v>
      </c>
      <c r="B4622" t="s">
        <v>59</v>
      </c>
      <c r="C4622">
        <v>202210</v>
      </c>
      <c r="D4622" t="str">
        <f t="shared" si="72"/>
        <v>2022</v>
      </c>
      <c r="E4622">
        <v>1124</v>
      </c>
      <c r="F4622">
        <v>109190</v>
      </c>
      <c r="G4622">
        <v>1.03</v>
      </c>
      <c r="H4622" t="s">
        <v>10</v>
      </c>
      <c r="I4622" t="s">
        <v>11</v>
      </c>
    </row>
    <row r="4623" spans="1:9" hidden="1" x14ac:dyDescent="0.25">
      <c r="A4623" t="s">
        <v>17</v>
      </c>
      <c r="B4623" t="s">
        <v>59</v>
      </c>
      <c r="C4623">
        <v>202211</v>
      </c>
      <c r="D4623" t="str">
        <f t="shared" si="72"/>
        <v>2022</v>
      </c>
      <c r="E4623">
        <v>956</v>
      </c>
      <c r="F4623">
        <v>109190</v>
      </c>
      <c r="G4623">
        <v>0.88</v>
      </c>
      <c r="H4623" t="s">
        <v>10</v>
      </c>
      <c r="I4623" t="s">
        <v>11</v>
      </c>
    </row>
    <row r="4624" spans="1:9" hidden="1" x14ac:dyDescent="0.25">
      <c r="A4624" t="s">
        <v>17</v>
      </c>
      <c r="B4624" t="s">
        <v>59</v>
      </c>
      <c r="C4624">
        <v>202212</v>
      </c>
      <c r="D4624" t="str">
        <f t="shared" si="72"/>
        <v>2022</v>
      </c>
      <c r="E4624">
        <v>299</v>
      </c>
      <c r="F4624">
        <v>109190</v>
      </c>
      <c r="G4624">
        <v>0.27</v>
      </c>
      <c r="H4624" t="s">
        <v>10</v>
      </c>
      <c r="I4624" t="s">
        <v>11</v>
      </c>
    </row>
    <row r="4625" spans="1:9" hidden="1" x14ac:dyDescent="0.25">
      <c r="A4625" t="s">
        <v>17</v>
      </c>
      <c r="B4625" t="s">
        <v>59</v>
      </c>
      <c r="C4625">
        <v>202301</v>
      </c>
      <c r="D4625" t="str">
        <f t="shared" si="72"/>
        <v>2023</v>
      </c>
      <c r="E4625">
        <v>545</v>
      </c>
      <c r="F4625">
        <v>109190</v>
      </c>
      <c r="G4625">
        <v>0.5</v>
      </c>
      <c r="H4625" t="s">
        <v>10</v>
      </c>
      <c r="I4625" t="s">
        <v>11</v>
      </c>
    </row>
    <row r="4626" spans="1:9" hidden="1" x14ac:dyDescent="0.25">
      <c r="A4626" t="s">
        <v>17</v>
      </c>
      <c r="B4626" t="s">
        <v>59</v>
      </c>
      <c r="C4626">
        <v>202302</v>
      </c>
      <c r="D4626" t="str">
        <f t="shared" si="72"/>
        <v>2023</v>
      </c>
      <c r="E4626">
        <v>1480</v>
      </c>
      <c r="F4626">
        <v>109190</v>
      </c>
      <c r="G4626">
        <v>1.36</v>
      </c>
      <c r="H4626" t="s">
        <v>10</v>
      </c>
      <c r="I4626" t="s">
        <v>11</v>
      </c>
    </row>
    <row r="4627" spans="1:9" hidden="1" x14ac:dyDescent="0.25">
      <c r="A4627" t="s">
        <v>17</v>
      </c>
      <c r="B4627" t="s">
        <v>59</v>
      </c>
      <c r="C4627">
        <v>202303</v>
      </c>
      <c r="D4627" t="str">
        <f t="shared" si="72"/>
        <v>2023</v>
      </c>
      <c r="E4627">
        <v>2452</v>
      </c>
      <c r="F4627">
        <v>109190</v>
      </c>
      <c r="G4627">
        <v>2.25</v>
      </c>
      <c r="H4627" t="s">
        <v>10</v>
      </c>
      <c r="I4627" t="s">
        <v>11</v>
      </c>
    </row>
    <row r="4628" spans="1:9" hidden="1" x14ac:dyDescent="0.25">
      <c r="A4628" t="s">
        <v>17</v>
      </c>
      <c r="B4628" t="s">
        <v>59</v>
      </c>
      <c r="C4628">
        <v>202304</v>
      </c>
      <c r="D4628" t="str">
        <f t="shared" si="72"/>
        <v>2023</v>
      </c>
      <c r="E4628">
        <v>1792</v>
      </c>
      <c r="F4628">
        <v>109190</v>
      </c>
      <c r="G4628">
        <v>1.64</v>
      </c>
      <c r="H4628" t="s">
        <v>10</v>
      </c>
      <c r="I4628" t="s">
        <v>11</v>
      </c>
    </row>
    <row r="4629" spans="1:9" hidden="1" x14ac:dyDescent="0.25">
      <c r="A4629" t="s">
        <v>17</v>
      </c>
      <c r="B4629" t="s">
        <v>59</v>
      </c>
      <c r="C4629">
        <v>202305</v>
      </c>
      <c r="D4629" t="str">
        <f t="shared" si="72"/>
        <v>2023</v>
      </c>
      <c r="E4629">
        <v>922</v>
      </c>
      <c r="F4629">
        <v>109190</v>
      </c>
      <c r="G4629">
        <v>0.84</v>
      </c>
      <c r="H4629" t="s">
        <v>10</v>
      </c>
      <c r="I4629" t="s">
        <v>11</v>
      </c>
    </row>
    <row r="4630" spans="1:9" hidden="1" x14ac:dyDescent="0.25">
      <c r="A4630" t="s">
        <v>17</v>
      </c>
      <c r="B4630" t="s">
        <v>59</v>
      </c>
      <c r="C4630">
        <v>202306</v>
      </c>
      <c r="D4630" t="str">
        <f t="shared" si="72"/>
        <v>2023</v>
      </c>
      <c r="E4630">
        <v>1298</v>
      </c>
      <c r="F4630">
        <v>109190</v>
      </c>
      <c r="G4630">
        <v>1.19</v>
      </c>
      <c r="H4630" t="s">
        <v>10</v>
      </c>
      <c r="I4630" t="s">
        <v>11</v>
      </c>
    </row>
    <row r="4631" spans="1:9" hidden="1" x14ac:dyDescent="0.25">
      <c r="A4631" t="s">
        <v>17</v>
      </c>
      <c r="B4631" t="s">
        <v>59</v>
      </c>
      <c r="C4631">
        <v>202307</v>
      </c>
      <c r="D4631" t="str">
        <f t="shared" si="72"/>
        <v>2023</v>
      </c>
      <c r="E4631">
        <v>2112</v>
      </c>
      <c r="F4631">
        <v>109190</v>
      </c>
      <c r="G4631">
        <v>1.93</v>
      </c>
      <c r="H4631" t="s">
        <v>10</v>
      </c>
      <c r="I4631" t="s">
        <v>11</v>
      </c>
    </row>
    <row r="4632" spans="1:9" hidden="1" x14ac:dyDescent="0.25">
      <c r="A4632" t="s">
        <v>17</v>
      </c>
      <c r="B4632" t="s">
        <v>59</v>
      </c>
      <c r="C4632">
        <v>202308</v>
      </c>
      <c r="D4632" t="str">
        <f t="shared" si="72"/>
        <v>2023</v>
      </c>
      <c r="E4632">
        <v>3805</v>
      </c>
      <c r="F4632">
        <v>109190</v>
      </c>
      <c r="G4632">
        <v>3.48</v>
      </c>
      <c r="H4632" t="s">
        <v>10</v>
      </c>
      <c r="I4632" t="s">
        <v>11</v>
      </c>
    </row>
    <row r="4633" spans="1:9" hidden="1" x14ac:dyDescent="0.25">
      <c r="A4633" t="s">
        <v>17</v>
      </c>
      <c r="B4633" t="s">
        <v>59</v>
      </c>
      <c r="C4633">
        <v>202309</v>
      </c>
      <c r="D4633" t="str">
        <f t="shared" si="72"/>
        <v>2023</v>
      </c>
      <c r="E4633">
        <v>6060</v>
      </c>
      <c r="F4633">
        <v>109190</v>
      </c>
      <c r="G4633">
        <v>5.55</v>
      </c>
      <c r="H4633" t="s">
        <v>10</v>
      </c>
      <c r="I4633" t="s">
        <v>11</v>
      </c>
    </row>
    <row r="4634" spans="1:9" hidden="1" x14ac:dyDescent="0.25">
      <c r="A4634" t="s">
        <v>17</v>
      </c>
      <c r="B4634" t="s">
        <v>59</v>
      </c>
      <c r="C4634">
        <v>202310</v>
      </c>
      <c r="D4634" t="str">
        <f t="shared" si="72"/>
        <v>2023</v>
      </c>
      <c r="E4634">
        <v>46428</v>
      </c>
      <c r="F4634">
        <v>109190</v>
      </c>
      <c r="G4634">
        <v>42.52</v>
      </c>
      <c r="H4634" t="s">
        <v>10</v>
      </c>
      <c r="I4634" t="s">
        <v>11</v>
      </c>
    </row>
    <row r="4635" spans="1:9" hidden="1" x14ac:dyDescent="0.25">
      <c r="A4635" t="s">
        <v>17</v>
      </c>
      <c r="B4635" t="s">
        <v>59</v>
      </c>
      <c r="C4635">
        <v>202311</v>
      </c>
      <c r="D4635" t="str">
        <f t="shared" si="72"/>
        <v>2023</v>
      </c>
      <c r="E4635">
        <v>34562</v>
      </c>
      <c r="F4635">
        <v>109190</v>
      </c>
      <c r="G4635">
        <v>31.65</v>
      </c>
      <c r="H4635" t="s">
        <v>10</v>
      </c>
      <c r="I4635" t="s">
        <v>11</v>
      </c>
    </row>
    <row r="4636" spans="1:9" hidden="1" x14ac:dyDescent="0.25">
      <c r="A4636" t="s">
        <v>17</v>
      </c>
      <c r="B4636" t="s">
        <v>108</v>
      </c>
      <c r="C4636">
        <v>201904</v>
      </c>
      <c r="D4636" t="str">
        <f t="shared" si="72"/>
        <v>2019</v>
      </c>
      <c r="E4636">
        <v>4</v>
      </c>
      <c r="F4636">
        <v>113056</v>
      </c>
      <c r="G4636">
        <v>0</v>
      </c>
      <c r="H4636" t="s">
        <v>10</v>
      </c>
      <c r="I4636" t="s">
        <v>11</v>
      </c>
    </row>
    <row r="4637" spans="1:9" hidden="1" x14ac:dyDescent="0.25">
      <c r="A4637" t="s">
        <v>17</v>
      </c>
      <c r="B4637" t="s">
        <v>108</v>
      </c>
      <c r="C4637">
        <v>202006</v>
      </c>
      <c r="D4637" t="str">
        <f t="shared" si="72"/>
        <v>2020</v>
      </c>
      <c r="E4637">
        <v>2</v>
      </c>
      <c r="F4637">
        <v>113056</v>
      </c>
      <c r="G4637">
        <v>0</v>
      </c>
      <c r="H4637" t="s">
        <v>10</v>
      </c>
      <c r="I4637" t="s">
        <v>11</v>
      </c>
    </row>
    <row r="4638" spans="1:9" hidden="1" x14ac:dyDescent="0.25">
      <c r="A4638" t="s">
        <v>17</v>
      </c>
      <c r="B4638" t="s">
        <v>108</v>
      </c>
      <c r="C4638">
        <v>202102</v>
      </c>
      <c r="D4638" t="str">
        <f t="shared" si="72"/>
        <v>2021</v>
      </c>
      <c r="E4638">
        <v>5</v>
      </c>
      <c r="F4638">
        <v>113056</v>
      </c>
      <c r="G4638">
        <v>0</v>
      </c>
      <c r="H4638" t="s">
        <v>10</v>
      </c>
      <c r="I4638" t="s">
        <v>11</v>
      </c>
    </row>
    <row r="4639" spans="1:9" hidden="1" x14ac:dyDescent="0.25">
      <c r="A4639" t="s">
        <v>17</v>
      </c>
      <c r="B4639" t="s">
        <v>108</v>
      </c>
      <c r="C4639">
        <v>202104</v>
      </c>
      <c r="D4639" t="str">
        <f t="shared" si="72"/>
        <v>2021</v>
      </c>
      <c r="E4639">
        <v>1</v>
      </c>
      <c r="F4639">
        <v>113056</v>
      </c>
      <c r="G4639">
        <v>0</v>
      </c>
      <c r="H4639" t="s">
        <v>10</v>
      </c>
      <c r="I4639" t="s">
        <v>11</v>
      </c>
    </row>
    <row r="4640" spans="1:9" hidden="1" x14ac:dyDescent="0.25">
      <c r="A4640" t="s">
        <v>17</v>
      </c>
      <c r="B4640" t="s">
        <v>108</v>
      </c>
      <c r="C4640">
        <v>202109</v>
      </c>
      <c r="D4640" t="str">
        <f t="shared" si="72"/>
        <v>2021</v>
      </c>
      <c r="E4640">
        <v>16</v>
      </c>
      <c r="F4640">
        <v>113056</v>
      </c>
      <c r="G4640">
        <v>0.01</v>
      </c>
      <c r="H4640" t="s">
        <v>10</v>
      </c>
      <c r="I4640" t="s">
        <v>11</v>
      </c>
    </row>
    <row r="4641" spans="1:9" hidden="1" x14ac:dyDescent="0.25">
      <c r="A4641" t="s">
        <v>17</v>
      </c>
      <c r="B4641" t="s">
        <v>108</v>
      </c>
      <c r="C4641">
        <v>202111</v>
      </c>
      <c r="D4641" t="str">
        <f t="shared" si="72"/>
        <v>2021</v>
      </c>
      <c r="E4641">
        <v>40</v>
      </c>
      <c r="F4641">
        <v>113056</v>
      </c>
      <c r="G4641">
        <v>0.04</v>
      </c>
      <c r="H4641" t="s">
        <v>10</v>
      </c>
      <c r="I4641" t="s">
        <v>11</v>
      </c>
    </row>
    <row r="4642" spans="1:9" hidden="1" x14ac:dyDescent="0.25">
      <c r="A4642" t="s">
        <v>17</v>
      </c>
      <c r="B4642" t="s">
        <v>108</v>
      </c>
      <c r="C4642">
        <v>202112</v>
      </c>
      <c r="D4642" t="str">
        <f t="shared" si="72"/>
        <v>2021</v>
      </c>
      <c r="E4642">
        <v>27</v>
      </c>
      <c r="F4642">
        <v>113056</v>
      </c>
      <c r="G4642">
        <v>0.02</v>
      </c>
      <c r="H4642" t="s">
        <v>10</v>
      </c>
      <c r="I4642" t="s">
        <v>11</v>
      </c>
    </row>
    <row r="4643" spans="1:9" hidden="1" x14ac:dyDescent="0.25">
      <c r="A4643" t="s">
        <v>17</v>
      </c>
      <c r="B4643" t="s">
        <v>108</v>
      </c>
      <c r="C4643">
        <v>202201</v>
      </c>
      <c r="D4643" t="str">
        <f t="shared" si="72"/>
        <v>2022</v>
      </c>
      <c r="E4643">
        <v>81</v>
      </c>
      <c r="F4643">
        <v>113056</v>
      </c>
      <c r="G4643">
        <v>7.0000000000000007E-2</v>
      </c>
      <c r="H4643" t="s">
        <v>10</v>
      </c>
      <c r="I4643" t="s">
        <v>11</v>
      </c>
    </row>
    <row r="4644" spans="1:9" hidden="1" x14ac:dyDescent="0.25">
      <c r="A4644" t="s">
        <v>17</v>
      </c>
      <c r="B4644" t="s">
        <v>108</v>
      </c>
      <c r="C4644">
        <v>202202</v>
      </c>
      <c r="D4644" t="str">
        <f t="shared" si="72"/>
        <v>2022</v>
      </c>
      <c r="E4644">
        <v>166</v>
      </c>
      <c r="F4644">
        <v>113056</v>
      </c>
      <c r="G4644">
        <v>0.15</v>
      </c>
      <c r="H4644" t="s">
        <v>10</v>
      </c>
      <c r="I4644" t="s">
        <v>11</v>
      </c>
    </row>
    <row r="4645" spans="1:9" hidden="1" x14ac:dyDescent="0.25">
      <c r="A4645" t="s">
        <v>17</v>
      </c>
      <c r="B4645" t="s">
        <v>108</v>
      </c>
      <c r="C4645">
        <v>202203</v>
      </c>
      <c r="D4645" t="str">
        <f t="shared" si="72"/>
        <v>2022</v>
      </c>
      <c r="E4645">
        <v>258</v>
      </c>
      <c r="F4645">
        <v>113056</v>
      </c>
      <c r="G4645">
        <v>0.23</v>
      </c>
      <c r="H4645" t="s">
        <v>10</v>
      </c>
      <c r="I4645" t="s">
        <v>11</v>
      </c>
    </row>
    <row r="4646" spans="1:9" hidden="1" x14ac:dyDescent="0.25">
      <c r="A4646" t="s">
        <v>17</v>
      </c>
      <c r="B4646" t="s">
        <v>108</v>
      </c>
      <c r="C4646">
        <v>202204</v>
      </c>
      <c r="D4646" t="str">
        <f t="shared" si="72"/>
        <v>2022</v>
      </c>
      <c r="E4646">
        <v>97</v>
      </c>
      <c r="F4646">
        <v>113056</v>
      </c>
      <c r="G4646">
        <v>0.09</v>
      </c>
      <c r="H4646" t="s">
        <v>10</v>
      </c>
      <c r="I4646" t="s">
        <v>11</v>
      </c>
    </row>
    <row r="4647" spans="1:9" hidden="1" x14ac:dyDescent="0.25">
      <c r="A4647" t="s">
        <v>17</v>
      </c>
      <c r="B4647" t="s">
        <v>108</v>
      </c>
      <c r="C4647">
        <v>202205</v>
      </c>
      <c r="D4647" t="str">
        <f t="shared" si="72"/>
        <v>2022</v>
      </c>
      <c r="E4647">
        <v>123</v>
      </c>
      <c r="F4647">
        <v>113056</v>
      </c>
      <c r="G4647">
        <v>0.11</v>
      </c>
      <c r="H4647" t="s">
        <v>10</v>
      </c>
      <c r="I4647" t="s">
        <v>11</v>
      </c>
    </row>
    <row r="4648" spans="1:9" hidden="1" x14ac:dyDescent="0.25">
      <c r="A4648" t="s">
        <v>17</v>
      </c>
      <c r="B4648" t="s">
        <v>108</v>
      </c>
      <c r="C4648">
        <v>202206</v>
      </c>
      <c r="D4648" t="str">
        <f t="shared" si="72"/>
        <v>2022</v>
      </c>
      <c r="E4648">
        <v>116</v>
      </c>
      <c r="F4648">
        <v>113056</v>
      </c>
      <c r="G4648">
        <v>0.1</v>
      </c>
      <c r="H4648" t="s">
        <v>10</v>
      </c>
      <c r="I4648" t="s">
        <v>11</v>
      </c>
    </row>
    <row r="4649" spans="1:9" hidden="1" x14ac:dyDescent="0.25">
      <c r="A4649" t="s">
        <v>17</v>
      </c>
      <c r="B4649" t="s">
        <v>108</v>
      </c>
      <c r="C4649">
        <v>202207</v>
      </c>
      <c r="D4649" t="str">
        <f t="shared" si="72"/>
        <v>2022</v>
      </c>
      <c r="E4649">
        <v>72</v>
      </c>
      <c r="F4649">
        <v>113056</v>
      </c>
      <c r="G4649">
        <v>0.06</v>
      </c>
      <c r="H4649" t="s">
        <v>10</v>
      </c>
      <c r="I4649" t="s">
        <v>11</v>
      </c>
    </row>
    <row r="4650" spans="1:9" hidden="1" x14ac:dyDescent="0.25">
      <c r="A4650" t="s">
        <v>17</v>
      </c>
      <c r="B4650" t="s">
        <v>108</v>
      </c>
      <c r="C4650">
        <v>202208</v>
      </c>
      <c r="D4650" t="str">
        <f t="shared" si="72"/>
        <v>2022</v>
      </c>
      <c r="E4650">
        <v>151</v>
      </c>
      <c r="F4650">
        <v>113056</v>
      </c>
      <c r="G4650">
        <v>0.13</v>
      </c>
      <c r="H4650" t="s">
        <v>10</v>
      </c>
      <c r="I4650" t="s">
        <v>11</v>
      </c>
    </row>
    <row r="4651" spans="1:9" hidden="1" x14ac:dyDescent="0.25">
      <c r="A4651" t="s">
        <v>17</v>
      </c>
      <c r="B4651" t="s">
        <v>108</v>
      </c>
      <c r="C4651">
        <v>202209</v>
      </c>
      <c r="D4651" t="str">
        <f t="shared" si="72"/>
        <v>2022</v>
      </c>
      <c r="E4651">
        <v>146</v>
      </c>
      <c r="F4651">
        <v>113056</v>
      </c>
      <c r="G4651">
        <v>0.13</v>
      </c>
      <c r="H4651" t="s">
        <v>10</v>
      </c>
      <c r="I4651" t="s">
        <v>11</v>
      </c>
    </row>
    <row r="4652" spans="1:9" hidden="1" x14ac:dyDescent="0.25">
      <c r="A4652" t="s">
        <v>17</v>
      </c>
      <c r="B4652" t="s">
        <v>108</v>
      </c>
      <c r="C4652">
        <v>202210</v>
      </c>
      <c r="D4652" t="str">
        <f t="shared" si="72"/>
        <v>2022</v>
      </c>
      <c r="E4652">
        <v>251</v>
      </c>
      <c r="F4652">
        <v>113056</v>
      </c>
      <c r="G4652">
        <v>0.22</v>
      </c>
      <c r="H4652" t="s">
        <v>10</v>
      </c>
      <c r="I4652" t="s">
        <v>11</v>
      </c>
    </row>
    <row r="4653" spans="1:9" hidden="1" x14ac:dyDescent="0.25">
      <c r="A4653" t="s">
        <v>17</v>
      </c>
      <c r="B4653" t="s">
        <v>108</v>
      </c>
      <c r="C4653">
        <v>202211</v>
      </c>
      <c r="D4653" t="str">
        <f t="shared" si="72"/>
        <v>2022</v>
      </c>
      <c r="E4653">
        <v>241</v>
      </c>
      <c r="F4653">
        <v>113056</v>
      </c>
      <c r="G4653">
        <v>0.21</v>
      </c>
      <c r="H4653" t="s">
        <v>10</v>
      </c>
      <c r="I4653" t="s">
        <v>11</v>
      </c>
    </row>
    <row r="4654" spans="1:9" hidden="1" x14ac:dyDescent="0.25">
      <c r="A4654" t="s">
        <v>17</v>
      </c>
      <c r="B4654" t="s">
        <v>108</v>
      </c>
      <c r="C4654">
        <v>202212</v>
      </c>
      <c r="D4654" t="str">
        <f t="shared" si="72"/>
        <v>2022</v>
      </c>
      <c r="E4654">
        <v>243</v>
      </c>
      <c r="F4654">
        <v>113056</v>
      </c>
      <c r="G4654">
        <v>0.21</v>
      </c>
      <c r="H4654" t="s">
        <v>10</v>
      </c>
      <c r="I4654" t="s">
        <v>11</v>
      </c>
    </row>
    <row r="4655" spans="1:9" hidden="1" x14ac:dyDescent="0.25">
      <c r="A4655" t="s">
        <v>17</v>
      </c>
      <c r="B4655" t="s">
        <v>108</v>
      </c>
      <c r="C4655">
        <v>202301</v>
      </c>
      <c r="D4655" t="str">
        <f t="shared" si="72"/>
        <v>2023</v>
      </c>
      <c r="E4655">
        <v>1582</v>
      </c>
      <c r="F4655">
        <v>113056</v>
      </c>
      <c r="G4655">
        <v>1.4</v>
      </c>
      <c r="H4655" t="s">
        <v>10</v>
      </c>
      <c r="I4655" t="s">
        <v>11</v>
      </c>
    </row>
    <row r="4656" spans="1:9" hidden="1" x14ac:dyDescent="0.25">
      <c r="A4656" t="s">
        <v>17</v>
      </c>
      <c r="B4656" t="s">
        <v>108</v>
      </c>
      <c r="C4656">
        <v>202302</v>
      </c>
      <c r="D4656" t="str">
        <f t="shared" si="72"/>
        <v>2023</v>
      </c>
      <c r="E4656">
        <v>1595</v>
      </c>
      <c r="F4656">
        <v>113056</v>
      </c>
      <c r="G4656">
        <v>1.41</v>
      </c>
      <c r="H4656" t="s">
        <v>10</v>
      </c>
      <c r="I4656" t="s">
        <v>11</v>
      </c>
    </row>
    <row r="4657" spans="1:9" hidden="1" x14ac:dyDescent="0.25">
      <c r="A4657" t="s">
        <v>17</v>
      </c>
      <c r="B4657" t="s">
        <v>108</v>
      </c>
      <c r="C4657">
        <v>202303</v>
      </c>
      <c r="D4657" t="str">
        <f t="shared" si="72"/>
        <v>2023</v>
      </c>
      <c r="E4657">
        <v>1939</v>
      </c>
      <c r="F4657">
        <v>113056</v>
      </c>
      <c r="G4657">
        <v>1.72</v>
      </c>
      <c r="H4657" t="s">
        <v>10</v>
      </c>
      <c r="I4657" t="s">
        <v>11</v>
      </c>
    </row>
    <row r="4658" spans="1:9" hidden="1" x14ac:dyDescent="0.25">
      <c r="A4658" t="s">
        <v>17</v>
      </c>
      <c r="B4658" t="s">
        <v>108</v>
      </c>
      <c r="C4658">
        <v>202304</v>
      </c>
      <c r="D4658" t="str">
        <f t="shared" si="72"/>
        <v>2023</v>
      </c>
      <c r="E4658">
        <v>1770</v>
      </c>
      <c r="F4658">
        <v>113056</v>
      </c>
      <c r="G4658">
        <v>1.57</v>
      </c>
      <c r="H4658" t="s">
        <v>10</v>
      </c>
      <c r="I4658" t="s">
        <v>11</v>
      </c>
    </row>
    <row r="4659" spans="1:9" hidden="1" x14ac:dyDescent="0.25">
      <c r="A4659" t="s">
        <v>17</v>
      </c>
      <c r="B4659" t="s">
        <v>108</v>
      </c>
      <c r="C4659">
        <v>202305</v>
      </c>
      <c r="D4659" t="str">
        <f t="shared" si="72"/>
        <v>2023</v>
      </c>
      <c r="E4659">
        <v>2144</v>
      </c>
      <c r="F4659">
        <v>113056</v>
      </c>
      <c r="G4659">
        <v>1.9</v>
      </c>
      <c r="H4659" t="s">
        <v>10</v>
      </c>
      <c r="I4659" t="s">
        <v>11</v>
      </c>
    </row>
    <row r="4660" spans="1:9" hidden="1" x14ac:dyDescent="0.25">
      <c r="A4660" t="s">
        <v>17</v>
      </c>
      <c r="B4660" t="s">
        <v>108</v>
      </c>
      <c r="C4660">
        <v>202306</v>
      </c>
      <c r="D4660" t="str">
        <f t="shared" si="72"/>
        <v>2023</v>
      </c>
      <c r="E4660">
        <v>2019</v>
      </c>
      <c r="F4660">
        <v>113056</v>
      </c>
      <c r="G4660">
        <v>1.79</v>
      </c>
      <c r="H4660" t="s">
        <v>10</v>
      </c>
      <c r="I4660" t="s">
        <v>11</v>
      </c>
    </row>
    <row r="4661" spans="1:9" hidden="1" x14ac:dyDescent="0.25">
      <c r="A4661" t="s">
        <v>17</v>
      </c>
      <c r="B4661" t="s">
        <v>108</v>
      </c>
      <c r="C4661">
        <v>202307</v>
      </c>
      <c r="D4661" t="str">
        <f t="shared" si="72"/>
        <v>2023</v>
      </c>
      <c r="E4661">
        <v>2415</v>
      </c>
      <c r="F4661">
        <v>113056</v>
      </c>
      <c r="G4661">
        <v>2.14</v>
      </c>
      <c r="H4661" t="s">
        <v>10</v>
      </c>
      <c r="I4661" t="s">
        <v>11</v>
      </c>
    </row>
    <row r="4662" spans="1:9" hidden="1" x14ac:dyDescent="0.25">
      <c r="A4662" t="s">
        <v>17</v>
      </c>
      <c r="B4662" t="s">
        <v>108</v>
      </c>
      <c r="C4662">
        <v>202308</v>
      </c>
      <c r="D4662" t="str">
        <f t="shared" si="72"/>
        <v>2023</v>
      </c>
      <c r="E4662">
        <v>2937</v>
      </c>
      <c r="F4662">
        <v>113056</v>
      </c>
      <c r="G4662">
        <v>2.6</v>
      </c>
      <c r="H4662" t="s">
        <v>10</v>
      </c>
      <c r="I4662" t="s">
        <v>11</v>
      </c>
    </row>
    <row r="4663" spans="1:9" hidden="1" x14ac:dyDescent="0.25">
      <c r="A4663" t="s">
        <v>17</v>
      </c>
      <c r="B4663" t="s">
        <v>108</v>
      </c>
      <c r="C4663">
        <v>202309</v>
      </c>
      <c r="D4663" t="str">
        <f t="shared" si="72"/>
        <v>2023</v>
      </c>
      <c r="E4663">
        <v>3298</v>
      </c>
      <c r="F4663">
        <v>113056</v>
      </c>
      <c r="G4663">
        <v>2.92</v>
      </c>
      <c r="H4663" t="s">
        <v>10</v>
      </c>
      <c r="I4663" t="s">
        <v>11</v>
      </c>
    </row>
    <row r="4664" spans="1:9" hidden="1" x14ac:dyDescent="0.25">
      <c r="A4664" t="s">
        <v>17</v>
      </c>
      <c r="B4664" t="s">
        <v>108</v>
      </c>
      <c r="C4664">
        <v>202310</v>
      </c>
      <c r="D4664" t="str">
        <f t="shared" si="72"/>
        <v>2023</v>
      </c>
      <c r="E4664">
        <v>7726</v>
      </c>
      <c r="F4664">
        <v>113056</v>
      </c>
      <c r="G4664">
        <v>6.83</v>
      </c>
      <c r="H4664" t="s">
        <v>10</v>
      </c>
      <c r="I4664" t="s">
        <v>11</v>
      </c>
    </row>
    <row r="4665" spans="1:9" hidden="1" x14ac:dyDescent="0.25">
      <c r="A4665" t="s">
        <v>17</v>
      </c>
      <c r="B4665" t="s">
        <v>108</v>
      </c>
      <c r="C4665">
        <v>202311</v>
      </c>
      <c r="D4665" t="str">
        <f t="shared" si="72"/>
        <v>2023</v>
      </c>
      <c r="E4665">
        <v>43093</v>
      </c>
      <c r="F4665">
        <v>113056</v>
      </c>
      <c r="G4665">
        <v>38.119999999999997</v>
      </c>
      <c r="H4665" t="s">
        <v>10</v>
      </c>
      <c r="I4665" t="s">
        <v>11</v>
      </c>
    </row>
    <row r="4666" spans="1:9" hidden="1" x14ac:dyDescent="0.25">
      <c r="A4666" t="s">
        <v>17</v>
      </c>
      <c r="B4666" t="s">
        <v>108</v>
      </c>
      <c r="C4666">
        <v>202312</v>
      </c>
      <c r="D4666" t="str">
        <f t="shared" si="72"/>
        <v>2023</v>
      </c>
      <c r="E4666">
        <v>40498</v>
      </c>
      <c r="F4666">
        <v>113056</v>
      </c>
      <c r="G4666">
        <v>35.82</v>
      </c>
      <c r="H4666" t="s">
        <v>10</v>
      </c>
      <c r="I4666" t="s">
        <v>11</v>
      </c>
    </row>
    <row r="4667" spans="1:9" hidden="1" x14ac:dyDescent="0.25">
      <c r="A4667" t="s">
        <v>17</v>
      </c>
      <c r="B4667" t="s">
        <v>206</v>
      </c>
      <c r="C4667">
        <v>201807</v>
      </c>
      <c r="D4667" t="str">
        <f t="shared" si="72"/>
        <v>2018</v>
      </c>
      <c r="E4667">
        <v>6</v>
      </c>
      <c r="F4667">
        <v>89030</v>
      </c>
      <c r="G4667">
        <v>0.01</v>
      </c>
      <c r="H4667" t="s">
        <v>10</v>
      </c>
      <c r="I4667" t="s">
        <v>11</v>
      </c>
    </row>
    <row r="4668" spans="1:9" hidden="1" x14ac:dyDescent="0.25">
      <c r="A4668" t="s">
        <v>17</v>
      </c>
      <c r="B4668" t="s">
        <v>206</v>
      </c>
      <c r="C4668">
        <v>202006</v>
      </c>
      <c r="D4668" t="str">
        <f t="shared" si="72"/>
        <v>2020</v>
      </c>
      <c r="E4668">
        <v>2</v>
      </c>
      <c r="F4668">
        <v>89030</v>
      </c>
      <c r="G4668">
        <v>0</v>
      </c>
      <c r="H4668" t="s">
        <v>10</v>
      </c>
      <c r="I4668" t="s">
        <v>11</v>
      </c>
    </row>
    <row r="4669" spans="1:9" hidden="1" x14ac:dyDescent="0.25">
      <c r="A4669" t="s">
        <v>17</v>
      </c>
      <c r="B4669" t="s">
        <v>206</v>
      </c>
      <c r="C4669">
        <v>202101</v>
      </c>
      <c r="D4669" t="str">
        <f t="shared" si="72"/>
        <v>2021</v>
      </c>
      <c r="E4669">
        <v>32</v>
      </c>
      <c r="F4669">
        <v>89030</v>
      </c>
      <c r="G4669">
        <v>0.04</v>
      </c>
      <c r="H4669" t="s">
        <v>10</v>
      </c>
      <c r="I4669" t="s">
        <v>11</v>
      </c>
    </row>
    <row r="4670" spans="1:9" hidden="1" x14ac:dyDescent="0.25">
      <c r="A4670" t="s">
        <v>17</v>
      </c>
      <c r="B4670" t="s">
        <v>206</v>
      </c>
      <c r="C4670">
        <v>202102</v>
      </c>
      <c r="D4670" t="str">
        <f t="shared" si="72"/>
        <v>2021</v>
      </c>
      <c r="E4670">
        <v>1</v>
      </c>
      <c r="F4670">
        <v>89030</v>
      </c>
      <c r="G4670">
        <v>0</v>
      </c>
      <c r="H4670" t="s">
        <v>10</v>
      </c>
      <c r="I4670" t="s">
        <v>11</v>
      </c>
    </row>
    <row r="4671" spans="1:9" hidden="1" x14ac:dyDescent="0.25">
      <c r="A4671" t="s">
        <v>17</v>
      </c>
      <c r="B4671" t="s">
        <v>206</v>
      </c>
      <c r="C4671">
        <v>202103</v>
      </c>
      <c r="D4671" t="str">
        <f t="shared" si="72"/>
        <v>2021</v>
      </c>
      <c r="E4671">
        <v>7</v>
      </c>
      <c r="F4671">
        <v>89030</v>
      </c>
      <c r="G4671">
        <v>0.01</v>
      </c>
      <c r="H4671" t="s">
        <v>10</v>
      </c>
      <c r="I4671" t="s">
        <v>11</v>
      </c>
    </row>
    <row r="4672" spans="1:9" hidden="1" x14ac:dyDescent="0.25">
      <c r="A4672" t="s">
        <v>17</v>
      </c>
      <c r="B4672" t="s">
        <v>206</v>
      </c>
      <c r="C4672">
        <v>202104</v>
      </c>
      <c r="D4672" t="str">
        <f t="shared" si="72"/>
        <v>2021</v>
      </c>
      <c r="E4672">
        <v>30</v>
      </c>
      <c r="F4672">
        <v>89030</v>
      </c>
      <c r="G4672">
        <v>0.03</v>
      </c>
      <c r="H4672" t="s">
        <v>10</v>
      </c>
      <c r="I4672" t="s">
        <v>11</v>
      </c>
    </row>
    <row r="4673" spans="1:9" hidden="1" x14ac:dyDescent="0.25">
      <c r="A4673" t="s">
        <v>17</v>
      </c>
      <c r="B4673" t="s">
        <v>206</v>
      </c>
      <c r="C4673">
        <v>202105</v>
      </c>
      <c r="D4673" t="str">
        <f t="shared" si="72"/>
        <v>2021</v>
      </c>
      <c r="E4673">
        <v>18</v>
      </c>
      <c r="F4673">
        <v>89030</v>
      </c>
      <c r="G4673">
        <v>0.02</v>
      </c>
      <c r="H4673" t="s">
        <v>10</v>
      </c>
      <c r="I4673" t="s">
        <v>11</v>
      </c>
    </row>
    <row r="4674" spans="1:9" hidden="1" x14ac:dyDescent="0.25">
      <c r="A4674" t="s">
        <v>17</v>
      </c>
      <c r="B4674" t="s">
        <v>206</v>
      </c>
      <c r="C4674">
        <v>202106</v>
      </c>
      <c r="D4674" t="str">
        <f t="shared" si="72"/>
        <v>2021</v>
      </c>
      <c r="E4674">
        <v>32</v>
      </c>
      <c r="F4674">
        <v>89030</v>
      </c>
      <c r="G4674">
        <v>0.04</v>
      </c>
      <c r="H4674" t="s">
        <v>10</v>
      </c>
      <c r="I4674" t="s">
        <v>11</v>
      </c>
    </row>
    <row r="4675" spans="1:9" hidden="1" x14ac:dyDescent="0.25">
      <c r="A4675" t="s">
        <v>17</v>
      </c>
      <c r="B4675" t="s">
        <v>206</v>
      </c>
      <c r="C4675">
        <v>202107</v>
      </c>
      <c r="D4675" t="str">
        <f t="shared" ref="D4675:D4738" si="73">LEFT(C4675,4)</f>
        <v>2021</v>
      </c>
      <c r="E4675">
        <v>23</v>
      </c>
      <c r="F4675">
        <v>89030</v>
      </c>
      <c r="G4675">
        <v>0.03</v>
      </c>
      <c r="H4675" t="s">
        <v>10</v>
      </c>
      <c r="I4675" t="s">
        <v>11</v>
      </c>
    </row>
    <row r="4676" spans="1:9" hidden="1" x14ac:dyDescent="0.25">
      <c r="A4676" t="s">
        <v>17</v>
      </c>
      <c r="B4676" t="s">
        <v>206</v>
      </c>
      <c r="C4676">
        <v>202108</v>
      </c>
      <c r="D4676" t="str">
        <f t="shared" si="73"/>
        <v>2021</v>
      </c>
      <c r="E4676">
        <v>4</v>
      </c>
      <c r="F4676">
        <v>89030</v>
      </c>
      <c r="G4676">
        <v>0</v>
      </c>
      <c r="H4676" t="s">
        <v>10</v>
      </c>
      <c r="I4676" t="s">
        <v>11</v>
      </c>
    </row>
    <row r="4677" spans="1:9" hidden="1" x14ac:dyDescent="0.25">
      <c r="A4677" t="s">
        <v>17</v>
      </c>
      <c r="B4677" t="s">
        <v>206</v>
      </c>
      <c r="C4677">
        <v>202109</v>
      </c>
      <c r="D4677" t="str">
        <f t="shared" si="73"/>
        <v>2021</v>
      </c>
      <c r="E4677">
        <v>10</v>
      </c>
      <c r="F4677">
        <v>89030</v>
      </c>
      <c r="G4677">
        <v>0.01</v>
      </c>
      <c r="H4677" t="s">
        <v>10</v>
      </c>
      <c r="I4677" t="s">
        <v>11</v>
      </c>
    </row>
    <row r="4678" spans="1:9" hidden="1" x14ac:dyDescent="0.25">
      <c r="A4678" t="s">
        <v>17</v>
      </c>
      <c r="B4678" t="s">
        <v>206</v>
      </c>
      <c r="C4678">
        <v>202110</v>
      </c>
      <c r="D4678" t="str">
        <f t="shared" si="73"/>
        <v>2021</v>
      </c>
      <c r="E4678">
        <v>20</v>
      </c>
      <c r="F4678">
        <v>89030</v>
      </c>
      <c r="G4678">
        <v>0.02</v>
      </c>
      <c r="H4678" t="s">
        <v>10</v>
      </c>
      <c r="I4678" t="s">
        <v>11</v>
      </c>
    </row>
    <row r="4679" spans="1:9" hidden="1" x14ac:dyDescent="0.25">
      <c r="A4679" t="s">
        <v>17</v>
      </c>
      <c r="B4679" t="s">
        <v>206</v>
      </c>
      <c r="C4679">
        <v>202111</v>
      </c>
      <c r="D4679" t="str">
        <f t="shared" si="73"/>
        <v>2021</v>
      </c>
      <c r="E4679">
        <v>1</v>
      </c>
      <c r="F4679">
        <v>89030</v>
      </c>
      <c r="G4679">
        <v>0</v>
      </c>
      <c r="H4679" t="s">
        <v>10</v>
      </c>
      <c r="I4679" t="s">
        <v>11</v>
      </c>
    </row>
    <row r="4680" spans="1:9" hidden="1" x14ac:dyDescent="0.25">
      <c r="A4680" t="s">
        <v>17</v>
      </c>
      <c r="B4680" t="s">
        <v>206</v>
      </c>
      <c r="C4680">
        <v>202201</v>
      </c>
      <c r="D4680" t="str">
        <f t="shared" si="73"/>
        <v>2022</v>
      </c>
      <c r="E4680">
        <v>120</v>
      </c>
      <c r="F4680">
        <v>89030</v>
      </c>
      <c r="G4680">
        <v>0.13</v>
      </c>
      <c r="H4680" t="s">
        <v>10</v>
      </c>
      <c r="I4680" t="s">
        <v>11</v>
      </c>
    </row>
    <row r="4681" spans="1:9" hidden="1" x14ac:dyDescent="0.25">
      <c r="A4681" t="s">
        <v>17</v>
      </c>
      <c r="B4681" t="s">
        <v>206</v>
      </c>
      <c r="C4681">
        <v>202202</v>
      </c>
      <c r="D4681" t="str">
        <f t="shared" si="73"/>
        <v>2022</v>
      </c>
      <c r="E4681">
        <v>45</v>
      </c>
      <c r="F4681">
        <v>89030</v>
      </c>
      <c r="G4681">
        <v>0.05</v>
      </c>
      <c r="H4681" t="s">
        <v>10</v>
      </c>
      <c r="I4681" t="s">
        <v>11</v>
      </c>
    </row>
    <row r="4682" spans="1:9" hidden="1" x14ac:dyDescent="0.25">
      <c r="A4682" t="s">
        <v>17</v>
      </c>
      <c r="B4682" t="s">
        <v>206</v>
      </c>
      <c r="C4682">
        <v>202203</v>
      </c>
      <c r="D4682" t="str">
        <f t="shared" si="73"/>
        <v>2022</v>
      </c>
      <c r="E4682">
        <v>162</v>
      </c>
      <c r="F4682">
        <v>89030</v>
      </c>
      <c r="G4682">
        <v>0.18</v>
      </c>
      <c r="H4682" t="s">
        <v>10</v>
      </c>
      <c r="I4682" t="s">
        <v>11</v>
      </c>
    </row>
    <row r="4683" spans="1:9" hidden="1" x14ac:dyDescent="0.25">
      <c r="A4683" t="s">
        <v>17</v>
      </c>
      <c r="B4683" t="s">
        <v>206</v>
      </c>
      <c r="C4683">
        <v>202204</v>
      </c>
      <c r="D4683" t="str">
        <f t="shared" si="73"/>
        <v>2022</v>
      </c>
      <c r="E4683">
        <v>97</v>
      </c>
      <c r="F4683">
        <v>89030</v>
      </c>
      <c r="G4683">
        <v>0.11</v>
      </c>
      <c r="H4683" t="s">
        <v>10</v>
      </c>
      <c r="I4683" t="s">
        <v>11</v>
      </c>
    </row>
    <row r="4684" spans="1:9" hidden="1" x14ac:dyDescent="0.25">
      <c r="A4684" t="s">
        <v>17</v>
      </c>
      <c r="B4684" t="s">
        <v>206</v>
      </c>
      <c r="C4684">
        <v>202205</v>
      </c>
      <c r="D4684" t="str">
        <f t="shared" si="73"/>
        <v>2022</v>
      </c>
      <c r="E4684">
        <v>93</v>
      </c>
      <c r="F4684">
        <v>89030</v>
      </c>
      <c r="G4684">
        <v>0.1</v>
      </c>
      <c r="H4684" t="s">
        <v>10</v>
      </c>
      <c r="I4684" t="s">
        <v>11</v>
      </c>
    </row>
    <row r="4685" spans="1:9" hidden="1" x14ac:dyDescent="0.25">
      <c r="A4685" t="s">
        <v>17</v>
      </c>
      <c r="B4685" t="s">
        <v>206</v>
      </c>
      <c r="C4685">
        <v>202206</v>
      </c>
      <c r="D4685" t="str">
        <f t="shared" si="73"/>
        <v>2022</v>
      </c>
      <c r="E4685">
        <v>209</v>
      </c>
      <c r="F4685">
        <v>89030</v>
      </c>
      <c r="G4685">
        <v>0.23</v>
      </c>
      <c r="H4685" t="s">
        <v>10</v>
      </c>
      <c r="I4685" t="s">
        <v>11</v>
      </c>
    </row>
    <row r="4686" spans="1:9" hidden="1" x14ac:dyDescent="0.25">
      <c r="A4686" t="s">
        <v>17</v>
      </c>
      <c r="B4686" t="s">
        <v>206</v>
      </c>
      <c r="C4686">
        <v>202207</v>
      </c>
      <c r="D4686" t="str">
        <f t="shared" si="73"/>
        <v>2022</v>
      </c>
      <c r="E4686">
        <v>172</v>
      </c>
      <c r="F4686">
        <v>89030</v>
      </c>
      <c r="G4686">
        <v>0.19</v>
      </c>
      <c r="H4686" t="s">
        <v>10</v>
      </c>
      <c r="I4686" t="s">
        <v>11</v>
      </c>
    </row>
    <row r="4687" spans="1:9" hidden="1" x14ac:dyDescent="0.25">
      <c r="A4687" t="s">
        <v>17</v>
      </c>
      <c r="B4687" t="s">
        <v>206</v>
      </c>
      <c r="C4687">
        <v>202208</v>
      </c>
      <c r="D4687" t="str">
        <f t="shared" si="73"/>
        <v>2022</v>
      </c>
      <c r="E4687">
        <v>111</v>
      </c>
      <c r="F4687">
        <v>89030</v>
      </c>
      <c r="G4687">
        <v>0.12</v>
      </c>
      <c r="H4687" t="s">
        <v>10</v>
      </c>
      <c r="I4687" t="s">
        <v>11</v>
      </c>
    </row>
    <row r="4688" spans="1:9" hidden="1" x14ac:dyDescent="0.25">
      <c r="A4688" t="s">
        <v>17</v>
      </c>
      <c r="B4688" t="s">
        <v>206</v>
      </c>
      <c r="C4688">
        <v>202209</v>
      </c>
      <c r="D4688" t="str">
        <f t="shared" si="73"/>
        <v>2022</v>
      </c>
      <c r="E4688">
        <v>107</v>
      </c>
      <c r="F4688">
        <v>89030</v>
      </c>
      <c r="G4688">
        <v>0.12</v>
      </c>
      <c r="H4688" t="s">
        <v>10</v>
      </c>
      <c r="I4688" t="s">
        <v>11</v>
      </c>
    </row>
    <row r="4689" spans="1:9" hidden="1" x14ac:dyDescent="0.25">
      <c r="A4689" t="s">
        <v>17</v>
      </c>
      <c r="B4689" t="s">
        <v>206</v>
      </c>
      <c r="C4689">
        <v>202210</v>
      </c>
      <c r="D4689" t="str">
        <f t="shared" si="73"/>
        <v>2022</v>
      </c>
      <c r="E4689">
        <v>253</v>
      </c>
      <c r="F4689">
        <v>89030</v>
      </c>
      <c r="G4689">
        <v>0.28000000000000003</v>
      </c>
      <c r="H4689" t="s">
        <v>10</v>
      </c>
      <c r="I4689" t="s">
        <v>11</v>
      </c>
    </row>
    <row r="4690" spans="1:9" hidden="1" x14ac:dyDescent="0.25">
      <c r="A4690" t="s">
        <v>17</v>
      </c>
      <c r="B4690" t="s">
        <v>206</v>
      </c>
      <c r="C4690">
        <v>202211</v>
      </c>
      <c r="D4690" t="str">
        <f t="shared" si="73"/>
        <v>2022</v>
      </c>
      <c r="E4690">
        <v>233</v>
      </c>
      <c r="F4690">
        <v>89030</v>
      </c>
      <c r="G4690">
        <v>0.26</v>
      </c>
      <c r="H4690" t="s">
        <v>10</v>
      </c>
      <c r="I4690" t="s">
        <v>11</v>
      </c>
    </row>
    <row r="4691" spans="1:9" hidden="1" x14ac:dyDescent="0.25">
      <c r="A4691" t="s">
        <v>17</v>
      </c>
      <c r="B4691" t="s">
        <v>206</v>
      </c>
      <c r="C4691">
        <v>202212</v>
      </c>
      <c r="D4691" t="str">
        <f t="shared" si="73"/>
        <v>2022</v>
      </c>
      <c r="E4691">
        <v>374</v>
      </c>
      <c r="F4691">
        <v>89030</v>
      </c>
      <c r="G4691">
        <v>0.42</v>
      </c>
      <c r="H4691" t="s">
        <v>10</v>
      </c>
      <c r="I4691" t="s">
        <v>11</v>
      </c>
    </row>
    <row r="4692" spans="1:9" hidden="1" x14ac:dyDescent="0.25">
      <c r="A4692" t="s">
        <v>17</v>
      </c>
      <c r="B4692" t="s">
        <v>206</v>
      </c>
      <c r="C4692">
        <v>202301</v>
      </c>
      <c r="D4692" t="str">
        <f t="shared" si="73"/>
        <v>2023</v>
      </c>
      <c r="E4692">
        <v>600</v>
      </c>
      <c r="F4692">
        <v>89030</v>
      </c>
      <c r="G4692">
        <v>0.67</v>
      </c>
      <c r="H4692" t="s">
        <v>10</v>
      </c>
      <c r="I4692" t="s">
        <v>11</v>
      </c>
    </row>
    <row r="4693" spans="1:9" hidden="1" x14ac:dyDescent="0.25">
      <c r="A4693" t="s">
        <v>17</v>
      </c>
      <c r="B4693" t="s">
        <v>206</v>
      </c>
      <c r="C4693">
        <v>202302</v>
      </c>
      <c r="D4693" t="str">
        <f t="shared" si="73"/>
        <v>2023</v>
      </c>
      <c r="E4693">
        <v>639</v>
      </c>
      <c r="F4693">
        <v>89030</v>
      </c>
      <c r="G4693">
        <v>0.72</v>
      </c>
      <c r="H4693" t="s">
        <v>10</v>
      </c>
      <c r="I4693" t="s">
        <v>11</v>
      </c>
    </row>
    <row r="4694" spans="1:9" hidden="1" x14ac:dyDescent="0.25">
      <c r="A4694" t="s">
        <v>17</v>
      </c>
      <c r="B4694" t="s">
        <v>206</v>
      </c>
      <c r="C4694">
        <v>202303</v>
      </c>
      <c r="D4694" t="str">
        <f t="shared" si="73"/>
        <v>2023</v>
      </c>
      <c r="E4694">
        <v>789</v>
      </c>
      <c r="F4694">
        <v>89030</v>
      </c>
      <c r="G4694">
        <v>0.89</v>
      </c>
      <c r="H4694" t="s">
        <v>10</v>
      </c>
      <c r="I4694" t="s">
        <v>11</v>
      </c>
    </row>
    <row r="4695" spans="1:9" hidden="1" x14ac:dyDescent="0.25">
      <c r="A4695" t="s">
        <v>17</v>
      </c>
      <c r="B4695" t="s">
        <v>206</v>
      </c>
      <c r="C4695">
        <v>202304</v>
      </c>
      <c r="D4695" t="str">
        <f t="shared" si="73"/>
        <v>2023</v>
      </c>
      <c r="E4695">
        <v>714</v>
      </c>
      <c r="F4695">
        <v>89030</v>
      </c>
      <c r="G4695">
        <v>0.8</v>
      </c>
      <c r="H4695" t="s">
        <v>10</v>
      </c>
      <c r="I4695" t="s">
        <v>11</v>
      </c>
    </row>
    <row r="4696" spans="1:9" hidden="1" x14ac:dyDescent="0.25">
      <c r="A4696" t="s">
        <v>17</v>
      </c>
      <c r="B4696" t="s">
        <v>206</v>
      </c>
      <c r="C4696">
        <v>202305</v>
      </c>
      <c r="D4696" t="str">
        <f t="shared" si="73"/>
        <v>2023</v>
      </c>
      <c r="E4696">
        <v>866</v>
      </c>
      <c r="F4696">
        <v>89030</v>
      </c>
      <c r="G4696">
        <v>0.97</v>
      </c>
      <c r="H4696" t="s">
        <v>10</v>
      </c>
      <c r="I4696" t="s">
        <v>11</v>
      </c>
    </row>
    <row r="4697" spans="1:9" hidden="1" x14ac:dyDescent="0.25">
      <c r="A4697" t="s">
        <v>17</v>
      </c>
      <c r="B4697" t="s">
        <v>206</v>
      </c>
      <c r="C4697">
        <v>202306</v>
      </c>
      <c r="D4697" t="str">
        <f t="shared" si="73"/>
        <v>2023</v>
      </c>
      <c r="E4697">
        <v>1111</v>
      </c>
      <c r="F4697">
        <v>89030</v>
      </c>
      <c r="G4697">
        <v>1.25</v>
      </c>
      <c r="H4697" t="s">
        <v>10</v>
      </c>
      <c r="I4697" t="s">
        <v>11</v>
      </c>
    </row>
    <row r="4698" spans="1:9" hidden="1" x14ac:dyDescent="0.25">
      <c r="A4698" t="s">
        <v>17</v>
      </c>
      <c r="B4698" t="s">
        <v>206</v>
      </c>
      <c r="C4698">
        <v>202307</v>
      </c>
      <c r="D4698" t="str">
        <f t="shared" si="73"/>
        <v>2023</v>
      </c>
      <c r="E4698">
        <v>1363</v>
      </c>
      <c r="F4698">
        <v>89030</v>
      </c>
      <c r="G4698">
        <v>1.53</v>
      </c>
      <c r="H4698" t="s">
        <v>10</v>
      </c>
      <c r="I4698" t="s">
        <v>11</v>
      </c>
    </row>
    <row r="4699" spans="1:9" hidden="1" x14ac:dyDescent="0.25">
      <c r="A4699" t="s">
        <v>17</v>
      </c>
      <c r="B4699" t="s">
        <v>206</v>
      </c>
      <c r="C4699">
        <v>202308</v>
      </c>
      <c r="D4699" t="str">
        <f t="shared" si="73"/>
        <v>2023</v>
      </c>
      <c r="E4699">
        <v>1732</v>
      </c>
      <c r="F4699">
        <v>89030</v>
      </c>
      <c r="G4699">
        <v>1.95</v>
      </c>
      <c r="H4699" t="s">
        <v>10</v>
      </c>
      <c r="I4699" t="s">
        <v>11</v>
      </c>
    </row>
    <row r="4700" spans="1:9" hidden="1" x14ac:dyDescent="0.25">
      <c r="A4700" t="s">
        <v>17</v>
      </c>
      <c r="B4700" t="s">
        <v>206</v>
      </c>
      <c r="C4700">
        <v>202309</v>
      </c>
      <c r="D4700" t="str">
        <f t="shared" si="73"/>
        <v>2023</v>
      </c>
      <c r="E4700">
        <v>1639</v>
      </c>
      <c r="F4700">
        <v>89030</v>
      </c>
      <c r="G4700">
        <v>1.84</v>
      </c>
      <c r="H4700" t="s">
        <v>10</v>
      </c>
      <c r="I4700" t="s">
        <v>11</v>
      </c>
    </row>
    <row r="4701" spans="1:9" hidden="1" x14ac:dyDescent="0.25">
      <c r="A4701" t="s">
        <v>17</v>
      </c>
      <c r="B4701" t="s">
        <v>206</v>
      </c>
      <c r="C4701">
        <v>202310</v>
      </c>
      <c r="D4701" t="str">
        <f t="shared" si="73"/>
        <v>2023</v>
      </c>
      <c r="E4701">
        <v>3928</v>
      </c>
      <c r="F4701">
        <v>89030</v>
      </c>
      <c r="G4701">
        <v>4.41</v>
      </c>
      <c r="H4701" t="s">
        <v>10</v>
      </c>
      <c r="I4701" t="s">
        <v>11</v>
      </c>
    </row>
    <row r="4702" spans="1:9" hidden="1" x14ac:dyDescent="0.25">
      <c r="A4702" t="s">
        <v>17</v>
      </c>
      <c r="B4702" t="s">
        <v>206</v>
      </c>
      <c r="C4702">
        <v>202311</v>
      </c>
      <c r="D4702" t="str">
        <f t="shared" si="73"/>
        <v>2023</v>
      </c>
      <c r="E4702">
        <v>5140</v>
      </c>
      <c r="F4702">
        <v>89030</v>
      </c>
      <c r="G4702">
        <v>5.77</v>
      </c>
      <c r="H4702" t="s">
        <v>10</v>
      </c>
      <c r="I4702" t="s">
        <v>11</v>
      </c>
    </row>
    <row r="4703" spans="1:9" hidden="1" x14ac:dyDescent="0.25">
      <c r="A4703" t="s">
        <v>17</v>
      </c>
      <c r="B4703" t="s">
        <v>206</v>
      </c>
      <c r="C4703">
        <v>202312</v>
      </c>
      <c r="D4703" t="str">
        <f t="shared" si="73"/>
        <v>2023</v>
      </c>
      <c r="E4703">
        <v>37571</v>
      </c>
      <c r="F4703">
        <v>89030</v>
      </c>
      <c r="G4703">
        <v>42.2</v>
      </c>
      <c r="H4703" t="s">
        <v>10</v>
      </c>
      <c r="I4703" t="s">
        <v>11</v>
      </c>
    </row>
    <row r="4704" spans="1:9" hidden="1" x14ac:dyDescent="0.25">
      <c r="A4704" t="s">
        <v>17</v>
      </c>
      <c r="B4704" t="s">
        <v>206</v>
      </c>
      <c r="C4704">
        <v>202401</v>
      </c>
      <c r="D4704" t="str">
        <f t="shared" si="73"/>
        <v>2024</v>
      </c>
      <c r="E4704">
        <v>30776</v>
      </c>
      <c r="F4704">
        <v>89030</v>
      </c>
      <c r="G4704">
        <v>34.57</v>
      </c>
      <c r="H4704" t="s">
        <v>10</v>
      </c>
      <c r="I4704" t="s">
        <v>11</v>
      </c>
    </row>
    <row r="4705" spans="1:9" hidden="1" x14ac:dyDescent="0.25">
      <c r="A4705" t="s">
        <v>17</v>
      </c>
      <c r="B4705" t="s">
        <v>99</v>
      </c>
      <c r="C4705">
        <v>201902</v>
      </c>
      <c r="D4705" t="str">
        <f t="shared" si="73"/>
        <v>2019</v>
      </c>
      <c r="E4705">
        <v>10</v>
      </c>
      <c r="F4705">
        <v>120833</v>
      </c>
      <c r="G4705">
        <v>0.01</v>
      </c>
      <c r="H4705" t="s">
        <v>10</v>
      </c>
      <c r="I4705" t="s">
        <v>11</v>
      </c>
    </row>
    <row r="4706" spans="1:9" hidden="1" x14ac:dyDescent="0.25">
      <c r="A4706" t="s">
        <v>17</v>
      </c>
      <c r="B4706" t="s">
        <v>99</v>
      </c>
      <c r="C4706">
        <v>201904</v>
      </c>
      <c r="D4706" t="str">
        <f t="shared" si="73"/>
        <v>2019</v>
      </c>
      <c r="E4706">
        <v>4</v>
      </c>
      <c r="F4706">
        <v>120833</v>
      </c>
      <c r="G4706">
        <v>0</v>
      </c>
      <c r="H4706" t="s">
        <v>10</v>
      </c>
      <c r="I4706" t="s">
        <v>11</v>
      </c>
    </row>
    <row r="4707" spans="1:9" hidden="1" x14ac:dyDescent="0.25">
      <c r="A4707" t="s">
        <v>17</v>
      </c>
      <c r="B4707" t="s">
        <v>99</v>
      </c>
      <c r="C4707">
        <v>202004</v>
      </c>
      <c r="D4707" t="str">
        <f t="shared" si="73"/>
        <v>2020</v>
      </c>
      <c r="E4707">
        <v>3</v>
      </c>
      <c r="F4707">
        <v>120833</v>
      </c>
      <c r="G4707">
        <v>0</v>
      </c>
      <c r="H4707" t="s">
        <v>10</v>
      </c>
      <c r="I4707" t="s">
        <v>11</v>
      </c>
    </row>
    <row r="4708" spans="1:9" hidden="1" x14ac:dyDescent="0.25">
      <c r="A4708" t="s">
        <v>17</v>
      </c>
      <c r="B4708" t="s">
        <v>99</v>
      </c>
      <c r="C4708">
        <v>202005</v>
      </c>
      <c r="D4708" t="str">
        <f t="shared" si="73"/>
        <v>2020</v>
      </c>
      <c r="E4708">
        <v>31</v>
      </c>
      <c r="F4708">
        <v>120833</v>
      </c>
      <c r="G4708">
        <v>0.03</v>
      </c>
      <c r="H4708" t="s">
        <v>10</v>
      </c>
      <c r="I4708" t="s">
        <v>11</v>
      </c>
    </row>
    <row r="4709" spans="1:9" hidden="1" x14ac:dyDescent="0.25">
      <c r="A4709" t="s">
        <v>17</v>
      </c>
      <c r="B4709" t="s">
        <v>99</v>
      </c>
      <c r="C4709">
        <v>202101</v>
      </c>
      <c r="D4709" t="str">
        <f t="shared" si="73"/>
        <v>2021</v>
      </c>
      <c r="E4709">
        <v>21</v>
      </c>
      <c r="F4709">
        <v>120833</v>
      </c>
      <c r="G4709">
        <v>0.02</v>
      </c>
      <c r="H4709" t="s">
        <v>10</v>
      </c>
      <c r="I4709" t="s">
        <v>11</v>
      </c>
    </row>
    <row r="4710" spans="1:9" hidden="1" x14ac:dyDescent="0.25">
      <c r="A4710" t="s">
        <v>17</v>
      </c>
      <c r="B4710" t="s">
        <v>99</v>
      </c>
      <c r="C4710">
        <v>202102</v>
      </c>
      <c r="D4710" t="str">
        <f t="shared" si="73"/>
        <v>2021</v>
      </c>
      <c r="E4710">
        <v>10</v>
      </c>
      <c r="F4710">
        <v>120833</v>
      </c>
      <c r="G4710">
        <v>0.01</v>
      </c>
      <c r="H4710" t="s">
        <v>10</v>
      </c>
      <c r="I4710" t="s">
        <v>11</v>
      </c>
    </row>
    <row r="4711" spans="1:9" hidden="1" x14ac:dyDescent="0.25">
      <c r="A4711" t="s">
        <v>17</v>
      </c>
      <c r="B4711" t="s">
        <v>99</v>
      </c>
      <c r="C4711">
        <v>202103</v>
      </c>
      <c r="D4711" t="str">
        <f t="shared" si="73"/>
        <v>2021</v>
      </c>
      <c r="E4711">
        <v>16</v>
      </c>
      <c r="F4711">
        <v>120833</v>
      </c>
      <c r="G4711">
        <v>0.01</v>
      </c>
      <c r="H4711" t="s">
        <v>10</v>
      </c>
      <c r="I4711" t="s">
        <v>11</v>
      </c>
    </row>
    <row r="4712" spans="1:9" hidden="1" x14ac:dyDescent="0.25">
      <c r="A4712" t="s">
        <v>17</v>
      </c>
      <c r="B4712" t="s">
        <v>99</v>
      </c>
      <c r="C4712">
        <v>202105</v>
      </c>
      <c r="D4712" t="str">
        <f t="shared" si="73"/>
        <v>2021</v>
      </c>
      <c r="E4712">
        <v>26</v>
      </c>
      <c r="F4712">
        <v>120833</v>
      </c>
      <c r="G4712">
        <v>0.02</v>
      </c>
      <c r="H4712" t="s">
        <v>10</v>
      </c>
      <c r="I4712" t="s">
        <v>11</v>
      </c>
    </row>
    <row r="4713" spans="1:9" hidden="1" x14ac:dyDescent="0.25">
      <c r="A4713" t="s">
        <v>17</v>
      </c>
      <c r="B4713" t="s">
        <v>99</v>
      </c>
      <c r="C4713">
        <v>202106</v>
      </c>
      <c r="D4713" t="str">
        <f t="shared" si="73"/>
        <v>2021</v>
      </c>
      <c r="E4713">
        <v>9</v>
      </c>
      <c r="F4713">
        <v>120833</v>
      </c>
      <c r="G4713">
        <v>0.01</v>
      </c>
      <c r="H4713" t="s">
        <v>10</v>
      </c>
      <c r="I4713" t="s">
        <v>11</v>
      </c>
    </row>
    <row r="4714" spans="1:9" hidden="1" x14ac:dyDescent="0.25">
      <c r="A4714" t="s">
        <v>17</v>
      </c>
      <c r="B4714" t="s">
        <v>99</v>
      </c>
      <c r="C4714">
        <v>202107</v>
      </c>
      <c r="D4714" t="str">
        <f t="shared" si="73"/>
        <v>2021</v>
      </c>
      <c r="E4714">
        <v>42</v>
      </c>
      <c r="F4714">
        <v>120833</v>
      </c>
      <c r="G4714">
        <v>0.03</v>
      </c>
      <c r="H4714" t="s">
        <v>10</v>
      </c>
      <c r="I4714" t="s">
        <v>11</v>
      </c>
    </row>
    <row r="4715" spans="1:9" hidden="1" x14ac:dyDescent="0.25">
      <c r="A4715" t="s">
        <v>17</v>
      </c>
      <c r="B4715" t="s">
        <v>99</v>
      </c>
      <c r="C4715">
        <v>202108</v>
      </c>
      <c r="D4715" t="str">
        <f t="shared" si="73"/>
        <v>2021</v>
      </c>
      <c r="E4715">
        <v>9</v>
      </c>
      <c r="F4715">
        <v>120833</v>
      </c>
      <c r="G4715">
        <v>0.01</v>
      </c>
      <c r="H4715" t="s">
        <v>10</v>
      </c>
      <c r="I4715" t="s">
        <v>11</v>
      </c>
    </row>
    <row r="4716" spans="1:9" hidden="1" x14ac:dyDescent="0.25">
      <c r="A4716" t="s">
        <v>17</v>
      </c>
      <c r="B4716" t="s">
        <v>99</v>
      </c>
      <c r="C4716">
        <v>202109</v>
      </c>
      <c r="D4716" t="str">
        <f t="shared" si="73"/>
        <v>2021</v>
      </c>
      <c r="E4716">
        <v>23</v>
      </c>
      <c r="F4716">
        <v>120833</v>
      </c>
      <c r="G4716">
        <v>0.02</v>
      </c>
      <c r="H4716" t="s">
        <v>10</v>
      </c>
      <c r="I4716" t="s">
        <v>11</v>
      </c>
    </row>
    <row r="4717" spans="1:9" hidden="1" x14ac:dyDescent="0.25">
      <c r="A4717" t="s">
        <v>17</v>
      </c>
      <c r="B4717" t="s">
        <v>99</v>
      </c>
      <c r="C4717">
        <v>202110</v>
      </c>
      <c r="D4717" t="str">
        <f t="shared" si="73"/>
        <v>2021</v>
      </c>
      <c r="E4717">
        <v>8</v>
      </c>
      <c r="F4717">
        <v>120833</v>
      </c>
      <c r="G4717">
        <v>0.01</v>
      </c>
      <c r="H4717" t="s">
        <v>10</v>
      </c>
      <c r="I4717" t="s">
        <v>11</v>
      </c>
    </row>
    <row r="4718" spans="1:9" hidden="1" x14ac:dyDescent="0.25">
      <c r="A4718" t="s">
        <v>17</v>
      </c>
      <c r="B4718" t="s">
        <v>99</v>
      </c>
      <c r="C4718">
        <v>202111</v>
      </c>
      <c r="D4718" t="str">
        <f t="shared" si="73"/>
        <v>2021</v>
      </c>
      <c r="E4718">
        <v>15</v>
      </c>
      <c r="F4718">
        <v>120833</v>
      </c>
      <c r="G4718">
        <v>0.01</v>
      </c>
      <c r="H4718" t="s">
        <v>10</v>
      </c>
      <c r="I4718" t="s">
        <v>11</v>
      </c>
    </row>
    <row r="4719" spans="1:9" hidden="1" x14ac:dyDescent="0.25">
      <c r="A4719" t="s">
        <v>17</v>
      </c>
      <c r="B4719" t="s">
        <v>99</v>
      </c>
      <c r="C4719">
        <v>202112</v>
      </c>
      <c r="D4719" t="str">
        <f t="shared" si="73"/>
        <v>2021</v>
      </c>
      <c r="E4719">
        <v>32</v>
      </c>
      <c r="F4719">
        <v>120833</v>
      </c>
      <c r="G4719">
        <v>0.03</v>
      </c>
      <c r="H4719" t="s">
        <v>10</v>
      </c>
      <c r="I4719" t="s">
        <v>11</v>
      </c>
    </row>
    <row r="4720" spans="1:9" hidden="1" x14ac:dyDescent="0.25">
      <c r="A4720" t="s">
        <v>17</v>
      </c>
      <c r="B4720" t="s">
        <v>99</v>
      </c>
      <c r="C4720">
        <v>202201</v>
      </c>
      <c r="D4720" t="str">
        <f t="shared" si="73"/>
        <v>2022</v>
      </c>
      <c r="E4720">
        <v>35</v>
      </c>
      <c r="F4720">
        <v>120833</v>
      </c>
      <c r="G4720">
        <v>0.03</v>
      </c>
      <c r="H4720" t="s">
        <v>10</v>
      </c>
      <c r="I4720" t="s">
        <v>11</v>
      </c>
    </row>
    <row r="4721" spans="1:9" hidden="1" x14ac:dyDescent="0.25">
      <c r="A4721" t="s">
        <v>17</v>
      </c>
      <c r="B4721" t="s">
        <v>99</v>
      </c>
      <c r="C4721">
        <v>202202</v>
      </c>
      <c r="D4721" t="str">
        <f t="shared" si="73"/>
        <v>2022</v>
      </c>
      <c r="E4721">
        <v>73</v>
      </c>
      <c r="F4721">
        <v>120833</v>
      </c>
      <c r="G4721">
        <v>0.06</v>
      </c>
      <c r="H4721" t="s">
        <v>10</v>
      </c>
      <c r="I4721" t="s">
        <v>11</v>
      </c>
    </row>
    <row r="4722" spans="1:9" hidden="1" x14ac:dyDescent="0.25">
      <c r="A4722" t="s">
        <v>17</v>
      </c>
      <c r="B4722" t="s">
        <v>99</v>
      </c>
      <c r="C4722">
        <v>202203</v>
      </c>
      <c r="D4722" t="str">
        <f t="shared" si="73"/>
        <v>2022</v>
      </c>
      <c r="E4722">
        <v>41</v>
      </c>
      <c r="F4722">
        <v>120833</v>
      </c>
      <c r="G4722">
        <v>0.03</v>
      </c>
      <c r="H4722" t="s">
        <v>10</v>
      </c>
      <c r="I4722" t="s">
        <v>11</v>
      </c>
    </row>
    <row r="4723" spans="1:9" hidden="1" x14ac:dyDescent="0.25">
      <c r="A4723" t="s">
        <v>17</v>
      </c>
      <c r="B4723" t="s">
        <v>99</v>
      </c>
      <c r="C4723">
        <v>202204</v>
      </c>
      <c r="D4723" t="str">
        <f t="shared" si="73"/>
        <v>2022</v>
      </c>
      <c r="E4723">
        <v>129</v>
      </c>
      <c r="F4723">
        <v>120833</v>
      </c>
      <c r="G4723">
        <v>0.11</v>
      </c>
      <c r="H4723" t="s">
        <v>10</v>
      </c>
      <c r="I4723" t="s">
        <v>11</v>
      </c>
    </row>
    <row r="4724" spans="1:9" hidden="1" x14ac:dyDescent="0.25">
      <c r="A4724" t="s">
        <v>17</v>
      </c>
      <c r="B4724" t="s">
        <v>99</v>
      </c>
      <c r="C4724">
        <v>202205</v>
      </c>
      <c r="D4724" t="str">
        <f t="shared" si="73"/>
        <v>2022</v>
      </c>
      <c r="E4724">
        <v>56</v>
      </c>
      <c r="F4724">
        <v>120833</v>
      </c>
      <c r="G4724">
        <v>0.05</v>
      </c>
      <c r="H4724" t="s">
        <v>10</v>
      </c>
      <c r="I4724" t="s">
        <v>11</v>
      </c>
    </row>
    <row r="4725" spans="1:9" hidden="1" x14ac:dyDescent="0.25">
      <c r="A4725" t="s">
        <v>17</v>
      </c>
      <c r="B4725" t="s">
        <v>99</v>
      </c>
      <c r="C4725">
        <v>202206</v>
      </c>
      <c r="D4725" t="str">
        <f t="shared" si="73"/>
        <v>2022</v>
      </c>
      <c r="E4725">
        <v>98</v>
      </c>
      <c r="F4725">
        <v>120833</v>
      </c>
      <c r="G4725">
        <v>0.08</v>
      </c>
      <c r="H4725" t="s">
        <v>10</v>
      </c>
      <c r="I4725" t="s">
        <v>11</v>
      </c>
    </row>
    <row r="4726" spans="1:9" hidden="1" x14ac:dyDescent="0.25">
      <c r="A4726" t="s">
        <v>17</v>
      </c>
      <c r="B4726" t="s">
        <v>99</v>
      </c>
      <c r="C4726">
        <v>202207</v>
      </c>
      <c r="D4726" t="str">
        <f t="shared" si="73"/>
        <v>2022</v>
      </c>
      <c r="E4726">
        <v>71</v>
      </c>
      <c r="F4726">
        <v>120833</v>
      </c>
      <c r="G4726">
        <v>0.06</v>
      </c>
      <c r="H4726" t="s">
        <v>10</v>
      </c>
      <c r="I4726" t="s">
        <v>11</v>
      </c>
    </row>
    <row r="4727" spans="1:9" hidden="1" x14ac:dyDescent="0.25">
      <c r="A4727" t="s">
        <v>17</v>
      </c>
      <c r="B4727" t="s">
        <v>99</v>
      </c>
      <c r="C4727">
        <v>202208</v>
      </c>
      <c r="D4727" t="str">
        <f t="shared" si="73"/>
        <v>2022</v>
      </c>
      <c r="E4727">
        <v>92</v>
      </c>
      <c r="F4727">
        <v>120833</v>
      </c>
      <c r="G4727">
        <v>0.08</v>
      </c>
      <c r="H4727" t="s">
        <v>10</v>
      </c>
      <c r="I4727" t="s">
        <v>11</v>
      </c>
    </row>
    <row r="4728" spans="1:9" hidden="1" x14ac:dyDescent="0.25">
      <c r="A4728" t="s">
        <v>17</v>
      </c>
      <c r="B4728" t="s">
        <v>99</v>
      </c>
      <c r="C4728">
        <v>202209</v>
      </c>
      <c r="D4728" t="str">
        <f t="shared" si="73"/>
        <v>2022</v>
      </c>
      <c r="E4728">
        <v>92</v>
      </c>
      <c r="F4728">
        <v>120833</v>
      </c>
      <c r="G4728">
        <v>0.08</v>
      </c>
      <c r="H4728" t="s">
        <v>10</v>
      </c>
      <c r="I4728" t="s">
        <v>11</v>
      </c>
    </row>
    <row r="4729" spans="1:9" hidden="1" x14ac:dyDescent="0.25">
      <c r="A4729" t="s">
        <v>17</v>
      </c>
      <c r="B4729" t="s">
        <v>99</v>
      </c>
      <c r="C4729">
        <v>202210</v>
      </c>
      <c r="D4729" t="str">
        <f t="shared" si="73"/>
        <v>2022</v>
      </c>
      <c r="E4729">
        <v>172</v>
      </c>
      <c r="F4729">
        <v>120833</v>
      </c>
      <c r="G4729">
        <v>0.14000000000000001</v>
      </c>
      <c r="H4729" t="s">
        <v>10</v>
      </c>
      <c r="I4729" t="s">
        <v>11</v>
      </c>
    </row>
    <row r="4730" spans="1:9" hidden="1" x14ac:dyDescent="0.25">
      <c r="A4730" t="s">
        <v>17</v>
      </c>
      <c r="B4730" t="s">
        <v>99</v>
      </c>
      <c r="C4730">
        <v>202211</v>
      </c>
      <c r="D4730" t="str">
        <f t="shared" si="73"/>
        <v>2022</v>
      </c>
      <c r="E4730">
        <v>152</v>
      </c>
      <c r="F4730">
        <v>120833</v>
      </c>
      <c r="G4730">
        <v>0.13</v>
      </c>
      <c r="H4730" t="s">
        <v>10</v>
      </c>
      <c r="I4730" t="s">
        <v>11</v>
      </c>
    </row>
    <row r="4731" spans="1:9" hidden="1" x14ac:dyDescent="0.25">
      <c r="A4731" t="s">
        <v>17</v>
      </c>
      <c r="B4731" t="s">
        <v>99</v>
      </c>
      <c r="C4731">
        <v>202212</v>
      </c>
      <c r="D4731" t="str">
        <f t="shared" si="73"/>
        <v>2022</v>
      </c>
      <c r="E4731">
        <v>161</v>
      </c>
      <c r="F4731">
        <v>120833</v>
      </c>
      <c r="G4731">
        <v>0.13</v>
      </c>
      <c r="H4731" t="s">
        <v>10</v>
      </c>
      <c r="I4731" t="s">
        <v>11</v>
      </c>
    </row>
    <row r="4732" spans="1:9" hidden="1" x14ac:dyDescent="0.25">
      <c r="A4732" t="s">
        <v>17</v>
      </c>
      <c r="B4732" t="s">
        <v>99</v>
      </c>
      <c r="C4732">
        <v>202301</v>
      </c>
      <c r="D4732" t="str">
        <f t="shared" si="73"/>
        <v>2023</v>
      </c>
      <c r="E4732">
        <v>1461</v>
      </c>
      <c r="F4732">
        <v>120833</v>
      </c>
      <c r="G4732">
        <v>1.21</v>
      </c>
      <c r="H4732" t="s">
        <v>10</v>
      </c>
      <c r="I4732" t="s">
        <v>11</v>
      </c>
    </row>
    <row r="4733" spans="1:9" hidden="1" x14ac:dyDescent="0.25">
      <c r="A4733" t="s">
        <v>17</v>
      </c>
      <c r="B4733" t="s">
        <v>99</v>
      </c>
      <c r="C4733">
        <v>202302</v>
      </c>
      <c r="D4733" t="str">
        <f t="shared" si="73"/>
        <v>2023</v>
      </c>
      <c r="E4733">
        <v>2011</v>
      </c>
      <c r="F4733">
        <v>120833</v>
      </c>
      <c r="G4733">
        <v>1.66</v>
      </c>
      <c r="H4733" t="s">
        <v>10</v>
      </c>
      <c r="I4733" t="s">
        <v>11</v>
      </c>
    </row>
    <row r="4734" spans="1:9" hidden="1" x14ac:dyDescent="0.25">
      <c r="A4734" t="s">
        <v>17</v>
      </c>
      <c r="B4734" t="s">
        <v>99</v>
      </c>
      <c r="C4734">
        <v>202303</v>
      </c>
      <c r="D4734" t="str">
        <f t="shared" si="73"/>
        <v>2023</v>
      </c>
      <c r="E4734">
        <v>1817</v>
      </c>
      <c r="F4734">
        <v>120833</v>
      </c>
      <c r="G4734">
        <v>1.5</v>
      </c>
      <c r="H4734" t="s">
        <v>10</v>
      </c>
      <c r="I4734" t="s">
        <v>11</v>
      </c>
    </row>
    <row r="4735" spans="1:9" hidden="1" x14ac:dyDescent="0.25">
      <c r="A4735" t="s">
        <v>17</v>
      </c>
      <c r="B4735" t="s">
        <v>99</v>
      </c>
      <c r="C4735">
        <v>202304</v>
      </c>
      <c r="D4735" t="str">
        <f t="shared" si="73"/>
        <v>2023</v>
      </c>
      <c r="E4735">
        <v>1967</v>
      </c>
      <c r="F4735">
        <v>120833</v>
      </c>
      <c r="G4735">
        <v>1.63</v>
      </c>
      <c r="H4735" t="s">
        <v>10</v>
      </c>
      <c r="I4735" t="s">
        <v>11</v>
      </c>
    </row>
    <row r="4736" spans="1:9" hidden="1" x14ac:dyDescent="0.25">
      <c r="A4736" t="s">
        <v>17</v>
      </c>
      <c r="B4736" t="s">
        <v>99</v>
      </c>
      <c r="C4736">
        <v>202305</v>
      </c>
      <c r="D4736" t="str">
        <f t="shared" si="73"/>
        <v>2023</v>
      </c>
      <c r="E4736">
        <v>1901</v>
      </c>
      <c r="F4736">
        <v>120833</v>
      </c>
      <c r="G4736">
        <v>1.57</v>
      </c>
      <c r="H4736" t="s">
        <v>10</v>
      </c>
      <c r="I4736" t="s">
        <v>11</v>
      </c>
    </row>
    <row r="4737" spans="1:9" hidden="1" x14ac:dyDescent="0.25">
      <c r="A4737" t="s">
        <v>17</v>
      </c>
      <c r="B4737" t="s">
        <v>99</v>
      </c>
      <c r="C4737">
        <v>202306</v>
      </c>
      <c r="D4737" t="str">
        <f t="shared" si="73"/>
        <v>2023</v>
      </c>
      <c r="E4737">
        <v>2038</v>
      </c>
      <c r="F4737">
        <v>120833</v>
      </c>
      <c r="G4737">
        <v>1.69</v>
      </c>
      <c r="H4737" t="s">
        <v>10</v>
      </c>
      <c r="I4737" t="s">
        <v>11</v>
      </c>
    </row>
    <row r="4738" spans="1:9" hidden="1" x14ac:dyDescent="0.25">
      <c r="A4738" t="s">
        <v>17</v>
      </c>
      <c r="B4738" t="s">
        <v>99</v>
      </c>
      <c r="C4738">
        <v>202307</v>
      </c>
      <c r="D4738" t="str">
        <f t="shared" si="73"/>
        <v>2023</v>
      </c>
      <c r="E4738">
        <v>2758</v>
      </c>
      <c r="F4738">
        <v>120833</v>
      </c>
      <c r="G4738">
        <v>2.2799999999999998</v>
      </c>
      <c r="H4738" t="s">
        <v>10</v>
      </c>
      <c r="I4738" t="s">
        <v>11</v>
      </c>
    </row>
    <row r="4739" spans="1:9" hidden="1" x14ac:dyDescent="0.25">
      <c r="A4739" t="s">
        <v>17</v>
      </c>
      <c r="B4739" t="s">
        <v>99</v>
      </c>
      <c r="C4739">
        <v>202308</v>
      </c>
      <c r="D4739" t="str">
        <f t="shared" ref="D4739:D4802" si="74">LEFT(C4739,4)</f>
        <v>2023</v>
      </c>
      <c r="E4739">
        <v>3180</v>
      </c>
      <c r="F4739">
        <v>120833</v>
      </c>
      <c r="G4739">
        <v>2.63</v>
      </c>
      <c r="H4739" t="s">
        <v>10</v>
      </c>
      <c r="I4739" t="s">
        <v>11</v>
      </c>
    </row>
    <row r="4740" spans="1:9" hidden="1" x14ac:dyDescent="0.25">
      <c r="A4740" t="s">
        <v>17</v>
      </c>
      <c r="B4740" t="s">
        <v>99</v>
      </c>
      <c r="C4740">
        <v>202309</v>
      </c>
      <c r="D4740" t="str">
        <f t="shared" si="74"/>
        <v>2023</v>
      </c>
      <c r="E4740">
        <v>2782</v>
      </c>
      <c r="F4740">
        <v>120833</v>
      </c>
      <c r="G4740">
        <v>2.2999999999999998</v>
      </c>
      <c r="H4740" t="s">
        <v>10</v>
      </c>
      <c r="I4740" t="s">
        <v>11</v>
      </c>
    </row>
    <row r="4741" spans="1:9" hidden="1" x14ac:dyDescent="0.25">
      <c r="A4741" t="s">
        <v>17</v>
      </c>
      <c r="B4741" t="s">
        <v>99</v>
      </c>
      <c r="C4741">
        <v>202310</v>
      </c>
      <c r="D4741" t="str">
        <f t="shared" si="74"/>
        <v>2023</v>
      </c>
      <c r="E4741">
        <v>2220</v>
      </c>
      <c r="F4741">
        <v>120833</v>
      </c>
      <c r="G4741">
        <v>1.84</v>
      </c>
      <c r="H4741" t="s">
        <v>10</v>
      </c>
      <c r="I4741" t="s">
        <v>11</v>
      </c>
    </row>
    <row r="4742" spans="1:9" hidden="1" x14ac:dyDescent="0.25">
      <c r="A4742" t="s">
        <v>17</v>
      </c>
      <c r="B4742" t="s">
        <v>99</v>
      </c>
      <c r="C4742">
        <v>202311</v>
      </c>
      <c r="D4742" t="str">
        <f t="shared" si="74"/>
        <v>2023</v>
      </c>
      <c r="E4742">
        <v>2797</v>
      </c>
      <c r="F4742">
        <v>120833</v>
      </c>
      <c r="G4742">
        <v>2.31</v>
      </c>
      <c r="H4742" t="s">
        <v>10</v>
      </c>
      <c r="I4742" t="s">
        <v>11</v>
      </c>
    </row>
    <row r="4743" spans="1:9" hidden="1" x14ac:dyDescent="0.25">
      <c r="A4743" t="s">
        <v>17</v>
      </c>
      <c r="B4743" t="s">
        <v>99</v>
      </c>
      <c r="C4743">
        <v>202312</v>
      </c>
      <c r="D4743" t="str">
        <f t="shared" si="74"/>
        <v>2023</v>
      </c>
      <c r="E4743">
        <v>5896</v>
      </c>
      <c r="F4743">
        <v>120833</v>
      </c>
      <c r="G4743">
        <v>4.88</v>
      </c>
      <c r="H4743" t="s">
        <v>10</v>
      </c>
      <c r="I4743" t="s">
        <v>11</v>
      </c>
    </row>
    <row r="4744" spans="1:9" hidden="1" x14ac:dyDescent="0.25">
      <c r="A4744" t="s">
        <v>17</v>
      </c>
      <c r="B4744" t="s">
        <v>99</v>
      </c>
      <c r="C4744">
        <v>202401</v>
      </c>
      <c r="D4744" t="str">
        <f t="shared" si="74"/>
        <v>2024</v>
      </c>
      <c r="E4744">
        <v>49313</v>
      </c>
      <c r="F4744">
        <v>120833</v>
      </c>
      <c r="G4744">
        <v>40.81</v>
      </c>
      <c r="H4744" t="s">
        <v>10</v>
      </c>
      <c r="I4744" t="s">
        <v>11</v>
      </c>
    </row>
    <row r="4745" spans="1:9" hidden="1" x14ac:dyDescent="0.25">
      <c r="A4745" t="s">
        <v>17</v>
      </c>
      <c r="B4745" t="s">
        <v>99</v>
      </c>
      <c r="C4745">
        <v>202402</v>
      </c>
      <c r="D4745" t="str">
        <f t="shared" si="74"/>
        <v>2024</v>
      </c>
      <c r="E4745">
        <v>39261</v>
      </c>
      <c r="F4745">
        <v>120833</v>
      </c>
      <c r="G4745">
        <v>32.49</v>
      </c>
      <c r="H4745" t="s">
        <v>10</v>
      </c>
      <c r="I4745" t="s">
        <v>11</v>
      </c>
    </row>
    <row r="4746" spans="1:9" hidden="1" x14ac:dyDescent="0.25">
      <c r="A4746" t="s">
        <v>17</v>
      </c>
      <c r="B4746" t="s">
        <v>189</v>
      </c>
      <c r="C4746">
        <v>201903</v>
      </c>
      <c r="D4746" t="str">
        <f t="shared" si="74"/>
        <v>2019</v>
      </c>
      <c r="E4746">
        <v>1</v>
      </c>
      <c r="F4746">
        <v>88803</v>
      </c>
      <c r="G4746">
        <v>0</v>
      </c>
      <c r="H4746" t="s">
        <v>10</v>
      </c>
      <c r="I4746" t="s">
        <v>11</v>
      </c>
    </row>
    <row r="4747" spans="1:9" hidden="1" x14ac:dyDescent="0.25">
      <c r="A4747" t="s">
        <v>17</v>
      </c>
      <c r="B4747" t="s">
        <v>189</v>
      </c>
      <c r="C4747">
        <v>201907</v>
      </c>
      <c r="D4747" t="str">
        <f t="shared" si="74"/>
        <v>2019</v>
      </c>
      <c r="E4747">
        <v>2</v>
      </c>
      <c r="F4747">
        <v>88803</v>
      </c>
      <c r="G4747">
        <v>0</v>
      </c>
      <c r="H4747" t="s">
        <v>10</v>
      </c>
      <c r="I4747" t="s">
        <v>11</v>
      </c>
    </row>
    <row r="4748" spans="1:9" hidden="1" x14ac:dyDescent="0.25">
      <c r="A4748" t="s">
        <v>17</v>
      </c>
      <c r="B4748" t="s">
        <v>189</v>
      </c>
      <c r="C4748">
        <v>202003</v>
      </c>
      <c r="D4748" t="str">
        <f t="shared" si="74"/>
        <v>2020</v>
      </c>
      <c r="E4748">
        <v>7</v>
      </c>
      <c r="F4748">
        <v>88803</v>
      </c>
      <c r="G4748">
        <v>0.01</v>
      </c>
      <c r="H4748" t="s">
        <v>10</v>
      </c>
      <c r="I4748" t="s">
        <v>11</v>
      </c>
    </row>
    <row r="4749" spans="1:9" hidden="1" x14ac:dyDescent="0.25">
      <c r="A4749" t="s">
        <v>17</v>
      </c>
      <c r="B4749" t="s">
        <v>189</v>
      </c>
      <c r="C4749">
        <v>202007</v>
      </c>
      <c r="D4749" t="str">
        <f t="shared" si="74"/>
        <v>2020</v>
      </c>
      <c r="E4749">
        <v>7</v>
      </c>
      <c r="F4749">
        <v>88803</v>
      </c>
      <c r="G4749">
        <v>0.01</v>
      </c>
      <c r="H4749" t="s">
        <v>10</v>
      </c>
      <c r="I4749" t="s">
        <v>11</v>
      </c>
    </row>
    <row r="4750" spans="1:9" hidden="1" x14ac:dyDescent="0.25">
      <c r="A4750" t="s">
        <v>17</v>
      </c>
      <c r="B4750" t="s">
        <v>189</v>
      </c>
      <c r="C4750">
        <v>202101</v>
      </c>
      <c r="D4750" t="str">
        <f t="shared" si="74"/>
        <v>2021</v>
      </c>
      <c r="E4750">
        <v>15</v>
      </c>
      <c r="F4750">
        <v>88803</v>
      </c>
      <c r="G4750">
        <v>0.02</v>
      </c>
      <c r="H4750" t="s">
        <v>10</v>
      </c>
      <c r="I4750" t="s">
        <v>11</v>
      </c>
    </row>
    <row r="4751" spans="1:9" hidden="1" x14ac:dyDescent="0.25">
      <c r="A4751" t="s">
        <v>17</v>
      </c>
      <c r="B4751" t="s">
        <v>189</v>
      </c>
      <c r="C4751">
        <v>202104</v>
      </c>
      <c r="D4751" t="str">
        <f t="shared" si="74"/>
        <v>2021</v>
      </c>
      <c r="E4751">
        <v>5</v>
      </c>
      <c r="F4751">
        <v>88803</v>
      </c>
      <c r="G4751">
        <v>0.01</v>
      </c>
      <c r="H4751" t="s">
        <v>10</v>
      </c>
      <c r="I4751" t="s">
        <v>11</v>
      </c>
    </row>
    <row r="4752" spans="1:9" hidden="1" x14ac:dyDescent="0.25">
      <c r="A4752" t="s">
        <v>17</v>
      </c>
      <c r="B4752" t="s">
        <v>189</v>
      </c>
      <c r="C4752">
        <v>202105</v>
      </c>
      <c r="D4752" t="str">
        <f t="shared" si="74"/>
        <v>2021</v>
      </c>
      <c r="E4752">
        <v>4</v>
      </c>
      <c r="F4752">
        <v>88803</v>
      </c>
      <c r="G4752">
        <v>0</v>
      </c>
      <c r="H4752" t="s">
        <v>10</v>
      </c>
      <c r="I4752" t="s">
        <v>11</v>
      </c>
    </row>
    <row r="4753" spans="1:9" hidden="1" x14ac:dyDescent="0.25">
      <c r="A4753" t="s">
        <v>17</v>
      </c>
      <c r="B4753" t="s">
        <v>189</v>
      </c>
      <c r="C4753">
        <v>202107</v>
      </c>
      <c r="D4753" t="str">
        <f t="shared" si="74"/>
        <v>2021</v>
      </c>
      <c r="E4753">
        <v>7</v>
      </c>
      <c r="F4753">
        <v>88803</v>
      </c>
      <c r="G4753">
        <v>0.01</v>
      </c>
      <c r="H4753" t="s">
        <v>10</v>
      </c>
      <c r="I4753" t="s">
        <v>11</v>
      </c>
    </row>
    <row r="4754" spans="1:9" hidden="1" x14ac:dyDescent="0.25">
      <c r="A4754" t="s">
        <v>17</v>
      </c>
      <c r="B4754" t="s">
        <v>189</v>
      </c>
      <c r="C4754">
        <v>202109</v>
      </c>
      <c r="D4754" t="str">
        <f t="shared" si="74"/>
        <v>2021</v>
      </c>
      <c r="E4754">
        <v>8</v>
      </c>
      <c r="F4754">
        <v>88803</v>
      </c>
      <c r="G4754">
        <v>0.01</v>
      </c>
      <c r="H4754" t="s">
        <v>10</v>
      </c>
      <c r="I4754" t="s">
        <v>11</v>
      </c>
    </row>
    <row r="4755" spans="1:9" hidden="1" x14ac:dyDescent="0.25">
      <c r="A4755" t="s">
        <v>17</v>
      </c>
      <c r="B4755" t="s">
        <v>189</v>
      </c>
      <c r="C4755">
        <v>202110</v>
      </c>
      <c r="D4755" t="str">
        <f t="shared" si="74"/>
        <v>2021</v>
      </c>
      <c r="E4755">
        <v>3</v>
      </c>
      <c r="F4755">
        <v>88803</v>
      </c>
      <c r="G4755">
        <v>0</v>
      </c>
      <c r="H4755" t="s">
        <v>10</v>
      </c>
      <c r="I4755" t="s">
        <v>11</v>
      </c>
    </row>
    <row r="4756" spans="1:9" hidden="1" x14ac:dyDescent="0.25">
      <c r="A4756" t="s">
        <v>17</v>
      </c>
      <c r="B4756" t="s">
        <v>189</v>
      </c>
      <c r="C4756">
        <v>202111</v>
      </c>
      <c r="D4756" t="str">
        <f t="shared" si="74"/>
        <v>2021</v>
      </c>
      <c r="E4756">
        <v>9</v>
      </c>
      <c r="F4756">
        <v>88803</v>
      </c>
      <c r="G4756">
        <v>0.01</v>
      </c>
      <c r="H4756" t="s">
        <v>10</v>
      </c>
      <c r="I4756" t="s">
        <v>11</v>
      </c>
    </row>
    <row r="4757" spans="1:9" hidden="1" x14ac:dyDescent="0.25">
      <c r="A4757" t="s">
        <v>17</v>
      </c>
      <c r="B4757" t="s">
        <v>189</v>
      </c>
      <c r="C4757">
        <v>202201</v>
      </c>
      <c r="D4757" t="str">
        <f t="shared" si="74"/>
        <v>2022</v>
      </c>
      <c r="E4757">
        <v>36</v>
      </c>
      <c r="F4757">
        <v>88803</v>
      </c>
      <c r="G4757">
        <v>0.04</v>
      </c>
      <c r="H4757" t="s">
        <v>10</v>
      </c>
      <c r="I4757" t="s">
        <v>11</v>
      </c>
    </row>
    <row r="4758" spans="1:9" hidden="1" x14ac:dyDescent="0.25">
      <c r="A4758" t="s">
        <v>17</v>
      </c>
      <c r="B4758" t="s">
        <v>189</v>
      </c>
      <c r="C4758">
        <v>202202</v>
      </c>
      <c r="D4758" t="str">
        <f t="shared" si="74"/>
        <v>2022</v>
      </c>
      <c r="E4758">
        <v>25</v>
      </c>
      <c r="F4758">
        <v>88803</v>
      </c>
      <c r="G4758">
        <v>0.03</v>
      </c>
      <c r="H4758" t="s">
        <v>10</v>
      </c>
      <c r="I4758" t="s">
        <v>11</v>
      </c>
    </row>
    <row r="4759" spans="1:9" hidden="1" x14ac:dyDescent="0.25">
      <c r="A4759" t="s">
        <v>17</v>
      </c>
      <c r="B4759" t="s">
        <v>189</v>
      </c>
      <c r="C4759">
        <v>202203</v>
      </c>
      <c r="D4759" t="str">
        <f t="shared" si="74"/>
        <v>2022</v>
      </c>
      <c r="E4759">
        <v>26</v>
      </c>
      <c r="F4759">
        <v>88803</v>
      </c>
      <c r="G4759">
        <v>0.03</v>
      </c>
      <c r="H4759" t="s">
        <v>10</v>
      </c>
      <c r="I4759" t="s">
        <v>11</v>
      </c>
    </row>
    <row r="4760" spans="1:9" hidden="1" x14ac:dyDescent="0.25">
      <c r="A4760" t="s">
        <v>17</v>
      </c>
      <c r="B4760" t="s">
        <v>189</v>
      </c>
      <c r="C4760">
        <v>202204</v>
      </c>
      <c r="D4760" t="str">
        <f t="shared" si="74"/>
        <v>2022</v>
      </c>
      <c r="E4760">
        <v>36</v>
      </c>
      <c r="F4760">
        <v>88803</v>
      </c>
      <c r="G4760">
        <v>0.04</v>
      </c>
      <c r="H4760" t="s">
        <v>10</v>
      </c>
      <c r="I4760" t="s">
        <v>11</v>
      </c>
    </row>
    <row r="4761" spans="1:9" hidden="1" x14ac:dyDescent="0.25">
      <c r="A4761" t="s">
        <v>17</v>
      </c>
      <c r="B4761" t="s">
        <v>189</v>
      </c>
      <c r="C4761">
        <v>202205</v>
      </c>
      <c r="D4761" t="str">
        <f t="shared" si="74"/>
        <v>2022</v>
      </c>
      <c r="E4761">
        <v>27</v>
      </c>
      <c r="F4761">
        <v>88803</v>
      </c>
      <c r="G4761">
        <v>0.03</v>
      </c>
      <c r="H4761" t="s">
        <v>10</v>
      </c>
      <c r="I4761" t="s">
        <v>11</v>
      </c>
    </row>
    <row r="4762" spans="1:9" hidden="1" x14ac:dyDescent="0.25">
      <c r="A4762" t="s">
        <v>17</v>
      </c>
      <c r="B4762" t="s">
        <v>189</v>
      </c>
      <c r="C4762">
        <v>202206</v>
      </c>
      <c r="D4762" t="str">
        <f t="shared" si="74"/>
        <v>2022</v>
      </c>
      <c r="E4762">
        <v>2</v>
      </c>
      <c r="F4762">
        <v>88803</v>
      </c>
      <c r="G4762">
        <v>0</v>
      </c>
      <c r="H4762" t="s">
        <v>10</v>
      </c>
      <c r="I4762" t="s">
        <v>11</v>
      </c>
    </row>
    <row r="4763" spans="1:9" hidden="1" x14ac:dyDescent="0.25">
      <c r="A4763" t="s">
        <v>17</v>
      </c>
      <c r="B4763" t="s">
        <v>189</v>
      </c>
      <c r="C4763">
        <v>202207</v>
      </c>
      <c r="D4763" t="str">
        <f t="shared" si="74"/>
        <v>2022</v>
      </c>
      <c r="E4763">
        <v>33</v>
      </c>
      <c r="F4763">
        <v>88803</v>
      </c>
      <c r="G4763">
        <v>0.04</v>
      </c>
      <c r="H4763" t="s">
        <v>10</v>
      </c>
      <c r="I4763" t="s">
        <v>11</v>
      </c>
    </row>
    <row r="4764" spans="1:9" hidden="1" x14ac:dyDescent="0.25">
      <c r="A4764" t="s">
        <v>17</v>
      </c>
      <c r="B4764" t="s">
        <v>189</v>
      </c>
      <c r="C4764">
        <v>202208</v>
      </c>
      <c r="D4764" t="str">
        <f t="shared" si="74"/>
        <v>2022</v>
      </c>
      <c r="E4764">
        <v>29</v>
      </c>
      <c r="F4764">
        <v>88803</v>
      </c>
      <c r="G4764">
        <v>0.03</v>
      </c>
      <c r="H4764" t="s">
        <v>10</v>
      </c>
      <c r="I4764" t="s">
        <v>11</v>
      </c>
    </row>
    <row r="4765" spans="1:9" hidden="1" x14ac:dyDescent="0.25">
      <c r="A4765" t="s">
        <v>17</v>
      </c>
      <c r="B4765" t="s">
        <v>189</v>
      </c>
      <c r="C4765">
        <v>202209</v>
      </c>
      <c r="D4765" t="str">
        <f t="shared" si="74"/>
        <v>2022</v>
      </c>
      <c r="E4765">
        <v>57</v>
      </c>
      <c r="F4765">
        <v>88803</v>
      </c>
      <c r="G4765">
        <v>0.06</v>
      </c>
      <c r="H4765" t="s">
        <v>10</v>
      </c>
      <c r="I4765" t="s">
        <v>11</v>
      </c>
    </row>
    <row r="4766" spans="1:9" hidden="1" x14ac:dyDescent="0.25">
      <c r="A4766" t="s">
        <v>17</v>
      </c>
      <c r="B4766" t="s">
        <v>189</v>
      </c>
      <c r="C4766">
        <v>202210</v>
      </c>
      <c r="D4766" t="str">
        <f t="shared" si="74"/>
        <v>2022</v>
      </c>
      <c r="E4766">
        <v>86</v>
      </c>
      <c r="F4766">
        <v>88803</v>
      </c>
      <c r="G4766">
        <v>0.1</v>
      </c>
      <c r="H4766" t="s">
        <v>10</v>
      </c>
      <c r="I4766" t="s">
        <v>11</v>
      </c>
    </row>
    <row r="4767" spans="1:9" hidden="1" x14ac:dyDescent="0.25">
      <c r="A4767" t="s">
        <v>17</v>
      </c>
      <c r="B4767" t="s">
        <v>189</v>
      </c>
      <c r="C4767">
        <v>202211</v>
      </c>
      <c r="D4767" t="str">
        <f t="shared" si="74"/>
        <v>2022</v>
      </c>
      <c r="E4767">
        <v>54</v>
      </c>
      <c r="F4767">
        <v>88803</v>
      </c>
      <c r="G4767">
        <v>0.06</v>
      </c>
      <c r="H4767" t="s">
        <v>10</v>
      </c>
      <c r="I4767" t="s">
        <v>11</v>
      </c>
    </row>
    <row r="4768" spans="1:9" hidden="1" x14ac:dyDescent="0.25">
      <c r="A4768" t="s">
        <v>17</v>
      </c>
      <c r="B4768" t="s">
        <v>189</v>
      </c>
      <c r="C4768">
        <v>202212</v>
      </c>
      <c r="D4768" t="str">
        <f t="shared" si="74"/>
        <v>2022</v>
      </c>
      <c r="E4768">
        <v>209</v>
      </c>
      <c r="F4768">
        <v>88803</v>
      </c>
      <c r="G4768">
        <v>0.24</v>
      </c>
      <c r="H4768" t="s">
        <v>10</v>
      </c>
      <c r="I4768" t="s">
        <v>11</v>
      </c>
    </row>
    <row r="4769" spans="1:9" hidden="1" x14ac:dyDescent="0.25">
      <c r="A4769" t="s">
        <v>17</v>
      </c>
      <c r="B4769" t="s">
        <v>189</v>
      </c>
      <c r="C4769">
        <v>202301</v>
      </c>
      <c r="D4769" t="str">
        <f t="shared" si="74"/>
        <v>2023</v>
      </c>
      <c r="E4769">
        <v>300</v>
      </c>
      <c r="F4769">
        <v>88803</v>
      </c>
      <c r="G4769">
        <v>0.34</v>
      </c>
      <c r="H4769" t="s">
        <v>10</v>
      </c>
      <c r="I4769" t="s">
        <v>11</v>
      </c>
    </row>
    <row r="4770" spans="1:9" hidden="1" x14ac:dyDescent="0.25">
      <c r="A4770" t="s">
        <v>17</v>
      </c>
      <c r="B4770" t="s">
        <v>189</v>
      </c>
      <c r="C4770">
        <v>202302</v>
      </c>
      <c r="D4770" t="str">
        <f t="shared" si="74"/>
        <v>2023</v>
      </c>
      <c r="E4770">
        <v>365</v>
      </c>
      <c r="F4770">
        <v>88803</v>
      </c>
      <c r="G4770">
        <v>0.41</v>
      </c>
      <c r="H4770" t="s">
        <v>10</v>
      </c>
      <c r="I4770" t="s">
        <v>11</v>
      </c>
    </row>
    <row r="4771" spans="1:9" hidden="1" x14ac:dyDescent="0.25">
      <c r="A4771" t="s">
        <v>17</v>
      </c>
      <c r="B4771" t="s">
        <v>189</v>
      </c>
      <c r="C4771">
        <v>202303</v>
      </c>
      <c r="D4771" t="str">
        <f t="shared" si="74"/>
        <v>2023</v>
      </c>
      <c r="E4771">
        <v>696</v>
      </c>
      <c r="F4771">
        <v>88803</v>
      </c>
      <c r="G4771">
        <v>0.78</v>
      </c>
      <c r="H4771" t="s">
        <v>10</v>
      </c>
      <c r="I4771" t="s">
        <v>11</v>
      </c>
    </row>
    <row r="4772" spans="1:9" hidden="1" x14ac:dyDescent="0.25">
      <c r="A4772" t="s">
        <v>17</v>
      </c>
      <c r="B4772" t="s">
        <v>189</v>
      </c>
      <c r="C4772">
        <v>202304</v>
      </c>
      <c r="D4772" t="str">
        <f t="shared" si="74"/>
        <v>2023</v>
      </c>
      <c r="E4772">
        <v>371</v>
      </c>
      <c r="F4772">
        <v>88803</v>
      </c>
      <c r="G4772">
        <v>0.42</v>
      </c>
      <c r="H4772" t="s">
        <v>10</v>
      </c>
      <c r="I4772" t="s">
        <v>11</v>
      </c>
    </row>
    <row r="4773" spans="1:9" hidden="1" x14ac:dyDescent="0.25">
      <c r="A4773" t="s">
        <v>17</v>
      </c>
      <c r="B4773" t="s">
        <v>189</v>
      </c>
      <c r="C4773">
        <v>202305</v>
      </c>
      <c r="D4773" t="str">
        <f t="shared" si="74"/>
        <v>2023</v>
      </c>
      <c r="E4773">
        <v>505</v>
      </c>
      <c r="F4773">
        <v>88803</v>
      </c>
      <c r="G4773">
        <v>0.56999999999999995</v>
      </c>
      <c r="H4773" t="s">
        <v>10</v>
      </c>
      <c r="I4773" t="s">
        <v>11</v>
      </c>
    </row>
    <row r="4774" spans="1:9" hidden="1" x14ac:dyDescent="0.25">
      <c r="A4774" t="s">
        <v>17</v>
      </c>
      <c r="B4774" t="s">
        <v>189</v>
      </c>
      <c r="C4774">
        <v>202306</v>
      </c>
      <c r="D4774" t="str">
        <f t="shared" si="74"/>
        <v>2023</v>
      </c>
      <c r="E4774">
        <v>567</v>
      </c>
      <c r="F4774">
        <v>88803</v>
      </c>
      <c r="G4774">
        <v>0.64</v>
      </c>
      <c r="H4774" t="s">
        <v>10</v>
      </c>
      <c r="I4774" t="s">
        <v>11</v>
      </c>
    </row>
    <row r="4775" spans="1:9" hidden="1" x14ac:dyDescent="0.25">
      <c r="A4775" t="s">
        <v>17</v>
      </c>
      <c r="B4775" t="s">
        <v>189</v>
      </c>
      <c r="C4775">
        <v>202307</v>
      </c>
      <c r="D4775" t="str">
        <f t="shared" si="74"/>
        <v>2023</v>
      </c>
      <c r="E4775">
        <v>594</v>
      </c>
      <c r="F4775">
        <v>88803</v>
      </c>
      <c r="G4775">
        <v>0.67</v>
      </c>
      <c r="H4775" t="s">
        <v>10</v>
      </c>
      <c r="I4775" t="s">
        <v>11</v>
      </c>
    </row>
    <row r="4776" spans="1:9" hidden="1" x14ac:dyDescent="0.25">
      <c r="A4776" t="s">
        <v>17</v>
      </c>
      <c r="B4776" t="s">
        <v>189</v>
      </c>
      <c r="C4776">
        <v>202308</v>
      </c>
      <c r="D4776" t="str">
        <f t="shared" si="74"/>
        <v>2023</v>
      </c>
      <c r="E4776">
        <v>1292</v>
      </c>
      <c r="F4776">
        <v>88803</v>
      </c>
      <c r="G4776">
        <v>1.45</v>
      </c>
      <c r="H4776" t="s">
        <v>10</v>
      </c>
      <c r="I4776" t="s">
        <v>11</v>
      </c>
    </row>
    <row r="4777" spans="1:9" hidden="1" x14ac:dyDescent="0.25">
      <c r="A4777" t="s">
        <v>17</v>
      </c>
      <c r="B4777" t="s">
        <v>189</v>
      </c>
      <c r="C4777">
        <v>202309</v>
      </c>
      <c r="D4777" t="str">
        <f t="shared" si="74"/>
        <v>2023</v>
      </c>
      <c r="E4777">
        <v>1834</v>
      </c>
      <c r="F4777">
        <v>88803</v>
      </c>
      <c r="G4777">
        <v>2.0699999999999998</v>
      </c>
      <c r="H4777" t="s">
        <v>10</v>
      </c>
      <c r="I4777" t="s">
        <v>11</v>
      </c>
    </row>
    <row r="4778" spans="1:9" hidden="1" x14ac:dyDescent="0.25">
      <c r="A4778" t="s">
        <v>17</v>
      </c>
      <c r="B4778" t="s">
        <v>189</v>
      </c>
      <c r="C4778">
        <v>202310</v>
      </c>
      <c r="D4778" t="str">
        <f t="shared" si="74"/>
        <v>2023</v>
      </c>
      <c r="E4778">
        <v>2332</v>
      </c>
      <c r="F4778">
        <v>88803</v>
      </c>
      <c r="G4778">
        <v>2.63</v>
      </c>
      <c r="H4778" t="s">
        <v>10</v>
      </c>
      <c r="I4778" t="s">
        <v>11</v>
      </c>
    </row>
    <row r="4779" spans="1:9" hidden="1" x14ac:dyDescent="0.25">
      <c r="A4779" t="s">
        <v>17</v>
      </c>
      <c r="B4779" t="s">
        <v>189</v>
      </c>
      <c r="C4779">
        <v>202311</v>
      </c>
      <c r="D4779" t="str">
        <f t="shared" si="74"/>
        <v>2023</v>
      </c>
      <c r="E4779">
        <v>3137</v>
      </c>
      <c r="F4779">
        <v>88803</v>
      </c>
      <c r="G4779">
        <v>3.53</v>
      </c>
      <c r="H4779" t="s">
        <v>10</v>
      </c>
      <c r="I4779" t="s">
        <v>11</v>
      </c>
    </row>
    <row r="4780" spans="1:9" hidden="1" x14ac:dyDescent="0.25">
      <c r="A4780" t="s">
        <v>17</v>
      </c>
      <c r="B4780" t="s">
        <v>189</v>
      </c>
      <c r="C4780">
        <v>202312</v>
      </c>
      <c r="D4780" t="str">
        <f t="shared" si="74"/>
        <v>2023</v>
      </c>
      <c r="E4780">
        <v>2709</v>
      </c>
      <c r="F4780">
        <v>88803</v>
      </c>
      <c r="G4780">
        <v>3.05</v>
      </c>
      <c r="H4780" t="s">
        <v>10</v>
      </c>
      <c r="I4780" t="s">
        <v>11</v>
      </c>
    </row>
    <row r="4781" spans="1:9" hidden="1" x14ac:dyDescent="0.25">
      <c r="A4781" t="s">
        <v>17</v>
      </c>
      <c r="B4781" t="s">
        <v>189</v>
      </c>
      <c r="C4781">
        <v>202401</v>
      </c>
      <c r="D4781" t="str">
        <f t="shared" si="74"/>
        <v>2024</v>
      </c>
      <c r="E4781">
        <v>5634</v>
      </c>
      <c r="F4781">
        <v>88803</v>
      </c>
      <c r="G4781">
        <v>6.34</v>
      </c>
      <c r="H4781" t="s">
        <v>10</v>
      </c>
      <c r="I4781" t="s">
        <v>11</v>
      </c>
    </row>
    <row r="4782" spans="1:9" hidden="1" x14ac:dyDescent="0.25">
      <c r="A4782" t="s">
        <v>17</v>
      </c>
      <c r="B4782" t="s">
        <v>189</v>
      </c>
      <c r="C4782">
        <v>202402</v>
      </c>
      <c r="D4782" t="str">
        <f t="shared" si="74"/>
        <v>2024</v>
      </c>
      <c r="E4782">
        <v>43166</v>
      </c>
      <c r="F4782">
        <v>88803</v>
      </c>
      <c r="G4782">
        <v>48.61</v>
      </c>
      <c r="H4782" t="s">
        <v>10</v>
      </c>
      <c r="I4782" t="s">
        <v>11</v>
      </c>
    </row>
    <row r="4783" spans="1:9" hidden="1" x14ac:dyDescent="0.25">
      <c r="A4783" t="s">
        <v>17</v>
      </c>
      <c r="B4783" t="s">
        <v>189</v>
      </c>
      <c r="C4783">
        <v>202403</v>
      </c>
      <c r="D4783" t="str">
        <f t="shared" si="74"/>
        <v>2024</v>
      </c>
      <c r="E4783">
        <v>24613</v>
      </c>
      <c r="F4783">
        <v>88803</v>
      </c>
      <c r="G4783">
        <v>27.72</v>
      </c>
      <c r="H4783" t="s">
        <v>10</v>
      </c>
      <c r="I4783" t="s">
        <v>11</v>
      </c>
    </row>
    <row r="4784" spans="1:9" hidden="1" x14ac:dyDescent="0.25">
      <c r="A4784" t="s">
        <v>17</v>
      </c>
      <c r="B4784" t="s">
        <v>162</v>
      </c>
      <c r="C4784">
        <v>202106</v>
      </c>
      <c r="D4784" t="str">
        <f t="shared" si="74"/>
        <v>2021</v>
      </c>
      <c r="E4784">
        <v>20</v>
      </c>
      <c r="F4784">
        <v>150361</v>
      </c>
      <c r="G4784">
        <v>0.01</v>
      </c>
      <c r="H4784" t="s">
        <v>10</v>
      </c>
      <c r="I4784" t="s">
        <v>11</v>
      </c>
    </row>
    <row r="4785" spans="1:9" hidden="1" x14ac:dyDescent="0.25">
      <c r="A4785" t="s">
        <v>17</v>
      </c>
      <c r="B4785" t="s">
        <v>162</v>
      </c>
      <c r="C4785">
        <v>202107</v>
      </c>
      <c r="D4785" t="str">
        <f t="shared" si="74"/>
        <v>2021</v>
      </c>
      <c r="E4785">
        <v>15</v>
      </c>
      <c r="F4785">
        <v>150361</v>
      </c>
      <c r="G4785">
        <v>0.01</v>
      </c>
      <c r="H4785" t="s">
        <v>10</v>
      </c>
      <c r="I4785" t="s">
        <v>11</v>
      </c>
    </row>
    <row r="4786" spans="1:9" hidden="1" x14ac:dyDescent="0.25">
      <c r="A4786" t="s">
        <v>17</v>
      </c>
      <c r="B4786" t="s">
        <v>162</v>
      </c>
      <c r="C4786">
        <v>202108</v>
      </c>
      <c r="D4786" t="str">
        <f t="shared" si="74"/>
        <v>2021</v>
      </c>
      <c r="E4786">
        <v>11</v>
      </c>
      <c r="F4786">
        <v>150361</v>
      </c>
      <c r="G4786">
        <v>0.01</v>
      </c>
      <c r="H4786" t="s">
        <v>10</v>
      </c>
      <c r="I4786" t="s">
        <v>11</v>
      </c>
    </row>
    <row r="4787" spans="1:9" hidden="1" x14ac:dyDescent="0.25">
      <c r="A4787" t="s">
        <v>17</v>
      </c>
      <c r="B4787" t="s">
        <v>162</v>
      </c>
      <c r="C4787">
        <v>202109</v>
      </c>
      <c r="D4787" t="str">
        <f t="shared" si="74"/>
        <v>2021</v>
      </c>
      <c r="E4787">
        <v>20</v>
      </c>
      <c r="F4787">
        <v>150361</v>
      </c>
      <c r="G4787">
        <v>0.01</v>
      </c>
      <c r="H4787" t="s">
        <v>10</v>
      </c>
      <c r="I4787" t="s">
        <v>11</v>
      </c>
    </row>
    <row r="4788" spans="1:9" hidden="1" x14ac:dyDescent="0.25">
      <c r="A4788" t="s">
        <v>17</v>
      </c>
      <c r="B4788" t="s">
        <v>162</v>
      </c>
      <c r="C4788">
        <v>202110</v>
      </c>
      <c r="D4788" t="str">
        <f t="shared" si="74"/>
        <v>2021</v>
      </c>
      <c r="E4788">
        <v>19</v>
      </c>
      <c r="F4788">
        <v>150361</v>
      </c>
      <c r="G4788">
        <v>0.01</v>
      </c>
      <c r="H4788" t="s">
        <v>10</v>
      </c>
      <c r="I4788" t="s">
        <v>11</v>
      </c>
    </row>
    <row r="4789" spans="1:9" hidden="1" x14ac:dyDescent="0.25">
      <c r="A4789" t="s">
        <v>17</v>
      </c>
      <c r="B4789" t="s">
        <v>162</v>
      </c>
      <c r="C4789">
        <v>202111</v>
      </c>
      <c r="D4789" t="str">
        <f t="shared" si="74"/>
        <v>2021</v>
      </c>
      <c r="E4789">
        <v>20</v>
      </c>
      <c r="F4789">
        <v>150361</v>
      </c>
      <c r="G4789">
        <v>0.01</v>
      </c>
      <c r="H4789" t="s">
        <v>10</v>
      </c>
      <c r="I4789" t="s">
        <v>11</v>
      </c>
    </row>
    <row r="4790" spans="1:9" hidden="1" x14ac:dyDescent="0.25">
      <c r="A4790" t="s">
        <v>17</v>
      </c>
      <c r="B4790" t="s">
        <v>162</v>
      </c>
      <c r="C4790">
        <v>202112</v>
      </c>
      <c r="D4790" t="str">
        <f t="shared" si="74"/>
        <v>2021</v>
      </c>
      <c r="E4790">
        <v>37</v>
      </c>
      <c r="F4790">
        <v>150361</v>
      </c>
      <c r="G4790">
        <v>0.02</v>
      </c>
      <c r="H4790" t="s">
        <v>10</v>
      </c>
      <c r="I4790" t="s">
        <v>11</v>
      </c>
    </row>
    <row r="4791" spans="1:9" hidden="1" x14ac:dyDescent="0.25">
      <c r="A4791" t="s">
        <v>17</v>
      </c>
      <c r="B4791" t="s">
        <v>162</v>
      </c>
      <c r="C4791">
        <v>202201</v>
      </c>
      <c r="D4791" t="str">
        <f t="shared" si="74"/>
        <v>2022</v>
      </c>
      <c r="E4791">
        <v>44</v>
      </c>
      <c r="F4791">
        <v>150361</v>
      </c>
      <c r="G4791">
        <v>0.03</v>
      </c>
      <c r="H4791" t="s">
        <v>10</v>
      </c>
      <c r="I4791" t="s">
        <v>11</v>
      </c>
    </row>
    <row r="4792" spans="1:9" hidden="1" x14ac:dyDescent="0.25">
      <c r="A4792" t="s">
        <v>17</v>
      </c>
      <c r="B4792" t="s">
        <v>162</v>
      </c>
      <c r="C4792">
        <v>202202</v>
      </c>
      <c r="D4792" t="str">
        <f t="shared" si="74"/>
        <v>2022</v>
      </c>
      <c r="E4792">
        <v>65</v>
      </c>
      <c r="F4792">
        <v>150361</v>
      </c>
      <c r="G4792">
        <v>0.04</v>
      </c>
      <c r="H4792" t="s">
        <v>10</v>
      </c>
      <c r="I4792" t="s">
        <v>11</v>
      </c>
    </row>
    <row r="4793" spans="1:9" hidden="1" x14ac:dyDescent="0.25">
      <c r="A4793" t="s">
        <v>17</v>
      </c>
      <c r="B4793" t="s">
        <v>162</v>
      </c>
      <c r="C4793">
        <v>202203</v>
      </c>
      <c r="D4793" t="str">
        <f t="shared" si="74"/>
        <v>2022</v>
      </c>
      <c r="E4793">
        <v>50</v>
      </c>
      <c r="F4793">
        <v>150361</v>
      </c>
      <c r="G4793">
        <v>0.03</v>
      </c>
      <c r="H4793" t="s">
        <v>10</v>
      </c>
      <c r="I4793" t="s">
        <v>11</v>
      </c>
    </row>
    <row r="4794" spans="1:9" hidden="1" x14ac:dyDescent="0.25">
      <c r="A4794" t="s">
        <v>17</v>
      </c>
      <c r="B4794" t="s">
        <v>162</v>
      </c>
      <c r="C4794">
        <v>202204</v>
      </c>
      <c r="D4794" t="str">
        <f t="shared" si="74"/>
        <v>2022</v>
      </c>
      <c r="E4794">
        <v>54</v>
      </c>
      <c r="F4794">
        <v>150361</v>
      </c>
      <c r="G4794">
        <v>0.04</v>
      </c>
      <c r="H4794" t="s">
        <v>10</v>
      </c>
      <c r="I4794" t="s">
        <v>11</v>
      </c>
    </row>
    <row r="4795" spans="1:9" hidden="1" x14ac:dyDescent="0.25">
      <c r="A4795" t="s">
        <v>17</v>
      </c>
      <c r="B4795" t="s">
        <v>162</v>
      </c>
      <c r="C4795">
        <v>202205</v>
      </c>
      <c r="D4795" t="str">
        <f t="shared" si="74"/>
        <v>2022</v>
      </c>
      <c r="E4795">
        <v>34</v>
      </c>
      <c r="F4795">
        <v>150361</v>
      </c>
      <c r="G4795">
        <v>0.02</v>
      </c>
      <c r="H4795" t="s">
        <v>10</v>
      </c>
      <c r="I4795" t="s">
        <v>11</v>
      </c>
    </row>
    <row r="4796" spans="1:9" hidden="1" x14ac:dyDescent="0.25">
      <c r="A4796" t="s">
        <v>17</v>
      </c>
      <c r="B4796" t="s">
        <v>162</v>
      </c>
      <c r="C4796">
        <v>202206</v>
      </c>
      <c r="D4796" t="str">
        <f t="shared" si="74"/>
        <v>2022</v>
      </c>
      <c r="E4796">
        <v>78</v>
      </c>
      <c r="F4796">
        <v>150361</v>
      </c>
      <c r="G4796">
        <v>0.05</v>
      </c>
      <c r="H4796" t="s">
        <v>10</v>
      </c>
      <c r="I4796" t="s">
        <v>11</v>
      </c>
    </row>
    <row r="4797" spans="1:9" hidden="1" x14ac:dyDescent="0.25">
      <c r="A4797" t="s">
        <v>17</v>
      </c>
      <c r="B4797" t="s">
        <v>162</v>
      </c>
      <c r="C4797">
        <v>202207</v>
      </c>
      <c r="D4797" t="str">
        <f t="shared" si="74"/>
        <v>2022</v>
      </c>
      <c r="E4797">
        <v>66</v>
      </c>
      <c r="F4797">
        <v>150361</v>
      </c>
      <c r="G4797">
        <v>0.04</v>
      </c>
      <c r="H4797" t="s">
        <v>10</v>
      </c>
      <c r="I4797" t="s">
        <v>11</v>
      </c>
    </row>
    <row r="4798" spans="1:9" hidden="1" x14ac:dyDescent="0.25">
      <c r="A4798" t="s">
        <v>17</v>
      </c>
      <c r="B4798" t="s">
        <v>162</v>
      </c>
      <c r="C4798">
        <v>202208</v>
      </c>
      <c r="D4798" t="str">
        <f t="shared" si="74"/>
        <v>2022</v>
      </c>
      <c r="E4798">
        <v>67</v>
      </c>
      <c r="F4798">
        <v>150361</v>
      </c>
      <c r="G4798">
        <v>0.04</v>
      </c>
      <c r="H4798" t="s">
        <v>10</v>
      </c>
      <c r="I4798" t="s">
        <v>11</v>
      </c>
    </row>
    <row r="4799" spans="1:9" hidden="1" x14ac:dyDescent="0.25">
      <c r="A4799" t="s">
        <v>17</v>
      </c>
      <c r="B4799" t="s">
        <v>162</v>
      </c>
      <c r="C4799">
        <v>202209</v>
      </c>
      <c r="D4799" t="str">
        <f t="shared" si="74"/>
        <v>2022</v>
      </c>
      <c r="E4799">
        <v>89</v>
      </c>
      <c r="F4799">
        <v>150361</v>
      </c>
      <c r="G4799">
        <v>0.06</v>
      </c>
      <c r="H4799" t="s">
        <v>10</v>
      </c>
      <c r="I4799" t="s">
        <v>11</v>
      </c>
    </row>
    <row r="4800" spans="1:9" hidden="1" x14ac:dyDescent="0.25">
      <c r="A4800" t="s">
        <v>17</v>
      </c>
      <c r="B4800" t="s">
        <v>162</v>
      </c>
      <c r="C4800">
        <v>202210</v>
      </c>
      <c r="D4800" t="str">
        <f t="shared" si="74"/>
        <v>2022</v>
      </c>
      <c r="E4800">
        <v>61</v>
      </c>
      <c r="F4800">
        <v>150361</v>
      </c>
      <c r="G4800">
        <v>0.04</v>
      </c>
      <c r="H4800" t="s">
        <v>10</v>
      </c>
      <c r="I4800" t="s">
        <v>11</v>
      </c>
    </row>
    <row r="4801" spans="1:9" hidden="1" x14ac:dyDescent="0.25">
      <c r="A4801" t="s">
        <v>17</v>
      </c>
      <c r="B4801" t="s">
        <v>162</v>
      </c>
      <c r="C4801">
        <v>202211</v>
      </c>
      <c r="D4801" t="str">
        <f t="shared" si="74"/>
        <v>2022</v>
      </c>
      <c r="E4801">
        <v>62</v>
      </c>
      <c r="F4801">
        <v>150361</v>
      </c>
      <c r="G4801">
        <v>0.04</v>
      </c>
      <c r="H4801" t="s">
        <v>10</v>
      </c>
      <c r="I4801" t="s">
        <v>11</v>
      </c>
    </row>
    <row r="4802" spans="1:9" hidden="1" x14ac:dyDescent="0.25">
      <c r="A4802" t="s">
        <v>17</v>
      </c>
      <c r="B4802" t="s">
        <v>162</v>
      </c>
      <c r="C4802">
        <v>202212</v>
      </c>
      <c r="D4802" t="str">
        <f t="shared" si="74"/>
        <v>2022</v>
      </c>
      <c r="E4802">
        <v>105</v>
      </c>
      <c r="F4802">
        <v>150361</v>
      </c>
      <c r="G4802">
        <v>7.0000000000000007E-2</v>
      </c>
      <c r="H4802" t="s">
        <v>10</v>
      </c>
      <c r="I4802" t="s">
        <v>11</v>
      </c>
    </row>
    <row r="4803" spans="1:9" hidden="1" x14ac:dyDescent="0.25">
      <c r="A4803" t="s">
        <v>17</v>
      </c>
      <c r="B4803" t="s">
        <v>162</v>
      </c>
      <c r="C4803">
        <v>202301</v>
      </c>
      <c r="D4803" t="str">
        <f t="shared" ref="D4803:D4866" si="75">LEFT(C4803,4)</f>
        <v>2023</v>
      </c>
      <c r="E4803">
        <v>784</v>
      </c>
      <c r="F4803">
        <v>150361</v>
      </c>
      <c r="G4803">
        <v>0.52</v>
      </c>
      <c r="H4803" t="s">
        <v>10</v>
      </c>
      <c r="I4803" t="s">
        <v>11</v>
      </c>
    </row>
    <row r="4804" spans="1:9" hidden="1" x14ac:dyDescent="0.25">
      <c r="A4804" t="s">
        <v>17</v>
      </c>
      <c r="B4804" t="s">
        <v>162</v>
      </c>
      <c r="C4804">
        <v>202302</v>
      </c>
      <c r="D4804" t="str">
        <f t="shared" si="75"/>
        <v>2023</v>
      </c>
      <c r="E4804">
        <v>1520</v>
      </c>
      <c r="F4804">
        <v>150361</v>
      </c>
      <c r="G4804">
        <v>1.01</v>
      </c>
      <c r="H4804" t="s">
        <v>10</v>
      </c>
      <c r="I4804" t="s">
        <v>11</v>
      </c>
    </row>
    <row r="4805" spans="1:9" hidden="1" x14ac:dyDescent="0.25">
      <c r="A4805" t="s">
        <v>17</v>
      </c>
      <c r="B4805" t="s">
        <v>162</v>
      </c>
      <c r="C4805">
        <v>202303</v>
      </c>
      <c r="D4805" t="str">
        <f t="shared" si="75"/>
        <v>2023</v>
      </c>
      <c r="E4805">
        <v>2154</v>
      </c>
      <c r="F4805">
        <v>150361</v>
      </c>
      <c r="G4805">
        <v>1.43</v>
      </c>
      <c r="H4805" t="s">
        <v>10</v>
      </c>
      <c r="I4805" t="s">
        <v>11</v>
      </c>
    </row>
    <row r="4806" spans="1:9" hidden="1" x14ac:dyDescent="0.25">
      <c r="A4806" t="s">
        <v>17</v>
      </c>
      <c r="B4806" t="s">
        <v>162</v>
      </c>
      <c r="C4806">
        <v>202304</v>
      </c>
      <c r="D4806" t="str">
        <f t="shared" si="75"/>
        <v>2023</v>
      </c>
      <c r="E4806">
        <v>2032</v>
      </c>
      <c r="F4806">
        <v>150361</v>
      </c>
      <c r="G4806">
        <v>1.35</v>
      </c>
      <c r="H4806" t="s">
        <v>10</v>
      </c>
      <c r="I4806" t="s">
        <v>11</v>
      </c>
    </row>
    <row r="4807" spans="1:9" hidden="1" x14ac:dyDescent="0.25">
      <c r="A4807" t="s">
        <v>17</v>
      </c>
      <c r="B4807" t="s">
        <v>162</v>
      </c>
      <c r="C4807">
        <v>202305</v>
      </c>
      <c r="D4807" t="str">
        <f t="shared" si="75"/>
        <v>2023</v>
      </c>
      <c r="E4807">
        <v>1791</v>
      </c>
      <c r="F4807">
        <v>150361</v>
      </c>
      <c r="G4807">
        <v>1.19</v>
      </c>
      <c r="H4807" t="s">
        <v>10</v>
      </c>
      <c r="I4807" t="s">
        <v>11</v>
      </c>
    </row>
    <row r="4808" spans="1:9" hidden="1" x14ac:dyDescent="0.25">
      <c r="A4808" t="s">
        <v>17</v>
      </c>
      <c r="B4808" t="s">
        <v>162</v>
      </c>
      <c r="C4808">
        <v>202306</v>
      </c>
      <c r="D4808" t="str">
        <f t="shared" si="75"/>
        <v>2023</v>
      </c>
      <c r="E4808">
        <v>2361</v>
      </c>
      <c r="F4808">
        <v>150361</v>
      </c>
      <c r="G4808">
        <v>1.57</v>
      </c>
      <c r="H4808" t="s">
        <v>10</v>
      </c>
      <c r="I4808" t="s">
        <v>11</v>
      </c>
    </row>
    <row r="4809" spans="1:9" hidden="1" x14ac:dyDescent="0.25">
      <c r="A4809" t="s">
        <v>17</v>
      </c>
      <c r="B4809" t="s">
        <v>162</v>
      </c>
      <c r="C4809">
        <v>202307</v>
      </c>
      <c r="D4809" t="str">
        <f t="shared" si="75"/>
        <v>2023</v>
      </c>
      <c r="E4809">
        <v>4603</v>
      </c>
      <c r="F4809">
        <v>150361</v>
      </c>
      <c r="G4809">
        <v>3.06</v>
      </c>
      <c r="H4809" t="s">
        <v>10</v>
      </c>
      <c r="I4809" t="s">
        <v>11</v>
      </c>
    </row>
    <row r="4810" spans="1:9" hidden="1" x14ac:dyDescent="0.25">
      <c r="A4810" t="s">
        <v>17</v>
      </c>
      <c r="B4810" t="s">
        <v>162</v>
      </c>
      <c r="C4810">
        <v>202308</v>
      </c>
      <c r="D4810" t="str">
        <f t="shared" si="75"/>
        <v>2023</v>
      </c>
      <c r="E4810">
        <v>8215</v>
      </c>
      <c r="F4810">
        <v>150361</v>
      </c>
      <c r="G4810">
        <v>5.46</v>
      </c>
      <c r="H4810" t="s">
        <v>10</v>
      </c>
      <c r="I4810" t="s">
        <v>11</v>
      </c>
    </row>
    <row r="4811" spans="1:9" hidden="1" x14ac:dyDescent="0.25">
      <c r="A4811" t="s">
        <v>17</v>
      </c>
      <c r="B4811" t="s">
        <v>162</v>
      </c>
      <c r="C4811">
        <v>202309</v>
      </c>
      <c r="D4811" t="str">
        <f t="shared" si="75"/>
        <v>2023</v>
      </c>
      <c r="E4811">
        <v>8179</v>
      </c>
      <c r="F4811">
        <v>150361</v>
      </c>
      <c r="G4811">
        <v>5.44</v>
      </c>
      <c r="H4811" t="s">
        <v>10</v>
      </c>
      <c r="I4811" t="s">
        <v>11</v>
      </c>
    </row>
    <row r="4812" spans="1:9" hidden="1" x14ac:dyDescent="0.25">
      <c r="A4812" t="s">
        <v>17</v>
      </c>
      <c r="B4812" t="s">
        <v>162</v>
      </c>
      <c r="C4812">
        <v>202310</v>
      </c>
      <c r="D4812" t="str">
        <f t="shared" si="75"/>
        <v>2023</v>
      </c>
      <c r="E4812">
        <v>9754</v>
      </c>
      <c r="F4812">
        <v>150361</v>
      </c>
      <c r="G4812">
        <v>6.49</v>
      </c>
      <c r="H4812" t="s">
        <v>10</v>
      </c>
      <c r="I4812" t="s">
        <v>11</v>
      </c>
    </row>
    <row r="4813" spans="1:9" hidden="1" x14ac:dyDescent="0.25">
      <c r="A4813" t="s">
        <v>17</v>
      </c>
      <c r="B4813" t="s">
        <v>162</v>
      </c>
      <c r="C4813">
        <v>202311</v>
      </c>
      <c r="D4813" t="str">
        <f t="shared" si="75"/>
        <v>2023</v>
      </c>
      <c r="E4813">
        <v>8380</v>
      </c>
      <c r="F4813">
        <v>150361</v>
      </c>
      <c r="G4813">
        <v>5.57</v>
      </c>
      <c r="H4813" t="s">
        <v>10</v>
      </c>
      <c r="I4813" t="s">
        <v>11</v>
      </c>
    </row>
    <row r="4814" spans="1:9" hidden="1" x14ac:dyDescent="0.25">
      <c r="A4814" t="s">
        <v>17</v>
      </c>
      <c r="B4814" t="s">
        <v>162</v>
      </c>
      <c r="C4814">
        <v>202312</v>
      </c>
      <c r="D4814" t="str">
        <f t="shared" si="75"/>
        <v>2023</v>
      </c>
      <c r="E4814">
        <v>8334</v>
      </c>
      <c r="F4814">
        <v>150361</v>
      </c>
      <c r="G4814">
        <v>5.54</v>
      </c>
      <c r="H4814" t="s">
        <v>10</v>
      </c>
      <c r="I4814" t="s">
        <v>11</v>
      </c>
    </row>
    <row r="4815" spans="1:9" hidden="1" x14ac:dyDescent="0.25">
      <c r="A4815" t="s">
        <v>17</v>
      </c>
      <c r="B4815" t="s">
        <v>162</v>
      </c>
      <c r="C4815">
        <v>202401</v>
      </c>
      <c r="D4815" t="str">
        <f t="shared" si="75"/>
        <v>2024</v>
      </c>
      <c r="E4815">
        <v>5881</v>
      </c>
      <c r="F4815">
        <v>150361</v>
      </c>
      <c r="G4815">
        <v>3.91</v>
      </c>
      <c r="H4815" t="s">
        <v>10</v>
      </c>
      <c r="I4815" t="s">
        <v>11</v>
      </c>
    </row>
    <row r="4816" spans="1:9" hidden="1" x14ac:dyDescent="0.25">
      <c r="A4816" t="s">
        <v>17</v>
      </c>
      <c r="B4816" t="s">
        <v>162</v>
      </c>
      <c r="C4816">
        <v>202402</v>
      </c>
      <c r="D4816" t="str">
        <f t="shared" si="75"/>
        <v>2024</v>
      </c>
      <c r="E4816">
        <v>9125</v>
      </c>
      <c r="F4816">
        <v>150361</v>
      </c>
      <c r="G4816">
        <v>6.07</v>
      </c>
      <c r="H4816" t="s">
        <v>10</v>
      </c>
      <c r="I4816" t="s">
        <v>11</v>
      </c>
    </row>
    <row r="4817" spans="1:9" hidden="1" x14ac:dyDescent="0.25">
      <c r="A4817" t="s">
        <v>17</v>
      </c>
      <c r="B4817" t="s">
        <v>162</v>
      </c>
      <c r="C4817">
        <v>202403</v>
      </c>
      <c r="D4817" t="str">
        <f t="shared" si="75"/>
        <v>2024</v>
      </c>
      <c r="E4817">
        <v>44229</v>
      </c>
      <c r="F4817">
        <v>150361</v>
      </c>
      <c r="G4817">
        <v>29.42</v>
      </c>
      <c r="H4817" t="s">
        <v>10</v>
      </c>
      <c r="I4817" t="s">
        <v>11</v>
      </c>
    </row>
    <row r="4818" spans="1:9" hidden="1" x14ac:dyDescent="0.25">
      <c r="A4818" t="s">
        <v>17</v>
      </c>
      <c r="B4818" t="s">
        <v>162</v>
      </c>
      <c r="C4818">
        <v>202404</v>
      </c>
      <c r="D4818" t="str">
        <f t="shared" si="75"/>
        <v>2024</v>
      </c>
      <c r="E4818">
        <v>32102</v>
      </c>
      <c r="F4818">
        <v>150361</v>
      </c>
      <c r="G4818">
        <v>21.35</v>
      </c>
      <c r="H4818" t="s">
        <v>10</v>
      </c>
      <c r="I4818" t="s">
        <v>11</v>
      </c>
    </row>
    <row r="4819" spans="1:9" hidden="1" x14ac:dyDescent="0.25">
      <c r="A4819" t="s">
        <v>17</v>
      </c>
      <c r="B4819" t="s">
        <v>52</v>
      </c>
      <c r="C4819">
        <v>201604</v>
      </c>
      <c r="D4819" t="str">
        <f t="shared" si="75"/>
        <v>2016</v>
      </c>
      <c r="E4819">
        <v>1</v>
      </c>
      <c r="F4819">
        <v>96421</v>
      </c>
      <c r="G4819">
        <v>0</v>
      </c>
      <c r="H4819" t="s">
        <v>10</v>
      </c>
      <c r="I4819" t="s">
        <v>11</v>
      </c>
    </row>
    <row r="4820" spans="1:9" hidden="1" x14ac:dyDescent="0.25">
      <c r="A4820" t="s">
        <v>17</v>
      </c>
      <c r="B4820" t="s">
        <v>52</v>
      </c>
      <c r="C4820">
        <v>201608</v>
      </c>
      <c r="D4820" t="str">
        <f t="shared" si="75"/>
        <v>2016</v>
      </c>
      <c r="E4820">
        <v>2</v>
      </c>
      <c r="F4820">
        <v>96421</v>
      </c>
      <c r="G4820">
        <v>0</v>
      </c>
      <c r="H4820" t="s">
        <v>10</v>
      </c>
      <c r="I4820" t="s">
        <v>11</v>
      </c>
    </row>
    <row r="4821" spans="1:9" hidden="1" x14ac:dyDescent="0.25">
      <c r="A4821" t="s">
        <v>17</v>
      </c>
      <c r="B4821" t="s">
        <v>52</v>
      </c>
      <c r="C4821">
        <v>201609</v>
      </c>
      <c r="D4821" t="str">
        <f t="shared" si="75"/>
        <v>2016</v>
      </c>
      <c r="E4821">
        <v>1</v>
      </c>
      <c r="F4821">
        <v>96421</v>
      </c>
      <c r="G4821">
        <v>0</v>
      </c>
      <c r="H4821" t="s">
        <v>10</v>
      </c>
      <c r="I4821" t="s">
        <v>11</v>
      </c>
    </row>
    <row r="4822" spans="1:9" hidden="1" x14ac:dyDescent="0.25">
      <c r="A4822" t="s">
        <v>17</v>
      </c>
      <c r="B4822" t="s">
        <v>52</v>
      </c>
      <c r="C4822">
        <v>201612</v>
      </c>
      <c r="D4822" t="str">
        <f t="shared" si="75"/>
        <v>2016</v>
      </c>
      <c r="E4822">
        <v>5</v>
      </c>
      <c r="F4822">
        <v>96421</v>
      </c>
      <c r="G4822">
        <v>0.01</v>
      </c>
      <c r="H4822" t="s">
        <v>10</v>
      </c>
      <c r="I4822" t="s">
        <v>11</v>
      </c>
    </row>
    <row r="4823" spans="1:9" hidden="1" x14ac:dyDescent="0.25">
      <c r="A4823" t="s">
        <v>17</v>
      </c>
      <c r="B4823" t="s">
        <v>52</v>
      </c>
      <c r="C4823">
        <v>201701</v>
      </c>
      <c r="D4823" t="str">
        <f t="shared" si="75"/>
        <v>2017</v>
      </c>
      <c r="E4823">
        <v>1</v>
      </c>
      <c r="F4823">
        <v>96421</v>
      </c>
      <c r="G4823">
        <v>0</v>
      </c>
      <c r="H4823" t="s">
        <v>10</v>
      </c>
      <c r="I4823" t="s">
        <v>11</v>
      </c>
    </row>
    <row r="4824" spans="1:9" hidden="1" x14ac:dyDescent="0.25">
      <c r="A4824" t="s">
        <v>17</v>
      </c>
      <c r="B4824" t="s">
        <v>52</v>
      </c>
      <c r="C4824">
        <v>201703</v>
      </c>
      <c r="D4824" t="str">
        <f t="shared" si="75"/>
        <v>2017</v>
      </c>
      <c r="E4824">
        <v>1</v>
      </c>
      <c r="F4824">
        <v>96421</v>
      </c>
      <c r="G4824">
        <v>0</v>
      </c>
      <c r="H4824" t="s">
        <v>10</v>
      </c>
      <c r="I4824" t="s">
        <v>11</v>
      </c>
    </row>
    <row r="4825" spans="1:9" hidden="1" x14ac:dyDescent="0.25">
      <c r="A4825" t="s">
        <v>17</v>
      </c>
      <c r="B4825" t="s">
        <v>52</v>
      </c>
      <c r="C4825">
        <v>201710</v>
      </c>
      <c r="D4825" t="str">
        <f t="shared" si="75"/>
        <v>2017</v>
      </c>
      <c r="E4825">
        <v>24</v>
      </c>
      <c r="F4825">
        <v>96421</v>
      </c>
      <c r="G4825">
        <v>0.02</v>
      </c>
      <c r="H4825" t="s">
        <v>10</v>
      </c>
      <c r="I4825" t="s">
        <v>11</v>
      </c>
    </row>
    <row r="4826" spans="1:9" hidden="1" x14ac:dyDescent="0.25">
      <c r="A4826" t="s">
        <v>17</v>
      </c>
      <c r="B4826" t="s">
        <v>52</v>
      </c>
      <c r="C4826">
        <v>201807</v>
      </c>
      <c r="D4826" t="str">
        <f t="shared" si="75"/>
        <v>2018</v>
      </c>
      <c r="E4826">
        <v>1</v>
      </c>
      <c r="F4826">
        <v>96421</v>
      </c>
      <c r="G4826">
        <v>0</v>
      </c>
      <c r="H4826" t="s">
        <v>10</v>
      </c>
      <c r="I4826" t="s">
        <v>11</v>
      </c>
    </row>
    <row r="4827" spans="1:9" hidden="1" x14ac:dyDescent="0.25">
      <c r="A4827" t="s">
        <v>17</v>
      </c>
      <c r="B4827" t="s">
        <v>52</v>
      </c>
      <c r="C4827">
        <v>201808</v>
      </c>
      <c r="D4827" t="str">
        <f t="shared" si="75"/>
        <v>2018</v>
      </c>
      <c r="E4827">
        <v>13</v>
      </c>
      <c r="F4827">
        <v>96421</v>
      </c>
      <c r="G4827">
        <v>0.01</v>
      </c>
      <c r="H4827" t="s">
        <v>10</v>
      </c>
      <c r="I4827" t="s">
        <v>11</v>
      </c>
    </row>
    <row r="4828" spans="1:9" hidden="1" x14ac:dyDescent="0.25">
      <c r="A4828" t="s">
        <v>17</v>
      </c>
      <c r="B4828" t="s">
        <v>52</v>
      </c>
      <c r="C4828">
        <v>201809</v>
      </c>
      <c r="D4828" t="str">
        <f t="shared" si="75"/>
        <v>2018</v>
      </c>
      <c r="E4828">
        <v>10</v>
      </c>
      <c r="F4828">
        <v>96421</v>
      </c>
      <c r="G4828">
        <v>0.01</v>
      </c>
      <c r="H4828" t="s">
        <v>10</v>
      </c>
      <c r="I4828" t="s">
        <v>11</v>
      </c>
    </row>
    <row r="4829" spans="1:9" hidden="1" x14ac:dyDescent="0.25">
      <c r="A4829" t="s">
        <v>17</v>
      </c>
      <c r="B4829" t="s">
        <v>52</v>
      </c>
      <c r="C4829">
        <v>201810</v>
      </c>
      <c r="D4829" t="str">
        <f t="shared" si="75"/>
        <v>2018</v>
      </c>
      <c r="E4829">
        <v>3</v>
      </c>
      <c r="F4829">
        <v>96421</v>
      </c>
      <c r="G4829">
        <v>0</v>
      </c>
      <c r="H4829" t="s">
        <v>10</v>
      </c>
      <c r="I4829" t="s">
        <v>11</v>
      </c>
    </row>
    <row r="4830" spans="1:9" hidden="1" x14ac:dyDescent="0.25">
      <c r="A4830" t="s">
        <v>17</v>
      </c>
      <c r="B4830" t="s">
        <v>52</v>
      </c>
      <c r="C4830">
        <v>201811</v>
      </c>
      <c r="D4830" t="str">
        <f t="shared" si="75"/>
        <v>2018</v>
      </c>
      <c r="E4830">
        <v>26</v>
      </c>
      <c r="F4830">
        <v>96421</v>
      </c>
      <c r="G4830">
        <v>0.03</v>
      </c>
      <c r="H4830" t="s">
        <v>10</v>
      </c>
      <c r="I4830" t="s">
        <v>11</v>
      </c>
    </row>
    <row r="4831" spans="1:9" hidden="1" x14ac:dyDescent="0.25">
      <c r="A4831" t="s">
        <v>17</v>
      </c>
      <c r="B4831" t="s">
        <v>52</v>
      </c>
      <c r="C4831">
        <v>201812</v>
      </c>
      <c r="D4831" t="str">
        <f t="shared" si="75"/>
        <v>2018</v>
      </c>
      <c r="E4831">
        <v>17</v>
      </c>
      <c r="F4831">
        <v>96421</v>
      </c>
      <c r="G4831">
        <v>0.02</v>
      </c>
      <c r="H4831" t="s">
        <v>10</v>
      </c>
      <c r="I4831" t="s">
        <v>11</v>
      </c>
    </row>
    <row r="4832" spans="1:9" hidden="1" x14ac:dyDescent="0.25">
      <c r="A4832" t="s">
        <v>17</v>
      </c>
      <c r="B4832" t="s">
        <v>52</v>
      </c>
      <c r="C4832">
        <v>201907</v>
      </c>
      <c r="D4832" t="str">
        <f t="shared" si="75"/>
        <v>2019</v>
      </c>
      <c r="E4832">
        <v>18</v>
      </c>
      <c r="F4832">
        <v>96421</v>
      </c>
      <c r="G4832">
        <v>0.02</v>
      </c>
      <c r="H4832" t="s">
        <v>10</v>
      </c>
      <c r="I4832" t="s">
        <v>11</v>
      </c>
    </row>
    <row r="4833" spans="1:9" hidden="1" x14ac:dyDescent="0.25">
      <c r="A4833" t="s">
        <v>17</v>
      </c>
      <c r="B4833" t="s">
        <v>52</v>
      </c>
      <c r="C4833">
        <v>201912</v>
      </c>
      <c r="D4833" t="str">
        <f t="shared" si="75"/>
        <v>2019</v>
      </c>
      <c r="E4833">
        <v>12</v>
      </c>
      <c r="F4833">
        <v>96421</v>
      </c>
      <c r="G4833">
        <v>0.01</v>
      </c>
      <c r="H4833" t="s">
        <v>10</v>
      </c>
      <c r="I4833" t="s">
        <v>11</v>
      </c>
    </row>
    <row r="4834" spans="1:9" hidden="1" x14ac:dyDescent="0.25">
      <c r="A4834" t="s">
        <v>17</v>
      </c>
      <c r="B4834" t="s">
        <v>52</v>
      </c>
      <c r="C4834">
        <v>202003</v>
      </c>
      <c r="D4834" t="str">
        <f t="shared" si="75"/>
        <v>2020</v>
      </c>
      <c r="E4834">
        <v>24</v>
      </c>
      <c r="F4834">
        <v>96421</v>
      </c>
      <c r="G4834">
        <v>0.02</v>
      </c>
      <c r="H4834" t="s">
        <v>10</v>
      </c>
      <c r="I4834" t="s">
        <v>11</v>
      </c>
    </row>
    <row r="4835" spans="1:9" hidden="1" x14ac:dyDescent="0.25">
      <c r="A4835" t="s">
        <v>17</v>
      </c>
      <c r="B4835" t="s">
        <v>52</v>
      </c>
      <c r="C4835">
        <v>202008</v>
      </c>
      <c r="D4835" t="str">
        <f t="shared" si="75"/>
        <v>2020</v>
      </c>
      <c r="E4835">
        <v>21</v>
      </c>
      <c r="F4835">
        <v>96421</v>
      </c>
      <c r="G4835">
        <v>0.02</v>
      </c>
      <c r="H4835" t="s">
        <v>10</v>
      </c>
      <c r="I4835" t="s">
        <v>11</v>
      </c>
    </row>
    <row r="4836" spans="1:9" hidden="1" x14ac:dyDescent="0.25">
      <c r="A4836" t="s">
        <v>17</v>
      </c>
      <c r="B4836" t="s">
        <v>52</v>
      </c>
      <c r="C4836">
        <v>202109</v>
      </c>
      <c r="D4836" t="str">
        <f t="shared" si="75"/>
        <v>2021</v>
      </c>
      <c r="E4836">
        <v>5</v>
      </c>
      <c r="F4836">
        <v>96421</v>
      </c>
      <c r="G4836">
        <v>0.01</v>
      </c>
      <c r="H4836" t="s">
        <v>10</v>
      </c>
      <c r="I4836" t="s">
        <v>11</v>
      </c>
    </row>
    <row r="4837" spans="1:9" hidden="1" x14ac:dyDescent="0.25">
      <c r="A4837" t="s">
        <v>17</v>
      </c>
      <c r="B4837" t="s">
        <v>52</v>
      </c>
      <c r="C4837">
        <v>202110</v>
      </c>
      <c r="D4837" t="str">
        <f t="shared" si="75"/>
        <v>2021</v>
      </c>
      <c r="E4837">
        <v>4</v>
      </c>
      <c r="F4837">
        <v>96421</v>
      </c>
      <c r="G4837">
        <v>0</v>
      </c>
      <c r="H4837" t="s">
        <v>10</v>
      </c>
      <c r="I4837" t="s">
        <v>11</v>
      </c>
    </row>
    <row r="4838" spans="1:9" hidden="1" x14ac:dyDescent="0.25">
      <c r="A4838" t="s">
        <v>17</v>
      </c>
      <c r="B4838" t="s">
        <v>52</v>
      </c>
      <c r="C4838">
        <v>202201</v>
      </c>
      <c r="D4838" t="str">
        <f t="shared" si="75"/>
        <v>2022</v>
      </c>
      <c r="E4838">
        <v>124</v>
      </c>
      <c r="F4838">
        <v>96421</v>
      </c>
      <c r="G4838">
        <v>0.13</v>
      </c>
      <c r="H4838" t="s">
        <v>10</v>
      </c>
      <c r="I4838" t="s">
        <v>11</v>
      </c>
    </row>
    <row r="4839" spans="1:9" hidden="1" x14ac:dyDescent="0.25">
      <c r="A4839" t="s">
        <v>17</v>
      </c>
      <c r="B4839" t="s">
        <v>52</v>
      </c>
      <c r="C4839">
        <v>202202</v>
      </c>
      <c r="D4839" t="str">
        <f t="shared" si="75"/>
        <v>2022</v>
      </c>
      <c r="E4839">
        <v>123</v>
      </c>
      <c r="F4839">
        <v>96421</v>
      </c>
      <c r="G4839">
        <v>0.13</v>
      </c>
      <c r="H4839" t="s">
        <v>10</v>
      </c>
      <c r="I4839" t="s">
        <v>11</v>
      </c>
    </row>
    <row r="4840" spans="1:9" hidden="1" x14ac:dyDescent="0.25">
      <c r="A4840" t="s">
        <v>17</v>
      </c>
      <c r="B4840" t="s">
        <v>52</v>
      </c>
      <c r="C4840">
        <v>202203</v>
      </c>
      <c r="D4840" t="str">
        <f t="shared" si="75"/>
        <v>2022</v>
      </c>
      <c r="E4840">
        <v>94</v>
      </c>
      <c r="F4840">
        <v>96421</v>
      </c>
      <c r="G4840">
        <v>0.1</v>
      </c>
      <c r="H4840" t="s">
        <v>10</v>
      </c>
      <c r="I4840" t="s">
        <v>11</v>
      </c>
    </row>
    <row r="4841" spans="1:9" hidden="1" x14ac:dyDescent="0.25">
      <c r="A4841" t="s">
        <v>17</v>
      </c>
      <c r="B4841" t="s">
        <v>52</v>
      </c>
      <c r="C4841">
        <v>202204</v>
      </c>
      <c r="D4841" t="str">
        <f t="shared" si="75"/>
        <v>2022</v>
      </c>
      <c r="E4841">
        <v>103</v>
      </c>
      <c r="F4841">
        <v>96421</v>
      </c>
      <c r="G4841">
        <v>0.11</v>
      </c>
      <c r="H4841" t="s">
        <v>10</v>
      </c>
      <c r="I4841" t="s">
        <v>11</v>
      </c>
    </row>
    <row r="4842" spans="1:9" hidden="1" x14ac:dyDescent="0.25">
      <c r="A4842" t="s">
        <v>17</v>
      </c>
      <c r="B4842" t="s">
        <v>52</v>
      </c>
      <c r="C4842">
        <v>202205</v>
      </c>
      <c r="D4842" t="str">
        <f t="shared" si="75"/>
        <v>2022</v>
      </c>
      <c r="E4842">
        <v>60</v>
      </c>
      <c r="F4842">
        <v>96421</v>
      </c>
      <c r="G4842">
        <v>0.06</v>
      </c>
      <c r="H4842" t="s">
        <v>10</v>
      </c>
      <c r="I4842" t="s">
        <v>11</v>
      </c>
    </row>
    <row r="4843" spans="1:9" hidden="1" x14ac:dyDescent="0.25">
      <c r="A4843" t="s">
        <v>17</v>
      </c>
      <c r="B4843" t="s">
        <v>52</v>
      </c>
      <c r="C4843">
        <v>202206</v>
      </c>
      <c r="D4843" t="str">
        <f t="shared" si="75"/>
        <v>2022</v>
      </c>
      <c r="E4843">
        <v>50</v>
      </c>
      <c r="F4843">
        <v>96421</v>
      </c>
      <c r="G4843">
        <v>0.05</v>
      </c>
      <c r="H4843" t="s">
        <v>10</v>
      </c>
      <c r="I4843" t="s">
        <v>11</v>
      </c>
    </row>
    <row r="4844" spans="1:9" hidden="1" x14ac:dyDescent="0.25">
      <c r="A4844" t="s">
        <v>17</v>
      </c>
      <c r="B4844" t="s">
        <v>52</v>
      </c>
      <c r="C4844">
        <v>202207</v>
      </c>
      <c r="D4844" t="str">
        <f t="shared" si="75"/>
        <v>2022</v>
      </c>
      <c r="E4844">
        <v>1</v>
      </c>
      <c r="F4844">
        <v>96421</v>
      </c>
      <c r="G4844">
        <v>0</v>
      </c>
      <c r="H4844" t="s">
        <v>10</v>
      </c>
      <c r="I4844" t="s">
        <v>11</v>
      </c>
    </row>
    <row r="4845" spans="1:9" hidden="1" x14ac:dyDescent="0.25">
      <c r="A4845" t="s">
        <v>17</v>
      </c>
      <c r="B4845" t="s">
        <v>52</v>
      </c>
      <c r="C4845">
        <v>202208</v>
      </c>
      <c r="D4845" t="str">
        <f t="shared" si="75"/>
        <v>2022</v>
      </c>
      <c r="E4845">
        <v>156</v>
      </c>
      <c r="F4845">
        <v>96421</v>
      </c>
      <c r="G4845">
        <v>0.16</v>
      </c>
      <c r="H4845" t="s">
        <v>10</v>
      </c>
      <c r="I4845" t="s">
        <v>11</v>
      </c>
    </row>
    <row r="4846" spans="1:9" hidden="1" x14ac:dyDescent="0.25">
      <c r="A4846" t="s">
        <v>17</v>
      </c>
      <c r="B4846" t="s">
        <v>52</v>
      </c>
      <c r="C4846">
        <v>202209</v>
      </c>
      <c r="D4846" t="str">
        <f t="shared" si="75"/>
        <v>2022</v>
      </c>
      <c r="E4846">
        <v>119</v>
      </c>
      <c r="F4846">
        <v>96421</v>
      </c>
      <c r="G4846">
        <v>0.12</v>
      </c>
      <c r="H4846" t="s">
        <v>10</v>
      </c>
      <c r="I4846" t="s">
        <v>11</v>
      </c>
    </row>
    <row r="4847" spans="1:9" hidden="1" x14ac:dyDescent="0.25">
      <c r="A4847" t="s">
        <v>17</v>
      </c>
      <c r="B4847" t="s">
        <v>52</v>
      </c>
      <c r="C4847">
        <v>202210</v>
      </c>
      <c r="D4847" t="str">
        <f t="shared" si="75"/>
        <v>2022</v>
      </c>
      <c r="E4847">
        <v>117</v>
      </c>
      <c r="F4847">
        <v>96421</v>
      </c>
      <c r="G4847">
        <v>0.12</v>
      </c>
      <c r="H4847" t="s">
        <v>10</v>
      </c>
      <c r="I4847" t="s">
        <v>11</v>
      </c>
    </row>
    <row r="4848" spans="1:9" hidden="1" x14ac:dyDescent="0.25">
      <c r="A4848" t="s">
        <v>17</v>
      </c>
      <c r="B4848" t="s">
        <v>52</v>
      </c>
      <c r="C4848">
        <v>202211</v>
      </c>
      <c r="D4848" t="str">
        <f t="shared" si="75"/>
        <v>2022</v>
      </c>
      <c r="E4848">
        <v>153</v>
      </c>
      <c r="F4848">
        <v>96421</v>
      </c>
      <c r="G4848">
        <v>0.16</v>
      </c>
      <c r="H4848" t="s">
        <v>10</v>
      </c>
      <c r="I4848" t="s">
        <v>11</v>
      </c>
    </row>
    <row r="4849" spans="1:9" hidden="1" x14ac:dyDescent="0.25">
      <c r="A4849" t="s">
        <v>17</v>
      </c>
      <c r="B4849" t="s">
        <v>52</v>
      </c>
      <c r="C4849">
        <v>202212</v>
      </c>
      <c r="D4849" t="str">
        <f t="shared" si="75"/>
        <v>2022</v>
      </c>
      <c r="E4849">
        <v>120</v>
      </c>
      <c r="F4849">
        <v>96421</v>
      </c>
      <c r="G4849">
        <v>0.12</v>
      </c>
      <c r="H4849" t="s">
        <v>10</v>
      </c>
      <c r="I4849" t="s">
        <v>11</v>
      </c>
    </row>
    <row r="4850" spans="1:9" hidden="1" x14ac:dyDescent="0.25">
      <c r="A4850" t="s">
        <v>17</v>
      </c>
      <c r="B4850" t="s">
        <v>52</v>
      </c>
      <c r="C4850">
        <v>202301</v>
      </c>
      <c r="D4850" t="str">
        <f t="shared" si="75"/>
        <v>2023</v>
      </c>
      <c r="E4850">
        <v>295</v>
      </c>
      <c r="F4850">
        <v>96421</v>
      </c>
      <c r="G4850">
        <v>0.31</v>
      </c>
      <c r="H4850" t="s">
        <v>10</v>
      </c>
      <c r="I4850" t="s">
        <v>11</v>
      </c>
    </row>
    <row r="4851" spans="1:9" hidden="1" x14ac:dyDescent="0.25">
      <c r="A4851" t="s">
        <v>17</v>
      </c>
      <c r="B4851" t="s">
        <v>52</v>
      </c>
      <c r="C4851">
        <v>202302</v>
      </c>
      <c r="D4851" t="str">
        <f t="shared" si="75"/>
        <v>2023</v>
      </c>
      <c r="E4851">
        <v>206</v>
      </c>
      <c r="F4851">
        <v>96421</v>
      </c>
      <c r="G4851">
        <v>0.21</v>
      </c>
      <c r="H4851" t="s">
        <v>10</v>
      </c>
      <c r="I4851" t="s">
        <v>11</v>
      </c>
    </row>
    <row r="4852" spans="1:9" hidden="1" x14ac:dyDescent="0.25">
      <c r="A4852" t="s">
        <v>17</v>
      </c>
      <c r="B4852" t="s">
        <v>52</v>
      </c>
      <c r="C4852">
        <v>202303</v>
      </c>
      <c r="D4852" t="str">
        <f t="shared" si="75"/>
        <v>2023</v>
      </c>
      <c r="E4852">
        <v>396</v>
      </c>
      <c r="F4852">
        <v>96421</v>
      </c>
      <c r="G4852">
        <v>0.41</v>
      </c>
      <c r="H4852" t="s">
        <v>10</v>
      </c>
      <c r="I4852" t="s">
        <v>11</v>
      </c>
    </row>
    <row r="4853" spans="1:9" hidden="1" x14ac:dyDescent="0.25">
      <c r="A4853" t="s">
        <v>17</v>
      </c>
      <c r="B4853" t="s">
        <v>52</v>
      </c>
      <c r="C4853">
        <v>202304</v>
      </c>
      <c r="D4853" t="str">
        <f t="shared" si="75"/>
        <v>2023</v>
      </c>
      <c r="E4853">
        <v>447</v>
      </c>
      <c r="F4853">
        <v>96421</v>
      </c>
      <c r="G4853">
        <v>0.46</v>
      </c>
      <c r="H4853" t="s">
        <v>10</v>
      </c>
      <c r="I4853" t="s">
        <v>11</v>
      </c>
    </row>
    <row r="4854" spans="1:9" hidden="1" x14ac:dyDescent="0.25">
      <c r="A4854" t="s">
        <v>17</v>
      </c>
      <c r="B4854" t="s">
        <v>52</v>
      </c>
      <c r="C4854">
        <v>202305</v>
      </c>
      <c r="D4854" t="str">
        <f t="shared" si="75"/>
        <v>2023</v>
      </c>
      <c r="E4854">
        <v>401</v>
      </c>
      <c r="F4854">
        <v>96421</v>
      </c>
      <c r="G4854">
        <v>0.42</v>
      </c>
      <c r="H4854" t="s">
        <v>10</v>
      </c>
      <c r="I4854" t="s">
        <v>11</v>
      </c>
    </row>
    <row r="4855" spans="1:9" hidden="1" x14ac:dyDescent="0.25">
      <c r="A4855" t="s">
        <v>17</v>
      </c>
      <c r="B4855" t="s">
        <v>52</v>
      </c>
      <c r="C4855">
        <v>202306</v>
      </c>
      <c r="D4855" t="str">
        <f t="shared" si="75"/>
        <v>2023</v>
      </c>
      <c r="E4855">
        <v>615</v>
      </c>
      <c r="F4855">
        <v>96421</v>
      </c>
      <c r="G4855">
        <v>0.64</v>
      </c>
      <c r="H4855" t="s">
        <v>10</v>
      </c>
      <c r="I4855" t="s">
        <v>11</v>
      </c>
    </row>
    <row r="4856" spans="1:9" hidden="1" x14ac:dyDescent="0.25">
      <c r="A4856" t="s">
        <v>17</v>
      </c>
      <c r="B4856" t="s">
        <v>52</v>
      </c>
      <c r="C4856">
        <v>202307</v>
      </c>
      <c r="D4856" t="str">
        <f t="shared" si="75"/>
        <v>2023</v>
      </c>
      <c r="E4856">
        <v>420</v>
      </c>
      <c r="F4856">
        <v>96421</v>
      </c>
      <c r="G4856">
        <v>0.44</v>
      </c>
      <c r="H4856" t="s">
        <v>10</v>
      </c>
      <c r="I4856" t="s">
        <v>11</v>
      </c>
    </row>
    <row r="4857" spans="1:9" hidden="1" x14ac:dyDescent="0.25">
      <c r="A4857" t="s">
        <v>17</v>
      </c>
      <c r="B4857" t="s">
        <v>52</v>
      </c>
      <c r="C4857">
        <v>202308</v>
      </c>
      <c r="D4857" t="str">
        <f t="shared" si="75"/>
        <v>2023</v>
      </c>
      <c r="E4857">
        <v>864</v>
      </c>
      <c r="F4857">
        <v>96421</v>
      </c>
      <c r="G4857">
        <v>0.9</v>
      </c>
      <c r="H4857" t="s">
        <v>10</v>
      </c>
      <c r="I4857" t="s">
        <v>11</v>
      </c>
    </row>
    <row r="4858" spans="1:9" hidden="1" x14ac:dyDescent="0.25">
      <c r="A4858" t="s">
        <v>17</v>
      </c>
      <c r="B4858" t="s">
        <v>52</v>
      </c>
      <c r="C4858">
        <v>202309</v>
      </c>
      <c r="D4858" t="str">
        <f t="shared" si="75"/>
        <v>2023</v>
      </c>
      <c r="E4858">
        <v>839</v>
      </c>
      <c r="F4858">
        <v>96421</v>
      </c>
      <c r="G4858">
        <v>0.87</v>
      </c>
      <c r="H4858" t="s">
        <v>10</v>
      </c>
      <c r="I4858" t="s">
        <v>11</v>
      </c>
    </row>
    <row r="4859" spans="1:9" hidden="1" x14ac:dyDescent="0.25">
      <c r="A4859" t="s">
        <v>17</v>
      </c>
      <c r="B4859" t="s">
        <v>52</v>
      </c>
      <c r="C4859">
        <v>202310</v>
      </c>
      <c r="D4859" t="str">
        <f t="shared" si="75"/>
        <v>2023</v>
      </c>
      <c r="E4859">
        <v>1253</v>
      </c>
      <c r="F4859">
        <v>96421</v>
      </c>
      <c r="G4859">
        <v>1.3</v>
      </c>
      <c r="H4859" t="s">
        <v>10</v>
      </c>
      <c r="I4859" t="s">
        <v>11</v>
      </c>
    </row>
    <row r="4860" spans="1:9" hidden="1" x14ac:dyDescent="0.25">
      <c r="A4860" t="s">
        <v>17</v>
      </c>
      <c r="B4860" t="s">
        <v>52</v>
      </c>
      <c r="C4860">
        <v>202311</v>
      </c>
      <c r="D4860" t="str">
        <f t="shared" si="75"/>
        <v>2023</v>
      </c>
      <c r="E4860">
        <v>1186</v>
      </c>
      <c r="F4860">
        <v>96421</v>
      </c>
      <c r="G4860">
        <v>1.23</v>
      </c>
      <c r="H4860" t="s">
        <v>10</v>
      </c>
      <c r="I4860" t="s">
        <v>11</v>
      </c>
    </row>
    <row r="4861" spans="1:9" hidden="1" x14ac:dyDescent="0.25">
      <c r="A4861" t="s">
        <v>17</v>
      </c>
      <c r="B4861" t="s">
        <v>52</v>
      </c>
      <c r="C4861">
        <v>202312</v>
      </c>
      <c r="D4861" t="str">
        <f t="shared" si="75"/>
        <v>2023</v>
      </c>
      <c r="E4861">
        <v>1458</v>
      </c>
      <c r="F4861">
        <v>96421</v>
      </c>
      <c r="G4861">
        <v>1.51</v>
      </c>
      <c r="H4861" t="s">
        <v>10</v>
      </c>
      <c r="I4861" t="s">
        <v>11</v>
      </c>
    </row>
    <row r="4862" spans="1:9" hidden="1" x14ac:dyDescent="0.25">
      <c r="A4862" t="s">
        <v>17</v>
      </c>
      <c r="B4862" t="s">
        <v>52</v>
      </c>
      <c r="C4862">
        <v>202401</v>
      </c>
      <c r="D4862" t="str">
        <f t="shared" si="75"/>
        <v>2024</v>
      </c>
      <c r="E4862">
        <v>2638</v>
      </c>
      <c r="F4862">
        <v>96421</v>
      </c>
      <c r="G4862">
        <v>2.74</v>
      </c>
      <c r="H4862" t="s">
        <v>10</v>
      </c>
      <c r="I4862" t="s">
        <v>11</v>
      </c>
    </row>
    <row r="4863" spans="1:9" hidden="1" x14ac:dyDescent="0.25">
      <c r="A4863" t="s">
        <v>17</v>
      </c>
      <c r="B4863" t="s">
        <v>52</v>
      </c>
      <c r="C4863">
        <v>202402</v>
      </c>
      <c r="D4863" t="str">
        <f t="shared" si="75"/>
        <v>2024</v>
      </c>
      <c r="E4863">
        <v>2784</v>
      </c>
      <c r="F4863">
        <v>96421</v>
      </c>
      <c r="G4863">
        <v>2.89</v>
      </c>
      <c r="H4863" t="s">
        <v>10</v>
      </c>
      <c r="I4863" t="s">
        <v>11</v>
      </c>
    </row>
    <row r="4864" spans="1:9" hidden="1" x14ac:dyDescent="0.25">
      <c r="A4864" t="s">
        <v>17</v>
      </c>
      <c r="B4864" t="s">
        <v>52</v>
      </c>
      <c r="C4864">
        <v>202403</v>
      </c>
      <c r="D4864" t="str">
        <f t="shared" si="75"/>
        <v>2024</v>
      </c>
      <c r="E4864">
        <v>4304</v>
      </c>
      <c r="F4864">
        <v>96421</v>
      </c>
      <c r="G4864">
        <v>4.46</v>
      </c>
      <c r="H4864" t="s">
        <v>10</v>
      </c>
      <c r="I4864" t="s">
        <v>11</v>
      </c>
    </row>
    <row r="4865" spans="1:9" hidden="1" x14ac:dyDescent="0.25">
      <c r="A4865" t="s">
        <v>17</v>
      </c>
      <c r="B4865" t="s">
        <v>52</v>
      </c>
      <c r="C4865">
        <v>202404</v>
      </c>
      <c r="D4865" t="str">
        <f t="shared" si="75"/>
        <v>2024</v>
      </c>
      <c r="E4865">
        <v>41932</v>
      </c>
      <c r="F4865">
        <v>96421</v>
      </c>
      <c r="G4865">
        <v>43.49</v>
      </c>
      <c r="H4865" t="s">
        <v>10</v>
      </c>
      <c r="I4865" t="s">
        <v>11</v>
      </c>
    </row>
    <row r="4866" spans="1:9" hidden="1" x14ac:dyDescent="0.25">
      <c r="A4866" t="s">
        <v>17</v>
      </c>
      <c r="B4866" t="s">
        <v>52</v>
      </c>
      <c r="C4866">
        <v>202405</v>
      </c>
      <c r="D4866" t="str">
        <f t="shared" si="75"/>
        <v>2024</v>
      </c>
      <c r="E4866">
        <v>34974</v>
      </c>
      <c r="F4866">
        <v>96421</v>
      </c>
      <c r="G4866">
        <v>36.270000000000003</v>
      </c>
      <c r="H4866" t="s">
        <v>10</v>
      </c>
      <c r="I4866" t="s">
        <v>11</v>
      </c>
    </row>
    <row r="4867" spans="1:9" hidden="1" x14ac:dyDescent="0.25">
      <c r="A4867" t="s">
        <v>17</v>
      </c>
      <c r="B4867" t="s">
        <v>103</v>
      </c>
      <c r="C4867">
        <v>202110</v>
      </c>
      <c r="D4867" t="str">
        <f t="shared" ref="D4867:D4930" si="76">LEFT(C4867,4)</f>
        <v>2021</v>
      </c>
      <c r="E4867">
        <v>1</v>
      </c>
      <c r="F4867">
        <v>102465</v>
      </c>
      <c r="G4867">
        <v>0</v>
      </c>
      <c r="H4867" t="s">
        <v>10</v>
      </c>
      <c r="I4867" t="s">
        <v>11</v>
      </c>
    </row>
    <row r="4868" spans="1:9" hidden="1" x14ac:dyDescent="0.25">
      <c r="A4868" t="s">
        <v>17</v>
      </c>
      <c r="B4868" t="s">
        <v>103</v>
      </c>
      <c r="C4868">
        <v>202201</v>
      </c>
      <c r="D4868" t="str">
        <f t="shared" si="76"/>
        <v>2022</v>
      </c>
      <c r="E4868">
        <v>50</v>
      </c>
      <c r="F4868">
        <v>102465</v>
      </c>
      <c r="G4868">
        <v>0.05</v>
      </c>
      <c r="H4868" t="s">
        <v>10</v>
      </c>
      <c r="I4868" t="s">
        <v>11</v>
      </c>
    </row>
    <row r="4869" spans="1:9" hidden="1" x14ac:dyDescent="0.25">
      <c r="A4869" t="s">
        <v>17</v>
      </c>
      <c r="B4869" t="s">
        <v>103</v>
      </c>
      <c r="C4869">
        <v>202202</v>
      </c>
      <c r="D4869" t="str">
        <f t="shared" si="76"/>
        <v>2022</v>
      </c>
      <c r="E4869">
        <v>27</v>
      </c>
      <c r="F4869">
        <v>102465</v>
      </c>
      <c r="G4869">
        <v>0.03</v>
      </c>
      <c r="H4869" t="s">
        <v>10</v>
      </c>
      <c r="I4869" t="s">
        <v>11</v>
      </c>
    </row>
    <row r="4870" spans="1:9" hidden="1" x14ac:dyDescent="0.25">
      <c r="A4870" t="s">
        <v>17</v>
      </c>
      <c r="B4870" t="s">
        <v>103</v>
      </c>
      <c r="C4870">
        <v>202203</v>
      </c>
      <c r="D4870" t="str">
        <f t="shared" si="76"/>
        <v>2022</v>
      </c>
      <c r="E4870">
        <v>10</v>
      </c>
      <c r="F4870">
        <v>102465</v>
      </c>
      <c r="G4870">
        <v>0.01</v>
      </c>
      <c r="H4870" t="s">
        <v>10</v>
      </c>
      <c r="I4870" t="s">
        <v>11</v>
      </c>
    </row>
    <row r="4871" spans="1:9" hidden="1" x14ac:dyDescent="0.25">
      <c r="A4871" t="s">
        <v>17</v>
      </c>
      <c r="B4871" t="s">
        <v>103</v>
      </c>
      <c r="C4871">
        <v>202204</v>
      </c>
      <c r="D4871" t="str">
        <f t="shared" si="76"/>
        <v>2022</v>
      </c>
      <c r="E4871">
        <v>59</v>
      </c>
      <c r="F4871">
        <v>102465</v>
      </c>
      <c r="G4871">
        <v>0.06</v>
      </c>
      <c r="H4871" t="s">
        <v>10</v>
      </c>
      <c r="I4871" t="s">
        <v>11</v>
      </c>
    </row>
    <row r="4872" spans="1:9" hidden="1" x14ac:dyDescent="0.25">
      <c r="A4872" t="s">
        <v>17</v>
      </c>
      <c r="B4872" t="s">
        <v>103</v>
      </c>
      <c r="C4872">
        <v>202205</v>
      </c>
      <c r="D4872" t="str">
        <f t="shared" si="76"/>
        <v>2022</v>
      </c>
      <c r="E4872">
        <v>14</v>
      </c>
      <c r="F4872">
        <v>102465</v>
      </c>
      <c r="G4872">
        <v>0.01</v>
      </c>
      <c r="H4872" t="s">
        <v>10</v>
      </c>
      <c r="I4872" t="s">
        <v>11</v>
      </c>
    </row>
    <row r="4873" spans="1:9" hidden="1" x14ac:dyDescent="0.25">
      <c r="A4873" t="s">
        <v>17</v>
      </c>
      <c r="B4873" t="s">
        <v>103</v>
      </c>
      <c r="C4873">
        <v>202206</v>
      </c>
      <c r="D4873" t="str">
        <f t="shared" si="76"/>
        <v>2022</v>
      </c>
      <c r="E4873">
        <v>49</v>
      </c>
      <c r="F4873">
        <v>102465</v>
      </c>
      <c r="G4873">
        <v>0.05</v>
      </c>
      <c r="H4873" t="s">
        <v>10</v>
      </c>
      <c r="I4873" t="s">
        <v>11</v>
      </c>
    </row>
    <row r="4874" spans="1:9" hidden="1" x14ac:dyDescent="0.25">
      <c r="A4874" t="s">
        <v>17</v>
      </c>
      <c r="B4874" t="s">
        <v>103</v>
      </c>
      <c r="C4874">
        <v>202207</v>
      </c>
      <c r="D4874" t="str">
        <f t="shared" si="76"/>
        <v>2022</v>
      </c>
      <c r="E4874">
        <v>58</v>
      </c>
      <c r="F4874">
        <v>102465</v>
      </c>
      <c r="G4874">
        <v>0.06</v>
      </c>
      <c r="H4874" t="s">
        <v>10</v>
      </c>
      <c r="I4874" t="s">
        <v>11</v>
      </c>
    </row>
    <row r="4875" spans="1:9" hidden="1" x14ac:dyDescent="0.25">
      <c r="A4875" t="s">
        <v>17</v>
      </c>
      <c r="B4875" t="s">
        <v>103</v>
      </c>
      <c r="C4875">
        <v>202208</v>
      </c>
      <c r="D4875" t="str">
        <f t="shared" si="76"/>
        <v>2022</v>
      </c>
      <c r="E4875">
        <v>78</v>
      </c>
      <c r="F4875">
        <v>102465</v>
      </c>
      <c r="G4875">
        <v>0.08</v>
      </c>
      <c r="H4875" t="s">
        <v>10</v>
      </c>
      <c r="I4875" t="s">
        <v>11</v>
      </c>
    </row>
    <row r="4876" spans="1:9" hidden="1" x14ac:dyDescent="0.25">
      <c r="A4876" t="s">
        <v>17</v>
      </c>
      <c r="B4876" t="s">
        <v>103</v>
      </c>
      <c r="C4876">
        <v>202209</v>
      </c>
      <c r="D4876" t="str">
        <f t="shared" si="76"/>
        <v>2022</v>
      </c>
      <c r="E4876">
        <v>64</v>
      </c>
      <c r="F4876">
        <v>102465</v>
      </c>
      <c r="G4876">
        <v>0.06</v>
      </c>
      <c r="H4876" t="s">
        <v>10</v>
      </c>
      <c r="I4876" t="s">
        <v>11</v>
      </c>
    </row>
    <row r="4877" spans="1:9" hidden="1" x14ac:dyDescent="0.25">
      <c r="A4877" t="s">
        <v>17</v>
      </c>
      <c r="B4877" t="s">
        <v>103</v>
      </c>
      <c r="C4877">
        <v>202210</v>
      </c>
      <c r="D4877" t="str">
        <f t="shared" si="76"/>
        <v>2022</v>
      </c>
      <c r="E4877">
        <v>47</v>
      </c>
      <c r="F4877">
        <v>102465</v>
      </c>
      <c r="G4877">
        <v>0.05</v>
      </c>
      <c r="H4877" t="s">
        <v>10</v>
      </c>
      <c r="I4877" t="s">
        <v>11</v>
      </c>
    </row>
    <row r="4878" spans="1:9" hidden="1" x14ac:dyDescent="0.25">
      <c r="A4878" t="s">
        <v>17</v>
      </c>
      <c r="B4878" t="s">
        <v>103</v>
      </c>
      <c r="C4878">
        <v>202211</v>
      </c>
      <c r="D4878" t="str">
        <f t="shared" si="76"/>
        <v>2022</v>
      </c>
      <c r="E4878">
        <v>67</v>
      </c>
      <c r="F4878">
        <v>102465</v>
      </c>
      <c r="G4878">
        <v>7.0000000000000007E-2</v>
      </c>
      <c r="H4878" t="s">
        <v>10</v>
      </c>
      <c r="I4878" t="s">
        <v>11</v>
      </c>
    </row>
    <row r="4879" spans="1:9" hidden="1" x14ac:dyDescent="0.25">
      <c r="A4879" t="s">
        <v>17</v>
      </c>
      <c r="B4879" t="s">
        <v>103</v>
      </c>
      <c r="C4879">
        <v>202212</v>
      </c>
      <c r="D4879" t="str">
        <f t="shared" si="76"/>
        <v>2022</v>
      </c>
      <c r="E4879">
        <v>108</v>
      </c>
      <c r="F4879">
        <v>102465</v>
      </c>
      <c r="G4879">
        <v>0.11</v>
      </c>
      <c r="H4879" t="s">
        <v>10</v>
      </c>
      <c r="I4879" t="s">
        <v>11</v>
      </c>
    </row>
    <row r="4880" spans="1:9" hidden="1" x14ac:dyDescent="0.25">
      <c r="A4880" t="s">
        <v>17</v>
      </c>
      <c r="B4880" t="s">
        <v>103</v>
      </c>
      <c r="C4880">
        <v>202301</v>
      </c>
      <c r="D4880" t="str">
        <f t="shared" si="76"/>
        <v>2023</v>
      </c>
      <c r="E4880">
        <v>144</v>
      </c>
      <c r="F4880">
        <v>102465</v>
      </c>
      <c r="G4880">
        <v>0.14000000000000001</v>
      </c>
      <c r="H4880" t="s">
        <v>10</v>
      </c>
      <c r="I4880" t="s">
        <v>11</v>
      </c>
    </row>
    <row r="4881" spans="1:9" hidden="1" x14ac:dyDescent="0.25">
      <c r="A4881" t="s">
        <v>17</v>
      </c>
      <c r="B4881" t="s">
        <v>103</v>
      </c>
      <c r="C4881">
        <v>202302</v>
      </c>
      <c r="D4881" t="str">
        <f t="shared" si="76"/>
        <v>2023</v>
      </c>
      <c r="E4881">
        <v>216</v>
      </c>
      <c r="F4881">
        <v>102465</v>
      </c>
      <c r="G4881">
        <v>0.21</v>
      </c>
      <c r="H4881" t="s">
        <v>10</v>
      </c>
      <c r="I4881" t="s">
        <v>11</v>
      </c>
    </row>
    <row r="4882" spans="1:9" hidden="1" x14ac:dyDescent="0.25">
      <c r="A4882" t="s">
        <v>17</v>
      </c>
      <c r="B4882" t="s">
        <v>103</v>
      </c>
      <c r="C4882">
        <v>202303</v>
      </c>
      <c r="D4882" t="str">
        <f t="shared" si="76"/>
        <v>2023</v>
      </c>
      <c r="E4882">
        <v>283</v>
      </c>
      <c r="F4882">
        <v>102465</v>
      </c>
      <c r="G4882">
        <v>0.28000000000000003</v>
      </c>
      <c r="H4882" t="s">
        <v>10</v>
      </c>
      <c r="I4882" t="s">
        <v>11</v>
      </c>
    </row>
    <row r="4883" spans="1:9" hidden="1" x14ac:dyDescent="0.25">
      <c r="A4883" t="s">
        <v>17</v>
      </c>
      <c r="B4883" t="s">
        <v>103</v>
      </c>
      <c r="C4883">
        <v>202304</v>
      </c>
      <c r="D4883" t="str">
        <f t="shared" si="76"/>
        <v>2023</v>
      </c>
      <c r="E4883">
        <v>407</v>
      </c>
      <c r="F4883">
        <v>102465</v>
      </c>
      <c r="G4883">
        <v>0.4</v>
      </c>
      <c r="H4883" t="s">
        <v>10</v>
      </c>
      <c r="I4883" t="s">
        <v>11</v>
      </c>
    </row>
    <row r="4884" spans="1:9" hidden="1" x14ac:dyDescent="0.25">
      <c r="A4884" t="s">
        <v>17</v>
      </c>
      <c r="B4884" t="s">
        <v>103</v>
      </c>
      <c r="C4884">
        <v>202305</v>
      </c>
      <c r="D4884" t="str">
        <f t="shared" si="76"/>
        <v>2023</v>
      </c>
      <c r="E4884">
        <v>381</v>
      </c>
      <c r="F4884">
        <v>102465</v>
      </c>
      <c r="G4884">
        <v>0.37</v>
      </c>
      <c r="H4884" t="s">
        <v>10</v>
      </c>
      <c r="I4884" t="s">
        <v>11</v>
      </c>
    </row>
    <row r="4885" spans="1:9" hidden="1" x14ac:dyDescent="0.25">
      <c r="A4885" t="s">
        <v>17</v>
      </c>
      <c r="B4885" t="s">
        <v>103</v>
      </c>
      <c r="C4885">
        <v>202306</v>
      </c>
      <c r="D4885" t="str">
        <f t="shared" si="76"/>
        <v>2023</v>
      </c>
      <c r="E4885">
        <v>344</v>
      </c>
      <c r="F4885">
        <v>102465</v>
      </c>
      <c r="G4885">
        <v>0.34</v>
      </c>
      <c r="H4885" t="s">
        <v>10</v>
      </c>
      <c r="I4885" t="s">
        <v>11</v>
      </c>
    </row>
    <row r="4886" spans="1:9" hidden="1" x14ac:dyDescent="0.25">
      <c r="A4886" t="s">
        <v>17</v>
      </c>
      <c r="B4886" t="s">
        <v>103</v>
      </c>
      <c r="C4886">
        <v>202307</v>
      </c>
      <c r="D4886" t="str">
        <f t="shared" si="76"/>
        <v>2023</v>
      </c>
      <c r="E4886">
        <v>598</v>
      </c>
      <c r="F4886">
        <v>102465</v>
      </c>
      <c r="G4886">
        <v>0.57999999999999996</v>
      </c>
      <c r="H4886" t="s">
        <v>10</v>
      </c>
      <c r="I4886" t="s">
        <v>11</v>
      </c>
    </row>
    <row r="4887" spans="1:9" hidden="1" x14ac:dyDescent="0.25">
      <c r="A4887" t="s">
        <v>17</v>
      </c>
      <c r="B4887" t="s">
        <v>103</v>
      </c>
      <c r="C4887">
        <v>202308</v>
      </c>
      <c r="D4887" t="str">
        <f t="shared" si="76"/>
        <v>2023</v>
      </c>
      <c r="E4887">
        <v>965</v>
      </c>
      <c r="F4887">
        <v>102465</v>
      </c>
      <c r="G4887">
        <v>0.94</v>
      </c>
      <c r="H4887" t="s">
        <v>10</v>
      </c>
      <c r="I4887" t="s">
        <v>11</v>
      </c>
    </row>
    <row r="4888" spans="1:9" hidden="1" x14ac:dyDescent="0.25">
      <c r="A4888" t="s">
        <v>17</v>
      </c>
      <c r="B4888" t="s">
        <v>103</v>
      </c>
      <c r="C4888">
        <v>202309</v>
      </c>
      <c r="D4888" t="str">
        <f t="shared" si="76"/>
        <v>2023</v>
      </c>
      <c r="E4888">
        <v>1071</v>
      </c>
      <c r="F4888">
        <v>102465</v>
      </c>
      <c r="G4888">
        <v>1.05</v>
      </c>
      <c r="H4888" t="s">
        <v>10</v>
      </c>
      <c r="I4888" t="s">
        <v>11</v>
      </c>
    </row>
    <row r="4889" spans="1:9" hidden="1" x14ac:dyDescent="0.25">
      <c r="A4889" t="s">
        <v>17</v>
      </c>
      <c r="B4889" t="s">
        <v>103</v>
      </c>
      <c r="C4889">
        <v>202310</v>
      </c>
      <c r="D4889" t="str">
        <f t="shared" si="76"/>
        <v>2023</v>
      </c>
      <c r="E4889">
        <v>1477</v>
      </c>
      <c r="F4889">
        <v>102465</v>
      </c>
      <c r="G4889">
        <v>1.44</v>
      </c>
      <c r="H4889" t="s">
        <v>10</v>
      </c>
      <c r="I4889" t="s">
        <v>11</v>
      </c>
    </row>
    <row r="4890" spans="1:9" hidden="1" x14ac:dyDescent="0.25">
      <c r="A4890" t="s">
        <v>17</v>
      </c>
      <c r="B4890" t="s">
        <v>103</v>
      </c>
      <c r="C4890">
        <v>202311</v>
      </c>
      <c r="D4890" t="str">
        <f t="shared" si="76"/>
        <v>2023</v>
      </c>
      <c r="E4890">
        <v>897</v>
      </c>
      <c r="F4890">
        <v>102465</v>
      </c>
      <c r="G4890">
        <v>0.88</v>
      </c>
      <c r="H4890" t="s">
        <v>10</v>
      </c>
      <c r="I4890" t="s">
        <v>11</v>
      </c>
    </row>
    <row r="4891" spans="1:9" hidden="1" x14ac:dyDescent="0.25">
      <c r="A4891" t="s">
        <v>17</v>
      </c>
      <c r="B4891" t="s">
        <v>103</v>
      </c>
      <c r="C4891">
        <v>202312</v>
      </c>
      <c r="D4891" t="str">
        <f t="shared" si="76"/>
        <v>2023</v>
      </c>
      <c r="E4891">
        <v>710</v>
      </c>
      <c r="F4891">
        <v>102465</v>
      </c>
      <c r="G4891">
        <v>0.69</v>
      </c>
      <c r="H4891" t="s">
        <v>10</v>
      </c>
      <c r="I4891" t="s">
        <v>11</v>
      </c>
    </row>
    <row r="4892" spans="1:9" hidden="1" x14ac:dyDescent="0.25">
      <c r="A4892" t="s">
        <v>17</v>
      </c>
      <c r="B4892" t="s">
        <v>103</v>
      </c>
      <c r="C4892">
        <v>202401</v>
      </c>
      <c r="D4892" t="str">
        <f t="shared" si="76"/>
        <v>2024</v>
      </c>
      <c r="E4892">
        <v>2507</v>
      </c>
      <c r="F4892">
        <v>102465</v>
      </c>
      <c r="G4892">
        <v>2.4500000000000002</v>
      </c>
      <c r="H4892" t="s">
        <v>10</v>
      </c>
      <c r="I4892" t="s">
        <v>11</v>
      </c>
    </row>
    <row r="4893" spans="1:9" hidden="1" x14ac:dyDescent="0.25">
      <c r="A4893" t="s">
        <v>17</v>
      </c>
      <c r="B4893" t="s">
        <v>103</v>
      </c>
      <c r="C4893">
        <v>202402</v>
      </c>
      <c r="D4893" t="str">
        <f t="shared" si="76"/>
        <v>2024</v>
      </c>
      <c r="E4893">
        <v>2240</v>
      </c>
      <c r="F4893">
        <v>102465</v>
      </c>
      <c r="G4893">
        <v>2.19</v>
      </c>
      <c r="H4893" t="s">
        <v>10</v>
      </c>
      <c r="I4893" t="s">
        <v>11</v>
      </c>
    </row>
    <row r="4894" spans="1:9" hidden="1" x14ac:dyDescent="0.25">
      <c r="A4894" t="s">
        <v>17</v>
      </c>
      <c r="B4894" t="s">
        <v>103</v>
      </c>
      <c r="C4894">
        <v>202403</v>
      </c>
      <c r="D4894" t="str">
        <f t="shared" si="76"/>
        <v>2024</v>
      </c>
      <c r="E4894">
        <v>1991</v>
      </c>
      <c r="F4894">
        <v>102465</v>
      </c>
      <c r="G4894">
        <v>1.94</v>
      </c>
      <c r="H4894" t="s">
        <v>10</v>
      </c>
      <c r="I4894" t="s">
        <v>11</v>
      </c>
    </row>
    <row r="4895" spans="1:9" hidden="1" x14ac:dyDescent="0.25">
      <c r="A4895" t="s">
        <v>17</v>
      </c>
      <c r="B4895" t="s">
        <v>103</v>
      </c>
      <c r="C4895">
        <v>202404</v>
      </c>
      <c r="D4895" t="str">
        <f t="shared" si="76"/>
        <v>2024</v>
      </c>
      <c r="E4895">
        <v>4126</v>
      </c>
      <c r="F4895">
        <v>102465</v>
      </c>
      <c r="G4895">
        <v>4.03</v>
      </c>
      <c r="H4895" t="s">
        <v>10</v>
      </c>
      <c r="I4895" t="s">
        <v>11</v>
      </c>
    </row>
    <row r="4896" spans="1:9" hidden="1" x14ac:dyDescent="0.25">
      <c r="A4896" t="s">
        <v>17</v>
      </c>
      <c r="B4896" t="s">
        <v>103</v>
      </c>
      <c r="C4896">
        <v>202405</v>
      </c>
      <c r="D4896" t="str">
        <f t="shared" si="76"/>
        <v>2024</v>
      </c>
      <c r="E4896">
        <v>50183</v>
      </c>
      <c r="F4896">
        <v>102465</v>
      </c>
      <c r="G4896">
        <v>48.98</v>
      </c>
      <c r="H4896" t="s">
        <v>10</v>
      </c>
      <c r="I4896" t="s">
        <v>11</v>
      </c>
    </row>
    <row r="4897" spans="1:9" hidden="1" x14ac:dyDescent="0.25">
      <c r="A4897" t="s">
        <v>17</v>
      </c>
      <c r="B4897" t="s">
        <v>103</v>
      </c>
      <c r="C4897">
        <v>202406</v>
      </c>
      <c r="D4897" t="str">
        <f t="shared" si="76"/>
        <v>2024</v>
      </c>
      <c r="E4897">
        <v>33293</v>
      </c>
      <c r="F4897">
        <v>102465</v>
      </c>
      <c r="G4897">
        <v>32.49</v>
      </c>
      <c r="H4897" t="s">
        <v>10</v>
      </c>
      <c r="I4897" t="s">
        <v>11</v>
      </c>
    </row>
    <row r="4898" spans="1:9" hidden="1" x14ac:dyDescent="0.25">
      <c r="A4898" t="s">
        <v>17</v>
      </c>
      <c r="B4898" t="s">
        <v>19</v>
      </c>
      <c r="C4898">
        <v>202009</v>
      </c>
      <c r="D4898" t="str">
        <f t="shared" si="76"/>
        <v>2020</v>
      </c>
      <c r="E4898">
        <v>12</v>
      </c>
      <c r="F4898">
        <v>113103</v>
      </c>
      <c r="G4898">
        <v>0.01</v>
      </c>
      <c r="H4898" t="s">
        <v>10</v>
      </c>
      <c r="I4898" t="s">
        <v>11</v>
      </c>
    </row>
    <row r="4899" spans="1:9" hidden="1" x14ac:dyDescent="0.25">
      <c r="A4899" t="s">
        <v>17</v>
      </c>
      <c r="B4899" t="s">
        <v>19</v>
      </c>
      <c r="C4899">
        <v>202010</v>
      </c>
      <c r="D4899" t="str">
        <f t="shared" si="76"/>
        <v>2020</v>
      </c>
      <c r="E4899">
        <v>16</v>
      </c>
      <c r="F4899">
        <v>113103</v>
      </c>
      <c r="G4899">
        <v>0.01</v>
      </c>
      <c r="H4899" t="s">
        <v>10</v>
      </c>
      <c r="I4899" t="s">
        <v>11</v>
      </c>
    </row>
    <row r="4900" spans="1:9" hidden="1" x14ac:dyDescent="0.25">
      <c r="A4900" t="s">
        <v>17</v>
      </c>
      <c r="B4900" t="s">
        <v>19</v>
      </c>
      <c r="C4900">
        <v>202105</v>
      </c>
      <c r="D4900" t="str">
        <f t="shared" si="76"/>
        <v>2021</v>
      </c>
      <c r="E4900">
        <v>3</v>
      </c>
      <c r="F4900">
        <v>113103</v>
      </c>
      <c r="G4900">
        <v>0</v>
      </c>
      <c r="H4900" t="s">
        <v>10</v>
      </c>
      <c r="I4900" t="s">
        <v>11</v>
      </c>
    </row>
    <row r="4901" spans="1:9" hidden="1" x14ac:dyDescent="0.25">
      <c r="A4901" t="s">
        <v>17</v>
      </c>
      <c r="B4901" t="s">
        <v>19</v>
      </c>
      <c r="C4901">
        <v>202109</v>
      </c>
      <c r="D4901" t="str">
        <f t="shared" si="76"/>
        <v>2021</v>
      </c>
      <c r="E4901">
        <v>1</v>
      </c>
      <c r="F4901">
        <v>113103</v>
      </c>
      <c r="G4901">
        <v>0</v>
      </c>
      <c r="H4901" t="s">
        <v>10</v>
      </c>
      <c r="I4901" t="s">
        <v>11</v>
      </c>
    </row>
    <row r="4902" spans="1:9" hidden="1" x14ac:dyDescent="0.25">
      <c r="A4902" t="s">
        <v>17</v>
      </c>
      <c r="B4902" t="s">
        <v>19</v>
      </c>
      <c r="C4902">
        <v>202201</v>
      </c>
      <c r="D4902" t="str">
        <f t="shared" si="76"/>
        <v>2022</v>
      </c>
      <c r="E4902">
        <v>28</v>
      </c>
      <c r="F4902">
        <v>113103</v>
      </c>
      <c r="G4902">
        <v>0.02</v>
      </c>
      <c r="H4902" t="s">
        <v>10</v>
      </c>
      <c r="I4902" t="s">
        <v>11</v>
      </c>
    </row>
    <row r="4903" spans="1:9" hidden="1" x14ac:dyDescent="0.25">
      <c r="A4903" t="s">
        <v>17</v>
      </c>
      <c r="B4903" t="s">
        <v>19</v>
      </c>
      <c r="C4903">
        <v>202204</v>
      </c>
      <c r="D4903" t="str">
        <f t="shared" si="76"/>
        <v>2022</v>
      </c>
      <c r="E4903">
        <v>39</v>
      </c>
      <c r="F4903">
        <v>113103</v>
      </c>
      <c r="G4903">
        <v>0.03</v>
      </c>
      <c r="H4903" t="s">
        <v>10</v>
      </c>
      <c r="I4903" t="s">
        <v>11</v>
      </c>
    </row>
    <row r="4904" spans="1:9" hidden="1" x14ac:dyDescent="0.25">
      <c r="A4904" t="s">
        <v>17</v>
      </c>
      <c r="B4904" t="s">
        <v>19</v>
      </c>
      <c r="C4904">
        <v>202205</v>
      </c>
      <c r="D4904" t="str">
        <f t="shared" si="76"/>
        <v>2022</v>
      </c>
      <c r="E4904">
        <v>3</v>
      </c>
      <c r="F4904">
        <v>113103</v>
      </c>
      <c r="G4904">
        <v>0</v>
      </c>
      <c r="H4904" t="s">
        <v>10</v>
      </c>
      <c r="I4904" t="s">
        <v>11</v>
      </c>
    </row>
    <row r="4905" spans="1:9" hidden="1" x14ac:dyDescent="0.25">
      <c r="A4905" t="s">
        <v>17</v>
      </c>
      <c r="B4905" t="s">
        <v>19</v>
      </c>
      <c r="C4905">
        <v>202206</v>
      </c>
      <c r="D4905" t="str">
        <f t="shared" si="76"/>
        <v>2022</v>
      </c>
      <c r="E4905">
        <v>27</v>
      </c>
      <c r="F4905">
        <v>113103</v>
      </c>
      <c r="G4905">
        <v>0.02</v>
      </c>
      <c r="H4905" t="s">
        <v>10</v>
      </c>
      <c r="I4905" t="s">
        <v>11</v>
      </c>
    </row>
    <row r="4906" spans="1:9" hidden="1" x14ac:dyDescent="0.25">
      <c r="A4906" t="s">
        <v>17</v>
      </c>
      <c r="B4906" t="s">
        <v>19</v>
      </c>
      <c r="C4906">
        <v>202207</v>
      </c>
      <c r="D4906" t="str">
        <f t="shared" si="76"/>
        <v>2022</v>
      </c>
      <c r="E4906">
        <v>28</v>
      </c>
      <c r="F4906">
        <v>113103</v>
      </c>
      <c r="G4906">
        <v>0.02</v>
      </c>
      <c r="H4906" t="s">
        <v>10</v>
      </c>
      <c r="I4906" t="s">
        <v>11</v>
      </c>
    </row>
    <row r="4907" spans="1:9" hidden="1" x14ac:dyDescent="0.25">
      <c r="A4907" t="s">
        <v>17</v>
      </c>
      <c r="B4907" t="s">
        <v>19</v>
      </c>
      <c r="C4907">
        <v>202208</v>
      </c>
      <c r="D4907" t="str">
        <f t="shared" si="76"/>
        <v>2022</v>
      </c>
      <c r="E4907">
        <v>63</v>
      </c>
      <c r="F4907">
        <v>113103</v>
      </c>
      <c r="G4907">
        <v>0.06</v>
      </c>
      <c r="H4907" t="s">
        <v>10</v>
      </c>
      <c r="I4907" t="s">
        <v>11</v>
      </c>
    </row>
    <row r="4908" spans="1:9" hidden="1" x14ac:dyDescent="0.25">
      <c r="A4908" t="s">
        <v>17</v>
      </c>
      <c r="B4908" t="s">
        <v>19</v>
      </c>
      <c r="C4908">
        <v>202209</v>
      </c>
      <c r="D4908" t="str">
        <f t="shared" si="76"/>
        <v>2022</v>
      </c>
      <c r="E4908">
        <v>50</v>
      </c>
      <c r="F4908">
        <v>113103</v>
      </c>
      <c r="G4908">
        <v>0.04</v>
      </c>
      <c r="H4908" t="s">
        <v>10</v>
      </c>
      <c r="I4908" t="s">
        <v>11</v>
      </c>
    </row>
    <row r="4909" spans="1:9" hidden="1" x14ac:dyDescent="0.25">
      <c r="A4909" t="s">
        <v>17</v>
      </c>
      <c r="B4909" t="s">
        <v>19</v>
      </c>
      <c r="C4909">
        <v>202210</v>
      </c>
      <c r="D4909" t="str">
        <f t="shared" si="76"/>
        <v>2022</v>
      </c>
      <c r="E4909">
        <v>57</v>
      </c>
      <c r="F4909">
        <v>113103</v>
      </c>
      <c r="G4909">
        <v>0.05</v>
      </c>
      <c r="H4909" t="s">
        <v>10</v>
      </c>
      <c r="I4909" t="s">
        <v>11</v>
      </c>
    </row>
    <row r="4910" spans="1:9" hidden="1" x14ac:dyDescent="0.25">
      <c r="A4910" t="s">
        <v>17</v>
      </c>
      <c r="B4910" t="s">
        <v>19</v>
      </c>
      <c r="C4910">
        <v>202211</v>
      </c>
      <c r="D4910" t="str">
        <f t="shared" si="76"/>
        <v>2022</v>
      </c>
      <c r="E4910">
        <v>50</v>
      </c>
      <c r="F4910">
        <v>113103</v>
      </c>
      <c r="G4910">
        <v>0.04</v>
      </c>
      <c r="H4910" t="s">
        <v>10</v>
      </c>
      <c r="I4910" t="s">
        <v>11</v>
      </c>
    </row>
    <row r="4911" spans="1:9" hidden="1" x14ac:dyDescent="0.25">
      <c r="A4911" t="s">
        <v>17</v>
      </c>
      <c r="B4911" t="s">
        <v>19</v>
      </c>
      <c r="C4911">
        <v>202212</v>
      </c>
      <c r="D4911" t="str">
        <f t="shared" si="76"/>
        <v>2022</v>
      </c>
      <c r="E4911">
        <v>88</v>
      </c>
      <c r="F4911">
        <v>113103</v>
      </c>
      <c r="G4911">
        <v>0.08</v>
      </c>
      <c r="H4911" t="s">
        <v>10</v>
      </c>
      <c r="I4911" t="s">
        <v>11</v>
      </c>
    </row>
    <row r="4912" spans="1:9" hidden="1" x14ac:dyDescent="0.25">
      <c r="A4912" t="s">
        <v>17</v>
      </c>
      <c r="B4912" t="s">
        <v>19</v>
      </c>
      <c r="C4912">
        <v>202301</v>
      </c>
      <c r="D4912" t="str">
        <f t="shared" si="76"/>
        <v>2023</v>
      </c>
      <c r="E4912">
        <v>312</v>
      </c>
      <c r="F4912">
        <v>113103</v>
      </c>
      <c r="G4912">
        <v>0.28000000000000003</v>
      </c>
      <c r="H4912" t="s">
        <v>10</v>
      </c>
      <c r="I4912" t="s">
        <v>11</v>
      </c>
    </row>
    <row r="4913" spans="1:9" hidden="1" x14ac:dyDescent="0.25">
      <c r="A4913" t="s">
        <v>17</v>
      </c>
      <c r="B4913" t="s">
        <v>19</v>
      </c>
      <c r="C4913">
        <v>202302</v>
      </c>
      <c r="D4913" t="str">
        <f t="shared" si="76"/>
        <v>2023</v>
      </c>
      <c r="E4913">
        <v>394</v>
      </c>
      <c r="F4913">
        <v>113103</v>
      </c>
      <c r="G4913">
        <v>0.35</v>
      </c>
      <c r="H4913" t="s">
        <v>10</v>
      </c>
      <c r="I4913" t="s">
        <v>11</v>
      </c>
    </row>
    <row r="4914" spans="1:9" hidden="1" x14ac:dyDescent="0.25">
      <c r="A4914" t="s">
        <v>17</v>
      </c>
      <c r="B4914" t="s">
        <v>19</v>
      </c>
      <c r="C4914">
        <v>202303</v>
      </c>
      <c r="D4914" t="str">
        <f t="shared" si="76"/>
        <v>2023</v>
      </c>
      <c r="E4914">
        <v>560</v>
      </c>
      <c r="F4914">
        <v>113103</v>
      </c>
      <c r="G4914">
        <v>0.5</v>
      </c>
      <c r="H4914" t="s">
        <v>10</v>
      </c>
      <c r="I4914" t="s">
        <v>11</v>
      </c>
    </row>
    <row r="4915" spans="1:9" hidden="1" x14ac:dyDescent="0.25">
      <c r="A4915" t="s">
        <v>17</v>
      </c>
      <c r="B4915" t="s">
        <v>19</v>
      </c>
      <c r="C4915">
        <v>202304</v>
      </c>
      <c r="D4915" t="str">
        <f t="shared" si="76"/>
        <v>2023</v>
      </c>
      <c r="E4915">
        <v>576</v>
      </c>
      <c r="F4915">
        <v>113103</v>
      </c>
      <c r="G4915">
        <v>0.51</v>
      </c>
      <c r="H4915" t="s">
        <v>10</v>
      </c>
      <c r="I4915" t="s">
        <v>11</v>
      </c>
    </row>
    <row r="4916" spans="1:9" hidden="1" x14ac:dyDescent="0.25">
      <c r="A4916" t="s">
        <v>17</v>
      </c>
      <c r="B4916" t="s">
        <v>19</v>
      </c>
      <c r="C4916">
        <v>202305</v>
      </c>
      <c r="D4916" t="str">
        <f t="shared" si="76"/>
        <v>2023</v>
      </c>
      <c r="E4916">
        <v>358</v>
      </c>
      <c r="F4916">
        <v>113103</v>
      </c>
      <c r="G4916">
        <v>0.32</v>
      </c>
      <c r="H4916" t="s">
        <v>10</v>
      </c>
      <c r="I4916" t="s">
        <v>11</v>
      </c>
    </row>
    <row r="4917" spans="1:9" hidden="1" x14ac:dyDescent="0.25">
      <c r="A4917" t="s">
        <v>17</v>
      </c>
      <c r="B4917" t="s">
        <v>19</v>
      </c>
      <c r="C4917">
        <v>202306</v>
      </c>
      <c r="D4917" t="str">
        <f t="shared" si="76"/>
        <v>2023</v>
      </c>
      <c r="E4917">
        <v>586</v>
      </c>
      <c r="F4917">
        <v>113103</v>
      </c>
      <c r="G4917">
        <v>0.52</v>
      </c>
      <c r="H4917" t="s">
        <v>10</v>
      </c>
      <c r="I4917" t="s">
        <v>11</v>
      </c>
    </row>
    <row r="4918" spans="1:9" hidden="1" x14ac:dyDescent="0.25">
      <c r="A4918" t="s">
        <v>17</v>
      </c>
      <c r="B4918" t="s">
        <v>19</v>
      </c>
      <c r="C4918">
        <v>202307</v>
      </c>
      <c r="D4918" t="str">
        <f t="shared" si="76"/>
        <v>2023</v>
      </c>
      <c r="E4918">
        <v>949</v>
      </c>
      <c r="F4918">
        <v>113103</v>
      </c>
      <c r="G4918">
        <v>0.84</v>
      </c>
      <c r="H4918" t="s">
        <v>10</v>
      </c>
      <c r="I4918" t="s">
        <v>11</v>
      </c>
    </row>
    <row r="4919" spans="1:9" hidden="1" x14ac:dyDescent="0.25">
      <c r="A4919" t="s">
        <v>17</v>
      </c>
      <c r="B4919" t="s">
        <v>19</v>
      </c>
      <c r="C4919">
        <v>202308</v>
      </c>
      <c r="D4919" t="str">
        <f t="shared" si="76"/>
        <v>2023</v>
      </c>
      <c r="E4919">
        <v>1027</v>
      </c>
      <c r="F4919">
        <v>113103</v>
      </c>
      <c r="G4919">
        <v>0.91</v>
      </c>
      <c r="H4919" t="s">
        <v>10</v>
      </c>
      <c r="I4919" t="s">
        <v>11</v>
      </c>
    </row>
    <row r="4920" spans="1:9" hidden="1" x14ac:dyDescent="0.25">
      <c r="A4920" t="s">
        <v>17</v>
      </c>
      <c r="B4920" t="s">
        <v>19</v>
      </c>
      <c r="C4920">
        <v>202309</v>
      </c>
      <c r="D4920" t="str">
        <f t="shared" si="76"/>
        <v>2023</v>
      </c>
      <c r="E4920">
        <v>1111</v>
      </c>
      <c r="F4920">
        <v>113103</v>
      </c>
      <c r="G4920">
        <v>0.98</v>
      </c>
      <c r="H4920" t="s">
        <v>10</v>
      </c>
      <c r="I4920" t="s">
        <v>11</v>
      </c>
    </row>
    <row r="4921" spans="1:9" hidden="1" x14ac:dyDescent="0.25">
      <c r="A4921" t="s">
        <v>17</v>
      </c>
      <c r="B4921" t="s">
        <v>19</v>
      </c>
      <c r="C4921">
        <v>202310</v>
      </c>
      <c r="D4921" t="str">
        <f t="shared" si="76"/>
        <v>2023</v>
      </c>
      <c r="E4921">
        <v>2564</v>
      </c>
      <c r="F4921">
        <v>113103</v>
      </c>
      <c r="G4921">
        <v>2.27</v>
      </c>
      <c r="H4921" t="s">
        <v>10</v>
      </c>
      <c r="I4921" t="s">
        <v>11</v>
      </c>
    </row>
    <row r="4922" spans="1:9" hidden="1" x14ac:dyDescent="0.25">
      <c r="A4922" t="s">
        <v>17</v>
      </c>
      <c r="B4922" t="s">
        <v>19</v>
      </c>
      <c r="C4922">
        <v>202311</v>
      </c>
      <c r="D4922" t="str">
        <f t="shared" si="76"/>
        <v>2023</v>
      </c>
      <c r="E4922">
        <v>2773</v>
      </c>
      <c r="F4922">
        <v>113103</v>
      </c>
      <c r="G4922">
        <v>2.4500000000000002</v>
      </c>
      <c r="H4922" t="s">
        <v>10</v>
      </c>
      <c r="I4922" t="s">
        <v>11</v>
      </c>
    </row>
    <row r="4923" spans="1:9" hidden="1" x14ac:dyDescent="0.25">
      <c r="A4923" t="s">
        <v>17</v>
      </c>
      <c r="B4923" t="s">
        <v>19</v>
      </c>
      <c r="C4923">
        <v>202312</v>
      </c>
      <c r="D4923" t="str">
        <f t="shared" si="76"/>
        <v>2023</v>
      </c>
      <c r="E4923">
        <v>1558</v>
      </c>
      <c r="F4923">
        <v>113103</v>
      </c>
      <c r="G4923">
        <v>1.38</v>
      </c>
      <c r="H4923" t="s">
        <v>10</v>
      </c>
      <c r="I4923" t="s">
        <v>11</v>
      </c>
    </row>
    <row r="4924" spans="1:9" hidden="1" x14ac:dyDescent="0.25">
      <c r="A4924" t="s">
        <v>17</v>
      </c>
      <c r="B4924" t="s">
        <v>19</v>
      </c>
      <c r="C4924">
        <v>202401</v>
      </c>
      <c r="D4924" t="str">
        <f t="shared" si="76"/>
        <v>2024</v>
      </c>
      <c r="E4924">
        <v>1946</v>
      </c>
      <c r="F4924">
        <v>113103</v>
      </c>
      <c r="G4924">
        <v>1.72</v>
      </c>
      <c r="H4924" t="s">
        <v>10</v>
      </c>
      <c r="I4924" t="s">
        <v>11</v>
      </c>
    </row>
    <row r="4925" spans="1:9" hidden="1" x14ac:dyDescent="0.25">
      <c r="A4925" t="s">
        <v>17</v>
      </c>
      <c r="B4925" t="s">
        <v>19</v>
      </c>
      <c r="C4925">
        <v>202402</v>
      </c>
      <c r="D4925" t="str">
        <f t="shared" si="76"/>
        <v>2024</v>
      </c>
      <c r="E4925">
        <v>2569</v>
      </c>
      <c r="F4925">
        <v>113103</v>
      </c>
      <c r="G4925">
        <v>2.27</v>
      </c>
      <c r="H4925" t="s">
        <v>10</v>
      </c>
      <c r="I4925" t="s">
        <v>11</v>
      </c>
    </row>
    <row r="4926" spans="1:9" hidden="1" x14ac:dyDescent="0.25">
      <c r="A4926" t="s">
        <v>17</v>
      </c>
      <c r="B4926" t="s">
        <v>19</v>
      </c>
      <c r="C4926">
        <v>202403</v>
      </c>
      <c r="D4926" t="str">
        <f t="shared" si="76"/>
        <v>2024</v>
      </c>
      <c r="E4926">
        <v>2693</v>
      </c>
      <c r="F4926">
        <v>113103</v>
      </c>
      <c r="G4926">
        <v>2.38</v>
      </c>
      <c r="H4926" t="s">
        <v>10</v>
      </c>
      <c r="I4926" t="s">
        <v>11</v>
      </c>
    </row>
    <row r="4927" spans="1:9" hidden="1" x14ac:dyDescent="0.25">
      <c r="A4927" t="s">
        <v>17</v>
      </c>
      <c r="B4927" t="s">
        <v>19</v>
      </c>
      <c r="C4927">
        <v>202404</v>
      </c>
      <c r="D4927" t="str">
        <f t="shared" si="76"/>
        <v>2024</v>
      </c>
      <c r="E4927">
        <v>2839</v>
      </c>
      <c r="F4927">
        <v>113103</v>
      </c>
      <c r="G4927">
        <v>2.5099999999999998</v>
      </c>
      <c r="H4927" t="s">
        <v>10</v>
      </c>
      <c r="I4927" t="s">
        <v>11</v>
      </c>
    </row>
    <row r="4928" spans="1:9" hidden="1" x14ac:dyDescent="0.25">
      <c r="A4928" t="s">
        <v>17</v>
      </c>
      <c r="B4928" t="s">
        <v>19</v>
      </c>
      <c r="C4928">
        <v>202405</v>
      </c>
      <c r="D4928" t="str">
        <f t="shared" si="76"/>
        <v>2024</v>
      </c>
      <c r="E4928">
        <v>8063</v>
      </c>
      <c r="F4928">
        <v>113103</v>
      </c>
      <c r="G4928">
        <v>7.13</v>
      </c>
      <c r="H4928" t="s">
        <v>10</v>
      </c>
      <c r="I4928" t="s">
        <v>11</v>
      </c>
    </row>
    <row r="4929" spans="1:9" hidden="1" x14ac:dyDescent="0.25">
      <c r="A4929" t="s">
        <v>17</v>
      </c>
      <c r="B4929" t="s">
        <v>19</v>
      </c>
      <c r="C4929">
        <v>202406</v>
      </c>
      <c r="D4929" t="str">
        <f t="shared" si="76"/>
        <v>2024</v>
      </c>
      <c r="E4929">
        <v>46073</v>
      </c>
      <c r="F4929">
        <v>113103</v>
      </c>
      <c r="G4929">
        <v>40.74</v>
      </c>
      <c r="H4929" t="s">
        <v>10</v>
      </c>
      <c r="I4929" t="s">
        <v>11</v>
      </c>
    </row>
    <row r="4930" spans="1:9" hidden="1" x14ac:dyDescent="0.25">
      <c r="A4930" t="s">
        <v>17</v>
      </c>
      <c r="B4930" t="s">
        <v>19</v>
      </c>
      <c r="C4930">
        <v>202407</v>
      </c>
      <c r="D4930" t="str">
        <f t="shared" si="76"/>
        <v>2024</v>
      </c>
      <c r="E4930">
        <v>35687</v>
      </c>
      <c r="F4930">
        <v>113103</v>
      </c>
      <c r="G4930">
        <v>31.55</v>
      </c>
      <c r="H4930" t="s">
        <v>10</v>
      </c>
      <c r="I4930" t="s">
        <v>11</v>
      </c>
    </row>
    <row r="4931" spans="1:9" hidden="1" x14ac:dyDescent="0.25">
      <c r="A4931" t="s">
        <v>17</v>
      </c>
      <c r="B4931" t="s">
        <v>221</v>
      </c>
      <c r="C4931">
        <v>202005</v>
      </c>
      <c r="D4931" t="str">
        <f t="shared" ref="D4931:D4994" si="77">LEFT(C4931,4)</f>
        <v>2020</v>
      </c>
      <c r="E4931">
        <v>5</v>
      </c>
      <c r="F4931">
        <v>103767</v>
      </c>
      <c r="G4931">
        <v>0</v>
      </c>
      <c r="H4931" t="s">
        <v>10</v>
      </c>
      <c r="I4931" t="s">
        <v>11</v>
      </c>
    </row>
    <row r="4932" spans="1:9" hidden="1" x14ac:dyDescent="0.25">
      <c r="A4932" t="s">
        <v>17</v>
      </c>
      <c r="B4932" t="s">
        <v>221</v>
      </c>
      <c r="C4932">
        <v>202101</v>
      </c>
      <c r="D4932" t="str">
        <f t="shared" si="77"/>
        <v>2021</v>
      </c>
      <c r="E4932">
        <v>17</v>
      </c>
      <c r="F4932">
        <v>103767</v>
      </c>
      <c r="G4932">
        <v>0.02</v>
      </c>
      <c r="H4932" t="s">
        <v>10</v>
      </c>
      <c r="I4932" t="s">
        <v>11</v>
      </c>
    </row>
    <row r="4933" spans="1:9" hidden="1" x14ac:dyDescent="0.25">
      <c r="A4933" t="s">
        <v>17</v>
      </c>
      <c r="B4933" t="s">
        <v>221</v>
      </c>
      <c r="C4933">
        <v>202109</v>
      </c>
      <c r="D4933" t="str">
        <f t="shared" si="77"/>
        <v>2021</v>
      </c>
      <c r="E4933">
        <v>1</v>
      </c>
      <c r="F4933">
        <v>103767</v>
      </c>
      <c r="G4933">
        <v>0</v>
      </c>
      <c r="H4933" t="s">
        <v>10</v>
      </c>
      <c r="I4933" t="s">
        <v>11</v>
      </c>
    </row>
    <row r="4934" spans="1:9" hidden="1" x14ac:dyDescent="0.25">
      <c r="A4934" t="s">
        <v>17</v>
      </c>
      <c r="B4934" t="s">
        <v>221</v>
      </c>
      <c r="C4934">
        <v>202201</v>
      </c>
      <c r="D4934" t="str">
        <f t="shared" si="77"/>
        <v>2022</v>
      </c>
      <c r="E4934">
        <v>28</v>
      </c>
      <c r="F4934">
        <v>103767</v>
      </c>
      <c r="G4934">
        <v>0.03</v>
      </c>
      <c r="H4934" t="s">
        <v>10</v>
      </c>
      <c r="I4934" t="s">
        <v>11</v>
      </c>
    </row>
    <row r="4935" spans="1:9" hidden="1" x14ac:dyDescent="0.25">
      <c r="A4935" t="s">
        <v>17</v>
      </c>
      <c r="B4935" t="s">
        <v>221</v>
      </c>
      <c r="C4935">
        <v>202202</v>
      </c>
      <c r="D4935" t="str">
        <f t="shared" si="77"/>
        <v>2022</v>
      </c>
      <c r="E4935">
        <v>3</v>
      </c>
      <c r="F4935">
        <v>103767</v>
      </c>
      <c r="G4935">
        <v>0</v>
      </c>
      <c r="H4935" t="s">
        <v>10</v>
      </c>
      <c r="I4935" t="s">
        <v>11</v>
      </c>
    </row>
    <row r="4936" spans="1:9" hidden="1" x14ac:dyDescent="0.25">
      <c r="A4936" t="s">
        <v>17</v>
      </c>
      <c r="B4936" t="s">
        <v>221</v>
      </c>
      <c r="C4936">
        <v>202203</v>
      </c>
      <c r="D4936" t="str">
        <f t="shared" si="77"/>
        <v>2022</v>
      </c>
      <c r="E4936">
        <v>3</v>
      </c>
      <c r="F4936">
        <v>103767</v>
      </c>
      <c r="G4936">
        <v>0</v>
      </c>
      <c r="H4936" t="s">
        <v>10</v>
      </c>
      <c r="I4936" t="s">
        <v>11</v>
      </c>
    </row>
    <row r="4937" spans="1:9" hidden="1" x14ac:dyDescent="0.25">
      <c r="A4937" t="s">
        <v>17</v>
      </c>
      <c r="B4937" t="s">
        <v>221</v>
      </c>
      <c r="C4937">
        <v>202204</v>
      </c>
      <c r="D4937" t="str">
        <f t="shared" si="77"/>
        <v>2022</v>
      </c>
      <c r="E4937">
        <v>40</v>
      </c>
      <c r="F4937">
        <v>103767</v>
      </c>
      <c r="G4937">
        <v>0.04</v>
      </c>
      <c r="H4937" t="s">
        <v>10</v>
      </c>
      <c r="I4937" t="s">
        <v>11</v>
      </c>
    </row>
    <row r="4938" spans="1:9" hidden="1" x14ac:dyDescent="0.25">
      <c r="A4938" t="s">
        <v>17</v>
      </c>
      <c r="B4938" t="s">
        <v>221</v>
      </c>
      <c r="C4938">
        <v>202205</v>
      </c>
      <c r="D4938" t="str">
        <f t="shared" si="77"/>
        <v>2022</v>
      </c>
      <c r="E4938">
        <v>3</v>
      </c>
      <c r="F4938">
        <v>103767</v>
      </c>
      <c r="G4938">
        <v>0</v>
      </c>
      <c r="H4938" t="s">
        <v>10</v>
      </c>
      <c r="I4938" t="s">
        <v>11</v>
      </c>
    </row>
    <row r="4939" spans="1:9" hidden="1" x14ac:dyDescent="0.25">
      <c r="A4939" t="s">
        <v>17</v>
      </c>
      <c r="B4939" t="s">
        <v>221</v>
      </c>
      <c r="C4939">
        <v>202206</v>
      </c>
      <c r="D4939" t="str">
        <f t="shared" si="77"/>
        <v>2022</v>
      </c>
      <c r="E4939">
        <v>12</v>
      </c>
      <c r="F4939">
        <v>103767</v>
      </c>
      <c r="G4939">
        <v>0.01</v>
      </c>
      <c r="H4939" t="s">
        <v>10</v>
      </c>
      <c r="I4939" t="s">
        <v>11</v>
      </c>
    </row>
    <row r="4940" spans="1:9" hidden="1" x14ac:dyDescent="0.25">
      <c r="A4940" t="s">
        <v>17</v>
      </c>
      <c r="B4940" t="s">
        <v>221</v>
      </c>
      <c r="C4940">
        <v>202207</v>
      </c>
      <c r="D4940" t="str">
        <f t="shared" si="77"/>
        <v>2022</v>
      </c>
      <c r="E4940">
        <v>20</v>
      </c>
      <c r="F4940">
        <v>103767</v>
      </c>
      <c r="G4940">
        <v>0.02</v>
      </c>
      <c r="H4940" t="s">
        <v>10</v>
      </c>
      <c r="I4940" t="s">
        <v>11</v>
      </c>
    </row>
    <row r="4941" spans="1:9" hidden="1" x14ac:dyDescent="0.25">
      <c r="A4941" t="s">
        <v>17</v>
      </c>
      <c r="B4941" t="s">
        <v>221</v>
      </c>
      <c r="C4941">
        <v>202208</v>
      </c>
      <c r="D4941" t="str">
        <f t="shared" si="77"/>
        <v>2022</v>
      </c>
      <c r="E4941">
        <v>16</v>
      </c>
      <c r="F4941">
        <v>103767</v>
      </c>
      <c r="G4941">
        <v>0.02</v>
      </c>
      <c r="H4941" t="s">
        <v>10</v>
      </c>
      <c r="I4941" t="s">
        <v>11</v>
      </c>
    </row>
    <row r="4942" spans="1:9" hidden="1" x14ac:dyDescent="0.25">
      <c r="A4942" t="s">
        <v>17</v>
      </c>
      <c r="B4942" t="s">
        <v>221</v>
      </c>
      <c r="C4942">
        <v>202209</v>
      </c>
      <c r="D4942" t="str">
        <f t="shared" si="77"/>
        <v>2022</v>
      </c>
      <c r="E4942">
        <v>30</v>
      </c>
      <c r="F4942">
        <v>103767</v>
      </c>
      <c r="G4942">
        <v>0.03</v>
      </c>
      <c r="H4942" t="s">
        <v>10</v>
      </c>
      <c r="I4942" t="s">
        <v>11</v>
      </c>
    </row>
    <row r="4943" spans="1:9" hidden="1" x14ac:dyDescent="0.25">
      <c r="A4943" t="s">
        <v>17</v>
      </c>
      <c r="B4943" t="s">
        <v>221</v>
      </c>
      <c r="C4943">
        <v>202210</v>
      </c>
      <c r="D4943" t="str">
        <f t="shared" si="77"/>
        <v>2022</v>
      </c>
      <c r="E4943">
        <v>31</v>
      </c>
      <c r="F4943">
        <v>103767</v>
      </c>
      <c r="G4943">
        <v>0.03</v>
      </c>
      <c r="H4943" t="s">
        <v>10</v>
      </c>
      <c r="I4943" t="s">
        <v>11</v>
      </c>
    </row>
    <row r="4944" spans="1:9" hidden="1" x14ac:dyDescent="0.25">
      <c r="A4944" t="s">
        <v>17</v>
      </c>
      <c r="B4944" t="s">
        <v>221</v>
      </c>
      <c r="C4944">
        <v>202211</v>
      </c>
      <c r="D4944" t="str">
        <f t="shared" si="77"/>
        <v>2022</v>
      </c>
      <c r="E4944">
        <v>37</v>
      </c>
      <c r="F4944">
        <v>103767</v>
      </c>
      <c r="G4944">
        <v>0.04</v>
      </c>
      <c r="H4944" t="s">
        <v>10</v>
      </c>
      <c r="I4944" t="s">
        <v>11</v>
      </c>
    </row>
    <row r="4945" spans="1:9" hidden="1" x14ac:dyDescent="0.25">
      <c r="A4945" t="s">
        <v>17</v>
      </c>
      <c r="B4945" t="s">
        <v>221</v>
      </c>
      <c r="C4945">
        <v>202212</v>
      </c>
      <c r="D4945" t="str">
        <f t="shared" si="77"/>
        <v>2022</v>
      </c>
      <c r="E4945">
        <v>47</v>
      </c>
      <c r="F4945">
        <v>103767</v>
      </c>
      <c r="G4945">
        <v>0.05</v>
      </c>
      <c r="H4945" t="s">
        <v>10</v>
      </c>
      <c r="I4945" t="s">
        <v>11</v>
      </c>
    </row>
    <row r="4946" spans="1:9" hidden="1" x14ac:dyDescent="0.25">
      <c r="A4946" t="s">
        <v>17</v>
      </c>
      <c r="B4946" t="s">
        <v>221</v>
      </c>
      <c r="C4946">
        <v>202301</v>
      </c>
      <c r="D4946" t="str">
        <f t="shared" si="77"/>
        <v>2023</v>
      </c>
      <c r="E4946">
        <v>199</v>
      </c>
      <c r="F4946">
        <v>103767</v>
      </c>
      <c r="G4946">
        <v>0.19</v>
      </c>
      <c r="H4946" t="s">
        <v>10</v>
      </c>
      <c r="I4946" t="s">
        <v>11</v>
      </c>
    </row>
    <row r="4947" spans="1:9" hidden="1" x14ac:dyDescent="0.25">
      <c r="A4947" t="s">
        <v>17</v>
      </c>
      <c r="B4947" t="s">
        <v>221</v>
      </c>
      <c r="C4947">
        <v>202302</v>
      </c>
      <c r="D4947" t="str">
        <f t="shared" si="77"/>
        <v>2023</v>
      </c>
      <c r="E4947">
        <v>250</v>
      </c>
      <c r="F4947">
        <v>103767</v>
      </c>
      <c r="G4947">
        <v>0.24</v>
      </c>
      <c r="H4947" t="s">
        <v>10</v>
      </c>
      <c r="I4947" t="s">
        <v>11</v>
      </c>
    </row>
    <row r="4948" spans="1:9" hidden="1" x14ac:dyDescent="0.25">
      <c r="A4948" t="s">
        <v>17</v>
      </c>
      <c r="B4948" t="s">
        <v>221</v>
      </c>
      <c r="C4948">
        <v>202303</v>
      </c>
      <c r="D4948" t="str">
        <f t="shared" si="77"/>
        <v>2023</v>
      </c>
      <c r="E4948">
        <v>355</v>
      </c>
      <c r="F4948">
        <v>103767</v>
      </c>
      <c r="G4948">
        <v>0.34</v>
      </c>
      <c r="H4948" t="s">
        <v>10</v>
      </c>
      <c r="I4948" t="s">
        <v>11</v>
      </c>
    </row>
    <row r="4949" spans="1:9" hidden="1" x14ac:dyDescent="0.25">
      <c r="A4949" t="s">
        <v>17</v>
      </c>
      <c r="B4949" t="s">
        <v>221</v>
      </c>
      <c r="C4949">
        <v>202304</v>
      </c>
      <c r="D4949" t="str">
        <f t="shared" si="77"/>
        <v>2023</v>
      </c>
      <c r="E4949">
        <v>254</v>
      </c>
      <c r="F4949">
        <v>103767</v>
      </c>
      <c r="G4949">
        <v>0.24</v>
      </c>
      <c r="H4949" t="s">
        <v>10</v>
      </c>
      <c r="I4949" t="s">
        <v>11</v>
      </c>
    </row>
    <row r="4950" spans="1:9" hidden="1" x14ac:dyDescent="0.25">
      <c r="A4950" t="s">
        <v>17</v>
      </c>
      <c r="B4950" t="s">
        <v>221</v>
      </c>
      <c r="C4950">
        <v>202305</v>
      </c>
      <c r="D4950" t="str">
        <f t="shared" si="77"/>
        <v>2023</v>
      </c>
      <c r="E4950">
        <v>304</v>
      </c>
      <c r="F4950">
        <v>103767</v>
      </c>
      <c r="G4950">
        <v>0.28999999999999998</v>
      </c>
      <c r="H4950" t="s">
        <v>10</v>
      </c>
      <c r="I4950" t="s">
        <v>11</v>
      </c>
    </row>
    <row r="4951" spans="1:9" hidden="1" x14ac:dyDescent="0.25">
      <c r="A4951" t="s">
        <v>17</v>
      </c>
      <c r="B4951" t="s">
        <v>221</v>
      </c>
      <c r="C4951">
        <v>202306</v>
      </c>
      <c r="D4951" t="str">
        <f t="shared" si="77"/>
        <v>2023</v>
      </c>
      <c r="E4951">
        <v>267</v>
      </c>
      <c r="F4951">
        <v>103767</v>
      </c>
      <c r="G4951">
        <v>0.26</v>
      </c>
      <c r="H4951" t="s">
        <v>10</v>
      </c>
      <c r="I4951" t="s">
        <v>11</v>
      </c>
    </row>
    <row r="4952" spans="1:9" hidden="1" x14ac:dyDescent="0.25">
      <c r="A4952" t="s">
        <v>17</v>
      </c>
      <c r="B4952" t="s">
        <v>221</v>
      </c>
      <c r="C4952">
        <v>202307</v>
      </c>
      <c r="D4952" t="str">
        <f t="shared" si="77"/>
        <v>2023</v>
      </c>
      <c r="E4952">
        <v>456</v>
      </c>
      <c r="F4952">
        <v>103767</v>
      </c>
      <c r="G4952">
        <v>0.44</v>
      </c>
      <c r="H4952" t="s">
        <v>10</v>
      </c>
      <c r="I4952" t="s">
        <v>11</v>
      </c>
    </row>
    <row r="4953" spans="1:9" hidden="1" x14ac:dyDescent="0.25">
      <c r="A4953" t="s">
        <v>17</v>
      </c>
      <c r="B4953" t="s">
        <v>221</v>
      </c>
      <c r="C4953">
        <v>202308</v>
      </c>
      <c r="D4953" t="str">
        <f t="shared" si="77"/>
        <v>2023</v>
      </c>
      <c r="E4953">
        <v>540</v>
      </c>
      <c r="F4953">
        <v>103767</v>
      </c>
      <c r="G4953">
        <v>0.52</v>
      </c>
      <c r="H4953" t="s">
        <v>10</v>
      </c>
      <c r="I4953" t="s">
        <v>11</v>
      </c>
    </row>
    <row r="4954" spans="1:9" hidden="1" x14ac:dyDescent="0.25">
      <c r="A4954" t="s">
        <v>17</v>
      </c>
      <c r="B4954" t="s">
        <v>221</v>
      </c>
      <c r="C4954">
        <v>202309</v>
      </c>
      <c r="D4954" t="str">
        <f t="shared" si="77"/>
        <v>2023</v>
      </c>
      <c r="E4954">
        <v>475</v>
      </c>
      <c r="F4954">
        <v>103767</v>
      </c>
      <c r="G4954">
        <v>0.46</v>
      </c>
      <c r="H4954" t="s">
        <v>10</v>
      </c>
      <c r="I4954" t="s">
        <v>11</v>
      </c>
    </row>
    <row r="4955" spans="1:9" hidden="1" x14ac:dyDescent="0.25">
      <c r="A4955" t="s">
        <v>17</v>
      </c>
      <c r="B4955" t="s">
        <v>221</v>
      </c>
      <c r="C4955">
        <v>202310</v>
      </c>
      <c r="D4955" t="str">
        <f t="shared" si="77"/>
        <v>2023</v>
      </c>
      <c r="E4955">
        <v>1189</v>
      </c>
      <c r="F4955">
        <v>103767</v>
      </c>
      <c r="G4955">
        <v>1.1499999999999999</v>
      </c>
      <c r="H4955" t="s">
        <v>10</v>
      </c>
      <c r="I4955" t="s">
        <v>11</v>
      </c>
    </row>
    <row r="4956" spans="1:9" hidden="1" x14ac:dyDescent="0.25">
      <c r="A4956" t="s">
        <v>17</v>
      </c>
      <c r="B4956" t="s">
        <v>221</v>
      </c>
      <c r="C4956">
        <v>202311</v>
      </c>
      <c r="D4956" t="str">
        <f t="shared" si="77"/>
        <v>2023</v>
      </c>
      <c r="E4956">
        <v>1050</v>
      </c>
      <c r="F4956">
        <v>103767</v>
      </c>
      <c r="G4956">
        <v>1.01</v>
      </c>
      <c r="H4956" t="s">
        <v>10</v>
      </c>
      <c r="I4956" t="s">
        <v>11</v>
      </c>
    </row>
    <row r="4957" spans="1:9" hidden="1" x14ac:dyDescent="0.25">
      <c r="A4957" t="s">
        <v>17</v>
      </c>
      <c r="B4957" t="s">
        <v>221</v>
      </c>
      <c r="C4957">
        <v>202312</v>
      </c>
      <c r="D4957" t="str">
        <f t="shared" si="77"/>
        <v>2023</v>
      </c>
      <c r="E4957">
        <v>647</v>
      </c>
      <c r="F4957">
        <v>103767</v>
      </c>
      <c r="G4957">
        <v>0.62</v>
      </c>
      <c r="H4957" t="s">
        <v>10</v>
      </c>
      <c r="I4957" t="s">
        <v>11</v>
      </c>
    </row>
    <row r="4958" spans="1:9" hidden="1" x14ac:dyDescent="0.25">
      <c r="A4958" t="s">
        <v>17</v>
      </c>
      <c r="B4958" t="s">
        <v>221</v>
      </c>
      <c r="C4958">
        <v>202401</v>
      </c>
      <c r="D4958" t="str">
        <f t="shared" si="77"/>
        <v>2024</v>
      </c>
      <c r="E4958">
        <v>999</v>
      </c>
      <c r="F4958">
        <v>103767</v>
      </c>
      <c r="G4958">
        <v>0.96</v>
      </c>
      <c r="H4958" t="s">
        <v>10</v>
      </c>
      <c r="I4958" t="s">
        <v>11</v>
      </c>
    </row>
    <row r="4959" spans="1:9" hidden="1" x14ac:dyDescent="0.25">
      <c r="A4959" t="s">
        <v>17</v>
      </c>
      <c r="B4959" t="s">
        <v>221</v>
      </c>
      <c r="C4959">
        <v>202402</v>
      </c>
      <c r="D4959" t="str">
        <f t="shared" si="77"/>
        <v>2024</v>
      </c>
      <c r="E4959">
        <v>1220</v>
      </c>
      <c r="F4959">
        <v>103767</v>
      </c>
      <c r="G4959">
        <v>1.18</v>
      </c>
      <c r="H4959" t="s">
        <v>10</v>
      </c>
      <c r="I4959" t="s">
        <v>11</v>
      </c>
    </row>
    <row r="4960" spans="1:9" hidden="1" x14ac:dyDescent="0.25">
      <c r="A4960" t="s">
        <v>17</v>
      </c>
      <c r="B4960" t="s">
        <v>221</v>
      </c>
      <c r="C4960">
        <v>202403</v>
      </c>
      <c r="D4960" t="str">
        <f t="shared" si="77"/>
        <v>2024</v>
      </c>
      <c r="E4960">
        <v>1262</v>
      </c>
      <c r="F4960">
        <v>103767</v>
      </c>
      <c r="G4960">
        <v>1.22</v>
      </c>
      <c r="H4960" t="s">
        <v>10</v>
      </c>
      <c r="I4960" t="s">
        <v>11</v>
      </c>
    </row>
    <row r="4961" spans="1:9" hidden="1" x14ac:dyDescent="0.25">
      <c r="A4961" t="s">
        <v>17</v>
      </c>
      <c r="B4961" t="s">
        <v>221</v>
      </c>
      <c r="C4961">
        <v>202404</v>
      </c>
      <c r="D4961" t="str">
        <f t="shared" si="77"/>
        <v>2024</v>
      </c>
      <c r="E4961">
        <v>1448</v>
      </c>
      <c r="F4961">
        <v>103767</v>
      </c>
      <c r="G4961">
        <v>1.4</v>
      </c>
      <c r="H4961" t="s">
        <v>10</v>
      </c>
      <c r="I4961" t="s">
        <v>11</v>
      </c>
    </row>
    <row r="4962" spans="1:9" hidden="1" x14ac:dyDescent="0.25">
      <c r="A4962" t="s">
        <v>17</v>
      </c>
      <c r="B4962" t="s">
        <v>221</v>
      </c>
      <c r="C4962">
        <v>202405</v>
      </c>
      <c r="D4962" t="str">
        <f t="shared" si="77"/>
        <v>2024</v>
      </c>
      <c r="E4962">
        <v>2669</v>
      </c>
      <c r="F4962">
        <v>103767</v>
      </c>
      <c r="G4962">
        <v>2.57</v>
      </c>
      <c r="H4962" t="s">
        <v>10</v>
      </c>
      <c r="I4962" t="s">
        <v>11</v>
      </c>
    </row>
    <row r="4963" spans="1:9" hidden="1" x14ac:dyDescent="0.25">
      <c r="A4963" t="s">
        <v>17</v>
      </c>
      <c r="B4963" t="s">
        <v>221</v>
      </c>
      <c r="C4963">
        <v>202406</v>
      </c>
      <c r="D4963" t="str">
        <f t="shared" si="77"/>
        <v>2024</v>
      </c>
      <c r="E4963">
        <v>5852</v>
      </c>
      <c r="F4963">
        <v>103767</v>
      </c>
      <c r="G4963">
        <v>5.64</v>
      </c>
      <c r="H4963" t="s">
        <v>10</v>
      </c>
      <c r="I4963" t="s">
        <v>11</v>
      </c>
    </row>
    <row r="4964" spans="1:9" hidden="1" x14ac:dyDescent="0.25">
      <c r="A4964" t="s">
        <v>17</v>
      </c>
      <c r="B4964" t="s">
        <v>221</v>
      </c>
      <c r="C4964">
        <v>202407</v>
      </c>
      <c r="D4964" t="str">
        <f t="shared" si="77"/>
        <v>2024</v>
      </c>
      <c r="E4964">
        <v>47525</v>
      </c>
      <c r="F4964">
        <v>103767</v>
      </c>
      <c r="G4964">
        <v>45.8</v>
      </c>
      <c r="H4964" t="s">
        <v>10</v>
      </c>
      <c r="I4964" t="s">
        <v>11</v>
      </c>
    </row>
    <row r="4965" spans="1:9" hidden="1" x14ac:dyDescent="0.25">
      <c r="A4965" t="s">
        <v>17</v>
      </c>
      <c r="B4965" t="s">
        <v>221</v>
      </c>
      <c r="C4965">
        <v>202408</v>
      </c>
      <c r="D4965" t="str">
        <f t="shared" si="77"/>
        <v>2024</v>
      </c>
      <c r="E4965">
        <v>36513</v>
      </c>
      <c r="F4965">
        <v>103767</v>
      </c>
      <c r="G4965">
        <v>35.19</v>
      </c>
      <c r="H4965" t="s">
        <v>10</v>
      </c>
      <c r="I4965" t="s">
        <v>11</v>
      </c>
    </row>
    <row r="4966" spans="1:9" hidden="1" x14ac:dyDescent="0.25">
      <c r="A4966" t="s">
        <v>17</v>
      </c>
      <c r="B4966" t="s">
        <v>20</v>
      </c>
      <c r="C4966">
        <v>201901</v>
      </c>
      <c r="D4966" t="str">
        <f t="shared" si="77"/>
        <v>2019</v>
      </c>
      <c r="E4966">
        <v>13</v>
      </c>
      <c r="F4966">
        <v>82533</v>
      </c>
      <c r="G4966">
        <v>0.02</v>
      </c>
      <c r="H4966" t="s">
        <v>10</v>
      </c>
      <c r="I4966" t="s">
        <v>11</v>
      </c>
    </row>
    <row r="4967" spans="1:9" hidden="1" x14ac:dyDescent="0.25">
      <c r="A4967" t="s">
        <v>17</v>
      </c>
      <c r="B4967" t="s">
        <v>20</v>
      </c>
      <c r="C4967">
        <v>201902</v>
      </c>
      <c r="D4967" t="str">
        <f t="shared" si="77"/>
        <v>2019</v>
      </c>
      <c r="E4967">
        <v>4</v>
      </c>
      <c r="F4967">
        <v>82533</v>
      </c>
      <c r="G4967">
        <v>0</v>
      </c>
      <c r="H4967" t="s">
        <v>10</v>
      </c>
      <c r="I4967" t="s">
        <v>11</v>
      </c>
    </row>
    <row r="4968" spans="1:9" hidden="1" x14ac:dyDescent="0.25">
      <c r="A4968" t="s">
        <v>17</v>
      </c>
      <c r="B4968" t="s">
        <v>20</v>
      </c>
      <c r="C4968">
        <v>201903</v>
      </c>
      <c r="D4968" t="str">
        <f t="shared" si="77"/>
        <v>2019</v>
      </c>
      <c r="E4968">
        <v>1</v>
      </c>
      <c r="F4968">
        <v>82533</v>
      </c>
      <c r="G4968">
        <v>0</v>
      </c>
      <c r="H4968" t="s">
        <v>10</v>
      </c>
      <c r="I4968" t="s">
        <v>11</v>
      </c>
    </row>
    <row r="4969" spans="1:9" hidden="1" x14ac:dyDescent="0.25">
      <c r="A4969" t="s">
        <v>17</v>
      </c>
      <c r="B4969" t="s">
        <v>20</v>
      </c>
      <c r="C4969">
        <v>202105</v>
      </c>
      <c r="D4969" t="str">
        <f t="shared" si="77"/>
        <v>2021</v>
      </c>
      <c r="E4969">
        <v>1</v>
      </c>
      <c r="F4969">
        <v>82533</v>
      </c>
      <c r="G4969">
        <v>0</v>
      </c>
      <c r="H4969" t="s">
        <v>10</v>
      </c>
      <c r="I4969" t="s">
        <v>11</v>
      </c>
    </row>
    <row r="4970" spans="1:9" hidden="1" x14ac:dyDescent="0.25">
      <c r="A4970" t="s">
        <v>17</v>
      </c>
      <c r="B4970" t="s">
        <v>20</v>
      </c>
      <c r="C4970">
        <v>202108</v>
      </c>
      <c r="D4970" t="str">
        <f t="shared" si="77"/>
        <v>2021</v>
      </c>
      <c r="E4970">
        <v>3</v>
      </c>
      <c r="F4970">
        <v>82533</v>
      </c>
      <c r="G4970">
        <v>0</v>
      </c>
      <c r="H4970" t="s">
        <v>10</v>
      </c>
      <c r="I4970" t="s">
        <v>11</v>
      </c>
    </row>
    <row r="4971" spans="1:9" hidden="1" x14ac:dyDescent="0.25">
      <c r="A4971" t="s">
        <v>17</v>
      </c>
      <c r="B4971" t="s">
        <v>20</v>
      </c>
      <c r="C4971">
        <v>202109</v>
      </c>
      <c r="D4971" t="str">
        <f t="shared" si="77"/>
        <v>2021</v>
      </c>
      <c r="E4971">
        <v>1</v>
      </c>
      <c r="F4971">
        <v>82533</v>
      </c>
      <c r="G4971">
        <v>0</v>
      </c>
      <c r="H4971" t="s">
        <v>10</v>
      </c>
      <c r="I4971" t="s">
        <v>11</v>
      </c>
    </row>
    <row r="4972" spans="1:9" hidden="1" x14ac:dyDescent="0.25">
      <c r="A4972" t="s">
        <v>17</v>
      </c>
      <c r="B4972" t="s">
        <v>20</v>
      </c>
      <c r="C4972">
        <v>202110</v>
      </c>
      <c r="D4972" t="str">
        <f t="shared" si="77"/>
        <v>2021</v>
      </c>
      <c r="E4972">
        <v>4</v>
      </c>
      <c r="F4972">
        <v>82533</v>
      </c>
      <c r="G4972">
        <v>0</v>
      </c>
      <c r="H4972" t="s">
        <v>10</v>
      </c>
      <c r="I4972" t="s">
        <v>11</v>
      </c>
    </row>
    <row r="4973" spans="1:9" hidden="1" x14ac:dyDescent="0.25">
      <c r="A4973" t="s">
        <v>17</v>
      </c>
      <c r="B4973" t="s">
        <v>20</v>
      </c>
      <c r="C4973">
        <v>202111</v>
      </c>
      <c r="D4973" t="str">
        <f t="shared" si="77"/>
        <v>2021</v>
      </c>
      <c r="E4973">
        <v>1</v>
      </c>
      <c r="F4973">
        <v>82533</v>
      </c>
      <c r="G4973">
        <v>0</v>
      </c>
      <c r="H4973" t="s">
        <v>10</v>
      </c>
      <c r="I4973" t="s">
        <v>11</v>
      </c>
    </row>
    <row r="4974" spans="1:9" hidden="1" x14ac:dyDescent="0.25">
      <c r="A4974" t="s">
        <v>17</v>
      </c>
      <c r="B4974" t="s">
        <v>20</v>
      </c>
      <c r="C4974">
        <v>202201</v>
      </c>
      <c r="D4974" t="str">
        <f t="shared" si="77"/>
        <v>2022</v>
      </c>
      <c r="E4974">
        <v>33</v>
      </c>
      <c r="F4974">
        <v>82533</v>
      </c>
      <c r="G4974">
        <v>0.04</v>
      </c>
      <c r="H4974" t="s">
        <v>10</v>
      </c>
      <c r="I4974" t="s">
        <v>11</v>
      </c>
    </row>
    <row r="4975" spans="1:9" hidden="1" x14ac:dyDescent="0.25">
      <c r="A4975" t="s">
        <v>17</v>
      </c>
      <c r="B4975" t="s">
        <v>20</v>
      </c>
      <c r="C4975">
        <v>202202</v>
      </c>
      <c r="D4975" t="str">
        <f t="shared" si="77"/>
        <v>2022</v>
      </c>
      <c r="E4975">
        <v>27</v>
      </c>
      <c r="F4975">
        <v>82533</v>
      </c>
      <c r="G4975">
        <v>0.03</v>
      </c>
      <c r="H4975" t="s">
        <v>10</v>
      </c>
      <c r="I4975" t="s">
        <v>11</v>
      </c>
    </row>
    <row r="4976" spans="1:9" hidden="1" x14ac:dyDescent="0.25">
      <c r="A4976" t="s">
        <v>17</v>
      </c>
      <c r="B4976" t="s">
        <v>20</v>
      </c>
      <c r="C4976">
        <v>202203</v>
      </c>
      <c r="D4976" t="str">
        <f t="shared" si="77"/>
        <v>2022</v>
      </c>
      <c r="E4976">
        <v>2</v>
      </c>
      <c r="F4976">
        <v>82533</v>
      </c>
      <c r="G4976">
        <v>0</v>
      </c>
      <c r="H4976" t="s">
        <v>10</v>
      </c>
      <c r="I4976" t="s">
        <v>11</v>
      </c>
    </row>
    <row r="4977" spans="1:9" hidden="1" x14ac:dyDescent="0.25">
      <c r="A4977" t="s">
        <v>17</v>
      </c>
      <c r="B4977" t="s">
        <v>20</v>
      </c>
      <c r="C4977">
        <v>202205</v>
      </c>
      <c r="D4977" t="str">
        <f t="shared" si="77"/>
        <v>2022</v>
      </c>
      <c r="E4977">
        <v>5</v>
      </c>
      <c r="F4977">
        <v>82533</v>
      </c>
      <c r="G4977">
        <v>0.01</v>
      </c>
      <c r="H4977" t="s">
        <v>10</v>
      </c>
      <c r="I4977" t="s">
        <v>11</v>
      </c>
    </row>
    <row r="4978" spans="1:9" hidden="1" x14ac:dyDescent="0.25">
      <c r="A4978" t="s">
        <v>17</v>
      </c>
      <c r="B4978" t="s">
        <v>20</v>
      </c>
      <c r="C4978">
        <v>202206</v>
      </c>
      <c r="D4978" t="str">
        <f t="shared" si="77"/>
        <v>2022</v>
      </c>
      <c r="E4978">
        <v>6</v>
      </c>
      <c r="F4978">
        <v>82533</v>
      </c>
      <c r="G4978">
        <v>0.01</v>
      </c>
      <c r="H4978" t="s">
        <v>10</v>
      </c>
      <c r="I4978" t="s">
        <v>11</v>
      </c>
    </row>
    <row r="4979" spans="1:9" hidden="1" x14ac:dyDescent="0.25">
      <c r="A4979" t="s">
        <v>17</v>
      </c>
      <c r="B4979" t="s">
        <v>20</v>
      </c>
      <c r="C4979">
        <v>202207</v>
      </c>
      <c r="D4979" t="str">
        <f t="shared" si="77"/>
        <v>2022</v>
      </c>
      <c r="E4979">
        <v>26</v>
      </c>
      <c r="F4979">
        <v>82533</v>
      </c>
      <c r="G4979">
        <v>0.03</v>
      </c>
      <c r="H4979" t="s">
        <v>10</v>
      </c>
      <c r="I4979" t="s">
        <v>11</v>
      </c>
    </row>
    <row r="4980" spans="1:9" hidden="1" x14ac:dyDescent="0.25">
      <c r="A4980" t="s">
        <v>17</v>
      </c>
      <c r="B4980" t="s">
        <v>20</v>
      </c>
      <c r="C4980">
        <v>202208</v>
      </c>
      <c r="D4980" t="str">
        <f t="shared" si="77"/>
        <v>2022</v>
      </c>
      <c r="E4980">
        <v>19</v>
      </c>
      <c r="F4980">
        <v>82533</v>
      </c>
      <c r="G4980">
        <v>0.02</v>
      </c>
      <c r="H4980" t="s">
        <v>10</v>
      </c>
      <c r="I4980" t="s">
        <v>11</v>
      </c>
    </row>
    <row r="4981" spans="1:9" hidden="1" x14ac:dyDescent="0.25">
      <c r="A4981" t="s">
        <v>17</v>
      </c>
      <c r="B4981" t="s">
        <v>20</v>
      </c>
      <c r="C4981">
        <v>202209</v>
      </c>
      <c r="D4981" t="str">
        <f t="shared" si="77"/>
        <v>2022</v>
      </c>
      <c r="E4981">
        <v>14</v>
      </c>
      <c r="F4981">
        <v>82533</v>
      </c>
      <c r="G4981">
        <v>0.02</v>
      </c>
      <c r="H4981" t="s">
        <v>10</v>
      </c>
      <c r="I4981" t="s">
        <v>11</v>
      </c>
    </row>
    <row r="4982" spans="1:9" hidden="1" x14ac:dyDescent="0.25">
      <c r="A4982" t="s">
        <v>17</v>
      </c>
      <c r="B4982" t="s">
        <v>20</v>
      </c>
      <c r="C4982">
        <v>202210</v>
      </c>
      <c r="D4982" t="str">
        <f t="shared" si="77"/>
        <v>2022</v>
      </c>
      <c r="E4982">
        <v>54</v>
      </c>
      <c r="F4982">
        <v>82533</v>
      </c>
      <c r="G4982">
        <v>7.0000000000000007E-2</v>
      </c>
      <c r="H4982" t="s">
        <v>10</v>
      </c>
      <c r="I4982" t="s">
        <v>11</v>
      </c>
    </row>
    <row r="4983" spans="1:9" hidden="1" x14ac:dyDescent="0.25">
      <c r="A4983" t="s">
        <v>17</v>
      </c>
      <c r="B4983" t="s">
        <v>20</v>
      </c>
      <c r="C4983">
        <v>202211</v>
      </c>
      <c r="D4983" t="str">
        <f t="shared" si="77"/>
        <v>2022</v>
      </c>
      <c r="E4983">
        <v>60</v>
      </c>
      <c r="F4983">
        <v>82533</v>
      </c>
      <c r="G4983">
        <v>7.0000000000000007E-2</v>
      </c>
      <c r="H4983" t="s">
        <v>10</v>
      </c>
      <c r="I4983" t="s">
        <v>11</v>
      </c>
    </row>
    <row r="4984" spans="1:9" hidden="1" x14ac:dyDescent="0.25">
      <c r="A4984" t="s">
        <v>17</v>
      </c>
      <c r="B4984" t="s">
        <v>20</v>
      </c>
      <c r="C4984">
        <v>202212</v>
      </c>
      <c r="D4984" t="str">
        <f t="shared" si="77"/>
        <v>2022</v>
      </c>
      <c r="E4984">
        <v>31</v>
      </c>
      <c r="F4984">
        <v>82533</v>
      </c>
      <c r="G4984">
        <v>0.04</v>
      </c>
      <c r="H4984" t="s">
        <v>10</v>
      </c>
      <c r="I4984" t="s">
        <v>11</v>
      </c>
    </row>
    <row r="4985" spans="1:9" hidden="1" x14ac:dyDescent="0.25">
      <c r="A4985" t="s">
        <v>17</v>
      </c>
      <c r="B4985" t="s">
        <v>20</v>
      </c>
      <c r="C4985">
        <v>202301</v>
      </c>
      <c r="D4985" t="str">
        <f t="shared" si="77"/>
        <v>2023</v>
      </c>
      <c r="E4985">
        <v>113</v>
      </c>
      <c r="F4985">
        <v>82533</v>
      </c>
      <c r="G4985">
        <v>0.14000000000000001</v>
      </c>
      <c r="H4985" t="s">
        <v>10</v>
      </c>
      <c r="I4985" t="s">
        <v>11</v>
      </c>
    </row>
    <row r="4986" spans="1:9" hidden="1" x14ac:dyDescent="0.25">
      <c r="A4986" t="s">
        <v>17</v>
      </c>
      <c r="B4986" t="s">
        <v>20</v>
      </c>
      <c r="C4986">
        <v>202302</v>
      </c>
      <c r="D4986" t="str">
        <f t="shared" si="77"/>
        <v>2023</v>
      </c>
      <c r="E4986">
        <v>152</v>
      </c>
      <c r="F4986">
        <v>82533</v>
      </c>
      <c r="G4986">
        <v>0.18</v>
      </c>
      <c r="H4986" t="s">
        <v>10</v>
      </c>
      <c r="I4986" t="s">
        <v>11</v>
      </c>
    </row>
    <row r="4987" spans="1:9" hidden="1" x14ac:dyDescent="0.25">
      <c r="A4987" t="s">
        <v>17</v>
      </c>
      <c r="B4987" t="s">
        <v>20</v>
      </c>
      <c r="C4987">
        <v>202303</v>
      </c>
      <c r="D4987" t="str">
        <f t="shared" si="77"/>
        <v>2023</v>
      </c>
      <c r="E4987">
        <v>129</v>
      </c>
      <c r="F4987">
        <v>82533</v>
      </c>
      <c r="G4987">
        <v>0.16</v>
      </c>
      <c r="H4987" t="s">
        <v>10</v>
      </c>
      <c r="I4987" t="s">
        <v>11</v>
      </c>
    </row>
    <row r="4988" spans="1:9" hidden="1" x14ac:dyDescent="0.25">
      <c r="A4988" t="s">
        <v>17</v>
      </c>
      <c r="B4988" t="s">
        <v>20</v>
      </c>
      <c r="C4988">
        <v>202304</v>
      </c>
      <c r="D4988" t="str">
        <f t="shared" si="77"/>
        <v>2023</v>
      </c>
      <c r="E4988">
        <v>171</v>
      </c>
      <c r="F4988">
        <v>82533</v>
      </c>
      <c r="G4988">
        <v>0.21</v>
      </c>
      <c r="H4988" t="s">
        <v>10</v>
      </c>
      <c r="I4988" t="s">
        <v>11</v>
      </c>
    </row>
    <row r="4989" spans="1:9" hidden="1" x14ac:dyDescent="0.25">
      <c r="A4989" t="s">
        <v>17</v>
      </c>
      <c r="B4989" t="s">
        <v>20</v>
      </c>
      <c r="C4989">
        <v>202305</v>
      </c>
      <c r="D4989" t="str">
        <f t="shared" si="77"/>
        <v>2023</v>
      </c>
      <c r="E4989">
        <v>123</v>
      </c>
      <c r="F4989">
        <v>82533</v>
      </c>
      <c r="G4989">
        <v>0.15</v>
      </c>
      <c r="H4989" t="s">
        <v>10</v>
      </c>
      <c r="I4989" t="s">
        <v>11</v>
      </c>
    </row>
    <row r="4990" spans="1:9" hidden="1" x14ac:dyDescent="0.25">
      <c r="A4990" t="s">
        <v>17</v>
      </c>
      <c r="B4990" t="s">
        <v>20</v>
      </c>
      <c r="C4990">
        <v>202306</v>
      </c>
      <c r="D4990" t="str">
        <f t="shared" si="77"/>
        <v>2023</v>
      </c>
      <c r="E4990">
        <v>106</v>
      </c>
      <c r="F4990">
        <v>82533</v>
      </c>
      <c r="G4990">
        <v>0.13</v>
      </c>
      <c r="H4990" t="s">
        <v>10</v>
      </c>
      <c r="I4990" t="s">
        <v>11</v>
      </c>
    </row>
    <row r="4991" spans="1:9" hidden="1" x14ac:dyDescent="0.25">
      <c r="A4991" t="s">
        <v>17</v>
      </c>
      <c r="B4991" t="s">
        <v>20</v>
      </c>
      <c r="C4991">
        <v>202307</v>
      </c>
      <c r="D4991" t="str">
        <f t="shared" si="77"/>
        <v>2023</v>
      </c>
      <c r="E4991">
        <v>281</v>
      </c>
      <c r="F4991">
        <v>82533</v>
      </c>
      <c r="G4991">
        <v>0.34</v>
      </c>
      <c r="H4991" t="s">
        <v>10</v>
      </c>
      <c r="I4991" t="s">
        <v>11</v>
      </c>
    </row>
    <row r="4992" spans="1:9" hidden="1" x14ac:dyDescent="0.25">
      <c r="A4992" t="s">
        <v>17</v>
      </c>
      <c r="B4992" t="s">
        <v>20</v>
      </c>
      <c r="C4992">
        <v>202308</v>
      </c>
      <c r="D4992" t="str">
        <f t="shared" si="77"/>
        <v>2023</v>
      </c>
      <c r="E4992">
        <v>444</v>
      </c>
      <c r="F4992">
        <v>82533</v>
      </c>
      <c r="G4992">
        <v>0.54</v>
      </c>
      <c r="H4992" t="s">
        <v>10</v>
      </c>
      <c r="I4992" t="s">
        <v>11</v>
      </c>
    </row>
    <row r="4993" spans="1:9" hidden="1" x14ac:dyDescent="0.25">
      <c r="A4993" t="s">
        <v>17</v>
      </c>
      <c r="B4993" t="s">
        <v>20</v>
      </c>
      <c r="C4993">
        <v>202309</v>
      </c>
      <c r="D4993" t="str">
        <f t="shared" si="77"/>
        <v>2023</v>
      </c>
      <c r="E4993">
        <v>667</v>
      </c>
      <c r="F4993">
        <v>82533</v>
      </c>
      <c r="G4993">
        <v>0.81</v>
      </c>
      <c r="H4993" t="s">
        <v>10</v>
      </c>
      <c r="I4993" t="s">
        <v>11</v>
      </c>
    </row>
    <row r="4994" spans="1:9" hidden="1" x14ac:dyDescent="0.25">
      <c r="A4994" t="s">
        <v>17</v>
      </c>
      <c r="B4994" t="s">
        <v>20</v>
      </c>
      <c r="C4994">
        <v>202310</v>
      </c>
      <c r="D4994" t="str">
        <f t="shared" si="77"/>
        <v>2023</v>
      </c>
      <c r="E4994">
        <v>873</v>
      </c>
      <c r="F4994">
        <v>82533</v>
      </c>
      <c r="G4994">
        <v>1.06</v>
      </c>
      <c r="H4994" t="s">
        <v>10</v>
      </c>
      <c r="I4994" t="s">
        <v>11</v>
      </c>
    </row>
    <row r="4995" spans="1:9" hidden="1" x14ac:dyDescent="0.25">
      <c r="A4995" t="s">
        <v>17</v>
      </c>
      <c r="B4995" t="s">
        <v>20</v>
      </c>
      <c r="C4995">
        <v>202311</v>
      </c>
      <c r="D4995" t="str">
        <f t="shared" ref="D4995:D5058" si="78">LEFT(C4995,4)</f>
        <v>2023</v>
      </c>
      <c r="E4995">
        <v>1558</v>
      </c>
      <c r="F4995">
        <v>82533</v>
      </c>
      <c r="G4995">
        <v>1.89</v>
      </c>
      <c r="H4995" t="s">
        <v>10</v>
      </c>
      <c r="I4995" t="s">
        <v>11</v>
      </c>
    </row>
    <row r="4996" spans="1:9" hidden="1" x14ac:dyDescent="0.25">
      <c r="A4996" t="s">
        <v>17</v>
      </c>
      <c r="B4996" t="s">
        <v>20</v>
      </c>
      <c r="C4996">
        <v>202312</v>
      </c>
      <c r="D4996" t="str">
        <f t="shared" si="78"/>
        <v>2023</v>
      </c>
      <c r="E4996">
        <v>2510</v>
      </c>
      <c r="F4996">
        <v>82533</v>
      </c>
      <c r="G4996">
        <v>3.04</v>
      </c>
      <c r="H4996" t="s">
        <v>10</v>
      </c>
      <c r="I4996" t="s">
        <v>11</v>
      </c>
    </row>
    <row r="4997" spans="1:9" hidden="1" x14ac:dyDescent="0.25">
      <c r="A4997" t="s">
        <v>17</v>
      </c>
      <c r="B4997" t="s">
        <v>20</v>
      </c>
      <c r="C4997">
        <v>202401</v>
      </c>
      <c r="D4997" t="str">
        <f t="shared" si="78"/>
        <v>2024</v>
      </c>
      <c r="E4997">
        <v>491</v>
      </c>
      <c r="F4997">
        <v>82533</v>
      </c>
      <c r="G4997">
        <v>0.59</v>
      </c>
      <c r="H4997" t="s">
        <v>10</v>
      </c>
      <c r="I4997" t="s">
        <v>11</v>
      </c>
    </row>
    <row r="4998" spans="1:9" hidden="1" x14ac:dyDescent="0.25">
      <c r="A4998" t="s">
        <v>17</v>
      </c>
      <c r="B4998" t="s">
        <v>20</v>
      </c>
      <c r="C4998">
        <v>202402</v>
      </c>
      <c r="D4998" t="str">
        <f t="shared" si="78"/>
        <v>2024</v>
      </c>
      <c r="E4998">
        <v>797</v>
      </c>
      <c r="F4998">
        <v>82533</v>
      </c>
      <c r="G4998">
        <v>0.97</v>
      </c>
      <c r="H4998" t="s">
        <v>10</v>
      </c>
      <c r="I4998" t="s">
        <v>11</v>
      </c>
    </row>
    <row r="4999" spans="1:9" hidden="1" x14ac:dyDescent="0.25">
      <c r="A4999" t="s">
        <v>17</v>
      </c>
      <c r="B4999" t="s">
        <v>20</v>
      </c>
      <c r="C4999">
        <v>202403</v>
      </c>
      <c r="D4999" t="str">
        <f t="shared" si="78"/>
        <v>2024</v>
      </c>
      <c r="E4999">
        <v>729</v>
      </c>
      <c r="F4999">
        <v>82533</v>
      </c>
      <c r="G4999">
        <v>0.88</v>
      </c>
      <c r="H4999" t="s">
        <v>10</v>
      </c>
      <c r="I4999" t="s">
        <v>11</v>
      </c>
    </row>
    <row r="5000" spans="1:9" hidden="1" x14ac:dyDescent="0.25">
      <c r="A5000" t="s">
        <v>17</v>
      </c>
      <c r="B5000" t="s">
        <v>20</v>
      </c>
      <c r="C5000">
        <v>202404</v>
      </c>
      <c r="D5000" t="str">
        <f t="shared" si="78"/>
        <v>2024</v>
      </c>
      <c r="E5000">
        <v>755</v>
      </c>
      <c r="F5000">
        <v>82533</v>
      </c>
      <c r="G5000">
        <v>0.91</v>
      </c>
      <c r="H5000" t="s">
        <v>10</v>
      </c>
      <c r="I5000" t="s">
        <v>11</v>
      </c>
    </row>
    <row r="5001" spans="1:9" hidden="1" x14ac:dyDescent="0.25">
      <c r="A5001" t="s">
        <v>17</v>
      </c>
      <c r="B5001" t="s">
        <v>20</v>
      </c>
      <c r="C5001">
        <v>202405</v>
      </c>
      <c r="D5001" t="str">
        <f t="shared" si="78"/>
        <v>2024</v>
      </c>
      <c r="E5001">
        <v>1257</v>
      </c>
      <c r="F5001">
        <v>82533</v>
      </c>
      <c r="G5001">
        <v>1.52</v>
      </c>
      <c r="H5001" t="s">
        <v>10</v>
      </c>
      <c r="I5001" t="s">
        <v>11</v>
      </c>
    </row>
    <row r="5002" spans="1:9" hidden="1" x14ac:dyDescent="0.25">
      <c r="A5002" t="s">
        <v>17</v>
      </c>
      <c r="B5002" t="s">
        <v>20</v>
      </c>
      <c r="C5002">
        <v>202406</v>
      </c>
      <c r="D5002" t="str">
        <f t="shared" si="78"/>
        <v>2024</v>
      </c>
      <c r="E5002">
        <v>2659</v>
      </c>
      <c r="F5002">
        <v>82533</v>
      </c>
      <c r="G5002">
        <v>3.22</v>
      </c>
      <c r="H5002" t="s">
        <v>10</v>
      </c>
      <c r="I5002" t="s">
        <v>11</v>
      </c>
    </row>
    <row r="5003" spans="1:9" hidden="1" x14ac:dyDescent="0.25">
      <c r="A5003" t="s">
        <v>17</v>
      </c>
      <c r="B5003" t="s">
        <v>20</v>
      </c>
      <c r="C5003">
        <v>202407</v>
      </c>
      <c r="D5003" t="str">
        <f t="shared" si="78"/>
        <v>2024</v>
      </c>
      <c r="E5003">
        <v>5275</v>
      </c>
      <c r="F5003">
        <v>82533</v>
      </c>
      <c r="G5003">
        <v>6.39</v>
      </c>
      <c r="H5003" t="s">
        <v>10</v>
      </c>
      <c r="I5003" t="s">
        <v>11</v>
      </c>
    </row>
    <row r="5004" spans="1:9" hidden="1" x14ac:dyDescent="0.25">
      <c r="A5004" t="s">
        <v>17</v>
      </c>
      <c r="B5004" t="s">
        <v>20</v>
      </c>
      <c r="C5004">
        <v>202408</v>
      </c>
      <c r="D5004" t="str">
        <f t="shared" si="78"/>
        <v>2024</v>
      </c>
      <c r="E5004">
        <v>39591</v>
      </c>
      <c r="F5004">
        <v>82533</v>
      </c>
      <c r="G5004">
        <v>47.97</v>
      </c>
      <c r="H5004" t="s">
        <v>10</v>
      </c>
      <c r="I5004" t="s">
        <v>11</v>
      </c>
    </row>
    <row r="5005" spans="1:9" hidden="1" x14ac:dyDescent="0.25">
      <c r="A5005" t="s">
        <v>17</v>
      </c>
      <c r="B5005" t="s">
        <v>20</v>
      </c>
      <c r="C5005">
        <v>202409</v>
      </c>
      <c r="D5005" t="str">
        <f t="shared" si="78"/>
        <v>2024</v>
      </c>
      <c r="E5005">
        <v>23547</v>
      </c>
      <c r="F5005">
        <v>82533</v>
      </c>
      <c r="G5005">
        <v>28.53</v>
      </c>
      <c r="H5005" t="s">
        <v>10</v>
      </c>
      <c r="I5005" t="s">
        <v>11</v>
      </c>
    </row>
    <row r="5006" spans="1:9" hidden="1" x14ac:dyDescent="0.25">
      <c r="A5006" t="s">
        <v>17</v>
      </c>
      <c r="B5006" t="s">
        <v>90</v>
      </c>
      <c r="C5006">
        <v>201807</v>
      </c>
      <c r="D5006" t="str">
        <f t="shared" si="78"/>
        <v>2018</v>
      </c>
      <c r="E5006">
        <v>1</v>
      </c>
      <c r="F5006">
        <v>104438</v>
      </c>
      <c r="G5006">
        <v>0</v>
      </c>
      <c r="H5006" t="s">
        <v>10</v>
      </c>
      <c r="I5006" t="s">
        <v>11</v>
      </c>
    </row>
    <row r="5007" spans="1:9" hidden="1" x14ac:dyDescent="0.25">
      <c r="A5007" t="s">
        <v>17</v>
      </c>
      <c r="B5007" t="s">
        <v>90</v>
      </c>
      <c r="C5007">
        <v>201901</v>
      </c>
      <c r="D5007" t="str">
        <f t="shared" si="78"/>
        <v>2019</v>
      </c>
      <c r="E5007">
        <v>36</v>
      </c>
      <c r="F5007">
        <v>104438</v>
      </c>
      <c r="G5007">
        <v>0.03</v>
      </c>
      <c r="H5007" t="s">
        <v>10</v>
      </c>
      <c r="I5007" t="s">
        <v>11</v>
      </c>
    </row>
    <row r="5008" spans="1:9" hidden="1" x14ac:dyDescent="0.25">
      <c r="A5008" t="s">
        <v>17</v>
      </c>
      <c r="B5008" t="s">
        <v>90</v>
      </c>
      <c r="C5008">
        <v>201902</v>
      </c>
      <c r="D5008" t="str">
        <f t="shared" si="78"/>
        <v>2019</v>
      </c>
      <c r="E5008">
        <v>7</v>
      </c>
      <c r="F5008">
        <v>104438</v>
      </c>
      <c r="G5008">
        <v>0.01</v>
      </c>
      <c r="H5008" t="s">
        <v>10</v>
      </c>
      <c r="I5008" t="s">
        <v>11</v>
      </c>
    </row>
    <row r="5009" spans="1:9" hidden="1" x14ac:dyDescent="0.25">
      <c r="A5009" t="s">
        <v>17</v>
      </c>
      <c r="B5009" t="s">
        <v>90</v>
      </c>
      <c r="C5009">
        <v>201903</v>
      </c>
      <c r="D5009" t="str">
        <f t="shared" si="78"/>
        <v>2019</v>
      </c>
      <c r="E5009">
        <v>3</v>
      </c>
      <c r="F5009">
        <v>104438</v>
      </c>
      <c r="G5009">
        <v>0</v>
      </c>
      <c r="H5009" t="s">
        <v>10</v>
      </c>
      <c r="I5009" t="s">
        <v>11</v>
      </c>
    </row>
    <row r="5010" spans="1:9" hidden="1" x14ac:dyDescent="0.25">
      <c r="A5010" t="s">
        <v>17</v>
      </c>
      <c r="B5010" t="s">
        <v>90</v>
      </c>
      <c r="C5010">
        <v>202004</v>
      </c>
      <c r="D5010" t="str">
        <f t="shared" si="78"/>
        <v>2020</v>
      </c>
      <c r="E5010">
        <v>1</v>
      </c>
      <c r="F5010">
        <v>104438</v>
      </c>
      <c r="G5010">
        <v>0</v>
      </c>
      <c r="H5010" t="s">
        <v>10</v>
      </c>
      <c r="I5010" t="s">
        <v>11</v>
      </c>
    </row>
    <row r="5011" spans="1:9" hidden="1" x14ac:dyDescent="0.25">
      <c r="A5011" t="s">
        <v>17</v>
      </c>
      <c r="B5011" t="s">
        <v>90</v>
      </c>
      <c r="C5011">
        <v>202005</v>
      </c>
      <c r="D5011" t="str">
        <f t="shared" si="78"/>
        <v>2020</v>
      </c>
      <c r="E5011">
        <v>7</v>
      </c>
      <c r="F5011">
        <v>104438</v>
      </c>
      <c r="G5011">
        <v>0.01</v>
      </c>
      <c r="H5011" t="s">
        <v>10</v>
      </c>
      <c r="I5011" t="s">
        <v>11</v>
      </c>
    </row>
    <row r="5012" spans="1:9" hidden="1" x14ac:dyDescent="0.25">
      <c r="A5012" t="s">
        <v>17</v>
      </c>
      <c r="B5012" t="s">
        <v>90</v>
      </c>
      <c r="C5012">
        <v>202110</v>
      </c>
      <c r="D5012" t="str">
        <f t="shared" si="78"/>
        <v>2021</v>
      </c>
      <c r="E5012">
        <v>7</v>
      </c>
      <c r="F5012">
        <v>104438</v>
      </c>
      <c r="G5012">
        <v>0.01</v>
      </c>
      <c r="H5012" t="s">
        <v>10</v>
      </c>
      <c r="I5012" t="s">
        <v>11</v>
      </c>
    </row>
    <row r="5013" spans="1:9" hidden="1" x14ac:dyDescent="0.25">
      <c r="A5013" t="s">
        <v>17</v>
      </c>
      <c r="B5013" t="s">
        <v>90</v>
      </c>
      <c r="C5013">
        <v>202201</v>
      </c>
      <c r="D5013" t="str">
        <f t="shared" si="78"/>
        <v>2022</v>
      </c>
      <c r="E5013">
        <v>24</v>
      </c>
      <c r="F5013">
        <v>104438</v>
      </c>
      <c r="G5013">
        <v>0.02</v>
      </c>
      <c r="H5013" t="s">
        <v>10</v>
      </c>
      <c r="I5013" t="s">
        <v>11</v>
      </c>
    </row>
    <row r="5014" spans="1:9" hidden="1" x14ac:dyDescent="0.25">
      <c r="A5014" t="s">
        <v>17</v>
      </c>
      <c r="B5014" t="s">
        <v>90</v>
      </c>
      <c r="C5014">
        <v>202203</v>
      </c>
      <c r="D5014" t="str">
        <f t="shared" si="78"/>
        <v>2022</v>
      </c>
      <c r="E5014">
        <v>10</v>
      </c>
      <c r="F5014">
        <v>104438</v>
      </c>
      <c r="G5014">
        <v>0.01</v>
      </c>
      <c r="H5014" t="s">
        <v>10</v>
      </c>
      <c r="I5014" t="s">
        <v>11</v>
      </c>
    </row>
    <row r="5015" spans="1:9" hidden="1" x14ac:dyDescent="0.25">
      <c r="A5015" t="s">
        <v>17</v>
      </c>
      <c r="B5015" t="s">
        <v>90</v>
      </c>
      <c r="C5015">
        <v>202204</v>
      </c>
      <c r="D5015" t="str">
        <f t="shared" si="78"/>
        <v>2022</v>
      </c>
      <c r="E5015">
        <v>5</v>
      </c>
      <c r="F5015">
        <v>104438</v>
      </c>
      <c r="G5015">
        <v>0</v>
      </c>
      <c r="H5015" t="s">
        <v>10</v>
      </c>
      <c r="I5015" t="s">
        <v>11</v>
      </c>
    </row>
    <row r="5016" spans="1:9" hidden="1" x14ac:dyDescent="0.25">
      <c r="A5016" t="s">
        <v>17</v>
      </c>
      <c r="B5016" t="s">
        <v>90</v>
      </c>
      <c r="C5016">
        <v>202205</v>
      </c>
      <c r="D5016" t="str">
        <f t="shared" si="78"/>
        <v>2022</v>
      </c>
      <c r="E5016">
        <v>10</v>
      </c>
      <c r="F5016">
        <v>104438</v>
      </c>
      <c r="G5016">
        <v>0.01</v>
      </c>
      <c r="H5016" t="s">
        <v>10</v>
      </c>
      <c r="I5016" t="s">
        <v>11</v>
      </c>
    </row>
    <row r="5017" spans="1:9" hidden="1" x14ac:dyDescent="0.25">
      <c r="A5017" t="s">
        <v>17</v>
      </c>
      <c r="B5017" t="s">
        <v>90</v>
      </c>
      <c r="C5017">
        <v>202206</v>
      </c>
      <c r="D5017" t="str">
        <f t="shared" si="78"/>
        <v>2022</v>
      </c>
      <c r="E5017">
        <v>12</v>
      </c>
      <c r="F5017">
        <v>104438</v>
      </c>
      <c r="G5017">
        <v>0.01</v>
      </c>
      <c r="H5017" t="s">
        <v>10</v>
      </c>
      <c r="I5017" t="s">
        <v>11</v>
      </c>
    </row>
    <row r="5018" spans="1:9" hidden="1" x14ac:dyDescent="0.25">
      <c r="A5018" t="s">
        <v>17</v>
      </c>
      <c r="B5018" t="s">
        <v>90</v>
      </c>
      <c r="C5018">
        <v>202207</v>
      </c>
      <c r="D5018" t="str">
        <f t="shared" si="78"/>
        <v>2022</v>
      </c>
      <c r="E5018">
        <v>12</v>
      </c>
      <c r="F5018">
        <v>104438</v>
      </c>
      <c r="G5018">
        <v>0.01</v>
      </c>
      <c r="H5018" t="s">
        <v>10</v>
      </c>
      <c r="I5018" t="s">
        <v>11</v>
      </c>
    </row>
    <row r="5019" spans="1:9" hidden="1" x14ac:dyDescent="0.25">
      <c r="A5019" t="s">
        <v>17</v>
      </c>
      <c r="B5019" t="s">
        <v>90</v>
      </c>
      <c r="C5019">
        <v>202208</v>
      </c>
      <c r="D5019" t="str">
        <f t="shared" si="78"/>
        <v>2022</v>
      </c>
      <c r="E5019">
        <v>30</v>
      </c>
      <c r="F5019">
        <v>104438</v>
      </c>
      <c r="G5019">
        <v>0.03</v>
      </c>
      <c r="H5019" t="s">
        <v>10</v>
      </c>
      <c r="I5019" t="s">
        <v>11</v>
      </c>
    </row>
    <row r="5020" spans="1:9" hidden="1" x14ac:dyDescent="0.25">
      <c r="A5020" t="s">
        <v>17</v>
      </c>
      <c r="B5020" t="s">
        <v>90</v>
      </c>
      <c r="C5020">
        <v>202209</v>
      </c>
      <c r="D5020" t="str">
        <f t="shared" si="78"/>
        <v>2022</v>
      </c>
      <c r="E5020">
        <v>56</v>
      </c>
      <c r="F5020">
        <v>104438</v>
      </c>
      <c r="G5020">
        <v>0.05</v>
      </c>
      <c r="H5020" t="s">
        <v>10</v>
      </c>
      <c r="I5020" t="s">
        <v>11</v>
      </c>
    </row>
    <row r="5021" spans="1:9" hidden="1" x14ac:dyDescent="0.25">
      <c r="A5021" t="s">
        <v>17</v>
      </c>
      <c r="B5021" t="s">
        <v>90</v>
      </c>
      <c r="C5021">
        <v>202210</v>
      </c>
      <c r="D5021" t="str">
        <f t="shared" si="78"/>
        <v>2022</v>
      </c>
      <c r="E5021">
        <v>16</v>
      </c>
      <c r="F5021">
        <v>104438</v>
      </c>
      <c r="G5021">
        <v>0.02</v>
      </c>
      <c r="H5021" t="s">
        <v>10</v>
      </c>
      <c r="I5021" t="s">
        <v>11</v>
      </c>
    </row>
    <row r="5022" spans="1:9" hidden="1" x14ac:dyDescent="0.25">
      <c r="A5022" t="s">
        <v>17</v>
      </c>
      <c r="B5022" t="s">
        <v>90</v>
      </c>
      <c r="C5022">
        <v>202211</v>
      </c>
      <c r="D5022" t="str">
        <f t="shared" si="78"/>
        <v>2022</v>
      </c>
      <c r="E5022">
        <v>156</v>
      </c>
      <c r="F5022">
        <v>104438</v>
      </c>
      <c r="G5022">
        <v>0.15</v>
      </c>
      <c r="H5022" t="s">
        <v>10</v>
      </c>
      <c r="I5022" t="s">
        <v>11</v>
      </c>
    </row>
    <row r="5023" spans="1:9" hidden="1" x14ac:dyDescent="0.25">
      <c r="A5023" t="s">
        <v>17</v>
      </c>
      <c r="B5023" t="s">
        <v>90</v>
      </c>
      <c r="C5023">
        <v>202212</v>
      </c>
      <c r="D5023" t="str">
        <f t="shared" si="78"/>
        <v>2022</v>
      </c>
      <c r="E5023">
        <v>5</v>
      </c>
      <c r="F5023">
        <v>104438</v>
      </c>
      <c r="G5023">
        <v>0</v>
      </c>
      <c r="H5023" t="s">
        <v>10</v>
      </c>
      <c r="I5023" t="s">
        <v>11</v>
      </c>
    </row>
    <row r="5024" spans="1:9" hidden="1" x14ac:dyDescent="0.25">
      <c r="A5024" t="s">
        <v>17</v>
      </c>
      <c r="B5024" t="s">
        <v>90</v>
      </c>
      <c r="C5024">
        <v>202301</v>
      </c>
      <c r="D5024" t="str">
        <f t="shared" si="78"/>
        <v>2023</v>
      </c>
      <c r="E5024">
        <v>142</v>
      </c>
      <c r="F5024">
        <v>104438</v>
      </c>
      <c r="G5024">
        <v>0.14000000000000001</v>
      </c>
      <c r="H5024" t="s">
        <v>10</v>
      </c>
      <c r="I5024" t="s">
        <v>11</v>
      </c>
    </row>
    <row r="5025" spans="1:9" hidden="1" x14ac:dyDescent="0.25">
      <c r="A5025" t="s">
        <v>17</v>
      </c>
      <c r="B5025" t="s">
        <v>90</v>
      </c>
      <c r="C5025">
        <v>202302</v>
      </c>
      <c r="D5025" t="str">
        <f t="shared" si="78"/>
        <v>2023</v>
      </c>
      <c r="E5025">
        <v>73</v>
      </c>
      <c r="F5025">
        <v>104438</v>
      </c>
      <c r="G5025">
        <v>7.0000000000000007E-2</v>
      </c>
      <c r="H5025" t="s">
        <v>10</v>
      </c>
      <c r="I5025" t="s">
        <v>11</v>
      </c>
    </row>
    <row r="5026" spans="1:9" hidden="1" x14ac:dyDescent="0.25">
      <c r="A5026" t="s">
        <v>17</v>
      </c>
      <c r="B5026" t="s">
        <v>90</v>
      </c>
      <c r="C5026">
        <v>202303</v>
      </c>
      <c r="D5026" t="str">
        <f t="shared" si="78"/>
        <v>2023</v>
      </c>
      <c r="E5026">
        <v>204</v>
      </c>
      <c r="F5026">
        <v>104438</v>
      </c>
      <c r="G5026">
        <v>0.2</v>
      </c>
      <c r="H5026" t="s">
        <v>10</v>
      </c>
      <c r="I5026" t="s">
        <v>11</v>
      </c>
    </row>
    <row r="5027" spans="1:9" hidden="1" x14ac:dyDescent="0.25">
      <c r="A5027" t="s">
        <v>17</v>
      </c>
      <c r="B5027" t="s">
        <v>90</v>
      </c>
      <c r="C5027">
        <v>202304</v>
      </c>
      <c r="D5027" t="str">
        <f t="shared" si="78"/>
        <v>2023</v>
      </c>
      <c r="E5027">
        <v>249</v>
      </c>
      <c r="F5027">
        <v>104438</v>
      </c>
      <c r="G5027">
        <v>0.24</v>
      </c>
      <c r="H5027" t="s">
        <v>10</v>
      </c>
      <c r="I5027" t="s">
        <v>11</v>
      </c>
    </row>
    <row r="5028" spans="1:9" hidden="1" x14ac:dyDescent="0.25">
      <c r="A5028" t="s">
        <v>17</v>
      </c>
      <c r="B5028" t="s">
        <v>90</v>
      </c>
      <c r="C5028">
        <v>202305</v>
      </c>
      <c r="D5028" t="str">
        <f t="shared" si="78"/>
        <v>2023</v>
      </c>
      <c r="E5028">
        <v>140</v>
      </c>
      <c r="F5028">
        <v>104438</v>
      </c>
      <c r="G5028">
        <v>0.13</v>
      </c>
      <c r="H5028" t="s">
        <v>10</v>
      </c>
      <c r="I5028" t="s">
        <v>11</v>
      </c>
    </row>
    <row r="5029" spans="1:9" hidden="1" x14ac:dyDescent="0.25">
      <c r="A5029" t="s">
        <v>17</v>
      </c>
      <c r="B5029" t="s">
        <v>90</v>
      </c>
      <c r="C5029">
        <v>202306</v>
      </c>
      <c r="D5029" t="str">
        <f t="shared" si="78"/>
        <v>2023</v>
      </c>
      <c r="E5029">
        <v>243</v>
      </c>
      <c r="F5029">
        <v>104438</v>
      </c>
      <c r="G5029">
        <v>0.23</v>
      </c>
      <c r="H5029" t="s">
        <v>10</v>
      </c>
      <c r="I5029" t="s">
        <v>11</v>
      </c>
    </row>
    <row r="5030" spans="1:9" hidden="1" x14ac:dyDescent="0.25">
      <c r="A5030" t="s">
        <v>17</v>
      </c>
      <c r="B5030" t="s">
        <v>90</v>
      </c>
      <c r="C5030">
        <v>202307</v>
      </c>
      <c r="D5030" t="str">
        <f t="shared" si="78"/>
        <v>2023</v>
      </c>
      <c r="E5030">
        <v>347</v>
      </c>
      <c r="F5030">
        <v>104438</v>
      </c>
      <c r="G5030">
        <v>0.33</v>
      </c>
      <c r="H5030" t="s">
        <v>10</v>
      </c>
      <c r="I5030" t="s">
        <v>11</v>
      </c>
    </row>
    <row r="5031" spans="1:9" hidden="1" x14ac:dyDescent="0.25">
      <c r="A5031" t="s">
        <v>17</v>
      </c>
      <c r="B5031" t="s">
        <v>90</v>
      </c>
      <c r="C5031">
        <v>202308</v>
      </c>
      <c r="D5031" t="str">
        <f t="shared" si="78"/>
        <v>2023</v>
      </c>
      <c r="E5031">
        <v>553</v>
      </c>
      <c r="F5031">
        <v>104438</v>
      </c>
      <c r="G5031">
        <v>0.53</v>
      </c>
      <c r="H5031" t="s">
        <v>10</v>
      </c>
      <c r="I5031" t="s">
        <v>11</v>
      </c>
    </row>
    <row r="5032" spans="1:9" hidden="1" x14ac:dyDescent="0.25">
      <c r="A5032" t="s">
        <v>17</v>
      </c>
      <c r="B5032" t="s">
        <v>90</v>
      </c>
      <c r="C5032">
        <v>202309</v>
      </c>
      <c r="D5032" t="str">
        <f t="shared" si="78"/>
        <v>2023</v>
      </c>
      <c r="E5032">
        <v>1390</v>
      </c>
      <c r="F5032">
        <v>104438</v>
      </c>
      <c r="G5032">
        <v>1.33</v>
      </c>
      <c r="H5032" t="s">
        <v>10</v>
      </c>
      <c r="I5032" t="s">
        <v>11</v>
      </c>
    </row>
    <row r="5033" spans="1:9" hidden="1" x14ac:dyDescent="0.25">
      <c r="A5033" t="s">
        <v>17</v>
      </c>
      <c r="B5033" t="s">
        <v>90</v>
      </c>
      <c r="C5033">
        <v>202310</v>
      </c>
      <c r="D5033" t="str">
        <f t="shared" si="78"/>
        <v>2023</v>
      </c>
      <c r="E5033">
        <v>873</v>
      </c>
      <c r="F5033">
        <v>104438</v>
      </c>
      <c r="G5033">
        <v>0.84</v>
      </c>
      <c r="H5033" t="s">
        <v>10</v>
      </c>
      <c r="I5033" t="s">
        <v>11</v>
      </c>
    </row>
    <row r="5034" spans="1:9" hidden="1" x14ac:dyDescent="0.25">
      <c r="A5034" t="s">
        <v>17</v>
      </c>
      <c r="B5034" t="s">
        <v>90</v>
      </c>
      <c r="C5034">
        <v>202311</v>
      </c>
      <c r="D5034" t="str">
        <f t="shared" si="78"/>
        <v>2023</v>
      </c>
      <c r="E5034">
        <v>991</v>
      </c>
      <c r="F5034">
        <v>104438</v>
      </c>
      <c r="G5034">
        <v>0.95</v>
      </c>
      <c r="H5034" t="s">
        <v>10</v>
      </c>
      <c r="I5034" t="s">
        <v>11</v>
      </c>
    </row>
    <row r="5035" spans="1:9" hidden="1" x14ac:dyDescent="0.25">
      <c r="A5035" t="s">
        <v>17</v>
      </c>
      <c r="B5035" t="s">
        <v>90</v>
      </c>
      <c r="C5035">
        <v>202312</v>
      </c>
      <c r="D5035" t="str">
        <f t="shared" si="78"/>
        <v>2023</v>
      </c>
      <c r="E5035">
        <v>1744</v>
      </c>
      <c r="F5035">
        <v>104438</v>
      </c>
      <c r="G5035">
        <v>1.67</v>
      </c>
      <c r="H5035" t="s">
        <v>10</v>
      </c>
      <c r="I5035" t="s">
        <v>11</v>
      </c>
    </row>
    <row r="5036" spans="1:9" hidden="1" x14ac:dyDescent="0.25">
      <c r="A5036" t="s">
        <v>17</v>
      </c>
      <c r="B5036" t="s">
        <v>90</v>
      </c>
      <c r="C5036">
        <v>202401</v>
      </c>
      <c r="D5036" t="str">
        <f t="shared" si="78"/>
        <v>2024</v>
      </c>
      <c r="E5036">
        <v>1094</v>
      </c>
      <c r="F5036">
        <v>104438</v>
      </c>
      <c r="G5036">
        <v>1.05</v>
      </c>
      <c r="H5036" t="s">
        <v>10</v>
      </c>
      <c r="I5036" t="s">
        <v>11</v>
      </c>
    </row>
    <row r="5037" spans="1:9" hidden="1" x14ac:dyDescent="0.25">
      <c r="A5037" t="s">
        <v>17</v>
      </c>
      <c r="B5037" t="s">
        <v>90</v>
      </c>
      <c r="C5037">
        <v>202402</v>
      </c>
      <c r="D5037" t="str">
        <f t="shared" si="78"/>
        <v>2024</v>
      </c>
      <c r="E5037">
        <v>855</v>
      </c>
      <c r="F5037">
        <v>104438</v>
      </c>
      <c r="G5037">
        <v>0.82</v>
      </c>
      <c r="H5037" t="s">
        <v>10</v>
      </c>
      <c r="I5037" t="s">
        <v>11</v>
      </c>
    </row>
    <row r="5038" spans="1:9" hidden="1" x14ac:dyDescent="0.25">
      <c r="A5038" t="s">
        <v>17</v>
      </c>
      <c r="B5038" t="s">
        <v>90</v>
      </c>
      <c r="C5038">
        <v>202403</v>
      </c>
      <c r="D5038" t="str">
        <f t="shared" si="78"/>
        <v>2024</v>
      </c>
      <c r="E5038">
        <v>700</v>
      </c>
      <c r="F5038">
        <v>104438</v>
      </c>
      <c r="G5038">
        <v>0.67</v>
      </c>
      <c r="H5038" t="s">
        <v>10</v>
      </c>
      <c r="I5038" t="s">
        <v>11</v>
      </c>
    </row>
    <row r="5039" spans="1:9" hidden="1" x14ac:dyDescent="0.25">
      <c r="A5039" t="s">
        <v>17</v>
      </c>
      <c r="B5039" t="s">
        <v>90</v>
      </c>
      <c r="C5039">
        <v>202404</v>
      </c>
      <c r="D5039" t="str">
        <f t="shared" si="78"/>
        <v>2024</v>
      </c>
      <c r="E5039">
        <v>1087</v>
      </c>
      <c r="F5039">
        <v>104438</v>
      </c>
      <c r="G5039">
        <v>1.04</v>
      </c>
      <c r="H5039" t="s">
        <v>10</v>
      </c>
      <c r="I5039" t="s">
        <v>11</v>
      </c>
    </row>
    <row r="5040" spans="1:9" hidden="1" x14ac:dyDescent="0.25">
      <c r="A5040" t="s">
        <v>17</v>
      </c>
      <c r="B5040" t="s">
        <v>90</v>
      </c>
      <c r="C5040">
        <v>202405</v>
      </c>
      <c r="D5040" t="str">
        <f t="shared" si="78"/>
        <v>2024</v>
      </c>
      <c r="E5040">
        <v>1385</v>
      </c>
      <c r="F5040">
        <v>104438</v>
      </c>
      <c r="G5040">
        <v>1.33</v>
      </c>
      <c r="H5040" t="s">
        <v>10</v>
      </c>
      <c r="I5040" t="s">
        <v>11</v>
      </c>
    </row>
    <row r="5041" spans="1:9" hidden="1" x14ac:dyDescent="0.25">
      <c r="A5041" t="s">
        <v>17</v>
      </c>
      <c r="B5041" t="s">
        <v>90</v>
      </c>
      <c r="C5041">
        <v>202406</v>
      </c>
      <c r="D5041" t="str">
        <f t="shared" si="78"/>
        <v>2024</v>
      </c>
      <c r="E5041">
        <v>1875</v>
      </c>
      <c r="F5041">
        <v>104438</v>
      </c>
      <c r="G5041">
        <v>1.8</v>
      </c>
      <c r="H5041" t="s">
        <v>10</v>
      </c>
      <c r="I5041" t="s">
        <v>11</v>
      </c>
    </row>
    <row r="5042" spans="1:9" hidden="1" x14ac:dyDescent="0.25">
      <c r="A5042" t="s">
        <v>17</v>
      </c>
      <c r="B5042" t="s">
        <v>90</v>
      </c>
      <c r="C5042">
        <v>202407</v>
      </c>
      <c r="D5042" t="str">
        <f t="shared" si="78"/>
        <v>2024</v>
      </c>
      <c r="E5042">
        <v>2346</v>
      </c>
      <c r="F5042">
        <v>104438</v>
      </c>
      <c r="G5042">
        <v>2.25</v>
      </c>
      <c r="H5042" t="s">
        <v>10</v>
      </c>
      <c r="I5042" t="s">
        <v>11</v>
      </c>
    </row>
    <row r="5043" spans="1:9" hidden="1" x14ac:dyDescent="0.25">
      <c r="A5043" t="s">
        <v>17</v>
      </c>
      <c r="B5043" t="s">
        <v>90</v>
      </c>
      <c r="C5043">
        <v>202408</v>
      </c>
      <c r="D5043" t="str">
        <f t="shared" si="78"/>
        <v>2024</v>
      </c>
      <c r="E5043">
        <v>6448</v>
      </c>
      <c r="F5043">
        <v>104438</v>
      </c>
      <c r="G5043">
        <v>6.17</v>
      </c>
      <c r="H5043" t="s">
        <v>10</v>
      </c>
      <c r="I5043" t="s">
        <v>11</v>
      </c>
    </row>
    <row r="5044" spans="1:9" hidden="1" x14ac:dyDescent="0.25">
      <c r="A5044" t="s">
        <v>17</v>
      </c>
      <c r="B5044" t="s">
        <v>90</v>
      </c>
      <c r="C5044">
        <v>202409</v>
      </c>
      <c r="D5044" t="str">
        <f t="shared" si="78"/>
        <v>2024</v>
      </c>
      <c r="E5044">
        <v>43744</v>
      </c>
      <c r="F5044">
        <v>104438</v>
      </c>
      <c r="G5044">
        <v>41.89</v>
      </c>
      <c r="H5044" t="s">
        <v>10</v>
      </c>
      <c r="I5044" t="s">
        <v>11</v>
      </c>
    </row>
    <row r="5045" spans="1:9" hidden="1" x14ac:dyDescent="0.25">
      <c r="A5045" t="s">
        <v>17</v>
      </c>
      <c r="B5045" t="s">
        <v>90</v>
      </c>
      <c r="C5045">
        <v>202410</v>
      </c>
      <c r="D5045" t="str">
        <f t="shared" si="78"/>
        <v>2024</v>
      </c>
      <c r="E5045">
        <v>37557</v>
      </c>
      <c r="F5045">
        <v>104438</v>
      </c>
      <c r="G5045">
        <v>35.96</v>
      </c>
      <c r="H5045" t="s">
        <v>10</v>
      </c>
      <c r="I5045" t="s">
        <v>11</v>
      </c>
    </row>
    <row r="5046" spans="1:9" hidden="1" x14ac:dyDescent="0.25">
      <c r="A5046" t="s">
        <v>17</v>
      </c>
      <c r="B5046" t="s">
        <v>138</v>
      </c>
      <c r="C5046">
        <v>202004</v>
      </c>
      <c r="D5046" t="str">
        <f t="shared" si="78"/>
        <v>2020</v>
      </c>
      <c r="E5046">
        <v>33</v>
      </c>
      <c r="F5046">
        <v>96369</v>
      </c>
      <c r="G5046">
        <v>0.03</v>
      </c>
      <c r="H5046" t="s">
        <v>10</v>
      </c>
      <c r="I5046" t="s">
        <v>11</v>
      </c>
    </row>
    <row r="5047" spans="1:9" hidden="1" x14ac:dyDescent="0.25">
      <c r="A5047" t="s">
        <v>17</v>
      </c>
      <c r="B5047" t="s">
        <v>138</v>
      </c>
      <c r="C5047">
        <v>202005</v>
      </c>
      <c r="D5047" t="str">
        <f t="shared" si="78"/>
        <v>2020</v>
      </c>
      <c r="E5047">
        <v>353</v>
      </c>
      <c r="F5047">
        <v>96369</v>
      </c>
      <c r="G5047">
        <v>0.37</v>
      </c>
      <c r="H5047" t="s">
        <v>10</v>
      </c>
      <c r="I5047" t="s">
        <v>11</v>
      </c>
    </row>
    <row r="5048" spans="1:9" hidden="1" x14ac:dyDescent="0.25">
      <c r="A5048" t="s">
        <v>17</v>
      </c>
      <c r="B5048" t="s">
        <v>138</v>
      </c>
      <c r="C5048">
        <v>202006</v>
      </c>
      <c r="D5048" t="str">
        <f t="shared" si="78"/>
        <v>2020</v>
      </c>
      <c r="E5048">
        <v>4</v>
      </c>
      <c r="F5048">
        <v>96369</v>
      </c>
      <c r="G5048">
        <v>0</v>
      </c>
      <c r="H5048" t="s">
        <v>10</v>
      </c>
      <c r="I5048" t="s">
        <v>11</v>
      </c>
    </row>
    <row r="5049" spans="1:9" hidden="1" x14ac:dyDescent="0.25">
      <c r="A5049" t="s">
        <v>17</v>
      </c>
      <c r="B5049" t="s">
        <v>138</v>
      </c>
      <c r="C5049">
        <v>202107</v>
      </c>
      <c r="D5049" t="str">
        <f t="shared" si="78"/>
        <v>2021</v>
      </c>
      <c r="E5049">
        <v>2</v>
      </c>
      <c r="F5049">
        <v>96369</v>
      </c>
      <c r="G5049">
        <v>0</v>
      </c>
      <c r="H5049" t="s">
        <v>10</v>
      </c>
      <c r="I5049" t="s">
        <v>11</v>
      </c>
    </row>
    <row r="5050" spans="1:9" hidden="1" x14ac:dyDescent="0.25">
      <c r="A5050" t="s">
        <v>17</v>
      </c>
      <c r="B5050" t="s">
        <v>138</v>
      </c>
      <c r="C5050">
        <v>202108</v>
      </c>
      <c r="D5050" t="str">
        <f t="shared" si="78"/>
        <v>2021</v>
      </c>
      <c r="E5050">
        <v>1</v>
      </c>
      <c r="F5050">
        <v>96369</v>
      </c>
      <c r="G5050">
        <v>0</v>
      </c>
      <c r="H5050" t="s">
        <v>10</v>
      </c>
      <c r="I5050" t="s">
        <v>11</v>
      </c>
    </row>
    <row r="5051" spans="1:9" hidden="1" x14ac:dyDescent="0.25">
      <c r="A5051" t="s">
        <v>17</v>
      </c>
      <c r="B5051" t="s">
        <v>138</v>
      </c>
      <c r="C5051">
        <v>202109</v>
      </c>
      <c r="D5051" t="str">
        <f t="shared" si="78"/>
        <v>2021</v>
      </c>
      <c r="E5051">
        <v>4</v>
      </c>
      <c r="F5051">
        <v>96369</v>
      </c>
      <c r="G5051">
        <v>0</v>
      </c>
      <c r="H5051" t="s">
        <v>10</v>
      </c>
      <c r="I5051" t="s">
        <v>11</v>
      </c>
    </row>
    <row r="5052" spans="1:9" hidden="1" x14ac:dyDescent="0.25">
      <c r="A5052" t="s">
        <v>17</v>
      </c>
      <c r="B5052" t="s">
        <v>138</v>
      </c>
      <c r="C5052">
        <v>202111</v>
      </c>
      <c r="D5052" t="str">
        <f t="shared" si="78"/>
        <v>2021</v>
      </c>
      <c r="E5052">
        <v>6</v>
      </c>
      <c r="F5052">
        <v>96369</v>
      </c>
      <c r="G5052">
        <v>0.01</v>
      </c>
      <c r="H5052" t="s">
        <v>10</v>
      </c>
      <c r="I5052" t="s">
        <v>11</v>
      </c>
    </row>
    <row r="5053" spans="1:9" hidden="1" x14ac:dyDescent="0.25">
      <c r="A5053" t="s">
        <v>17</v>
      </c>
      <c r="B5053" t="s">
        <v>138</v>
      </c>
      <c r="C5053">
        <v>202201</v>
      </c>
      <c r="D5053" t="str">
        <f t="shared" si="78"/>
        <v>2022</v>
      </c>
      <c r="E5053">
        <v>4</v>
      </c>
      <c r="F5053">
        <v>96369</v>
      </c>
      <c r="G5053">
        <v>0</v>
      </c>
      <c r="H5053" t="s">
        <v>10</v>
      </c>
      <c r="I5053" t="s">
        <v>11</v>
      </c>
    </row>
    <row r="5054" spans="1:9" hidden="1" x14ac:dyDescent="0.25">
      <c r="A5054" t="s">
        <v>17</v>
      </c>
      <c r="B5054" t="s">
        <v>138</v>
      </c>
      <c r="C5054">
        <v>202202</v>
      </c>
      <c r="D5054" t="str">
        <f t="shared" si="78"/>
        <v>2022</v>
      </c>
      <c r="E5054">
        <v>3</v>
      </c>
      <c r="F5054">
        <v>96369</v>
      </c>
      <c r="G5054">
        <v>0</v>
      </c>
      <c r="H5054" t="s">
        <v>10</v>
      </c>
      <c r="I5054" t="s">
        <v>11</v>
      </c>
    </row>
    <row r="5055" spans="1:9" hidden="1" x14ac:dyDescent="0.25">
      <c r="A5055" t="s">
        <v>17</v>
      </c>
      <c r="B5055" t="s">
        <v>138</v>
      </c>
      <c r="C5055">
        <v>202203</v>
      </c>
      <c r="D5055" t="str">
        <f t="shared" si="78"/>
        <v>2022</v>
      </c>
      <c r="E5055">
        <v>4</v>
      </c>
      <c r="F5055">
        <v>96369</v>
      </c>
      <c r="G5055">
        <v>0</v>
      </c>
      <c r="H5055" t="s">
        <v>10</v>
      </c>
      <c r="I5055" t="s">
        <v>11</v>
      </c>
    </row>
    <row r="5056" spans="1:9" hidden="1" x14ac:dyDescent="0.25">
      <c r="A5056" t="s">
        <v>17</v>
      </c>
      <c r="B5056" t="s">
        <v>138</v>
      </c>
      <c r="C5056">
        <v>202205</v>
      </c>
      <c r="D5056" t="str">
        <f t="shared" si="78"/>
        <v>2022</v>
      </c>
      <c r="E5056">
        <v>2</v>
      </c>
      <c r="F5056">
        <v>96369</v>
      </c>
      <c r="G5056">
        <v>0</v>
      </c>
      <c r="H5056" t="s">
        <v>10</v>
      </c>
      <c r="I5056" t="s">
        <v>11</v>
      </c>
    </row>
    <row r="5057" spans="1:9" hidden="1" x14ac:dyDescent="0.25">
      <c r="A5057" t="s">
        <v>17</v>
      </c>
      <c r="B5057" t="s">
        <v>138</v>
      </c>
      <c r="C5057">
        <v>202206</v>
      </c>
      <c r="D5057" t="str">
        <f t="shared" si="78"/>
        <v>2022</v>
      </c>
      <c r="E5057">
        <v>5</v>
      </c>
      <c r="F5057">
        <v>96369</v>
      </c>
      <c r="G5057">
        <v>0.01</v>
      </c>
      <c r="H5057" t="s">
        <v>10</v>
      </c>
      <c r="I5057" t="s">
        <v>11</v>
      </c>
    </row>
    <row r="5058" spans="1:9" hidden="1" x14ac:dyDescent="0.25">
      <c r="A5058" t="s">
        <v>17</v>
      </c>
      <c r="B5058" t="s">
        <v>138</v>
      </c>
      <c r="C5058">
        <v>202207</v>
      </c>
      <c r="D5058" t="str">
        <f t="shared" si="78"/>
        <v>2022</v>
      </c>
      <c r="E5058">
        <v>8</v>
      </c>
      <c r="F5058">
        <v>96369</v>
      </c>
      <c r="G5058">
        <v>0.01</v>
      </c>
      <c r="H5058" t="s">
        <v>10</v>
      </c>
      <c r="I5058" t="s">
        <v>11</v>
      </c>
    </row>
    <row r="5059" spans="1:9" hidden="1" x14ac:dyDescent="0.25">
      <c r="A5059" t="s">
        <v>17</v>
      </c>
      <c r="B5059" t="s">
        <v>138</v>
      </c>
      <c r="C5059">
        <v>202208</v>
      </c>
      <c r="D5059" t="str">
        <f t="shared" ref="D5059:D5122" si="79">LEFT(C5059,4)</f>
        <v>2022</v>
      </c>
      <c r="E5059">
        <v>19</v>
      </c>
      <c r="F5059">
        <v>96369</v>
      </c>
      <c r="G5059">
        <v>0.02</v>
      </c>
      <c r="H5059" t="s">
        <v>10</v>
      </c>
      <c r="I5059" t="s">
        <v>11</v>
      </c>
    </row>
    <row r="5060" spans="1:9" hidden="1" x14ac:dyDescent="0.25">
      <c r="A5060" t="s">
        <v>17</v>
      </c>
      <c r="B5060" t="s">
        <v>138</v>
      </c>
      <c r="C5060">
        <v>202209</v>
      </c>
      <c r="D5060" t="str">
        <f t="shared" si="79"/>
        <v>2022</v>
      </c>
      <c r="E5060">
        <v>6</v>
      </c>
      <c r="F5060">
        <v>96369</v>
      </c>
      <c r="G5060">
        <v>0.01</v>
      </c>
      <c r="H5060" t="s">
        <v>10</v>
      </c>
      <c r="I5060" t="s">
        <v>11</v>
      </c>
    </row>
    <row r="5061" spans="1:9" hidden="1" x14ac:dyDescent="0.25">
      <c r="A5061" t="s">
        <v>17</v>
      </c>
      <c r="B5061" t="s">
        <v>138</v>
      </c>
      <c r="C5061">
        <v>202210</v>
      </c>
      <c r="D5061" t="str">
        <f t="shared" si="79"/>
        <v>2022</v>
      </c>
      <c r="E5061">
        <v>5</v>
      </c>
      <c r="F5061">
        <v>96369</v>
      </c>
      <c r="G5061">
        <v>0.01</v>
      </c>
      <c r="H5061" t="s">
        <v>10</v>
      </c>
      <c r="I5061" t="s">
        <v>11</v>
      </c>
    </row>
    <row r="5062" spans="1:9" hidden="1" x14ac:dyDescent="0.25">
      <c r="A5062" t="s">
        <v>17</v>
      </c>
      <c r="B5062" t="s">
        <v>138</v>
      </c>
      <c r="C5062">
        <v>202211</v>
      </c>
      <c r="D5062" t="str">
        <f t="shared" si="79"/>
        <v>2022</v>
      </c>
      <c r="E5062">
        <v>22</v>
      </c>
      <c r="F5062">
        <v>96369</v>
      </c>
      <c r="G5062">
        <v>0.02</v>
      </c>
      <c r="H5062" t="s">
        <v>10</v>
      </c>
      <c r="I5062" t="s">
        <v>11</v>
      </c>
    </row>
    <row r="5063" spans="1:9" hidden="1" x14ac:dyDescent="0.25">
      <c r="A5063" t="s">
        <v>17</v>
      </c>
      <c r="B5063" t="s">
        <v>138</v>
      </c>
      <c r="C5063">
        <v>202212</v>
      </c>
      <c r="D5063" t="str">
        <f t="shared" si="79"/>
        <v>2022</v>
      </c>
      <c r="E5063">
        <v>32</v>
      </c>
      <c r="F5063">
        <v>96369</v>
      </c>
      <c r="G5063">
        <v>0.03</v>
      </c>
      <c r="H5063" t="s">
        <v>10</v>
      </c>
      <c r="I5063" t="s">
        <v>11</v>
      </c>
    </row>
    <row r="5064" spans="1:9" hidden="1" x14ac:dyDescent="0.25">
      <c r="A5064" t="s">
        <v>17</v>
      </c>
      <c r="B5064" t="s">
        <v>138</v>
      </c>
      <c r="C5064">
        <v>202301</v>
      </c>
      <c r="D5064" t="str">
        <f t="shared" si="79"/>
        <v>2023</v>
      </c>
      <c r="E5064">
        <v>172</v>
      </c>
      <c r="F5064">
        <v>96369</v>
      </c>
      <c r="G5064">
        <v>0.18</v>
      </c>
      <c r="H5064" t="s">
        <v>10</v>
      </c>
      <c r="I5064" t="s">
        <v>11</v>
      </c>
    </row>
    <row r="5065" spans="1:9" hidden="1" x14ac:dyDescent="0.25">
      <c r="A5065" t="s">
        <v>17</v>
      </c>
      <c r="B5065" t="s">
        <v>138</v>
      </c>
      <c r="C5065">
        <v>202302</v>
      </c>
      <c r="D5065" t="str">
        <f t="shared" si="79"/>
        <v>2023</v>
      </c>
      <c r="E5065">
        <v>192</v>
      </c>
      <c r="F5065">
        <v>96369</v>
      </c>
      <c r="G5065">
        <v>0.2</v>
      </c>
      <c r="H5065" t="s">
        <v>10</v>
      </c>
      <c r="I5065" t="s">
        <v>11</v>
      </c>
    </row>
    <row r="5066" spans="1:9" hidden="1" x14ac:dyDescent="0.25">
      <c r="A5066" t="s">
        <v>17</v>
      </c>
      <c r="B5066" t="s">
        <v>138</v>
      </c>
      <c r="C5066">
        <v>202303</v>
      </c>
      <c r="D5066" t="str">
        <f t="shared" si="79"/>
        <v>2023</v>
      </c>
      <c r="E5066">
        <v>372</v>
      </c>
      <c r="F5066">
        <v>96369</v>
      </c>
      <c r="G5066">
        <v>0.39</v>
      </c>
      <c r="H5066" t="s">
        <v>10</v>
      </c>
      <c r="I5066" t="s">
        <v>11</v>
      </c>
    </row>
    <row r="5067" spans="1:9" hidden="1" x14ac:dyDescent="0.25">
      <c r="A5067" t="s">
        <v>17</v>
      </c>
      <c r="B5067" t="s">
        <v>138</v>
      </c>
      <c r="C5067">
        <v>202304</v>
      </c>
      <c r="D5067" t="str">
        <f t="shared" si="79"/>
        <v>2023</v>
      </c>
      <c r="E5067">
        <v>115</v>
      </c>
      <c r="F5067">
        <v>96369</v>
      </c>
      <c r="G5067">
        <v>0.12</v>
      </c>
      <c r="H5067" t="s">
        <v>10</v>
      </c>
      <c r="I5067" t="s">
        <v>11</v>
      </c>
    </row>
    <row r="5068" spans="1:9" hidden="1" x14ac:dyDescent="0.25">
      <c r="A5068" t="s">
        <v>17</v>
      </c>
      <c r="B5068" t="s">
        <v>138</v>
      </c>
      <c r="C5068">
        <v>202305</v>
      </c>
      <c r="D5068" t="str">
        <f t="shared" si="79"/>
        <v>2023</v>
      </c>
      <c r="E5068">
        <v>111</v>
      </c>
      <c r="F5068">
        <v>96369</v>
      </c>
      <c r="G5068">
        <v>0.12</v>
      </c>
      <c r="H5068" t="s">
        <v>10</v>
      </c>
      <c r="I5068" t="s">
        <v>11</v>
      </c>
    </row>
    <row r="5069" spans="1:9" hidden="1" x14ac:dyDescent="0.25">
      <c r="A5069" t="s">
        <v>17</v>
      </c>
      <c r="B5069" t="s">
        <v>138</v>
      </c>
      <c r="C5069">
        <v>202306</v>
      </c>
      <c r="D5069" t="str">
        <f t="shared" si="79"/>
        <v>2023</v>
      </c>
      <c r="E5069">
        <v>172</v>
      </c>
      <c r="F5069">
        <v>96369</v>
      </c>
      <c r="G5069">
        <v>0.18</v>
      </c>
      <c r="H5069" t="s">
        <v>10</v>
      </c>
      <c r="I5069" t="s">
        <v>11</v>
      </c>
    </row>
    <row r="5070" spans="1:9" hidden="1" x14ac:dyDescent="0.25">
      <c r="A5070" t="s">
        <v>17</v>
      </c>
      <c r="B5070" t="s">
        <v>138</v>
      </c>
      <c r="C5070">
        <v>202307</v>
      </c>
      <c r="D5070" t="str">
        <f t="shared" si="79"/>
        <v>2023</v>
      </c>
      <c r="E5070">
        <v>227</v>
      </c>
      <c r="F5070">
        <v>96369</v>
      </c>
      <c r="G5070">
        <v>0.24</v>
      </c>
      <c r="H5070" t="s">
        <v>10</v>
      </c>
      <c r="I5070" t="s">
        <v>11</v>
      </c>
    </row>
    <row r="5071" spans="1:9" hidden="1" x14ac:dyDescent="0.25">
      <c r="A5071" t="s">
        <v>17</v>
      </c>
      <c r="B5071" t="s">
        <v>138</v>
      </c>
      <c r="C5071">
        <v>202308</v>
      </c>
      <c r="D5071" t="str">
        <f t="shared" si="79"/>
        <v>2023</v>
      </c>
      <c r="E5071">
        <v>264</v>
      </c>
      <c r="F5071">
        <v>96369</v>
      </c>
      <c r="G5071">
        <v>0.27</v>
      </c>
      <c r="H5071" t="s">
        <v>10</v>
      </c>
      <c r="I5071" t="s">
        <v>11</v>
      </c>
    </row>
    <row r="5072" spans="1:9" hidden="1" x14ac:dyDescent="0.25">
      <c r="A5072" t="s">
        <v>17</v>
      </c>
      <c r="B5072" t="s">
        <v>138</v>
      </c>
      <c r="C5072">
        <v>202309</v>
      </c>
      <c r="D5072" t="str">
        <f t="shared" si="79"/>
        <v>2023</v>
      </c>
      <c r="E5072">
        <v>388</v>
      </c>
      <c r="F5072">
        <v>96369</v>
      </c>
      <c r="G5072">
        <v>0.4</v>
      </c>
      <c r="H5072" t="s">
        <v>10</v>
      </c>
      <c r="I5072" t="s">
        <v>11</v>
      </c>
    </row>
    <row r="5073" spans="1:9" hidden="1" x14ac:dyDescent="0.25">
      <c r="A5073" t="s">
        <v>17</v>
      </c>
      <c r="B5073" t="s">
        <v>138</v>
      </c>
      <c r="C5073">
        <v>202310</v>
      </c>
      <c r="D5073" t="str">
        <f t="shared" si="79"/>
        <v>2023</v>
      </c>
      <c r="E5073">
        <v>534</v>
      </c>
      <c r="F5073">
        <v>96369</v>
      </c>
      <c r="G5073">
        <v>0.55000000000000004</v>
      </c>
      <c r="H5073" t="s">
        <v>10</v>
      </c>
      <c r="I5073" t="s">
        <v>11</v>
      </c>
    </row>
    <row r="5074" spans="1:9" hidden="1" x14ac:dyDescent="0.25">
      <c r="A5074" t="s">
        <v>17</v>
      </c>
      <c r="B5074" t="s">
        <v>138</v>
      </c>
      <c r="C5074">
        <v>202311</v>
      </c>
      <c r="D5074" t="str">
        <f t="shared" si="79"/>
        <v>2023</v>
      </c>
      <c r="E5074">
        <v>641</v>
      </c>
      <c r="F5074">
        <v>96369</v>
      </c>
      <c r="G5074">
        <v>0.67</v>
      </c>
      <c r="H5074" t="s">
        <v>10</v>
      </c>
      <c r="I5074" t="s">
        <v>11</v>
      </c>
    </row>
    <row r="5075" spans="1:9" hidden="1" x14ac:dyDescent="0.25">
      <c r="A5075" t="s">
        <v>17</v>
      </c>
      <c r="B5075" t="s">
        <v>138</v>
      </c>
      <c r="C5075">
        <v>202312</v>
      </c>
      <c r="D5075" t="str">
        <f t="shared" si="79"/>
        <v>2023</v>
      </c>
      <c r="E5075">
        <v>604</v>
      </c>
      <c r="F5075">
        <v>96369</v>
      </c>
      <c r="G5075">
        <v>0.63</v>
      </c>
      <c r="H5075" t="s">
        <v>10</v>
      </c>
      <c r="I5075" t="s">
        <v>11</v>
      </c>
    </row>
    <row r="5076" spans="1:9" hidden="1" x14ac:dyDescent="0.25">
      <c r="A5076" t="s">
        <v>17</v>
      </c>
      <c r="B5076" t="s">
        <v>138</v>
      </c>
      <c r="C5076">
        <v>202401</v>
      </c>
      <c r="D5076" t="str">
        <f t="shared" si="79"/>
        <v>2024</v>
      </c>
      <c r="E5076">
        <v>695</v>
      </c>
      <c r="F5076">
        <v>96369</v>
      </c>
      <c r="G5076">
        <v>0.72</v>
      </c>
      <c r="H5076" t="s">
        <v>10</v>
      </c>
      <c r="I5076" t="s">
        <v>11</v>
      </c>
    </row>
    <row r="5077" spans="1:9" hidden="1" x14ac:dyDescent="0.25">
      <c r="A5077" t="s">
        <v>17</v>
      </c>
      <c r="B5077" t="s">
        <v>138</v>
      </c>
      <c r="C5077">
        <v>202402</v>
      </c>
      <c r="D5077" t="str">
        <f t="shared" si="79"/>
        <v>2024</v>
      </c>
      <c r="E5077">
        <v>847</v>
      </c>
      <c r="F5077">
        <v>96369</v>
      </c>
      <c r="G5077">
        <v>0.88</v>
      </c>
      <c r="H5077" t="s">
        <v>10</v>
      </c>
      <c r="I5077" t="s">
        <v>11</v>
      </c>
    </row>
    <row r="5078" spans="1:9" hidden="1" x14ac:dyDescent="0.25">
      <c r="A5078" t="s">
        <v>17</v>
      </c>
      <c r="B5078" t="s">
        <v>138</v>
      </c>
      <c r="C5078">
        <v>202403</v>
      </c>
      <c r="D5078" t="str">
        <f t="shared" si="79"/>
        <v>2024</v>
      </c>
      <c r="E5078">
        <v>922</v>
      </c>
      <c r="F5078">
        <v>96369</v>
      </c>
      <c r="G5078">
        <v>0.96</v>
      </c>
      <c r="H5078" t="s">
        <v>10</v>
      </c>
      <c r="I5078" t="s">
        <v>11</v>
      </c>
    </row>
    <row r="5079" spans="1:9" hidden="1" x14ac:dyDescent="0.25">
      <c r="A5079" t="s">
        <v>17</v>
      </c>
      <c r="B5079" t="s">
        <v>138</v>
      </c>
      <c r="C5079">
        <v>202404</v>
      </c>
      <c r="D5079" t="str">
        <f t="shared" si="79"/>
        <v>2024</v>
      </c>
      <c r="E5079">
        <v>954</v>
      </c>
      <c r="F5079">
        <v>96369</v>
      </c>
      <c r="G5079">
        <v>0.99</v>
      </c>
      <c r="H5079" t="s">
        <v>10</v>
      </c>
      <c r="I5079" t="s">
        <v>11</v>
      </c>
    </row>
    <row r="5080" spans="1:9" hidden="1" x14ac:dyDescent="0.25">
      <c r="A5080" t="s">
        <v>17</v>
      </c>
      <c r="B5080" t="s">
        <v>138</v>
      </c>
      <c r="C5080">
        <v>202405</v>
      </c>
      <c r="D5080" t="str">
        <f t="shared" si="79"/>
        <v>2024</v>
      </c>
      <c r="E5080">
        <v>1052</v>
      </c>
      <c r="F5080">
        <v>96369</v>
      </c>
      <c r="G5080">
        <v>1.0900000000000001</v>
      </c>
      <c r="H5080" t="s">
        <v>10</v>
      </c>
      <c r="I5080" t="s">
        <v>11</v>
      </c>
    </row>
    <row r="5081" spans="1:9" hidden="1" x14ac:dyDescent="0.25">
      <c r="A5081" t="s">
        <v>17</v>
      </c>
      <c r="B5081" t="s">
        <v>138</v>
      </c>
      <c r="C5081">
        <v>202406</v>
      </c>
      <c r="D5081" t="str">
        <f t="shared" si="79"/>
        <v>2024</v>
      </c>
      <c r="E5081">
        <v>1111</v>
      </c>
      <c r="F5081">
        <v>96369</v>
      </c>
      <c r="G5081">
        <v>1.1499999999999999</v>
      </c>
      <c r="H5081" t="s">
        <v>10</v>
      </c>
      <c r="I5081" t="s">
        <v>11</v>
      </c>
    </row>
    <row r="5082" spans="1:9" hidden="1" x14ac:dyDescent="0.25">
      <c r="A5082" t="s">
        <v>17</v>
      </c>
      <c r="B5082" t="s">
        <v>138</v>
      </c>
      <c r="C5082">
        <v>202407</v>
      </c>
      <c r="D5082" t="str">
        <f t="shared" si="79"/>
        <v>2024</v>
      </c>
      <c r="E5082">
        <v>1009</v>
      </c>
      <c r="F5082">
        <v>96369</v>
      </c>
      <c r="G5082">
        <v>1.05</v>
      </c>
      <c r="H5082" t="s">
        <v>10</v>
      </c>
      <c r="I5082" t="s">
        <v>11</v>
      </c>
    </row>
    <row r="5083" spans="1:9" hidden="1" x14ac:dyDescent="0.25">
      <c r="A5083" t="s">
        <v>17</v>
      </c>
      <c r="B5083" t="s">
        <v>138</v>
      </c>
      <c r="C5083">
        <v>202408</v>
      </c>
      <c r="D5083" t="str">
        <f t="shared" si="79"/>
        <v>2024</v>
      </c>
      <c r="E5083">
        <v>2820</v>
      </c>
      <c r="F5083">
        <v>96369</v>
      </c>
      <c r="G5083">
        <v>2.93</v>
      </c>
      <c r="H5083" t="s">
        <v>10</v>
      </c>
      <c r="I5083" t="s">
        <v>11</v>
      </c>
    </row>
    <row r="5084" spans="1:9" hidden="1" x14ac:dyDescent="0.25">
      <c r="A5084" t="s">
        <v>17</v>
      </c>
      <c r="B5084" t="s">
        <v>138</v>
      </c>
      <c r="C5084">
        <v>202409</v>
      </c>
      <c r="D5084" t="str">
        <f t="shared" si="79"/>
        <v>2024</v>
      </c>
      <c r="E5084">
        <v>3730</v>
      </c>
      <c r="F5084">
        <v>96369</v>
      </c>
      <c r="G5084">
        <v>3.87</v>
      </c>
      <c r="H5084" t="s">
        <v>10</v>
      </c>
      <c r="I5084" t="s">
        <v>11</v>
      </c>
    </row>
    <row r="5085" spans="1:9" hidden="1" x14ac:dyDescent="0.25">
      <c r="A5085" t="s">
        <v>17</v>
      </c>
      <c r="B5085" t="s">
        <v>138</v>
      </c>
      <c r="C5085">
        <v>202410</v>
      </c>
      <c r="D5085" t="str">
        <f t="shared" si="79"/>
        <v>2024</v>
      </c>
      <c r="E5085">
        <v>44935</v>
      </c>
      <c r="F5085">
        <v>96369</v>
      </c>
      <c r="G5085">
        <v>46.63</v>
      </c>
      <c r="H5085" t="s">
        <v>10</v>
      </c>
      <c r="I5085" t="s">
        <v>11</v>
      </c>
    </row>
    <row r="5086" spans="1:9" hidden="1" x14ac:dyDescent="0.25">
      <c r="A5086" t="s">
        <v>17</v>
      </c>
      <c r="B5086" t="s">
        <v>138</v>
      </c>
      <c r="C5086">
        <v>202411</v>
      </c>
      <c r="D5086" t="str">
        <f t="shared" si="79"/>
        <v>2024</v>
      </c>
      <c r="E5086">
        <v>33989</v>
      </c>
      <c r="F5086">
        <v>96369</v>
      </c>
      <c r="G5086">
        <v>35.270000000000003</v>
      </c>
      <c r="H5086" t="s">
        <v>10</v>
      </c>
      <c r="I5086" t="s">
        <v>11</v>
      </c>
    </row>
    <row r="5087" spans="1:9" hidden="1" x14ac:dyDescent="0.25">
      <c r="A5087" t="s">
        <v>17</v>
      </c>
      <c r="B5087" t="s">
        <v>27</v>
      </c>
      <c r="C5087">
        <v>201407</v>
      </c>
      <c r="D5087" t="str">
        <f t="shared" si="79"/>
        <v>2014</v>
      </c>
      <c r="E5087">
        <v>3</v>
      </c>
      <c r="F5087">
        <v>94572</v>
      </c>
      <c r="G5087">
        <v>0</v>
      </c>
      <c r="H5087" t="s">
        <v>10</v>
      </c>
      <c r="I5087" t="s">
        <v>11</v>
      </c>
    </row>
    <row r="5088" spans="1:9" hidden="1" x14ac:dyDescent="0.25">
      <c r="A5088" t="s">
        <v>17</v>
      </c>
      <c r="B5088" t="s">
        <v>27</v>
      </c>
      <c r="C5088">
        <v>201711</v>
      </c>
      <c r="D5088" t="str">
        <f t="shared" si="79"/>
        <v>2017</v>
      </c>
      <c r="E5088">
        <v>6</v>
      </c>
      <c r="F5088">
        <v>94572</v>
      </c>
      <c r="G5088">
        <v>0.01</v>
      </c>
      <c r="H5088" t="s">
        <v>10</v>
      </c>
      <c r="I5088" t="s">
        <v>11</v>
      </c>
    </row>
    <row r="5089" spans="1:9" hidden="1" x14ac:dyDescent="0.25">
      <c r="A5089" t="s">
        <v>17</v>
      </c>
      <c r="B5089" t="s">
        <v>27</v>
      </c>
      <c r="C5089">
        <v>201712</v>
      </c>
      <c r="D5089" t="str">
        <f t="shared" si="79"/>
        <v>2017</v>
      </c>
      <c r="E5089">
        <v>5</v>
      </c>
      <c r="F5089">
        <v>94572</v>
      </c>
      <c r="G5089">
        <v>0.01</v>
      </c>
      <c r="H5089" t="s">
        <v>10</v>
      </c>
      <c r="I5089" t="s">
        <v>11</v>
      </c>
    </row>
    <row r="5090" spans="1:9" hidden="1" x14ac:dyDescent="0.25">
      <c r="A5090" t="s">
        <v>17</v>
      </c>
      <c r="B5090" t="s">
        <v>27</v>
      </c>
      <c r="C5090">
        <v>201801</v>
      </c>
      <c r="D5090" t="str">
        <f t="shared" si="79"/>
        <v>2018</v>
      </c>
      <c r="E5090">
        <v>34</v>
      </c>
      <c r="F5090">
        <v>94572</v>
      </c>
      <c r="G5090">
        <v>0.04</v>
      </c>
      <c r="H5090" t="s">
        <v>10</v>
      </c>
      <c r="I5090" t="s">
        <v>11</v>
      </c>
    </row>
    <row r="5091" spans="1:9" hidden="1" x14ac:dyDescent="0.25">
      <c r="A5091" t="s">
        <v>17</v>
      </c>
      <c r="B5091" t="s">
        <v>27</v>
      </c>
      <c r="C5091">
        <v>201802</v>
      </c>
      <c r="D5091" t="str">
        <f t="shared" si="79"/>
        <v>2018</v>
      </c>
      <c r="E5091">
        <v>55</v>
      </c>
      <c r="F5091">
        <v>94572</v>
      </c>
      <c r="G5091">
        <v>0.06</v>
      </c>
      <c r="H5091" t="s">
        <v>10</v>
      </c>
      <c r="I5091" t="s">
        <v>11</v>
      </c>
    </row>
    <row r="5092" spans="1:9" hidden="1" x14ac:dyDescent="0.25">
      <c r="A5092" t="s">
        <v>17</v>
      </c>
      <c r="B5092" t="s">
        <v>27</v>
      </c>
      <c r="C5092">
        <v>201803</v>
      </c>
      <c r="D5092" t="str">
        <f t="shared" si="79"/>
        <v>2018</v>
      </c>
      <c r="E5092">
        <v>201</v>
      </c>
      <c r="F5092">
        <v>94572</v>
      </c>
      <c r="G5092">
        <v>0.21</v>
      </c>
      <c r="H5092" t="s">
        <v>10</v>
      </c>
      <c r="I5092" t="s">
        <v>11</v>
      </c>
    </row>
    <row r="5093" spans="1:9" hidden="1" x14ac:dyDescent="0.25">
      <c r="A5093" t="s">
        <v>17</v>
      </c>
      <c r="B5093" t="s">
        <v>27</v>
      </c>
      <c r="C5093">
        <v>201804</v>
      </c>
      <c r="D5093" t="str">
        <f t="shared" si="79"/>
        <v>2018</v>
      </c>
      <c r="E5093">
        <v>91</v>
      </c>
      <c r="F5093">
        <v>94572</v>
      </c>
      <c r="G5093">
        <v>0.1</v>
      </c>
      <c r="H5093" t="s">
        <v>10</v>
      </c>
      <c r="I5093" t="s">
        <v>11</v>
      </c>
    </row>
    <row r="5094" spans="1:9" hidden="1" x14ac:dyDescent="0.25">
      <c r="A5094" t="s">
        <v>17</v>
      </c>
      <c r="B5094" t="s">
        <v>27</v>
      </c>
      <c r="C5094">
        <v>201805</v>
      </c>
      <c r="D5094" t="str">
        <f t="shared" si="79"/>
        <v>2018</v>
      </c>
      <c r="E5094">
        <v>49</v>
      </c>
      <c r="F5094">
        <v>94572</v>
      </c>
      <c r="G5094">
        <v>0.05</v>
      </c>
      <c r="H5094" t="s">
        <v>10</v>
      </c>
      <c r="I5094" t="s">
        <v>11</v>
      </c>
    </row>
    <row r="5095" spans="1:9" hidden="1" x14ac:dyDescent="0.25">
      <c r="A5095" t="s">
        <v>17</v>
      </c>
      <c r="B5095" t="s">
        <v>27</v>
      </c>
      <c r="C5095">
        <v>201806</v>
      </c>
      <c r="D5095" t="str">
        <f t="shared" si="79"/>
        <v>2018</v>
      </c>
      <c r="E5095">
        <v>54</v>
      </c>
      <c r="F5095">
        <v>94572</v>
      </c>
      <c r="G5095">
        <v>0.06</v>
      </c>
      <c r="H5095" t="s">
        <v>10</v>
      </c>
      <c r="I5095" t="s">
        <v>11</v>
      </c>
    </row>
    <row r="5096" spans="1:9" hidden="1" x14ac:dyDescent="0.25">
      <c r="A5096" t="s">
        <v>17</v>
      </c>
      <c r="B5096" t="s">
        <v>27</v>
      </c>
      <c r="C5096">
        <v>201807</v>
      </c>
      <c r="D5096" t="str">
        <f t="shared" si="79"/>
        <v>2018</v>
      </c>
      <c r="E5096">
        <v>290</v>
      </c>
      <c r="F5096">
        <v>94572</v>
      </c>
      <c r="G5096">
        <v>0.31</v>
      </c>
      <c r="H5096" t="s">
        <v>10</v>
      </c>
      <c r="I5096" t="s">
        <v>11</v>
      </c>
    </row>
    <row r="5097" spans="1:9" hidden="1" x14ac:dyDescent="0.25">
      <c r="A5097" t="s">
        <v>17</v>
      </c>
      <c r="B5097" t="s">
        <v>27</v>
      </c>
      <c r="C5097">
        <v>201808</v>
      </c>
      <c r="D5097" t="str">
        <f t="shared" si="79"/>
        <v>2018</v>
      </c>
      <c r="E5097">
        <v>1005</v>
      </c>
      <c r="F5097">
        <v>94572</v>
      </c>
      <c r="G5097">
        <v>1.06</v>
      </c>
      <c r="H5097" t="s">
        <v>10</v>
      </c>
      <c r="I5097" t="s">
        <v>11</v>
      </c>
    </row>
    <row r="5098" spans="1:9" hidden="1" x14ac:dyDescent="0.25">
      <c r="A5098" t="s">
        <v>17</v>
      </c>
      <c r="B5098" t="s">
        <v>27</v>
      </c>
      <c r="C5098">
        <v>201809</v>
      </c>
      <c r="D5098" t="str">
        <f t="shared" si="79"/>
        <v>2018</v>
      </c>
      <c r="E5098">
        <v>610</v>
      </c>
      <c r="F5098">
        <v>94572</v>
      </c>
      <c r="G5098">
        <v>0.65</v>
      </c>
      <c r="H5098" t="s">
        <v>10</v>
      </c>
      <c r="I5098" t="s">
        <v>11</v>
      </c>
    </row>
    <row r="5099" spans="1:9" hidden="1" x14ac:dyDescent="0.25">
      <c r="A5099" t="s">
        <v>17</v>
      </c>
      <c r="B5099" t="s">
        <v>27</v>
      </c>
      <c r="C5099">
        <v>201810</v>
      </c>
      <c r="D5099" t="str">
        <f t="shared" si="79"/>
        <v>2018</v>
      </c>
      <c r="E5099">
        <v>432</v>
      </c>
      <c r="F5099">
        <v>94572</v>
      </c>
      <c r="G5099">
        <v>0.46</v>
      </c>
      <c r="H5099" t="s">
        <v>10</v>
      </c>
      <c r="I5099" t="s">
        <v>11</v>
      </c>
    </row>
    <row r="5100" spans="1:9" hidden="1" x14ac:dyDescent="0.25">
      <c r="A5100" t="s">
        <v>17</v>
      </c>
      <c r="B5100" t="s">
        <v>27</v>
      </c>
      <c r="C5100">
        <v>201811</v>
      </c>
      <c r="D5100" t="str">
        <f t="shared" si="79"/>
        <v>2018</v>
      </c>
      <c r="E5100">
        <v>56</v>
      </c>
      <c r="F5100">
        <v>94572</v>
      </c>
      <c r="G5100">
        <v>0.06</v>
      </c>
      <c r="H5100" t="s">
        <v>10</v>
      </c>
      <c r="I5100" t="s">
        <v>11</v>
      </c>
    </row>
    <row r="5101" spans="1:9" hidden="1" x14ac:dyDescent="0.25">
      <c r="A5101" t="s">
        <v>17</v>
      </c>
      <c r="B5101" t="s">
        <v>27</v>
      </c>
      <c r="C5101">
        <v>201812</v>
      </c>
      <c r="D5101" t="str">
        <f t="shared" si="79"/>
        <v>2018</v>
      </c>
      <c r="E5101">
        <v>72</v>
      </c>
      <c r="F5101">
        <v>94572</v>
      </c>
      <c r="G5101">
        <v>0.08</v>
      </c>
      <c r="H5101" t="s">
        <v>10</v>
      </c>
      <c r="I5101" t="s">
        <v>11</v>
      </c>
    </row>
    <row r="5102" spans="1:9" hidden="1" x14ac:dyDescent="0.25">
      <c r="A5102" t="s">
        <v>17</v>
      </c>
      <c r="B5102" t="s">
        <v>27</v>
      </c>
      <c r="C5102">
        <v>201901</v>
      </c>
      <c r="D5102" t="str">
        <f t="shared" si="79"/>
        <v>2019</v>
      </c>
      <c r="E5102">
        <v>103</v>
      </c>
      <c r="F5102">
        <v>94572</v>
      </c>
      <c r="G5102">
        <v>0.11</v>
      </c>
      <c r="H5102" t="s">
        <v>10</v>
      </c>
      <c r="I5102" t="s">
        <v>11</v>
      </c>
    </row>
    <row r="5103" spans="1:9" hidden="1" x14ac:dyDescent="0.25">
      <c r="A5103" t="s">
        <v>17</v>
      </c>
      <c r="B5103" t="s">
        <v>27</v>
      </c>
      <c r="C5103">
        <v>201902</v>
      </c>
      <c r="D5103" t="str">
        <f t="shared" si="79"/>
        <v>2019</v>
      </c>
      <c r="E5103">
        <v>11</v>
      </c>
      <c r="F5103">
        <v>94572</v>
      </c>
      <c r="G5103">
        <v>0.01</v>
      </c>
      <c r="H5103" t="s">
        <v>10</v>
      </c>
      <c r="I5103" t="s">
        <v>11</v>
      </c>
    </row>
    <row r="5104" spans="1:9" hidden="1" x14ac:dyDescent="0.25">
      <c r="A5104" t="s">
        <v>17</v>
      </c>
      <c r="B5104" t="s">
        <v>27</v>
      </c>
      <c r="C5104">
        <v>201903</v>
      </c>
      <c r="D5104" t="str">
        <f t="shared" si="79"/>
        <v>2019</v>
      </c>
      <c r="E5104">
        <v>3</v>
      </c>
      <c r="F5104">
        <v>94572</v>
      </c>
      <c r="G5104">
        <v>0</v>
      </c>
      <c r="H5104" t="s">
        <v>10</v>
      </c>
      <c r="I5104" t="s">
        <v>11</v>
      </c>
    </row>
    <row r="5105" spans="1:9" hidden="1" x14ac:dyDescent="0.25">
      <c r="A5105" t="s">
        <v>17</v>
      </c>
      <c r="B5105" t="s">
        <v>27</v>
      </c>
      <c r="C5105">
        <v>201904</v>
      </c>
      <c r="D5105" t="str">
        <f t="shared" si="79"/>
        <v>2019</v>
      </c>
      <c r="E5105">
        <v>24</v>
      </c>
      <c r="F5105">
        <v>94572</v>
      </c>
      <c r="G5105">
        <v>0.03</v>
      </c>
      <c r="H5105" t="s">
        <v>10</v>
      </c>
      <c r="I5105" t="s">
        <v>11</v>
      </c>
    </row>
    <row r="5106" spans="1:9" hidden="1" x14ac:dyDescent="0.25">
      <c r="A5106" t="s">
        <v>17</v>
      </c>
      <c r="B5106" t="s">
        <v>27</v>
      </c>
      <c r="C5106">
        <v>201906</v>
      </c>
      <c r="D5106" t="str">
        <f t="shared" si="79"/>
        <v>2019</v>
      </c>
      <c r="E5106">
        <v>24</v>
      </c>
      <c r="F5106">
        <v>94572</v>
      </c>
      <c r="G5106">
        <v>0.03</v>
      </c>
      <c r="H5106" t="s">
        <v>10</v>
      </c>
      <c r="I5106" t="s">
        <v>11</v>
      </c>
    </row>
    <row r="5107" spans="1:9" hidden="1" x14ac:dyDescent="0.25">
      <c r="A5107" t="s">
        <v>17</v>
      </c>
      <c r="B5107" t="s">
        <v>27</v>
      </c>
      <c r="C5107">
        <v>201910</v>
      </c>
      <c r="D5107" t="str">
        <f t="shared" si="79"/>
        <v>2019</v>
      </c>
      <c r="E5107">
        <v>25</v>
      </c>
      <c r="F5107">
        <v>94572</v>
      </c>
      <c r="G5107">
        <v>0.03</v>
      </c>
      <c r="H5107" t="s">
        <v>10</v>
      </c>
      <c r="I5107" t="s">
        <v>11</v>
      </c>
    </row>
    <row r="5108" spans="1:9" hidden="1" x14ac:dyDescent="0.25">
      <c r="A5108" t="s">
        <v>17</v>
      </c>
      <c r="B5108" t="s">
        <v>27</v>
      </c>
      <c r="C5108">
        <v>201911</v>
      </c>
      <c r="D5108" t="str">
        <f t="shared" si="79"/>
        <v>2019</v>
      </c>
      <c r="E5108">
        <v>25</v>
      </c>
      <c r="F5108">
        <v>94572</v>
      </c>
      <c r="G5108">
        <v>0.03</v>
      </c>
      <c r="H5108" t="s">
        <v>10</v>
      </c>
      <c r="I5108" t="s">
        <v>11</v>
      </c>
    </row>
    <row r="5109" spans="1:9" hidden="1" x14ac:dyDescent="0.25">
      <c r="A5109" t="s">
        <v>17</v>
      </c>
      <c r="B5109" t="s">
        <v>27</v>
      </c>
      <c r="C5109">
        <v>202002</v>
      </c>
      <c r="D5109" t="str">
        <f t="shared" si="79"/>
        <v>2020</v>
      </c>
      <c r="E5109">
        <v>2</v>
      </c>
      <c r="F5109">
        <v>94572</v>
      </c>
      <c r="G5109">
        <v>0</v>
      </c>
      <c r="H5109" t="s">
        <v>10</v>
      </c>
      <c r="I5109" t="s">
        <v>11</v>
      </c>
    </row>
    <row r="5110" spans="1:9" hidden="1" x14ac:dyDescent="0.25">
      <c r="A5110" t="s">
        <v>17</v>
      </c>
      <c r="B5110" t="s">
        <v>27</v>
      </c>
      <c r="C5110">
        <v>202004</v>
      </c>
      <c r="D5110" t="str">
        <f t="shared" si="79"/>
        <v>2020</v>
      </c>
      <c r="E5110">
        <v>22</v>
      </c>
      <c r="F5110">
        <v>94572</v>
      </c>
      <c r="G5110">
        <v>0.02</v>
      </c>
      <c r="H5110" t="s">
        <v>10</v>
      </c>
      <c r="I5110" t="s">
        <v>11</v>
      </c>
    </row>
    <row r="5111" spans="1:9" hidden="1" x14ac:dyDescent="0.25">
      <c r="A5111" t="s">
        <v>17</v>
      </c>
      <c r="B5111" t="s">
        <v>27</v>
      </c>
      <c r="C5111">
        <v>202005</v>
      </c>
      <c r="D5111" t="str">
        <f t="shared" si="79"/>
        <v>2020</v>
      </c>
      <c r="E5111">
        <v>68</v>
      </c>
      <c r="F5111">
        <v>94572</v>
      </c>
      <c r="G5111">
        <v>7.0000000000000007E-2</v>
      </c>
      <c r="H5111" t="s">
        <v>10</v>
      </c>
      <c r="I5111" t="s">
        <v>11</v>
      </c>
    </row>
    <row r="5112" spans="1:9" hidden="1" x14ac:dyDescent="0.25">
      <c r="A5112" t="s">
        <v>17</v>
      </c>
      <c r="B5112" t="s">
        <v>27</v>
      </c>
      <c r="C5112">
        <v>202108</v>
      </c>
      <c r="D5112" t="str">
        <f t="shared" si="79"/>
        <v>2021</v>
      </c>
      <c r="E5112">
        <v>12</v>
      </c>
      <c r="F5112">
        <v>94572</v>
      </c>
      <c r="G5112">
        <v>0.01</v>
      </c>
      <c r="H5112" t="s">
        <v>10</v>
      </c>
      <c r="I5112" t="s">
        <v>11</v>
      </c>
    </row>
    <row r="5113" spans="1:9" hidden="1" x14ac:dyDescent="0.25">
      <c r="A5113" t="s">
        <v>17</v>
      </c>
      <c r="B5113" t="s">
        <v>27</v>
      </c>
      <c r="C5113">
        <v>202109</v>
      </c>
      <c r="D5113" t="str">
        <f t="shared" si="79"/>
        <v>2021</v>
      </c>
      <c r="E5113">
        <v>10</v>
      </c>
      <c r="F5113">
        <v>94572</v>
      </c>
      <c r="G5113">
        <v>0.01</v>
      </c>
      <c r="H5113" t="s">
        <v>10</v>
      </c>
      <c r="I5113" t="s">
        <v>11</v>
      </c>
    </row>
    <row r="5114" spans="1:9" hidden="1" x14ac:dyDescent="0.25">
      <c r="A5114" t="s">
        <v>17</v>
      </c>
      <c r="B5114" t="s">
        <v>27</v>
      </c>
      <c r="C5114">
        <v>202110</v>
      </c>
      <c r="D5114" t="str">
        <f t="shared" si="79"/>
        <v>2021</v>
      </c>
      <c r="E5114">
        <v>12</v>
      </c>
      <c r="F5114">
        <v>94572</v>
      </c>
      <c r="G5114">
        <v>0.01</v>
      </c>
      <c r="H5114" t="s">
        <v>10</v>
      </c>
      <c r="I5114" t="s">
        <v>11</v>
      </c>
    </row>
    <row r="5115" spans="1:9" hidden="1" x14ac:dyDescent="0.25">
      <c r="A5115" t="s">
        <v>17</v>
      </c>
      <c r="B5115" t="s">
        <v>27</v>
      </c>
      <c r="C5115">
        <v>202112</v>
      </c>
      <c r="D5115" t="str">
        <f t="shared" si="79"/>
        <v>2021</v>
      </c>
      <c r="E5115">
        <v>2</v>
      </c>
      <c r="F5115">
        <v>94572</v>
      </c>
      <c r="G5115">
        <v>0</v>
      </c>
      <c r="H5115" t="s">
        <v>10</v>
      </c>
      <c r="I5115" t="s">
        <v>11</v>
      </c>
    </row>
    <row r="5116" spans="1:9" hidden="1" x14ac:dyDescent="0.25">
      <c r="A5116" t="s">
        <v>17</v>
      </c>
      <c r="B5116" t="s">
        <v>27</v>
      </c>
      <c r="C5116">
        <v>202201</v>
      </c>
      <c r="D5116" t="str">
        <f t="shared" si="79"/>
        <v>2022</v>
      </c>
      <c r="E5116">
        <v>6</v>
      </c>
      <c r="F5116">
        <v>94572</v>
      </c>
      <c r="G5116">
        <v>0.01</v>
      </c>
      <c r="H5116" t="s">
        <v>10</v>
      </c>
      <c r="I5116" t="s">
        <v>11</v>
      </c>
    </row>
    <row r="5117" spans="1:9" hidden="1" x14ac:dyDescent="0.25">
      <c r="A5117" t="s">
        <v>17</v>
      </c>
      <c r="B5117" t="s">
        <v>27</v>
      </c>
      <c r="C5117">
        <v>202202</v>
      </c>
      <c r="D5117" t="str">
        <f t="shared" si="79"/>
        <v>2022</v>
      </c>
      <c r="E5117">
        <v>3</v>
      </c>
      <c r="F5117">
        <v>94572</v>
      </c>
      <c r="G5117">
        <v>0</v>
      </c>
      <c r="H5117" t="s">
        <v>10</v>
      </c>
      <c r="I5117" t="s">
        <v>11</v>
      </c>
    </row>
    <row r="5118" spans="1:9" hidden="1" x14ac:dyDescent="0.25">
      <c r="A5118" t="s">
        <v>17</v>
      </c>
      <c r="B5118" t="s">
        <v>27</v>
      </c>
      <c r="C5118">
        <v>202203</v>
      </c>
      <c r="D5118" t="str">
        <f t="shared" si="79"/>
        <v>2022</v>
      </c>
      <c r="E5118">
        <v>6</v>
      </c>
      <c r="F5118">
        <v>94572</v>
      </c>
      <c r="G5118">
        <v>0.01</v>
      </c>
      <c r="H5118" t="s">
        <v>10</v>
      </c>
      <c r="I5118" t="s">
        <v>11</v>
      </c>
    </row>
    <row r="5119" spans="1:9" hidden="1" x14ac:dyDescent="0.25">
      <c r="A5119" t="s">
        <v>17</v>
      </c>
      <c r="B5119" t="s">
        <v>27</v>
      </c>
      <c r="C5119">
        <v>202204</v>
      </c>
      <c r="D5119" t="str">
        <f t="shared" si="79"/>
        <v>2022</v>
      </c>
      <c r="E5119">
        <v>16</v>
      </c>
      <c r="F5119">
        <v>94572</v>
      </c>
      <c r="G5119">
        <v>0.02</v>
      </c>
      <c r="H5119" t="s">
        <v>10</v>
      </c>
      <c r="I5119" t="s">
        <v>11</v>
      </c>
    </row>
    <row r="5120" spans="1:9" hidden="1" x14ac:dyDescent="0.25">
      <c r="A5120" t="s">
        <v>17</v>
      </c>
      <c r="B5120" t="s">
        <v>27</v>
      </c>
      <c r="C5120">
        <v>202205</v>
      </c>
      <c r="D5120" t="str">
        <f t="shared" si="79"/>
        <v>2022</v>
      </c>
      <c r="E5120">
        <v>6</v>
      </c>
      <c r="F5120">
        <v>94572</v>
      </c>
      <c r="G5120">
        <v>0.01</v>
      </c>
      <c r="H5120" t="s">
        <v>10</v>
      </c>
      <c r="I5120" t="s">
        <v>11</v>
      </c>
    </row>
    <row r="5121" spans="1:9" hidden="1" x14ac:dyDescent="0.25">
      <c r="A5121" t="s">
        <v>17</v>
      </c>
      <c r="B5121" t="s">
        <v>27</v>
      </c>
      <c r="C5121">
        <v>202206</v>
      </c>
      <c r="D5121" t="str">
        <f t="shared" si="79"/>
        <v>2022</v>
      </c>
      <c r="E5121">
        <v>6</v>
      </c>
      <c r="F5121">
        <v>94572</v>
      </c>
      <c r="G5121">
        <v>0.01</v>
      </c>
      <c r="H5121" t="s">
        <v>10</v>
      </c>
      <c r="I5121" t="s">
        <v>11</v>
      </c>
    </row>
    <row r="5122" spans="1:9" hidden="1" x14ac:dyDescent="0.25">
      <c r="A5122" t="s">
        <v>17</v>
      </c>
      <c r="B5122" t="s">
        <v>27</v>
      </c>
      <c r="C5122">
        <v>202207</v>
      </c>
      <c r="D5122" t="str">
        <f t="shared" si="79"/>
        <v>2022</v>
      </c>
      <c r="E5122">
        <v>3</v>
      </c>
      <c r="F5122">
        <v>94572</v>
      </c>
      <c r="G5122">
        <v>0</v>
      </c>
      <c r="H5122" t="s">
        <v>10</v>
      </c>
      <c r="I5122" t="s">
        <v>11</v>
      </c>
    </row>
    <row r="5123" spans="1:9" hidden="1" x14ac:dyDescent="0.25">
      <c r="A5123" t="s">
        <v>17</v>
      </c>
      <c r="B5123" t="s">
        <v>27</v>
      </c>
      <c r="C5123">
        <v>202208</v>
      </c>
      <c r="D5123" t="str">
        <f t="shared" ref="D5123:D5186" si="80">LEFT(C5123,4)</f>
        <v>2022</v>
      </c>
      <c r="E5123">
        <v>9</v>
      </c>
      <c r="F5123">
        <v>94572</v>
      </c>
      <c r="G5123">
        <v>0.01</v>
      </c>
      <c r="H5123" t="s">
        <v>10</v>
      </c>
      <c r="I5123" t="s">
        <v>11</v>
      </c>
    </row>
    <row r="5124" spans="1:9" hidden="1" x14ac:dyDescent="0.25">
      <c r="A5124" t="s">
        <v>17</v>
      </c>
      <c r="B5124" t="s">
        <v>27</v>
      </c>
      <c r="C5124">
        <v>202209</v>
      </c>
      <c r="D5124" t="str">
        <f t="shared" si="80"/>
        <v>2022</v>
      </c>
      <c r="E5124">
        <v>36</v>
      </c>
      <c r="F5124">
        <v>94572</v>
      </c>
      <c r="G5124">
        <v>0.04</v>
      </c>
      <c r="H5124" t="s">
        <v>10</v>
      </c>
      <c r="I5124" t="s">
        <v>11</v>
      </c>
    </row>
    <row r="5125" spans="1:9" hidden="1" x14ac:dyDescent="0.25">
      <c r="A5125" t="s">
        <v>17</v>
      </c>
      <c r="B5125" t="s">
        <v>27</v>
      </c>
      <c r="C5125">
        <v>202210</v>
      </c>
      <c r="D5125" t="str">
        <f t="shared" si="80"/>
        <v>2022</v>
      </c>
      <c r="E5125">
        <v>6</v>
      </c>
      <c r="F5125">
        <v>94572</v>
      </c>
      <c r="G5125">
        <v>0.01</v>
      </c>
      <c r="H5125" t="s">
        <v>10</v>
      </c>
      <c r="I5125" t="s">
        <v>11</v>
      </c>
    </row>
    <row r="5126" spans="1:9" hidden="1" x14ac:dyDescent="0.25">
      <c r="A5126" t="s">
        <v>17</v>
      </c>
      <c r="B5126" t="s">
        <v>27</v>
      </c>
      <c r="C5126">
        <v>202211</v>
      </c>
      <c r="D5126" t="str">
        <f t="shared" si="80"/>
        <v>2022</v>
      </c>
      <c r="E5126">
        <v>6</v>
      </c>
      <c r="F5126">
        <v>94572</v>
      </c>
      <c r="G5126">
        <v>0.01</v>
      </c>
      <c r="H5126" t="s">
        <v>10</v>
      </c>
      <c r="I5126" t="s">
        <v>11</v>
      </c>
    </row>
    <row r="5127" spans="1:9" hidden="1" x14ac:dyDescent="0.25">
      <c r="A5127" t="s">
        <v>17</v>
      </c>
      <c r="B5127" t="s">
        <v>27</v>
      </c>
      <c r="C5127">
        <v>202212</v>
      </c>
      <c r="D5127" t="str">
        <f t="shared" si="80"/>
        <v>2022</v>
      </c>
      <c r="E5127">
        <v>18</v>
      </c>
      <c r="F5127">
        <v>94572</v>
      </c>
      <c r="G5127">
        <v>0.02</v>
      </c>
      <c r="H5127" t="s">
        <v>10</v>
      </c>
      <c r="I5127" t="s">
        <v>11</v>
      </c>
    </row>
    <row r="5128" spans="1:9" hidden="1" x14ac:dyDescent="0.25">
      <c r="A5128" t="s">
        <v>17</v>
      </c>
      <c r="B5128" t="s">
        <v>27</v>
      </c>
      <c r="C5128">
        <v>202301</v>
      </c>
      <c r="D5128" t="str">
        <f t="shared" si="80"/>
        <v>2023</v>
      </c>
      <c r="E5128">
        <v>114</v>
      </c>
      <c r="F5128">
        <v>94572</v>
      </c>
      <c r="G5128">
        <v>0.12</v>
      </c>
      <c r="H5128" t="s">
        <v>10</v>
      </c>
      <c r="I5128" t="s">
        <v>11</v>
      </c>
    </row>
    <row r="5129" spans="1:9" hidden="1" x14ac:dyDescent="0.25">
      <c r="A5129" t="s">
        <v>17</v>
      </c>
      <c r="B5129" t="s">
        <v>27</v>
      </c>
      <c r="C5129">
        <v>202302</v>
      </c>
      <c r="D5129" t="str">
        <f t="shared" si="80"/>
        <v>2023</v>
      </c>
      <c r="E5129">
        <v>181</v>
      </c>
      <c r="F5129">
        <v>94572</v>
      </c>
      <c r="G5129">
        <v>0.19</v>
      </c>
      <c r="H5129" t="s">
        <v>10</v>
      </c>
      <c r="I5129" t="s">
        <v>11</v>
      </c>
    </row>
    <row r="5130" spans="1:9" hidden="1" x14ac:dyDescent="0.25">
      <c r="A5130" t="s">
        <v>17</v>
      </c>
      <c r="B5130" t="s">
        <v>27</v>
      </c>
      <c r="C5130">
        <v>202303</v>
      </c>
      <c r="D5130" t="str">
        <f t="shared" si="80"/>
        <v>2023</v>
      </c>
      <c r="E5130">
        <v>324</v>
      </c>
      <c r="F5130">
        <v>94572</v>
      </c>
      <c r="G5130">
        <v>0.34</v>
      </c>
      <c r="H5130" t="s">
        <v>10</v>
      </c>
      <c r="I5130" t="s">
        <v>11</v>
      </c>
    </row>
    <row r="5131" spans="1:9" hidden="1" x14ac:dyDescent="0.25">
      <c r="A5131" t="s">
        <v>17</v>
      </c>
      <c r="B5131" t="s">
        <v>27</v>
      </c>
      <c r="C5131">
        <v>202304</v>
      </c>
      <c r="D5131" t="str">
        <f t="shared" si="80"/>
        <v>2023</v>
      </c>
      <c r="E5131">
        <v>209</v>
      </c>
      <c r="F5131">
        <v>94572</v>
      </c>
      <c r="G5131">
        <v>0.22</v>
      </c>
      <c r="H5131" t="s">
        <v>10</v>
      </c>
      <c r="I5131" t="s">
        <v>11</v>
      </c>
    </row>
    <row r="5132" spans="1:9" hidden="1" x14ac:dyDescent="0.25">
      <c r="A5132" t="s">
        <v>17</v>
      </c>
      <c r="B5132" t="s">
        <v>27</v>
      </c>
      <c r="C5132">
        <v>202305</v>
      </c>
      <c r="D5132" t="str">
        <f t="shared" si="80"/>
        <v>2023</v>
      </c>
      <c r="E5132">
        <v>420</v>
      </c>
      <c r="F5132">
        <v>94572</v>
      </c>
      <c r="G5132">
        <v>0.44</v>
      </c>
      <c r="H5132" t="s">
        <v>10</v>
      </c>
      <c r="I5132" t="s">
        <v>11</v>
      </c>
    </row>
    <row r="5133" spans="1:9" hidden="1" x14ac:dyDescent="0.25">
      <c r="A5133" t="s">
        <v>17</v>
      </c>
      <c r="B5133" t="s">
        <v>27</v>
      </c>
      <c r="C5133">
        <v>202306</v>
      </c>
      <c r="D5133" t="str">
        <f t="shared" si="80"/>
        <v>2023</v>
      </c>
      <c r="E5133">
        <v>250</v>
      </c>
      <c r="F5133">
        <v>94572</v>
      </c>
      <c r="G5133">
        <v>0.26</v>
      </c>
      <c r="H5133" t="s">
        <v>10</v>
      </c>
      <c r="I5133" t="s">
        <v>11</v>
      </c>
    </row>
    <row r="5134" spans="1:9" hidden="1" x14ac:dyDescent="0.25">
      <c r="A5134" t="s">
        <v>17</v>
      </c>
      <c r="B5134" t="s">
        <v>27</v>
      </c>
      <c r="C5134">
        <v>202307</v>
      </c>
      <c r="D5134" t="str">
        <f t="shared" si="80"/>
        <v>2023</v>
      </c>
      <c r="E5134">
        <v>387</v>
      </c>
      <c r="F5134">
        <v>94572</v>
      </c>
      <c r="G5134">
        <v>0.41</v>
      </c>
      <c r="H5134" t="s">
        <v>10</v>
      </c>
      <c r="I5134" t="s">
        <v>11</v>
      </c>
    </row>
    <row r="5135" spans="1:9" hidden="1" x14ac:dyDescent="0.25">
      <c r="A5135" t="s">
        <v>17</v>
      </c>
      <c r="B5135" t="s">
        <v>27</v>
      </c>
      <c r="C5135">
        <v>202308</v>
      </c>
      <c r="D5135" t="str">
        <f t="shared" si="80"/>
        <v>2023</v>
      </c>
      <c r="E5135">
        <v>378</v>
      </c>
      <c r="F5135">
        <v>94572</v>
      </c>
      <c r="G5135">
        <v>0.4</v>
      </c>
      <c r="H5135" t="s">
        <v>10</v>
      </c>
      <c r="I5135" t="s">
        <v>11</v>
      </c>
    </row>
    <row r="5136" spans="1:9" hidden="1" x14ac:dyDescent="0.25">
      <c r="A5136" t="s">
        <v>17</v>
      </c>
      <c r="B5136" t="s">
        <v>27</v>
      </c>
      <c r="C5136">
        <v>202309</v>
      </c>
      <c r="D5136" t="str">
        <f t="shared" si="80"/>
        <v>2023</v>
      </c>
      <c r="E5136">
        <v>446</v>
      </c>
      <c r="F5136">
        <v>94572</v>
      </c>
      <c r="G5136">
        <v>0.47</v>
      </c>
      <c r="H5136" t="s">
        <v>10</v>
      </c>
      <c r="I5136" t="s">
        <v>11</v>
      </c>
    </row>
    <row r="5137" spans="1:9" hidden="1" x14ac:dyDescent="0.25">
      <c r="A5137" t="s">
        <v>17</v>
      </c>
      <c r="B5137" t="s">
        <v>27</v>
      </c>
      <c r="C5137">
        <v>202310</v>
      </c>
      <c r="D5137" t="str">
        <f t="shared" si="80"/>
        <v>2023</v>
      </c>
      <c r="E5137">
        <v>199</v>
      </c>
      <c r="F5137">
        <v>94572</v>
      </c>
      <c r="G5137">
        <v>0.21</v>
      </c>
      <c r="H5137" t="s">
        <v>10</v>
      </c>
      <c r="I5137" t="s">
        <v>11</v>
      </c>
    </row>
    <row r="5138" spans="1:9" hidden="1" x14ac:dyDescent="0.25">
      <c r="A5138" t="s">
        <v>17</v>
      </c>
      <c r="B5138" t="s">
        <v>27</v>
      </c>
      <c r="C5138">
        <v>202311</v>
      </c>
      <c r="D5138" t="str">
        <f t="shared" si="80"/>
        <v>2023</v>
      </c>
      <c r="E5138">
        <v>212</v>
      </c>
      <c r="F5138">
        <v>94572</v>
      </c>
      <c r="G5138">
        <v>0.22</v>
      </c>
      <c r="H5138" t="s">
        <v>10</v>
      </c>
      <c r="I5138" t="s">
        <v>11</v>
      </c>
    </row>
    <row r="5139" spans="1:9" hidden="1" x14ac:dyDescent="0.25">
      <c r="A5139" t="s">
        <v>17</v>
      </c>
      <c r="B5139" t="s">
        <v>27</v>
      </c>
      <c r="C5139">
        <v>202312</v>
      </c>
      <c r="D5139" t="str">
        <f t="shared" si="80"/>
        <v>2023</v>
      </c>
      <c r="E5139">
        <v>300</v>
      </c>
      <c r="F5139">
        <v>94572</v>
      </c>
      <c r="G5139">
        <v>0.32</v>
      </c>
      <c r="H5139" t="s">
        <v>10</v>
      </c>
      <c r="I5139" t="s">
        <v>11</v>
      </c>
    </row>
    <row r="5140" spans="1:9" hidden="1" x14ac:dyDescent="0.25">
      <c r="A5140" t="s">
        <v>17</v>
      </c>
      <c r="B5140" t="s">
        <v>27</v>
      </c>
      <c r="C5140">
        <v>202401</v>
      </c>
      <c r="D5140" t="str">
        <f t="shared" si="80"/>
        <v>2024</v>
      </c>
      <c r="E5140">
        <v>573</v>
      </c>
      <c r="F5140">
        <v>94572</v>
      </c>
      <c r="G5140">
        <v>0.61</v>
      </c>
      <c r="H5140" t="s">
        <v>10</v>
      </c>
      <c r="I5140" t="s">
        <v>11</v>
      </c>
    </row>
    <row r="5141" spans="1:9" hidden="1" x14ac:dyDescent="0.25">
      <c r="A5141" t="s">
        <v>17</v>
      </c>
      <c r="B5141" t="s">
        <v>27</v>
      </c>
      <c r="C5141">
        <v>202402</v>
      </c>
      <c r="D5141" t="str">
        <f t="shared" si="80"/>
        <v>2024</v>
      </c>
      <c r="E5141">
        <v>417</v>
      </c>
      <c r="F5141">
        <v>94572</v>
      </c>
      <c r="G5141">
        <v>0.44</v>
      </c>
      <c r="H5141" t="s">
        <v>10</v>
      </c>
      <c r="I5141" t="s">
        <v>11</v>
      </c>
    </row>
    <row r="5142" spans="1:9" hidden="1" x14ac:dyDescent="0.25">
      <c r="A5142" t="s">
        <v>17</v>
      </c>
      <c r="B5142" t="s">
        <v>27</v>
      </c>
      <c r="C5142">
        <v>202403</v>
      </c>
      <c r="D5142" t="str">
        <f t="shared" si="80"/>
        <v>2024</v>
      </c>
      <c r="E5142">
        <v>510</v>
      </c>
      <c r="F5142">
        <v>94572</v>
      </c>
      <c r="G5142">
        <v>0.54</v>
      </c>
      <c r="H5142" t="s">
        <v>10</v>
      </c>
      <c r="I5142" t="s">
        <v>11</v>
      </c>
    </row>
    <row r="5143" spans="1:9" hidden="1" x14ac:dyDescent="0.25">
      <c r="A5143" t="s">
        <v>17</v>
      </c>
      <c r="B5143" t="s">
        <v>27</v>
      </c>
      <c r="C5143">
        <v>202404</v>
      </c>
      <c r="D5143" t="str">
        <f t="shared" si="80"/>
        <v>2024</v>
      </c>
      <c r="E5143">
        <v>528</v>
      </c>
      <c r="F5143">
        <v>94572</v>
      </c>
      <c r="G5143">
        <v>0.56000000000000005</v>
      </c>
      <c r="H5143" t="s">
        <v>10</v>
      </c>
      <c r="I5143" t="s">
        <v>11</v>
      </c>
    </row>
    <row r="5144" spans="1:9" hidden="1" x14ac:dyDescent="0.25">
      <c r="A5144" t="s">
        <v>17</v>
      </c>
      <c r="B5144" t="s">
        <v>27</v>
      </c>
      <c r="C5144">
        <v>202405</v>
      </c>
      <c r="D5144" t="str">
        <f t="shared" si="80"/>
        <v>2024</v>
      </c>
      <c r="E5144">
        <v>786</v>
      </c>
      <c r="F5144">
        <v>94572</v>
      </c>
      <c r="G5144">
        <v>0.83</v>
      </c>
      <c r="H5144" t="s">
        <v>10</v>
      </c>
      <c r="I5144" t="s">
        <v>11</v>
      </c>
    </row>
    <row r="5145" spans="1:9" hidden="1" x14ac:dyDescent="0.25">
      <c r="A5145" t="s">
        <v>17</v>
      </c>
      <c r="B5145" t="s">
        <v>27</v>
      </c>
      <c r="C5145">
        <v>202406</v>
      </c>
      <c r="D5145" t="str">
        <f t="shared" si="80"/>
        <v>2024</v>
      </c>
      <c r="E5145">
        <v>693</v>
      </c>
      <c r="F5145">
        <v>94572</v>
      </c>
      <c r="G5145">
        <v>0.73</v>
      </c>
      <c r="H5145" t="s">
        <v>10</v>
      </c>
      <c r="I5145" t="s">
        <v>11</v>
      </c>
    </row>
    <row r="5146" spans="1:9" hidden="1" x14ac:dyDescent="0.25">
      <c r="A5146" t="s">
        <v>17</v>
      </c>
      <c r="B5146" t="s">
        <v>27</v>
      </c>
      <c r="C5146">
        <v>202407</v>
      </c>
      <c r="D5146" t="str">
        <f t="shared" si="80"/>
        <v>2024</v>
      </c>
      <c r="E5146">
        <v>1247</v>
      </c>
      <c r="F5146">
        <v>94572</v>
      </c>
      <c r="G5146">
        <v>1.32</v>
      </c>
      <c r="H5146" t="s">
        <v>10</v>
      </c>
      <c r="I5146" t="s">
        <v>11</v>
      </c>
    </row>
    <row r="5147" spans="1:9" hidden="1" x14ac:dyDescent="0.25">
      <c r="A5147" t="s">
        <v>17</v>
      </c>
      <c r="B5147" t="s">
        <v>27</v>
      </c>
      <c r="C5147">
        <v>202408</v>
      </c>
      <c r="D5147" t="str">
        <f t="shared" si="80"/>
        <v>2024</v>
      </c>
      <c r="E5147">
        <v>1496</v>
      </c>
      <c r="F5147">
        <v>94572</v>
      </c>
      <c r="G5147">
        <v>1.58</v>
      </c>
      <c r="H5147" t="s">
        <v>10</v>
      </c>
      <c r="I5147" t="s">
        <v>11</v>
      </c>
    </row>
    <row r="5148" spans="1:9" hidden="1" x14ac:dyDescent="0.25">
      <c r="A5148" t="s">
        <v>17</v>
      </c>
      <c r="B5148" t="s">
        <v>27</v>
      </c>
      <c r="C5148">
        <v>202409</v>
      </c>
      <c r="D5148" t="str">
        <f t="shared" si="80"/>
        <v>2024</v>
      </c>
      <c r="E5148">
        <v>2017</v>
      </c>
      <c r="F5148">
        <v>94572</v>
      </c>
      <c r="G5148">
        <v>2.13</v>
      </c>
      <c r="H5148" t="s">
        <v>10</v>
      </c>
      <c r="I5148" t="s">
        <v>11</v>
      </c>
    </row>
    <row r="5149" spans="1:9" hidden="1" x14ac:dyDescent="0.25">
      <c r="A5149" t="s">
        <v>17</v>
      </c>
      <c r="B5149" t="s">
        <v>27</v>
      </c>
      <c r="C5149">
        <v>202410</v>
      </c>
      <c r="D5149" t="str">
        <f t="shared" si="80"/>
        <v>2024</v>
      </c>
      <c r="E5149">
        <v>4929</v>
      </c>
      <c r="F5149">
        <v>94572</v>
      </c>
      <c r="G5149">
        <v>5.21</v>
      </c>
      <c r="H5149" t="s">
        <v>10</v>
      </c>
      <c r="I5149" t="s">
        <v>11</v>
      </c>
    </row>
    <row r="5150" spans="1:9" hidden="1" x14ac:dyDescent="0.25">
      <c r="A5150" t="s">
        <v>17</v>
      </c>
      <c r="B5150" t="s">
        <v>27</v>
      </c>
      <c r="C5150">
        <v>202411</v>
      </c>
      <c r="D5150" t="str">
        <f t="shared" si="80"/>
        <v>2024</v>
      </c>
      <c r="E5150">
        <v>38797</v>
      </c>
      <c r="F5150">
        <v>94572</v>
      </c>
      <c r="G5150">
        <v>41.02</v>
      </c>
      <c r="H5150" t="s">
        <v>10</v>
      </c>
      <c r="I5150" t="s">
        <v>11</v>
      </c>
    </row>
    <row r="5151" spans="1:9" hidden="1" x14ac:dyDescent="0.25">
      <c r="A5151" t="s">
        <v>17</v>
      </c>
      <c r="B5151" t="s">
        <v>27</v>
      </c>
      <c r="C5151">
        <v>202412</v>
      </c>
      <c r="D5151" t="str">
        <f t="shared" si="80"/>
        <v>2024</v>
      </c>
      <c r="E5151">
        <v>35732</v>
      </c>
      <c r="F5151">
        <v>94572</v>
      </c>
      <c r="G5151">
        <v>37.78</v>
      </c>
      <c r="H5151" t="s">
        <v>10</v>
      </c>
      <c r="I5151" t="s">
        <v>11</v>
      </c>
    </row>
    <row r="5152" spans="1:9" hidden="1" x14ac:dyDescent="0.25">
      <c r="A5152" t="s">
        <v>17</v>
      </c>
      <c r="B5152" t="s">
        <v>31</v>
      </c>
      <c r="C5152">
        <v>201804</v>
      </c>
      <c r="D5152" t="str">
        <f t="shared" si="80"/>
        <v>2018</v>
      </c>
      <c r="E5152">
        <v>4</v>
      </c>
      <c r="F5152">
        <v>86928</v>
      </c>
      <c r="G5152">
        <v>0</v>
      </c>
      <c r="H5152" t="s">
        <v>10</v>
      </c>
      <c r="I5152" t="s">
        <v>11</v>
      </c>
    </row>
    <row r="5153" spans="1:9" hidden="1" x14ac:dyDescent="0.25">
      <c r="A5153" t="s">
        <v>17</v>
      </c>
      <c r="B5153" t="s">
        <v>31</v>
      </c>
      <c r="C5153">
        <v>202005</v>
      </c>
      <c r="D5153" t="str">
        <f t="shared" si="80"/>
        <v>2020</v>
      </c>
      <c r="E5153">
        <v>3</v>
      </c>
      <c r="F5153">
        <v>86928</v>
      </c>
      <c r="G5153">
        <v>0</v>
      </c>
      <c r="H5153" t="s">
        <v>10</v>
      </c>
      <c r="I5153" t="s">
        <v>11</v>
      </c>
    </row>
    <row r="5154" spans="1:9" hidden="1" x14ac:dyDescent="0.25">
      <c r="A5154" t="s">
        <v>17</v>
      </c>
      <c r="B5154" t="s">
        <v>31</v>
      </c>
      <c r="C5154">
        <v>202110</v>
      </c>
      <c r="D5154" t="str">
        <f t="shared" si="80"/>
        <v>2021</v>
      </c>
      <c r="E5154">
        <v>4</v>
      </c>
      <c r="F5154">
        <v>86928</v>
      </c>
      <c r="G5154">
        <v>0</v>
      </c>
      <c r="H5154" t="s">
        <v>10</v>
      </c>
      <c r="I5154" t="s">
        <v>11</v>
      </c>
    </row>
    <row r="5155" spans="1:9" hidden="1" x14ac:dyDescent="0.25">
      <c r="A5155" t="s">
        <v>17</v>
      </c>
      <c r="B5155" t="s">
        <v>31</v>
      </c>
      <c r="C5155">
        <v>202201</v>
      </c>
      <c r="D5155" t="str">
        <f t="shared" si="80"/>
        <v>2022</v>
      </c>
      <c r="E5155">
        <v>10</v>
      </c>
      <c r="F5155">
        <v>86928</v>
      </c>
      <c r="G5155">
        <v>0.01</v>
      </c>
      <c r="H5155" t="s">
        <v>10</v>
      </c>
      <c r="I5155" t="s">
        <v>11</v>
      </c>
    </row>
    <row r="5156" spans="1:9" hidden="1" x14ac:dyDescent="0.25">
      <c r="A5156" t="s">
        <v>17</v>
      </c>
      <c r="B5156" t="s">
        <v>31</v>
      </c>
      <c r="C5156">
        <v>202202</v>
      </c>
      <c r="D5156" t="str">
        <f t="shared" si="80"/>
        <v>2022</v>
      </c>
      <c r="E5156">
        <v>17</v>
      </c>
      <c r="F5156">
        <v>86928</v>
      </c>
      <c r="G5156">
        <v>0.02</v>
      </c>
      <c r="H5156" t="s">
        <v>10</v>
      </c>
      <c r="I5156" t="s">
        <v>11</v>
      </c>
    </row>
    <row r="5157" spans="1:9" hidden="1" x14ac:dyDescent="0.25">
      <c r="A5157" t="s">
        <v>17</v>
      </c>
      <c r="B5157" t="s">
        <v>31</v>
      </c>
      <c r="C5157">
        <v>202203</v>
      </c>
      <c r="D5157" t="str">
        <f t="shared" si="80"/>
        <v>2022</v>
      </c>
      <c r="E5157">
        <v>36</v>
      </c>
      <c r="F5157">
        <v>86928</v>
      </c>
      <c r="G5157">
        <v>0.04</v>
      </c>
      <c r="H5157" t="s">
        <v>10</v>
      </c>
      <c r="I5157" t="s">
        <v>11</v>
      </c>
    </row>
    <row r="5158" spans="1:9" hidden="1" x14ac:dyDescent="0.25">
      <c r="A5158" t="s">
        <v>17</v>
      </c>
      <c r="B5158" t="s">
        <v>31</v>
      </c>
      <c r="C5158">
        <v>202204</v>
      </c>
      <c r="D5158" t="str">
        <f t="shared" si="80"/>
        <v>2022</v>
      </c>
      <c r="E5158">
        <v>9</v>
      </c>
      <c r="F5158">
        <v>86928</v>
      </c>
      <c r="G5158">
        <v>0.01</v>
      </c>
      <c r="H5158" t="s">
        <v>10</v>
      </c>
      <c r="I5158" t="s">
        <v>11</v>
      </c>
    </row>
    <row r="5159" spans="1:9" hidden="1" x14ac:dyDescent="0.25">
      <c r="A5159" t="s">
        <v>17</v>
      </c>
      <c r="B5159" t="s">
        <v>31</v>
      </c>
      <c r="C5159">
        <v>202206</v>
      </c>
      <c r="D5159" t="str">
        <f t="shared" si="80"/>
        <v>2022</v>
      </c>
      <c r="E5159">
        <v>7</v>
      </c>
      <c r="F5159">
        <v>86928</v>
      </c>
      <c r="G5159">
        <v>0.01</v>
      </c>
      <c r="H5159" t="s">
        <v>10</v>
      </c>
      <c r="I5159" t="s">
        <v>11</v>
      </c>
    </row>
    <row r="5160" spans="1:9" hidden="1" x14ac:dyDescent="0.25">
      <c r="A5160" t="s">
        <v>17</v>
      </c>
      <c r="B5160" t="s">
        <v>31</v>
      </c>
      <c r="C5160">
        <v>202208</v>
      </c>
      <c r="D5160" t="str">
        <f t="shared" si="80"/>
        <v>2022</v>
      </c>
      <c r="E5160">
        <v>5</v>
      </c>
      <c r="F5160">
        <v>86928</v>
      </c>
      <c r="G5160">
        <v>0.01</v>
      </c>
      <c r="H5160" t="s">
        <v>10</v>
      </c>
      <c r="I5160" t="s">
        <v>11</v>
      </c>
    </row>
    <row r="5161" spans="1:9" hidden="1" x14ac:dyDescent="0.25">
      <c r="A5161" t="s">
        <v>17</v>
      </c>
      <c r="B5161" t="s">
        <v>31</v>
      </c>
      <c r="C5161">
        <v>202209</v>
      </c>
      <c r="D5161" t="str">
        <f t="shared" si="80"/>
        <v>2022</v>
      </c>
      <c r="E5161">
        <v>3</v>
      </c>
      <c r="F5161">
        <v>86928</v>
      </c>
      <c r="G5161">
        <v>0</v>
      </c>
      <c r="H5161" t="s">
        <v>10</v>
      </c>
      <c r="I5161" t="s">
        <v>11</v>
      </c>
    </row>
    <row r="5162" spans="1:9" hidden="1" x14ac:dyDescent="0.25">
      <c r="A5162" t="s">
        <v>17</v>
      </c>
      <c r="B5162" t="s">
        <v>31</v>
      </c>
      <c r="C5162">
        <v>202210</v>
      </c>
      <c r="D5162" t="str">
        <f t="shared" si="80"/>
        <v>2022</v>
      </c>
      <c r="E5162">
        <v>10</v>
      </c>
      <c r="F5162">
        <v>86928</v>
      </c>
      <c r="G5162">
        <v>0.01</v>
      </c>
      <c r="H5162" t="s">
        <v>10</v>
      </c>
      <c r="I5162" t="s">
        <v>11</v>
      </c>
    </row>
    <row r="5163" spans="1:9" hidden="1" x14ac:dyDescent="0.25">
      <c r="A5163" t="s">
        <v>17</v>
      </c>
      <c r="B5163" t="s">
        <v>31</v>
      </c>
      <c r="C5163">
        <v>202211</v>
      </c>
      <c r="D5163" t="str">
        <f t="shared" si="80"/>
        <v>2022</v>
      </c>
      <c r="E5163">
        <v>2</v>
      </c>
      <c r="F5163">
        <v>86928</v>
      </c>
      <c r="G5163">
        <v>0</v>
      </c>
      <c r="H5163" t="s">
        <v>10</v>
      </c>
      <c r="I5163" t="s">
        <v>11</v>
      </c>
    </row>
    <row r="5164" spans="1:9" hidden="1" x14ac:dyDescent="0.25">
      <c r="A5164" t="s">
        <v>17</v>
      </c>
      <c r="B5164" t="s">
        <v>31</v>
      </c>
      <c r="C5164">
        <v>202212</v>
      </c>
      <c r="D5164" t="str">
        <f t="shared" si="80"/>
        <v>2022</v>
      </c>
      <c r="E5164">
        <v>10</v>
      </c>
      <c r="F5164">
        <v>86928</v>
      </c>
      <c r="G5164">
        <v>0.01</v>
      </c>
      <c r="H5164" t="s">
        <v>10</v>
      </c>
      <c r="I5164" t="s">
        <v>11</v>
      </c>
    </row>
    <row r="5165" spans="1:9" hidden="1" x14ac:dyDescent="0.25">
      <c r="A5165" t="s">
        <v>17</v>
      </c>
      <c r="B5165" t="s">
        <v>31</v>
      </c>
      <c r="C5165">
        <v>202301</v>
      </c>
      <c r="D5165" t="str">
        <f t="shared" si="80"/>
        <v>2023</v>
      </c>
      <c r="E5165">
        <v>74</v>
      </c>
      <c r="F5165">
        <v>86928</v>
      </c>
      <c r="G5165">
        <v>0.09</v>
      </c>
      <c r="H5165" t="s">
        <v>10</v>
      </c>
      <c r="I5165" t="s">
        <v>11</v>
      </c>
    </row>
    <row r="5166" spans="1:9" hidden="1" x14ac:dyDescent="0.25">
      <c r="A5166" t="s">
        <v>17</v>
      </c>
      <c r="B5166" t="s">
        <v>31</v>
      </c>
      <c r="C5166">
        <v>202302</v>
      </c>
      <c r="D5166" t="str">
        <f t="shared" si="80"/>
        <v>2023</v>
      </c>
      <c r="E5166">
        <v>70</v>
      </c>
      <c r="F5166">
        <v>86928</v>
      </c>
      <c r="G5166">
        <v>0.08</v>
      </c>
      <c r="H5166" t="s">
        <v>10</v>
      </c>
      <c r="I5166" t="s">
        <v>11</v>
      </c>
    </row>
    <row r="5167" spans="1:9" hidden="1" x14ac:dyDescent="0.25">
      <c r="A5167" t="s">
        <v>17</v>
      </c>
      <c r="B5167" t="s">
        <v>31</v>
      </c>
      <c r="C5167">
        <v>202303</v>
      </c>
      <c r="D5167" t="str">
        <f t="shared" si="80"/>
        <v>2023</v>
      </c>
      <c r="E5167">
        <v>110</v>
      </c>
      <c r="F5167">
        <v>86928</v>
      </c>
      <c r="G5167">
        <v>0.13</v>
      </c>
      <c r="H5167" t="s">
        <v>10</v>
      </c>
      <c r="I5167" t="s">
        <v>11</v>
      </c>
    </row>
    <row r="5168" spans="1:9" hidden="1" x14ac:dyDescent="0.25">
      <c r="A5168" t="s">
        <v>17</v>
      </c>
      <c r="B5168" t="s">
        <v>31</v>
      </c>
      <c r="C5168">
        <v>202304</v>
      </c>
      <c r="D5168" t="str">
        <f t="shared" si="80"/>
        <v>2023</v>
      </c>
      <c r="E5168">
        <v>82</v>
      </c>
      <c r="F5168">
        <v>86928</v>
      </c>
      <c r="G5168">
        <v>0.09</v>
      </c>
      <c r="H5168" t="s">
        <v>10</v>
      </c>
      <c r="I5168" t="s">
        <v>11</v>
      </c>
    </row>
    <row r="5169" spans="1:9" hidden="1" x14ac:dyDescent="0.25">
      <c r="A5169" t="s">
        <v>17</v>
      </c>
      <c r="B5169" t="s">
        <v>31</v>
      </c>
      <c r="C5169">
        <v>202305</v>
      </c>
      <c r="D5169" t="str">
        <f t="shared" si="80"/>
        <v>2023</v>
      </c>
      <c r="E5169">
        <v>55</v>
      </c>
      <c r="F5169">
        <v>86928</v>
      </c>
      <c r="G5169">
        <v>0.06</v>
      </c>
      <c r="H5169" t="s">
        <v>10</v>
      </c>
      <c r="I5169" t="s">
        <v>11</v>
      </c>
    </row>
    <row r="5170" spans="1:9" hidden="1" x14ac:dyDescent="0.25">
      <c r="A5170" t="s">
        <v>17</v>
      </c>
      <c r="B5170" t="s">
        <v>31</v>
      </c>
      <c r="C5170">
        <v>202306</v>
      </c>
      <c r="D5170" t="str">
        <f t="shared" si="80"/>
        <v>2023</v>
      </c>
      <c r="E5170">
        <v>86</v>
      </c>
      <c r="F5170">
        <v>86928</v>
      </c>
      <c r="G5170">
        <v>0.1</v>
      </c>
      <c r="H5170" t="s">
        <v>10</v>
      </c>
      <c r="I5170" t="s">
        <v>11</v>
      </c>
    </row>
    <row r="5171" spans="1:9" hidden="1" x14ac:dyDescent="0.25">
      <c r="A5171" t="s">
        <v>17</v>
      </c>
      <c r="B5171" t="s">
        <v>31</v>
      </c>
      <c r="C5171">
        <v>202307</v>
      </c>
      <c r="D5171" t="str">
        <f t="shared" si="80"/>
        <v>2023</v>
      </c>
      <c r="E5171">
        <v>119</v>
      </c>
      <c r="F5171">
        <v>86928</v>
      </c>
      <c r="G5171">
        <v>0.14000000000000001</v>
      </c>
      <c r="H5171" t="s">
        <v>10</v>
      </c>
      <c r="I5171" t="s">
        <v>11</v>
      </c>
    </row>
    <row r="5172" spans="1:9" hidden="1" x14ac:dyDescent="0.25">
      <c r="A5172" t="s">
        <v>17</v>
      </c>
      <c r="B5172" t="s">
        <v>31</v>
      </c>
      <c r="C5172">
        <v>202308</v>
      </c>
      <c r="D5172" t="str">
        <f t="shared" si="80"/>
        <v>2023</v>
      </c>
      <c r="E5172">
        <v>158</v>
      </c>
      <c r="F5172">
        <v>86928</v>
      </c>
      <c r="G5172">
        <v>0.18</v>
      </c>
      <c r="H5172" t="s">
        <v>10</v>
      </c>
      <c r="I5172" t="s">
        <v>11</v>
      </c>
    </row>
    <row r="5173" spans="1:9" hidden="1" x14ac:dyDescent="0.25">
      <c r="A5173" t="s">
        <v>17</v>
      </c>
      <c r="B5173" t="s">
        <v>31</v>
      </c>
      <c r="C5173">
        <v>202309</v>
      </c>
      <c r="D5173" t="str">
        <f t="shared" si="80"/>
        <v>2023</v>
      </c>
      <c r="E5173">
        <v>349</v>
      </c>
      <c r="F5173">
        <v>86928</v>
      </c>
      <c r="G5173">
        <v>0.4</v>
      </c>
      <c r="H5173" t="s">
        <v>10</v>
      </c>
      <c r="I5173" t="s">
        <v>11</v>
      </c>
    </row>
    <row r="5174" spans="1:9" hidden="1" x14ac:dyDescent="0.25">
      <c r="A5174" t="s">
        <v>17</v>
      </c>
      <c r="B5174" t="s">
        <v>31</v>
      </c>
      <c r="C5174">
        <v>202310</v>
      </c>
      <c r="D5174" t="str">
        <f t="shared" si="80"/>
        <v>2023</v>
      </c>
      <c r="E5174">
        <v>257</v>
      </c>
      <c r="F5174">
        <v>86928</v>
      </c>
      <c r="G5174">
        <v>0.3</v>
      </c>
      <c r="H5174" t="s">
        <v>10</v>
      </c>
      <c r="I5174" t="s">
        <v>11</v>
      </c>
    </row>
    <row r="5175" spans="1:9" hidden="1" x14ac:dyDescent="0.25">
      <c r="A5175" t="s">
        <v>17</v>
      </c>
      <c r="B5175" t="s">
        <v>31</v>
      </c>
      <c r="C5175">
        <v>202311</v>
      </c>
      <c r="D5175" t="str">
        <f t="shared" si="80"/>
        <v>2023</v>
      </c>
      <c r="E5175">
        <v>289</v>
      </c>
      <c r="F5175">
        <v>86928</v>
      </c>
      <c r="G5175">
        <v>0.33</v>
      </c>
      <c r="H5175" t="s">
        <v>10</v>
      </c>
      <c r="I5175" t="s">
        <v>11</v>
      </c>
    </row>
    <row r="5176" spans="1:9" hidden="1" x14ac:dyDescent="0.25">
      <c r="A5176" t="s">
        <v>17</v>
      </c>
      <c r="B5176" t="s">
        <v>31</v>
      </c>
      <c r="C5176">
        <v>202312</v>
      </c>
      <c r="D5176" t="str">
        <f t="shared" si="80"/>
        <v>2023</v>
      </c>
      <c r="E5176">
        <v>274</v>
      </c>
      <c r="F5176">
        <v>86928</v>
      </c>
      <c r="G5176">
        <v>0.32</v>
      </c>
      <c r="H5176" t="s">
        <v>10</v>
      </c>
      <c r="I5176" t="s">
        <v>11</v>
      </c>
    </row>
    <row r="5177" spans="1:9" hidden="1" x14ac:dyDescent="0.25">
      <c r="A5177" t="s">
        <v>17</v>
      </c>
      <c r="B5177" t="s">
        <v>31</v>
      </c>
      <c r="C5177">
        <v>202401</v>
      </c>
      <c r="D5177" t="str">
        <f t="shared" si="80"/>
        <v>2024</v>
      </c>
      <c r="E5177">
        <v>347</v>
      </c>
      <c r="F5177">
        <v>86928</v>
      </c>
      <c r="G5177">
        <v>0.4</v>
      </c>
      <c r="H5177" t="s">
        <v>10</v>
      </c>
      <c r="I5177" t="s">
        <v>11</v>
      </c>
    </row>
    <row r="5178" spans="1:9" hidden="1" x14ac:dyDescent="0.25">
      <c r="A5178" t="s">
        <v>17</v>
      </c>
      <c r="B5178" t="s">
        <v>31</v>
      </c>
      <c r="C5178">
        <v>202402</v>
      </c>
      <c r="D5178" t="str">
        <f t="shared" si="80"/>
        <v>2024</v>
      </c>
      <c r="E5178">
        <v>443</v>
      </c>
      <c r="F5178">
        <v>86928</v>
      </c>
      <c r="G5178">
        <v>0.51</v>
      </c>
      <c r="H5178" t="s">
        <v>10</v>
      </c>
      <c r="I5178" t="s">
        <v>11</v>
      </c>
    </row>
    <row r="5179" spans="1:9" hidden="1" x14ac:dyDescent="0.25">
      <c r="A5179" t="s">
        <v>17</v>
      </c>
      <c r="B5179" t="s">
        <v>31</v>
      </c>
      <c r="C5179">
        <v>202403</v>
      </c>
      <c r="D5179" t="str">
        <f t="shared" si="80"/>
        <v>2024</v>
      </c>
      <c r="E5179">
        <v>498</v>
      </c>
      <c r="F5179">
        <v>86928</v>
      </c>
      <c r="G5179">
        <v>0.56999999999999995</v>
      </c>
      <c r="H5179" t="s">
        <v>10</v>
      </c>
      <c r="I5179" t="s">
        <v>11</v>
      </c>
    </row>
    <row r="5180" spans="1:9" hidden="1" x14ac:dyDescent="0.25">
      <c r="A5180" t="s">
        <v>17</v>
      </c>
      <c r="B5180" t="s">
        <v>31</v>
      </c>
      <c r="C5180">
        <v>202404</v>
      </c>
      <c r="D5180" t="str">
        <f t="shared" si="80"/>
        <v>2024</v>
      </c>
      <c r="E5180">
        <v>565</v>
      </c>
      <c r="F5180">
        <v>86928</v>
      </c>
      <c r="G5180">
        <v>0.65</v>
      </c>
      <c r="H5180" t="s">
        <v>10</v>
      </c>
      <c r="I5180" t="s">
        <v>11</v>
      </c>
    </row>
    <row r="5181" spans="1:9" hidden="1" x14ac:dyDescent="0.25">
      <c r="A5181" t="s">
        <v>17</v>
      </c>
      <c r="B5181" t="s">
        <v>31</v>
      </c>
      <c r="C5181">
        <v>202405</v>
      </c>
      <c r="D5181" t="str">
        <f t="shared" si="80"/>
        <v>2024</v>
      </c>
      <c r="E5181">
        <v>607</v>
      </c>
      <c r="F5181">
        <v>86928</v>
      </c>
      <c r="G5181">
        <v>0.7</v>
      </c>
      <c r="H5181" t="s">
        <v>10</v>
      </c>
      <c r="I5181" t="s">
        <v>11</v>
      </c>
    </row>
    <row r="5182" spans="1:9" hidden="1" x14ac:dyDescent="0.25">
      <c r="A5182" t="s">
        <v>17</v>
      </c>
      <c r="B5182" t="s">
        <v>31</v>
      </c>
      <c r="C5182">
        <v>202406</v>
      </c>
      <c r="D5182" t="str">
        <f t="shared" si="80"/>
        <v>2024</v>
      </c>
      <c r="E5182">
        <v>605</v>
      </c>
      <c r="F5182">
        <v>86928</v>
      </c>
      <c r="G5182">
        <v>0.7</v>
      </c>
      <c r="H5182" t="s">
        <v>10</v>
      </c>
      <c r="I5182" t="s">
        <v>11</v>
      </c>
    </row>
    <row r="5183" spans="1:9" hidden="1" x14ac:dyDescent="0.25">
      <c r="A5183" t="s">
        <v>17</v>
      </c>
      <c r="B5183" t="s">
        <v>31</v>
      </c>
      <c r="C5183">
        <v>202407</v>
      </c>
      <c r="D5183" t="str">
        <f t="shared" si="80"/>
        <v>2024</v>
      </c>
      <c r="E5183">
        <v>717</v>
      </c>
      <c r="F5183">
        <v>86928</v>
      </c>
      <c r="G5183">
        <v>0.82</v>
      </c>
      <c r="H5183" t="s">
        <v>10</v>
      </c>
      <c r="I5183" t="s">
        <v>11</v>
      </c>
    </row>
    <row r="5184" spans="1:9" hidden="1" x14ac:dyDescent="0.25">
      <c r="A5184" t="s">
        <v>17</v>
      </c>
      <c r="B5184" t="s">
        <v>31</v>
      </c>
      <c r="C5184">
        <v>202408</v>
      </c>
      <c r="D5184" t="str">
        <f t="shared" si="80"/>
        <v>2024</v>
      </c>
      <c r="E5184">
        <v>1692</v>
      </c>
      <c r="F5184">
        <v>86928</v>
      </c>
      <c r="G5184">
        <v>1.95</v>
      </c>
      <c r="H5184" t="s">
        <v>10</v>
      </c>
      <c r="I5184" t="s">
        <v>11</v>
      </c>
    </row>
    <row r="5185" spans="1:9" hidden="1" x14ac:dyDescent="0.25">
      <c r="A5185" t="s">
        <v>17</v>
      </c>
      <c r="B5185" t="s">
        <v>31</v>
      </c>
      <c r="C5185">
        <v>202409</v>
      </c>
      <c r="D5185" t="str">
        <f t="shared" si="80"/>
        <v>2024</v>
      </c>
      <c r="E5185">
        <v>1747</v>
      </c>
      <c r="F5185">
        <v>86928</v>
      </c>
      <c r="G5185">
        <v>2.0099999999999998</v>
      </c>
      <c r="H5185" t="s">
        <v>10</v>
      </c>
      <c r="I5185" t="s">
        <v>11</v>
      </c>
    </row>
    <row r="5186" spans="1:9" hidden="1" x14ac:dyDescent="0.25">
      <c r="A5186" t="s">
        <v>17</v>
      </c>
      <c r="B5186" t="s">
        <v>31</v>
      </c>
      <c r="C5186">
        <v>202410</v>
      </c>
      <c r="D5186" t="str">
        <f t="shared" si="80"/>
        <v>2024</v>
      </c>
      <c r="E5186">
        <v>2282</v>
      </c>
      <c r="F5186">
        <v>86928</v>
      </c>
      <c r="G5186">
        <v>2.63</v>
      </c>
      <c r="H5186" t="s">
        <v>10</v>
      </c>
      <c r="I5186" t="s">
        <v>11</v>
      </c>
    </row>
    <row r="5187" spans="1:9" hidden="1" x14ac:dyDescent="0.25">
      <c r="A5187" t="s">
        <v>17</v>
      </c>
      <c r="B5187" t="s">
        <v>31</v>
      </c>
      <c r="C5187">
        <v>202411</v>
      </c>
      <c r="D5187" t="str">
        <f t="shared" ref="D5187:D5250" si="81">LEFT(C5187,4)</f>
        <v>2024</v>
      </c>
      <c r="E5187">
        <v>5179</v>
      </c>
      <c r="F5187">
        <v>86928</v>
      </c>
      <c r="G5187">
        <v>5.96</v>
      </c>
      <c r="H5187" t="s">
        <v>10</v>
      </c>
      <c r="I5187" t="s">
        <v>11</v>
      </c>
    </row>
    <row r="5188" spans="1:9" hidden="1" x14ac:dyDescent="0.25">
      <c r="A5188" t="s">
        <v>17</v>
      </c>
      <c r="B5188" t="s">
        <v>31</v>
      </c>
      <c r="C5188">
        <v>202412</v>
      </c>
      <c r="D5188" t="str">
        <f t="shared" si="81"/>
        <v>2024</v>
      </c>
      <c r="E5188">
        <v>43275</v>
      </c>
      <c r="F5188">
        <v>86928</v>
      </c>
      <c r="G5188">
        <v>49.78</v>
      </c>
      <c r="H5188" t="s">
        <v>10</v>
      </c>
      <c r="I5188" t="s">
        <v>11</v>
      </c>
    </row>
    <row r="5189" spans="1:9" x14ac:dyDescent="0.25">
      <c r="A5189" t="s">
        <v>17</v>
      </c>
      <c r="B5189" t="s">
        <v>31</v>
      </c>
      <c r="C5189">
        <v>202501</v>
      </c>
      <c r="D5189" t="str">
        <f t="shared" si="81"/>
        <v>2025</v>
      </c>
      <c r="E5189">
        <v>26928</v>
      </c>
      <c r="F5189">
        <v>86928</v>
      </c>
      <c r="G5189">
        <v>30.98</v>
      </c>
      <c r="H5189" t="s">
        <v>10</v>
      </c>
      <c r="I5189" t="s">
        <v>11</v>
      </c>
    </row>
    <row r="5190" spans="1:9" hidden="1" x14ac:dyDescent="0.25">
      <c r="A5190" t="s">
        <v>17</v>
      </c>
      <c r="B5190" t="s">
        <v>186</v>
      </c>
      <c r="C5190">
        <v>201801</v>
      </c>
      <c r="D5190" t="str">
        <f t="shared" si="81"/>
        <v>2018</v>
      </c>
      <c r="E5190">
        <v>22</v>
      </c>
      <c r="F5190">
        <v>103554</v>
      </c>
      <c r="G5190">
        <v>0.02</v>
      </c>
      <c r="H5190" t="s">
        <v>10</v>
      </c>
      <c r="I5190" t="s">
        <v>11</v>
      </c>
    </row>
    <row r="5191" spans="1:9" hidden="1" x14ac:dyDescent="0.25">
      <c r="A5191" t="s">
        <v>17</v>
      </c>
      <c r="B5191" t="s">
        <v>186</v>
      </c>
      <c r="C5191">
        <v>201802</v>
      </c>
      <c r="D5191" t="str">
        <f t="shared" si="81"/>
        <v>2018</v>
      </c>
      <c r="E5191">
        <v>42</v>
      </c>
      <c r="F5191">
        <v>103554</v>
      </c>
      <c r="G5191">
        <v>0.04</v>
      </c>
      <c r="H5191" t="s">
        <v>10</v>
      </c>
      <c r="I5191" t="s">
        <v>11</v>
      </c>
    </row>
    <row r="5192" spans="1:9" hidden="1" x14ac:dyDescent="0.25">
      <c r="A5192" t="s">
        <v>17</v>
      </c>
      <c r="B5192" t="s">
        <v>186</v>
      </c>
      <c r="C5192">
        <v>201803</v>
      </c>
      <c r="D5192" t="str">
        <f t="shared" si="81"/>
        <v>2018</v>
      </c>
      <c r="E5192">
        <v>182</v>
      </c>
      <c r="F5192">
        <v>103554</v>
      </c>
      <c r="G5192">
        <v>0.18</v>
      </c>
      <c r="H5192" t="s">
        <v>10</v>
      </c>
      <c r="I5192" t="s">
        <v>11</v>
      </c>
    </row>
    <row r="5193" spans="1:9" hidden="1" x14ac:dyDescent="0.25">
      <c r="A5193" t="s">
        <v>17</v>
      </c>
      <c r="B5193" t="s">
        <v>186</v>
      </c>
      <c r="C5193">
        <v>201804</v>
      </c>
      <c r="D5193" t="str">
        <f t="shared" si="81"/>
        <v>2018</v>
      </c>
      <c r="E5193">
        <v>78</v>
      </c>
      <c r="F5193">
        <v>103554</v>
      </c>
      <c r="G5193">
        <v>0.08</v>
      </c>
      <c r="H5193" t="s">
        <v>10</v>
      </c>
      <c r="I5193" t="s">
        <v>11</v>
      </c>
    </row>
    <row r="5194" spans="1:9" hidden="1" x14ac:dyDescent="0.25">
      <c r="A5194" t="s">
        <v>17</v>
      </c>
      <c r="B5194" t="s">
        <v>186</v>
      </c>
      <c r="C5194">
        <v>201808</v>
      </c>
      <c r="D5194" t="str">
        <f t="shared" si="81"/>
        <v>2018</v>
      </c>
      <c r="E5194">
        <v>4</v>
      </c>
      <c r="F5194">
        <v>103554</v>
      </c>
      <c r="G5194">
        <v>0</v>
      </c>
      <c r="H5194" t="s">
        <v>10</v>
      </c>
      <c r="I5194" t="s">
        <v>11</v>
      </c>
    </row>
    <row r="5195" spans="1:9" hidden="1" x14ac:dyDescent="0.25">
      <c r="A5195" t="s">
        <v>17</v>
      </c>
      <c r="B5195" t="s">
        <v>186</v>
      </c>
      <c r="C5195">
        <v>201809</v>
      </c>
      <c r="D5195" t="str">
        <f t="shared" si="81"/>
        <v>2018</v>
      </c>
      <c r="E5195">
        <v>11</v>
      </c>
      <c r="F5195">
        <v>103554</v>
      </c>
      <c r="G5195">
        <v>0.01</v>
      </c>
      <c r="H5195" t="s">
        <v>10</v>
      </c>
      <c r="I5195" t="s">
        <v>11</v>
      </c>
    </row>
    <row r="5196" spans="1:9" hidden="1" x14ac:dyDescent="0.25">
      <c r="A5196" t="s">
        <v>17</v>
      </c>
      <c r="B5196" t="s">
        <v>186</v>
      </c>
      <c r="C5196">
        <v>201810</v>
      </c>
      <c r="D5196" t="str">
        <f t="shared" si="81"/>
        <v>2018</v>
      </c>
      <c r="E5196">
        <v>5</v>
      </c>
      <c r="F5196">
        <v>103554</v>
      </c>
      <c r="G5196">
        <v>0</v>
      </c>
      <c r="H5196" t="s">
        <v>10</v>
      </c>
      <c r="I5196" t="s">
        <v>11</v>
      </c>
    </row>
    <row r="5197" spans="1:9" hidden="1" x14ac:dyDescent="0.25">
      <c r="A5197" t="s">
        <v>17</v>
      </c>
      <c r="B5197" t="s">
        <v>186</v>
      </c>
      <c r="C5197">
        <v>201812</v>
      </c>
      <c r="D5197" t="str">
        <f t="shared" si="81"/>
        <v>2018</v>
      </c>
      <c r="E5197">
        <v>12</v>
      </c>
      <c r="F5197">
        <v>103554</v>
      </c>
      <c r="G5197">
        <v>0.01</v>
      </c>
      <c r="H5197" t="s">
        <v>10</v>
      </c>
      <c r="I5197" t="s">
        <v>11</v>
      </c>
    </row>
    <row r="5198" spans="1:9" hidden="1" x14ac:dyDescent="0.25">
      <c r="A5198" t="s">
        <v>17</v>
      </c>
      <c r="B5198" t="s">
        <v>186</v>
      </c>
      <c r="C5198">
        <v>201910</v>
      </c>
      <c r="D5198" t="str">
        <f t="shared" si="81"/>
        <v>2019</v>
      </c>
      <c r="E5198">
        <v>9</v>
      </c>
      <c r="F5198">
        <v>103554</v>
      </c>
      <c r="G5198">
        <v>0.01</v>
      </c>
      <c r="H5198" t="s">
        <v>10</v>
      </c>
      <c r="I5198" t="s">
        <v>11</v>
      </c>
    </row>
    <row r="5199" spans="1:9" hidden="1" x14ac:dyDescent="0.25">
      <c r="A5199" t="s">
        <v>17</v>
      </c>
      <c r="B5199" t="s">
        <v>186</v>
      </c>
      <c r="C5199">
        <v>202111</v>
      </c>
      <c r="D5199" t="str">
        <f t="shared" si="81"/>
        <v>2021</v>
      </c>
      <c r="E5199">
        <v>3</v>
      </c>
      <c r="F5199">
        <v>103554</v>
      </c>
      <c r="G5199">
        <v>0</v>
      </c>
      <c r="H5199" t="s">
        <v>10</v>
      </c>
      <c r="I5199" t="s">
        <v>11</v>
      </c>
    </row>
    <row r="5200" spans="1:9" hidden="1" x14ac:dyDescent="0.25">
      <c r="A5200" t="s">
        <v>17</v>
      </c>
      <c r="B5200" t="s">
        <v>186</v>
      </c>
      <c r="C5200">
        <v>202112</v>
      </c>
      <c r="D5200" t="str">
        <f t="shared" si="81"/>
        <v>2021</v>
      </c>
      <c r="E5200">
        <v>12</v>
      </c>
      <c r="F5200">
        <v>103554</v>
      </c>
      <c r="G5200">
        <v>0.01</v>
      </c>
      <c r="H5200" t="s">
        <v>10</v>
      </c>
      <c r="I5200" t="s">
        <v>11</v>
      </c>
    </row>
    <row r="5201" spans="1:9" hidden="1" x14ac:dyDescent="0.25">
      <c r="A5201" t="s">
        <v>17</v>
      </c>
      <c r="B5201" t="s">
        <v>186</v>
      </c>
      <c r="C5201">
        <v>202202</v>
      </c>
      <c r="D5201" t="str">
        <f t="shared" si="81"/>
        <v>2022</v>
      </c>
      <c r="E5201">
        <v>5</v>
      </c>
      <c r="F5201">
        <v>103554</v>
      </c>
      <c r="G5201">
        <v>0</v>
      </c>
      <c r="H5201" t="s">
        <v>10</v>
      </c>
      <c r="I5201" t="s">
        <v>11</v>
      </c>
    </row>
    <row r="5202" spans="1:9" hidden="1" x14ac:dyDescent="0.25">
      <c r="A5202" t="s">
        <v>17</v>
      </c>
      <c r="B5202" t="s">
        <v>186</v>
      </c>
      <c r="C5202">
        <v>202204</v>
      </c>
      <c r="D5202" t="str">
        <f t="shared" si="81"/>
        <v>2022</v>
      </c>
      <c r="E5202">
        <v>2</v>
      </c>
      <c r="F5202">
        <v>103554</v>
      </c>
      <c r="G5202">
        <v>0</v>
      </c>
      <c r="H5202" t="s">
        <v>10</v>
      </c>
      <c r="I5202" t="s">
        <v>11</v>
      </c>
    </row>
    <row r="5203" spans="1:9" hidden="1" x14ac:dyDescent="0.25">
      <c r="A5203" t="s">
        <v>17</v>
      </c>
      <c r="B5203" t="s">
        <v>186</v>
      </c>
      <c r="C5203">
        <v>202208</v>
      </c>
      <c r="D5203" t="str">
        <f t="shared" si="81"/>
        <v>2022</v>
      </c>
      <c r="E5203">
        <v>24</v>
      </c>
      <c r="F5203">
        <v>103554</v>
      </c>
      <c r="G5203">
        <v>0.02</v>
      </c>
      <c r="H5203" t="s">
        <v>10</v>
      </c>
      <c r="I5203" t="s">
        <v>11</v>
      </c>
    </row>
    <row r="5204" spans="1:9" hidden="1" x14ac:dyDescent="0.25">
      <c r="A5204" t="s">
        <v>17</v>
      </c>
      <c r="B5204" t="s">
        <v>186</v>
      </c>
      <c r="C5204">
        <v>202209</v>
      </c>
      <c r="D5204" t="str">
        <f t="shared" si="81"/>
        <v>2022</v>
      </c>
      <c r="E5204">
        <v>1</v>
      </c>
      <c r="F5204">
        <v>103554</v>
      </c>
      <c r="G5204">
        <v>0</v>
      </c>
      <c r="H5204" t="s">
        <v>10</v>
      </c>
      <c r="I5204" t="s">
        <v>11</v>
      </c>
    </row>
    <row r="5205" spans="1:9" hidden="1" x14ac:dyDescent="0.25">
      <c r="A5205" t="s">
        <v>17</v>
      </c>
      <c r="B5205" t="s">
        <v>186</v>
      </c>
      <c r="C5205">
        <v>202211</v>
      </c>
      <c r="D5205" t="str">
        <f t="shared" si="81"/>
        <v>2022</v>
      </c>
      <c r="E5205">
        <v>1</v>
      </c>
      <c r="F5205">
        <v>103554</v>
      </c>
      <c r="G5205">
        <v>0</v>
      </c>
      <c r="H5205" t="s">
        <v>10</v>
      </c>
      <c r="I5205" t="s">
        <v>11</v>
      </c>
    </row>
    <row r="5206" spans="1:9" hidden="1" x14ac:dyDescent="0.25">
      <c r="A5206" t="s">
        <v>17</v>
      </c>
      <c r="B5206" t="s">
        <v>186</v>
      </c>
      <c r="C5206">
        <v>202212</v>
      </c>
      <c r="D5206" t="str">
        <f t="shared" si="81"/>
        <v>2022</v>
      </c>
      <c r="E5206">
        <v>48</v>
      </c>
      <c r="F5206">
        <v>103554</v>
      </c>
      <c r="G5206">
        <v>0.05</v>
      </c>
      <c r="H5206" t="s">
        <v>10</v>
      </c>
      <c r="I5206" t="s">
        <v>11</v>
      </c>
    </row>
    <row r="5207" spans="1:9" hidden="1" x14ac:dyDescent="0.25">
      <c r="A5207" t="s">
        <v>17</v>
      </c>
      <c r="B5207" t="s">
        <v>186</v>
      </c>
      <c r="C5207">
        <v>202301</v>
      </c>
      <c r="D5207" t="str">
        <f t="shared" si="81"/>
        <v>2023</v>
      </c>
      <c r="E5207">
        <v>13</v>
      </c>
      <c r="F5207">
        <v>103554</v>
      </c>
      <c r="G5207">
        <v>0.01</v>
      </c>
      <c r="H5207" t="s">
        <v>10</v>
      </c>
      <c r="I5207" t="s">
        <v>11</v>
      </c>
    </row>
    <row r="5208" spans="1:9" hidden="1" x14ac:dyDescent="0.25">
      <c r="A5208" t="s">
        <v>17</v>
      </c>
      <c r="B5208" t="s">
        <v>186</v>
      </c>
      <c r="C5208">
        <v>202302</v>
      </c>
      <c r="D5208" t="str">
        <f t="shared" si="81"/>
        <v>2023</v>
      </c>
      <c r="E5208">
        <v>33</v>
      </c>
      <c r="F5208">
        <v>103554</v>
      </c>
      <c r="G5208">
        <v>0.03</v>
      </c>
      <c r="H5208" t="s">
        <v>10</v>
      </c>
      <c r="I5208" t="s">
        <v>11</v>
      </c>
    </row>
    <row r="5209" spans="1:9" hidden="1" x14ac:dyDescent="0.25">
      <c r="A5209" t="s">
        <v>17</v>
      </c>
      <c r="B5209" t="s">
        <v>186</v>
      </c>
      <c r="C5209">
        <v>202303</v>
      </c>
      <c r="D5209" t="str">
        <f t="shared" si="81"/>
        <v>2023</v>
      </c>
      <c r="E5209">
        <v>38</v>
      </c>
      <c r="F5209">
        <v>103554</v>
      </c>
      <c r="G5209">
        <v>0.04</v>
      </c>
      <c r="H5209" t="s">
        <v>10</v>
      </c>
      <c r="I5209" t="s">
        <v>11</v>
      </c>
    </row>
    <row r="5210" spans="1:9" hidden="1" x14ac:dyDescent="0.25">
      <c r="A5210" t="s">
        <v>17</v>
      </c>
      <c r="B5210" t="s">
        <v>186</v>
      </c>
      <c r="C5210">
        <v>202304</v>
      </c>
      <c r="D5210" t="str">
        <f t="shared" si="81"/>
        <v>2023</v>
      </c>
      <c r="E5210">
        <v>22</v>
      </c>
      <c r="F5210">
        <v>103554</v>
      </c>
      <c r="G5210">
        <v>0.02</v>
      </c>
      <c r="H5210" t="s">
        <v>10</v>
      </c>
      <c r="I5210" t="s">
        <v>11</v>
      </c>
    </row>
    <row r="5211" spans="1:9" hidden="1" x14ac:dyDescent="0.25">
      <c r="A5211" t="s">
        <v>17</v>
      </c>
      <c r="B5211" t="s">
        <v>186</v>
      </c>
      <c r="C5211">
        <v>202305</v>
      </c>
      <c r="D5211" t="str">
        <f t="shared" si="81"/>
        <v>2023</v>
      </c>
      <c r="E5211">
        <v>47</v>
      </c>
      <c r="F5211">
        <v>103554</v>
      </c>
      <c r="G5211">
        <v>0.05</v>
      </c>
      <c r="H5211" t="s">
        <v>10</v>
      </c>
      <c r="I5211" t="s">
        <v>11</v>
      </c>
    </row>
    <row r="5212" spans="1:9" hidden="1" x14ac:dyDescent="0.25">
      <c r="A5212" t="s">
        <v>17</v>
      </c>
      <c r="B5212" t="s">
        <v>186</v>
      </c>
      <c r="C5212">
        <v>202306</v>
      </c>
      <c r="D5212" t="str">
        <f t="shared" si="81"/>
        <v>2023</v>
      </c>
      <c r="E5212">
        <v>169</v>
      </c>
      <c r="F5212">
        <v>103554</v>
      </c>
      <c r="G5212">
        <v>0.16</v>
      </c>
      <c r="H5212" t="s">
        <v>10</v>
      </c>
      <c r="I5212" t="s">
        <v>11</v>
      </c>
    </row>
    <row r="5213" spans="1:9" hidden="1" x14ac:dyDescent="0.25">
      <c r="A5213" t="s">
        <v>17</v>
      </c>
      <c r="B5213" t="s">
        <v>186</v>
      </c>
      <c r="C5213">
        <v>202307</v>
      </c>
      <c r="D5213" t="str">
        <f t="shared" si="81"/>
        <v>2023</v>
      </c>
      <c r="E5213">
        <v>152</v>
      </c>
      <c r="F5213">
        <v>103554</v>
      </c>
      <c r="G5213">
        <v>0.15</v>
      </c>
      <c r="H5213" t="s">
        <v>10</v>
      </c>
      <c r="I5213" t="s">
        <v>11</v>
      </c>
    </row>
    <row r="5214" spans="1:9" hidden="1" x14ac:dyDescent="0.25">
      <c r="A5214" t="s">
        <v>17</v>
      </c>
      <c r="B5214" t="s">
        <v>186</v>
      </c>
      <c r="C5214">
        <v>202308</v>
      </c>
      <c r="D5214" t="str">
        <f t="shared" si="81"/>
        <v>2023</v>
      </c>
      <c r="E5214">
        <v>155</v>
      </c>
      <c r="F5214">
        <v>103554</v>
      </c>
      <c r="G5214">
        <v>0.15</v>
      </c>
      <c r="H5214" t="s">
        <v>10</v>
      </c>
      <c r="I5214" t="s">
        <v>11</v>
      </c>
    </row>
    <row r="5215" spans="1:9" hidden="1" x14ac:dyDescent="0.25">
      <c r="A5215" t="s">
        <v>17</v>
      </c>
      <c r="B5215" t="s">
        <v>186</v>
      </c>
      <c r="C5215">
        <v>202309</v>
      </c>
      <c r="D5215" t="str">
        <f t="shared" si="81"/>
        <v>2023</v>
      </c>
      <c r="E5215">
        <v>201</v>
      </c>
      <c r="F5215">
        <v>103554</v>
      </c>
      <c r="G5215">
        <v>0.19</v>
      </c>
      <c r="H5215" t="s">
        <v>10</v>
      </c>
      <c r="I5215" t="s">
        <v>11</v>
      </c>
    </row>
    <row r="5216" spans="1:9" hidden="1" x14ac:dyDescent="0.25">
      <c r="A5216" t="s">
        <v>17</v>
      </c>
      <c r="B5216" t="s">
        <v>186</v>
      </c>
      <c r="C5216">
        <v>202310</v>
      </c>
      <c r="D5216" t="str">
        <f t="shared" si="81"/>
        <v>2023</v>
      </c>
      <c r="E5216">
        <v>250</v>
      </c>
      <c r="F5216">
        <v>103554</v>
      </c>
      <c r="G5216">
        <v>0.24</v>
      </c>
      <c r="H5216" t="s">
        <v>10</v>
      </c>
      <c r="I5216" t="s">
        <v>11</v>
      </c>
    </row>
    <row r="5217" spans="1:9" hidden="1" x14ac:dyDescent="0.25">
      <c r="A5217" t="s">
        <v>17</v>
      </c>
      <c r="B5217" t="s">
        <v>186</v>
      </c>
      <c r="C5217">
        <v>202311</v>
      </c>
      <c r="D5217" t="str">
        <f t="shared" si="81"/>
        <v>2023</v>
      </c>
      <c r="E5217">
        <v>250</v>
      </c>
      <c r="F5217">
        <v>103554</v>
      </c>
      <c r="G5217">
        <v>0.24</v>
      </c>
      <c r="H5217" t="s">
        <v>10</v>
      </c>
      <c r="I5217" t="s">
        <v>11</v>
      </c>
    </row>
    <row r="5218" spans="1:9" hidden="1" x14ac:dyDescent="0.25">
      <c r="A5218" t="s">
        <v>17</v>
      </c>
      <c r="B5218" t="s">
        <v>186</v>
      </c>
      <c r="C5218">
        <v>202312</v>
      </c>
      <c r="D5218" t="str">
        <f t="shared" si="81"/>
        <v>2023</v>
      </c>
      <c r="E5218">
        <v>190</v>
      </c>
      <c r="F5218">
        <v>103554</v>
      </c>
      <c r="G5218">
        <v>0.18</v>
      </c>
      <c r="H5218" t="s">
        <v>10</v>
      </c>
      <c r="I5218" t="s">
        <v>11</v>
      </c>
    </row>
    <row r="5219" spans="1:9" hidden="1" x14ac:dyDescent="0.25">
      <c r="A5219" t="s">
        <v>17</v>
      </c>
      <c r="B5219" t="s">
        <v>186</v>
      </c>
      <c r="C5219">
        <v>202401</v>
      </c>
      <c r="D5219" t="str">
        <f t="shared" si="81"/>
        <v>2024</v>
      </c>
      <c r="E5219">
        <v>383</v>
      </c>
      <c r="F5219">
        <v>103554</v>
      </c>
      <c r="G5219">
        <v>0.37</v>
      </c>
      <c r="H5219" t="s">
        <v>10</v>
      </c>
      <c r="I5219" t="s">
        <v>11</v>
      </c>
    </row>
    <row r="5220" spans="1:9" hidden="1" x14ac:dyDescent="0.25">
      <c r="A5220" t="s">
        <v>17</v>
      </c>
      <c r="B5220" t="s">
        <v>186</v>
      </c>
      <c r="C5220">
        <v>202402</v>
      </c>
      <c r="D5220" t="str">
        <f t="shared" si="81"/>
        <v>2024</v>
      </c>
      <c r="E5220">
        <v>551</v>
      </c>
      <c r="F5220">
        <v>103554</v>
      </c>
      <c r="G5220">
        <v>0.53</v>
      </c>
      <c r="H5220" t="s">
        <v>10</v>
      </c>
      <c r="I5220" t="s">
        <v>11</v>
      </c>
    </row>
    <row r="5221" spans="1:9" hidden="1" x14ac:dyDescent="0.25">
      <c r="A5221" t="s">
        <v>17</v>
      </c>
      <c r="B5221" t="s">
        <v>186</v>
      </c>
      <c r="C5221">
        <v>202403</v>
      </c>
      <c r="D5221" t="str">
        <f t="shared" si="81"/>
        <v>2024</v>
      </c>
      <c r="E5221">
        <v>616</v>
      </c>
      <c r="F5221">
        <v>103554</v>
      </c>
      <c r="G5221">
        <v>0.59</v>
      </c>
      <c r="H5221" t="s">
        <v>10</v>
      </c>
      <c r="I5221" t="s">
        <v>11</v>
      </c>
    </row>
    <row r="5222" spans="1:9" hidden="1" x14ac:dyDescent="0.25">
      <c r="A5222" t="s">
        <v>17</v>
      </c>
      <c r="B5222" t="s">
        <v>186</v>
      </c>
      <c r="C5222">
        <v>202404</v>
      </c>
      <c r="D5222" t="str">
        <f t="shared" si="81"/>
        <v>2024</v>
      </c>
      <c r="E5222">
        <v>880</v>
      </c>
      <c r="F5222">
        <v>103554</v>
      </c>
      <c r="G5222">
        <v>0.85</v>
      </c>
      <c r="H5222" t="s">
        <v>10</v>
      </c>
      <c r="I5222" t="s">
        <v>11</v>
      </c>
    </row>
    <row r="5223" spans="1:9" hidden="1" x14ac:dyDescent="0.25">
      <c r="A5223" t="s">
        <v>17</v>
      </c>
      <c r="B5223" t="s">
        <v>186</v>
      </c>
      <c r="C5223">
        <v>202405</v>
      </c>
      <c r="D5223" t="str">
        <f t="shared" si="81"/>
        <v>2024</v>
      </c>
      <c r="E5223">
        <v>877</v>
      </c>
      <c r="F5223">
        <v>103554</v>
      </c>
      <c r="G5223">
        <v>0.85</v>
      </c>
      <c r="H5223" t="s">
        <v>10</v>
      </c>
      <c r="I5223" t="s">
        <v>11</v>
      </c>
    </row>
    <row r="5224" spans="1:9" hidden="1" x14ac:dyDescent="0.25">
      <c r="A5224" t="s">
        <v>17</v>
      </c>
      <c r="B5224" t="s">
        <v>186</v>
      </c>
      <c r="C5224">
        <v>202406</v>
      </c>
      <c r="D5224" t="str">
        <f t="shared" si="81"/>
        <v>2024</v>
      </c>
      <c r="E5224">
        <v>515</v>
      </c>
      <c r="F5224">
        <v>103554</v>
      </c>
      <c r="G5224">
        <v>0.5</v>
      </c>
      <c r="H5224" t="s">
        <v>10</v>
      </c>
      <c r="I5224" t="s">
        <v>11</v>
      </c>
    </row>
    <row r="5225" spans="1:9" hidden="1" x14ac:dyDescent="0.25">
      <c r="A5225" t="s">
        <v>17</v>
      </c>
      <c r="B5225" t="s">
        <v>186</v>
      </c>
      <c r="C5225">
        <v>202407</v>
      </c>
      <c r="D5225" t="str">
        <f t="shared" si="81"/>
        <v>2024</v>
      </c>
      <c r="E5225">
        <v>870</v>
      </c>
      <c r="F5225">
        <v>103554</v>
      </c>
      <c r="G5225">
        <v>0.84</v>
      </c>
      <c r="H5225" t="s">
        <v>10</v>
      </c>
      <c r="I5225" t="s">
        <v>11</v>
      </c>
    </row>
    <row r="5226" spans="1:9" hidden="1" x14ac:dyDescent="0.25">
      <c r="A5226" t="s">
        <v>17</v>
      </c>
      <c r="B5226" t="s">
        <v>186</v>
      </c>
      <c r="C5226">
        <v>202408</v>
      </c>
      <c r="D5226" t="str">
        <f t="shared" si="81"/>
        <v>2024</v>
      </c>
      <c r="E5226">
        <v>805</v>
      </c>
      <c r="F5226">
        <v>103554</v>
      </c>
      <c r="G5226">
        <v>0.78</v>
      </c>
      <c r="H5226" t="s">
        <v>10</v>
      </c>
      <c r="I5226" t="s">
        <v>11</v>
      </c>
    </row>
    <row r="5227" spans="1:9" hidden="1" x14ac:dyDescent="0.25">
      <c r="A5227" t="s">
        <v>17</v>
      </c>
      <c r="B5227" t="s">
        <v>186</v>
      </c>
      <c r="C5227">
        <v>202409</v>
      </c>
      <c r="D5227" t="str">
        <f t="shared" si="81"/>
        <v>2024</v>
      </c>
      <c r="E5227">
        <v>1204</v>
      </c>
      <c r="F5227">
        <v>103554</v>
      </c>
      <c r="G5227">
        <v>1.1599999999999999</v>
      </c>
      <c r="H5227" t="s">
        <v>10</v>
      </c>
      <c r="I5227" t="s">
        <v>11</v>
      </c>
    </row>
    <row r="5228" spans="1:9" hidden="1" x14ac:dyDescent="0.25">
      <c r="A5228" t="s">
        <v>17</v>
      </c>
      <c r="B5228" t="s">
        <v>186</v>
      </c>
      <c r="C5228">
        <v>202410</v>
      </c>
      <c r="D5228" t="str">
        <f t="shared" si="81"/>
        <v>2024</v>
      </c>
      <c r="E5228">
        <v>1488</v>
      </c>
      <c r="F5228">
        <v>103554</v>
      </c>
      <c r="G5228">
        <v>1.44</v>
      </c>
      <c r="H5228" t="s">
        <v>10</v>
      </c>
      <c r="I5228" t="s">
        <v>11</v>
      </c>
    </row>
    <row r="5229" spans="1:9" hidden="1" x14ac:dyDescent="0.25">
      <c r="A5229" t="s">
        <v>17</v>
      </c>
      <c r="B5229" t="s">
        <v>186</v>
      </c>
      <c r="C5229">
        <v>202411</v>
      </c>
      <c r="D5229" t="str">
        <f t="shared" si="81"/>
        <v>2024</v>
      </c>
      <c r="E5229">
        <v>2234</v>
      </c>
      <c r="F5229">
        <v>103554</v>
      </c>
      <c r="G5229">
        <v>2.16</v>
      </c>
      <c r="H5229" t="s">
        <v>10</v>
      </c>
      <c r="I5229" t="s">
        <v>11</v>
      </c>
    </row>
    <row r="5230" spans="1:9" hidden="1" x14ac:dyDescent="0.25">
      <c r="A5230" t="s">
        <v>17</v>
      </c>
      <c r="B5230" t="s">
        <v>186</v>
      </c>
      <c r="C5230">
        <v>202412</v>
      </c>
      <c r="D5230" t="str">
        <f t="shared" si="81"/>
        <v>2024</v>
      </c>
      <c r="E5230">
        <v>6218</v>
      </c>
      <c r="F5230">
        <v>103554</v>
      </c>
      <c r="G5230">
        <v>6</v>
      </c>
      <c r="H5230" t="s">
        <v>10</v>
      </c>
      <c r="I5230" t="s">
        <v>11</v>
      </c>
    </row>
    <row r="5231" spans="1:9" x14ac:dyDescent="0.25">
      <c r="A5231" t="s">
        <v>17</v>
      </c>
      <c r="B5231" t="s">
        <v>186</v>
      </c>
      <c r="C5231">
        <v>202501</v>
      </c>
      <c r="D5231" t="str">
        <f t="shared" si="81"/>
        <v>2025</v>
      </c>
      <c r="E5231">
        <v>58038</v>
      </c>
      <c r="F5231">
        <v>103554</v>
      </c>
      <c r="G5231">
        <v>56.05</v>
      </c>
      <c r="H5231" t="s">
        <v>10</v>
      </c>
      <c r="I5231" t="s">
        <v>11</v>
      </c>
    </row>
    <row r="5232" spans="1:9" x14ac:dyDescent="0.25">
      <c r="A5232" t="s">
        <v>17</v>
      </c>
      <c r="B5232" t="s">
        <v>186</v>
      </c>
      <c r="C5232">
        <v>202502</v>
      </c>
      <c r="D5232" t="str">
        <f t="shared" si="81"/>
        <v>2025</v>
      </c>
      <c r="E5232">
        <v>26894</v>
      </c>
      <c r="F5232">
        <v>103554</v>
      </c>
      <c r="G5232">
        <v>25.97</v>
      </c>
      <c r="H5232" t="s">
        <v>10</v>
      </c>
      <c r="I5232" t="s">
        <v>11</v>
      </c>
    </row>
    <row r="5233" spans="1:9" hidden="1" x14ac:dyDescent="0.25">
      <c r="A5233" t="s">
        <v>17</v>
      </c>
      <c r="B5233" t="s">
        <v>74</v>
      </c>
      <c r="C5233">
        <v>201712</v>
      </c>
      <c r="D5233" t="str">
        <f t="shared" si="81"/>
        <v>2017</v>
      </c>
      <c r="E5233">
        <v>5</v>
      </c>
      <c r="F5233">
        <v>113581</v>
      </c>
      <c r="G5233">
        <v>0</v>
      </c>
      <c r="H5233" t="s">
        <v>10</v>
      </c>
      <c r="I5233" t="s">
        <v>11</v>
      </c>
    </row>
    <row r="5234" spans="1:9" hidden="1" x14ac:dyDescent="0.25">
      <c r="A5234" t="s">
        <v>17</v>
      </c>
      <c r="B5234" t="s">
        <v>74</v>
      </c>
      <c r="C5234">
        <v>202005</v>
      </c>
      <c r="D5234" t="str">
        <f t="shared" si="81"/>
        <v>2020</v>
      </c>
      <c r="E5234">
        <v>4</v>
      </c>
      <c r="F5234">
        <v>113581</v>
      </c>
      <c r="G5234">
        <v>0</v>
      </c>
      <c r="H5234" t="s">
        <v>10</v>
      </c>
      <c r="I5234" t="s">
        <v>11</v>
      </c>
    </row>
    <row r="5235" spans="1:9" hidden="1" x14ac:dyDescent="0.25">
      <c r="A5235" t="s">
        <v>17</v>
      </c>
      <c r="B5235" t="s">
        <v>74</v>
      </c>
      <c r="C5235">
        <v>202006</v>
      </c>
      <c r="D5235" t="str">
        <f t="shared" si="81"/>
        <v>2020</v>
      </c>
      <c r="E5235">
        <v>2</v>
      </c>
      <c r="F5235">
        <v>113581</v>
      </c>
      <c r="G5235">
        <v>0</v>
      </c>
      <c r="H5235" t="s">
        <v>10</v>
      </c>
      <c r="I5235" t="s">
        <v>11</v>
      </c>
    </row>
    <row r="5236" spans="1:9" hidden="1" x14ac:dyDescent="0.25">
      <c r="A5236" t="s">
        <v>17</v>
      </c>
      <c r="B5236" t="s">
        <v>74</v>
      </c>
      <c r="C5236">
        <v>202009</v>
      </c>
      <c r="D5236" t="str">
        <f t="shared" si="81"/>
        <v>2020</v>
      </c>
      <c r="E5236">
        <v>20</v>
      </c>
      <c r="F5236">
        <v>113581</v>
      </c>
      <c r="G5236">
        <v>0.02</v>
      </c>
      <c r="H5236" t="s">
        <v>10</v>
      </c>
      <c r="I5236" t="s">
        <v>11</v>
      </c>
    </row>
    <row r="5237" spans="1:9" hidden="1" x14ac:dyDescent="0.25">
      <c r="A5237" t="s">
        <v>17</v>
      </c>
      <c r="B5237" t="s">
        <v>74</v>
      </c>
      <c r="C5237">
        <v>202106</v>
      </c>
      <c r="D5237" t="str">
        <f t="shared" si="81"/>
        <v>2021</v>
      </c>
      <c r="E5237">
        <v>7</v>
      </c>
      <c r="F5237">
        <v>113581</v>
      </c>
      <c r="G5237">
        <v>0.01</v>
      </c>
      <c r="H5237" t="s">
        <v>10</v>
      </c>
      <c r="I5237" t="s">
        <v>11</v>
      </c>
    </row>
    <row r="5238" spans="1:9" hidden="1" x14ac:dyDescent="0.25">
      <c r="A5238" t="s">
        <v>17</v>
      </c>
      <c r="B5238" t="s">
        <v>74</v>
      </c>
      <c r="C5238">
        <v>202207</v>
      </c>
      <c r="D5238" t="str">
        <f t="shared" si="81"/>
        <v>2022</v>
      </c>
      <c r="E5238">
        <v>8</v>
      </c>
      <c r="F5238">
        <v>113581</v>
      </c>
      <c r="G5238">
        <v>0.01</v>
      </c>
      <c r="H5238" t="s">
        <v>10</v>
      </c>
      <c r="I5238" t="s">
        <v>11</v>
      </c>
    </row>
    <row r="5239" spans="1:9" hidden="1" x14ac:dyDescent="0.25">
      <c r="A5239" t="s">
        <v>17</v>
      </c>
      <c r="B5239" t="s">
        <v>74</v>
      </c>
      <c r="C5239">
        <v>202212</v>
      </c>
      <c r="D5239" t="str">
        <f t="shared" si="81"/>
        <v>2022</v>
      </c>
      <c r="E5239">
        <v>12</v>
      </c>
      <c r="F5239">
        <v>113581</v>
      </c>
      <c r="G5239">
        <v>0.01</v>
      </c>
      <c r="H5239" t="s">
        <v>10</v>
      </c>
      <c r="I5239" t="s">
        <v>11</v>
      </c>
    </row>
    <row r="5240" spans="1:9" hidden="1" x14ac:dyDescent="0.25">
      <c r="A5240" t="s">
        <v>17</v>
      </c>
      <c r="B5240" t="s">
        <v>74</v>
      </c>
      <c r="C5240">
        <v>202301</v>
      </c>
      <c r="D5240" t="str">
        <f t="shared" si="81"/>
        <v>2023</v>
      </c>
      <c r="E5240">
        <v>7</v>
      </c>
      <c r="F5240">
        <v>113581</v>
      </c>
      <c r="G5240">
        <v>0.01</v>
      </c>
      <c r="H5240" t="s">
        <v>10</v>
      </c>
      <c r="I5240" t="s">
        <v>11</v>
      </c>
    </row>
    <row r="5241" spans="1:9" hidden="1" x14ac:dyDescent="0.25">
      <c r="A5241" t="s">
        <v>17</v>
      </c>
      <c r="B5241" t="s">
        <v>74</v>
      </c>
      <c r="C5241">
        <v>202302</v>
      </c>
      <c r="D5241" t="str">
        <f t="shared" si="81"/>
        <v>2023</v>
      </c>
      <c r="E5241">
        <v>15</v>
      </c>
      <c r="F5241">
        <v>113581</v>
      </c>
      <c r="G5241">
        <v>0.01</v>
      </c>
      <c r="H5241" t="s">
        <v>10</v>
      </c>
      <c r="I5241" t="s">
        <v>11</v>
      </c>
    </row>
    <row r="5242" spans="1:9" hidden="1" x14ac:dyDescent="0.25">
      <c r="A5242" t="s">
        <v>17</v>
      </c>
      <c r="B5242" t="s">
        <v>74</v>
      </c>
      <c r="C5242">
        <v>202303</v>
      </c>
      <c r="D5242" t="str">
        <f t="shared" si="81"/>
        <v>2023</v>
      </c>
      <c r="E5242">
        <v>23</v>
      </c>
      <c r="F5242">
        <v>113581</v>
      </c>
      <c r="G5242">
        <v>0.02</v>
      </c>
      <c r="H5242" t="s">
        <v>10</v>
      </c>
      <c r="I5242" t="s">
        <v>11</v>
      </c>
    </row>
    <row r="5243" spans="1:9" hidden="1" x14ac:dyDescent="0.25">
      <c r="A5243" t="s">
        <v>17</v>
      </c>
      <c r="B5243" t="s">
        <v>74</v>
      </c>
      <c r="C5243">
        <v>202304</v>
      </c>
      <c r="D5243" t="str">
        <f t="shared" si="81"/>
        <v>2023</v>
      </c>
      <c r="E5243">
        <v>15</v>
      </c>
      <c r="F5243">
        <v>113581</v>
      </c>
      <c r="G5243">
        <v>0.01</v>
      </c>
      <c r="H5243" t="s">
        <v>10</v>
      </c>
      <c r="I5243" t="s">
        <v>11</v>
      </c>
    </row>
    <row r="5244" spans="1:9" hidden="1" x14ac:dyDescent="0.25">
      <c r="A5244" t="s">
        <v>17</v>
      </c>
      <c r="B5244" t="s">
        <v>74</v>
      </c>
      <c r="C5244">
        <v>202305</v>
      </c>
      <c r="D5244" t="str">
        <f t="shared" si="81"/>
        <v>2023</v>
      </c>
      <c r="E5244">
        <v>14</v>
      </c>
      <c r="F5244">
        <v>113581</v>
      </c>
      <c r="G5244">
        <v>0.01</v>
      </c>
      <c r="H5244" t="s">
        <v>10</v>
      </c>
      <c r="I5244" t="s">
        <v>11</v>
      </c>
    </row>
    <row r="5245" spans="1:9" hidden="1" x14ac:dyDescent="0.25">
      <c r="A5245" t="s">
        <v>17</v>
      </c>
      <c r="B5245" t="s">
        <v>74</v>
      </c>
      <c r="C5245">
        <v>202306</v>
      </c>
      <c r="D5245" t="str">
        <f t="shared" si="81"/>
        <v>2023</v>
      </c>
      <c r="E5245">
        <v>77</v>
      </c>
      <c r="F5245">
        <v>113581</v>
      </c>
      <c r="G5245">
        <v>7.0000000000000007E-2</v>
      </c>
      <c r="H5245" t="s">
        <v>10</v>
      </c>
      <c r="I5245" t="s">
        <v>11</v>
      </c>
    </row>
    <row r="5246" spans="1:9" hidden="1" x14ac:dyDescent="0.25">
      <c r="A5246" t="s">
        <v>17</v>
      </c>
      <c r="B5246" t="s">
        <v>74</v>
      </c>
      <c r="C5246">
        <v>202307</v>
      </c>
      <c r="D5246" t="str">
        <f t="shared" si="81"/>
        <v>2023</v>
      </c>
      <c r="E5246">
        <v>51</v>
      </c>
      <c r="F5246">
        <v>113581</v>
      </c>
      <c r="G5246">
        <v>0.04</v>
      </c>
      <c r="H5246" t="s">
        <v>10</v>
      </c>
      <c r="I5246" t="s">
        <v>11</v>
      </c>
    </row>
    <row r="5247" spans="1:9" hidden="1" x14ac:dyDescent="0.25">
      <c r="A5247" t="s">
        <v>17</v>
      </c>
      <c r="B5247" t="s">
        <v>74</v>
      </c>
      <c r="C5247">
        <v>202308</v>
      </c>
      <c r="D5247" t="str">
        <f t="shared" si="81"/>
        <v>2023</v>
      </c>
      <c r="E5247">
        <v>145</v>
      </c>
      <c r="F5247">
        <v>113581</v>
      </c>
      <c r="G5247">
        <v>0.13</v>
      </c>
      <c r="H5247" t="s">
        <v>10</v>
      </c>
      <c r="I5247" t="s">
        <v>11</v>
      </c>
    </row>
    <row r="5248" spans="1:9" hidden="1" x14ac:dyDescent="0.25">
      <c r="A5248" t="s">
        <v>17</v>
      </c>
      <c r="B5248" t="s">
        <v>74</v>
      </c>
      <c r="C5248">
        <v>202309</v>
      </c>
      <c r="D5248" t="str">
        <f t="shared" si="81"/>
        <v>2023</v>
      </c>
      <c r="E5248">
        <v>211</v>
      </c>
      <c r="F5248">
        <v>113581</v>
      </c>
      <c r="G5248">
        <v>0.19</v>
      </c>
      <c r="H5248" t="s">
        <v>10</v>
      </c>
      <c r="I5248" t="s">
        <v>11</v>
      </c>
    </row>
    <row r="5249" spans="1:9" hidden="1" x14ac:dyDescent="0.25">
      <c r="A5249" t="s">
        <v>17</v>
      </c>
      <c r="B5249" t="s">
        <v>74</v>
      </c>
      <c r="C5249">
        <v>202310</v>
      </c>
      <c r="D5249" t="str">
        <f t="shared" si="81"/>
        <v>2023</v>
      </c>
      <c r="E5249">
        <v>106</v>
      </c>
      <c r="F5249">
        <v>113581</v>
      </c>
      <c r="G5249">
        <v>0.09</v>
      </c>
      <c r="H5249" t="s">
        <v>10</v>
      </c>
      <c r="I5249" t="s">
        <v>11</v>
      </c>
    </row>
    <row r="5250" spans="1:9" hidden="1" x14ac:dyDescent="0.25">
      <c r="A5250" t="s">
        <v>17</v>
      </c>
      <c r="B5250" t="s">
        <v>74</v>
      </c>
      <c r="C5250">
        <v>202311</v>
      </c>
      <c r="D5250" t="str">
        <f t="shared" si="81"/>
        <v>2023</v>
      </c>
      <c r="E5250">
        <v>100</v>
      </c>
      <c r="F5250">
        <v>113581</v>
      </c>
      <c r="G5250">
        <v>0.09</v>
      </c>
      <c r="H5250" t="s">
        <v>10</v>
      </c>
      <c r="I5250" t="s">
        <v>11</v>
      </c>
    </row>
    <row r="5251" spans="1:9" hidden="1" x14ac:dyDescent="0.25">
      <c r="A5251" t="s">
        <v>17</v>
      </c>
      <c r="B5251" t="s">
        <v>74</v>
      </c>
      <c r="C5251">
        <v>202312</v>
      </c>
      <c r="D5251" t="str">
        <f t="shared" ref="D5251:D5314" si="82">LEFT(C5251,4)</f>
        <v>2023</v>
      </c>
      <c r="E5251">
        <v>175</v>
      </c>
      <c r="F5251">
        <v>113581</v>
      </c>
      <c r="G5251">
        <v>0.15</v>
      </c>
      <c r="H5251" t="s">
        <v>10</v>
      </c>
      <c r="I5251" t="s">
        <v>11</v>
      </c>
    </row>
    <row r="5252" spans="1:9" hidden="1" x14ac:dyDescent="0.25">
      <c r="A5252" t="s">
        <v>17</v>
      </c>
      <c r="B5252" t="s">
        <v>74</v>
      </c>
      <c r="C5252">
        <v>202401</v>
      </c>
      <c r="D5252" t="str">
        <f t="shared" si="82"/>
        <v>2024</v>
      </c>
      <c r="E5252">
        <v>332</v>
      </c>
      <c r="F5252">
        <v>113581</v>
      </c>
      <c r="G5252">
        <v>0.28999999999999998</v>
      </c>
      <c r="H5252" t="s">
        <v>10</v>
      </c>
      <c r="I5252" t="s">
        <v>11</v>
      </c>
    </row>
    <row r="5253" spans="1:9" hidden="1" x14ac:dyDescent="0.25">
      <c r="A5253" t="s">
        <v>17</v>
      </c>
      <c r="B5253" t="s">
        <v>74</v>
      </c>
      <c r="C5253">
        <v>202402</v>
      </c>
      <c r="D5253" t="str">
        <f t="shared" si="82"/>
        <v>2024</v>
      </c>
      <c r="E5253">
        <v>430</v>
      </c>
      <c r="F5253">
        <v>113581</v>
      </c>
      <c r="G5253">
        <v>0.38</v>
      </c>
      <c r="H5253" t="s">
        <v>10</v>
      </c>
      <c r="I5253" t="s">
        <v>11</v>
      </c>
    </row>
    <row r="5254" spans="1:9" hidden="1" x14ac:dyDescent="0.25">
      <c r="A5254" t="s">
        <v>17</v>
      </c>
      <c r="B5254" t="s">
        <v>74</v>
      </c>
      <c r="C5254">
        <v>202403</v>
      </c>
      <c r="D5254" t="str">
        <f t="shared" si="82"/>
        <v>2024</v>
      </c>
      <c r="E5254">
        <v>626</v>
      </c>
      <c r="F5254">
        <v>113581</v>
      </c>
      <c r="G5254">
        <v>0.55000000000000004</v>
      </c>
      <c r="H5254" t="s">
        <v>10</v>
      </c>
      <c r="I5254" t="s">
        <v>11</v>
      </c>
    </row>
    <row r="5255" spans="1:9" hidden="1" x14ac:dyDescent="0.25">
      <c r="A5255" t="s">
        <v>17</v>
      </c>
      <c r="B5255" t="s">
        <v>74</v>
      </c>
      <c r="C5255">
        <v>202404</v>
      </c>
      <c r="D5255" t="str">
        <f t="shared" si="82"/>
        <v>2024</v>
      </c>
      <c r="E5255">
        <v>558</v>
      </c>
      <c r="F5255">
        <v>113581</v>
      </c>
      <c r="G5255">
        <v>0.49</v>
      </c>
      <c r="H5255" t="s">
        <v>10</v>
      </c>
      <c r="I5255" t="s">
        <v>11</v>
      </c>
    </row>
    <row r="5256" spans="1:9" hidden="1" x14ac:dyDescent="0.25">
      <c r="A5256" t="s">
        <v>17</v>
      </c>
      <c r="B5256" t="s">
        <v>74</v>
      </c>
      <c r="C5256">
        <v>202405</v>
      </c>
      <c r="D5256" t="str">
        <f t="shared" si="82"/>
        <v>2024</v>
      </c>
      <c r="E5256">
        <v>768</v>
      </c>
      <c r="F5256">
        <v>113581</v>
      </c>
      <c r="G5256">
        <v>0.68</v>
      </c>
      <c r="H5256" t="s">
        <v>10</v>
      </c>
      <c r="I5256" t="s">
        <v>11</v>
      </c>
    </row>
    <row r="5257" spans="1:9" hidden="1" x14ac:dyDescent="0.25">
      <c r="A5257" t="s">
        <v>17</v>
      </c>
      <c r="B5257" t="s">
        <v>74</v>
      </c>
      <c r="C5257">
        <v>202406</v>
      </c>
      <c r="D5257" t="str">
        <f t="shared" si="82"/>
        <v>2024</v>
      </c>
      <c r="E5257">
        <v>780</v>
      </c>
      <c r="F5257">
        <v>113581</v>
      </c>
      <c r="G5257">
        <v>0.69</v>
      </c>
      <c r="H5257" t="s">
        <v>10</v>
      </c>
      <c r="I5257" t="s">
        <v>11</v>
      </c>
    </row>
    <row r="5258" spans="1:9" hidden="1" x14ac:dyDescent="0.25">
      <c r="A5258" t="s">
        <v>17</v>
      </c>
      <c r="B5258" t="s">
        <v>74</v>
      </c>
      <c r="C5258">
        <v>202407</v>
      </c>
      <c r="D5258" t="str">
        <f t="shared" si="82"/>
        <v>2024</v>
      </c>
      <c r="E5258">
        <v>867</v>
      </c>
      <c r="F5258">
        <v>113581</v>
      </c>
      <c r="G5258">
        <v>0.76</v>
      </c>
      <c r="H5258" t="s">
        <v>10</v>
      </c>
      <c r="I5258" t="s">
        <v>11</v>
      </c>
    </row>
    <row r="5259" spans="1:9" hidden="1" x14ac:dyDescent="0.25">
      <c r="A5259" t="s">
        <v>17</v>
      </c>
      <c r="B5259" t="s">
        <v>74</v>
      </c>
      <c r="C5259">
        <v>202408</v>
      </c>
      <c r="D5259" t="str">
        <f t="shared" si="82"/>
        <v>2024</v>
      </c>
      <c r="E5259">
        <v>1228</v>
      </c>
      <c r="F5259">
        <v>113581</v>
      </c>
      <c r="G5259">
        <v>1.08</v>
      </c>
      <c r="H5259" t="s">
        <v>10</v>
      </c>
      <c r="I5259" t="s">
        <v>11</v>
      </c>
    </row>
    <row r="5260" spans="1:9" hidden="1" x14ac:dyDescent="0.25">
      <c r="A5260" t="s">
        <v>17</v>
      </c>
      <c r="B5260" t="s">
        <v>74</v>
      </c>
      <c r="C5260">
        <v>202409</v>
      </c>
      <c r="D5260" t="str">
        <f t="shared" si="82"/>
        <v>2024</v>
      </c>
      <c r="E5260">
        <v>1363</v>
      </c>
      <c r="F5260">
        <v>113581</v>
      </c>
      <c r="G5260">
        <v>1.2</v>
      </c>
      <c r="H5260" t="s">
        <v>10</v>
      </c>
      <c r="I5260" t="s">
        <v>11</v>
      </c>
    </row>
    <row r="5261" spans="1:9" hidden="1" x14ac:dyDescent="0.25">
      <c r="A5261" t="s">
        <v>17</v>
      </c>
      <c r="B5261" t="s">
        <v>74</v>
      </c>
      <c r="C5261">
        <v>202410</v>
      </c>
      <c r="D5261" t="str">
        <f t="shared" si="82"/>
        <v>2024</v>
      </c>
      <c r="E5261">
        <v>1623</v>
      </c>
      <c r="F5261">
        <v>113581</v>
      </c>
      <c r="G5261">
        <v>1.43</v>
      </c>
      <c r="H5261" t="s">
        <v>10</v>
      </c>
      <c r="I5261" t="s">
        <v>11</v>
      </c>
    </row>
    <row r="5262" spans="1:9" hidden="1" x14ac:dyDescent="0.25">
      <c r="A5262" t="s">
        <v>17</v>
      </c>
      <c r="B5262" t="s">
        <v>74</v>
      </c>
      <c r="C5262">
        <v>202411</v>
      </c>
      <c r="D5262" t="str">
        <f t="shared" si="82"/>
        <v>2024</v>
      </c>
      <c r="E5262">
        <v>2062</v>
      </c>
      <c r="F5262">
        <v>113581</v>
      </c>
      <c r="G5262">
        <v>1.82</v>
      </c>
      <c r="H5262" t="s">
        <v>10</v>
      </c>
      <c r="I5262" t="s">
        <v>11</v>
      </c>
    </row>
    <row r="5263" spans="1:9" hidden="1" x14ac:dyDescent="0.25">
      <c r="A5263" t="s">
        <v>17</v>
      </c>
      <c r="B5263" t="s">
        <v>74</v>
      </c>
      <c r="C5263">
        <v>202412</v>
      </c>
      <c r="D5263" t="str">
        <f t="shared" si="82"/>
        <v>2024</v>
      </c>
      <c r="E5263">
        <v>2821</v>
      </c>
      <c r="F5263">
        <v>113581</v>
      </c>
      <c r="G5263">
        <v>2.48</v>
      </c>
      <c r="H5263" t="s">
        <v>10</v>
      </c>
      <c r="I5263" t="s">
        <v>11</v>
      </c>
    </row>
    <row r="5264" spans="1:9" x14ac:dyDescent="0.25">
      <c r="A5264" t="s">
        <v>17</v>
      </c>
      <c r="B5264" t="s">
        <v>74</v>
      </c>
      <c r="C5264">
        <v>202501</v>
      </c>
      <c r="D5264" t="str">
        <f t="shared" si="82"/>
        <v>2025</v>
      </c>
      <c r="E5264">
        <v>6920</v>
      </c>
      <c r="F5264">
        <v>113581</v>
      </c>
      <c r="G5264">
        <v>6.09</v>
      </c>
      <c r="H5264" t="s">
        <v>10</v>
      </c>
      <c r="I5264" t="s">
        <v>11</v>
      </c>
    </row>
    <row r="5265" spans="1:9" x14ac:dyDescent="0.25">
      <c r="A5265" t="s">
        <v>17</v>
      </c>
      <c r="B5265" t="s">
        <v>74</v>
      </c>
      <c r="C5265">
        <v>202502</v>
      </c>
      <c r="D5265" t="str">
        <f t="shared" si="82"/>
        <v>2025</v>
      </c>
      <c r="E5265">
        <v>51933</v>
      </c>
      <c r="F5265">
        <v>113581</v>
      </c>
      <c r="G5265">
        <v>45.72</v>
      </c>
      <c r="H5265" t="s">
        <v>10</v>
      </c>
      <c r="I5265" t="s">
        <v>11</v>
      </c>
    </row>
    <row r="5266" spans="1:9" x14ac:dyDescent="0.25">
      <c r="A5266" t="s">
        <v>17</v>
      </c>
      <c r="B5266" t="s">
        <v>74</v>
      </c>
      <c r="C5266">
        <v>202503</v>
      </c>
      <c r="D5266" t="str">
        <f t="shared" si="82"/>
        <v>2025</v>
      </c>
      <c r="E5266">
        <v>40273</v>
      </c>
      <c r="F5266">
        <v>113581</v>
      </c>
      <c r="G5266">
        <v>35.46</v>
      </c>
      <c r="H5266" t="s">
        <v>10</v>
      </c>
      <c r="I5266" t="s">
        <v>11</v>
      </c>
    </row>
    <row r="5267" spans="1:9" hidden="1" x14ac:dyDescent="0.25">
      <c r="A5267" t="s">
        <v>17</v>
      </c>
      <c r="B5267" t="s">
        <v>181</v>
      </c>
      <c r="C5267">
        <v>201510</v>
      </c>
      <c r="D5267" t="str">
        <f t="shared" si="82"/>
        <v>2015</v>
      </c>
      <c r="E5267">
        <v>3</v>
      </c>
      <c r="F5267">
        <v>96729</v>
      </c>
      <c r="G5267">
        <v>0</v>
      </c>
      <c r="H5267" t="s">
        <v>10</v>
      </c>
      <c r="I5267" t="s">
        <v>11</v>
      </c>
    </row>
    <row r="5268" spans="1:9" hidden="1" x14ac:dyDescent="0.25">
      <c r="A5268" t="s">
        <v>17</v>
      </c>
      <c r="B5268" t="s">
        <v>181</v>
      </c>
      <c r="C5268">
        <v>201901</v>
      </c>
      <c r="D5268" t="str">
        <f t="shared" si="82"/>
        <v>2019</v>
      </c>
      <c r="E5268">
        <v>9</v>
      </c>
      <c r="F5268">
        <v>96729</v>
      </c>
      <c r="G5268">
        <v>0.01</v>
      </c>
      <c r="H5268" t="s">
        <v>10</v>
      </c>
      <c r="I5268" t="s">
        <v>11</v>
      </c>
    </row>
    <row r="5269" spans="1:9" hidden="1" x14ac:dyDescent="0.25">
      <c r="A5269" t="s">
        <v>17</v>
      </c>
      <c r="B5269" t="s">
        <v>181</v>
      </c>
      <c r="C5269">
        <v>201904</v>
      </c>
      <c r="D5269" t="str">
        <f t="shared" si="82"/>
        <v>2019</v>
      </c>
      <c r="E5269">
        <v>1</v>
      </c>
      <c r="F5269">
        <v>96729</v>
      </c>
      <c r="G5269">
        <v>0</v>
      </c>
      <c r="H5269" t="s">
        <v>10</v>
      </c>
      <c r="I5269" t="s">
        <v>11</v>
      </c>
    </row>
    <row r="5270" spans="1:9" hidden="1" x14ac:dyDescent="0.25">
      <c r="A5270" t="s">
        <v>17</v>
      </c>
      <c r="B5270" t="s">
        <v>181</v>
      </c>
      <c r="C5270">
        <v>201905</v>
      </c>
      <c r="D5270" t="str">
        <f t="shared" si="82"/>
        <v>2019</v>
      </c>
      <c r="E5270">
        <v>9</v>
      </c>
      <c r="F5270">
        <v>96729</v>
      </c>
      <c r="G5270">
        <v>0.01</v>
      </c>
      <c r="H5270" t="s">
        <v>10</v>
      </c>
      <c r="I5270" t="s">
        <v>11</v>
      </c>
    </row>
    <row r="5271" spans="1:9" hidden="1" x14ac:dyDescent="0.25">
      <c r="A5271" t="s">
        <v>17</v>
      </c>
      <c r="B5271" t="s">
        <v>181</v>
      </c>
      <c r="C5271">
        <v>201906</v>
      </c>
      <c r="D5271" t="str">
        <f t="shared" si="82"/>
        <v>2019</v>
      </c>
      <c r="E5271">
        <v>1</v>
      </c>
      <c r="F5271">
        <v>96729</v>
      </c>
      <c r="G5271">
        <v>0</v>
      </c>
      <c r="H5271" t="s">
        <v>10</v>
      </c>
      <c r="I5271" t="s">
        <v>11</v>
      </c>
    </row>
    <row r="5272" spans="1:9" hidden="1" x14ac:dyDescent="0.25">
      <c r="A5272" t="s">
        <v>17</v>
      </c>
      <c r="B5272" t="s">
        <v>181</v>
      </c>
      <c r="C5272">
        <v>202011</v>
      </c>
      <c r="D5272" t="str">
        <f t="shared" si="82"/>
        <v>2020</v>
      </c>
      <c r="E5272">
        <v>9</v>
      </c>
      <c r="F5272">
        <v>96729</v>
      </c>
      <c r="G5272">
        <v>0.01</v>
      </c>
      <c r="H5272" t="s">
        <v>10</v>
      </c>
      <c r="I5272" t="s">
        <v>11</v>
      </c>
    </row>
    <row r="5273" spans="1:9" hidden="1" x14ac:dyDescent="0.25">
      <c r="A5273" t="s">
        <v>17</v>
      </c>
      <c r="B5273" t="s">
        <v>181</v>
      </c>
      <c r="C5273">
        <v>202206</v>
      </c>
      <c r="D5273" t="str">
        <f t="shared" si="82"/>
        <v>2022</v>
      </c>
      <c r="E5273">
        <v>3</v>
      </c>
      <c r="F5273">
        <v>96729</v>
      </c>
      <c r="G5273">
        <v>0</v>
      </c>
      <c r="H5273" t="s">
        <v>10</v>
      </c>
      <c r="I5273" t="s">
        <v>11</v>
      </c>
    </row>
    <row r="5274" spans="1:9" hidden="1" x14ac:dyDescent="0.25">
      <c r="A5274" t="s">
        <v>17</v>
      </c>
      <c r="B5274" t="s">
        <v>181</v>
      </c>
      <c r="C5274">
        <v>202209</v>
      </c>
      <c r="D5274" t="str">
        <f t="shared" si="82"/>
        <v>2022</v>
      </c>
      <c r="E5274">
        <v>7</v>
      </c>
      <c r="F5274">
        <v>96729</v>
      </c>
      <c r="G5274">
        <v>0.01</v>
      </c>
      <c r="H5274" t="s">
        <v>10</v>
      </c>
      <c r="I5274" t="s">
        <v>11</v>
      </c>
    </row>
    <row r="5275" spans="1:9" hidden="1" x14ac:dyDescent="0.25">
      <c r="A5275" t="s">
        <v>17</v>
      </c>
      <c r="B5275" t="s">
        <v>181</v>
      </c>
      <c r="C5275">
        <v>202212</v>
      </c>
      <c r="D5275" t="str">
        <f t="shared" si="82"/>
        <v>2022</v>
      </c>
      <c r="E5275">
        <v>1</v>
      </c>
      <c r="F5275">
        <v>96729</v>
      </c>
      <c r="G5275">
        <v>0</v>
      </c>
      <c r="H5275" t="s">
        <v>10</v>
      </c>
      <c r="I5275" t="s">
        <v>11</v>
      </c>
    </row>
    <row r="5276" spans="1:9" hidden="1" x14ac:dyDescent="0.25">
      <c r="A5276" t="s">
        <v>17</v>
      </c>
      <c r="B5276" t="s">
        <v>181</v>
      </c>
      <c r="C5276">
        <v>202301</v>
      </c>
      <c r="D5276" t="str">
        <f t="shared" si="82"/>
        <v>2023</v>
      </c>
      <c r="E5276">
        <v>2</v>
      </c>
      <c r="F5276">
        <v>96729</v>
      </c>
      <c r="G5276">
        <v>0</v>
      </c>
      <c r="H5276" t="s">
        <v>10</v>
      </c>
      <c r="I5276" t="s">
        <v>11</v>
      </c>
    </row>
    <row r="5277" spans="1:9" hidden="1" x14ac:dyDescent="0.25">
      <c r="A5277" t="s">
        <v>17</v>
      </c>
      <c r="B5277" t="s">
        <v>181</v>
      </c>
      <c r="C5277">
        <v>202302</v>
      </c>
      <c r="D5277" t="str">
        <f t="shared" si="82"/>
        <v>2023</v>
      </c>
      <c r="E5277">
        <v>20</v>
      </c>
      <c r="F5277">
        <v>96729</v>
      </c>
      <c r="G5277">
        <v>0.02</v>
      </c>
      <c r="H5277" t="s">
        <v>10</v>
      </c>
      <c r="I5277" t="s">
        <v>11</v>
      </c>
    </row>
    <row r="5278" spans="1:9" hidden="1" x14ac:dyDescent="0.25">
      <c r="A5278" t="s">
        <v>17</v>
      </c>
      <c r="B5278" t="s">
        <v>181</v>
      </c>
      <c r="C5278">
        <v>202303</v>
      </c>
      <c r="D5278" t="str">
        <f t="shared" si="82"/>
        <v>2023</v>
      </c>
      <c r="E5278">
        <v>21</v>
      </c>
      <c r="F5278">
        <v>96729</v>
      </c>
      <c r="G5278">
        <v>0.02</v>
      </c>
      <c r="H5278" t="s">
        <v>10</v>
      </c>
      <c r="I5278" t="s">
        <v>11</v>
      </c>
    </row>
    <row r="5279" spans="1:9" hidden="1" x14ac:dyDescent="0.25">
      <c r="A5279" t="s">
        <v>17</v>
      </c>
      <c r="B5279" t="s">
        <v>181</v>
      </c>
      <c r="C5279">
        <v>202304</v>
      </c>
      <c r="D5279" t="str">
        <f t="shared" si="82"/>
        <v>2023</v>
      </c>
      <c r="E5279">
        <v>20</v>
      </c>
      <c r="F5279">
        <v>96729</v>
      </c>
      <c r="G5279">
        <v>0.02</v>
      </c>
      <c r="H5279" t="s">
        <v>10</v>
      </c>
      <c r="I5279" t="s">
        <v>11</v>
      </c>
    </row>
    <row r="5280" spans="1:9" hidden="1" x14ac:dyDescent="0.25">
      <c r="A5280" t="s">
        <v>17</v>
      </c>
      <c r="B5280" t="s">
        <v>181</v>
      </c>
      <c r="C5280">
        <v>202305</v>
      </c>
      <c r="D5280" t="str">
        <f t="shared" si="82"/>
        <v>2023</v>
      </c>
      <c r="E5280">
        <v>27</v>
      </c>
      <c r="F5280">
        <v>96729</v>
      </c>
      <c r="G5280">
        <v>0.03</v>
      </c>
      <c r="H5280" t="s">
        <v>10</v>
      </c>
      <c r="I5280" t="s">
        <v>11</v>
      </c>
    </row>
    <row r="5281" spans="1:9" hidden="1" x14ac:dyDescent="0.25">
      <c r="A5281" t="s">
        <v>17</v>
      </c>
      <c r="B5281" t="s">
        <v>181</v>
      </c>
      <c r="C5281">
        <v>202306</v>
      </c>
      <c r="D5281" t="str">
        <f t="shared" si="82"/>
        <v>2023</v>
      </c>
      <c r="E5281">
        <v>44</v>
      </c>
      <c r="F5281">
        <v>96729</v>
      </c>
      <c r="G5281">
        <v>0.05</v>
      </c>
      <c r="H5281" t="s">
        <v>10</v>
      </c>
      <c r="I5281" t="s">
        <v>11</v>
      </c>
    </row>
    <row r="5282" spans="1:9" hidden="1" x14ac:dyDescent="0.25">
      <c r="A5282" t="s">
        <v>17</v>
      </c>
      <c r="B5282" t="s">
        <v>181</v>
      </c>
      <c r="C5282">
        <v>202307</v>
      </c>
      <c r="D5282" t="str">
        <f t="shared" si="82"/>
        <v>2023</v>
      </c>
      <c r="E5282">
        <v>60</v>
      </c>
      <c r="F5282">
        <v>96729</v>
      </c>
      <c r="G5282">
        <v>0.06</v>
      </c>
      <c r="H5282" t="s">
        <v>10</v>
      </c>
      <c r="I5282" t="s">
        <v>11</v>
      </c>
    </row>
    <row r="5283" spans="1:9" hidden="1" x14ac:dyDescent="0.25">
      <c r="A5283" t="s">
        <v>17</v>
      </c>
      <c r="B5283" t="s">
        <v>181</v>
      </c>
      <c r="C5283">
        <v>202308</v>
      </c>
      <c r="D5283" t="str">
        <f t="shared" si="82"/>
        <v>2023</v>
      </c>
      <c r="E5283">
        <v>93</v>
      </c>
      <c r="F5283">
        <v>96729</v>
      </c>
      <c r="G5283">
        <v>0.1</v>
      </c>
      <c r="H5283" t="s">
        <v>10</v>
      </c>
      <c r="I5283" t="s">
        <v>11</v>
      </c>
    </row>
    <row r="5284" spans="1:9" hidden="1" x14ac:dyDescent="0.25">
      <c r="A5284" t="s">
        <v>17</v>
      </c>
      <c r="B5284" t="s">
        <v>181</v>
      </c>
      <c r="C5284">
        <v>202309</v>
      </c>
      <c r="D5284" t="str">
        <f t="shared" si="82"/>
        <v>2023</v>
      </c>
      <c r="E5284">
        <v>177</v>
      </c>
      <c r="F5284">
        <v>96729</v>
      </c>
      <c r="G5284">
        <v>0.18</v>
      </c>
      <c r="H5284" t="s">
        <v>10</v>
      </c>
      <c r="I5284" t="s">
        <v>11</v>
      </c>
    </row>
    <row r="5285" spans="1:9" hidden="1" x14ac:dyDescent="0.25">
      <c r="A5285" t="s">
        <v>17</v>
      </c>
      <c r="B5285" t="s">
        <v>181</v>
      </c>
      <c r="C5285">
        <v>202310</v>
      </c>
      <c r="D5285" t="str">
        <f t="shared" si="82"/>
        <v>2023</v>
      </c>
      <c r="E5285">
        <v>178</v>
      </c>
      <c r="F5285">
        <v>96729</v>
      </c>
      <c r="G5285">
        <v>0.18</v>
      </c>
      <c r="H5285" t="s">
        <v>10</v>
      </c>
      <c r="I5285" t="s">
        <v>11</v>
      </c>
    </row>
    <row r="5286" spans="1:9" hidden="1" x14ac:dyDescent="0.25">
      <c r="A5286" t="s">
        <v>17</v>
      </c>
      <c r="B5286" t="s">
        <v>181</v>
      </c>
      <c r="C5286">
        <v>202311</v>
      </c>
      <c r="D5286" t="str">
        <f t="shared" si="82"/>
        <v>2023</v>
      </c>
      <c r="E5286">
        <v>118</v>
      </c>
      <c r="F5286">
        <v>96729</v>
      </c>
      <c r="G5286">
        <v>0.12</v>
      </c>
      <c r="H5286" t="s">
        <v>10</v>
      </c>
      <c r="I5286" t="s">
        <v>11</v>
      </c>
    </row>
    <row r="5287" spans="1:9" hidden="1" x14ac:dyDescent="0.25">
      <c r="A5287" t="s">
        <v>17</v>
      </c>
      <c r="B5287" t="s">
        <v>181</v>
      </c>
      <c r="C5287">
        <v>202312</v>
      </c>
      <c r="D5287" t="str">
        <f t="shared" si="82"/>
        <v>2023</v>
      </c>
      <c r="E5287">
        <v>92</v>
      </c>
      <c r="F5287">
        <v>96729</v>
      </c>
      <c r="G5287">
        <v>0.1</v>
      </c>
      <c r="H5287" t="s">
        <v>10</v>
      </c>
      <c r="I5287" t="s">
        <v>11</v>
      </c>
    </row>
    <row r="5288" spans="1:9" hidden="1" x14ac:dyDescent="0.25">
      <c r="A5288" t="s">
        <v>17</v>
      </c>
      <c r="B5288" t="s">
        <v>181</v>
      </c>
      <c r="C5288">
        <v>202401</v>
      </c>
      <c r="D5288" t="str">
        <f t="shared" si="82"/>
        <v>2024</v>
      </c>
      <c r="E5288">
        <v>142</v>
      </c>
      <c r="F5288">
        <v>96729</v>
      </c>
      <c r="G5288">
        <v>0.15</v>
      </c>
      <c r="H5288" t="s">
        <v>10</v>
      </c>
      <c r="I5288" t="s">
        <v>11</v>
      </c>
    </row>
    <row r="5289" spans="1:9" hidden="1" x14ac:dyDescent="0.25">
      <c r="A5289" t="s">
        <v>17</v>
      </c>
      <c r="B5289" t="s">
        <v>181</v>
      </c>
      <c r="C5289">
        <v>202402</v>
      </c>
      <c r="D5289" t="str">
        <f t="shared" si="82"/>
        <v>2024</v>
      </c>
      <c r="E5289">
        <v>267</v>
      </c>
      <c r="F5289">
        <v>96729</v>
      </c>
      <c r="G5289">
        <v>0.28000000000000003</v>
      </c>
      <c r="H5289" t="s">
        <v>10</v>
      </c>
      <c r="I5289" t="s">
        <v>11</v>
      </c>
    </row>
    <row r="5290" spans="1:9" hidden="1" x14ac:dyDescent="0.25">
      <c r="A5290" t="s">
        <v>17</v>
      </c>
      <c r="B5290" t="s">
        <v>181</v>
      </c>
      <c r="C5290">
        <v>202403</v>
      </c>
      <c r="D5290" t="str">
        <f t="shared" si="82"/>
        <v>2024</v>
      </c>
      <c r="E5290">
        <v>324</v>
      </c>
      <c r="F5290">
        <v>96729</v>
      </c>
      <c r="G5290">
        <v>0.33</v>
      </c>
      <c r="H5290" t="s">
        <v>10</v>
      </c>
      <c r="I5290" t="s">
        <v>11</v>
      </c>
    </row>
    <row r="5291" spans="1:9" hidden="1" x14ac:dyDescent="0.25">
      <c r="A5291" t="s">
        <v>17</v>
      </c>
      <c r="B5291" t="s">
        <v>181</v>
      </c>
      <c r="C5291">
        <v>202404</v>
      </c>
      <c r="D5291" t="str">
        <f t="shared" si="82"/>
        <v>2024</v>
      </c>
      <c r="E5291">
        <v>218</v>
      </c>
      <c r="F5291">
        <v>96729</v>
      </c>
      <c r="G5291">
        <v>0.23</v>
      </c>
      <c r="H5291" t="s">
        <v>10</v>
      </c>
      <c r="I5291" t="s">
        <v>11</v>
      </c>
    </row>
    <row r="5292" spans="1:9" hidden="1" x14ac:dyDescent="0.25">
      <c r="A5292" t="s">
        <v>17</v>
      </c>
      <c r="B5292" t="s">
        <v>181</v>
      </c>
      <c r="C5292">
        <v>202405</v>
      </c>
      <c r="D5292" t="str">
        <f t="shared" si="82"/>
        <v>2024</v>
      </c>
      <c r="E5292">
        <v>486</v>
      </c>
      <c r="F5292">
        <v>96729</v>
      </c>
      <c r="G5292">
        <v>0.5</v>
      </c>
      <c r="H5292" t="s">
        <v>10</v>
      </c>
      <c r="I5292" t="s">
        <v>11</v>
      </c>
    </row>
    <row r="5293" spans="1:9" hidden="1" x14ac:dyDescent="0.25">
      <c r="A5293" t="s">
        <v>17</v>
      </c>
      <c r="B5293" t="s">
        <v>181</v>
      </c>
      <c r="C5293">
        <v>202406</v>
      </c>
      <c r="D5293" t="str">
        <f t="shared" si="82"/>
        <v>2024</v>
      </c>
      <c r="E5293">
        <v>1037</v>
      </c>
      <c r="F5293">
        <v>96729</v>
      </c>
      <c r="G5293">
        <v>1.07</v>
      </c>
      <c r="H5293" t="s">
        <v>10</v>
      </c>
      <c r="I5293" t="s">
        <v>11</v>
      </c>
    </row>
    <row r="5294" spans="1:9" hidden="1" x14ac:dyDescent="0.25">
      <c r="A5294" t="s">
        <v>17</v>
      </c>
      <c r="B5294" t="s">
        <v>181</v>
      </c>
      <c r="C5294">
        <v>202407</v>
      </c>
      <c r="D5294" t="str">
        <f t="shared" si="82"/>
        <v>2024</v>
      </c>
      <c r="E5294">
        <v>973</v>
      </c>
      <c r="F5294">
        <v>96729</v>
      </c>
      <c r="G5294">
        <v>1.01</v>
      </c>
      <c r="H5294" t="s">
        <v>10</v>
      </c>
      <c r="I5294" t="s">
        <v>11</v>
      </c>
    </row>
    <row r="5295" spans="1:9" hidden="1" x14ac:dyDescent="0.25">
      <c r="A5295" t="s">
        <v>17</v>
      </c>
      <c r="B5295" t="s">
        <v>181</v>
      </c>
      <c r="C5295">
        <v>202408</v>
      </c>
      <c r="D5295" t="str">
        <f t="shared" si="82"/>
        <v>2024</v>
      </c>
      <c r="E5295">
        <v>682</v>
      </c>
      <c r="F5295">
        <v>96729</v>
      </c>
      <c r="G5295">
        <v>0.71</v>
      </c>
      <c r="H5295" t="s">
        <v>10</v>
      </c>
      <c r="I5295" t="s">
        <v>11</v>
      </c>
    </row>
    <row r="5296" spans="1:9" hidden="1" x14ac:dyDescent="0.25">
      <c r="A5296" t="s">
        <v>17</v>
      </c>
      <c r="B5296" t="s">
        <v>181</v>
      </c>
      <c r="C5296">
        <v>202409</v>
      </c>
      <c r="D5296" t="str">
        <f t="shared" si="82"/>
        <v>2024</v>
      </c>
      <c r="E5296">
        <v>650</v>
      </c>
      <c r="F5296">
        <v>96729</v>
      </c>
      <c r="G5296">
        <v>0.67</v>
      </c>
      <c r="H5296" t="s">
        <v>10</v>
      </c>
      <c r="I5296" t="s">
        <v>11</v>
      </c>
    </row>
    <row r="5297" spans="1:9" hidden="1" x14ac:dyDescent="0.25">
      <c r="A5297" t="s">
        <v>17</v>
      </c>
      <c r="B5297" t="s">
        <v>181</v>
      </c>
      <c r="C5297">
        <v>202410</v>
      </c>
      <c r="D5297" t="str">
        <f t="shared" si="82"/>
        <v>2024</v>
      </c>
      <c r="E5297">
        <v>503</v>
      </c>
      <c r="F5297">
        <v>96729</v>
      </c>
      <c r="G5297">
        <v>0.52</v>
      </c>
      <c r="H5297" t="s">
        <v>10</v>
      </c>
      <c r="I5297" t="s">
        <v>11</v>
      </c>
    </row>
    <row r="5298" spans="1:9" hidden="1" x14ac:dyDescent="0.25">
      <c r="A5298" t="s">
        <v>17</v>
      </c>
      <c r="B5298" t="s">
        <v>181</v>
      </c>
      <c r="C5298">
        <v>202411</v>
      </c>
      <c r="D5298" t="str">
        <f t="shared" si="82"/>
        <v>2024</v>
      </c>
      <c r="E5298">
        <v>1106</v>
      </c>
      <c r="F5298">
        <v>96729</v>
      </c>
      <c r="G5298">
        <v>1.1399999999999999</v>
      </c>
      <c r="H5298" t="s">
        <v>10</v>
      </c>
      <c r="I5298" t="s">
        <v>11</v>
      </c>
    </row>
    <row r="5299" spans="1:9" hidden="1" x14ac:dyDescent="0.25">
      <c r="A5299" t="s">
        <v>17</v>
      </c>
      <c r="B5299" t="s">
        <v>181</v>
      </c>
      <c r="C5299">
        <v>202412</v>
      </c>
      <c r="D5299" t="str">
        <f t="shared" si="82"/>
        <v>2024</v>
      </c>
      <c r="E5299">
        <v>1101</v>
      </c>
      <c r="F5299">
        <v>96729</v>
      </c>
      <c r="G5299">
        <v>1.1399999999999999</v>
      </c>
      <c r="H5299" t="s">
        <v>10</v>
      </c>
      <c r="I5299" t="s">
        <v>11</v>
      </c>
    </row>
    <row r="5300" spans="1:9" x14ac:dyDescent="0.25">
      <c r="A5300" t="s">
        <v>17</v>
      </c>
      <c r="B5300" t="s">
        <v>181</v>
      </c>
      <c r="C5300">
        <v>202501</v>
      </c>
      <c r="D5300" t="str">
        <f t="shared" si="82"/>
        <v>2025</v>
      </c>
      <c r="E5300">
        <v>4054</v>
      </c>
      <c r="F5300">
        <v>96729</v>
      </c>
      <c r="G5300">
        <v>4.1900000000000004</v>
      </c>
      <c r="H5300" t="s">
        <v>10</v>
      </c>
      <c r="I5300" t="s">
        <v>11</v>
      </c>
    </row>
    <row r="5301" spans="1:9" x14ac:dyDescent="0.25">
      <c r="A5301" t="s">
        <v>17</v>
      </c>
      <c r="B5301" t="s">
        <v>181</v>
      </c>
      <c r="C5301">
        <v>202502</v>
      </c>
      <c r="D5301" t="str">
        <f t="shared" si="82"/>
        <v>2025</v>
      </c>
      <c r="E5301">
        <v>6379</v>
      </c>
      <c r="F5301">
        <v>96729</v>
      </c>
      <c r="G5301">
        <v>6.59</v>
      </c>
      <c r="H5301" t="s">
        <v>10</v>
      </c>
      <c r="I5301" t="s">
        <v>11</v>
      </c>
    </row>
    <row r="5302" spans="1:9" x14ac:dyDescent="0.25">
      <c r="A5302" t="s">
        <v>17</v>
      </c>
      <c r="B5302" t="s">
        <v>181</v>
      </c>
      <c r="C5302">
        <v>202503</v>
      </c>
      <c r="D5302" t="str">
        <f t="shared" si="82"/>
        <v>2025</v>
      </c>
      <c r="E5302">
        <v>45148</v>
      </c>
      <c r="F5302">
        <v>96729</v>
      </c>
      <c r="G5302">
        <v>46.67</v>
      </c>
      <c r="H5302" t="s">
        <v>10</v>
      </c>
      <c r="I5302" t="s">
        <v>11</v>
      </c>
    </row>
    <row r="5303" spans="1:9" x14ac:dyDescent="0.25">
      <c r="A5303" t="s">
        <v>17</v>
      </c>
      <c r="B5303" t="s">
        <v>181</v>
      </c>
      <c r="C5303">
        <v>202504</v>
      </c>
      <c r="D5303" t="str">
        <f t="shared" si="82"/>
        <v>2025</v>
      </c>
      <c r="E5303">
        <v>32764</v>
      </c>
      <c r="F5303">
        <v>96729</v>
      </c>
      <c r="G5303">
        <v>33.869999999999997</v>
      </c>
      <c r="H5303" t="s">
        <v>10</v>
      </c>
      <c r="I5303" t="s">
        <v>11</v>
      </c>
    </row>
    <row r="5304" spans="1:9" hidden="1" x14ac:dyDescent="0.25">
      <c r="A5304" t="s">
        <v>17</v>
      </c>
      <c r="B5304" t="s">
        <v>111</v>
      </c>
      <c r="C5304">
        <v>202008</v>
      </c>
      <c r="D5304" t="str">
        <f t="shared" si="82"/>
        <v>2020</v>
      </c>
      <c r="E5304">
        <v>2</v>
      </c>
      <c r="F5304">
        <v>118571</v>
      </c>
      <c r="G5304">
        <v>0</v>
      </c>
      <c r="H5304" t="s">
        <v>10</v>
      </c>
      <c r="I5304" t="s">
        <v>11</v>
      </c>
    </row>
    <row r="5305" spans="1:9" hidden="1" x14ac:dyDescent="0.25">
      <c r="A5305" t="s">
        <v>17</v>
      </c>
      <c r="B5305" t="s">
        <v>111</v>
      </c>
      <c r="C5305">
        <v>202302</v>
      </c>
      <c r="D5305" t="str">
        <f t="shared" si="82"/>
        <v>2023</v>
      </c>
      <c r="E5305">
        <v>14</v>
      </c>
      <c r="F5305">
        <v>118571</v>
      </c>
      <c r="G5305">
        <v>0.01</v>
      </c>
      <c r="H5305" t="s">
        <v>10</v>
      </c>
      <c r="I5305" t="s">
        <v>11</v>
      </c>
    </row>
    <row r="5306" spans="1:9" hidden="1" x14ac:dyDescent="0.25">
      <c r="A5306" t="s">
        <v>17</v>
      </c>
      <c r="B5306" t="s">
        <v>111</v>
      </c>
      <c r="C5306">
        <v>202303</v>
      </c>
      <c r="D5306" t="str">
        <f t="shared" si="82"/>
        <v>2023</v>
      </c>
      <c r="E5306">
        <v>45</v>
      </c>
      <c r="F5306">
        <v>118571</v>
      </c>
      <c r="G5306">
        <v>0.04</v>
      </c>
      <c r="H5306" t="s">
        <v>10</v>
      </c>
      <c r="I5306" t="s">
        <v>11</v>
      </c>
    </row>
    <row r="5307" spans="1:9" hidden="1" x14ac:dyDescent="0.25">
      <c r="A5307" t="s">
        <v>17</v>
      </c>
      <c r="B5307" t="s">
        <v>111</v>
      </c>
      <c r="C5307">
        <v>202304</v>
      </c>
      <c r="D5307" t="str">
        <f t="shared" si="82"/>
        <v>2023</v>
      </c>
      <c r="E5307">
        <v>14</v>
      </c>
      <c r="F5307">
        <v>118571</v>
      </c>
      <c r="G5307">
        <v>0.01</v>
      </c>
      <c r="H5307" t="s">
        <v>10</v>
      </c>
      <c r="I5307" t="s">
        <v>11</v>
      </c>
    </row>
    <row r="5308" spans="1:9" hidden="1" x14ac:dyDescent="0.25">
      <c r="A5308" t="s">
        <v>17</v>
      </c>
      <c r="B5308" t="s">
        <v>111</v>
      </c>
      <c r="C5308">
        <v>202305</v>
      </c>
      <c r="D5308" t="str">
        <f t="shared" si="82"/>
        <v>2023</v>
      </c>
      <c r="E5308">
        <v>3</v>
      </c>
      <c r="F5308">
        <v>118571</v>
      </c>
      <c r="G5308">
        <v>0</v>
      </c>
      <c r="H5308" t="s">
        <v>10</v>
      </c>
      <c r="I5308" t="s">
        <v>11</v>
      </c>
    </row>
    <row r="5309" spans="1:9" hidden="1" x14ac:dyDescent="0.25">
      <c r="A5309" t="s">
        <v>17</v>
      </c>
      <c r="B5309" t="s">
        <v>111</v>
      </c>
      <c r="C5309">
        <v>202306</v>
      </c>
      <c r="D5309" t="str">
        <f t="shared" si="82"/>
        <v>2023</v>
      </c>
      <c r="E5309">
        <v>88</v>
      </c>
      <c r="F5309">
        <v>118571</v>
      </c>
      <c r="G5309">
        <v>7.0000000000000007E-2</v>
      </c>
      <c r="H5309" t="s">
        <v>10</v>
      </c>
      <c r="I5309" t="s">
        <v>11</v>
      </c>
    </row>
    <row r="5310" spans="1:9" hidden="1" x14ac:dyDescent="0.25">
      <c r="A5310" t="s">
        <v>17</v>
      </c>
      <c r="B5310" t="s">
        <v>111</v>
      </c>
      <c r="C5310">
        <v>202307</v>
      </c>
      <c r="D5310" t="str">
        <f t="shared" si="82"/>
        <v>2023</v>
      </c>
      <c r="E5310">
        <v>23</v>
      </c>
      <c r="F5310">
        <v>118571</v>
      </c>
      <c r="G5310">
        <v>0.02</v>
      </c>
      <c r="H5310" t="s">
        <v>10</v>
      </c>
      <c r="I5310" t="s">
        <v>11</v>
      </c>
    </row>
    <row r="5311" spans="1:9" hidden="1" x14ac:dyDescent="0.25">
      <c r="A5311" t="s">
        <v>17</v>
      </c>
      <c r="B5311" t="s">
        <v>111</v>
      </c>
      <c r="C5311">
        <v>202308</v>
      </c>
      <c r="D5311" t="str">
        <f t="shared" si="82"/>
        <v>2023</v>
      </c>
      <c r="E5311">
        <v>182</v>
      </c>
      <c r="F5311">
        <v>118571</v>
      </c>
      <c r="G5311">
        <v>0.15</v>
      </c>
      <c r="H5311" t="s">
        <v>10</v>
      </c>
      <c r="I5311" t="s">
        <v>11</v>
      </c>
    </row>
    <row r="5312" spans="1:9" hidden="1" x14ac:dyDescent="0.25">
      <c r="A5312" t="s">
        <v>17</v>
      </c>
      <c r="B5312" t="s">
        <v>111</v>
      </c>
      <c r="C5312">
        <v>202309</v>
      </c>
      <c r="D5312" t="str">
        <f t="shared" si="82"/>
        <v>2023</v>
      </c>
      <c r="E5312">
        <v>43</v>
      </c>
      <c r="F5312">
        <v>118571</v>
      </c>
      <c r="G5312">
        <v>0.04</v>
      </c>
      <c r="H5312" t="s">
        <v>10</v>
      </c>
      <c r="I5312" t="s">
        <v>11</v>
      </c>
    </row>
    <row r="5313" spans="1:9" hidden="1" x14ac:dyDescent="0.25">
      <c r="A5313" t="s">
        <v>17</v>
      </c>
      <c r="B5313" t="s">
        <v>111</v>
      </c>
      <c r="C5313">
        <v>202310</v>
      </c>
      <c r="D5313" t="str">
        <f t="shared" si="82"/>
        <v>2023</v>
      </c>
      <c r="E5313">
        <v>52</v>
      </c>
      <c r="F5313">
        <v>118571</v>
      </c>
      <c r="G5313">
        <v>0.04</v>
      </c>
      <c r="H5313" t="s">
        <v>10</v>
      </c>
      <c r="I5313" t="s">
        <v>11</v>
      </c>
    </row>
    <row r="5314" spans="1:9" hidden="1" x14ac:dyDescent="0.25">
      <c r="A5314" t="s">
        <v>17</v>
      </c>
      <c r="B5314" t="s">
        <v>111</v>
      </c>
      <c r="C5314">
        <v>202311</v>
      </c>
      <c r="D5314" t="str">
        <f t="shared" si="82"/>
        <v>2023</v>
      </c>
      <c r="E5314">
        <v>110</v>
      </c>
      <c r="F5314">
        <v>118571</v>
      </c>
      <c r="G5314">
        <v>0.09</v>
      </c>
      <c r="H5314" t="s">
        <v>10</v>
      </c>
      <c r="I5314" t="s">
        <v>11</v>
      </c>
    </row>
    <row r="5315" spans="1:9" hidden="1" x14ac:dyDescent="0.25">
      <c r="A5315" t="s">
        <v>17</v>
      </c>
      <c r="B5315" t="s">
        <v>111</v>
      </c>
      <c r="C5315">
        <v>202312</v>
      </c>
      <c r="D5315" t="str">
        <f t="shared" ref="D5315:D5378" si="83">LEFT(C5315,4)</f>
        <v>2023</v>
      </c>
      <c r="E5315">
        <v>39</v>
      </c>
      <c r="F5315">
        <v>118571</v>
      </c>
      <c r="G5315">
        <v>0.03</v>
      </c>
      <c r="H5315" t="s">
        <v>10</v>
      </c>
      <c r="I5315" t="s">
        <v>11</v>
      </c>
    </row>
    <row r="5316" spans="1:9" hidden="1" x14ac:dyDescent="0.25">
      <c r="A5316" t="s">
        <v>17</v>
      </c>
      <c r="B5316" t="s">
        <v>111</v>
      </c>
      <c r="C5316">
        <v>202401</v>
      </c>
      <c r="D5316" t="str">
        <f t="shared" si="83"/>
        <v>2024</v>
      </c>
      <c r="E5316">
        <v>190</v>
      </c>
      <c r="F5316">
        <v>118571</v>
      </c>
      <c r="G5316">
        <v>0.16</v>
      </c>
      <c r="H5316" t="s">
        <v>10</v>
      </c>
      <c r="I5316" t="s">
        <v>11</v>
      </c>
    </row>
    <row r="5317" spans="1:9" hidden="1" x14ac:dyDescent="0.25">
      <c r="A5317" t="s">
        <v>17</v>
      </c>
      <c r="B5317" t="s">
        <v>111</v>
      </c>
      <c r="C5317">
        <v>202402</v>
      </c>
      <c r="D5317" t="str">
        <f t="shared" si="83"/>
        <v>2024</v>
      </c>
      <c r="E5317">
        <v>255</v>
      </c>
      <c r="F5317">
        <v>118571</v>
      </c>
      <c r="G5317">
        <v>0.22</v>
      </c>
      <c r="H5317" t="s">
        <v>10</v>
      </c>
      <c r="I5317" t="s">
        <v>11</v>
      </c>
    </row>
    <row r="5318" spans="1:9" hidden="1" x14ac:dyDescent="0.25">
      <c r="A5318" t="s">
        <v>17</v>
      </c>
      <c r="B5318" t="s">
        <v>111</v>
      </c>
      <c r="C5318">
        <v>202403</v>
      </c>
      <c r="D5318" t="str">
        <f t="shared" si="83"/>
        <v>2024</v>
      </c>
      <c r="E5318">
        <v>227</v>
      </c>
      <c r="F5318">
        <v>118571</v>
      </c>
      <c r="G5318">
        <v>0.19</v>
      </c>
      <c r="H5318" t="s">
        <v>10</v>
      </c>
      <c r="I5318" t="s">
        <v>11</v>
      </c>
    </row>
    <row r="5319" spans="1:9" hidden="1" x14ac:dyDescent="0.25">
      <c r="A5319" t="s">
        <v>17</v>
      </c>
      <c r="B5319" t="s">
        <v>111</v>
      </c>
      <c r="C5319">
        <v>202404</v>
      </c>
      <c r="D5319" t="str">
        <f t="shared" si="83"/>
        <v>2024</v>
      </c>
      <c r="E5319">
        <v>365</v>
      </c>
      <c r="F5319">
        <v>118571</v>
      </c>
      <c r="G5319">
        <v>0.31</v>
      </c>
      <c r="H5319" t="s">
        <v>10</v>
      </c>
      <c r="I5319" t="s">
        <v>11</v>
      </c>
    </row>
    <row r="5320" spans="1:9" hidden="1" x14ac:dyDescent="0.25">
      <c r="A5320" t="s">
        <v>17</v>
      </c>
      <c r="B5320" t="s">
        <v>111</v>
      </c>
      <c r="C5320">
        <v>202405</v>
      </c>
      <c r="D5320" t="str">
        <f t="shared" si="83"/>
        <v>2024</v>
      </c>
      <c r="E5320">
        <v>534</v>
      </c>
      <c r="F5320">
        <v>118571</v>
      </c>
      <c r="G5320">
        <v>0.45</v>
      </c>
      <c r="H5320" t="s">
        <v>10</v>
      </c>
      <c r="I5320" t="s">
        <v>11</v>
      </c>
    </row>
    <row r="5321" spans="1:9" hidden="1" x14ac:dyDescent="0.25">
      <c r="A5321" t="s">
        <v>17</v>
      </c>
      <c r="B5321" t="s">
        <v>111</v>
      </c>
      <c r="C5321">
        <v>202406</v>
      </c>
      <c r="D5321" t="str">
        <f t="shared" si="83"/>
        <v>2024</v>
      </c>
      <c r="E5321">
        <v>674</v>
      </c>
      <c r="F5321">
        <v>118571</v>
      </c>
      <c r="G5321">
        <v>0.56999999999999995</v>
      </c>
      <c r="H5321" t="s">
        <v>10</v>
      </c>
      <c r="I5321" t="s">
        <v>11</v>
      </c>
    </row>
    <row r="5322" spans="1:9" hidden="1" x14ac:dyDescent="0.25">
      <c r="A5322" t="s">
        <v>17</v>
      </c>
      <c r="B5322" t="s">
        <v>111</v>
      </c>
      <c r="C5322">
        <v>202407</v>
      </c>
      <c r="D5322" t="str">
        <f t="shared" si="83"/>
        <v>2024</v>
      </c>
      <c r="E5322">
        <v>779</v>
      </c>
      <c r="F5322">
        <v>118571</v>
      </c>
      <c r="G5322">
        <v>0.66</v>
      </c>
      <c r="H5322" t="s">
        <v>10</v>
      </c>
      <c r="I5322" t="s">
        <v>11</v>
      </c>
    </row>
    <row r="5323" spans="1:9" hidden="1" x14ac:dyDescent="0.25">
      <c r="A5323" t="s">
        <v>17</v>
      </c>
      <c r="B5323" t="s">
        <v>111</v>
      </c>
      <c r="C5323">
        <v>202408</v>
      </c>
      <c r="D5323" t="str">
        <f t="shared" si="83"/>
        <v>2024</v>
      </c>
      <c r="E5323">
        <v>754</v>
      </c>
      <c r="F5323">
        <v>118571</v>
      </c>
      <c r="G5323">
        <v>0.64</v>
      </c>
      <c r="H5323" t="s">
        <v>10</v>
      </c>
      <c r="I5323" t="s">
        <v>11</v>
      </c>
    </row>
    <row r="5324" spans="1:9" hidden="1" x14ac:dyDescent="0.25">
      <c r="A5324" t="s">
        <v>17</v>
      </c>
      <c r="B5324" t="s">
        <v>111</v>
      </c>
      <c r="C5324">
        <v>202409</v>
      </c>
      <c r="D5324" t="str">
        <f t="shared" si="83"/>
        <v>2024</v>
      </c>
      <c r="E5324">
        <v>884</v>
      </c>
      <c r="F5324">
        <v>118571</v>
      </c>
      <c r="G5324">
        <v>0.75</v>
      </c>
      <c r="H5324" t="s">
        <v>10</v>
      </c>
      <c r="I5324" t="s">
        <v>11</v>
      </c>
    </row>
    <row r="5325" spans="1:9" hidden="1" x14ac:dyDescent="0.25">
      <c r="A5325" t="s">
        <v>17</v>
      </c>
      <c r="B5325" t="s">
        <v>111</v>
      </c>
      <c r="C5325">
        <v>202410</v>
      </c>
      <c r="D5325" t="str">
        <f t="shared" si="83"/>
        <v>2024</v>
      </c>
      <c r="E5325">
        <v>1459</v>
      </c>
      <c r="F5325">
        <v>118571</v>
      </c>
      <c r="G5325">
        <v>1.23</v>
      </c>
      <c r="H5325" t="s">
        <v>10</v>
      </c>
      <c r="I5325" t="s">
        <v>11</v>
      </c>
    </row>
    <row r="5326" spans="1:9" hidden="1" x14ac:dyDescent="0.25">
      <c r="A5326" t="s">
        <v>17</v>
      </c>
      <c r="B5326" t="s">
        <v>111</v>
      </c>
      <c r="C5326">
        <v>202411</v>
      </c>
      <c r="D5326" t="str">
        <f t="shared" si="83"/>
        <v>2024</v>
      </c>
      <c r="E5326">
        <v>1195</v>
      </c>
      <c r="F5326">
        <v>118571</v>
      </c>
      <c r="G5326">
        <v>1.01</v>
      </c>
      <c r="H5326" t="s">
        <v>10</v>
      </c>
      <c r="I5326" t="s">
        <v>11</v>
      </c>
    </row>
    <row r="5327" spans="1:9" hidden="1" x14ac:dyDescent="0.25">
      <c r="A5327" t="s">
        <v>17</v>
      </c>
      <c r="B5327" t="s">
        <v>111</v>
      </c>
      <c r="C5327">
        <v>202412</v>
      </c>
      <c r="D5327" t="str">
        <f t="shared" si="83"/>
        <v>2024</v>
      </c>
      <c r="E5327">
        <v>1075</v>
      </c>
      <c r="F5327">
        <v>118571</v>
      </c>
      <c r="G5327">
        <v>0.91</v>
      </c>
      <c r="H5327" t="s">
        <v>10</v>
      </c>
      <c r="I5327" t="s">
        <v>11</v>
      </c>
    </row>
    <row r="5328" spans="1:9" x14ac:dyDescent="0.25">
      <c r="A5328" t="s">
        <v>17</v>
      </c>
      <c r="B5328" t="s">
        <v>111</v>
      </c>
      <c r="C5328">
        <v>202501</v>
      </c>
      <c r="D5328" t="str">
        <f t="shared" si="83"/>
        <v>2025</v>
      </c>
      <c r="E5328">
        <v>1625</v>
      </c>
      <c r="F5328">
        <v>118571</v>
      </c>
      <c r="G5328">
        <v>1.37</v>
      </c>
      <c r="H5328" t="s">
        <v>10</v>
      </c>
      <c r="I5328" t="s">
        <v>11</v>
      </c>
    </row>
    <row r="5329" spans="1:9" x14ac:dyDescent="0.25">
      <c r="A5329" t="s">
        <v>17</v>
      </c>
      <c r="B5329" t="s">
        <v>111</v>
      </c>
      <c r="C5329">
        <v>202502</v>
      </c>
      <c r="D5329" t="str">
        <f t="shared" si="83"/>
        <v>2025</v>
      </c>
      <c r="E5329">
        <v>2748</v>
      </c>
      <c r="F5329">
        <v>118571</v>
      </c>
      <c r="G5329">
        <v>2.3199999999999998</v>
      </c>
      <c r="H5329" t="s">
        <v>10</v>
      </c>
      <c r="I5329" t="s">
        <v>11</v>
      </c>
    </row>
    <row r="5330" spans="1:9" x14ac:dyDescent="0.25">
      <c r="A5330" t="s">
        <v>17</v>
      </c>
      <c r="B5330" t="s">
        <v>111</v>
      </c>
      <c r="C5330">
        <v>202503</v>
      </c>
      <c r="D5330" t="str">
        <f t="shared" si="83"/>
        <v>2025</v>
      </c>
      <c r="E5330">
        <v>6499</v>
      </c>
      <c r="F5330">
        <v>118571</v>
      </c>
      <c r="G5330">
        <v>5.48</v>
      </c>
      <c r="H5330" t="s">
        <v>10</v>
      </c>
      <c r="I5330" t="s">
        <v>11</v>
      </c>
    </row>
    <row r="5331" spans="1:9" x14ac:dyDescent="0.25">
      <c r="A5331" t="s">
        <v>17</v>
      </c>
      <c r="B5331" t="s">
        <v>111</v>
      </c>
      <c r="C5331">
        <v>202504</v>
      </c>
      <c r="D5331" t="str">
        <f t="shared" si="83"/>
        <v>2025</v>
      </c>
      <c r="E5331">
        <v>58836</v>
      </c>
      <c r="F5331">
        <v>118571</v>
      </c>
      <c r="G5331">
        <v>49.62</v>
      </c>
      <c r="H5331" t="s">
        <v>10</v>
      </c>
      <c r="I5331" t="s">
        <v>11</v>
      </c>
    </row>
    <row r="5332" spans="1:9" x14ac:dyDescent="0.25">
      <c r="A5332" t="s">
        <v>17</v>
      </c>
      <c r="B5332" t="s">
        <v>111</v>
      </c>
      <c r="C5332">
        <v>202505</v>
      </c>
      <c r="D5332" t="str">
        <f t="shared" si="83"/>
        <v>2025</v>
      </c>
      <c r="E5332">
        <v>39857</v>
      </c>
      <c r="F5332">
        <v>118571</v>
      </c>
      <c r="G5332">
        <v>33.61</v>
      </c>
      <c r="H5332" t="s">
        <v>10</v>
      </c>
      <c r="I5332" t="s">
        <v>11</v>
      </c>
    </row>
    <row r="5333" spans="1:9" hidden="1" x14ac:dyDescent="0.25">
      <c r="A5333" t="s">
        <v>17</v>
      </c>
      <c r="B5333" t="s">
        <v>97</v>
      </c>
      <c r="C5333">
        <v>202003</v>
      </c>
      <c r="D5333" t="str">
        <f t="shared" si="83"/>
        <v>2020</v>
      </c>
      <c r="E5333">
        <v>4</v>
      </c>
      <c r="F5333">
        <v>106116</v>
      </c>
      <c r="G5333">
        <v>0</v>
      </c>
      <c r="H5333" t="s">
        <v>10</v>
      </c>
      <c r="I5333" t="s">
        <v>11</v>
      </c>
    </row>
    <row r="5334" spans="1:9" hidden="1" x14ac:dyDescent="0.25">
      <c r="A5334" t="s">
        <v>17</v>
      </c>
      <c r="B5334" t="s">
        <v>97</v>
      </c>
      <c r="C5334">
        <v>202005</v>
      </c>
      <c r="D5334" t="str">
        <f t="shared" si="83"/>
        <v>2020</v>
      </c>
      <c r="E5334">
        <v>12</v>
      </c>
      <c r="F5334">
        <v>106116</v>
      </c>
      <c r="G5334">
        <v>0.01</v>
      </c>
      <c r="H5334" t="s">
        <v>10</v>
      </c>
      <c r="I5334" t="s">
        <v>11</v>
      </c>
    </row>
    <row r="5335" spans="1:9" hidden="1" x14ac:dyDescent="0.25">
      <c r="A5335" t="s">
        <v>17</v>
      </c>
      <c r="B5335" t="s">
        <v>97</v>
      </c>
      <c r="C5335">
        <v>202007</v>
      </c>
      <c r="D5335" t="str">
        <f t="shared" si="83"/>
        <v>2020</v>
      </c>
      <c r="E5335">
        <v>4</v>
      </c>
      <c r="F5335">
        <v>106116</v>
      </c>
      <c r="G5335">
        <v>0</v>
      </c>
      <c r="H5335" t="s">
        <v>10</v>
      </c>
      <c r="I5335" t="s">
        <v>11</v>
      </c>
    </row>
    <row r="5336" spans="1:9" hidden="1" x14ac:dyDescent="0.25">
      <c r="A5336" t="s">
        <v>17</v>
      </c>
      <c r="B5336" t="s">
        <v>97</v>
      </c>
      <c r="C5336">
        <v>202010</v>
      </c>
      <c r="D5336" t="str">
        <f t="shared" si="83"/>
        <v>2020</v>
      </c>
      <c r="E5336">
        <v>4</v>
      </c>
      <c r="F5336">
        <v>106116</v>
      </c>
      <c r="G5336">
        <v>0</v>
      </c>
      <c r="H5336" t="s">
        <v>10</v>
      </c>
      <c r="I5336" t="s">
        <v>11</v>
      </c>
    </row>
    <row r="5337" spans="1:9" hidden="1" x14ac:dyDescent="0.25">
      <c r="A5337" t="s">
        <v>17</v>
      </c>
      <c r="B5337" t="s">
        <v>97</v>
      </c>
      <c r="C5337">
        <v>202201</v>
      </c>
      <c r="D5337" t="str">
        <f t="shared" si="83"/>
        <v>2022</v>
      </c>
      <c r="E5337">
        <v>11</v>
      </c>
      <c r="F5337">
        <v>106116</v>
      </c>
      <c r="G5337">
        <v>0.01</v>
      </c>
      <c r="H5337" t="s">
        <v>10</v>
      </c>
      <c r="I5337" t="s">
        <v>11</v>
      </c>
    </row>
    <row r="5338" spans="1:9" hidden="1" x14ac:dyDescent="0.25">
      <c r="A5338" t="s">
        <v>17</v>
      </c>
      <c r="B5338" t="s">
        <v>97</v>
      </c>
      <c r="C5338">
        <v>202202</v>
      </c>
      <c r="D5338" t="str">
        <f t="shared" si="83"/>
        <v>2022</v>
      </c>
      <c r="E5338">
        <v>14</v>
      </c>
      <c r="F5338">
        <v>106116</v>
      </c>
      <c r="G5338">
        <v>0.01</v>
      </c>
      <c r="H5338" t="s">
        <v>10</v>
      </c>
      <c r="I5338" t="s">
        <v>11</v>
      </c>
    </row>
    <row r="5339" spans="1:9" hidden="1" x14ac:dyDescent="0.25">
      <c r="A5339" t="s">
        <v>17</v>
      </c>
      <c r="B5339" t="s">
        <v>97</v>
      </c>
      <c r="C5339">
        <v>202203</v>
      </c>
      <c r="D5339" t="str">
        <f t="shared" si="83"/>
        <v>2022</v>
      </c>
      <c r="E5339">
        <v>24</v>
      </c>
      <c r="F5339">
        <v>106116</v>
      </c>
      <c r="G5339">
        <v>0.02</v>
      </c>
      <c r="H5339" t="s">
        <v>10</v>
      </c>
      <c r="I5339" t="s">
        <v>11</v>
      </c>
    </row>
    <row r="5340" spans="1:9" hidden="1" x14ac:dyDescent="0.25">
      <c r="A5340" t="s">
        <v>17</v>
      </c>
      <c r="B5340" t="s">
        <v>97</v>
      </c>
      <c r="C5340">
        <v>202204</v>
      </c>
      <c r="D5340" t="str">
        <f t="shared" si="83"/>
        <v>2022</v>
      </c>
      <c r="E5340">
        <v>11</v>
      </c>
      <c r="F5340">
        <v>106116</v>
      </c>
      <c r="G5340">
        <v>0.01</v>
      </c>
      <c r="H5340" t="s">
        <v>10</v>
      </c>
      <c r="I5340" t="s">
        <v>11</v>
      </c>
    </row>
    <row r="5341" spans="1:9" hidden="1" x14ac:dyDescent="0.25">
      <c r="A5341" t="s">
        <v>17</v>
      </c>
      <c r="B5341" t="s">
        <v>97</v>
      </c>
      <c r="C5341">
        <v>202205</v>
      </c>
      <c r="D5341" t="str">
        <f t="shared" si="83"/>
        <v>2022</v>
      </c>
      <c r="E5341">
        <v>28</v>
      </c>
      <c r="F5341">
        <v>106116</v>
      </c>
      <c r="G5341">
        <v>0.03</v>
      </c>
      <c r="H5341" t="s">
        <v>10</v>
      </c>
      <c r="I5341" t="s">
        <v>11</v>
      </c>
    </row>
    <row r="5342" spans="1:9" hidden="1" x14ac:dyDescent="0.25">
      <c r="A5342" t="s">
        <v>17</v>
      </c>
      <c r="B5342" t="s">
        <v>97</v>
      </c>
      <c r="C5342">
        <v>202206</v>
      </c>
      <c r="D5342" t="str">
        <f t="shared" si="83"/>
        <v>2022</v>
      </c>
      <c r="E5342">
        <v>3</v>
      </c>
      <c r="F5342">
        <v>106116</v>
      </c>
      <c r="G5342">
        <v>0</v>
      </c>
      <c r="H5342" t="s">
        <v>10</v>
      </c>
      <c r="I5342" t="s">
        <v>11</v>
      </c>
    </row>
    <row r="5343" spans="1:9" hidden="1" x14ac:dyDescent="0.25">
      <c r="A5343" t="s">
        <v>17</v>
      </c>
      <c r="B5343" t="s">
        <v>97</v>
      </c>
      <c r="C5343">
        <v>202207</v>
      </c>
      <c r="D5343" t="str">
        <f t="shared" si="83"/>
        <v>2022</v>
      </c>
      <c r="E5343">
        <v>17</v>
      </c>
      <c r="F5343">
        <v>106116</v>
      </c>
      <c r="G5343">
        <v>0.02</v>
      </c>
      <c r="H5343" t="s">
        <v>10</v>
      </c>
      <c r="I5343" t="s">
        <v>11</v>
      </c>
    </row>
    <row r="5344" spans="1:9" hidden="1" x14ac:dyDescent="0.25">
      <c r="A5344" t="s">
        <v>17</v>
      </c>
      <c r="B5344" t="s">
        <v>97</v>
      </c>
      <c r="C5344">
        <v>202208</v>
      </c>
      <c r="D5344" t="str">
        <f t="shared" si="83"/>
        <v>2022</v>
      </c>
      <c r="E5344">
        <v>5</v>
      </c>
      <c r="F5344">
        <v>106116</v>
      </c>
      <c r="G5344">
        <v>0</v>
      </c>
      <c r="H5344" t="s">
        <v>10</v>
      </c>
      <c r="I5344" t="s">
        <v>11</v>
      </c>
    </row>
    <row r="5345" spans="1:9" hidden="1" x14ac:dyDescent="0.25">
      <c r="A5345" t="s">
        <v>17</v>
      </c>
      <c r="B5345" t="s">
        <v>97</v>
      </c>
      <c r="C5345">
        <v>202209</v>
      </c>
      <c r="D5345" t="str">
        <f t="shared" si="83"/>
        <v>2022</v>
      </c>
      <c r="E5345">
        <v>7</v>
      </c>
      <c r="F5345">
        <v>106116</v>
      </c>
      <c r="G5345">
        <v>0.01</v>
      </c>
      <c r="H5345" t="s">
        <v>10</v>
      </c>
      <c r="I5345" t="s">
        <v>11</v>
      </c>
    </row>
    <row r="5346" spans="1:9" hidden="1" x14ac:dyDescent="0.25">
      <c r="A5346" t="s">
        <v>17</v>
      </c>
      <c r="B5346" t="s">
        <v>97</v>
      </c>
      <c r="C5346">
        <v>202210</v>
      </c>
      <c r="D5346" t="str">
        <f t="shared" si="83"/>
        <v>2022</v>
      </c>
      <c r="E5346">
        <v>58</v>
      </c>
      <c r="F5346">
        <v>106116</v>
      </c>
      <c r="G5346">
        <v>0.05</v>
      </c>
      <c r="H5346" t="s">
        <v>10</v>
      </c>
      <c r="I5346" t="s">
        <v>11</v>
      </c>
    </row>
    <row r="5347" spans="1:9" hidden="1" x14ac:dyDescent="0.25">
      <c r="A5347" t="s">
        <v>17</v>
      </c>
      <c r="B5347" t="s">
        <v>97</v>
      </c>
      <c r="C5347">
        <v>202211</v>
      </c>
      <c r="D5347" t="str">
        <f t="shared" si="83"/>
        <v>2022</v>
      </c>
      <c r="E5347">
        <v>54</v>
      </c>
      <c r="F5347">
        <v>106116</v>
      </c>
      <c r="G5347">
        <v>0.05</v>
      </c>
      <c r="H5347" t="s">
        <v>10</v>
      </c>
      <c r="I5347" t="s">
        <v>11</v>
      </c>
    </row>
    <row r="5348" spans="1:9" hidden="1" x14ac:dyDescent="0.25">
      <c r="A5348" t="s">
        <v>17</v>
      </c>
      <c r="B5348" t="s">
        <v>97</v>
      </c>
      <c r="C5348">
        <v>202212</v>
      </c>
      <c r="D5348" t="str">
        <f t="shared" si="83"/>
        <v>2022</v>
      </c>
      <c r="E5348">
        <v>40</v>
      </c>
      <c r="F5348">
        <v>106116</v>
      </c>
      <c r="G5348">
        <v>0.04</v>
      </c>
      <c r="H5348" t="s">
        <v>10</v>
      </c>
      <c r="I5348" t="s">
        <v>11</v>
      </c>
    </row>
    <row r="5349" spans="1:9" hidden="1" x14ac:dyDescent="0.25">
      <c r="A5349" t="s">
        <v>17</v>
      </c>
      <c r="B5349" t="s">
        <v>97</v>
      </c>
      <c r="C5349">
        <v>202301</v>
      </c>
      <c r="D5349" t="str">
        <f t="shared" si="83"/>
        <v>2023</v>
      </c>
      <c r="E5349">
        <v>20</v>
      </c>
      <c r="F5349">
        <v>106116</v>
      </c>
      <c r="G5349">
        <v>0.02</v>
      </c>
      <c r="H5349" t="s">
        <v>10</v>
      </c>
      <c r="I5349" t="s">
        <v>11</v>
      </c>
    </row>
    <row r="5350" spans="1:9" hidden="1" x14ac:dyDescent="0.25">
      <c r="A5350" t="s">
        <v>17</v>
      </c>
      <c r="B5350" t="s">
        <v>97</v>
      </c>
      <c r="C5350">
        <v>202302</v>
      </c>
      <c r="D5350" t="str">
        <f t="shared" si="83"/>
        <v>2023</v>
      </c>
      <c r="E5350">
        <v>5</v>
      </c>
      <c r="F5350">
        <v>106116</v>
      </c>
      <c r="G5350">
        <v>0</v>
      </c>
      <c r="H5350" t="s">
        <v>10</v>
      </c>
      <c r="I5350" t="s">
        <v>11</v>
      </c>
    </row>
    <row r="5351" spans="1:9" hidden="1" x14ac:dyDescent="0.25">
      <c r="A5351" t="s">
        <v>17</v>
      </c>
      <c r="B5351" t="s">
        <v>97</v>
      </c>
      <c r="C5351">
        <v>202303</v>
      </c>
      <c r="D5351" t="str">
        <f t="shared" si="83"/>
        <v>2023</v>
      </c>
      <c r="E5351">
        <v>16</v>
      </c>
      <c r="F5351">
        <v>106116</v>
      </c>
      <c r="G5351">
        <v>0.02</v>
      </c>
      <c r="H5351" t="s">
        <v>10</v>
      </c>
      <c r="I5351" t="s">
        <v>11</v>
      </c>
    </row>
    <row r="5352" spans="1:9" hidden="1" x14ac:dyDescent="0.25">
      <c r="A5352" t="s">
        <v>17</v>
      </c>
      <c r="B5352" t="s">
        <v>97</v>
      </c>
      <c r="C5352">
        <v>202304</v>
      </c>
      <c r="D5352" t="str">
        <f t="shared" si="83"/>
        <v>2023</v>
      </c>
      <c r="E5352">
        <v>10</v>
      </c>
      <c r="F5352">
        <v>106116</v>
      </c>
      <c r="G5352">
        <v>0.01</v>
      </c>
      <c r="H5352" t="s">
        <v>10</v>
      </c>
      <c r="I5352" t="s">
        <v>11</v>
      </c>
    </row>
    <row r="5353" spans="1:9" hidden="1" x14ac:dyDescent="0.25">
      <c r="A5353" t="s">
        <v>17</v>
      </c>
      <c r="B5353" t="s">
        <v>97</v>
      </c>
      <c r="C5353">
        <v>202305</v>
      </c>
      <c r="D5353" t="str">
        <f t="shared" si="83"/>
        <v>2023</v>
      </c>
      <c r="E5353">
        <v>10</v>
      </c>
      <c r="F5353">
        <v>106116</v>
      </c>
      <c r="G5353">
        <v>0.01</v>
      </c>
      <c r="H5353" t="s">
        <v>10</v>
      </c>
      <c r="I5353" t="s">
        <v>11</v>
      </c>
    </row>
    <row r="5354" spans="1:9" hidden="1" x14ac:dyDescent="0.25">
      <c r="A5354" t="s">
        <v>17</v>
      </c>
      <c r="B5354" t="s">
        <v>97</v>
      </c>
      <c r="C5354">
        <v>202306</v>
      </c>
      <c r="D5354" t="str">
        <f t="shared" si="83"/>
        <v>2023</v>
      </c>
      <c r="E5354">
        <v>35</v>
      </c>
      <c r="F5354">
        <v>106116</v>
      </c>
      <c r="G5354">
        <v>0.03</v>
      </c>
      <c r="H5354" t="s">
        <v>10</v>
      </c>
      <c r="I5354" t="s">
        <v>11</v>
      </c>
    </row>
    <row r="5355" spans="1:9" hidden="1" x14ac:dyDescent="0.25">
      <c r="A5355" t="s">
        <v>17</v>
      </c>
      <c r="B5355" t="s">
        <v>97</v>
      </c>
      <c r="C5355">
        <v>202307</v>
      </c>
      <c r="D5355" t="str">
        <f t="shared" si="83"/>
        <v>2023</v>
      </c>
      <c r="E5355">
        <v>30</v>
      </c>
      <c r="F5355">
        <v>106116</v>
      </c>
      <c r="G5355">
        <v>0.03</v>
      </c>
      <c r="H5355" t="s">
        <v>10</v>
      </c>
      <c r="I5355" t="s">
        <v>11</v>
      </c>
    </row>
    <row r="5356" spans="1:9" hidden="1" x14ac:dyDescent="0.25">
      <c r="A5356" t="s">
        <v>17</v>
      </c>
      <c r="B5356" t="s">
        <v>97</v>
      </c>
      <c r="C5356">
        <v>202308</v>
      </c>
      <c r="D5356" t="str">
        <f t="shared" si="83"/>
        <v>2023</v>
      </c>
      <c r="E5356">
        <v>39</v>
      </c>
      <c r="F5356">
        <v>106116</v>
      </c>
      <c r="G5356">
        <v>0.04</v>
      </c>
      <c r="H5356" t="s">
        <v>10</v>
      </c>
      <c r="I5356" t="s">
        <v>11</v>
      </c>
    </row>
    <row r="5357" spans="1:9" hidden="1" x14ac:dyDescent="0.25">
      <c r="A5357" t="s">
        <v>17</v>
      </c>
      <c r="B5357" t="s">
        <v>97</v>
      </c>
      <c r="C5357">
        <v>202309</v>
      </c>
      <c r="D5357" t="str">
        <f t="shared" si="83"/>
        <v>2023</v>
      </c>
      <c r="E5357">
        <v>26</v>
      </c>
      <c r="F5357">
        <v>106116</v>
      </c>
      <c r="G5357">
        <v>0.02</v>
      </c>
      <c r="H5357" t="s">
        <v>10</v>
      </c>
      <c r="I5357" t="s">
        <v>11</v>
      </c>
    </row>
    <row r="5358" spans="1:9" hidden="1" x14ac:dyDescent="0.25">
      <c r="A5358" t="s">
        <v>17</v>
      </c>
      <c r="B5358" t="s">
        <v>97</v>
      </c>
      <c r="C5358">
        <v>202310</v>
      </c>
      <c r="D5358" t="str">
        <f t="shared" si="83"/>
        <v>2023</v>
      </c>
      <c r="E5358">
        <v>50</v>
      </c>
      <c r="F5358">
        <v>106116</v>
      </c>
      <c r="G5358">
        <v>0.05</v>
      </c>
      <c r="H5358" t="s">
        <v>10</v>
      </c>
      <c r="I5358" t="s">
        <v>11</v>
      </c>
    </row>
    <row r="5359" spans="1:9" hidden="1" x14ac:dyDescent="0.25">
      <c r="A5359" t="s">
        <v>17</v>
      </c>
      <c r="B5359" t="s">
        <v>97</v>
      </c>
      <c r="C5359">
        <v>202311</v>
      </c>
      <c r="D5359" t="str">
        <f t="shared" si="83"/>
        <v>2023</v>
      </c>
      <c r="E5359">
        <v>95</v>
      </c>
      <c r="F5359">
        <v>106116</v>
      </c>
      <c r="G5359">
        <v>0.09</v>
      </c>
      <c r="H5359" t="s">
        <v>10</v>
      </c>
      <c r="I5359" t="s">
        <v>11</v>
      </c>
    </row>
    <row r="5360" spans="1:9" hidden="1" x14ac:dyDescent="0.25">
      <c r="A5360" t="s">
        <v>17</v>
      </c>
      <c r="B5360" t="s">
        <v>97</v>
      </c>
      <c r="C5360">
        <v>202312</v>
      </c>
      <c r="D5360" t="str">
        <f t="shared" si="83"/>
        <v>2023</v>
      </c>
      <c r="E5360">
        <v>70</v>
      </c>
      <c r="F5360">
        <v>106116</v>
      </c>
      <c r="G5360">
        <v>7.0000000000000007E-2</v>
      </c>
      <c r="H5360" t="s">
        <v>10</v>
      </c>
      <c r="I5360" t="s">
        <v>11</v>
      </c>
    </row>
    <row r="5361" spans="1:9" hidden="1" x14ac:dyDescent="0.25">
      <c r="A5361" t="s">
        <v>17</v>
      </c>
      <c r="B5361" t="s">
        <v>97</v>
      </c>
      <c r="C5361">
        <v>202401</v>
      </c>
      <c r="D5361" t="str">
        <f t="shared" si="83"/>
        <v>2024</v>
      </c>
      <c r="E5361">
        <v>88</v>
      </c>
      <c r="F5361">
        <v>106116</v>
      </c>
      <c r="G5361">
        <v>0.08</v>
      </c>
      <c r="H5361" t="s">
        <v>10</v>
      </c>
      <c r="I5361" t="s">
        <v>11</v>
      </c>
    </row>
    <row r="5362" spans="1:9" hidden="1" x14ac:dyDescent="0.25">
      <c r="A5362" t="s">
        <v>17</v>
      </c>
      <c r="B5362" t="s">
        <v>97</v>
      </c>
      <c r="C5362">
        <v>202402</v>
      </c>
      <c r="D5362" t="str">
        <f t="shared" si="83"/>
        <v>2024</v>
      </c>
      <c r="E5362">
        <v>116</v>
      </c>
      <c r="F5362">
        <v>106116</v>
      </c>
      <c r="G5362">
        <v>0.11</v>
      </c>
      <c r="H5362" t="s">
        <v>10</v>
      </c>
      <c r="I5362" t="s">
        <v>11</v>
      </c>
    </row>
    <row r="5363" spans="1:9" hidden="1" x14ac:dyDescent="0.25">
      <c r="A5363" t="s">
        <v>17</v>
      </c>
      <c r="B5363" t="s">
        <v>97</v>
      </c>
      <c r="C5363">
        <v>202403</v>
      </c>
      <c r="D5363" t="str">
        <f t="shared" si="83"/>
        <v>2024</v>
      </c>
      <c r="E5363">
        <v>105</v>
      </c>
      <c r="F5363">
        <v>106116</v>
      </c>
      <c r="G5363">
        <v>0.1</v>
      </c>
      <c r="H5363" t="s">
        <v>10</v>
      </c>
      <c r="I5363" t="s">
        <v>11</v>
      </c>
    </row>
    <row r="5364" spans="1:9" hidden="1" x14ac:dyDescent="0.25">
      <c r="A5364" t="s">
        <v>17</v>
      </c>
      <c r="B5364" t="s">
        <v>97</v>
      </c>
      <c r="C5364">
        <v>202404</v>
      </c>
      <c r="D5364" t="str">
        <f t="shared" si="83"/>
        <v>2024</v>
      </c>
      <c r="E5364">
        <v>257</v>
      </c>
      <c r="F5364">
        <v>106116</v>
      </c>
      <c r="G5364">
        <v>0.24</v>
      </c>
      <c r="H5364" t="s">
        <v>10</v>
      </c>
      <c r="I5364" t="s">
        <v>11</v>
      </c>
    </row>
    <row r="5365" spans="1:9" hidden="1" x14ac:dyDescent="0.25">
      <c r="A5365" t="s">
        <v>17</v>
      </c>
      <c r="B5365" t="s">
        <v>97</v>
      </c>
      <c r="C5365">
        <v>202405</v>
      </c>
      <c r="D5365" t="str">
        <f t="shared" si="83"/>
        <v>2024</v>
      </c>
      <c r="E5365">
        <v>156</v>
      </c>
      <c r="F5365">
        <v>106116</v>
      </c>
      <c r="G5365">
        <v>0.15</v>
      </c>
      <c r="H5365" t="s">
        <v>10</v>
      </c>
      <c r="I5365" t="s">
        <v>11</v>
      </c>
    </row>
    <row r="5366" spans="1:9" hidden="1" x14ac:dyDescent="0.25">
      <c r="A5366" t="s">
        <v>17</v>
      </c>
      <c r="B5366" t="s">
        <v>97</v>
      </c>
      <c r="C5366">
        <v>202406</v>
      </c>
      <c r="D5366" t="str">
        <f t="shared" si="83"/>
        <v>2024</v>
      </c>
      <c r="E5366">
        <v>185</v>
      </c>
      <c r="F5366">
        <v>106116</v>
      </c>
      <c r="G5366">
        <v>0.17</v>
      </c>
      <c r="H5366" t="s">
        <v>10</v>
      </c>
      <c r="I5366" t="s">
        <v>11</v>
      </c>
    </row>
    <row r="5367" spans="1:9" hidden="1" x14ac:dyDescent="0.25">
      <c r="A5367" t="s">
        <v>17</v>
      </c>
      <c r="B5367" t="s">
        <v>97</v>
      </c>
      <c r="C5367">
        <v>202407</v>
      </c>
      <c r="D5367" t="str">
        <f t="shared" si="83"/>
        <v>2024</v>
      </c>
      <c r="E5367">
        <v>302</v>
      </c>
      <c r="F5367">
        <v>106116</v>
      </c>
      <c r="G5367">
        <v>0.28000000000000003</v>
      </c>
      <c r="H5367" t="s">
        <v>10</v>
      </c>
      <c r="I5367" t="s">
        <v>11</v>
      </c>
    </row>
    <row r="5368" spans="1:9" hidden="1" x14ac:dyDescent="0.25">
      <c r="A5368" t="s">
        <v>17</v>
      </c>
      <c r="B5368" t="s">
        <v>97</v>
      </c>
      <c r="C5368">
        <v>202408</v>
      </c>
      <c r="D5368" t="str">
        <f t="shared" si="83"/>
        <v>2024</v>
      </c>
      <c r="E5368">
        <v>664</v>
      </c>
      <c r="F5368">
        <v>106116</v>
      </c>
      <c r="G5368">
        <v>0.63</v>
      </c>
      <c r="H5368" t="s">
        <v>10</v>
      </c>
      <c r="I5368" t="s">
        <v>11</v>
      </c>
    </row>
    <row r="5369" spans="1:9" hidden="1" x14ac:dyDescent="0.25">
      <c r="A5369" t="s">
        <v>17</v>
      </c>
      <c r="B5369" t="s">
        <v>97</v>
      </c>
      <c r="C5369">
        <v>202409</v>
      </c>
      <c r="D5369" t="str">
        <f t="shared" si="83"/>
        <v>2024</v>
      </c>
      <c r="E5369">
        <v>476</v>
      </c>
      <c r="F5369">
        <v>106116</v>
      </c>
      <c r="G5369">
        <v>0.45</v>
      </c>
      <c r="H5369" t="s">
        <v>10</v>
      </c>
      <c r="I5369" t="s">
        <v>11</v>
      </c>
    </row>
    <row r="5370" spans="1:9" hidden="1" x14ac:dyDescent="0.25">
      <c r="A5370" t="s">
        <v>17</v>
      </c>
      <c r="B5370" t="s">
        <v>97</v>
      </c>
      <c r="C5370">
        <v>202410</v>
      </c>
      <c r="D5370" t="str">
        <f t="shared" si="83"/>
        <v>2024</v>
      </c>
      <c r="E5370">
        <v>1083</v>
      </c>
      <c r="F5370">
        <v>106116</v>
      </c>
      <c r="G5370">
        <v>1.02</v>
      </c>
      <c r="H5370" t="s">
        <v>10</v>
      </c>
      <c r="I5370" t="s">
        <v>11</v>
      </c>
    </row>
    <row r="5371" spans="1:9" hidden="1" x14ac:dyDescent="0.25">
      <c r="A5371" t="s">
        <v>17</v>
      </c>
      <c r="B5371" t="s">
        <v>97</v>
      </c>
      <c r="C5371">
        <v>202411</v>
      </c>
      <c r="D5371" t="str">
        <f t="shared" si="83"/>
        <v>2024</v>
      </c>
      <c r="E5371">
        <v>915</v>
      </c>
      <c r="F5371">
        <v>106116</v>
      </c>
      <c r="G5371">
        <v>0.86</v>
      </c>
      <c r="H5371" t="s">
        <v>10</v>
      </c>
      <c r="I5371" t="s">
        <v>11</v>
      </c>
    </row>
    <row r="5372" spans="1:9" hidden="1" x14ac:dyDescent="0.25">
      <c r="A5372" t="s">
        <v>17</v>
      </c>
      <c r="B5372" t="s">
        <v>97</v>
      </c>
      <c r="C5372">
        <v>202412</v>
      </c>
      <c r="D5372" t="str">
        <f t="shared" si="83"/>
        <v>2024</v>
      </c>
      <c r="E5372">
        <v>777</v>
      </c>
      <c r="F5372">
        <v>106116</v>
      </c>
      <c r="G5372">
        <v>0.73</v>
      </c>
      <c r="H5372" t="s">
        <v>10</v>
      </c>
      <c r="I5372" t="s">
        <v>11</v>
      </c>
    </row>
    <row r="5373" spans="1:9" x14ac:dyDescent="0.25">
      <c r="A5373" t="s">
        <v>17</v>
      </c>
      <c r="B5373" t="s">
        <v>97</v>
      </c>
      <c r="C5373">
        <v>202501</v>
      </c>
      <c r="D5373" t="str">
        <f t="shared" si="83"/>
        <v>2025</v>
      </c>
      <c r="E5373">
        <v>3452</v>
      </c>
      <c r="F5373">
        <v>106116</v>
      </c>
      <c r="G5373">
        <v>3.25</v>
      </c>
      <c r="H5373" t="s">
        <v>10</v>
      </c>
      <c r="I5373" t="s">
        <v>11</v>
      </c>
    </row>
    <row r="5374" spans="1:9" x14ac:dyDescent="0.25">
      <c r="A5374" t="s">
        <v>17</v>
      </c>
      <c r="B5374" t="s">
        <v>97</v>
      </c>
      <c r="C5374">
        <v>202502</v>
      </c>
      <c r="D5374" t="str">
        <f t="shared" si="83"/>
        <v>2025</v>
      </c>
      <c r="E5374">
        <v>3226</v>
      </c>
      <c r="F5374">
        <v>106116</v>
      </c>
      <c r="G5374">
        <v>3.04</v>
      </c>
      <c r="H5374" t="s">
        <v>10</v>
      </c>
      <c r="I5374" t="s">
        <v>11</v>
      </c>
    </row>
    <row r="5375" spans="1:9" x14ac:dyDescent="0.25">
      <c r="A5375" t="s">
        <v>17</v>
      </c>
      <c r="B5375" t="s">
        <v>97</v>
      </c>
      <c r="C5375">
        <v>202503</v>
      </c>
      <c r="D5375" t="str">
        <f t="shared" si="83"/>
        <v>2025</v>
      </c>
      <c r="E5375">
        <v>3334</v>
      </c>
      <c r="F5375">
        <v>106116</v>
      </c>
      <c r="G5375">
        <v>3.14</v>
      </c>
      <c r="H5375" t="s">
        <v>10</v>
      </c>
      <c r="I5375" t="s">
        <v>11</v>
      </c>
    </row>
    <row r="5376" spans="1:9" x14ac:dyDescent="0.25">
      <c r="A5376" t="s">
        <v>17</v>
      </c>
      <c r="B5376" t="s">
        <v>97</v>
      </c>
      <c r="C5376">
        <v>202504</v>
      </c>
      <c r="D5376" t="str">
        <f t="shared" si="83"/>
        <v>2025</v>
      </c>
      <c r="E5376">
        <v>6172</v>
      </c>
      <c r="F5376">
        <v>106116</v>
      </c>
      <c r="G5376">
        <v>5.82</v>
      </c>
      <c r="H5376" t="s">
        <v>10</v>
      </c>
      <c r="I5376" t="s">
        <v>11</v>
      </c>
    </row>
    <row r="5377" spans="1:9" x14ac:dyDescent="0.25">
      <c r="A5377" t="s">
        <v>17</v>
      </c>
      <c r="B5377" t="s">
        <v>97</v>
      </c>
      <c r="C5377">
        <v>202505</v>
      </c>
      <c r="D5377" t="str">
        <f t="shared" si="83"/>
        <v>2025</v>
      </c>
      <c r="E5377">
        <v>45902</v>
      </c>
      <c r="F5377">
        <v>106116</v>
      </c>
      <c r="G5377">
        <v>43.26</v>
      </c>
      <c r="H5377" t="s">
        <v>10</v>
      </c>
      <c r="I5377" t="s">
        <v>11</v>
      </c>
    </row>
    <row r="5378" spans="1:9" x14ac:dyDescent="0.25">
      <c r="A5378" t="s">
        <v>17</v>
      </c>
      <c r="B5378" t="s">
        <v>97</v>
      </c>
      <c r="C5378">
        <v>202506</v>
      </c>
      <c r="D5378" t="str">
        <f t="shared" si="83"/>
        <v>2025</v>
      </c>
      <c r="E5378">
        <v>38204</v>
      </c>
      <c r="F5378">
        <v>106116</v>
      </c>
      <c r="G5378">
        <v>36</v>
      </c>
      <c r="H5378" t="s">
        <v>10</v>
      </c>
      <c r="I5378" t="s">
        <v>11</v>
      </c>
    </row>
    <row r="5379" spans="1:9" hidden="1" x14ac:dyDescent="0.25">
      <c r="A5379" t="s">
        <v>17</v>
      </c>
      <c r="B5379" t="s">
        <v>117</v>
      </c>
      <c r="C5379">
        <v>202206</v>
      </c>
      <c r="D5379" t="str">
        <f t="shared" ref="D5379:D5442" si="84">LEFT(C5379,4)</f>
        <v>2022</v>
      </c>
      <c r="E5379">
        <v>2</v>
      </c>
      <c r="F5379">
        <v>102566</v>
      </c>
      <c r="G5379">
        <v>0</v>
      </c>
      <c r="H5379" t="s">
        <v>10</v>
      </c>
      <c r="I5379" t="s">
        <v>11</v>
      </c>
    </row>
    <row r="5380" spans="1:9" hidden="1" x14ac:dyDescent="0.25">
      <c r="A5380" t="s">
        <v>17</v>
      </c>
      <c r="B5380" t="s">
        <v>117</v>
      </c>
      <c r="C5380">
        <v>202209</v>
      </c>
      <c r="D5380" t="str">
        <f t="shared" si="84"/>
        <v>2022</v>
      </c>
      <c r="E5380">
        <v>1</v>
      </c>
      <c r="F5380">
        <v>102566</v>
      </c>
      <c r="G5380">
        <v>0</v>
      </c>
      <c r="H5380" t="s">
        <v>10</v>
      </c>
      <c r="I5380" t="s">
        <v>11</v>
      </c>
    </row>
    <row r="5381" spans="1:9" hidden="1" x14ac:dyDescent="0.25">
      <c r="A5381" t="s">
        <v>17</v>
      </c>
      <c r="B5381" t="s">
        <v>117</v>
      </c>
      <c r="C5381">
        <v>202212</v>
      </c>
      <c r="D5381" t="str">
        <f t="shared" si="84"/>
        <v>2022</v>
      </c>
      <c r="E5381">
        <v>4</v>
      </c>
      <c r="F5381">
        <v>102566</v>
      </c>
      <c r="G5381">
        <v>0</v>
      </c>
      <c r="H5381" t="s">
        <v>10</v>
      </c>
      <c r="I5381" t="s">
        <v>11</v>
      </c>
    </row>
    <row r="5382" spans="1:9" hidden="1" x14ac:dyDescent="0.25">
      <c r="A5382" t="s">
        <v>17</v>
      </c>
      <c r="B5382" t="s">
        <v>117</v>
      </c>
      <c r="C5382">
        <v>202301</v>
      </c>
      <c r="D5382" t="str">
        <f t="shared" si="84"/>
        <v>2023</v>
      </c>
      <c r="E5382">
        <v>3</v>
      </c>
      <c r="F5382">
        <v>102566</v>
      </c>
      <c r="G5382">
        <v>0</v>
      </c>
      <c r="H5382" t="s">
        <v>10</v>
      </c>
      <c r="I5382" t="s">
        <v>11</v>
      </c>
    </row>
    <row r="5383" spans="1:9" hidden="1" x14ac:dyDescent="0.25">
      <c r="A5383" t="s">
        <v>17</v>
      </c>
      <c r="B5383" t="s">
        <v>117</v>
      </c>
      <c r="C5383">
        <v>202303</v>
      </c>
      <c r="D5383" t="str">
        <f t="shared" si="84"/>
        <v>2023</v>
      </c>
      <c r="E5383">
        <v>2</v>
      </c>
      <c r="F5383">
        <v>102566</v>
      </c>
      <c r="G5383">
        <v>0</v>
      </c>
      <c r="H5383" t="s">
        <v>10</v>
      </c>
      <c r="I5383" t="s">
        <v>11</v>
      </c>
    </row>
    <row r="5384" spans="1:9" hidden="1" x14ac:dyDescent="0.25">
      <c r="A5384" t="s">
        <v>17</v>
      </c>
      <c r="B5384" t="s">
        <v>117</v>
      </c>
      <c r="C5384">
        <v>202304</v>
      </c>
      <c r="D5384" t="str">
        <f t="shared" si="84"/>
        <v>2023</v>
      </c>
      <c r="E5384">
        <v>1</v>
      </c>
      <c r="F5384">
        <v>102566</v>
      </c>
      <c r="G5384">
        <v>0</v>
      </c>
      <c r="H5384" t="s">
        <v>10</v>
      </c>
      <c r="I5384" t="s">
        <v>11</v>
      </c>
    </row>
    <row r="5385" spans="1:9" hidden="1" x14ac:dyDescent="0.25">
      <c r="A5385" t="s">
        <v>17</v>
      </c>
      <c r="B5385" t="s">
        <v>117</v>
      </c>
      <c r="C5385">
        <v>202305</v>
      </c>
      <c r="D5385" t="str">
        <f t="shared" si="84"/>
        <v>2023</v>
      </c>
      <c r="E5385">
        <v>21</v>
      </c>
      <c r="F5385">
        <v>102566</v>
      </c>
      <c r="G5385">
        <v>0.02</v>
      </c>
      <c r="H5385" t="s">
        <v>10</v>
      </c>
      <c r="I5385" t="s">
        <v>11</v>
      </c>
    </row>
    <row r="5386" spans="1:9" hidden="1" x14ac:dyDescent="0.25">
      <c r="A5386" t="s">
        <v>17</v>
      </c>
      <c r="B5386" t="s">
        <v>117</v>
      </c>
      <c r="C5386">
        <v>202306</v>
      </c>
      <c r="D5386" t="str">
        <f t="shared" si="84"/>
        <v>2023</v>
      </c>
      <c r="E5386">
        <v>12</v>
      </c>
      <c r="F5386">
        <v>102566</v>
      </c>
      <c r="G5386">
        <v>0.01</v>
      </c>
      <c r="H5386" t="s">
        <v>10</v>
      </c>
      <c r="I5386" t="s">
        <v>11</v>
      </c>
    </row>
    <row r="5387" spans="1:9" hidden="1" x14ac:dyDescent="0.25">
      <c r="A5387" t="s">
        <v>17</v>
      </c>
      <c r="B5387" t="s">
        <v>117</v>
      </c>
      <c r="C5387">
        <v>202307</v>
      </c>
      <c r="D5387" t="str">
        <f t="shared" si="84"/>
        <v>2023</v>
      </c>
      <c r="E5387">
        <v>34</v>
      </c>
      <c r="F5387">
        <v>102566</v>
      </c>
      <c r="G5387">
        <v>0.03</v>
      </c>
      <c r="H5387" t="s">
        <v>10</v>
      </c>
      <c r="I5387" t="s">
        <v>11</v>
      </c>
    </row>
    <row r="5388" spans="1:9" hidden="1" x14ac:dyDescent="0.25">
      <c r="A5388" t="s">
        <v>17</v>
      </c>
      <c r="B5388" t="s">
        <v>117</v>
      </c>
      <c r="C5388">
        <v>202308</v>
      </c>
      <c r="D5388" t="str">
        <f t="shared" si="84"/>
        <v>2023</v>
      </c>
      <c r="E5388">
        <v>9</v>
      </c>
      <c r="F5388">
        <v>102566</v>
      </c>
      <c r="G5388">
        <v>0.01</v>
      </c>
      <c r="H5388" t="s">
        <v>10</v>
      </c>
      <c r="I5388" t="s">
        <v>11</v>
      </c>
    </row>
    <row r="5389" spans="1:9" hidden="1" x14ac:dyDescent="0.25">
      <c r="A5389" t="s">
        <v>17</v>
      </c>
      <c r="B5389" t="s">
        <v>117</v>
      </c>
      <c r="C5389">
        <v>202309</v>
      </c>
      <c r="D5389" t="str">
        <f t="shared" si="84"/>
        <v>2023</v>
      </c>
      <c r="E5389">
        <v>46</v>
      </c>
      <c r="F5389">
        <v>102566</v>
      </c>
      <c r="G5389">
        <v>0.04</v>
      </c>
      <c r="H5389" t="s">
        <v>10</v>
      </c>
      <c r="I5389" t="s">
        <v>11</v>
      </c>
    </row>
    <row r="5390" spans="1:9" hidden="1" x14ac:dyDescent="0.25">
      <c r="A5390" t="s">
        <v>17</v>
      </c>
      <c r="B5390" t="s">
        <v>117</v>
      </c>
      <c r="C5390">
        <v>202310</v>
      </c>
      <c r="D5390" t="str">
        <f t="shared" si="84"/>
        <v>2023</v>
      </c>
      <c r="E5390">
        <v>66</v>
      </c>
      <c r="F5390">
        <v>102566</v>
      </c>
      <c r="G5390">
        <v>0.06</v>
      </c>
      <c r="H5390" t="s">
        <v>10</v>
      </c>
      <c r="I5390" t="s">
        <v>11</v>
      </c>
    </row>
    <row r="5391" spans="1:9" hidden="1" x14ac:dyDescent="0.25">
      <c r="A5391" t="s">
        <v>17</v>
      </c>
      <c r="B5391" t="s">
        <v>117</v>
      </c>
      <c r="C5391">
        <v>202311</v>
      </c>
      <c r="D5391" t="str">
        <f t="shared" si="84"/>
        <v>2023</v>
      </c>
      <c r="E5391">
        <v>54</v>
      </c>
      <c r="F5391">
        <v>102566</v>
      </c>
      <c r="G5391">
        <v>0.05</v>
      </c>
      <c r="H5391" t="s">
        <v>10</v>
      </c>
      <c r="I5391" t="s">
        <v>11</v>
      </c>
    </row>
    <row r="5392" spans="1:9" hidden="1" x14ac:dyDescent="0.25">
      <c r="A5392" t="s">
        <v>17</v>
      </c>
      <c r="B5392" t="s">
        <v>117</v>
      </c>
      <c r="C5392">
        <v>202312</v>
      </c>
      <c r="D5392" t="str">
        <f t="shared" si="84"/>
        <v>2023</v>
      </c>
      <c r="E5392">
        <v>32</v>
      </c>
      <c r="F5392">
        <v>102566</v>
      </c>
      <c r="G5392">
        <v>0.03</v>
      </c>
      <c r="H5392" t="s">
        <v>10</v>
      </c>
      <c r="I5392" t="s">
        <v>11</v>
      </c>
    </row>
    <row r="5393" spans="1:9" hidden="1" x14ac:dyDescent="0.25">
      <c r="A5393" t="s">
        <v>17</v>
      </c>
      <c r="B5393" t="s">
        <v>117</v>
      </c>
      <c r="C5393">
        <v>202401</v>
      </c>
      <c r="D5393" t="str">
        <f t="shared" si="84"/>
        <v>2024</v>
      </c>
      <c r="E5393">
        <v>49</v>
      </c>
      <c r="F5393">
        <v>102566</v>
      </c>
      <c r="G5393">
        <v>0.05</v>
      </c>
      <c r="H5393" t="s">
        <v>10</v>
      </c>
      <c r="I5393" t="s">
        <v>11</v>
      </c>
    </row>
    <row r="5394" spans="1:9" hidden="1" x14ac:dyDescent="0.25">
      <c r="A5394" t="s">
        <v>17</v>
      </c>
      <c r="B5394" t="s">
        <v>117</v>
      </c>
      <c r="C5394">
        <v>202402</v>
      </c>
      <c r="D5394" t="str">
        <f t="shared" si="84"/>
        <v>2024</v>
      </c>
      <c r="E5394">
        <v>111</v>
      </c>
      <c r="F5394">
        <v>102566</v>
      </c>
      <c r="G5394">
        <v>0.11</v>
      </c>
      <c r="H5394" t="s">
        <v>10</v>
      </c>
      <c r="I5394" t="s">
        <v>11</v>
      </c>
    </row>
    <row r="5395" spans="1:9" hidden="1" x14ac:dyDescent="0.25">
      <c r="A5395" t="s">
        <v>17</v>
      </c>
      <c r="B5395" t="s">
        <v>117</v>
      </c>
      <c r="C5395">
        <v>202403</v>
      </c>
      <c r="D5395" t="str">
        <f t="shared" si="84"/>
        <v>2024</v>
      </c>
      <c r="E5395">
        <v>126</v>
      </c>
      <c r="F5395">
        <v>102566</v>
      </c>
      <c r="G5395">
        <v>0.12</v>
      </c>
      <c r="H5395" t="s">
        <v>10</v>
      </c>
      <c r="I5395" t="s">
        <v>11</v>
      </c>
    </row>
    <row r="5396" spans="1:9" hidden="1" x14ac:dyDescent="0.25">
      <c r="A5396" t="s">
        <v>17</v>
      </c>
      <c r="B5396" t="s">
        <v>117</v>
      </c>
      <c r="C5396">
        <v>202404</v>
      </c>
      <c r="D5396" t="str">
        <f t="shared" si="84"/>
        <v>2024</v>
      </c>
      <c r="E5396">
        <v>156</v>
      </c>
      <c r="F5396">
        <v>102566</v>
      </c>
      <c r="G5396">
        <v>0.15</v>
      </c>
      <c r="H5396" t="s">
        <v>10</v>
      </c>
      <c r="I5396" t="s">
        <v>11</v>
      </c>
    </row>
    <row r="5397" spans="1:9" hidden="1" x14ac:dyDescent="0.25">
      <c r="A5397" t="s">
        <v>17</v>
      </c>
      <c r="B5397" t="s">
        <v>117</v>
      </c>
      <c r="C5397">
        <v>202405</v>
      </c>
      <c r="D5397" t="str">
        <f t="shared" si="84"/>
        <v>2024</v>
      </c>
      <c r="E5397">
        <v>184</v>
      </c>
      <c r="F5397">
        <v>102566</v>
      </c>
      <c r="G5397">
        <v>0.18</v>
      </c>
      <c r="H5397" t="s">
        <v>10</v>
      </c>
      <c r="I5397" t="s">
        <v>11</v>
      </c>
    </row>
    <row r="5398" spans="1:9" hidden="1" x14ac:dyDescent="0.25">
      <c r="A5398" t="s">
        <v>17</v>
      </c>
      <c r="B5398" t="s">
        <v>117</v>
      </c>
      <c r="C5398">
        <v>202406</v>
      </c>
      <c r="D5398" t="str">
        <f t="shared" si="84"/>
        <v>2024</v>
      </c>
      <c r="E5398">
        <v>224</v>
      </c>
      <c r="F5398">
        <v>102566</v>
      </c>
      <c r="G5398">
        <v>0.22</v>
      </c>
      <c r="H5398" t="s">
        <v>10</v>
      </c>
      <c r="I5398" t="s">
        <v>11</v>
      </c>
    </row>
    <row r="5399" spans="1:9" hidden="1" x14ac:dyDescent="0.25">
      <c r="A5399" t="s">
        <v>17</v>
      </c>
      <c r="B5399" t="s">
        <v>117</v>
      </c>
      <c r="C5399">
        <v>202407</v>
      </c>
      <c r="D5399" t="str">
        <f t="shared" si="84"/>
        <v>2024</v>
      </c>
      <c r="E5399">
        <v>242</v>
      </c>
      <c r="F5399">
        <v>102566</v>
      </c>
      <c r="G5399">
        <v>0.24</v>
      </c>
      <c r="H5399" t="s">
        <v>10</v>
      </c>
      <c r="I5399" t="s">
        <v>11</v>
      </c>
    </row>
    <row r="5400" spans="1:9" hidden="1" x14ac:dyDescent="0.25">
      <c r="A5400" t="s">
        <v>17</v>
      </c>
      <c r="B5400" t="s">
        <v>117</v>
      </c>
      <c r="C5400">
        <v>202408</v>
      </c>
      <c r="D5400" t="str">
        <f t="shared" si="84"/>
        <v>2024</v>
      </c>
      <c r="E5400">
        <v>287</v>
      </c>
      <c r="F5400">
        <v>102566</v>
      </c>
      <c r="G5400">
        <v>0.28000000000000003</v>
      </c>
      <c r="H5400" t="s">
        <v>10</v>
      </c>
      <c r="I5400" t="s">
        <v>11</v>
      </c>
    </row>
    <row r="5401" spans="1:9" hidden="1" x14ac:dyDescent="0.25">
      <c r="A5401" t="s">
        <v>17</v>
      </c>
      <c r="B5401" t="s">
        <v>117</v>
      </c>
      <c r="C5401">
        <v>202409</v>
      </c>
      <c r="D5401" t="str">
        <f t="shared" si="84"/>
        <v>2024</v>
      </c>
      <c r="E5401">
        <v>290</v>
      </c>
      <c r="F5401">
        <v>102566</v>
      </c>
      <c r="G5401">
        <v>0.28000000000000003</v>
      </c>
      <c r="H5401" t="s">
        <v>10</v>
      </c>
      <c r="I5401" t="s">
        <v>11</v>
      </c>
    </row>
    <row r="5402" spans="1:9" hidden="1" x14ac:dyDescent="0.25">
      <c r="A5402" t="s">
        <v>17</v>
      </c>
      <c r="B5402" t="s">
        <v>117</v>
      </c>
      <c r="C5402">
        <v>202410</v>
      </c>
      <c r="D5402" t="str">
        <f t="shared" si="84"/>
        <v>2024</v>
      </c>
      <c r="E5402">
        <v>557</v>
      </c>
      <c r="F5402">
        <v>102566</v>
      </c>
      <c r="G5402">
        <v>0.54</v>
      </c>
      <c r="H5402" t="s">
        <v>10</v>
      </c>
      <c r="I5402" t="s">
        <v>11</v>
      </c>
    </row>
    <row r="5403" spans="1:9" hidden="1" x14ac:dyDescent="0.25">
      <c r="A5403" t="s">
        <v>17</v>
      </c>
      <c r="B5403" t="s">
        <v>117</v>
      </c>
      <c r="C5403">
        <v>202411</v>
      </c>
      <c r="D5403" t="str">
        <f t="shared" si="84"/>
        <v>2024</v>
      </c>
      <c r="E5403">
        <v>509</v>
      </c>
      <c r="F5403">
        <v>102566</v>
      </c>
      <c r="G5403">
        <v>0.5</v>
      </c>
      <c r="H5403" t="s">
        <v>10</v>
      </c>
      <c r="I5403" t="s">
        <v>11</v>
      </c>
    </row>
    <row r="5404" spans="1:9" hidden="1" x14ac:dyDescent="0.25">
      <c r="A5404" t="s">
        <v>17</v>
      </c>
      <c r="B5404" t="s">
        <v>117</v>
      </c>
      <c r="C5404">
        <v>202412</v>
      </c>
      <c r="D5404" t="str">
        <f t="shared" si="84"/>
        <v>2024</v>
      </c>
      <c r="E5404">
        <v>1145</v>
      </c>
      <c r="F5404">
        <v>102566</v>
      </c>
      <c r="G5404">
        <v>1.1200000000000001</v>
      </c>
      <c r="H5404" t="s">
        <v>10</v>
      </c>
      <c r="I5404" t="s">
        <v>11</v>
      </c>
    </row>
    <row r="5405" spans="1:9" x14ac:dyDescent="0.25">
      <c r="A5405" t="s">
        <v>17</v>
      </c>
      <c r="B5405" t="s">
        <v>117</v>
      </c>
      <c r="C5405">
        <v>202501</v>
      </c>
      <c r="D5405" t="str">
        <f t="shared" si="84"/>
        <v>2025</v>
      </c>
      <c r="E5405">
        <v>1119</v>
      </c>
      <c r="F5405">
        <v>102566</v>
      </c>
      <c r="G5405">
        <v>1.0900000000000001</v>
      </c>
      <c r="H5405" t="s">
        <v>10</v>
      </c>
      <c r="I5405" t="s">
        <v>11</v>
      </c>
    </row>
    <row r="5406" spans="1:9" x14ac:dyDescent="0.25">
      <c r="A5406" t="s">
        <v>17</v>
      </c>
      <c r="B5406" t="s">
        <v>117</v>
      </c>
      <c r="C5406">
        <v>202502</v>
      </c>
      <c r="D5406" t="str">
        <f t="shared" si="84"/>
        <v>2025</v>
      </c>
      <c r="E5406">
        <v>2356</v>
      </c>
      <c r="F5406">
        <v>102566</v>
      </c>
      <c r="G5406">
        <v>2.2999999999999998</v>
      </c>
      <c r="H5406" t="s">
        <v>10</v>
      </c>
      <c r="I5406" t="s">
        <v>11</v>
      </c>
    </row>
    <row r="5407" spans="1:9" x14ac:dyDescent="0.25">
      <c r="A5407" t="s">
        <v>17</v>
      </c>
      <c r="B5407" t="s">
        <v>117</v>
      </c>
      <c r="C5407">
        <v>202503</v>
      </c>
      <c r="D5407" t="str">
        <f t="shared" si="84"/>
        <v>2025</v>
      </c>
      <c r="E5407">
        <v>2750</v>
      </c>
      <c r="F5407">
        <v>102566</v>
      </c>
      <c r="G5407">
        <v>2.68</v>
      </c>
      <c r="H5407" t="s">
        <v>10</v>
      </c>
      <c r="I5407" t="s">
        <v>11</v>
      </c>
    </row>
    <row r="5408" spans="1:9" x14ac:dyDescent="0.25">
      <c r="A5408" t="s">
        <v>17</v>
      </c>
      <c r="B5408" t="s">
        <v>117</v>
      </c>
      <c r="C5408">
        <v>202504</v>
      </c>
      <c r="D5408" t="str">
        <f t="shared" si="84"/>
        <v>2025</v>
      </c>
      <c r="E5408">
        <v>3698</v>
      </c>
      <c r="F5408">
        <v>102566</v>
      </c>
      <c r="G5408">
        <v>3.61</v>
      </c>
      <c r="H5408" t="s">
        <v>10</v>
      </c>
      <c r="I5408" t="s">
        <v>11</v>
      </c>
    </row>
    <row r="5409" spans="1:9" x14ac:dyDescent="0.25">
      <c r="A5409" t="s">
        <v>17</v>
      </c>
      <c r="B5409" t="s">
        <v>117</v>
      </c>
      <c r="C5409">
        <v>202505</v>
      </c>
      <c r="D5409" t="str">
        <f t="shared" si="84"/>
        <v>2025</v>
      </c>
      <c r="E5409">
        <v>4923</v>
      </c>
      <c r="F5409">
        <v>102566</v>
      </c>
      <c r="G5409">
        <v>4.8</v>
      </c>
      <c r="H5409" t="s">
        <v>10</v>
      </c>
      <c r="I5409" t="s">
        <v>11</v>
      </c>
    </row>
    <row r="5410" spans="1:9" x14ac:dyDescent="0.25">
      <c r="A5410" t="s">
        <v>17</v>
      </c>
      <c r="B5410" t="s">
        <v>117</v>
      </c>
      <c r="C5410">
        <v>202506</v>
      </c>
      <c r="D5410" t="str">
        <f t="shared" si="84"/>
        <v>2025</v>
      </c>
      <c r="E5410">
        <v>45864</v>
      </c>
      <c r="F5410">
        <v>102566</v>
      </c>
      <c r="G5410">
        <v>44.72</v>
      </c>
      <c r="H5410" t="s">
        <v>10</v>
      </c>
      <c r="I5410" t="s">
        <v>11</v>
      </c>
    </row>
    <row r="5411" spans="1:9" x14ac:dyDescent="0.25">
      <c r="A5411" t="s">
        <v>17</v>
      </c>
      <c r="B5411" t="s">
        <v>117</v>
      </c>
      <c r="C5411">
        <v>202507</v>
      </c>
      <c r="D5411" t="str">
        <f t="shared" si="84"/>
        <v>2025</v>
      </c>
      <c r="E5411">
        <v>37689</v>
      </c>
      <c r="F5411">
        <v>102566</v>
      </c>
      <c r="G5411">
        <v>36.75</v>
      </c>
      <c r="H5411" t="s">
        <v>10</v>
      </c>
      <c r="I5411" t="s">
        <v>11</v>
      </c>
    </row>
    <row r="5412" spans="1:9" hidden="1" x14ac:dyDescent="0.25">
      <c r="A5412" t="s">
        <v>17</v>
      </c>
      <c r="B5412" t="s">
        <v>191</v>
      </c>
      <c r="C5412">
        <v>202204</v>
      </c>
      <c r="D5412" t="str">
        <f t="shared" si="84"/>
        <v>2022</v>
      </c>
      <c r="E5412">
        <v>3</v>
      </c>
      <c r="F5412">
        <v>110218</v>
      </c>
      <c r="G5412">
        <v>0</v>
      </c>
      <c r="H5412" t="s">
        <v>10</v>
      </c>
      <c r="I5412" t="s">
        <v>11</v>
      </c>
    </row>
    <row r="5413" spans="1:9" hidden="1" x14ac:dyDescent="0.25">
      <c r="A5413" t="s">
        <v>17</v>
      </c>
      <c r="B5413" t="s">
        <v>191</v>
      </c>
      <c r="C5413">
        <v>202206</v>
      </c>
      <c r="D5413" t="str">
        <f t="shared" si="84"/>
        <v>2022</v>
      </c>
      <c r="E5413">
        <v>4</v>
      </c>
      <c r="F5413">
        <v>110218</v>
      </c>
      <c r="G5413">
        <v>0</v>
      </c>
      <c r="H5413" t="s">
        <v>10</v>
      </c>
      <c r="I5413" t="s">
        <v>11</v>
      </c>
    </row>
    <row r="5414" spans="1:9" hidden="1" x14ac:dyDescent="0.25">
      <c r="A5414" t="s">
        <v>17</v>
      </c>
      <c r="B5414" t="s">
        <v>191</v>
      </c>
      <c r="C5414">
        <v>202212</v>
      </c>
      <c r="D5414" t="str">
        <f t="shared" si="84"/>
        <v>2022</v>
      </c>
      <c r="E5414">
        <v>1</v>
      </c>
      <c r="F5414">
        <v>110218</v>
      </c>
      <c r="G5414">
        <v>0</v>
      </c>
      <c r="H5414" t="s">
        <v>10</v>
      </c>
      <c r="I5414" t="s">
        <v>11</v>
      </c>
    </row>
    <row r="5415" spans="1:9" hidden="1" x14ac:dyDescent="0.25">
      <c r="A5415" t="s">
        <v>17</v>
      </c>
      <c r="B5415" t="s">
        <v>191</v>
      </c>
      <c r="C5415">
        <v>202307</v>
      </c>
      <c r="D5415" t="str">
        <f t="shared" si="84"/>
        <v>2023</v>
      </c>
      <c r="E5415">
        <v>6</v>
      </c>
      <c r="F5415">
        <v>110218</v>
      </c>
      <c r="G5415">
        <v>0.01</v>
      </c>
      <c r="H5415" t="s">
        <v>10</v>
      </c>
      <c r="I5415" t="s">
        <v>11</v>
      </c>
    </row>
    <row r="5416" spans="1:9" hidden="1" x14ac:dyDescent="0.25">
      <c r="A5416" t="s">
        <v>17</v>
      </c>
      <c r="B5416" t="s">
        <v>191</v>
      </c>
      <c r="C5416">
        <v>202308</v>
      </c>
      <c r="D5416" t="str">
        <f t="shared" si="84"/>
        <v>2023</v>
      </c>
      <c r="E5416">
        <v>14</v>
      </c>
      <c r="F5416">
        <v>110218</v>
      </c>
      <c r="G5416">
        <v>0.01</v>
      </c>
      <c r="H5416" t="s">
        <v>10</v>
      </c>
      <c r="I5416" t="s">
        <v>11</v>
      </c>
    </row>
    <row r="5417" spans="1:9" hidden="1" x14ac:dyDescent="0.25">
      <c r="A5417" t="s">
        <v>17</v>
      </c>
      <c r="B5417" t="s">
        <v>191</v>
      </c>
      <c r="C5417">
        <v>202309</v>
      </c>
      <c r="D5417" t="str">
        <f t="shared" si="84"/>
        <v>2023</v>
      </c>
      <c r="E5417">
        <v>4</v>
      </c>
      <c r="F5417">
        <v>110218</v>
      </c>
      <c r="G5417">
        <v>0</v>
      </c>
      <c r="H5417" t="s">
        <v>10</v>
      </c>
      <c r="I5417" t="s">
        <v>11</v>
      </c>
    </row>
    <row r="5418" spans="1:9" hidden="1" x14ac:dyDescent="0.25">
      <c r="A5418" t="s">
        <v>17</v>
      </c>
      <c r="B5418" t="s">
        <v>191</v>
      </c>
      <c r="C5418">
        <v>202310</v>
      </c>
      <c r="D5418" t="str">
        <f t="shared" si="84"/>
        <v>2023</v>
      </c>
      <c r="E5418">
        <v>25</v>
      </c>
      <c r="F5418">
        <v>110218</v>
      </c>
      <c r="G5418">
        <v>0.02</v>
      </c>
      <c r="H5418" t="s">
        <v>10</v>
      </c>
      <c r="I5418" t="s">
        <v>11</v>
      </c>
    </row>
    <row r="5419" spans="1:9" hidden="1" x14ac:dyDescent="0.25">
      <c r="A5419" t="s">
        <v>17</v>
      </c>
      <c r="B5419" t="s">
        <v>191</v>
      </c>
      <c r="C5419">
        <v>202312</v>
      </c>
      <c r="D5419" t="str">
        <f t="shared" si="84"/>
        <v>2023</v>
      </c>
      <c r="E5419">
        <v>1</v>
      </c>
      <c r="F5419">
        <v>110218</v>
      </c>
      <c r="G5419">
        <v>0</v>
      </c>
      <c r="H5419" t="s">
        <v>10</v>
      </c>
      <c r="I5419" t="s">
        <v>11</v>
      </c>
    </row>
    <row r="5420" spans="1:9" hidden="1" x14ac:dyDescent="0.25">
      <c r="A5420" t="s">
        <v>17</v>
      </c>
      <c r="B5420" t="s">
        <v>191</v>
      </c>
      <c r="C5420">
        <v>202401</v>
      </c>
      <c r="D5420" t="str">
        <f t="shared" si="84"/>
        <v>2024</v>
      </c>
      <c r="E5420">
        <v>337</v>
      </c>
      <c r="F5420">
        <v>110218</v>
      </c>
      <c r="G5420">
        <v>0.31</v>
      </c>
      <c r="H5420" t="s">
        <v>10</v>
      </c>
      <c r="I5420" t="s">
        <v>11</v>
      </c>
    </row>
    <row r="5421" spans="1:9" hidden="1" x14ac:dyDescent="0.25">
      <c r="A5421" t="s">
        <v>17</v>
      </c>
      <c r="B5421" t="s">
        <v>191</v>
      </c>
      <c r="C5421">
        <v>202402</v>
      </c>
      <c r="D5421" t="str">
        <f t="shared" si="84"/>
        <v>2024</v>
      </c>
      <c r="E5421">
        <v>369</v>
      </c>
      <c r="F5421">
        <v>110218</v>
      </c>
      <c r="G5421">
        <v>0.33</v>
      </c>
      <c r="H5421" t="s">
        <v>10</v>
      </c>
      <c r="I5421" t="s">
        <v>11</v>
      </c>
    </row>
    <row r="5422" spans="1:9" hidden="1" x14ac:dyDescent="0.25">
      <c r="A5422" t="s">
        <v>17</v>
      </c>
      <c r="B5422" t="s">
        <v>191</v>
      </c>
      <c r="C5422">
        <v>202403</v>
      </c>
      <c r="D5422" t="str">
        <f t="shared" si="84"/>
        <v>2024</v>
      </c>
      <c r="E5422">
        <v>518</v>
      </c>
      <c r="F5422">
        <v>110218</v>
      </c>
      <c r="G5422">
        <v>0.47</v>
      </c>
      <c r="H5422" t="s">
        <v>10</v>
      </c>
      <c r="I5422" t="s">
        <v>11</v>
      </c>
    </row>
    <row r="5423" spans="1:9" hidden="1" x14ac:dyDescent="0.25">
      <c r="A5423" t="s">
        <v>17</v>
      </c>
      <c r="B5423" t="s">
        <v>191</v>
      </c>
      <c r="C5423">
        <v>202404</v>
      </c>
      <c r="D5423" t="str">
        <f t="shared" si="84"/>
        <v>2024</v>
      </c>
      <c r="E5423">
        <v>455</v>
      </c>
      <c r="F5423">
        <v>110218</v>
      </c>
      <c r="G5423">
        <v>0.41</v>
      </c>
      <c r="H5423" t="s">
        <v>10</v>
      </c>
      <c r="I5423" t="s">
        <v>11</v>
      </c>
    </row>
    <row r="5424" spans="1:9" hidden="1" x14ac:dyDescent="0.25">
      <c r="A5424" t="s">
        <v>17</v>
      </c>
      <c r="B5424" t="s">
        <v>191</v>
      </c>
      <c r="C5424">
        <v>202405</v>
      </c>
      <c r="D5424" t="str">
        <f t="shared" si="84"/>
        <v>2024</v>
      </c>
      <c r="E5424">
        <v>537</v>
      </c>
      <c r="F5424">
        <v>110218</v>
      </c>
      <c r="G5424">
        <v>0.49</v>
      </c>
      <c r="H5424" t="s">
        <v>10</v>
      </c>
      <c r="I5424" t="s">
        <v>11</v>
      </c>
    </row>
    <row r="5425" spans="1:9" hidden="1" x14ac:dyDescent="0.25">
      <c r="A5425" t="s">
        <v>17</v>
      </c>
      <c r="B5425" t="s">
        <v>191</v>
      </c>
      <c r="C5425">
        <v>202406</v>
      </c>
      <c r="D5425" t="str">
        <f t="shared" si="84"/>
        <v>2024</v>
      </c>
      <c r="E5425">
        <v>520</v>
      </c>
      <c r="F5425">
        <v>110218</v>
      </c>
      <c r="G5425">
        <v>0.47</v>
      </c>
      <c r="H5425" t="s">
        <v>10</v>
      </c>
      <c r="I5425" t="s">
        <v>11</v>
      </c>
    </row>
    <row r="5426" spans="1:9" hidden="1" x14ac:dyDescent="0.25">
      <c r="A5426" t="s">
        <v>17</v>
      </c>
      <c r="B5426" t="s">
        <v>191</v>
      </c>
      <c r="C5426">
        <v>202407</v>
      </c>
      <c r="D5426" t="str">
        <f t="shared" si="84"/>
        <v>2024</v>
      </c>
      <c r="E5426">
        <v>755</v>
      </c>
      <c r="F5426">
        <v>110218</v>
      </c>
      <c r="G5426">
        <v>0.69</v>
      </c>
      <c r="H5426" t="s">
        <v>10</v>
      </c>
      <c r="I5426" t="s">
        <v>11</v>
      </c>
    </row>
    <row r="5427" spans="1:9" hidden="1" x14ac:dyDescent="0.25">
      <c r="A5427" t="s">
        <v>17</v>
      </c>
      <c r="B5427" t="s">
        <v>191</v>
      </c>
      <c r="C5427">
        <v>202408</v>
      </c>
      <c r="D5427" t="str">
        <f t="shared" si="84"/>
        <v>2024</v>
      </c>
      <c r="E5427">
        <v>516</v>
      </c>
      <c r="F5427">
        <v>110218</v>
      </c>
      <c r="G5427">
        <v>0.47</v>
      </c>
      <c r="H5427" t="s">
        <v>10</v>
      </c>
      <c r="I5427" t="s">
        <v>11</v>
      </c>
    </row>
    <row r="5428" spans="1:9" hidden="1" x14ac:dyDescent="0.25">
      <c r="A5428" t="s">
        <v>17</v>
      </c>
      <c r="B5428" t="s">
        <v>191</v>
      </c>
      <c r="C5428">
        <v>202409</v>
      </c>
      <c r="D5428" t="str">
        <f t="shared" si="84"/>
        <v>2024</v>
      </c>
      <c r="E5428">
        <v>635</v>
      </c>
      <c r="F5428">
        <v>110218</v>
      </c>
      <c r="G5428">
        <v>0.57999999999999996</v>
      </c>
      <c r="H5428" t="s">
        <v>10</v>
      </c>
      <c r="I5428" t="s">
        <v>11</v>
      </c>
    </row>
    <row r="5429" spans="1:9" hidden="1" x14ac:dyDescent="0.25">
      <c r="A5429" t="s">
        <v>17</v>
      </c>
      <c r="B5429" t="s">
        <v>191</v>
      </c>
      <c r="C5429">
        <v>202410</v>
      </c>
      <c r="D5429" t="str">
        <f t="shared" si="84"/>
        <v>2024</v>
      </c>
      <c r="E5429">
        <v>1205</v>
      </c>
      <c r="F5429">
        <v>110218</v>
      </c>
      <c r="G5429">
        <v>1.0900000000000001</v>
      </c>
      <c r="H5429" t="s">
        <v>10</v>
      </c>
      <c r="I5429" t="s">
        <v>11</v>
      </c>
    </row>
    <row r="5430" spans="1:9" hidden="1" x14ac:dyDescent="0.25">
      <c r="A5430" t="s">
        <v>17</v>
      </c>
      <c r="B5430" t="s">
        <v>191</v>
      </c>
      <c r="C5430">
        <v>202411</v>
      </c>
      <c r="D5430" t="str">
        <f t="shared" si="84"/>
        <v>2024</v>
      </c>
      <c r="E5430">
        <v>1574</v>
      </c>
      <c r="F5430">
        <v>110218</v>
      </c>
      <c r="G5430">
        <v>1.43</v>
      </c>
      <c r="H5430" t="s">
        <v>10</v>
      </c>
      <c r="I5430" t="s">
        <v>11</v>
      </c>
    </row>
    <row r="5431" spans="1:9" hidden="1" x14ac:dyDescent="0.25">
      <c r="A5431" t="s">
        <v>17</v>
      </c>
      <c r="B5431" t="s">
        <v>191</v>
      </c>
      <c r="C5431">
        <v>202412</v>
      </c>
      <c r="D5431" t="str">
        <f t="shared" si="84"/>
        <v>2024</v>
      </c>
      <c r="E5431">
        <v>3478</v>
      </c>
      <c r="F5431">
        <v>110218</v>
      </c>
      <c r="G5431">
        <v>3.16</v>
      </c>
      <c r="H5431" t="s">
        <v>10</v>
      </c>
      <c r="I5431" t="s">
        <v>11</v>
      </c>
    </row>
    <row r="5432" spans="1:9" x14ac:dyDescent="0.25">
      <c r="A5432" t="s">
        <v>17</v>
      </c>
      <c r="B5432" t="s">
        <v>191</v>
      </c>
      <c r="C5432">
        <v>202501</v>
      </c>
      <c r="D5432" t="str">
        <f t="shared" si="84"/>
        <v>2025</v>
      </c>
      <c r="E5432">
        <v>6560</v>
      </c>
      <c r="F5432">
        <v>110218</v>
      </c>
      <c r="G5432">
        <v>5.95</v>
      </c>
      <c r="H5432" t="s">
        <v>10</v>
      </c>
      <c r="I5432" t="s">
        <v>11</v>
      </c>
    </row>
    <row r="5433" spans="1:9" x14ac:dyDescent="0.25">
      <c r="A5433" t="s">
        <v>17</v>
      </c>
      <c r="B5433" t="s">
        <v>191</v>
      </c>
      <c r="C5433">
        <v>202502</v>
      </c>
      <c r="D5433" t="str">
        <f t="shared" si="84"/>
        <v>2025</v>
      </c>
      <c r="E5433">
        <v>5480</v>
      </c>
      <c r="F5433">
        <v>110218</v>
      </c>
      <c r="G5433">
        <v>4.97</v>
      </c>
      <c r="H5433" t="s">
        <v>10</v>
      </c>
      <c r="I5433" t="s">
        <v>11</v>
      </c>
    </row>
    <row r="5434" spans="1:9" x14ac:dyDescent="0.25">
      <c r="A5434" t="s">
        <v>17</v>
      </c>
      <c r="B5434" t="s">
        <v>191</v>
      </c>
      <c r="C5434">
        <v>202503</v>
      </c>
      <c r="D5434" t="str">
        <f t="shared" si="84"/>
        <v>2025</v>
      </c>
      <c r="E5434">
        <v>2229</v>
      </c>
      <c r="F5434">
        <v>110218</v>
      </c>
      <c r="G5434">
        <v>2.02</v>
      </c>
      <c r="H5434" t="s">
        <v>10</v>
      </c>
      <c r="I5434" t="s">
        <v>11</v>
      </c>
    </row>
    <row r="5435" spans="1:9" x14ac:dyDescent="0.25">
      <c r="A5435" t="s">
        <v>17</v>
      </c>
      <c r="B5435" t="s">
        <v>191</v>
      </c>
      <c r="C5435">
        <v>202504</v>
      </c>
      <c r="D5435" t="str">
        <f t="shared" si="84"/>
        <v>2025</v>
      </c>
      <c r="E5435">
        <v>1462</v>
      </c>
      <c r="F5435">
        <v>110218</v>
      </c>
      <c r="G5435">
        <v>1.33</v>
      </c>
      <c r="H5435" t="s">
        <v>10</v>
      </c>
      <c r="I5435" t="s">
        <v>11</v>
      </c>
    </row>
    <row r="5436" spans="1:9" x14ac:dyDescent="0.25">
      <c r="A5436" t="s">
        <v>17</v>
      </c>
      <c r="B5436" t="s">
        <v>191</v>
      </c>
      <c r="C5436">
        <v>202505</v>
      </c>
      <c r="D5436" t="str">
        <f t="shared" si="84"/>
        <v>2025</v>
      </c>
      <c r="E5436">
        <v>1571</v>
      </c>
      <c r="F5436">
        <v>110218</v>
      </c>
      <c r="G5436">
        <v>1.43</v>
      </c>
      <c r="H5436" t="s">
        <v>10</v>
      </c>
      <c r="I5436" t="s">
        <v>11</v>
      </c>
    </row>
    <row r="5437" spans="1:9" x14ac:dyDescent="0.25">
      <c r="A5437" t="s">
        <v>17</v>
      </c>
      <c r="B5437" t="s">
        <v>191</v>
      </c>
      <c r="C5437">
        <v>202506</v>
      </c>
      <c r="D5437" t="str">
        <f t="shared" si="84"/>
        <v>2025</v>
      </c>
      <c r="E5437">
        <v>3817</v>
      </c>
      <c r="F5437">
        <v>110218</v>
      </c>
      <c r="G5437">
        <v>3.46</v>
      </c>
      <c r="H5437" t="s">
        <v>10</v>
      </c>
      <c r="I5437" t="s">
        <v>11</v>
      </c>
    </row>
    <row r="5438" spans="1:9" x14ac:dyDescent="0.25">
      <c r="A5438" t="s">
        <v>17</v>
      </c>
      <c r="B5438" t="s">
        <v>191</v>
      </c>
      <c r="C5438">
        <v>202507</v>
      </c>
      <c r="D5438" t="str">
        <f t="shared" si="84"/>
        <v>2025</v>
      </c>
      <c r="E5438">
        <v>45337</v>
      </c>
      <c r="F5438">
        <v>110218</v>
      </c>
      <c r="G5438">
        <v>41.13</v>
      </c>
      <c r="H5438" t="s">
        <v>10</v>
      </c>
      <c r="I5438" t="s">
        <v>11</v>
      </c>
    </row>
    <row r="5439" spans="1:9" x14ac:dyDescent="0.25">
      <c r="A5439" t="s">
        <v>17</v>
      </c>
      <c r="B5439" t="s">
        <v>191</v>
      </c>
      <c r="C5439">
        <v>202508</v>
      </c>
      <c r="D5439" t="str">
        <f t="shared" si="84"/>
        <v>2025</v>
      </c>
      <c r="E5439">
        <v>32805</v>
      </c>
      <c r="F5439">
        <v>110218</v>
      </c>
      <c r="G5439">
        <v>29.76</v>
      </c>
      <c r="H5439" t="s">
        <v>10</v>
      </c>
      <c r="I5439" t="s">
        <v>11</v>
      </c>
    </row>
    <row r="5440" spans="1:9" hidden="1" x14ac:dyDescent="0.25">
      <c r="A5440" t="s">
        <v>17</v>
      </c>
      <c r="B5440" t="s">
        <v>114</v>
      </c>
      <c r="C5440">
        <v>202307</v>
      </c>
      <c r="D5440" t="str">
        <f t="shared" si="84"/>
        <v>2023</v>
      </c>
      <c r="E5440">
        <v>1</v>
      </c>
      <c r="F5440">
        <v>112163</v>
      </c>
      <c r="G5440">
        <v>0</v>
      </c>
      <c r="H5440" t="s">
        <v>10</v>
      </c>
      <c r="I5440" t="s">
        <v>11</v>
      </c>
    </row>
    <row r="5441" spans="1:9" hidden="1" x14ac:dyDescent="0.25">
      <c r="A5441" t="s">
        <v>17</v>
      </c>
      <c r="B5441" t="s">
        <v>114</v>
      </c>
      <c r="C5441">
        <v>202308</v>
      </c>
      <c r="D5441" t="str">
        <f t="shared" si="84"/>
        <v>2023</v>
      </c>
      <c r="E5441">
        <v>9</v>
      </c>
      <c r="F5441">
        <v>112163</v>
      </c>
      <c r="G5441">
        <v>0.01</v>
      </c>
      <c r="H5441" t="s">
        <v>10</v>
      </c>
      <c r="I5441" t="s">
        <v>11</v>
      </c>
    </row>
    <row r="5442" spans="1:9" hidden="1" x14ac:dyDescent="0.25">
      <c r="A5442" t="s">
        <v>17</v>
      </c>
      <c r="B5442" t="s">
        <v>114</v>
      </c>
      <c r="C5442">
        <v>202309</v>
      </c>
      <c r="D5442" t="str">
        <f t="shared" si="84"/>
        <v>2023</v>
      </c>
      <c r="E5442">
        <v>19</v>
      </c>
      <c r="F5442">
        <v>112163</v>
      </c>
      <c r="G5442">
        <v>0.02</v>
      </c>
      <c r="H5442" t="s">
        <v>10</v>
      </c>
      <c r="I5442" t="s">
        <v>11</v>
      </c>
    </row>
    <row r="5443" spans="1:9" hidden="1" x14ac:dyDescent="0.25">
      <c r="A5443" t="s">
        <v>17</v>
      </c>
      <c r="B5443" t="s">
        <v>114</v>
      </c>
      <c r="C5443">
        <v>202310</v>
      </c>
      <c r="D5443" t="str">
        <f t="shared" ref="D5443:D5506" si="85">LEFT(C5443,4)</f>
        <v>2023</v>
      </c>
      <c r="E5443">
        <v>14</v>
      </c>
      <c r="F5443">
        <v>112163</v>
      </c>
      <c r="G5443">
        <v>0.01</v>
      </c>
      <c r="H5443" t="s">
        <v>10</v>
      </c>
      <c r="I5443" t="s">
        <v>11</v>
      </c>
    </row>
    <row r="5444" spans="1:9" hidden="1" x14ac:dyDescent="0.25">
      <c r="A5444" t="s">
        <v>17</v>
      </c>
      <c r="B5444" t="s">
        <v>114</v>
      </c>
      <c r="C5444">
        <v>202311</v>
      </c>
      <c r="D5444" t="str">
        <f t="shared" si="85"/>
        <v>2023</v>
      </c>
      <c r="E5444">
        <v>16</v>
      </c>
      <c r="F5444">
        <v>112163</v>
      </c>
      <c r="G5444">
        <v>0.01</v>
      </c>
      <c r="H5444" t="s">
        <v>10</v>
      </c>
      <c r="I5444" t="s">
        <v>11</v>
      </c>
    </row>
    <row r="5445" spans="1:9" hidden="1" x14ac:dyDescent="0.25">
      <c r="A5445" t="s">
        <v>17</v>
      </c>
      <c r="B5445" t="s">
        <v>114</v>
      </c>
      <c r="C5445">
        <v>202312</v>
      </c>
      <c r="D5445" t="str">
        <f t="shared" si="85"/>
        <v>2023</v>
      </c>
      <c r="E5445">
        <v>6</v>
      </c>
      <c r="F5445">
        <v>112163</v>
      </c>
      <c r="G5445">
        <v>0.01</v>
      </c>
      <c r="H5445" t="s">
        <v>10</v>
      </c>
      <c r="I5445" t="s">
        <v>11</v>
      </c>
    </row>
    <row r="5446" spans="1:9" hidden="1" x14ac:dyDescent="0.25">
      <c r="A5446" t="s">
        <v>17</v>
      </c>
      <c r="B5446" t="s">
        <v>114</v>
      </c>
      <c r="C5446">
        <v>202401</v>
      </c>
      <c r="D5446" t="str">
        <f t="shared" si="85"/>
        <v>2024</v>
      </c>
      <c r="E5446">
        <v>271</v>
      </c>
      <c r="F5446">
        <v>112163</v>
      </c>
      <c r="G5446">
        <v>0.24</v>
      </c>
      <c r="H5446" t="s">
        <v>10</v>
      </c>
      <c r="I5446" t="s">
        <v>11</v>
      </c>
    </row>
    <row r="5447" spans="1:9" hidden="1" x14ac:dyDescent="0.25">
      <c r="A5447" t="s">
        <v>17</v>
      </c>
      <c r="B5447" t="s">
        <v>114</v>
      </c>
      <c r="C5447">
        <v>202402</v>
      </c>
      <c r="D5447" t="str">
        <f t="shared" si="85"/>
        <v>2024</v>
      </c>
      <c r="E5447">
        <v>257</v>
      </c>
      <c r="F5447">
        <v>112163</v>
      </c>
      <c r="G5447">
        <v>0.23</v>
      </c>
      <c r="H5447" t="s">
        <v>10</v>
      </c>
      <c r="I5447" t="s">
        <v>11</v>
      </c>
    </row>
    <row r="5448" spans="1:9" hidden="1" x14ac:dyDescent="0.25">
      <c r="A5448" t="s">
        <v>17</v>
      </c>
      <c r="B5448" t="s">
        <v>114</v>
      </c>
      <c r="C5448">
        <v>202403</v>
      </c>
      <c r="D5448" t="str">
        <f t="shared" si="85"/>
        <v>2024</v>
      </c>
      <c r="E5448">
        <v>272</v>
      </c>
      <c r="F5448">
        <v>112163</v>
      </c>
      <c r="G5448">
        <v>0.24</v>
      </c>
      <c r="H5448" t="s">
        <v>10</v>
      </c>
      <c r="I5448" t="s">
        <v>11</v>
      </c>
    </row>
    <row r="5449" spans="1:9" hidden="1" x14ac:dyDescent="0.25">
      <c r="A5449" t="s">
        <v>17</v>
      </c>
      <c r="B5449" t="s">
        <v>114</v>
      </c>
      <c r="C5449">
        <v>202404</v>
      </c>
      <c r="D5449" t="str">
        <f t="shared" si="85"/>
        <v>2024</v>
      </c>
      <c r="E5449">
        <v>198</v>
      </c>
      <c r="F5449">
        <v>112163</v>
      </c>
      <c r="G5449">
        <v>0.18</v>
      </c>
      <c r="H5449" t="s">
        <v>10</v>
      </c>
      <c r="I5449" t="s">
        <v>11</v>
      </c>
    </row>
    <row r="5450" spans="1:9" hidden="1" x14ac:dyDescent="0.25">
      <c r="A5450" t="s">
        <v>17</v>
      </c>
      <c r="B5450" t="s">
        <v>114</v>
      </c>
      <c r="C5450">
        <v>202405</v>
      </c>
      <c r="D5450" t="str">
        <f t="shared" si="85"/>
        <v>2024</v>
      </c>
      <c r="E5450">
        <v>159</v>
      </c>
      <c r="F5450">
        <v>112163</v>
      </c>
      <c r="G5450">
        <v>0.14000000000000001</v>
      </c>
      <c r="H5450" t="s">
        <v>10</v>
      </c>
      <c r="I5450" t="s">
        <v>11</v>
      </c>
    </row>
    <row r="5451" spans="1:9" hidden="1" x14ac:dyDescent="0.25">
      <c r="A5451" t="s">
        <v>17</v>
      </c>
      <c r="B5451" t="s">
        <v>114</v>
      </c>
      <c r="C5451">
        <v>202406</v>
      </c>
      <c r="D5451" t="str">
        <f t="shared" si="85"/>
        <v>2024</v>
      </c>
      <c r="E5451">
        <v>205</v>
      </c>
      <c r="F5451">
        <v>112163</v>
      </c>
      <c r="G5451">
        <v>0.18</v>
      </c>
      <c r="H5451" t="s">
        <v>10</v>
      </c>
      <c r="I5451" t="s">
        <v>11</v>
      </c>
    </row>
    <row r="5452" spans="1:9" hidden="1" x14ac:dyDescent="0.25">
      <c r="A5452" t="s">
        <v>17</v>
      </c>
      <c r="B5452" t="s">
        <v>114</v>
      </c>
      <c r="C5452">
        <v>202407</v>
      </c>
      <c r="D5452" t="str">
        <f t="shared" si="85"/>
        <v>2024</v>
      </c>
      <c r="E5452">
        <v>300</v>
      </c>
      <c r="F5452">
        <v>112163</v>
      </c>
      <c r="G5452">
        <v>0.27</v>
      </c>
      <c r="H5452" t="s">
        <v>10</v>
      </c>
      <c r="I5452" t="s">
        <v>11</v>
      </c>
    </row>
    <row r="5453" spans="1:9" hidden="1" x14ac:dyDescent="0.25">
      <c r="A5453" t="s">
        <v>17</v>
      </c>
      <c r="B5453" t="s">
        <v>114</v>
      </c>
      <c r="C5453">
        <v>202408</v>
      </c>
      <c r="D5453" t="str">
        <f t="shared" si="85"/>
        <v>2024</v>
      </c>
      <c r="E5453">
        <v>261</v>
      </c>
      <c r="F5453">
        <v>112163</v>
      </c>
      <c r="G5453">
        <v>0.23</v>
      </c>
      <c r="H5453" t="s">
        <v>10</v>
      </c>
      <c r="I5453" t="s">
        <v>11</v>
      </c>
    </row>
    <row r="5454" spans="1:9" hidden="1" x14ac:dyDescent="0.25">
      <c r="A5454" t="s">
        <v>17</v>
      </c>
      <c r="B5454" t="s">
        <v>114</v>
      </c>
      <c r="C5454">
        <v>202409</v>
      </c>
      <c r="D5454" t="str">
        <f t="shared" si="85"/>
        <v>2024</v>
      </c>
      <c r="E5454">
        <v>237</v>
      </c>
      <c r="F5454">
        <v>112163</v>
      </c>
      <c r="G5454">
        <v>0.21</v>
      </c>
      <c r="H5454" t="s">
        <v>10</v>
      </c>
      <c r="I5454" t="s">
        <v>11</v>
      </c>
    </row>
    <row r="5455" spans="1:9" hidden="1" x14ac:dyDescent="0.25">
      <c r="A5455" t="s">
        <v>17</v>
      </c>
      <c r="B5455" t="s">
        <v>114</v>
      </c>
      <c r="C5455">
        <v>202410</v>
      </c>
      <c r="D5455" t="str">
        <f t="shared" si="85"/>
        <v>2024</v>
      </c>
      <c r="E5455">
        <v>1288</v>
      </c>
      <c r="F5455">
        <v>112163</v>
      </c>
      <c r="G5455">
        <v>1.1499999999999999</v>
      </c>
      <c r="H5455" t="s">
        <v>10</v>
      </c>
      <c r="I5455" t="s">
        <v>11</v>
      </c>
    </row>
    <row r="5456" spans="1:9" hidden="1" x14ac:dyDescent="0.25">
      <c r="A5456" t="s">
        <v>17</v>
      </c>
      <c r="B5456" t="s">
        <v>114</v>
      </c>
      <c r="C5456">
        <v>202411</v>
      </c>
      <c r="D5456" t="str">
        <f t="shared" si="85"/>
        <v>2024</v>
      </c>
      <c r="E5456">
        <v>1176</v>
      </c>
      <c r="F5456">
        <v>112163</v>
      </c>
      <c r="G5456">
        <v>1.05</v>
      </c>
      <c r="H5456" t="s">
        <v>10</v>
      </c>
      <c r="I5456" t="s">
        <v>11</v>
      </c>
    </row>
    <row r="5457" spans="1:9" hidden="1" x14ac:dyDescent="0.25">
      <c r="A5457" t="s">
        <v>17</v>
      </c>
      <c r="B5457" t="s">
        <v>114</v>
      </c>
      <c r="C5457">
        <v>202412</v>
      </c>
      <c r="D5457" t="str">
        <f t="shared" si="85"/>
        <v>2024</v>
      </c>
      <c r="E5457">
        <v>2986</v>
      </c>
      <c r="F5457">
        <v>112163</v>
      </c>
      <c r="G5457">
        <v>2.66</v>
      </c>
      <c r="H5457" t="s">
        <v>10</v>
      </c>
      <c r="I5457" t="s">
        <v>11</v>
      </c>
    </row>
    <row r="5458" spans="1:9" x14ac:dyDescent="0.25">
      <c r="A5458" t="s">
        <v>17</v>
      </c>
      <c r="B5458" t="s">
        <v>114</v>
      </c>
      <c r="C5458">
        <v>202501</v>
      </c>
      <c r="D5458" t="str">
        <f t="shared" si="85"/>
        <v>2025</v>
      </c>
      <c r="E5458">
        <v>3938</v>
      </c>
      <c r="F5458">
        <v>112163</v>
      </c>
      <c r="G5458">
        <v>3.51</v>
      </c>
      <c r="H5458" t="s">
        <v>10</v>
      </c>
      <c r="I5458" t="s">
        <v>11</v>
      </c>
    </row>
    <row r="5459" spans="1:9" x14ac:dyDescent="0.25">
      <c r="A5459" t="s">
        <v>17</v>
      </c>
      <c r="B5459" t="s">
        <v>114</v>
      </c>
      <c r="C5459">
        <v>202502</v>
      </c>
      <c r="D5459" t="str">
        <f t="shared" si="85"/>
        <v>2025</v>
      </c>
      <c r="E5459">
        <v>5033</v>
      </c>
      <c r="F5459">
        <v>112163</v>
      </c>
      <c r="G5459">
        <v>4.49</v>
      </c>
      <c r="H5459" t="s">
        <v>10</v>
      </c>
      <c r="I5459" t="s">
        <v>11</v>
      </c>
    </row>
    <row r="5460" spans="1:9" x14ac:dyDescent="0.25">
      <c r="A5460" t="s">
        <v>17</v>
      </c>
      <c r="B5460" t="s">
        <v>114</v>
      </c>
      <c r="C5460">
        <v>202503</v>
      </c>
      <c r="D5460" t="str">
        <f t="shared" si="85"/>
        <v>2025</v>
      </c>
      <c r="E5460">
        <v>2556</v>
      </c>
      <c r="F5460">
        <v>112163</v>
      </c>
      <c r="G5460">
        <v>2.2799999999999998</v>
      </c>
      <c r="H5460" t="s">
        <v>10</v>
      </c>
      <c r="I5460" t="s">
        <v>11</v>
      </c>
    </row>
    <row r="5461" spans="1:9" x14ac:dyDescent="0.25">
      <c r="A5461" t="s">
        <v>17</v>
      </c>
      <c r="B5461" t="s">
        <v>114</v>
      </c>
      <c r="C5461">
        <v>202504</v>
      </c>
      <c r="D5461" t="str">
        <f t="shared" si="85"/>
        <v>2025</v>
      </c>
      <c r="E5461">
        <v>2595</v>
      </c>
      <c r="F5461">
        <v>112163</v>
      </c>
      <c r="G5461">
        <v>2.31</v>
      </c>
      <c r="H5461" t="s">
        <v>10</v>
      </c>
      <c r="I5461" t="s">
        <v>11</v>
      </c>
    </row>
    <row r="5462" spans="1:9" x14ac:dyDescent="0.25">
      <c r="A5462" t="s">
        <v>17</v>
      </c>
      <c r="B5462" t="s">
        <v>114</v>
      </c>
      <c r="C5462">
        <v>202505</v>
      </c>
      <c r="D5462" t="str">
        <f t="shared" si="85"/>
        <v>2025</v>
      </c>
      <c r="E5462">
        <v>2526</v>
      </c>
      <c r="F5462">
        <v>112163</v>
      </c>
      <c r="G5462">
        <v>2.25</v>
      </c>
      <c r="H5462" t="s">
        <v>10</v>
      </c>
      <c r="I5462" t="s">
        <v>11</v>
      </c>
    </row>
    <row r="5463" spans="1:9" x14ac:dyDescent="0.25">
      <c r="A5463" t="s">
        <v>17</v>
      </c>
      <c r="B5463" t="s">
        <v>114</v>
      </c>
      <c r="C5463">
        <v>202506</v>
      </c>
      <c r="D5463" t="str">
        <f t="shared" si="85"/>
        <v>2025</v>
      </c>
      <c r="E5463">
        <v>3166</v>
      </c>
      <c r="F5463">
        <v>112163</v>
      </c>
      <c r="G5463">
        <v>2.82</v>
      </c>
      <c r="H5463" t="s">
        <v>10</v>
      </c>
      <c r="I5463" t="s">
        <v>11</v>
      </c>
    </row>
    <row r="5464" spans="1:9" x14ac:dyDescent="0.25">
      <c r="A5464" t="s">
        <v>17</v>
      </c>
      <c r="B5464" t="s">
        <v>114</v>
      </c>
      <c r="C5464">
        <v>202507</v>
      </c>
      <c r="D5464" t="str">
        <f t="shared" si="85"/>
        <v>2025</v>
      </c>
      <c r="E5464">
        <v>8166</v>
      </c>
      <c r="F5464">
        <v>112163</v>
      </c>
      <c r="G5464">
        <v>7.28</v>
      </c>
      <c r="H5464" t="s">
        <v>10</v>
      </c>
      <c r="I5464" t="s">
        <v>11</v>
      </c>
    </row>
    <row r="5465" spans="1:9" x14ac:dyDescent="0.25">
      <c r="A5465" t="s">
        <v>17</v>
      </c>
      <c r="B5465" t="s">
        <v>114</v>
      </c>
      <c r="C5465">
        <v>202508</v>
      </c>
      <c r="D5465" t="str">
        <f t="shared" si="85"/>
        <v>2025</v>
      </c>
      <c r="E5465">
        <v>43500</v>
      </c>
      <c r="F5465">
        <v>112163</v>
      </c>
      <c r="G5465">
        <v>38.78</v>
      </c>
      <c r="H5465" t="s">
        <v>10</v>
      </c>
      <c r="I5465" t="s">
        <v>11</v>
      </c>
    </row>
    <row r="5466" spans="1:9" x14ac:dyDescent="0.25">
      <c r="A5466" t="s">
        <v>17</v>
      </c>
      <c r="B5466" t="s">
        <v>114</v>
      </c>
      <c r="C5466">
        <v>202509</v>
      </c>
      <c r="D5466" t="str">
        <f t="shared" si="85"/>
        <v>2025</v>
      </c>
      <c r="E5466">
        <v>33008</v>
      </c>
      <c r="F5466">
        <v>112163</v>
      </c>
      <c r="G5466">
        <v>29.43</v>
      </c>
      <c r="H5466" t="s">
        <v>10</v>
      </c>
      <c r="I5466" t="s">
        <v>11</v>
      </c>
    </row>
    <row r="5467" spans="1:9" hidden="1" x14ac:dyDescent="0.25">
      <c r="A5467" t="s">
        <v>17</v>
      </c>
      <c r="B5467" t="s">
        <v>85</v>
      </c>
      <c r="C5467">
        <v>202206</v>
      </c>
      <c r="D5467" t="str">
        <f t="shared" si="85"/>
        <v>2022</v>
      </c>
      <c r="E5467">
        <v>21</v>
      </c>
      <c r="F5467">
        <v>132656</v>
      </c>
      <c r="G5467">
        <v>0.02</v>
      </c>
      <c r="H5467" t="s">
        <v>10</v>
      </c>
      <c r="I5467" t="s">
        <v>11</v>
      </c>
    </row>
    <row r="5468" spans="1:9" hidden="1" x14ac:dyDescent="0.25">
      <c r="A5468" t="s">
        <v>17</v>
      </c>
      <c r="B5468" t="s">
        <v>85</v>
      </c>
      <c r="C5468">
        <v>202210</v>
      </c>
      <c r="D5468" t="str">
        <f t="shared" si="85"/>
        <v>2022</v>
      </c>
      <c r="E5468">
        <v>7</v>
      </c>
      <c r="F5468">
        <v>132656</v>
      </c>
      <c r="G5468">
        <v>0.01</v>
      </c>
      <c r="H5468" t="s">
        <v>10</v>
      </c>
      <c r="I5468" t="s">
        <v>11</v>
      </c>
    </row>
    <row r="5469" spans="1:9" hidden="1" x14ac:dyDescent="0.25">
      <c r="A5469" t="s">
        <v>17</v>
      </c>
      <c r="B5469" t="s">
        <v>85</v>
      </c>
      <c r="C5469">
        <v>202212</v>
      </c>
      <c r="D5469" t="str">
        <f t="shared" si="85"/>
        <v>2022</v>
      </c>
      <c r="E5469">
        <v>2</v>
      </c>
      <c r="F5469">
        <v>132656</v>
      </c>
      <c r="G5469">
        <v>0</v>
      </c>
      <c r="H5469" t="s">
        <v>10</v>
      </c>
      <c r="I5469" t="s">
        <v>11</v>
      </c>
    </row>
    <row r="5470" spans="1:9" hidden="1" x14ac:dyDescent="0.25">
      <c r="A5470" t="s">
        <v>17</v>
      </c>
      <c r="B5470" t="s">
        <v>85</v>
      </c>
      <c r="C5470">
        <v>202303</v>
      </c>
      <c r="D5470" t="str">
        <f t="shared" si="85"/>
        <v>2023</v>
      </c>
      <c r="E5470">
        <v>13</v>
      </c>
      <c r="F5470">
        <v>132656</v>
      </c>
      <c r="G5470">
        <v>0.01</v>
      </c>
      <c r="H5470" t="s">
        <v>10</v>
      </c>
      <c r="I5470" t="s">
        <v>11</v>
      </c>
    </row>
    <row r="5471" spans="1:9" hidden="1" x14ac:dyDescent="0.25">
      <c r="A5471" t="s">
        <v>17</v>
      </c>
      <c r="B5471" t="s">
        <v>85</v>
      </c>
      <c r="C5471">
        <v>202306</v>
      </c>
      <c r="D5471" t="str">
        <f t="shared" si="85"/>
        <v>2023</v>
      </c>
      <c r="E5471">
        <v>1</v>
      </c>
      <c r="F5471">
        <v>132656</v>
      </c>
      <c r="G5471">
        <v>0</v>
      </c>
      <c r="H5471" t="s">
        <v>10</v>
      </c>
      <c r="I5471" t="s">
        <v>11</v>
      </c>
    </row>
    <row r="5472" spans="1:9" hidden="1" x14ac:dyDescent="0.25">
      <c r="A5472" t="s">
        <v>17</v>
      </c>
      <c r="B5472" t="s">
        <v>85</v>
      </c>
      <c r="C5472">
        <v>202307</v>
      </c>
      <c r="D5472" t="str">
        <f t="shared" si="85"/>
        <v>2023</v>
      </c>
      <c r="E5472">
        <v>6</v>
      </c>
      <c r="F5472">
        <v>132656</v>
      </c>
      <c r="G5472">
        <v>0</v>
      </c>
      <c r="H5472" t="s">
        <v>10</v>
      </c>
      <c r="I5472" t="s">
        <v>11</v>
      </c>
    </row>
    <row r="5473" spans="1:9" hidden="1" x14ac:dyDescent="0.25">
      <c r="A5473" t="s">
        <v>17</v>
      </c>
      <c r="B5473" t="s">
        <v>85</v>
      </c>
      <c r="C5473">
        <v>202308</v>
      </c>
      <c r="D5473" t="str">
        <f t="shared" si="85"/>
        <v>2023</v>
      </c>
      <c r="E5473">
        <v>3</v>
      </c>
      <c r="F5473">
        <v>132656</v>
      </c>
      <c r="G5473">
        <v>0</v>
      </c>
      <c r="H5473" t="s">
        <v>10</v>
      </c>
      <c r="I5473" t="s">
        <v>11</v>
      </c>
    </row>
    <row r="5474" spans="1:9" hidden="1" x14ac:dyDescent="0.25">
      <c r="A5474" t="s">
        <v>17</v>
      </c>
      <c r="B5474" t="s">
        <v>85</v>
      </c>
      <c r="C5474">
        <v>202309</v>
      </c>
      <c r="D5474" t="str">
        <f t="shared" si="85"/>
        <v>2023</v>
      </c>
      <c r="E5474">
        <v>8</v>
      </c>
      <c r="F5474">
        <v>132656</v>
      </c>
      <c r="G5474">
        <v>0.01</v>
      </c>
      <c r="H5474" t="s">
        <v>10</v>
      </c>
      <c r="I5474" t="s">
        <v>11</v>
      </c>
    </row>
    <row r="5475" spans="1:9" hidden="1" x14ac:dyDescent="0.25">
      <c r="A5475" t="s">
        <v>17</v>
      </c>
      <c r="B5475" t="s">
        <v>85</v>
      </c>
      <c r="C5475">
        <v>202310</v>
      </c>
      <c r="D5475" t="str">
        <f t="shared" si="85"/>
        <v>2023</v>
      </c>
      <c r="E5475">
        <v>28</v>
      </c>
      <c r="F5475">
        <v>132656</v>
      </c>
      <c r="G5475">
        <v>0.02</v>
      </c>
      <c r="H5475" t="s">
        <v>10</v>
      </c>
      <c r="I5475" t="s">
        <v>11</v>
      </c>
    </row>
    <row r="5476" spans="1:9" hidden="1" x14ac:dyDescent="0.25">
      <c r="A5476" t="s">
        <v>17</v>
      </c>
      <c r="B5476" t="s">
        <v>85</v>
      </c>
      <c r="C5476">
        <v>202311</v>
      </c>
      <c r="D5476" t="str">
        <f t="shared" si="85"/>
        <v>2023</v>
      </c>
      <c r="E5476">
        <v>11</v>
      </c>
      <c r="F5476">
        <v>132656</v>
      </c>
      <c r="G5476">
        <v>0.01</v>
      </c>
      <c r="H5476" t="s">
        <v>10</v>
      </c>
      <c r="I5476" t="s">
        <v>11</v>
      </c>
    </row>
    <row r="5477" spans="1:9" hidden="1" x14ac:dyDescent="0.25">
      <c r="A5477" t="s">
        <v>17</v>
      </c>
      <c r="B5477" t="s">
        <v>85</v>
      </c>
      <c r="C5477">
        <v>202312</v>
      </c>
      <c r="D5477" t="str">
        <f t="shared" si="85"/>
        <v>2023</v>
      </c>
      <c r="E5477">
        <v>8</v>
      </c>
      <c r="F5477">
        <v>132656</v>
      </c>
      <c r="G5477">
        <v>0.01</v>
      </c>
      <c r="H5477" t="s">
        <v>10</v>
      </c>
      <c r="I5477" t="s">
        <v>11</v>
      </c>
    </row>
    <row r="5478" spans="1:9" hidden="1" x14ac:dyDescent="0.25">
      <c r="A5478" t="s">
        <v>17</v>
      </c>
      <c r="B5478" t="s">
        <v>85</v>
      </c>
      <c r="C5478">
        <v>202401</v>
      </c>
      <c r="D5478" t="str">
        <f t="shared" si="85"/>
        <v>2024</v>
      </c>
      <c r="E5478">
        <v>45</v>
      </c>
      <c r="F5478">
        <v>132656</v>
      </c>
      <c r="G5478">
        <v>0.03</v>
      </c>
      <c r="H5478" t="s">
        <v>10</v>
      </c>
      <c r="I5478" t="s">
        <v>11</v>
      </c>
    </row>
    <row r="5479" spans="1:9" hidden="1" x14ac:dyDescent="0.25">
      <c r="A5479" t="s">
        <v>17</v>
      </c>
      <c r="B5479" t="s">
        <v>85</v>
      </c>
      <c r="C5479">
        <v>202402</v>
      </c>
      <c r="D5479" t="str">
        <f t="shared" si="85"/>
        <v>2024</v>
      </c>
      <c r="E5479">
        <v>136</v>
      </c>
      <c r="F5479">
        <v>132656</v>
      </c>
      <c r="G5479">
        <v>0.1</v>
      </c>
      <c r="H5479" t="s">
        <v>10</v>
      </c>
      <c r="I5479" t="s">
        <v>11</v>
      </c>
    </row>
    <row r="5480" spans="1:9" hidden="1" x14ac:dyDescent="0.25">
      <c r="A5480" t="s">
        <v>17</v>
      </c>
      <c r="B5480" t="s">
        <v>85</v>
      </c>
      <c r="C5480">
        <v>202403</v>
      </c>
      <c r="D5480" t="str">
        <f t="shared" si="85"/>
        <v>2024</v>
      </c>
      <c r="E5480">
        <v>149</v>
      </c>
      <c r="F5480">
        <v>132656</v>
      </c>
      <c r="G5480">
        <v>0.11</v>
      </c>
      <c r="H5480" t="s">
        <v>10</v>
      </c>
      <c r="I5480" t="s">
        <v>11</v>
      </c>
    </row>
    <row r="5481" spans="1:9" hidden="1" x14ac:dyDescent="0.25">
      <c r="A5481" t="s">
        <v>17</v>
      </c>
      <c r="B5481" t="s">
        <v>85</v>
      </c>
      <c r="C5481">
        <v>202404</v>
      </c>
      <c r="D5481" t="str">
        <f t="shared" si="85"/>
        <v>2024</v>
      </c>
      <c r="E5481">
        <v>133</v>
      </c>
      <c r="F5481">
        <v>132656</v>
      </c>
      <c r="G5481">
        <v>0.1</v>
      </c>
      <c r="H5481" t="s">
        <v>10</v>
      </c>
      <c r="I5481" t="s">
        <v>11</v>
      </c>
    </row>
    <row r="5482" spans="1:9" hidden="1" x14ac:dyDescent="0.25">
      <c r="A5482" t="s">
        <v>17</v>
      </c>
      <c r="B5482" t="s">
        <v>85</v>
      </c>
      <c r="C5482">
        <v>202405</v>
      </c>
      <c r="D5482" t="str">
        <f t="shared" si="85"/>
        <v>2024</v>
      </c>
      <c r="E5482">
        <v>178</v>
      </c>
      <c r="F5482">
        <v>132656</v>
      </c>
      <c r="G5482">
        <v>0.13</v>
      </c>
      <c r="H5482" t="s">
        <v>10</v>
      </c>
      <c r="I5482" t="s">
        <v>11</v>
      </c>
    </row>
    <row r="5483" spans="1:9" hidden="1" x14ac:dyDescent="0.25">
      <c r="A5483" t="s">
        <v>17</v>
      </c>
      <c r="B5483" t="s">
        <v>85</v>
      </c>
      <c r="C5483">
        <v>202406</v>
      </c>
      <c r="D5483" t="str">
        <f t="shared" si="85"/>
        <v>2024</v>
      </c>
      <c r="E5483">
        <v>72</v>
      </c>
      <c r="F5483">
        <v>132656</v>
      </c>
      <c r="G5483">
        <v>0.05</v>
      </c>
      <c r="H5483" t="s">
        <v>10</v>
      </c>
      <c r="I5483" t="s">
        <v>11</v>
      </c>
    </row>
    <row r="5484" spans="1:9" hidden="1" x14ac:dyDescent="0.25">
      <c r="A5484" t="s">
        <v>17</v>
      </c>
      <c r="B5484" t="s">
        <v>85</v>
      </c>
      <c r="C5484">
        <v>202407</v>
      </c>
      <c r="D5484" t="str">
        <f t="shared" si="85"/>
        <v>2024</v>
      </c>
      <c r="E5484">
        <v>85</v>
      </c>
      <c r="F5484">
        <v>132656</v>
      </c>
      <c r="G5484">
        <v>0.06</v>
      </c>
      <c r="H5484" t="s">
        <v>10</v>
      </c>
      <c r="I5484" t="s">
        <v>11</v>
      </c>
    </row>
    <row r="5485" spans="1:9" hidden="1" x14ac:dyDescent="0.25">
      <c r="A5485" t="s">
        <v>17</v>
      </c>
      <c r="B5485" t="s">
        <v>85</v>
      </c>
      <c r="C5485">
        <v>202408</v>
      </c>
      <c r="D5485" t="str">
        <f t="shared" si="85"/>
        <v>2024</v>
      </c>
      <c r="E5485">
        <v>75</v>
      </c>
      <c r="F5485">
        <v>132656</v>
      </c>
      <c r="G5485">
        <v>0.06</v>
      </c>
      <c r="H5485" t="s">
        <v>10</v>
      </c>
      <c r="I5485" t="s">
        <v>11</v>
      </c>
    </row>
    <row r="5486" spans="1:9" hidden="1" x14ac:dyDescent="0.25">
      <c r="A5486" t="s">
        <v>17</v>
      </c>
      <c r="B5486" t="s">
        <v>85</v>
      </c>
      <c r="C5486">
        <v>202409</v>
      </c>
      <c r="D5486" t="str">
        <f t="shared" si="85"/>
        <v>2024</v>
      </c>
      <c r="E5486">
        <v>180</v>
      </c>
      <c r="F5486">
        <v>132656</v>
      </c>
      <c r="G5486">
        <v>0.14000000000000001</v>
      </c>
      <c r="H5486" t="s">
        <v>10</v>
      </c>
      <c r="I5486" t="s">
        <v>11</v>
      </c>
    </row>
    <row r="5487" spans="1:9" hidden="1" x14ac:dyDescent="0.25">
      <c r="A5487" t="s">
        <v>17</v>
      </c>
      <c r="B5487" t="s">
        <v>85</v>
      </c>
      <c r="C5487">
        <v>202410</v>
      </c>
      <c r="D5487" t="str">
        <f t="shared" si="85"/>
        <v>2024</v>
      </c>
      <c r="E5487">
        <v>256</v>
      </c>
      <c r="F5487">
        <v>132656</v>
      </c>
      <c r="G5487">
        <v>0.19</v>
      </c>
      <c r="H5487" t="s">
        <v>10</v>
      </c>
      <c r="I5487" t="s">
        <v>11</v>
      </c>
    </row>
    <row r="5488" spans="1:9" hidden="1" x14ac:dyDescent="0.25">
      <c r="A5488" t="s">
        <v>17</v>
      </c>
      <c r="B5488" t="s">
        <v>85</v>
      </c>
      <c r="C5488">
        <v>202411</v>
      </c>
      <c r="D5488" t="str">
        <f t="shared" si="85"/>
        <v>2024</v>
      </c>
      <c r="E5488">
        <v>294</v>
      </c>
      <c r="F5488">
        <v>132656</v>
      </c>
      <c r="G5488">
        <v>0.22</v>
      </c>
      <c r="H5488" t="s">
        <v>10</v>
      </c>
      <c r="I5488" t="s">
        <v>11</v>
      </c>
    </row>
    <row r="5489" spans="1:9" hidden="1" x14ac:dyDescent="0.25">
      <c r="A5489" t="s">
        <v>17</v>
      </c>
      <c r="B5489" t="s">
        <v>85</v>
      </c>
      <c r="C5489">
        <v>202412</v>
      </c>
      <c r="D5489" t="str">
        <f t="shared" si="85"/>
        <v>2024</v>
      </c>
      <c r="E5489">
        <v>657</v>
      </c>
      <c r="F5489">
        <v>132656</v>
      </c>
      <c r="G5489">
        <v>0.5</v>
      </c>
      <c r="H5489" t="s">
        <v>10</v>
      </c>
      <c r="I5489" t="s">
        <v>11</v>
      </c>
    </row>
    <row r="5490" spans="1:9" x14ac:dyDescent="0.25">
      <c r="A5490" t="s">
        <v>17</v>
      </c>
      <c r="B5490" t="s">
        <v>85</v>
      </c>
      <c r="C5490">
        <v>202501</v>
      </c>
      <c r="D5490" t="str">
        <f t="shared" si="85"/>
        <v>2025</v>
      </c>
      <c r="E5490">
        <v>3693</v>
      </c>
      <c r="F5490">
        <v>132656</v>
      </c>
      <c r="G5490">
        <v>2.78</v>
      </c>
      <c r="H5490" t="s">
        <v>10</v>
      </c>
      <c r="I5490" t="s">
        <v>11</v>
      </c>
    </row>
    <row r="5491" spans="1:9" x14ac:dyDescent="0.25">
      <c r="A5491" t="s">
        <v>17</v>
      </c>
      <c r="B5491" t="s">
        <v>85</v>
      </c>
      <c r="C5491">
        <v>202502</v>
      </c>
      <c r="D5491" t="str">
        <f t="shared" si="85"/>
        <v>2025</v>
      </c>
      <c r="E5491">
        <v>3620</v>
      </c>
      <c r="F5491">
        <v>132656</v>
      </c>
      <c r="G5491">
        <v>2.73</v>
      </c>
      <c r="H5491" t="s">
        <v>10</v>
      </c>
      <c r="I5491" t="s">
        <v>11</v>
      </c>
    </row>
    <row r="5492" spans="1:9" x14ac:dyDescent="0.25">
      <c r="A5492" t="s">
        <v>17</v>
      </c>
      <c r="B5492" t="s">
        <v>85</v>
      </c>
      <c r="C5492">
        <v>202503</v>
      </c>
      <c r="D5492" t="str">
        <f t="shared" si="85"/>
        <v>2025</v>
      </c>
      <c r="E5492">
        <v>4182</v>
      </c>
      <c r="F5492">
        <v>132656</v>
      </c>
      <c r="G5492">
        <v>3.15</v>
      </c>
      <c r="H5492" t="s">
        <v>10</v>
      </c>
      <c r="I5492" t="s">
        <v>11</v>
      </c>
    </row>
    <row r="5493" spans="1:9" x14ac:dyDescent="0.25">
      <c r="A5493" t="s">
        <v>17</v>
      </c>
      <c r="B5493" t="s">
        <v>85</v>
      </c>
      <c r="C5493">
        <v>202504</v>
      </c>
      <c r="D5493" t="str">
        <f t="shared" si="85"/>
        <v>2025</v>
      </c>
      <c r="E5493">
        <v>4307</v>
      </c>
      <c r="F5493">
        <v>132656</v>
      </c>
      <c r="G5493">
        <v>3.25</v>
      </c>
      <c r="H5493" t="s">
        <v>10</v>
      </c>
      <c r="I5493" t="s">
        <v>11</v>
      </c>
    </row>
    <row r="5494" spans="1:9" x14ac:dyDescent="0.25">
      <c r="A5494" t="s">
        <v>17</v>
      </c>
      <c r="B5494" t="s">
        <v>85</v>
      </c>
      <c r="C5494">
        <v>202505</v>
      </c>
      <c r="D5494" t="str">
        <f t="shared" si="85"/>
        <v>2025</v>
      </c>
      <c r="E5494">
        <v>4437</v>
      </c>
      <c r="F5494">
        <v>132656</v>
      </c>
      <c r="G5494">
        <v>3.34</v>
      </c>
      <c r="H5494" t="s">
        <v>10</v>
      </c>
      <c r="I5494" t="s">
        <v>11</v>
      </c>
    </row>
    <row r="5495" spans="1:9" x14ac:dyDescent="0.25">
      <c r="A5495" t="s">
        <v>17</v>
      </c>
      <c r="B5495" t="s">
        <v>85</v>
      </c>
      <c r="C5495">
        <v>202506</v>
      </c>
      <c r="D5495" t="str">
        <f t="shared" si="85"/>
        <v>2025</v>
      </c>
      <c r="E5495">
        <v>4804</v>
      </c>
      <c r="F5495">
        <v>132656</v>
      </c>
      <c r="G5495">
        <v>3.62</v>
      </c>
      <c r="H5495" t="s">
        <v>10</v>
      </c>
      <c r="I5495" t="s">
        <v>11</v>
      </c>
    </row>
    <row r="5496" spans="1:9" x14ac:dyDescent="0.25">
      <c r="A5496" t="s">
        <v>17</v>
      </c>
      <c r="B5496" t="s">
        <v>85</v>
      </c>
      <c r="C5496">
        <v>202507</v>
      </c>
      <c r="D5496" t="str">
        <f t="shared" si="85"/>
        <v>2025</v>
      </c>
      <c r="E5496">
        <v>7841</v>
      </c>
      <c r="F5496">
        <v>132656</v>
      </c>
      <c r="G5496">
        <v>5.91</v>
      </c>
      <c r="H5496" t="s">
        <v>10</v>
      </c>
      <c r="I5496" t="s">
        <v>11</v>
      </c>
    </row>
    <row r="5497" spans="1:9" x14ac:dyDescent="0.25">
      <c r="A5497" t="s">
        <v>17</v>
      </c>
      <c r="B5497" t="s">
        <v>85</v>
      </c>
      <c r="C5497">
        <v>202508</v>
      </c>
      <c r="D5497" t="str">
        <f t="shared" si="85"/>
        <v>2025</v>
      </c>
      <c r="E5497">
        <v>11926</v>
      </c>
      <c r="F5497">
        <v>132656</v>
      </c>
      <c r="G5497">
        <v>8.99</v>
      </c>
      <c r="H5497" t="s">
        <v>10</v>
      </c>
      <c r="I5497" t="s">
        <v>11</v>
      </c>
    </row>
    <row r="5498" spans="1:9" x14ac:dyDescent="0.25">
      <c r="A5498" t="s">
        <v>17</v>
      </c>
      <c r="B5498" t="s">
        <v>85</v>
      </c>
      <c r="C5498">
        <v>202509</v>
      </c>
      <c r="D5498" t="str">
        <f t="shared" si="85"/>
        <v>2025</v>
      </c>
      <c r="E5498">
        <v>49948</v>
      </c>
      <c r="F5498">
        <v>132656</v>
      </c>
      <c r="G5498">
        <v>37.65</v>
      </c>
      <c r="H5498" t="s">
        <v>10</v>
      </c>
      <c r="I5498" t="s">
        <v>11</v>
      </c>
    </row>
    <row r="5499" spans="1:9" x14ac:dyDescent="0.25">
      <c r="A5499" t="s">
        <v>17</v>
      </c>
      <c r="B5499" t="s">
        <v>85</v>
      </c>
      <c r="C5499">
        <v>202510</v>
      </c>
      <c r="D5499" t="str">
        <f t="shared" si="85"/>
        <v>2025</v>
      </c>
      <c r="E5499">
        <v>35530</v>
      </c>
      <c r="F5499">
        <v>132656</v>
      </c>
      <c r="G5499">
        <v>26.78</v>
      </c>
      <c r="H5499" t="s">
        <v>10</v>
      </c>
      <c r="I5499" t="s">
        <v>11</v>
      </c>
    </row>
    <row r="5500" spans="1:9" hidden="1" x14ac:dyDescent="0.25">
      <c r="A5500" t="s">
        <v>17</v>
      </c>
      <c r="B5500" t="s">
        <v>33</v>
      </c>
      <c r="C5500">
        <v>202106</v>
      </c>
      <c r="D5500" t="str">
        <f t="shared" si="85"/>
        <v>2021</v>
      </c>
      <c r="E5500">
        <v>3</v>
      </c>
      <c r="F5500">
        <v>114597</v>
      </c>
      <c r="G5500">
        <v>0</v>
      </c>
      <c r="H5500" t="s">
        <v>10</v>
      </c>
      <c r="I5500" t="s">
        <v>11</v>
      </c>
    </row>
    <row r="5501" spans="1:9" hidden="1" x14ac:dyDescent="0.25">
      <c r="A5501" t="s">
        <v>17</v>
      </c>
      <c r="B5501" t="s">
        <v>33</v>
      </c>
      <c r="C5501">
        <v>202201</v>
      </c>
      <c r="D5501" t="str">
        <f t="shared" si="85"/>
        <v>2022</v>
      </c>
      <c r="E5501">
        <v>1</v>
      </c>
      <c r="F5501">
        <v>114597</v>
      </c>
      <c r="G5501">
        <v>0</v>
      </c>
      <c r="H5501" t="s">
        <v>10</v>
      </c>
      <c r="I5501" t="s">
        <v>11</v>
      </c>
    </row>
    <row r="5502" spans="1:9" hidden="1" x14ac:dyDescent="0.25">
      <c r="A5502" t="s">
        <v>17</v>
      </c>
      <c r="B5502" t="s">
        <v>33</v>
      </c>
      <c r="C5502">
        <v>202302</v>
      </c>
      <c r="D5502" t="str">
        <f t="shared" si="85"/>
        <v>2023</v>
      </c>
      <c r="E5502">
        <v>1</v>
      </c>
      <c r="F5502">
        <v>114597</v>
      </c>
      <c r="G5502">
        <v>0</v>
      </c>
      <c r="H5502" t="s">
        <v>10</v>
      </c>
      <c r="I5502" t="s">
        <v>11</v>
      </c>
    </row>
    <row r="5503" spans="1:9" hidden="1" x14ac:dyDescent="0.25">
      <c r="A5503" t="s">
        <v>17</v>
      </c>
      <c r="B5503" t="s">
        <v>33</v>
      </c>
      <c r="C5503">
        <v>202303</v>
      </c>
      <c r="D5503" t="str">
        <f t="shared" si="85"/>
        <v>2023</v>
      </c>
      <c r="E5503">
        <v>2</v>
      </c>
      <c r="F5503">
        <v>114597</v>
      </c>
      <c r="G5503">
        <v>0</v>
      </c>
      <c r="H5503" t="s">
        <v>10</v>
      </c>
      <c r="I5503" t="s">
        <v>11</v>
      </c>
    </row>
    <row r="5504" spans="1:9" hidden="1" x14ac:dyDescent="0.25">
      <c r="A5504" t="s">
        <v>17</v>
      </c>
      <c r="B5504" t="s">
        <v>33</v>
      </c>
      <c r="C5504">
        <v>202304</v>
      </c>
      <c r="D5504" t="str">
        <f t="shared" si="85"/>
        <v>2023</v>
      </c>
      <c r="E5504">
        <v>2</v>
      </c>
      <c r="F5504">
        <v>114597</v>
      </c>
      <c r="G5504">
        <v>0</v>
      </c>
      <c r="H5504" t="s">
        <v>10</v>
      </c>
      <c r="I5504" t="s">
        <v>11</v>
      </c>
    </row>
    <row r="5505" spans="1:9" hidden="1" x14ac:dyDescent="0.25">
      <c r="A5505" t="s">
        <v>17</v>
      </c>
      <c r="B5505" t="s">
        <v>33</v>
      </c>
      <c r="C5505">
        <v>202306</v>
      </c>
      <c r="D5505" t="str">
        <f t="shared" si="85"/>
        <v>2023</v>
      </c>
      <c r="E5505">
        <v>2</v>
      </c>
      <c r="F5505">
        <v>114597</v>
      </c>
      <c r="G5505">
        <v>0</v>
      </c>
      <c r="H5505" t="s">
        <v>10</v>
      </c>
      <c r="I5505" t="s">
        <v>11</v>
      </c>
    </row>
    <row r="5506" spans="1:9" hidden="1" x14ac:dyDescent="0.25">
      <c r="A5506" t="s">
        <v>17</v>
      </c>
      <c r="B5506" t="s">
        <v>33</v>
      </c>
      <c r="C5506">
        <v>202307</v>
      </c>
      <c r="D5506" t="str">
        <f t="shared" si="85"/>
        <v>2023</v>
      </c>
      <c r="E5506">
        <v>2</v>
      </c>
      <c r="F5506">
        <v>114597</v>
      </c>
      <c r="G5506">
        <v>0</v>
      </c>
      <c r="H5506" t="s">
        <v>10</v>
      </c>
      <c r="I5506" t="s">
        <v>11</v>
      </c>
    </row>
    <row r="5507" spans="1:9" hidden="1" x14ac:dyDescent="0.25">
      <c r="A5507" t="s">
        <v>17</v>
      </c>
      <c r="B5507" t="s">
        <v>33</v>
      </c>
      <c r="C5507">
        <v>202309</v>
      </c>
      <c r="D5507" t="str">
        <f t="shared" ref="D5507:D5570" si="86">LEFT(C5507,4)</f>
        <v>2023</v>
      </c>
      <c r="E5507">
        <v>14</v>
      </c>
      <c r="F5507">
        <v>114597</v>
      </c>
      <c r="G5507">
        <v>0.01</v>
      </c>
      <c r="H5507" t="s">
        <v>10</v>
      </c>
      <c r="I5507" t="s">
        <v>11</v>
      </c>
    </row>
    <row r="5508" spans="1:9" hidden="1" x14ac:dyDescent="0.25">
      <c r="A5508" t="s">
        <v>17</v>
      </c>
      <c r="B5508" t="s">
        <v>33</v>
      </c>
      <c r="C5508">
        <v>202310</v>
      </c>
      <c r="D5508" t="str">
        <f t="shared" si="86"/>
        <v>2023</v>
      </c>
      <c r="E5508">
        <v>25</v>
      </c>
      <c r="F5508">
        <v>114597</v>
      </c>
      <c r="G5508">
        <v>0.02</v>
      </c>
      <c r="H5508" t="s">
        <v>10</v>
      </c>
      <c r="I5508" t="s">
        <v>11</v>
      </c>
    </row>
    <row r="5509" spans="1:9" hidden="1" x14ac:dyDescent="0.25">
      <c r="A5509" t="s">
        <v>17</v>
      </c>
      <c r="B5509" t="s">
        <v>33</v>
      </c>
      <c r="C5509">
        <v>202312</v>
      </c>
      <c r="D5509" t="str">
        <f t="shared" si="86"/>
        <v>2023</v>
      </c>
      <c r="E5509">
        <v>36</v>
      </c>
      <c r="F5509">
        <v>114597</v>
      </c>
      <c r="G5509">
        <v>0.03</v>
      </c>
      <c r="H5509" t="s">
        <v>10</v>
      </c>
      <c r="I5509" t="s">
        <v>11</v>
      </c>
    </row>
    <row r="5510" spans="1:9" hidden="1" x14ac:dyDescent="0.25">
      <c r="A5510" t="s">
        <v>17</v>
      </c>
      <c r="B5510" t="s">
        <v>33</v>
      </c>
      <c r="C5510">
        <v>202401</v>
      </c>
      <c r="D5510" t="str">
        <f t="shared" si="86"/>
        <v>2024</v>
      </c>
      <c r="E5510">
        <v>103</v>
      </c>
      <c r="F5510">
        <v>114597</v>
      </c>
      <c r="G5510">
        <v>0.09</v>
      </c>
      <c r="H5510" t="s">
        <v>10</v>
      </c>
      <c r="I5510" t="s">
        <v>11</v>
      </c>
    </row>
    <row r="5511" spans="1:9" hidden="1" x14ac:dyDescent="0.25">
      <c r="A5511" t="s">
        <v>17</v>
      </c>
      <c r="B5511" t="s">
        <v>33</v>
      </c>
      <c r="C5511">
        <v>202402</v>
      </c>
      <c r="D5511" t="str">
        <f t="shared" si="86"/>
        <v>2024</v>
      </c>
      <c r="E5511">
        <v>83</v>
      </c>
      <c r="F5511">
        <v>114597</v>
      </c>
      <c r="G5511">
        <v>7.0000000000000007E-2</v>
      </c>
      <c r="H5511" t="s">
        <v>10</v>
      </c>
      <c r="I5511" t="s">
        <v>11</v>
      </c>
    </row>
    <row r="5512" spans="1:9" hidden="1" x14ac:dyDescent="0.25">
      <c r="A5512" t="s">
        <v>17</v>
      </c>
      <c r="B5512" t="s">
        <v>33</v>
      </c>
      <c r="C5512">
        <v>202403</v>
      </c>
      <c r="D5512" t="str">
        <f t="shared" si="86"/>
        <v>2024</v>
      </c>
      <c r="E5512">
        <v>172</v>
      </c>
      <c r="F5512">
        <v>114597</v>
      </c>
      <c r="G5512">
        <v>0.15</v>
      </c>
      <c r="H5512" t="s">
        <v>10</v>
      </c>
      <c r="I5512" t="s">
        <v>11</v>
      </c>
    </row>
    <row r="5513" spans="1:9" hidden="1" x14ac:dyDescent="0.25">
      <c r="A5513" t="s">
        <v>17</v>
      </c>
      <c r="B5513" t="s">
        <v>33</v>
      </c>
      <c r="C5513">
        <v>202404</v>
      </c>
      <c r="D5513" t="str">
        <f t="shared" si="86"/>
        <v>2024</v>
      </c>
      <c r="E5513">
        <v>116</v>
      </c>
      <c r="F5513">
        <v>114597</v>
      </c>
      <c r="G5513">
        <v>0.1</v>
      </c>
      <c r="H5513" t="s">
        <v>10</v>
      </c>
      <c r="I5513" t="s">
        <v>11</v>
      </c>
    </row>
    <row r="5514" spans="1:9" hidden="1" x14ac:dyDescent="0.25">
      <c r="A5514" t="s">
        <v>17</v>
      </c>
      <c r="B5514" t="s">
        <v>33</v>
      </c>
      <c r="C5514">
        <v>202405</v>
      </c>
      <c r="D5514" t="str">
        <f t="shared" si="86"/>
        <v>2024</v>
      </c>
      <c r="E5514">
        <v>99</v>
      </c>
      <c r="F5514">
        <v>114597</v>
      </c>
      <c r="G5514">
        <v>0.09</v>
      </c>
      <c r="H5514" t="s">
        <v>10</v>
      </c>
      <c r="I5514" t="s">
        <v>11</v>
      </c>
    </row>
    <row r="5515" spans="1:9" hidden="1" x14ac:dyDescent="0.25">
      <c r="A5515" t="s">
        <v>17</v>
      </c>
      <c r="B5515" t="s">
        <v>33</v>
      </c>
      <c r="C5515">
        <v>202406</v>
      </c>
      <c r="D5515" t="str">
        <f t="shared" si="86"/>
        <v>2024</v>
      </c>
      <c r="E5515">
        <v>98</v>
      </c>
      <c r="F5515">
        <v>114597</v>
      </c>
      <c r="G5515">
        <v>0.09</v>
      </c>
      <c r="H5515" t="s">
        <v>10</v>
      </c>
      <c r="I5515" t="s">
        <v>11</v>
      </c>
    </row>
    <row r="5516" spans="1:9" hidden="1" x14ac:dyDescent="0.25">
      <c r="A5516" t="s">
        <v>17</v>
      </c>
      <c r="B5516" t="s">
        <v>33</v>
      </c>
      <c r="C5516">
        <v>202407</v>
      </c>
      <c r="D5516" t="str">
        <f t="shared" si="86"/>
        <v>2024</v>
      </c>
      <c r="E5516">
        <v>138</v>
      </c>
      <c r="F5516">
        <v>114597</v>
      </c>
      <c r="G5516">
        <v>0.12</v>
      </c>
      <c r="H5516" t="s">
        <v>10</v>
      </c>
      <c r="I5516" t="s">
        <v>11</v>
      </c>
    </row>
    <row r="5517" spans="1:9" hidden="1" x14ac:dyDescent="0.25">
      <c r="A5517" t="s">
        <v>17</v>
      </c>
      <c r="B5517" t="s">
        <v>33</v>
      </c>
      <c r="C5517">
        <v>202408</v>
      </c>
      <c r="D5517" t="str">
        <f t="shared" si="86"/>
        <v>2024</v>
      </c>
      <c r="E5517">
        <v>143</v>
      </c>
      <c r="F5517">
        <v>114597</v>
      </c>
      <c r="G5517">
        <v>0.12</v>
      </c>
      <c r="H5517" t="s">
        <v>10</v>
      </c>
      <c r="I5517" t="s">
        <v>11</v>
      </c>
    </row>
    <row r="5518" spans="1:9" hidden="1" x14ac:dyDescent="0.25">
      <c r="A5518" t="s">
        <v>17</v>
      </c>
      <c r="B5518" t="s">
        <v>33</v>
      </c>
      <c r="C5518">
        <v>202409</v>
      </c>
      <c r="D5518" t="str">
        <f t="shared" si="86"/>
        <v>2024</v>
      </c>
      <c r="E5518">
        <v>195</v>
      </c>
      <c r="F5518">
        <v>114597</v>
      </c>
      <c r="G5518">
        <v>0.17</v>
      </c>
      <c r="H5518" t="s">
        <v>10</v>
      </c>
      <c r="I5518" t="s">
        <v>11</v>
      </c>
    </row>
    <row r="5519" spans="1:9" hidden="1" x14ac:dyDescent="0.25">
      <c r="A5519" t="s">
        <v>17</v>
      </c>
      <c r="B5519" t="s">
        <v>33</v>
      </c>
      <c r="C5519">
        <v>202410</v>
      </c>
      <c r="D5519" t="str">
        <f t="shared" si="86"/>
        <v>2024</v>
      </c>
      <c r="E5519">
        <v>229</v>
      </c>
      <c r="F5519">
        <v>114597</v>
      </c>
      <c r="G5519">
        <v>0.2</v>
      </c>
      <c r="H5519" t="s">
        <v>10</v>
      </c>
      <c r="I5519" t="s">
        <v>11</v>
      </c>
    </row>
    <row r="5520" spans="1:9" hidden="1" x14ac:dyDescent="0.25">
      <c r="A5520" t="s">
        <v>17</v>
      </c>
      <c r="B5520" t="s">
        <v>33</v>
      </c>
      <c r="C5520">
        <v>202411</v>
      </c>
      <c r="D5520" t="str">
        <f t="shared" si="86"/>
        <v>2024</v>
      </c>
      <c r="E5520">
        <v>207</v>
      </c>
      <c r="F5520">
        <v>114597</v>
      </c>
      <c r="G5520">
        <v>0.18</v>
      </c>
      <c r="H5520" t="s">
        <v>10</v>
      </c>
      <c r="I5520" t="s">
        <v>11</v>
      </c>
    </row>
    <row r="5521" spans="1:9" hidden="1" x14ac:dyDescent="0.25">
      <c r="A5521" t="s">
        <v>17</v>
      </c>
      <c r="B5521" t="s">
        <v>33</v>
      </c>
      <c r="C5521">
        <v>202412</v>
      </c>
      <c r="D5521" t="str">
        <f t="shared" si="86"/>
        <v>2024</v>
      </c>
      <c r="E5521">
        <v>419</v>
      </c>
      <c r="F5521">
        <v>114597</v>
      </c>
      <c r="G5521">
        <v>0.37</v>
      </c>
      <c r="H5521" t="s">
        <v>10</v>
      </c>
      <c r="I5521" t="s">
        <v>11</v>
      </c>
    </row>
    <row r="5522" spans="1:9" x14ac:dyDescent="0.25">
      <c r="A5522" t="s">
        <v>17</v>
      </c>
      <c r="B5522" t="s">
        <v>33</v>
      </c>
      <c r="C5522">
        <v>202501</v>
      </c>
      <c r="D5522" t="str">
        <f t="shared" si="86"/>
        <v>2025</v>
      </c>
      <c r="E5522">
        <v>231</v>
      </c>
      <c r="F5522">
        <v>114597</v>
      </c>
      <c r="G5522">
        <v>0.2</v>
      </c>
      <c r="H5522" t="s">
        <v>10</v>
      </c>
      <c r="I5522" t="s">
        <v>11</v>
      </c>
    </row>
    <row r="5523" spans="1:9" x14ac:dyDescent="0.25">
      <c r="A5523" t="s">
        <v>17</v>
      </c>
      <c r="B5523" t="s">
        <v>33</v>
      </c>
      <c r="C5523">
        <v>202502</v>
      </c>
      <c r="D5523" t="str">
        <f t="shared" si="86"/>
        <v>2025</v>
      </c>
      <c r="E5523">
        <v>500</v>
      </c>
      <c r="F5523">
        <v>114597</v>
      </c>
      <c r="G5523">
        <v>0.44</v>
      </c>
      <c r="H5523" t="s">
        <v>10</v>
      </c>
      <c r="I5523" t="s">
        <v>11</v>
      </c>
    </row>
    <row r="5524" spans="1:9" x14ac:dyDescent="0.25">
      <c r="A5524" t="s">
        <v>17</v>
      </c>
      <c r="B5524" t="s">
        <v>33</v>
      </c>
      <c r="C5524">
        <v>202503</v>
      </c>
      <c r="D5524" t="str">
        <f t="shared" si="86"/>
        <v>2025</v>
      </c>
      <c r="E5524">
        <v>748</v>
      </c>
      <c r="F5524">
        <v>114597</v>
      </c>
      <c r="G5524">
        <v>0.65</v>
      </c>
      <c r="H5524" t="s">
        <v>10</v>
      </c>
      <c r="I5524" t="s">
        <v>11</v>
      </c>
    </row>
    <row r="5525" spans="1:9" x14ac:dyDescent="0.25">
      <c r="A5525" t="s">
        <v>17</v>
      </c>
      <c r="B5525" t="s">
        <v>33</v>
      </c>
      <c r="C5525">
        <v>202504</v>
      </c>
      <c r="D5525" t="str">
        <f t="shared" si="86"/>
        <v>2025</v>
      </c>
      <c r="E5525">
        <v>901</v>
      </c>
      <c r="F5525">
        <v>114597</v>
      </c>
      <c r="G5525">
        <v>0.79</v>
      </c>
      <c r="H5525" t="s">
        <v>10</v>
      </c>
      <c r="I5525" t="s">
        <v>11</v>
      </c>
    </row>
    <row r="5526" spans="1:9" x14ac:dyDescent="0.25">
      <c r="A5526" t="s">
        <v>17</v>
      </c>
      <c r="B5526" t="s">
        <v>33</v>
      </c>
      <c r="C5526">
        <v>202505</v>
      </c>
      <c r="D5526" t="str">
        <f t="shared" si="86"/>
        <v>2025</v>
      </c>
      <c r="E5526">
        <v>1142</v>
      </c>
      <c r="F5526">
        <v>114597</v>
      </c>
      <c r="G5526">
        <v>1</v>
      </c>
      <c r="H5526" t="s">
        <v>10</v>
      </c>
      <c r="I5526" t="s">
        <v>11</v>
      </c>
    </row>
    <row r="5527" spans="1:9" x14ac:dyDescent="0.25">
      <c r="A5527" t="s">
        <v>17</v>
      </c>
      <c r="B5527" t="s">
        <v>33</v>
      </c>
      <c r="C5527">
        <v>202506</v>
      </c>
      <c r="D5527" t="str">
        <f t="shared" si="86"/>
        <v>2025</v>
      </c>
      <c r="E5527">
        <v>1596</v>
      </c>
      <c r="F5527">
        <v>114597</v>
      </c>
      <c r="G5527">
        <v>1.39</v>
      </c>
      <c r="H5527" t="s">
        <v>10</v>
      </c>
      <c r="I5527" t="s">
        <v>11</v>
      </c>
    </row>
    <row r="5528" spans="1:9" x14ac:dyDescent="0.25">
      <c r="A5528" t="s">
        <v>17</v>
      </c>
      <c r="B5528" t="s">
        <v>33</v>
      </c>
      <c r="C5528">
        <v>202507</v>
      </c>
      <c r="D5528" t="str">
        <f t="shared" si="86"/>
        <v>2025</v>
      </c>
      <c r="E5528">
        <v>2681</v>
      </c>
      <c r="F5528">
        <v>114597</v>
      </c>
      <c r="G5528">
        <v>2.34</v>
      </c>
      <c r="H5528" t="s">
        <v>10</v>
      </c>
      <c r="I5528" t="s">
        <v>11</v>
      </c>
    </row>
    <row r="5529" spans="1:9" x14ac:dyDescent="0.25">
      <c r="A5529" t="s">
        <v>17</v>
      </c>
      <c r="B5529" t="s">
        <v>33</v>
      </c>
      <c r="C5529">
        <v>202508</v>
      </c>
      <c r="D5529" t="str">
        <f t="shared" si="86"/>
        <v>2025</v>
      </c>
      <c r="E5529">
        <v>10646</v>
      </c>
      <c r="F5529">
        <v>114597</v>
      </c>
      <c r="G5529">
        <v>9.2899999999999991</v>
      </c>
      <c r="H5529" t="s">
        <v>10</v>
      </c>
      <c r="I5529" t="s">
        <v>11</v>
      </c>
    </row>
    <row r="5530" spans="1:9" x14ac:dyDescent="0.25">
      <c r="A5530" t="s">
        <v>17</v>
      </c>
      <c r="B5530" t="s">
        <v>33</v>
      </c>
      <c r="C5530">
        <v>202509</v>
      </c>
      <c r="D5530" t="str">
        <f t="shared" si="86"/>
        <v>2025</v>
      </c>
      <c r="E5530">
        <v>4891</v>
      </c>
      <c r="F5530">
        <v>114597</v>
      </c>
      <c r="G5530">
        <v>4.2699999999999996</v>
      </c>
      <c r="H5530" t="s">
        <v>10</v>
      </c>
      <c r="I5530" t="s">
        <v>11</v>
      </c>
    </row>
    <row r="5531" spans="1:9" x14ac:dyDescent="0.25">
      <c r="A5531" t="s">
        <v>17</v>
      </c>
      <c r="B5531" t="s">
        <v>33</v>
      </c>
      <c r="C5531">
        <v>202510</v>
      </c>
      <c r="D5531" t="str">
        <f t="shared" si="86"/>
        <v>2025</v>
      </c>
      <c r="E5531">
        <v>57888</v>
      </c>
      <c r="F5531">
        <v>114597</v>
      </c>
      <c r="G5531">
        <v>50.51</v>
      </c>
      <c r="H5531" t="s">
        <v>10</v>
      </c>
      <c r="I5531" t="s">
        <v>11</v>
      </c>
    </row>
    <row r="5532" spans="1:9" x14ac:dyDescent="0.25">
      <c r="A5532" t="s">
        <v>17</v>
      </c>
      <c r="B5532" t="s">
        <v>33</v>
      </c>
      <c r="C5532">
        <v>202511</v>
      </c>
      <c r="D5532" t="str">
        <f t="shared" si="86"/>
        <v>2025</v>
      </c>
      <c r="E5532">
        <v>31283</v>
      </c>
      <c r="F5532">
        <v>114597</v>
      </c>
      <c r="G5532">
        <v>27.3</v>
      </c>
      <c r="H5532" t="s">
        <v>10</v>
      </c>
      <c r="I5532" t="s">
        <v>11</v>
      </c>
    </row>
    <row r="5533" spans="1:9" hidden="1" x14ac:dyDescent="0.25">
      <c r="A5533" t="s">
        <v>17</v>
      </c>
      <c r="B5533" t="s">
        <v>214</v>
      </c>
      <c r="C5533">
        <v>202304</v>
      </c>
      <c r="D5533" t="str">
        <f t="shared" si="86"/>
        <v>2023</v>
      </c>
      <c r="E5533">
        <v>1</v>
      </c>
      <c r="F5533">
        <v>123750</v>
      </c>
      <c r="G5533">
        <v>0</v>
      </c>
      <c r="H5533" t="s">
        <v>10</v>
      </c>
      <c r="I5533" t="s">
        <v>11</v>
      </c>
    </row>
    <row r="5534" spans="1:9" hidden="1" x14ac:dyDescent="0.25">
      <c r="A5534" t="s">
        <v>17</v>
      </c>
      <c r="B5534" t="s">
        <v>214</v>
      </c>
      <c r="C5534">
        <v>202305</v>
      </c>
      <c r="D5534" t="str">
        <f t="shared" si="86"/>
        <v>2023</v>
      </c>
      <c r="E5534">
        <v>1</v>
      </c>
      <c r="F5534">
        <v>123750</v>
      </c>
      <c r="G5534">
        <v>0</v>
      </c>
      <c r="H5534" t="s">
        <v>10</v>
      </c>
      <c r="I5534" t="s">
        <v>11</v>
      </c>
    </row>
    <row r="5535" spans="1:9" hidden="1" x14ac:dyDescent="0.25">
      <c r="A5535" t="s">
        <v>17</v>
      </c>
      <c r="B5535" t="s">
        <v>214</v>
      </c>
      <c r="C5535">
        <v>202306</v>
      </c>
      <c r="D5535" t="str">
        <f t="shared" si="86"/>
        <v>2023</v>
      </c>
      <c r="E5535">
        <v>12</v>
      </c>
      <c r="F5535">
        <v>123750</v>
      </c>
      <c r="G5535">
        <v>0.01</v>
      </c>
      <c r="H5535" t="s">
        <v>10</v>
      </c>
      <c r="I5535" t="s">
        <v>11</v>
      </c>
    </row>
    <row r="5536" spans="1:9" hidden="1" x14ac:dyDescent="0.25">
      <c r="A5536" t="s">
        <v>17</v>
      </c>
      <c r="B5536" t="s">
        <v>214</v>
      </c>
      <c r="C5536">
        <v>202307</v>
      </c>
      <c r="D5536" t="str">
        <f t="shared" si="86"/>
        <v>2023</v>
      </c>
      <c r="E5536">
        <v>4</v>
      </c>
      <c r="F5536">
        <v>123750</v>
      </c>
      <c r="G5536">
        <v>0</v>
      </c>
      <c r="H5536" t="s">
        <v>10</v>
      </c>
      <c r="I5536" t="s">
        <v>11</v>
      </c>
    </row>
    <row r="5537" spans="1:9" hidden="1" x14ac:dyDescent="0.25">
      <c r="A5537" t="s">
        <v>17</v>
      </c>
      <c r="B5537" t="s">
        <v>214</v>
      </c>
      <c r="C5537">
        <v>202309</v>
      </c>
      <c r="D5537" t="str">
        <f t="shared" si="86"/>
        <v>2023</v>
      </c>
      <c r="E5537">
        <v>20</v>
      </c>
      <c r="F5537">
        <v>123750</v>
      </c>
      <c r="G5537">
        <v>0.02</v>
      </c>
      <c r="H5537" t="s">
        <v>10</v>
      </c>
      <c r="I5537" t="s">
        <v>11</v>
      </c>
    </row>
    <row r="5538" spans="1:9" hidden="1" x14ac:dyDescent="0.25">
      <c r="A5538" t="s">
        <v>17</v>
      </c>
      <c r="B5538" t="s">
        <v>214</v>
      </c>
      <c r="C5538">
        <v>202310</v>
      </c>
      <c r="D5538" t="str">
        <f t="shared" si="86"/>
        <v>2023</v>
      </c>
      <c r="E5538">
        <v>73</v>
      </c>
      <c r="F5538">
        <v>123750</v>
      </c>
      <c r="G5538">
        <v>0.06</v>
      </c>
      <c r="H5538" t="s">
        <v>10</v>
      </c>
      <c r="I5538" t="s">
        <v>11</v>
      </c>
    </row>
    <row r="5539" spans="1:9" hidden="1" x14ac:dyDescent="0.25">
      <c r="A5539" t="s">
        <v>17</v>
      </c>
      <c r="B5539" t="s">
        <v>214</v>
      </c>
      <c r="C5539">
        <v>202311</v>
      </c>
      <c r="D5539" t="str">
        <f t="shared" si="86"/>
        <v>2023</v>
      </c>
      <c r="E5539">
        <v>17</v>
      </c>
      <c r="F5539">
        <v>123750</v>
      </c>
      <c r="G5539">
        <v>0.01</v>
      </c>
      <c r="H5539" t="s">
        <v>10</v>
      </c>
      <c r="I5539" t="s">
        <v>11</v>
      </c>
    </row>
    <row r="5540" spans="1:9" hidden="1" x14ac:dyDescent="0.25">
      <c r="A5540" t="s">
        <v>17</v>
      </c>
      <c r="B5540" t="s">
        <v>214</v>
      </c>
      <c r="C5540">
        <v>202312</v>
      </c>
      <c r="D5540" t="str">
        <f t="shared" si="86"/>
        <v>2023</v>
      </c>
      <c r="E5540">
        <v>30</v>
      </c>
      <c r="F5540">
        <v>123750</v>
      </c>
      <c r="G5540">
        <v>0.02</v>
      </c>
      <c r="H5540" t="s">
        <v>10</v>
      </c>
      <c r="I5540" t="s">
        <v>11</v>
      </c>
    </row>
    <row r="5541" spans="1:9" hidden="1" x14ac:dyDescent="0.25">
      <c r="A5541" t="s">
        <v>17</v>
      </c>
      <c r="B5541" t="s">
        <v>214</v>
      </c>
      <c r="C5541">
        <v>202401</v>
      </c>
      <c r="D5541" t="str">
        <f t="shared" si="86"/>
        <v>2024</v>
      </c>
      <c r="E5541">
        <v>158</v>
      </c>
      <c r="F5541">
        <v>123750</v>
      </c>
      <c r="G5541">
        <v>0.13</v>
      </c>
      <c r="H5541" t="s">
        <v>10</v>
      </c>
      <c r="I5541" t="s">
        <v>11</v>
      </c>
    </row>
    <row r="5542" spans="1:9" hidden="1" x14ac:dyDescent="0.25">
      <c r="A5542" t="s">
        <v>17</v>
      </c>
      <c r="B5542" t="s">
        <v>214</v>
      </c>
      <c r="C5542">
        <v>202402</v>
      </c>
      <c r="D5542" t="str">
        <f t="shared" si="86"/>
        <v>2024</v>
      </c>
      <c r="E5542">
        <v>163</v>
      </c>
      <c r="F5542">
        <v>123750</v>
      </c>
      <c r="G5542">
        <v>0.13</v>
      </c>
      <c r="H5542" t="s">
        <v>10</v>
      </c>
      <c r="I5542" t="s">
        <v>11</v>
      </c>
    </row>
    <row r="5543" spans="1:9" hidden="1" x14ac:dyDescent="0.25">
      <c r="A5543" t="s">
        <v>17</v>
      </c>
      <c r="B5543" t="s">
        <v>214</v>
      </c>
      <c r="C5543">
        <v>202403</v>
      </c>
      <c r="D5543" t="str">
        <f t="shared" si="86"/>
        <v>2024</v>
      </c>
      <c r="E5543">
        <v>231</v>
      </c>
      <c r="F5543">
        <v>123750</v>
      </c>
      <c r="G5543">
        <v>0.19</v>
      </c>
      <c r="H5543" t="s">
        <v>10</v>
      </c>
      <c r="I5543" t="s">
        <v>11</v>
      </c>
    </row>
    <row r="5544" spans="1:9" hidden="1" x14ac:dyDescent="0.25">
      <c r="A5544" t="s">
        <v>17</v>
      </c>
      <c r="B5544" t="s">
        <v>214</v>
      </c>
      <c r="C5544">
        <v>202404</v>
      </c>
      <c r="D5544" t="str">
        <f t="shared" si="86"/>
        <v>2024</v>
      </c>
      <c r="E5544">
        <v>106</v>
      </c>
      <c r="F5544">
        <v>123750</v>
      </c>
      <c r="G5544">
        <v>0.09</v>
      </c>
      <c r="H5544" t="s">
        <v>10</v>
      </c>
      <c r="I5544" t="s">
        <v>11</v>
      </c>
    </row>
    <row r="5545" spans="1:9" hidden="1" x14ac:dyDescent="0.25">
      <c r="A5545" t="s">
        <v>17</v>
      </c>
      <c r="B5545" t="s">
        <v>214</v>
      </c>
      <c r="C5545">
        <v>202405</v>
      </c>
      <c r="D5545" t="str">
        <f t="shared" si="86"/>
        <v>2024</v>
      </c>
      <c r="E5545">
        <v>313</v>
      </c>
      <c r="F5545">
        <v>123750</v>
      </c>
      <c r="G5545">
        <v>0.25</v>
      </c>
      <c r="H5545" t="s">
        <v>10</v>
      </c>
      <c r="I5545" t="s">
        <v>11</v>
      </c>
    </row>
    <row r="5546" spans="1:9" hidden="1" x14ac:dyDescent="0.25">
      <c r="A5546" t="s">
        <v>17</v>
      </c>
      <c r="B5546" t="s">
        <v>214</v>
      </c>
      <c r="C5546">
        <v>202406</v>
      </c>
      <c r="D5546" t="str">
        <f t="shared" si="86"/>
        <v>2024</v>
      </c>
      <c r="E5546">
        <v>150</v>
      </c>
      <c r="F5546">
        <v>123750</v>
      </c>
      <c r="G5546">
        <v>0.12</v>
      </c>
      <c r="H5546" t="s">
        <v>10</v>
      </c>
      <c r="I5546" t="s">
        <v>11</v>
      </c>
    </row>
    <row r="5547" spans="1:9" hidden="1" x14ac:dyDescent="0.25">
      <c r="A5547" t="s">
        <v>17</v>
      </c>
      <c r="B5547" t="s">
        <v>214</v>
      </c>
      <c r="C5547">
        <v>202407</v>
      </c>
      <c r="D5547" t="str">
        <f t="shared" si="86"/>
        <v>2024</v>
      </c>
      <c r="E5547">
        <v>178</v>
      </c>
      <c r="F5547">
        <v>123750</v>
      </c>
      <c r="G5547">
        <v>0.14000000000000001</v>
      </c>
      <c r="H5547" t="s">
        <v>10</v>
      </c>
      <c r="I5547" t="s">
        <v>11</v>
      </c>
    </row>
    <row r="5548" spans="1:9" hidden="1" x14ac:dyDescent="0.25">
      <c r="A5548" t="s">
        <v>17</v>
      </c>
      <c r="B5548" t="s">
        <v>214</v>
      </c>
      <c r="C5548">
        <v>202408</v>
      </c>
      <c r="D5548" t="str">
        <f t="shared" si="86"/>
        <v>2024</v>
      </c>
      <c r="E5548">
        <v>209</v>
      </c>
      <c r="F5548">
        <v>123750</v>
      </c>
      <c r="G5548">
        <v>0.17</v>
      </c>
      <c r="H5548" t="s">
        <v>10</v>
      </c>
      <c r="I5548" t="s">
        <v>11</v>
      </c>
    </row>
    <row r="5549" spans="1:9" hidden="1" x14ac:dyDescent="0.25">
      <c r="A5549" t="s">
        <v>17</v>
      </c>
      <c r="B5549" t="s">
        <v>214</v>
      </c>
      <c r="C5549">
        <v>202409</v>
      </c>
      <c r="D5549" t="str">
        <f t="shared" si="86"/>
        <v>2024</v>
      </c>
      <c r="E5549">
        <v>189</v>
      </c>
      <c r="F5549">
        <v>123750</v>
      </c>
      <c r="G5549">
        <v>0.15</v>
      </c>
      <c r="H5549" t="s">
        <v>10</v>
      </c>
      <c r="I5549" t="s">
        <v>11</v>
      </c>
    </row>
    <row r="5550" spans="1:9" hidden="1" x14ac:dyDescent="0.25">
      <c r="A5550" t="s">
        <v>17</v>
      </c>
      <c r="B5550" t="s">
        <v>214</v>
      </c>
      <c r="C5550">
        <v>202410</v>
      </c>
      <c r="D5550" t="str">
        <f t="shared" si="86"/>
        <v>2024</v>
      </c>
      <c r="E5550">
        <v>262</v>
      </c>
      <c r="F5550">
        <v>123750</v>
      </c>
      <c r="G5550">
        <v>0.21</v>
      </c>
      <c r="H5550" t="s">
        <v>10</v>
      </c>
      <c r="I5550" t="s">
        <v>11</v>
      </c>
    </row>
    <row r="5551" spans="1:9" hidden="1" x14ac:dyDescent="0.25">
      <c r="A5551" t="s">
        <v>17</v>
      </c>
      <c r="B5551" t="s">
        <v>214</v>
      </c>
      <c r="C5551">
        <v>202411</v>
      </c>
      <c r="D5551" t="str">
        <f t="shared" si="86"/>
        <v>2024</v>
      </c>
      <c r="E5551">
        <v>214</v>
      </c>
      <c r="F5551">
        <v>123750</v>
      </c>
      <c r="G5551">
        <v>0.17</v>
      </c>
      <c r="H5551" t="s">
        <v>10</v>
      </c>
      <c r="I5551" t="s">
        <v>11</v>
      </c>
    </row>
    <row r="5552" spans="1:9" hidden="1" x14ac:dyDescent="0.25">
      <c r="A5552" t="s">
        <v>17</v>
      </c>
      <c r="B5552" t="s">
        <v>214</v>
      </c>
      <c r="C5552">
        <v>202412</v>
      </c>
      <c r="D5552" t="str">
        <f t="shared" si="86"/>
        <v>2024</v>
      </c>
      <c r="E5552">
        <v>217</v>
      </c>
      <c r="F5552">
        <v>123750</v>
      </c>
      <c r="G5552">
        <v>0.18</v>
      </c>
      <c r="H5552" t="s">
        <v>10</v>
      </c>
      <c r="I5552" t="s">
        <v>11</v>
      </c>
    </row>
    <row r="5553" spans="1:9" x14ac:dyDescent="0.25">
      <c r="A5553" t="s">
        <v>17</v>
      </c>
      <c r="B5553" t="s">
        <v>214</v>
      </c>
      <c r="C5553">
        <v>202501</v>
      </c>
      <c r="D5553" t="str">
        <f t="shared" si="86"/>
        <v>2025</v>
      </c>
      <c r="E5553">
        <v>498</v>
      </c>
      <c r="F5553">
        <v>123750</v>
      </c>
      <c r="G5553">
        <v>0.4</v>
      </c>
      <c r="H5553" t="s">
        <v>10</v>
      </c>
      <c r="I5553" t="s">
        <v>11</v>
      </c>
    </row>
    <row r="5554" spans="1:9" x14ac:dyDescent="0.25">
      <c r="A5554" t="s">
        <v>17</v>
      </c>
      <c r="B5554" t="s">
        <v>214</v>
      </c>
      <c r="C5554">
        <v>202502</v>
      </c>
      <c r="D5554" t="str">
        <f t="shared" si="86"/>
        <v>2025</v>
      </c>
      <c r="E5554">
        <v>515</v>
      </c>
      <c r="F5554">
        <v>123750</v>
      </c>
      <c r="G5554">
        <v>0.42</v>
      </c>
      <c r="H5554" t="s">
        <v>10</v>
      </c>
      <c r="I5554" t="s">
        <v>11</v>
      </c>
    </row>
    <row r="5555" spans="1:9" x14ac:dyDescent="0.25">
      <c r="A5555" t="s">
        <v>17</v>
      </c>
      <c r="B5555" t="s">
        <v>214</v>
      </c>
      <c r="C5555">
        <v>202503</v>
      </c>
      <c r="D5555" t="str">
        <f t="shared" si="86"/>
        <v>2025</v>
      </c>
      <c r="E5555">
        <v>883</v>
      </c>
      <c r="F5555">
        <v>123750</v>
      </c>
      <c r="G5555">
        <v>0.71</v>
      </c>
      <c r="H5555" t="s">
        <v>10</v>
      </c>
      <c r="I5555" t="s">
        <v>11</v>
      </c>
    </row>
    <row r="5556" spans="1:9" x14ac:dyDescent="0.25">
      <c r="A5556" t="s">
        <v>17</v>
      </c>
      <c r="B5556" t="s">
        <v>214</v>
      </c>
      <c r="C5556">
        <v>202504</v>
      </c>
      <c r="D5556" t="str">
        <f t="shared" si="86"/>
        <v>2025</v>
      </c>
      <c r="E5556">
        <v>1351</v>
      </c>
      <c r="F5556">
        <v>123750</v>
      </c>
      <c r="G5556">
        <v>1.0900000000000001</v>
      </c>
      <c r="H5556" t="s">
        <v>10</v>
      </c>
      <c r="I5556" t="s">
        <v>11</v>
      </c>
    </row>
    <row r="5557" spans="1:9" x14ac:dyDescent="0.25">
      <c r="A5557" t="s">
        <v>17</v>
      </c>
      <c r="B5557" t="s">
        <v>214</v>
      </c>
      <c r="C5557">
        <v>202505</v>
      </c>
      <c r="D5557" t="str">
        <f t="shared" si="86"/>
        <v>2025</v>
      </c>
      <c r="E5557">
        <v>1490</v>
      </c>
      <c r="F5557">
        <v>123750</v>
      </c>
      <c r="G5557">
        <v>1.2</v>
      </c>
      <c r="H5557" t="s">
        <v>10</v>
      </c>
      <c r="I5557" t="s">
        <v>11</v>
      </c>
    </row>
    <row r="5558" spans="1:9" x14ac:dyDescent="0.25">
      <c r="A5558" t="s">
        <v>17</v>
      </c>
      <c r="B5558" t="s">
        <v>214</v>
      </c>
      <c r="C5558">
        <v>202506</v>
      </c>
      <c r="D5558" t="str">
        <f t="shared" si="86"/>
        <v>2025</v>
      </c>
      <c r="E5558">
        <v>1687</v>
      </c>
      <c r="F5558">
        <v>123750</v>
      </c>
      <c r="G5558">
        <v>1.36</v>
      </c>
      <c r="H5558" t="s">
        <v>10</v>
      </c>
      <c r="I5558" t="s">
        <v>11</v>
      </c>
    </row>
    <row r="5559" spans="1:9" x14ac:dyDescent="0.25">
      <c r="A5559" t="s">
        <v>17</v>
      </c>
      <c r="B5559" t="s">
        <v>214</v>
      </c>
      <c r="C5559">
        <v>202507</v>
      </c>
      <c r="D5559" t="str">
        <f t="shared" si="86"/>
        <v>2025</v>
      </c>
      <c r="E5559">
        <v>1617</v>
      </c>
      <c r="F5559">
        <v>123750</v>
      </c>
      <c r="G5559">
        <v>1.31</v>
      </c>
      <c r="H5559" t="s">
        <v>10</v>
      </c>
      <c r="I5559" t="s">
        <v>11</v>
      </c>
    </row>
    <row r="5560" spans="1:9" x14ac:dyDescent="0.25">
      <c r="A5560" t="s">
        <v>17</v>
      </c>
      <c r="B5560" t="s">
        <v>214</v>
      </c>
      <c r="C5560">
        <v>202508</v>
      </c>
      <c r="D5560" t="str">
        <f t="shared" si="86"/>
        <v>2025</v>
      </c>
      <c r="E5560">
        <v>2204</v>
      </c>
      <c r="F5560">
        <v>123750</v>
      </c>
      <c r="G5560">
        <v>1.78</v>
      </c>
      <c r="H5560" t="s">
        <v>10</v>
      </c>
      <c r="I5560" t="s">
        <v>11</v>
      </c>
    </row>
    <row r="5561" spans="1:9" x14ac:dyDescent="0.25">
      <c r="A5561" t="s">
        <v>17</v>
      </c>
      <c r="B5561" t="s">
        <v>214</v>
      </c>
      <c r="C5561">
        <v>202509</v>
      </c>
      <c r="D5561" t="str">
        <f t="shared" si="86"/>
        <v>2025</v>
      </c>
      <c r="E5561">
        <v>6497</v>
      </c>
      <c r="F5561">
        <v>123750</v>
      </c>
      <c r="G5561">
        <v>5.25</v>
      </c>
      <c r="H5561" t="s">
        <v>10</v>
      </c>
      <c r="I5561" t="s">
        <v>11</v>
      </c>
    </row>
    <row r="5562" spans="1:9" x14ac:dyDescent="0.25">
      <c r="A5562" t="s">
        <v>17</v>
      </c>
      <c r="B5562" t="s">
        <v>214</v>
      </c>
      <c r="C5562">
        <v>202510</v>
      </c>
      <c r="D5562" t="str">
        <f t="shared" si="86"/>
        <v>2025</v>
      </c>
      <c r="E5562">
        <v>12261</v>
      </c>
      <c r="F5562">
        <v>123750</v>
      </c>
      <c r="G5562">
        <v>9.91</v>
      </c>
      <c r="H5562" t="s">
        <v>10</v>
      </c>
      <c r="I5562" t="s">
        <v>11</v>
      </c>
    </row>
    <row r="5563" spans="1:9" x14ac:dyDescent="0.25">
      <c r="A5563" t="s">
        <v>17</v>
      </c>
      <c r="B5563" t="s">
        <v>214</v>
      </c>
      <c r="C5563">
        <v>202511</v>
      </c>
      <c r="D5563" t="str">
        <f t="shared" si="86"/>
        <v>2025</v>
      </c>
      <c r="E5563">
        <v>48965</v>
      </c>
      <c r="F5563">
        <v>123750</v>
      </c>
      <c r="G5563">
        <v>39.57</v>
      </c>
      <c r="H5563" t="s">
        <v>10</v>
      </c>
      <c r="I5563" t="s">
        <v>11</v>
      </c>
    </row>
    <row r="5564" spans="1:9" x14ac:dyDescent="0.25">
      <c r="A5564" t="s">
        <v>17</v>
      </c>
      <c r="B5564" t="s">
        <v>214</v>
      </c>
      <c r="C5564">
        <v>202512</v>
      </c>
      <c r="D5564" t="str">
        <f t="shared" si="86"/>
        <v>2025</v>
      </c>
      <c r="E5564">
        <v>43234</v>
      </c>
      <c r="F5564">
        <v>123750</v>
      </c>
      <c r="G5564">
        <v>34.94</v>
      </c>
      <c r="H5564" t="s">
        <v>10</v>
      </c>
      <c r="I5564" t="s">
        <v>11</v>
      </c>
    </row>
    <row r="5565" spans="1:9" hidden="1" x14ac:dyDescent="0.25">
      <c r="A5565" t="s">
        <v>17</v>
      </c>
      <c r="B5565" t="s">
        <v>185</v>
      </c>
      <c r="C5565">
        <v>202302</v>
      </c>
      <c r="D5565" t="str">
        <f t="shared" si="86"/>
        <v>2023</v>
      </c>
      <c r="E5565">
        <v>29</v>
      </c>
      <c r="F5565">
        <v>108027</v>
      </c>
      <c r="G5565">
        <v>0.03</v>
      </c>
      <c r="H5565" t="s">
        <v>10</v>
      </c>
      <c r="I5565" t="s">
        <v>11</v>
      </c>
    </row>
    <row r="5566" spans="1:9" hidden="1" x14ac:dyDescent="0.25">
      <c r="A5566" t="s">
        <v>17</v>
      </c>
      <c r="B5566" t="s">
        <v>185</v>
      </c>
      <c r="C5566">
        <v>202306</v>
      </c>
      <c r="D5566" t="str">
        <f t="shared" si="86"/>
        <v>2023</v>
      </c>
      <c r="E5566">
        <v>18</v>
      </c>
      <c r="F5566">
        <v>108027</v>
      </c>
      <c r="G5566">
        <v>0.02</v>
      </c>
      <c r="H5566" t="s">
        <v>10</v>
      </c>
      <c r="I5566" t="s">
        <v>11</v>
      </c>
    </row>
    <row r="5567" spans="1:9" hidden="1" x14ac:dyDescent="0.25">
      <c r="A5567" t="s">
        <v>17</v>
      </c>
      <c r="B5567" t="s">
        <v>185</v>
      </c>
      <c r="C5567">
        <v>202307</v>
      </c>
      <c r="D5567" t="str">
        <f t="shared" si="86"/>
        <v>2023</v>
      </c>
      <c r="E5567">
        <v>6</v>
      </c>
      <c r="F5567">
        <v>108027</v>
      </c>
      <c r="G5567">
        <v>0.01</v>
      </c>
      <c r="H5567" t="s">
        <v>10</v>
      </c>
      <c r="I5567" t="s">
        <v>11</v>
      </c>
    </row>
    <row r="5568" spans="1:9" hidden="1" x14ac:dyDescent="0.25">
      <c r="A5568" t="s">
        <v>17</v>
      </c>
      <c r="B5568" t="s">
        <v>185</v>
      </c>
      <c r="C5568">
        <v>202308</v>
      </c>
      <c r="D5568" t="str">
        <f t="shared" si="86"/>
        <v>2023</v>
      </c>
      <c r="E5568">
        <v>17</v>
      </c>
      <c r="F5568">
        <v>108027</v>
      </c>
      <c r="G5568">
        <v>0.02</v>
      </c>
      <c r="H5568" t="s">
        <v>10</v>
      </c>
      <c r="I5568" t="s">
        <v>11</v>
      </c>
    </row>
    <row r="5569" spans="1:9" hidden="1" x14ac:dyDescent="0.25">
      <c r="A5569" t="s">
        <v>17</v>
      </c>
      <c r="B5569" t="s">
        <v>185</v>
      </c>
      <c r="C5569">
        <v>202310</v>
      </c>
      <c r="D5569" t="str">
        <f t="shared" si="86"/>
        <v>2023</v>
      </c>
      <c r="E5569">
        <v>12</v>
      </c>
      <c r="F5569">
        <v>108027</v>
      </c>
      <c r="G5569">
        <v>0.01</v>
      </c>
      <c r="H5569" t="s">
        <v>10</v>
      </c>
      <c r="I5569" t="s">
        <v>11</v>
      </c>
    </row>
    <row r="5570" spans="1:9" hidden="1" x14ac:dyDescent="0.25">
      <c r="A5570" t="s">
        <v>17</v>
      </c>
      <c r="B5570" t="s">
        <v>185</v>
      </c>
      <c r="C5570">
        <v>202311</v>
      </c>
      <c r="D5570" t="str">
        <f t="shared" si="86"/>
        <v>2023</v>
      </c>
      <c r="E5570">
        <v>19</v>
      </c>
      <c r="F5570">
        <v>108027</v>
      </c>
      <c r="G5570">
        <v>0.02</v>
      </c>
      <c r="H5570" t="s">
        <v>10</v>
      </c>
      <c r="I5570" t="s">
        <v>11</v>
      </c>
    </row>
    <row r="5571" spans="1:9" hidden="1" x14ac:dyDescent="0.25">
      <c r="A5571" t="s">
        <v>17</v>
      </c>
      <c r="B5571" t="s">
        <v>185</v>
      </c>
      <c r="C5571">
        <v>202401</v>
      </c>
      <c r="D5571" t="str">
        <f t="shared" ref="D5571:D5634" si="87">LEFT(C5571,4)</f>
        <v>2024</v>
      </c>
      <c r="E5571">
        <v>95</v>
      </c>
      <c r="F5571">
        <v>108027</v>
      </c>
      <c r="G5571">
        <v>0.09</v>
      </c>
      <c r="H5571" t="s">
        <v>10</v>
      </c>
      <c r="I5571" t="s">
        <v>11</v>
      </c>
    </row>
    <row r="5572" spans="1:9" hidden="1" x14ac:dyDescent="0.25">
      <c r="A5572" t="s">
        <v>17</v>
      </c>
      <c r="B5572" t="s">
        <v>185</v>
      </c>
      <c r="C5572">
        <v>202402</v>
      </c>
      <c r="D5572" t="str">
        <f t="shared" si="87"/>
        <v>2024</v>
      </c>
      <c r="E5572">
        <v>49</v>
      </c>
      <c r="F5572">
        <v>108027</v>
      </c>
      <c r="G5572">
        <v>0.05</v>
      </c>
      <c r="H5572" t="s">
        <v>10</v>
      </c>
      <c r="I5572" t="s">
        <v>11</v>
      </c>
    </row>
    <row r="5573" spans="1:9" hidden="1" x14ac:dyDescent="0.25">
      <c r="A5573" t="s">
        <v>17</v>
      </c>
      <c r="B5573" t="s">
        <v>185</v>
      </c>
      <c r="C5573">
        <v>202403</v>
      </c>
      <c r="D5573" t="str">
        <f t="shared" si="87"/>
        <v>2024</v>
      </c>
      <c r="E5573">
        <v>56</v>
      </c>
      <c r="F5573">
        <v>108027</v>
      </c>
      <c r="G5573">
        <v>0.05</v>
      </c>
      <c r="H5573" t="s">
        <v>10</v>
      </c>
      <c r="I5573" t="s">
        <v>11</v>
      </c>
    </row>
    <row r="5574" spans="1:9" hidden="1" x14ac:dyDescent="0.25">
      <c r="A5574" t="s">
        <v>17</v>
      </c>
      <c r="B5574" t="s">
        <v>185</v>
      </c>
      <c r="C5574">
        <v>202404</v>
      </c>
      <c r="D5574" t="str">
        <f t="shared" si="87"/>
        <v>2024</v>
      </c>
      <c r="E5574">
        <v>51</v>
      </c>
      <c r="F5574">
        <v>108027</v>
      </c>
      <c r="G5574">
        <v>0.05</v>
      </c>
      <c r="H5574" t="s">
        <v>10</v>
      </c>
      <c r="I5574" t="s">
        <v>11</v>
      </c>
    </row>
    <row r="5575" spans="1:9" hidden="1" x14ac:dyDescent="0.25">
      <c r="A5575" t="s">
        <v>17</v>
      </c>
      <c r="B5575" t="s">
        <v>185</v>
      </c>
      <c r="C5575">
        <v>202405</v>
      </c>
      <c r="D5575" t="str">
        <f t="shared" si="87"/>
        <v>2024</v>
      </c>
      <c r="E5575">
        <v>85</v>
      </c>
      <c r="F5575">
        <v>108027</v>
      </c>
      <c r="G5575">
        <v>0.08</v>
      </c>
      <c r="H5575" t="s">
        <v>10</v>
      </c>
      <c r="I5575" t="s">
        <v>11</v>
      </c>
    </row>
    <row r="5576" spans="1:9" hidden="1" x14ac:dyDescent="0.25">
      <c r="A5576" t="s">
        <v>17</v>
      </c>
      <c r="B5576" t="s">
        <v>185</v>
      </c>
      <c r="C5576">
        <v>202406</v>
      </c>
      <c r="D5576" t="str">
        <f t="shared" si="87"/>
        <v>2024</v>
      </c>
      <c r="E5576">
        <v>121</v>
      </c>
      <c r="F5576">
        <v>108027</v>
      </c>
      <c r="G5576">
        <v>0.11</v>
      </c>
      <c r="H5576" t="s">
        <v>10</v>
      </c>
      <c r="I5576" t="s">
        <v>11</v>
      </c>
    </row>
    <row r="5577" spans="1:9" hidden="1" x14ac:dyDescent="0.25">
      <c r="A5577" t="s">
        <v>17</v>
      </c>
      <c r="B5577" t="s">
        <v>185</v>
      </c>
      <c r="C5577">
        <v>202407</v>
      </c>
      <c r="D5577" t="str">
        <f t="shared" si="87"/>
        <v>2024</v>
      </c>
      <c r="E5577">
        <v>40</v>
      </c>
      <c r="F5577">
        <v>108027</v>
      </c>
      <c r="G5577">
        <v>0.04</v>
      </c>
      <c r="H5577" t="s">
        <v>10</v>
      </c>
      <c r="I5577" t="s">
        <v>11</v>
      </c>
    </row>
    <row r="5578" spans="1:9" hidden="1" x14ac:dyDescent="0.25">
      <c r="A5578" t="s">
        <v>17</v>
      </c>
      <c r="B5578" t="s">
        <v>185</v>
      </c>
      <c r="C5578">
        <v>202408</v>
      </c>
      <c r="D5578" t="str">
        <f t="shared" si="87"/>
        <v>2024</v>
      </c>
      <c r="E5578">
        <v>55</v>
      </c>
      <c r="F5578">
        <v>108027</v>
      </c>
      <c r="G5578">
        <v>0.05</v>
      </c>
      <c r="H5578" t="s">
        <v>10</v>
      </c>
      <c r="I5578" t="s">
        <v>11</v>
      </c>
    </row>
    <row r="5579" spans="1:9" hidden="1" x14ac:dyDescent="0.25">
      <c r="A5579" t="s">
        <v>17</v>
      </c>
      <c r="B5579" t="s">
        <v>185</v>
      </c>
      <c r="C5579">
        <v>202409</v>
      </c>
      <c r="D5579" t="str">
        <f t="shared" si="87"/>
        <v>2024</v>
      </c>
      <c r="E5579">
        <v>72</v>
      </c>
      <c r="F5579">
        <v>108027</v>
      </c>
      <c r="G5579">
        <v>7.0000000000000007E-2</v>
      </c>
      <c r="H5579" t="s">
        <v>10</v>
      </c>
      <c r="I5579" t="s">
        <v>11</v>
      </c>
    </row>
    <row r="5580" spans="1:9" hidden="1" x14ac:dyDescent="0.25">
      <c r="A5580" t="s">
        <v>17</v>
      </c>
      <c r="B5580" t="s">
        <v>185</v>
      </c>
      <c r="C5580">
        <v>202410</v>
      </c>
      <c r="D5580" t="str">
        <f t="shared" si="87"/>
        <v>2024</v>
      </c>
      <c r="E5580">
        <v>137</v>
      </c>
      <c r="F5580">
        <v>108027</v>
      </c>
      <c r="G5580">
        <v>0.13</v>
      </c>
      <c r="H5580" t="s">
        <v>10</v>
      </c>
      <c r="I5580" t="s">
        <v>11</v>
      </c>
    </row>
    <row r="5581" spans="1:9" hidden="1" x14ac:dyDescent="0.25">
      <c r="A5581" t="s">
        <v>17</v>
      </c>
      <c r="B5581" t="s">
        <v>185</v>
      </c>
      <c r="C5581">
        <v>202411</v>
      </c>
      <c r="D5581" t="str">
        <f t="shared" si="87"/>
        <v>2024</v>
      </c>
      <c r="E5581">
        <v>93</v>
      </c>
      <c r="F5581">
        <v>108027</v>
      </c>
      <c r="G5581">
        <v>0.09</v>
      </c>
      <c r="H5581" t="s">
        <v>10</v>
      </c>
      <c r="I5581" t="s">
        <v>11</v>
      </c>
    </row>
    <row r="5582" spans="1:9" hidden="1" x14ac:dyDescent="0.25">
      <c r="A5582" t="s">
        <v>17</v>
      </c>
      <c r="B5582" t="s">
        <v>185</v>
      </c>
      <c r="C5582">
        <v>202412</v>
      </c>
      <c r="D5582" t="str">
        <f t="shared" si="87"/>
        <v>2024</v>
      </c>
      <c r="E5582">
        <v>153</v>
      </c>
      <c r="F5582">
        <v>108027</v>
      </c>
      <c r="G5582">
        <v>0.14000000000000001</v>
      </c>
      <c r="H5582" t="s">
        <v>10</v>
      </c>
      <c r="I5582" t="s">
        <v>11</v>
      </c>
    </row>
    <row r="5583" spans="1:9" x14ac:dyDescent="0.25">
      <c r="A5583" t="s">
        <v>17</v>
      </c>
      <c r="B5583" t="s">
        <v>185</v>
      </c>
      <c r="C5583">
        <v>202501</v>
      </c>
      <c r="D5583" t="str">
        <f t="shared" si="87"/>
        <v>2025</v>
      </c>
      <c r="E5583">
        <v>320</v>
      </c>
      <c r="F5583">
        <v>108027</v>
      </c>
      <c r="G5583">
        <v>0.3</v>
      </c>
      <c r="H5583" t="s">
        <v>10</v>
      </c>
      <c r="I5583" t="s">
        <v>11</v>
      </c>
    </row>
    <row r="5584" spans="1:9" x14ac:dyDescent="0.25">
      <c r="A5584" t="s">
        <v>17</v>
      </c>
      <c r="B5584" t="s">
        <v>185</v>
      </c>
      <c r="C5584">
        <v>202502</v>
      </c>
      <c r="D5584" t="str">
        <f t="shared" si="87"/>
        <v>2025</v>
      </c>
      <c r="E5584">
        <v>492</v>
      </c>
      <c r="F5584">
        <v>108027</v>
      </c>
      <c r="G5584">
        <v>0.46</v>
      </c>
      <c r="H5584" t="s">
        <v>10</v>
      </c>
      <c r="I5584" t="s">
        <v>11</v>
      </c>
    </row>
    <row r="5585" spans="1:9" x14ac:dyDescent="0.25">
      <c r="A5585" t="s">
        <v>17</v>
      </c>
      <c r="B5585" t="s">
        <v>185</v>
      </c>
      <c r="C5585">
        <v>202503</v>
      </c>
      <c r="D5585" t="str">
        <f t="shared" si="87"/>
        <v>2025</v>
      </c>
      <c r="E5585">
        <v>667</v>
      </c>
      <c r="F5585">
        <v>108027</v>
      </c>
      <c r="G5585">
        <v>0.62</v>
      </c>
      <c r="H5585" t="s">
        <v>10</v>
      </c>
      <c r="I5585" t="s">
        <v>11</v>
      </c>
    </row>
    <row r="5586" spans="1:9" x14ac:dyDescent="0.25">
      <c r="A5586" t="s">
        <v>17</v>
      </c>
      <c r="B5586" t="s">
        <v>185</v>
      </c>
      <c r="C5586">
        <v>202504</v>
      </c>
      <c r="D5586" t="str">
        <f t="shared" si="87"/>
        <v>2025</v>
      </c>
      <c r="E5586">
        <v>741</v>
      </c>
      <c r="F5586">
        <v>108027</v>
      </c>
      <c r="G5586">
        <v>0.69</v>
      </c>
      <c r="H5586" t="s">
        <v>10</v>
      </c>
      <c r="I5586" t="s">
        <v>11</v>
      </c>
    </row>
    <row r="5587" spans="1:9" x14ac:dyDescent="0.25">
      <c r="A5587" t="s">
        <v>17</v>
      </c>
      <c r="B5587" t="s">
        <v>185</v>
      </c>
      <c r="C5587">
        <v>202505</v>
      </c>
      <c r="D5587" t="str">
        <f t="shared" si="87"/>
        <v>2025</v>
      </c>
      <c r="E5587">
        <v>1281</v>
      </c>
      <c r="F5587">
        <v>108027</v>
      </c>
      <c r="G5587">
        <v>1.19</v>
      </c>
      <c r="H5587" t="s">
        <v>10</v>
      </c>
      <c r="I5587" t="s">
        <v>11</v>
      </c>
    </row>
    <row r="5588" spans="1:9" x14ac:dyDescent="0.25">
      <c r="A5588" t="s">
        <v>17</v>
      </c>
      <c r="B5588" t="s">
        <v>185</v>
      </c>
      <c r="C5588">
        <v>202506</v>
      </c>
      <c r="D5588" t="str">
        <f t="shared" si="87"/>
        <v>2025</v>
      </c>
      <c r="E5588">
        <v>1781</v>
      </c>
      <c r="F5588">
        <v>108027</v>
      </c>
      <c r="G5588">
        <v>1.65</v>
      </c>
      <c r="H5588" t="s">
        <v>10</v>
      </c>
      <c r="I5588" t="s">
        <v>11</v>
      </c>
    </row>
    <row r="5589" spans="1:9" x14ac:dyDescent="0.25">
      <c r="A5589" t="s">
        <v>17</v>
      </c>
      <c r="B5589" t="s">
        <v>185</v>
      </c>
      <c r="C5589">
        <v>202507</v>
      </c>
      <c r="D5589" t="str">
        <f t="shared" si="87"/>
        <v>2025</v>
      </c>
      <c r="E5589">
        <v>1628</v>
      </c>
      <c r="F5589">
        <v>108027</v>
      </c>
      <c r="G5589">
        <v>1.51</v>
      </c>
      <c r="H5589" t="s">
        <v>10</v>
      </c>
      <c r="I5589" t="s">
        <v>11</v>
      </c>
    </row>
    <row r="5590" spans="1:9" x14ac:dyDescent="0.25">
      <c r="A5590" t="s">
        <v>17</v>
      </c>
      <c r="B5590" t="s">
        <v>185</v>
      </c>
      <c r="C5590">
        <v>202508</v>
      </c>
      <c r="D5590" t="str">
        <f t="shared" si="87"/>
        <v>2025</v>
      </c>
      <c r="E5590">
        <v>1191</v>
      </c>
      <c r="F5590">
        <v>108027</v>
      </c>
      <c r="G5590">
        <v>1.1000000000000001</v>
      </c>
      <c r="H5590" t="s">
        <v>10</v>
      </c>
      <c r="I5590" t="s">
        <v>11</v>
      </c>
    </row>
    <row r="5591" spans="1:9" x14ac:dyDescent="0.25">
      <c r="A5591" t="s">
        <v>17</v>
      </c>
      <c r="B5591" t="s">
        <v>185</v>
      </c>
      <c r="C5591">
        <v>202509</v>
      </c>
      <c r="D5591" t="str">
        <f t="shared" si="87"/>
        <v>2025</v>
      </c>
      <c r="E5591">
        <v>2666</v>
      </c>
      <c r="F5591">
        <v>108027</v>
      </c>
      <c r="G5591">
        <v>2.4700000000000002</v>
      </c>
      <c r="H5591" t="s">
        <v>10</v>
      </c>
      <c r="I5591" t="s">
        <v>11</v>
      </c>
    </row>
    <row r="5592" spans="1:9" x14ac:dyDescent="0.25">
      <c r="A5592" t="s">
        <v>17</v>
      </c>
      <c r="B5592" t="s">
        <v>185</v>
      </c>
      <c r="C5592">
        <v>202510</v>
      </c>
      <c r="D5592" t="str">
        <f t="shared" si="87"/>
        <v>2025</v>
      </c>
      <c r="E5592">
        <v>3065</v>
      </c>
      <c r="F5592">
        <v>108027</v>
      </c>
      <c r="G5592">
        <v>2.84</v>
      </c>
      <c r="H5592" t="s">
        <v>10</v>
      </c>
      <c r="I5592" t="s">
        <v>11</v>
      </c>
    </row>
    <row r="5593" spans="1:9" x14ac:dyDescent="0.25">
      <c r="A5593" t="s">
        <v>17</v>
      </c>
      <c r="B5593" t="s">
        <v>185</v>
      </c>
      <c r="C5593">
        <v>202511</v>
      </c>
      <c r="D5593" t="str">
        <f t="shared" si="87"/>
        <v>2025</v>
      </c>
      <c r="E5593">
        <v>4410</v>
      </c>
      <c r="F5593">
        <v>108027</v>
      </c>
      <c r="G5593">
        <v>4.08</v>
      </c>
      <c r="H5593" t="s">
        <v>10</v>
      </c>
      <c r="I5593" t="s">
        <v>11</v>
      </c>
    </row>
    <row r="5594" spans="1:9" x14ac:dyDescent="0.25">
      <c r="A5594" t="s">
        <v>17</v>
      </c>
      <c r="B5594" t="s">
        <v>185</v>
      </c>
      <c r="C5594">
        <v>202512</v>
      </c>
      <c r="D5594" t="str">
        <f t="shared" si="87"/>
        <v>2025</v>
      </c>
      <c r="E5594">
        <v>42408</v>
      </c>
      <c r="F5594">
        <v>108027</v>
      </c>
      <c r="G5594">
        <v>39.26</v>
      </c>
      <c r="H5594" t="s">
        <v>10</v>
      </c>
      <c r="I5594" t="s">
        <v>11</v>
      </c>
    </row>
    <row r="5595" spans="1:9" x14ac:dyDescent="0.25">
      <c r="A5595" t="s">
        <v>17</v>
      </c>
      <c r="B5595" t="s">
        <v>185</v>
      </c>
      <c r="C5595">
        <v>202601</v>
      </c>
      <c r="D5595" t="str">
        <f t="shared" si="87"/>
        <v>2026</v>
      </c>
      <c r="E5595">
        <v>46269</v>
      </c>
      <c r="F5595">
        <v>108027</v>
      </c>
      <c r="G5595">
        <v>42.83</v>
      </c>
      <c r="H5595" t="s">
        <v>10</v>
      </c>
      <c r="I5595" t="s">
        <v>11</v>
      </c>
    </row>
    <row r="5596" spans="1:9" hidden="1" x14ac:dyDescent="0.25">
      <c r="A5596" t="s">
        <v>17</v>
      </c>
      <c r="B5596" t="s">
        <v>198</v>
      </c>
      <c r="C5596">
        <v>202005</v>
      </c>
      <c r="D5596" t="str">
        <f t="shared" si="87"/>
        <v>2020</v>
      </c>
      <c r="E5596">
        <v>12</v>
      </c>
      <c r="F5596">
        <v>101264</v>
      </c>
      <c r="G5596">
        <v>0.01</v>
      </c>
      <c r="H5596" t="s">
        <v>10</v>
      </c>
      <c r="I5596" t="s">
        <v>11</v>
      </c>
    </row>
    <row r="5597" spans="1:9" hidden="1" x14ac:dyDescent="0.25">
      <c r="A5597" t="s">
        <v>17</v>
      </c>
      <c r="B5597" t="s">
        <v>198</v>
      </c>
      <c r="C5597">
        <v>202210</v>
      </c>
      <c r="D5597" t="str">
        <f t="shared" si="87"/>
        <v>2022</v>
      </c>
      <c r="E5597">
        <v>5</v>
      </c>
      <c r="F5597">
        <v>101264</v>
      </c>
      <c r="G5597">
        <v>0</v>
      </c>
      <c r="H5597" t="s">
        <v>10</v>
      </c>
      <c r="I5597" t="s">
        <v>11</v>
      </c>
    </row>
    <row r="5598" spans="1:9" hidden="1" x14ac:dyDescent="0.25">
      <c r="A5598" t="s">
        <v>17</v>
      </c>
      <c r="B5598" t="s">
        <v>198</v>
      </c>
      <c r="C5598">
        <v>202212</v>
      </c>
      <c r="D5598" t="str">
        <f t="shared" si="87"/>
        <v>2022</v>
      </c>
      <c r="E5598">
        <v>27</v>
      </c>
      <c r="F5598">
        <v>101264</v>
      </c>
      <c r="G5598">
        <v>0.03</v>
      </c>
      <c r="H5598" t="s">
        <v>10</v>
      </c>
      <c r="I5598" t="s">
        <v>11</v>
      </c>
    </row>
    <row r="5599" spans="1:9" hidden="1" x14ac:dyDescent="0.25">
      <c r="A5599" t="s">
        <v>17</v>
      </c>
      <c r="B5599" t="s">
        <v>198</v>
      </c>
      <c r="C5599">
        <v>202305</v>
      </c>
      <c r="D5599" t="str">
        <f t="shared" si="87"/>
        <v>2023</v>
      </c>
      <c r="E5599">
        <v>1</v>
      </c>
      <c r="F5599">
        <v>101264</v>
      </c>
      <c r="G5599">
        <v>0</v>
      </c>
      <c r="H5599" t="s">
        <v>10</v>
      </c>
      <c r="I5599" t="s">
        <v>11</v>
      </c>
    </row>
    <row r="5600" spans="1:9" hidden="1" x14ac:dyDescent="0.25">
      <c r="A5600" t="s">
        <v>17</v>
      </c>
      <c r="B5600" t="s">
        <v>198</v>
      </c>
      <c r="C5600">
        <v>202307</v>
      </c>
      <c r="D5600" t="str">
        <f t="shared" si="87"/>
        <v>2023</v>
      </c>
      <c r="E5600">
        <v>6</v>
      </c>
      <c r="F5600">
        <v>101264</v>
      </c>
      <c r="G5600">
        <v>0.01</v>
      </c>
      <c r="H5600" t="s">
        <v>10</v>
      </c>
      <c r="I5600" t="s">
        <v>11</v>
      </c>
    </row>
    <row r="5601" spans="1:9" hidden="1" x14ac:dyDescent="0.25">
      <c r="A5601" t="s">
        <v>17</v>
      </c>
      <c r="B5601" t="s">
        <v>198</v>
      </c>
      <c r="C5601">
        <v>202308</v>
      </c>
      <c r="D5601" t="str">
        <f t="shared" si="87"/>
        <v>2023</v>
      </c>
      <c r="E5601">
        <v>1</v>
      </c>
      <c r="F5601">
        <v>101264</v>
      </c>
      <c r="G5601">
        <v>0</v>
      </c>
      <c r="H5601" t="s">
        <v>10</v>
      </c>
      <c r="I5601" t="s">
        <v>11</v>
      </c>
    </row>
    <row r="5602" spans="1:9" hidden="1" x14ac:dyDescent="0.25">
      <c r="A5602" t="s">
        <v>17</v>
      </c>
      <c r="B5602" t="s">
        <v>198</v>
      </c>
      <c r="C5602">
        <v>202312</v>
      </c>
      <c r="D5602" t="str">
        <f t="shared" si="87"/>
        <v>2023</v>
      </c>
      <c r="E5602">
        <v>7</v>
      </c>
      <c r="F5602">
        <v>101264</v>
      </c>
      <c r="G5602">
        <v>0.01</v>
      </c>
      <c r="H5602" t="s">
        <v>10</v>
      </c>
      <c r="I5602" t="s">
        <v>11</v>
      </c>
    </row>
    <row r="5603" spans="1:9" hidden="1" x14ac:dyDescent="0.25">
      <c r="A5603" t="s">
        <v>17</v>
      </c>
      <c r="B5603" t="s">
        <v>198</v>
      </c>
      <c r="C5603">
        <v>202401</v>
      </c>
      <c r="D5603" t="str">
        <f t="shared" si="87"/>
        <v>2024</v>
      </c>
      <c r="E5603">
        <v>3</v>
      </c>
      <c r="F5603">
        <v>101264</v>
      </c>
      <c r="G5603">
        <v>0</v>
      </c>
      <c r="H5603" t="s">
        <v>10</v>
      </c>
      <c r="I5603" t="s">
        <v>11</v>
      </c>
    </row>
    <row r="5604" spans="1:9" hidden="1" x14ac:dyDescent="0.25">
      <c r="A5604" t="s">
        <v>17</v>
      </c>
      <c r="B5604" t="s">
        <v>198</v>
      </c>
      <c r="C5604">
        <v>202402</v>
      </c>
      <c r="D5604" t="str">
        <f t="shared" si="87"/>
        <v>2024</v>
      </c>
      <c r="E5604">
        <v>27</v>
      </c>
      <c r="F5604">
        <v>101264</v>
      </c>
      <c r="G5604">
        <v>0.03</v>
      </c>
      <c r="H5604" t="s">
        <v>10</v>
      </c>
      <c r="I5604" t="s">
        <v>11</v>
      </c>
    </row>
    <row r="5605" spans="1:9" hidden="1" x14ac:dyDescent="0.25">
      <c r="A5605" t="s">
        <v>17</v>
      </c>
      <c r="B5605" t="s">
        <v>198</v>
      </c>
      <c r="C5605">
        <v>202403</v>
      </c>
      <c r="D5605" t="str">
        <f t="shared" si="87"/>
        <v>2024</v>
      </c>
      <c r="E5605">
        <v>21</v>
      </c>
      <c r="F5605">
        <v>101264</v>
      </c>
      <c r="G5605">
        <v>0.02</v>
      </c>
      <c r="H5605" t="s">
        <v>10</v>
      </c>
      <c r="I5605" t="s">
        <v>11</v>
      </c>
    </row>
    <row r="5606" spans="1:9" hidden="1" x14ac:dyDescent="0.25">
      <c r="A5606" t="s">
        <v>17</v>
      </c>
      <c r="B5606" t="s">
        <v>198</v>
      </c>
      <c r="C5606">
        <v>202404</v>
      </c>
      <c r="D5606" t="str">
        <f t="shared" si="87"/>
        <v>2024</v>
      </c>
      <c r="E5606">
        <v>32</v>
      </c>
      <c r="F5606">
        <v>101264</v>
      </c>
      <c r="G5606">
        <v>0.03</v>
      </c>
      <c r="H5606" t="s">
        <v>10</v>
      </c>
      <c r="I5606" t="s">
        <v>11</v>
      </c>
    </row>
    <row r="5607" spans="1:9" hidden="1" x14ac:dyDescent="0.25">
      <c r="A5607" t="s">
        <v>17</v>
      </c>
      <c r="B5607" t="s">
        <v>198</v>
      </c>
      <c r="C5607">
        <v>202405</v>
      </c>
      <c r="D5607" t="str">
        <f t="shared" si="87"/>
        <v>2024</v>
      </c>
      <c r="E5607">
        <v>2</v>
      </c>
      <c r="F5607">
        <v>101264</v>
      </c>
      <c r="G5607">
        <v>0</v>
      </c>
      <c r="H5607" t="s">
        <v>10</v>
      </c>
      <c r="I5607" t="s">
        <v>11</v>
      </c>
    </row>
    <row r="5608" spans="1:9" hidden="1" x14ac:dyDescent="0.25">
      <c r="A5608" t="s">
        <v>17</v>
      </c>
      <c r="B5608" t="s">
        <v>198</v>
      </c>
      <c r="C5608">
        <v>202406</v>
      </c>
      <c r="D5608" t="str">
        <f t="shared" si="87"/>
        <v>2024</v>
      </c>
      <c r="E5608">
        <v>23</v>
      </c>
      <c r="F5608">
        <v>101264</v>
      </c>
      <c r="G5608">
        <v>0.02</v>
      </c>
      <c r="H5608" t="s">
        <v>10</v>
      </c>
      <c r="I5608" t="s">
        <v>11</v>
      </c>
    </row>
    <row r="5609" spans="1:9" hidden="1" x14ac:dyDescent="0.25">
      <c r="A5609" t="s">
        <v>17</v>
      </c>
      <c r="B5609" t="s">
        <v>198</v>
      </c>
      <c r="C5609">
        <v>202407</v>
      </c>
      <c r="D5609" t="str">
        <f t="shared" si="87"/>
        <v>2024</v>
      </c>
      <c r="E5609">
        <v>70</v>
      </c>
      <c r="F5609">
        <v>101264</v>
      </c>
      <c r="G5609">
        <v>7.0000000000000007E-2</v>
      </c>
      <c r="H5609" t="s">
        <v>10</v>
      </c>
      <c r="I5609" t="s">
        <v>11</v>
      </c>
    </row>
    <row r="5610" spans="1:9" hidden="1" x14ac:dyDescent="0.25">
      <c r="A5610" t="s">
        <v>17</v>
      </c>
      <c r="B5610" t="s">
        <v>198</v>
      </c>
      <c r="C5610">
        <v>202408</v>
      </c>
      <c r="D5610" t="str">
        <f t="shared" si="87"/>
        <v>2024</v>
      </c>
      <c r="E5610">
        <v>39</v>
      </c>
      <c r="F5610">
        <v>101264</v>
      </c>
      <c r="G5610">
        <v>0.04</v>
      </c>
      <c r="H5610" t="s">
        <v>10</v>
      </c>
      <c r="I5610" t="s">
        <v>11</v>
      </c>
    </row>
    <row r="5611" spans="1:9" hidden="1" x14ac:dyDescent="0.25">
      <c r="A5611" t="s">
        <v>17</v>
      </c>
      <c r="B5611" t="s">
        <v>198</v>
      </c>
      <c r="C5611">
        <v>202409</v>
      </c>
      <c r="D5611" t="str">
        <f t="shared" si="87"/>
        <v>2024</v>
      </c>
      <c r="E5611">
        <v>31</v>
      </c>
      <c r="F5611">
        <v>101264</v>
      </c>
      <c r="G5611">
        <v>0.03</v>
      </c>
      <c r="H5611" t="s">
        <v>10</v>
      </c>
      <c r="I5611" t="s">
        <v>11</v>
      </c>
    </row>
    <row r="5612" spans="1:9" hidden="1" x14ac:dyDescent="0.25">
      <c r="A5612" t="s">
        <v>17</v>
      </c>
      <c r="B5612" t="s">
        <v>198</v>
      </c>
      <c r="C5612">
        <v>202410</v>
      </c>
      <c r="D5612" t="str">
        <f t="shared" si="87"/>
        <v>2024</v>
      </c>
      <c r="E5612">
        <v>28</v>
      </c>
      <c r="F5612">
        <v>101264</v>
      </c>
      <c r="G5612">
        <v>0.03</v>
      </c>
      <c r="H5612" t="s">
        <v>10</v>
      </c>
      <c r="I5612" t="s">
        <v>11</v>
      </c>
    </row>
    <row r="5613" spans="1:9" hidden="1" x14ac:dyDescent="0.25">
      <c r="A5613" t="s">
        <v>17</v>
      </c>
      <c r="B5613" t="s">
        <v>198</v>
      </c>
      <c r="C5613">
        <v>202411</v>
      </c>
      <c r="D5613" t="str">
        <f t="shared" si="87"/>
        <v>2024</v>
      </c>
      <c r="E5613">
        <v>101</v>
      </c>
      <c r="F5613">
        <v>101264</v>
      </c>
      <c r="G5613">
        <v>0.1</v>
      </c>
      <c r="H5613" t="s">
        <v>10</v>
      </c>
      <c r="I5613" t="s">
        <v>11</v>
      </c>
    </row>
    <row r="5614" spans="1:9" hidden="1" x14ac:dyDescent="0.25">
      <c r="A5614" t="s">
        <v>17</v>
      </c>
      <c r="B5614" t="s">
        <v>198</v>
      </c>
      <c r="C5614">
        <v>202412</v>
      </c>
      <c r="D5614" t="str">
        <f t="shared" si="87"/>
        <v>2024</v>
      </c>
      <c r="E5614">
        <v>88</v>
      </c>
      <c r="F5614">
        <v>101264</v>
      </c>
      <c r="G5614">
        <v>0.09</v>
      </c>
      <c r="H5614" t="s">
        <v>10</v>
      </c>
      <c r="I5614" t="s">
        <v>11</v>
      </c>
    </row>
    <row r="5615" spans="1:9" x14ac:dyDescent="0.25">
      <c r="A5615" t="s">
        <v>17</v>
      </c>
      <c r="B5615" t="s">
        <v>198</v>
      </c>
      <c r="C5615">
        <v>202501</v>
      </c>
      <c r="D5615" t="str">
        <f t="shared" si="87"/>
        <v>2025</v>
      </c>
      <c r="E5615">
        <v>258</v>
      </c>
      <c r="F5615">
        <v>101264</v>
      </c>
      <c r="G5615">
        <v>0.25</v>
      </c>
      <c r="H5615" t="s">
        <v>10</v>
      </c>
      <c r="I5615" t="s">
        <v>11</v>
      </c>
    </row>
    <row r="5616" spans="1:9" x14ac:dyDescent="0.25">
      <c r="A5616" t="s">
        <v>17</v>
      </c>
      <c r="B5616" t="s">
        <v>198</v>
      </c>
      <c r="C5616">
        <v>202502</v>
      </c>
      <c r="D5616" t="str">
        <f t="shared" si="87"/>
        <v>2025</v>
      </c>
      <c r="E5616">
        <v>344</v>
      </c>
      <c r="F5616">
        <v>101264</v>
      </c>
      <c r="G5616">
        <v>0.34</v>
      </c>
      <c r="H5616" t="s">
        <v>10</v>
      </c>
      <c r="I5616" t="s">
        <v>11</v>
      </c>
    </row>
    <row r="5617" spans="1:9" x14ac:dyDescent="0.25">
      <c r="A5617" t="s">
        <v>17</v>
      </c>
      <c r="B5617" t="s">
        <v>198</v>
      </c>
      <c r="C5617">
        <v>202503</v>
      </c>
      <c r="D5617" t="str">
        <f t="shared" si="87"/>
        <v>2025</v>
      </c>
      <c r="E5617">
        <v>473</v>
      </c>
      <c r="F5617">
        <v>101264</v>
      </c>
      <c r="G5617">
        <v>0.47</v>
      </c>
      <c r="H5617" t="s">
        <v>10</v>
      </c>
      <c r="I5617" t="s">
        <v>11</v>
      </c>
    </row>
    <row r="5618" spans="1:9" x14ac:dyDescent="0.25">
      <c r="A5618" t="s">
        <v>17</v>
      </c>
      <c r="B5618" t="s">
        <v>198</v>
      </c>
      <c r="C5618">
        <v>202504</v>
      </c>
      <c r="D5618" t="str">
        <f t="shared" si="87"/>
        <v>2025</v>
      </c>
      <c r="E5618">
        <v>453</v>
      </c>
      <c r="F5618">
        <v>101264</v>
      </c>
      <c r="G5618">
        <v>0.45</v>
      </c>
      <c r="H5618" t="s">
        <v>10</v>
      </c>
      <c r="I5618" t="s">
        <v>11</v>
      </c>
    </row>
    <row r="5619" spans="1:9" x14ac:dyDescent="0.25">
      <c r="A5619" t="s">
        <v>17</v>
      </c>
      <c r="B5619" t="s">
        <v>198</v>
      </c>
      <c r="C5619">
        <v>202505</v>
      </c>
      <c r="D5619" t="str">
        <f t="shared" si="87"/>
        <v>2025</v>
      </c>
      <c r="E5619">
        <v>762</v>
      </c>
      <c r="F5619">
        <v>101264</v>
      </c>
      <c r="G5619">
        <v>0.75</v>
      </c>
      <c r="H5619" t="s">
        <v>10</v>
      </c>
      <c r="I5619" t="s">
        <v>11</v>
      </c>
    </row>
    <row r="5620" spans="1:9" x14ac:dyDescent="0.25">
      <c r="A5620" t="s">
        <v>17</v>
      </c>
      <c r="B5620" t="s">
        <v>198</v>
      </c>
      <c r="C5620">
        <v>202506</v>
      </c>
      <c r="D5620" t="str">
        <f t="shared" si="87"/>
        <v>2025</v>
      </c>
      <c r="E5620">
        <v>652</v>
      </c>
      <c r="F5620">
        <v>101264</v>
      </c>
      <c r="G5620">
        <v>0.64</v>
      </c>
      <c r="H5620" t="s">
        <v>10</v>
      </c>
      <c r="I5620" t="s">
        <v>11</v>
      </c>
    </row>
    <row r="5621" spans="1:9" x14ac:dyDescent="0.25">
      <c r="A5621" t="s">
        <v>17</v>
      </c>
      <c r="B5621" t="s">
        <v>198</v>
      </c>
      <c r="C5621">
        <v>202507</v>
      </c>
      <c r="D5621" t="str">
        <f t="shared" si="87"/>
        <v>2025</v>
      </c>
      <c r="E5621">
        <v>611</v>
      </c>
      <c r="F5621">
        <v>101264</v>
      </c>
      <c r="G5621">
        <v>0.6</v>
      </c>
      <c r="H5621" t="s">
        <v>10</v>
      </c>
      <c r="I5621" t="s">
        <v>11</v>
      </c>
    </row>
    <row r="5622" spans="1:9" x14ac:dyDescent="0.25">
      <c r="A5622" t="s">
        <v>17</v>
      </c>
      <c r="B5622" t="s">
        <v>198</v>
      </c>
      <c r="C5622">
        <v>202508</v>
      </c>
      <c r="D5622" t="str">
        <f t="shared" si="87"/>
        <v>2025</v>
      </c>
      <c r="E5622">
        <v>429</v>
      </c>
      <c r="F5622">
        <v>101264</v>
      </c>
      <c r="G5622">
        <v>0.42</v>
      </c>
      <c r="H5622" t="s">
        <v>10</v>
      </c>
      <c r="I5622" t="s">
        <v>11</v>
      </c>
    </row>
    <row r="5623" spans="1:9" x14ac:dyDescent="0.25">
      <c r="A5623" t="s">
        <v>17</v>
      </c>
      <c r="B5623" t="s">
        <v>198</v>
      </c>
      <c r="C5623">
        <v>202509</v>
      </c>
      <c r="D5623" t="str">
        <f t="shared" si="87"/>
        <v>2025</v>
      </c>
      <c r="E5623">
        <v>789</v>
      </c>
      <c r="F5623">
        <v>101264</v>
      </c>
      <c r="G5623">
        <v>0.78</v>
      </c>
      <c r="H5623" t="s">
        <v>10</v>
      </c>
      <c r="I5623" t="s">
        <v>11</v>
      </c>
    </row>
    <row r="5624" spans="1:9" x14ac:dyDescent="0.25">
      <c r="A5624" t="s">
        <v>17</v>
      </c>
      <c r="B5624" t="s">
        <v>198</v>
      </c>
      <c r="C5624">
        <v>202510</v>
      </c>
      <c r="D5624" t="str">
        <f t="shared" si="87"/>
        <v>2025</v>
      </c>
      <c r="E5624">
        <v>1423</v>
      </c>
      <c r="F5624">
        <v>101264</v>
      </c>
      <c r="G5624">
        <v>1.41</v>
      </c>
      <c r="H5624" t="s">
        <v>10</v>
      </c>
      <c r="I5624" t="s">
        <v>11</v>
      </c>
    </row>
    <row r="5625" spans="1:9" x14ac:dyDescent="0.25">
      <c r="A5625" t="s">
        <v>17</v>
      </c>
      <c r="B5625" t="s">
        <v>198</v>
      </c>
      <c r="C5625">
        <v>202511</v>
      </c>
      <c r="D5625" t="str">
        <f t="shared" si="87"/>
        <v>2025</v>
      </c>
      <c r="E5625">
        <v>1851</v>
      </c>
      <c r="F5625">
        <v>101264</v>
      </c>
      <c r="G5625">
        <v>1.83</v>
      </c>
      <c r="H5625" t="s">
        <v>10</v>
      </c>
      <c r="I5625" t="s">
        <v>11</v>
      </c>
    </row>
    <row r="5626" spans="1:9" x14ac:dyDescent="0.25">
      <c r="A5626" t="s">
        <v>17</v>
      </c>
      <c r="B5626" t="s">
        <v>198</v>
      </c>
      <c r="C5626">
        <v>202512</v>
      </c>
      <c r="D5626" t="str">
        <f t="shared" si="87"/>
        <v>2025</v>
      </c>
      <c r="E5626">
        <v>3750</v>
      </c>
      <c r="F5626">
        <v>101264</v>
      </c>
      <c r="G5626">
        <v>3.7</v>
      </c>
      <c r="H5626" t="s">
        <v>10</v>
      </c>
      <c r="I5626" t="s">
        <v>11</v>
      </c>
    </row>
    <row r="5627" spans="1:9" x14ac:dyDescent="0.25">
      <c r="A5627" t="s">
        <v>17</v>
      </c>
      <c r="B5627" t="s">
        <v>198</v>
      </c>
      <c r="C5627">
        <v>202601</v>
      </c>
      <c r="D5627" t="str">
        <f t="shared" si="87"/>
        <v>2026</v>
      </c>
      <c r="E5627">
        <v>55152</v>
      </c>
      <c r="F5627">
        <v>101264</v>
      </c>
      <c r="G5627">
        <v>54.46</v>
      </c>
      <c r="H5627" t="s">
        <v>10</v>
      </c>
      <c r="I5627" t="s">
        <v>11</v>
      </c>
    </row>
    <row r="5628" spans="1:9" x14ac:dyDescent="0.25">
      <c r="A5628" t="s">
        <v>17</v>
      </c>
      <c r="B5628" t="s">
        <v>198</v>
      </c>
      <c r="C5628">
        <v>202602</v>
      </c>
      <c r="D5628" t="str">
        <f t="shared" si="87"/>
        <v>2026</v>
      </c>
      <c r="E5628">
        <v>33793</v>
      </c>
      <c r="F5628">
        <v>101264</v>
      </c>
      <c r="G5628">
        <v>33.369999999999997</v>
      </c>
      <c r="H5628" t="s">
        <v>10</v>
      </c>
      <c r="I5628" t="s">
        <v>11</v>
      </c>
    </row>
    <row r="5629" spans="1:9" hidden="1" x14ac:dyDescent="0.25">
      <c r="A5629" t="s">
        <v>17</v>
      </c>
      <c r="B5629" t="s">
        <v>130</v>
      </c>
      <c r="C5629">
        <v>202205</v>
      </c>
      <c r="D5629" t="str">
        <f t="shared" si="87"/>
        <v>2022</v>
      </c>
      <c r="E5629">
        <v>4</v>
      </c>
      <c r="F5629">
        <v>185681</v>
      </c>
      <c r="G5629">
        <v>0</v>
      </c>
      <c r="H5629" t="s">
        <v>10</v>
      </c>
      <c r="I5629" t="s">
        <v>11</v>
      </c>
    </row>
    <row r="5630" spans="1:9" hidden="1" x14ac:dyDescent="0.25">
      <c r="A5630" t="s">
        <v>17</v>
      </c>
      <c r="B5630" t="s">
        <v>130</v>
      </c>
      <c r="C5630">
        <v>202206</v>
      </c>
      <c r="D5630" t="str">
        <f t="shared" si="87"/>
        <v>2022</v>
      </c>
      <c r="E5630">
        <v>14</v>
      </c>
      <c r="F5630">
        <v>185681</v>
      </c>
      <c r="G5630">
        <v>0.01</v>
      </c>
      <c r="H5630" t="s">
        <v>10</v>
      </c>
      <c r="I5630" t="s">
        <v>11</v>
      </c>
    </row>
    <row r="5631" spans="1:9" hidden="1" x14ac:dyDescent="0.25">
      <c r="A5631" t="s">
        <v>17</v>
      </c>
      <c r="B5631" t="s">
        <v>130</v>
      </c>
      <c r="C5631">
        <v>202309</v>
      </c>
      <c r="D5631" t="str">
        <f t="shared" si="87"/>
        <v>2023</v>
      </c>
      <c r="E5631">
        <v>7</v>
      </c>
      <c r="F5631">
        <v>185681</v>
      </c>
      <c r="G5631">
        <v>0</v>
      </c>
      <c r="H5631" t="s">
        <v>10</v>
      </c>
      <c r="I5631" t="s">
        <v>11</v>
      </c>
    </row>
    <row r="5632" spans="1:9" hidden="1" x14ac:dyDescent="0.25">
      <c r="A5632" t="s">
        <v>17</v>
      </c>
      <c r="B5632" t="s">
        <v>130</v>
      </c>
      <c r="C5632">
        <v>202310</v>
      </c>
      <c r="D5632" t="str">
        <f t="shared" si="87"/>
        <v>2023</v>
      </c>
      <c r="E5632">
        <v>4</v>
      </c>
      <c r="F5632">
        <v>185681</v>
      </c>
      <c r="G5632">
        <v>0</v>
      </c>
      <c r="H5632" t="s">
        <v>10</v>
      </c>
      <c r="I5632" t="s">
        <v>11</v>
      </c>
    </row>
    <row r="5633" spans="1:9" hidden="1" x14ac:dyDescent="0.25">
      <c r="A5633" t="s">
        <v>17</v>
      </c>
      <c r="B5633" t="s">
        <v>130</v>
      </c>
      <c r="C5633">
        <v>202311</v>
      </c>
      <c r="D5633" t="str">
        <f t="shared" si="87"/>
        <v>2023</v>
      </c>
      <c r="E5633">
        <v>1</v>
      </c>
      <c r="F5633">
        <v>185681</v>
      </c>
      <c r="G5633">
        <v>0</v>
      </c>
      <c r="H5633" t="s">
        <v>10</v>
      </c>
      <c r="I5633" t="s">
        <v>11</v>
      </c>
    </row>
    <row r="5634" spans="1:9" hidden="1" x14ac:dyDescent="0.25">
      <c r="A5634" t="s">
        <v>17</v>
      </c>
      <c r="B5634" t="s">
        <v>130</v>
      </c>
      <c r="C5634">
        <v>202312</v>
      </c>
      <c r="D5634" t="str">
        <f t="shared" si="87"/>
        <v>2023</v>
      </c>
      <c r="E5634">
        <v>14</v>
      </c>
      <c r="F5634">
        <v>185681</v>
      </c>
      <c r="G5634">
        <v>0.01</v>
      </c>
      <c r="H5634" t="s">
        <v>10</v>
      </c>
      <c r="I5634" t="s">
        <v>11</v>
      </c>
    </row>
    <row r="5635" spans="1:9" hidden="1" x14ac:dyDescent="0.25">
      <c r="A5635" t="s">
        <v>17</v>
      </c>
      <c r="B5635" t="s">
        <v>130</v>
      </c>
      <c r="C5635">
        <v>202402</v>
      </c>
      <c r="D5635" t="str">
        <f t="shared" ref="D5635:D5698" si="88">LEFT(C5635,4)</f>
        <v>2024</v>
      </c>
      <c r="E5635">
        <v>26</v>
      </c>
      <c r="F5635">
        <v>185681</v>
      </c>
      <c r="G5635">
        <v>0.01</v>
      </c>
      <c r="H5635" t="s">
        <v>10</v>
      </c>
      <c r="I5635" t="s">
        <v>11</v>
      </c>
    </row>
    <row r="5636" spans="1:9" hidden="1" x14ac:dyDescent="0.25">
      <c r="A5636" t="s">
        <v>17</v>
      </c>
      <c r="B5636" t="s">
        <v>130</v>
      </c>
      <c r="C5636">
        <v>202403</v>
      </c>
      <c r="D5636" t="str">
        <f t="shared" si="88"/>
        <v>2024</v>
      </c>
      <c r="E5636">
        <v>12</v>
      </c>
      <c r="F5636">
        <v>185681</v>
      </c>
      <c r="G5636">
        <v>0.01</v>
      </c>
      <c r="H5636" t="s">
        <v>10</v>
      </c>
      <c r="I5636" t="s">
        <v>11</v>
      </c>
    </row>
    <row r="5637" spans="1:9" hidden="1" x14ac:dyDescent="0.25">
      <c r="A5637" t="s">
        <v>17</v>
      </c>
      <c r="B5637" t="s">
        <v>130</v>
      </c>
      <c r="C5637">
        <v>202404</v>
      </c>
      <c r="D5637" t="str">
        <f t="shared" si="88"/>
        <v>2024</v>
      </c>
      <c r="E5637">
        <v>12</v>
      </c>
      <c r="F5637">
        <v>185681</v>
      </c>
      <c r="G5637">
        <v>0.01</v>
      </c>
      <c r="H5637" t="s">
        <v>10</v>
      </c>
      <c r="I5637" t="s">
        <v>11</v>
      </c>
    </row>
    <row r="5638" spans="1:9" hidden="1" x14ac:dyDescent="0.25">
      <c r="A5638" t="s">
        <v>17</v>
      </c>
      <c r="B5638" t="s">
        <v>130</v>
      </c>
      <c r="C5638">
        <v>202405</v>
      </c>
      <c r="D5638" t="str">
        <f t="shared" si="88"/>
        <v>2024</v>
      </c>
      <c r="E5638">
        <v>19</v>
      </c>
      <c r="F5638">
        <v>185681</v>
      </c>
      <c r="G5638">
        <v>0.01</v>
      </c>
      <c r="H5638" t="s">
        <v>10</v>
      </c>
      <c r="I5638" t="s">
        <v>11</v>
      </c>
    </row>
    <row r="5639" spans="1:9" hidden="1" x14ac:dyDescent="0.25">
      <c r="A5639" t="s">
        <v>17</v>
      </c>
      <c r="B5639" t="s">
        <v>130</v>
      </c>
      <c r="C5639">
        <v>202406</v>
      </c>
      <c r="D5639" t="str">
        <f t="shared" si="88"/>
        <v>2024</v>
      </c>
      <c r="E5639">
        <v>20</v>
      </c>
      <c r="F5639">
        <v>185681</v>
      </c>
      <c r="G5639">
        <v>0.01</v>
      </c>
      <c r="H5639" t="s">
        <v>10</v>
      </c>
      <c r="I5639" t="s">
        <v>11</v>
      </c>
    </row>
    <row r="5640" spans="1:9" hidden="1" x14ac:dyDescent="0.25">
      <c r="A5640" t="s">
        <v>17</v>
      </c>
      <c r="B5640" t="s">
        <v>130</v>
      </c>
      <c r="C5640">
        <v>202407</v>
      </c>
      <c r="D5640" t="str">
        <f t="shared" si="88"/>
        <v>2024</v>
      </c>
      <c r="E5640">
        <v>30</v>
      </c>
      <c r="F5640">
        <v>185681</v>
      </c>
      <c r="G5640">
        <v>0.02</v>
      </c>
      <c r="H5640" t="s">
        <v>10</v>
      </c>
      <c r="I5640" t="s">
        <v>11</v>
      </c>
    </row>
    <row r="5641" spans="1:9" hidden="1" x14ac:dyDescent="0.25">
      <c r="A5641" t="s">
        <v>17</v>
      </c>
      <c r="B5641" t="s">
        <v>130</v>
      </c>
      <c r="C5641">
        <v>202408</v>
      </c>
      <c r="D5641" t="str">
        <f t="shared" si="88"/>
        <v>2024</v>
      </c>
      <c r="E5641">
        <v>119</v>
      </c>
      <c r="F5641">
        <v>185681</v>
      </c>
      <c r="G5641">
        <v>0.06</v>
      </c>
      <c r="H5641" t="s">
        <v>10</v>
      </c>
      <c r="I5641" t="s">
        <v>11</v>
      </c>
    </row>
    <row r="5642" spans="1:9" hidden="1" x14ac:dyDescent="0.25">
      <c r="A5642" t="s">
        <v>17</v>
      </c>
      <c r="B5642" t="s">
        <v>130</v>
      </c>
      <c r="C5642">
        <v>202409</v>
      </c>
      <c r="D5642" t="str">
        <f t="shared" si="88"/>
        <v>2024</v>
      </c>
      <c r="E5642">
        <v>299</v>
      </c>
      <c r="F5642">
        <v>185681</v>
      </c>
      <c r="G5642">
        <v>0.16</v>
      </c>
      <c r="H5642" t="s">
        <v>10</v>
      </c>
      <c r="I5642" t="s">
        <v>11</v>
      </c>
    </row>
    <row r="5643" spans="1:9" hidden="1" x14ac:dyDescent="0.25">
      <c r="A5643" t="s">
        <v>17</v>
      </c>
      <c r="B5643" t="s">
        <v>130</v>
      </c>
      <c r="C5643">
        <v>202410</v>
      </c>
      <c r="D5643" t="str">
        <f t="shared" si="88"/>
        <v>2024</v>
      </c>
      <c r="E5643">
        <v>383</v>
      </c>
      <c r="F5643">
        <v>185681</v>
      </c>
      <c r="G5643">
        <v>0.21</v>
      </c>
      <c r="H5643" t="s">
        <v>10</v>
      </c>
      <c r="I5643" t="s">
        <v>11</v>
      </c>
    </row>
    <row r="5644" spans="1:9" hidden="1" x14ac:dyDescent="0.25">
      <c r="A5644" t="s">
        <v>17</v>
      </c>
      <c r="B5644" t="s">
        <v>130</v>
      </c>
      <c r="C5644">
        <v>202411</v>
      </c>
      <c r="D5644" t="str">
        <f t="shared" si="88"/>
        <v>2024</v>
      </c>
      <c r="E5644">
        <v>244</v>
      </c>
      <c r="F5644">
        <v>185681</v>
      </c>
      <c r="G5644">
        <v>0.13</v>
      </c>
      <c r="H5644" t="s">
        <v>10</v>
      </c>
      <c r="I5644" t="s">
        <v>11</v>
      </c>
    </row>
    <row r="5645" spans="1:9" hidden="1" x14ac:dyDescent="0.25">
      <c r="A5645" t="s">
        <v>17</v>
      </c>
      <c r="B5645" t="s">
        <v>130</v>
      </c>
      <c r="C5645">
        <v>202412</v>
      </c>
      <c r="D5645" t="str">
        <f t="shared" si="88"/>
        <v>2024</v>
      </c>
      <c r="E5645">
        <v>435</v>
      </c>
      <c r="F5645">
        <v>185681</v>
      </c>
      <c r="G5645">
        <v>0.23</v>
      </c>
      <c r="H5645" t="s">
        <v>10</v>
      </c>
      <c r="I5645" t="s">
        <v>11</v>
      </c>
    </row>
    <row r="5646" spans="1:9" x14ac:dyDescent="0.25">
      <c r="A5646" t="s">
        <v>17</v>
      </c>
      <c r="B5646" t="s">
        <v>130</v>
      </c>
      <c r="C5646">
        <v>202501</v>
      </c>
      <c r="D5646" t="str">
        <f t="shared" si="88"/>
        <v>2025</v>
      </c>
      <c r="E5646">
        <v>1254</v>
      </c>
      <c r="F5646">
        <v>185681</v>
      </c>
      <c r="G5646">
        <v>0.68</v>
      </c>
      <c r="H5646" t="s">
        <v>10</v>
      </c>
      <c r="I5646" t="s">
        <v>11</v>
      </c>
    </row>
    <row r="5647" spans="1:9" x14ac:dyDescent="0.25">
      <c r="A5647" t="s">
        <v>17</v>
      </c>
      <c r="B5647" t="s">
        <v>130</v>
      </c>
      <c r="C5647">
        <v>202502</v>
      </c>
      <c r="D5647" t="str">
        <f t="shared" si="88"/>
        <v>2025</v>
      </c>
      <c r="E5647">
        <v>967</v>
      </c>
      <c r="F5647">
        <v>185681</v>
      </c>
      <c r="G5647">
        <v>0.52</v>
      </c>
      <c r="H5647" t="s">
        <v>10</v>
      </c>
      <c r="I5647" t="s">
        <v>11</v>
      </c>
    </row>
    <row r="5648" spans="1:9" x14ac:dyDescent="0.25">
      <c r="A5648" t="s">
        <v>17</v>
      </c>
      <c r="B5648" t="s">
        <v>130</v>
      </c>
      <c r="C5648">
        <v>202503</v>
      </c>
      <c r="D5648" t="str">
        <f t="shared" si="88"/>
        <v>2025</v>
      </c>
      <c r="E5648">
        <v>1056</v>
      </c>
      <c r="F5648">
        <v>185681</v>
      </c>
      <c r="G5648">
        <v>0.56999999999999995</v>
      </c>
      <c r="H5648" t="s">
        <v>10</v>
      </c>
      <c r="I5648" t="s">
        <v>11</v>
      </c>
    </row>
    <row r="5649" spans="1:9" x14ac:dyDescent="0.25">
      <c r="A5649" t="s">
        <v>17</v>
      </c>
      <c r="B5649" t="s">
        <v>130</v>
      </c>
      <c r="C5649">
        <v>202504</v>
      </c>
      <c r="D5649" t="str">
        <f t="shared" si="88"/>
        <v>2025</v>
      </c>
      <c r="E5649">
        <v>1273</v>
      </c>
      <c r="F5649">
        <v>185681</v>
      </c>
      <c r="G5649">
        <v>0.69</v>
      </c>
      <c r="H5649" t="s">
        <v>10</v>
      </c>
      <c r="I5649" t="s">
        <v>11</v>
      </c>
    </row>
    <row r="5650" spans="1:9" x14ac:dyDescent="0.25">
      <c r="A5650" t="s">
        <v>17</v>
      </c>
      <c r="B5650" t="s">
        <v>130</v>
      </c>
      <c r="C5650">
        <v>202505</v>
      </c>
      <c r="D5650" t="str">
        <f t="shared" si="88"/>
        <v>2025</v>
      </c>
      <c r="E5650">
        <v>1387</v>
      </c>
      <c r="F5650">
        <v>185681</v>
      </c>
      <c r="G5650">
        <v>0.75</v>
      </c>
      <c r="H5650" t="s">
        <v>10</v>
      </c>
      <c r="I5650" t="s">
        <v>11</v>
      </c>
    </row>
    <row r="5651" spans="1:9" x14ac:dyDescent="0.25">
      <c r="A5651" t="s">
        <v>17</v>
      </c>
      <c r="B5651" t="s">
        <v>130</v>
      </c>
      <c r="C5651">
        <v>202506</v>
      </c>
      <c r="D5651" t="str">
        <f t="shared" si="88"/>
        <v>2025</v>
      </c>
      <c r="E5651">
        <v>1304</v>
      </c>
      <c r="F5651">
        <v>185681</v>
      </c>
      <c r="G5651">
        <v>0.7</v>
      </c>
      <c r="H5651" t="s">
        <v>10</v>
      </c>
      <c r="I5651" t="s">
        <v>11</v>
      </c>
    </row>
    <row r="5652" spans="1:9" x14ac:dyDescent="0.25">
      <c r="A5652" t="s">
        <v>17</v>
      </c>
      <c r="B5652" t="s">
        <v>130</v>
      </c>
      <c r="C5652">
        <v>202507</v>
      </c>
      <c r="D5652" t="str">
        <f t="shared" si="88"/>
        <v>2025</v>
      </c>
      <c r="E5652">
        <v>1512</v>
      </c>
      <c r="F5652">
        <v>185681</v>
      </c>
      <c r="G5652">
        <v>0.81</v>
      </c>
      <c r="H5652" t="s">
        <v>10</v>
      </c>
      <c r="I5652" t="s">
        <v>11</v>
      </c>
    </row>
    <row r="5653" spans="1:9" x14ac:dyDescent="0.25">
      <c r="A5653" t="s">
        <v>17</v>
      </c>
      <c r="B5653" t="s">
        <v>130</v>
      </c>
      <c r="C5653">
        <v>202508</v>
      </c>
      <c r="D5653" t="str">
        <f t="shared" si="88"/>
        <v>2025</v>
      </c>
      <c r="E5653">
        <v>947</v>
      </c>
      <c r="F5653">
        <v>185681</v>
      </c>
      <c r="G5653">
        <v>0.51</v>
      </c>
      <c r="H5653" t="s">
        <v>10</v>
      </c>
      <c r="I5653" t="s">
        <v>11</v>
      </c>
    </row>
    <row r="5654" spans="1:9" x14ac:dyDescent="0.25">
      <c r="A5654" t="s">
        <v>17</v>
      </c>
      <c r="B5654" t="s">
        <v>130</v>
      </c>
      <c r="C5654">
        <v>202509</v>
      </c>
      <c r="D5654" t="str">
        <f t="shared" si="88"/>
        <v>2025</v>
      </c>
      <c r="E5654">
        <v>1382</v>
      </c>
      <c r="F5654">
        <v>185681</v>
      </c>
      <c r="G5654">
        <v>0.74</v>
      </c>
      <c r="H5654" t="s">
        <v>10</v>
      </c>
      <c r="I5654" t="s">
        <v>11</v>
      </c>
    </row>
    <row r="5655" spans="1:9" x14ac:dyDescent="0.25">
      <c r="A5655" t="s">
        <v>17</v>
      </c>
      <c r="B5655" t="s">
        <v>130</v>
      </c>
      <c r="C5655">
        <v>202510</v>
      </c>
      <c r="D5655" t="str">
        <f t="shared" si="88"/>
        <v>2025</v>
      </c>
      <c r="E5655">
        <v>2147</v>
      </c>
      <c r="F5655">
        <v>185681</v>
      </c>
      <c r="G5655">
        <v>1.1599999999999999</v>
      </c>
      <c r="H5655" t="s">
        <v>10</v>
      </c>
      <c r="I5655" t="s">
        <v>11</v>
      </c>
    </row>
    <row r="5656" spans="1:9" x14ac:dyDescent="0.25">
      <c r="A5656" t="s">
        <v>17</v>
      </c>
      <c r="B5656" t="s">
        <v>130</v>
      </c>
      <c r="C5656">
        <v>202511</v>
      </c>
      <c r="D5656" t="str">
        <f t="shared" si="88"/>
        <v>2025</v>
      </c>
      <c r="E5656">
        <v>2310</v>
      </c>
      <c r="F5656">
        <v>185681</v>
      </c>
      <c r="G5656">
        <v>1.24</v>
      </c>
      <c r="H5656" t="s">
        <v>10</v>
      </c>
      <c r="I5656" t="s">
        <v>11</v>
      </c>
    </row>
    <row r="5657" spans="1:9" x14ac:dyDescent="0.25">
      <c r="A5657" t="s">
        <v>17</v>
      </c>
      <c r="B5657" t="s">
        <v>130</v>
      </c>
      <c r="C5657">
        <v>202512</v>
      </c>
      <c r="D5657" t="str">
        <f t="shared" si="88"/>
        <v>2025</v>
      </c>
      <c r="E5657">
        <v>3800</v>
      </c>
      <c r="F5657">
        <v>185681</v>
      </c>
      <c r="G5657">
        <v>2.0499999999999998</v>
      </c>
      <c r="H5657" t="s">
        <v>10</v>
      </c>
      <c r="I5657" t="s">
        <v>11</v>
      </c>
    </row>
    <row r="5658" spans="1:9" x14ac:dyDescent="0.25">
      <c r="A5658" t="s">
        <v>17</v>
      </c>
      <c r="B5658" t="s">
        <v>130</v>
      </c>
      <c r="C5658">
        <v>202601</v>
      </c>
      <c r="D5658" t="str">
        <f t="shared" si="88"/>
        <v>2026</v>
      </c>
      <c r="E5658">
        <v>19075</v>
      </c>
      <c r="F5658">
        <v>185681</v>
      </c>
      <c r="G5658">
        <v>10.27</v>
      </c>
      <c r="H5658" t="s">
        <v>10</v>
      </c>
      <c r="I5658" t="s">
        <v>11</v>
      </c>
    </row>
    <row r="5659" spans="1:9" x14ac:dyDescent="0.25">
      <c r="A5659" t="s">
        <v>17</v>
      </c>
      <c r="B5659" t="s">
        <v>130</v>
      </c>
      <c r="C5659">
        <v>202602</v>
      </c>
      <c r="D5659" t="str">
        <f t="shared" si="88"/>
        <v>2026</v>
      </c>
      <c r="E5659">
        <v>85920</v>
      </c>
      <c r="F5659">
        <v>185681</v>
      </c>
      <c r="G5659">
        <v>46.27</v>
      </c>
      <c r="H5659" t="s">
        <v>10</v>
      </c>
      <c r="I5659" t="s">
        <v>11</v>
      </c>
    </row>
    <row r="5660" spans="1:9" x14ac:dyDescent="0.25">
      <c r="A5660" t="s">
        <v>17</v>
      </c>
      <c r="B5660" t="s">
        <v>130</v>
      </c>
      <c r="C5660">
        <v>202603</v>
      </c>
      <c r="D5660" t="str">
        <f t="shared" si="88"/>
        <v>2026</v>
      </c>
      <c r="E5660">
        <v>59704</v>
      </c>
      <c r="F5660">
        <v>185681</v>
      </c>
      <c r="G5660">
        <v>32.15</v>
      </c>
      <c r="H5660" t="s">
        <v>10</v>
      </c>
      <c r="I5660" t="s">
        <v>11</v>
      </c>
    </row>
    <row r="5661" spans="1:9" hidden="1" x14ac:dyDescent="0.25">
      <c r="A5661" t="s">
        <v>17</v>
      </c>
      <c r="B5661" t="s">
        <v>182</v>
      </c>
      <c r="C5661">
        <v>202206</v>
      </c>
      <c r="D5661" t="str">
        <f t="shared" si="88"/>
        <v>2022</v>
      </c>
      <c r="E5661">
        <v>2</v>
      </c>
      <c r="F5661">
        <v>150240</v>
      </c>
      <c r="G5661">
        <v>0</v>
      </c>
      <c r="H5661" t="s">
        <v>10</v>
      </c>
      <c r="I5661" t="s">
        <v>11</v>
      </c>
    </row>
    <row r="5662" spans="1:9" hidden="1" x14ac:dyDescent="0.25">
      <c r="A5662" t="s">
        <v>17</v>
      </c>
      <c r="B5662" t="s">
        <v>182</v>
      </c>
      <c r="C5662">
        <v>202301</v>
      </c>
      <c r="D5662" t="str">
        <f t="shared" si="88"/>
        <v>2023</v>
      </c>
      <c r="E5662">
        <v>9</v>
      </c>
      <c r="F5662">
        <v>150240</v>
      </c>
      <c r="G5662">
        <v>0.01</v>
      </c>
      <c r="H5662" t="s">
        <v>10</v>
      </c>
      <c r="I5662" t="s">
        <v>11</v>
      </c>
    </row>
    <row r="5663" spans="1:9" hidden="1" x14ac:dyDescent="0.25">
      <c r="A5663" t="s">
        <v>17</v>
      </c>
      <c r="B5663" t="s">
        <v>182</v>
      </c>
      <c r="C5663">
        <v>202304</v>
      </c>
      <c r="D5663" t="str">
        <f t="shared" si="88"/>
        <v>2023</v>
      </c>
      <c r="E5663">
        <v>4</v>
      </c>
      <c r="F5663">
        <v>150240</v>
      </c>
      <c r="G5663">
        <v>0</v>
      </c>
      <c r="H5663" t="s">
        <v>10</v>
      </c>
      <c r="I5663" t="s">
        <v>11</v>
      </c>
    </row>
    <row r="5664" spans="1:9" hidden="1" x14ac:dyDescent="0.25">
      <c r="A5664" t="s">
        <v>17</v>
      </c>
      <c r="B5664" t="s">
        <v>182</v>
      </c>
      <c r="C5664">
        <v>202312</v>
      </c>
      <c r="D5664" t="str">
        <f t="shared" si="88"/>
        <v>2023</v>
      </c>
      <c r="E5664">
        <v>13</v>
      </c>
      <c r="F5664">
        <v>150240</v>
      </c>
      <c r="G5664">
        <v>0.01</v>
      </c>
      <c r="H5664" t="s">
        <v>10</v>
      </c>
      <c r="I5664" t="s">
        <v>11</v>
      </c>
    </row>
    <row r="5665" spans="1:9" hidden="1" x14ac:dyDescent="0.25">
      <c r="A5665" t="s">
        <v>17</v>
      </c>
      <c r="B5665" t="s">
        <v>182</v>
      </c>
      <c r="C5665">
        <v>202402</v>
      </c>
      <c r="D5665" t="str">
        <f t="shared" si="88"/>
        <v>2024</v>
      </c>
      <c r="E5665">
        <v>1</v>
      </c>
      <c r="F5665">
        <v>150240</v>
      </c>
      <c r="G5665">
        <v>0</v>
      </c>
      <c r="H5665" t="s">
        <v>10</v>
      </c>
      <c r="I5665" t="s">
        <v>11</v>
      </c>
    </row>
    <row r="5666" spans="1:9" hidden="1" x14ac:dyDescent="0.25">
      <c r="A5666" t="s">
        <v>17</v>
      </c>
      <c r="B5666" t="s">
        <v>182</v>
      </c>
      <c r="C5666">
        <v>202403</v>
      </c>
      <c r="D5666" t="str">
        <f t="shared" si="88"/>
        <v>2024</v>
      </c>
      <c r="E5666">
        <v>9</v>
      </c>
      <c r="F5666">
        <v>150240</v>
      </c>
      <c r="G5666">
        <v>0.01</v>
      </c>
      <c r="H5666" t="s">
        <v>10</v>
      </c>
      <c r="I5666" t="s">
        <v>11</v>
      </c>
    </row>
    <row r="5667" spans="1:9" hidden="1" x14ac:dyDescent="0.25">
      <c r="A5667" t="s">
        <v>17</v>
      </c>
      <c r="B5667" t="s">
        <v>182</v>
      </c>
      <c r="C5667">
        <v>202406</v>
      </c>
      <c r="D5667" t="str">
        <f t="shared" si="88"/>
        <v>2024</v>
      </c>
      <c r="E5667">
        <v>2</v>
      </c>
      <c r="F5667">
        <v>150240</v>
      </c>
      <c r="G5667">
        <v>0</v>
      </c>
      <c r="H5667" t="s">
        <v>10</v>
      </c>
      <c r="I5667" t="s">
        <v>11</v>
      </c>
    </row>
    <row r="5668" spans="1:9" hidden="1" x14ac:dyDescent="0.25">
      <c r="A5668" t="s">
        <v>17</v>
      </c>
      <c r="B5668" t="s">
        <v>182</v>
      </c>
      <c r="C5668">
        <v>202407</v>
      </c>
      <c r="D5668" t="str">
        <f t="shared" si="88"/>
        <v>2024</v>
      </c>
      <c r="E5668">
        <v>37</v>
      </c>
      <c r="F5668">
        <v>150240</v>
      </c>
      <c r="G5668">
        <v>0.02</v>
      </c>
      <c r="H5668" t="s">
        <v>10</v>
      </c>
      <c r="I5668" t="s">
        <v>11</v>
      </c>
    </row>
    <row r="5669" spans="1:9" hidden="1" x14ac:dyDescent="0.25">
      <c r="A5669" t="s">
        <v>17</v>
      </c>
      <c r="B5669" t="s">
        <v>182</v>
      </c>
      <c r="C5669">
        <v>202408</v>
      </c>
      <c r="D5669" t="str">
        <f t="shared" si="88"/>
        <v>2024</v>
      </c>
      <c r="E5669">
        <v>171</v>
      </c>
      <c r="F5669">
        <v>150240</v>
      </c>
      <c r="G5669">
        <v>0.11</v>
      </c>
      <c r="H5669" t="s">
        <v>10</v>
      </c>
      <c r="I5669" t="s">
        <v>11</v>
      </c>
    </row>
    <row r="5670" spans="1:9" hidden="1" x14ac:dyDescent="0.25">
      <c r="A5670" t="s">
        <v>17</v>
      </c>
      <c r="B5670" t="s">
        <v>182</v>
      </c>
      <c r="C5670">
        <v>202409</v>
      </c>
      <c r="D5670" t="str">
        <f t="shared" si="88"/>
        <v>2024</v>
      </c>
      <c r="E5670">
        <v>251</v>
      </c>
      <c r="F5670">
        <v>150240</v>
      </c>
      <c r="G5670">
        <v>0.17</v>
      </c>
      <c r="H5670" t="s">
        <v>10</v>
      </c>
      <c r="I5670" t="s">
        <v>11</v>
      </c>
    </row>
    <row r="5671" spans="1:9" hidden="1" x14ac:dyDescent="0.25">
      <c r="A5671" t="s">
        <v>17</v>
      </c>
      <c r="B5671" t="s">
        <v>182</v>
      </c>
      <c r="C5671">
        <v>202410</v>
      </c>
      <c r="D5671" t="str">
        <f t="shared" si="88"/>
        <v>2024</v>
      </c>
      <c r="E5671">
        <v>430</v>
      </c>
      <c r="F5671">
        <v>150240</v>
      </c>
      <c r="G5671">
        <v>0.28999999999999998</v>
      </c>
      <c r="H5671" t="s">
        <v>10</v>
      </c>
      <c r="I5671" t="s">
        <v>11</v>
      </c>
    </row>
    <row r="5672" spans="1:9" hidden="1" x14ac:dyDescent="0.25">
      <c r="A5672" t="s">
        <v>17</v>
      </c>
      <c r="B5672" t="s">
        <v>182</v>
      </c>
      <c r="C5672">
        <v>202411</v>
      </c>
      <c r="D5672" t="str">
        <f t="shared" si="88"/>
        <v>2024</v>
      </c>
      <c r="E5672">
        <v>277</v>
      </c>
      <c r="F5672">
        <v>150240</v>
      </c>
      <c r="G5672">
        <v>0.18</v>
      </c>
      <c r="H5672" t="s">
        <v>10</v>
      </c>
      <c r="I5672" t="s">
        <v>11</v>
      </c>
    </row>
    <row r="5673" spans="1:9" hidden="1" x14ac:dyDescent="0.25">
      <c r="A5673" t="s">
        <v>17</v>
      </c>
      <c r="B5673" t="s">
        <v>182</v>
      </c>
      <c r="C5673">
        <v>202412</v>
      </c>
      <c r="D5673" t="str">
        <f t="shared" si="88"/>
        <v>2024</v>
      </c>
      <c r="E5673">
        <v>339</v>
      </c>
      <c r="F5673">
        <v>150240</v>
      </c>
      <c r="G5673">
        <v>0.23</v>
      </c>
      <c r="H5673" t="s">
        <v>10</v>
      </c>
      <c r="I5673" t="s">
        <v>11</v>
      </c>
    </row>
    <row r="5674" spans="1:9" x14ac:dyDescent="0.25">
      <c r="A5674" t="s">
        <v>17</v>
      </c>
      <c r="B5674" t="s">
        <v>182</v>
      </c>
      <c r="C5674">
        <v>202501</v>
      </c>
      <c r="D5674" t="str">
        <f t="shared" si="88"/>
        <v>2025</v>
      </c>
      <c r="E5674">
        <v>871</v>
      </c>
      <c r="F5674">
        <v>150240</v>
      </c>
      <c r="G5674">
        <v>0.57999999999999996</v>
      </c>
      <c r="H5674" t="s">
        <v>10</v>
      </c>
      <c r="I5674" t="s">
        <v>11</v>
      </c>
    </row>
    <row r="5675" spans="1:9" x14ac:dyDescent="0.25">
      <c r="A5675" t="s">
        <v>17</v>
      </c>
      <c r="B5675" t="s">
        <v>182</v>
      </c>
      <c r="C5675">
        <v>202502</v>
      </c>
      <c r="D5675" t="str">
        <f t="shared" si="88"/>
        <v>2025</v>
      </c>
      <c r="E5675">
        <v>877</v>
      </c>
      <c r="F5675">
        <v>150240</v>
      </c>
      <c r="G5675">
        <v>0.57999999999999996</v>
      </c>
      <c r="H5675" t="s">
        <v>10</v>
      </c>
      <c r="I5675" t="s">
        <v>11</v>
      </c>
    </row>
    <row r="5676" spans="1:9" x14ac:dyDescent="0.25">
      <c r="A5676" t="s">
        <v>17</v>
      </c>
      <c r="B5676" t="s">
        <v>182</v>
      </c>
      <c r="C5676">
        <v>202503</v>
      </c>
      <c r="D5676" t="str">
        <f t="shared" si="88"/>
        <v>2025</v>
      </c>
      <c r="E5676">
        <v>767</v>
      </c>
      <c r="F5676">
        <v>150240</v>
      </c>
      <c r="G5676">
        <v>0.51</v>
      </c>
      <c r="H5676" t="s">
        <v>10</v>
      </c>
      <c r="I5676" t="s">
        <v>11</v>
      </c>
    </row>
    <row r="5677" spans="1:9" x14ac:dyDescent="0.25">
      <c r="A5677" t="s">
        <v>17</v>
      </c>
      <c r="B5677" t="s">
        <v>182</v>
      </c>
      <c r="C5677">
        <v>202504</v>
      </c>
      <c r="D5677" t="str">
        <f t="shared" si="88"/>
        <v>2025</v>
      </c>
      <c r="E5677">
        <v>887</v>
      </c>
      <c r="F5677">
        <v>150240</v>
      </c>
      <c r="G5677">
        <v>0.59</v>
      </c>
      <c r="H5677" t="s">
        <v>10</v>
      </c>
      <c r="I5677" t="s">
        <v>11</v>
      </c>
    </row>
    <row r="5678" spans="1:9" x14ac:dyDescent="0.25">
      <c r="A5678" t="s">
        <v>17</v>
      </c>
      <c r="B5678" t="s">
        <v>182</v>
      </c>
      <c r="C5678">
        <v>202505</v>
      </c>
      <c r="D5678" t="str">
        <f t="shared" si="88"/>
        <v>2025</v>
      </c>
      <c r="E5678">
        <v>941</v>
      </c>
      <c r="F5678">
        <v>150240</v>
      </c>
      <c r="G5678">
        <v>0.63</v>
      </c>
      <c r="H5678" t="s">
        <v>10</v>
      </c>
      <c r="I5678" t="s">
        <v>11</v>
      </c>
    </row>
    <row r="5679" spans="1:9" x14ac:dyDescent="0.25">
      <c r="A5679" t="s">
        <v>17</v>
      </c>
      <c r="B5679" t="s">
        <v>182</v>
      </c>
      <c r="C5679">
        <v>202506</v>
      </c>
      <c r="D5679" t="str">
        <f t="shared" si="88"/>
        <v>2025</v>
      </c>
      <c r="E5679">
        <v>895</v>
      </c>
      <c r="F5679">
        <v>150240</v>
      </c>
      <c r="G5679">
        <v>0.6</v>
      </c>
      <c r="H5679" t="s">
        <v>10</v>
      </c>
      <c r="I5679" t="s">
        <v>11</v>
      </c>
    </row>
    <row r="5680" spans="1:9" x14ac:dyDescent="0.25">
      <c r="A5680" t="s">
        <v>17</v>
      </c>
      <c r="B5680" t="s">
        <v>182</v>
      </c>
      <c r="C5680">
        <v>202507</v>
      </c>
      <c r="D5680" t="str">
        <f t="shared" si="88"/>
        <v>2025</v>
      </c>
      <c r="E5680">
        <v>1148</v>
      </c>
      <c r="F5680">
        <v>150240</v>
      </c>
      <c r="G5680">
        <v>0.76</v>
      </c>
      <c r="H5680" t="s">
        <v>10</v>
      </c>
      <c r="I5680" t="s">
        <v>11</v>
      </c>
    </row>
    <row r="5681" spans="1:9" x14ac:dyDescent="0.25">
      <c r="A5681" t="s">
        <v>17</v>
      </c>
      <c r="B5681" t="s">
        <v>182</v>
      </c>
      <c r="C5681">
        <v>202508</v>
      </c>
      <c r="D5681" t="str">
        <f t="shared" si="88"/>
        <v>2025</v>
      </c>
      <c r="E5681">
        <v>642</v>
      </c>
      <c r="F5681">
        <v>150240</v>
      </c>
      <c r="G5681">
        <v>0.43</v>
      </c>
      <c r="H5681" t="s">
        <v>10</v>
      </c>
      <c r="I5681" t="s">
        <v>11</v>
      </c>
    </row>
    <row r="5682" spans="1:9" x14ac:dyDescent="0.25">
      <c r="A5682" t="s">
        <v>17</v>
      </c>
      <c r="B5682" t="s">
        <v>182</v>
      </c>
      <c r="C5682">
        <v>202509</v>
      </c>
      <c r="D5682" t="str">
        <f t="shared" si="88"/>
        <v>2025</v>
      </c>
      <c r="E5682">
        <v>816</v>
      </c>
      <c r="F5682">
        <v>150240</v>
      </c>
      <c r="G5682">
        <v>0.54</v>
      </c>
      <c r="H5682" t="s">
        <v>10</v>
      </c>
      <c r="I5682" t="s">
        <v>11</v>
      </c>
    </row>
    <row r="5683" spans="1:9" x14ac:dyDescent="0.25">
      <c r="A5683" t="s">
        <v>17</v>
      </c>
      <c r="B5683" t="s">
        <v>182</v>
      </c>
      <c r="C5683">
        <v>202510</v>
      </c>
      <c r="D5683" t="str">
        <f t="shared" si="88"/>
        <v>2025</v>
      </c>
      <c r="E5683">
        <v>1358</v>
      </c>
      <c r="F5683">
        <v>150240</v>
      </c>
      <c r="G5683">
        <v>0.9</v>
      </c>
      <c r="H5683" t="s">
        <v>10</v>
      </c>
      <c r="I5683" t="s">
        <v>11</v>
      </c>
    </row>
    <row r="5684" spans="1:9" x14ac:dyDescent="0.25">
      <c r="A5684" t="s">
        <v>17</v>
      </c>
      <c r="B5684" t="s">
        <v>182</v>
      </c>
      <c r="C5684">
        <v>202511</v>
      </c>
      <c r="D5684" t="str">
        <f t="shared" si="88"/>
        <v>2025</v>
      </c>
      <c r="E5684">
        <v>1399</v>
      </c>
      <c r="F5684">
        <v>150240</v>
      </c>
      <c r="G5684">
        <v>0.93</v>
      </c>
      <c r="H5684" t="s">
        <v>10</v>
      </c>
      <c r="I5684" t="s">
        <v>11</v>
      </c>
    </row>
    <row r="5685" spans="1:9" x14ac:dyDescent="0.25">
      <c r="A5685" t="s">
        <v>17</v>
      </c>
      <c r="B5685" t="s">
        <v>182</v>
      </c>
      <c r="C5685">
        <v>202512</v>
      </c>
      <c r="D5685" t="str">
        <f t="shared" si="88"/>
        <v>2025</v>
      </c>
      <c r="E5685">
        <v>2280</v>
      </c>
      <c r="F5685">
        <v>150240</v>
      </c>
      <c r="G5685">
        <v>1.52</v>
      </c>
      <c r="H5685" t="s">
        <v>10</v>
      </c>
      <c r="I5685" t="s">
        <v>11</v>
      </c>
    </row>
    <row r="5686" spans="1:9" x14ac:dyDescent="0.25">
      <c r="A5686" t="s">
        <v>17</v>
      </c>
      <c r="B5686" t="s">
        <v>182</v>
      </c>
      <c r="C5686">
        <v>202601</v>
      </c>
      <c r="D5686" t="str">
        <f t="shared" si="88"/>
        <v>2026</v>
      </c>
      <c r="E5686">
        <v>5457</v>
      </c>
      <c r="F5686">
        <v>150240</v>
      </c>
      <c r="G5686">
        <v>3.63</v>
      </c>
      <c r="H5686" t="s">
        <v>10</v>
      </c>
      <c r="I5686" t="s">
        <v>11</v>
      </c>
    </row>
    <row r="5687" spans="1:9" x14ac:dyDescent="0.25">
      <c r="A5687" t="s">
        <v>17</v>
      </c>
      <c r="B5687" t="s">
        <v>182</v>
      </c>
      <c r="C5687">
        <v>202602</v>
      </c>
      <c r="D5687" t="str">
        <f t="shared" si="88"/>
        <v>2026</v>
      </c>
      <c r="E5687">
        <v>8095</v>
      </c>
      <c r="F5687">
        <v>150240</v>
      </c>
      <c r="G5687">
        <v>5.39</v>
      </c>
      <c r="H5687" t="s">
        <v>10</v>
      </c>
      <c r="I5687" t="s">
        <v>11</v>
      </c>
    </row>
    <row r="5688" spans="1:9" x14ac:dyDescent="0.25">
      <c r="A5688" t="s">
        <v>17</v>
      </c>
      <c r="B5688" t="s">
        <v>182</v>
      </c>
      <c r="C5688">
        <v>202603</v>
      </c>
      <c r="D5688" t="str">
        <f t="shared" si="88"/>
        <v>2026</v>
      </c>
      <c r="E5688">
        <v>73228</v>
      </c>
      <c r="F5688">
        <v>150240</v>
      </c>
      <c r="G5688">
        <v>48.74</v>
      </c>
      <c r="H5688" t="s">
        <v>10</v>
      </c>
      <c r="I5688" t="s">
        <v>11</v>
      </c>
    </row>
    <row r="5689" spans="1:9" x14ac:dyDescent="0.25">
      <c r="A5689" t="s">
        <v>17</v>
      </c>
      <c r="B5689" t="s">
        <v>182</v>
      </c>
      <c r="C5689">
        <v>202604</v>
      </c>
      <c r="D5689" t="str">
        <f t="shared" si="88"/>
        <v>2026</v>
      </c>
      <c r="E5689">
        <v>49034</v>
      </c>
      <c r="F5689">
        <v>150240</v>
      </c>
      <c r="G5689">
        <v>32.64</v>
      </c>
      <c r="H5689" t="s">
        <v>10</v>
      </c>
      <c r="I5689" t="s">
        <v>11</v>
      </c>
    </row>
    <row r="5690" spans="1:9" hidden="1" x14ac:dyDescent="0.25">
      <c r="A5690" t="s">
        <v>17</v>
      </c>
      <c r="B5690" t="s">
        <v>96</v>
      </c>
      <c r="C5690">
        <v>202001</v>
      </c>
      <c r="D5690" t="str">
        <f t="shared" si="88"/>
        <v>2020</v>
      </c>
      <c r="E5690">
        <v>1</v>
      </c>
      <c r="F5690">
        <v>52045</v>
      </c>
      <c r="G5690">
        <v>0</v>
      </c>
      <c r="H5690" t="s">
        <v>10</v>
      </c>
      <c r="I5690" t="s">
        <v>11</v>
      </c>
    </row>
    <row r="5691" spans="1:9" hidden="1" x14ac:dyDescent="0.25">
      <c r="A5691" t="s">
        <v>17</v>
      </c>
      <c r="B5691" t="s">
        <v>96</v>
      </c>
      <c r="C5691">
        <v>202003</v>
      </c>
      <c r="D5691" t="str">
        <f t="shared" si="88"/>
        <v>2020</v>
      </c>
      <c r="E5691">
        <v>1</v>
      </c>
      <c r="F5691">
        <v>52045</v>
      </c>
      <c r="G5691">
        <v>0</v>
      </c>
      <c r="H5691" t="s">
        <v>10</v>
      </c>
      <c r="I5691" t="s">
        <v>11</v>
      </c>
    </row>
    <row r="5692" spans="1:9" hidden="1" x14ac:dyDescent="0.25">
      <c r="A5692" t="s">
        <v>17</v>
      </c>
      <c r="B5692" t="s">
        <v>96</v>
      </c>
      <c r="C5692">
        <v>202107</v>
      </c>
      <c r="D5692" t="str">
        <f t="shared" si="88"/>
        <v>2021</v>
      </c>
      <c r="E5692">
        <v>13</v>
      </c>
      <c r="F5692">
        <v>52045</v>
      </c>
      <c r="G5692">
        <v>0.02</v>
      </c>
      <c r="H5692" t="s">
        <v>10</v>
      </c>
      <c r="I5692" t="s">
        <v>11</v>
      </c>
    </row>
    <row r="5693" spans="1:9" hidden="1" x14ac:dyDescent="0.25">
      <c r="A5693" t="s">
        <v>17</v>
      </c>
      <c r="B5693" t="s">
        <v>96</v>
      </c>
      <c r="C5693">
        <v>202108</v>
      </c>
      <c r="D5693" t="str">
        <f t="shared" si="88"/>
        <v>2021</v>
      </c>
      <c r="E5693">
        <v>2</v>
      </c>
      <c r="F5693">
        <v>52045</v>
      </c>
      <c r="G5693">
        <v>0</v>
      </c>
      <c r="H5693" t="s">
        <v>10</v>
      </c>
      <c r="I5693" t="s">
        <v>11</v>
      </c>
    </row>
    <row r="5694" spans="1:9" hidden="1" x14ac:dyDescent="0.25">
      <c r="A5694" t="s">
        <v>17</v>
      </c>
      <c r="B5694" t="s">
        <v>96</v>
      </c>
      <c r="C5694">
        <v>202110</v>
      </c>
      <c r="D5694" t="str">
        <f t="shared" si="88"/>
        <v>2021</v>
      </c>
      <c r="E5694">
        <v>1</v>
      </c>
      <c r="F5694">
        <v>52045</v>
      </c>
      <c r="G5694">
        <v>0</v>
      </c>
      <c r="H5694" t="s">
        <v>10</v>
      </c>
      <c r="I5694" t="s">
        <v>11</v>
      </c>
    </row>
    <row r="5695" spans="1:9" hidden="1" x14ac:dyDescent="0.25">
      <c r="A5695" t="s">
        <v>17</v>
      </c>
      <c r="B5695" t="s">
        <v>96</v>
      </c>
      <c r="C5695">
        <v>202111</v>
      </c>
      <c r="D5695" t="str">
        <f t="shared" si="88"/>
        <v>2021</v>
      </c>
      <c r="E5695">
        <v>4</v>
      </c>
      <c r="F5695">
        <v>52045</v>
      </c>
      <c r="G5695">
        <v>0.01</v>
      </c>
      <c r="H5695" t="s">
        <v>10</v>
      </c>
      <c r="I5695" t="s">
        <v>11</v>
      </c>
    </row>
    <row r="5696" spans="1:9" hidden="1" x14ac:dyDescent="0.25">
      <c r="A5696" t="s">
        <v>17</v>
      </c>
      <c r="B5696" t="s">
        <v>96</v>
      </c>
      <c r="C5696">
        <v>202112</v>
      </c>
      <c r="D5696" t="str">
        <f t="shared" si="88"/>
        <v>2021</v>
      </c>
      <c r="E5696">
        <v>20</v>
      </c>
      <c r="F5696">
        <v>52045</v>
      </c>
      <c r="G5696">
        <v>0.04</v>
      </c>
      <c r="H5696" t="s">
        <v>10</v>
      </c>
      <c r="I5696" t="s">
        <v>11</v>
      </c>
    </row>
    <row r="5697" spans="1:9" hidden="1" x14ac:dyDescent="0.25">
      <c r="A5697" t="s">
        <v>17</v>
      </c>
      <c r="B5697" t="s">
        <v>96</v>
      </c>
      <c r="C5697">
        <v>202201</v>
      </c>
      <c r="D5697" t="str">
        <f t="shared" si="88"/>
        <v>2022</v>
      </c>
      <c r="E5697">
        <v>4</v>
      </c>
      <c r="F5697">
        <v>52045</v>
      </c>
      <c r="G5697">
        <v>0.01</v>
      </c>
      <c r="H5697" t="s">
        <v>10</v>
      </c>
      <c r="I5697" t="s">
        <v>11</v>
      </c>
    </row>
    <row r="5698" spans="1:9" hidden="1" x14ac:dyDescent="0.25">
      <c r="A5698" t="s">
        <v>17</v>
      </c>
      <c r="B5698" t="s">
        <v>96</v>
      </c>
      <c r="C5698">
        <v>202202</v>
      </c>
      <c r="D5698" t="str">
        <f t="shared" si="88"/>
        <v>2022</v>
      </c>
      <c r="E5698">
        <v>16</v>
      </c>
      <c r="F5698">
        <v>52045</v>
      </c>
      <c r="G5698">
        <v>0.03</v>
      </c>
      <c r="H5698" t="s">
        <v>10</v>
      </c>
      <c r="I5698" t="s">
        <v>11</v>
      </c>
    </row>
    <row r="5699" spans="1:9" hidden="1" x14ac:dyDescent="0.25">
      <c r="A5699" t="s">
        <v>17</v>
      </c>
      <c r="B5699" t="s">
        <v>96</v>
      </c>
      <c r="C5699">
        <v>202203</v>
      </c>
      <c r="D5699" t="str">
        <f t="shared" ref="D5699:D5762" si="89">LEFT(C5699,4)</f>
        <v>2022</v>
      </c>
      <c r="E5699">
        <v>9</v>
      </c>
      <c r="F5699">
        <v>52045</v>
      </c>
      <c r="G5699">
        <v>0.02</v>
      </c>
      <c r="H5699" t="s">
        <v>10</v>
      </c>
      <c r="I5699" t="s">
        <v>11</v>
      </c>
    </row>
    <row r="5700" spans="1:9" hidden="1" x14ac:dyDescent="0.25">
      <c r="A5700" t="s">
        <v>17</v>
      </c>
      <c r="B5700" t="s">
        <v>96</v>
      </c>
      <c r="C5700">
        <v>202204</v>
      </c>
      <c r="D5700" t="str">
        <f t="shared" si="89"/>
        <v>2022</v>
      </c>
      <c r="E5700">
        <v>2</v>
      </c>
      <c r="F5700">
        <v>52045</v>
      </c>
      <c r="G5700">
        <v>0</v>
      </c>
      <c r="H5700" t="s">
        <v>10</v>
      </c>
      <c r="I5700" t="s">
        <v>11</v>
      </c>
    </row>
    <row r="5701" spans="1:9" hidden="1" x14ac:dyDescent="0.25">
      <c r="A5701" t="s">
        <v>17</v>
      </c>
      <c r="B5701" t="s">
        <v>96</v>
      </c>
      <c r="C5701">
        <v>202205</v>
      </c>
      <c r="D5701" t="str">
        <f t="shared" si="89"/>
        <v>2022</v>
      </c>
      <c r="E5701">
        <v>31</v>
      </c>
      <c r="F5701">
        <v>52045</v>
      </c>
      <c r="G5701">
        <v>0.06</v>
      </c>
      <c r="H5701" t="s">
        <v>10</v>
      </c>
      <c r="I5701" t="s">
        <v>11</v>
      </c>
    </row>
    <row r="5702" spans="1:9" hidden="1" x14ac:dyDescent="0.25">
      <c r="A5702" t="s">
        <v>17</v>
      </c>
      <c r="B5702" t="s">
        <v>96</v>
      </c>
      <c r="C5702">
        <v>202206</v>
      </c>
      <c r="D5702" t="str">
        <f t="shared" si="89"/>
        <v>2022</v>
      </c>
      <c r="E5702">
        <v>30</v>
      </c>
      <c r="F5702">
        <v>52045</v>
      </c>
      <c r="G5702">
        <v>0.06</v>
      </c>
      <c r="H5702" t="s">
        <v>10</v>
      </c>
      <c r="I5702" t="s">
        <v>11</v>
      </c>
    </row>
    <row r="5703" spans="1:9" hidden="1" x14ac:dyDescent="0.25">
      <c r="A5703" t="s">
        <v>17</v>
      </c>
      <c r="B5703" t="s">
        <v>96</v>
      </c>
      <c r="C5703">
        <v>202207</v>
      </c>
      <c r="D5703" t="str">
        <f t="shared" si="89"/>
        <v>2022</v>
      </c>
      <c r="E5703">
        <v>21</v>
      </c>
      <c r="F5703">
        <v>52045</v>
      </c>
      <c r="G5703">
        <v>0.04</v>
      </c>
      <c r="H5703" t="s">
        <v>10</v>
      </c>
      <c r="I5703" t="s">
        <v>11</v>
      </c>
    </row>
    <row r="5704" spans="1:9" hidden="1" x14ac:dyDescent="0.25">
      <c r="A5704" t="s">
        <v>17</v>
      </c>
      <c r="B5704" t="s">
        <v>96</v>
      </c>
      <c r="C5704">
        <v>202208</v>
      </c>
      <c r="D5704" t="str">
        <f t="shared" si="89"/>
        <v>2022</v>
      </c>
      <c r="E5704">
        <v>43</v>
      </c>
      <c r="F5704">
        <v>52045</v>
      </c>
      <c r="G5704">
        <v>0.08</v>
      </c>
      <c r="H5704" t="s">
        <v>10</v>
      </c>
      <c r="I5704" t="s">
        <v>11</v>
      </c>
    </row>
    <row r="5705" spans="1:9" hidden="1" x14ac:dyDescent="0.25">
      <c r="A5705" t="s">
        <v>17</v>
      </c>
      <c r="B5705" t="s">
        <v>96</v>
      </c>
      <c r="C5705">
        <v>202209</v>
      </c>
      <c r="D5705" t="str">
        <f t="shared" si="89"/>
        <v>2022</v>
      </c>
      <c r="E5705">
        <v>64</v>
      </c>
      <c r="F5705">
        <v>52045</v>
      </c>
      <c r="G5705">
        <v>0.12</v>
      </c>
      <c r="H5705" t="s">
        <v>10</v>
      </c>
      <c r="I5705" t="s">
        <v>11</v>
      </c>
    </row>
    <row r="5706" spans="1:9" hidden="1" x14ac:dyDescent="0.25">
      <c r="A5706" t="s">
        <v>17</v>
      </c>
      <c r="B5706" t="s">
        <v>96</v>
      </c>
      <c r="C5706">
        <v>202210</v>
      </c>
      <c r="D5706" t="str">
        <f t="shared" si="89"/>
        <v>2022</v>
      </c>
      <c r="E5706">
        <v>86</v>
      </c>
      <c r="F5706">
        <v>52045</v>
      </c>
      <c r="G5706">
        <v>0.17</v>
      </c>
      <c r="H5706" t="s">
        <v>10</v>
      </c>
      <c r="I5706" t="s">
        <v>11</v>
      </c>
    </row>
    <row r="5707" spans="1:9" hidden="1" x14ac:dyDescent="0.25">
      <c r="A5707" t="s">
        <v>17</v>
      </c>
      <c r="B5707" t="s">
        <v>96</v>
      </c>
      <c r="C5707">
        <v>202211</v>
      </c>
      <c r="D5707" t="str">
        <f t="shared" si="89"/>
        <v>2022</v>
      </c>
      <c r="E5707">
        <v>54</v>
      </c>
      <c r="F5707">
        <v>52045</v>
      </c>
      <c r="G5707">
        <v>0.1</v>
      </c>
      <c r="H5707" t="s">
        <v>10</v>
      </c>
      <c r="I5707" t="s">
        <v>11</v>
      </c>
    </row>
    <row r="5708" spans="1:9" hidden="1" x14ac:dyDescent="0.25">
      <c r="A5708" t="s">
        <v>17</v>
      </c>
      <c r="B5708" t="s">
        <v>96</v>
      </c>
      <c r="C5708">
        <v>202212</v>
      </c>
      <c r="D5708" t="str">
        <f t="shared" si="89"/>
        <v>2022</v>
      </c>
      <c r="E5708">
        <v>99</v>
      </c>
      <c r="F5708">
        <v>52045</v>
      </c>
      <c r="G5708">
        <v>0.19</v>
      </c>
      <c r="H5708" t="s">
        <v>10</v>
      </c>
      <c r="I5708" t="s">
        <v>11</v>
      </c>
    </row>
    <row r="5709" spans="1:9" hidden="1" x14ac:dyDescent="0.25">
      <c r="A5709" t="s">
        <v>17</v>
      </c>
      <c r="B5709" t="s">
        <v>96</v>
      </c>
      <c r="C5709">
        <v>202301</v>
      </c>
      <c r="D5709" t="str">
        <f t="shared" si="89"/>
        <v>2023</v>
      </c>
      <c r="E5709">
        <v>105</v>
      </c>
      <c r="F5709">
        <v>52045</v>
      </c>
      <c r="G5709">
        <v>0.2</v>
      </c>
      <c r="H5709" t="s">
        <v>10</v>
      </c>
      <c r="I5709" t="s">
        <v>11</v>
      </c>
    </row>
    <row r="5710" spans="1:9" hidden="1" x14ac:dyDescent="0.25">
      <c r="A5710" t="s">
        <v>17</v>
      </c>
      <c r="B5710" t="s">
        <v>96</v>
      </c>
      <c r="C5710">
        <v>202302</v>
      </c>
      <c r="D5710" t="str">
        <f t="shared" si="89"/>
        <v>2023</v>
      </c>
      <c r="E5710">
        <v>95</v>
      </c>
      <c r="F5710">
        <v>52045</v>
      </c>
      <c r="G5710">
        <v>0.18</v>
      </c>
      <c r="H5710" t="s">
        <v>10</v>
      </c>
      <c r="I5710" t="s">
        <v>11</v>
      </c>
    </row>
    <row r="5711" spans="1:9" hidden="1" x14ac:dyDescent="0.25">
      <c r="A5711" t="s">
        <v>17</v>
      </c>
      <c r="B5711" t="s">
        <v>96</v>
      </c>
      <c r="C5711">
        <v>202303</v>
      </c>
      <c r="D5711" t="str">
        <f t="shared" si="89"/>
        <v>2023</v>
      </c>
      <c r="E5711">
        <v>394</v>
      </c>
      <c r="F5711">
        <v>52045</v>
      </c>
      <c r="G5711">
        <v>0.76</v>
      </c>
      <c r="H5711" t="s">
        <v>10</v>
      </c>
      <c r="I5711" t="s">
        <v>11</v>
      </c>
    </row>
    <row r="5712" spans="1:9" hidden="1" x14ac:dyDescent="0.25">
      <c r="A5712" t="s">
        <v>17</v>
      </c>
      <c r="B5712" t="s">
        <v>96</v>
      </c>
      <c r="C5712">
        <v>202304</v>
      </c>
      <c r="D5712" t="str">
        <f t="shared" si="89"/>
        <v>2023</v>
      </c>
      <c r="E5712">
        <v>224</v>
      </c>
      <c r="F5712">
        <v>52045</v>
      </c>
      <c r="G5712">
        <v>0.43</v>
      </c>
      <c r="H5712" t="s">
        <v>10</v>
      </c>
      <c r="I5712" t="s">
        <v>11</v>
      </c>
    </row>
    <row r="5713" spans="1:9" hidden="1" x14ac:dyDescent="0.25">
      <c r="A5713" t="s">
        <v>17</v>
      </c>
      <c r="B5713" t="s">
        <v>96</v>
      </c>
      <c r="C5713">
        <v>202305</v>
      </c>
      <c r="D5713" t="str">
        <f t="shared" si="89"/>
        <v>2023</v>
      </c>
      <c r="E5713">
        <v>374</v>
      </c>
      <c r="F5713">
        <v>52045</v>
      </c>
      <c r="G5713">
        <v>0.72</v>
      </c>
      <c r="H5713" t="s">
        <v>10</v>
      </c>
      <c r="I5713" t="s">
        <v>11</v>
      </c>
    </row>
    <row r="5714" spans="1:9" hidden="1" x14ac:dyDescent="0.25">
      <c r="A5714" t="s">
        <v>17</v>
      </c>
      <c r="B5714" t="s">
        <v>96</v>
      </c>
      <c r="C5714">
        <v>202306</v>
      </c>
      <c r="D5714" t="str">
        <f t="shared" si="89"/>
        <v>2023</v>
      </c>
      <c r="E5714">
        <v>368</v>
      </c>
      <c r="F5714">
        <v>52045</v>
      </c>
      <c r="G5714">
        <v>0.71</v>
      </c>
      <c r="H5714" t="s">
        <v>10</v>
      </c>
      <c r="I5714" t="s">
        <v>11</v>
      </c>
    </row>
    <row r="5715" spans="1:9" hidden="1" x14ac:dyDescent="0.25">
      <c r="A5715" t="s">
        <v>17</v>
      </c>
      <c r="B5715" t="s">
        <v>96</v>
      </c>
      <c r="C5715">
        <v>202307</v>
      </c>
      <c r="D5715" t="str">
        <f t="shared" si="89"/>
        <v>2023</v>
      </c>
      <c r="E5715">
        <v>681</v>
      </c>
      <c r="F5715">
        <v>52045</v>
      </c>
      <c r="G5715">
        <v>1.31</v>
      </c>
      <c r="H5715" t="s">
        <v>10</v>
      </c>
      <c r="I5715" t="s">
        <v>11</v>
      </c>
    </row>
    <row r="5716" spans="1:9" hidden="1" x14ac:dyDescent="0.25">
      <c r="A5716" t="s">
        <v>17</v>
      </c>
      <c r="B5716" t="s">
        <v>96</v>
      </c>
      <c r="C5716">
        <v>202308</v>
      </c>
      <c r="D5716" t="str">
        <f t="shared" si="89"/>
        <v>2023</v>
      </c>
      <c r="E5716">
        <v>1397</v>
      </c>
      <c r="F5716">
        <v>52045</v>
      </c>
      <c r="G5716">
        <v>2.68</v>
      </c>
      <c r="H5716" t="s">
        <v>10</v>
      </c>
      <c r="I5716" t="s">
        <v>11</v>
      </c>
    </row>
    <row r="5717" spans="1:9" hidden="1" x14ac:dyDescent="0.25">
      <c r="A5717" t="s">
        <v>17</v>
      </c>
      <c r="B5717" t="s">
        <v>96</v>
      </c>
      <c r="C5717">
        <v>202309</v>
      </c>
      <c r="D5717" t="str">
        <f t="shared" si="89"/>
        <v>2023</v>
      </c>
      <c r="E5717">
        <v>3513</v>
      </c>
      <c r="F5717">
        <v>52045</v>
      </c>
      <c r="G5717">
        <v>6.75</v>
      </c>
      <c r="H5717" t="s">
        <v>10</v>
      </c>
      <c r="I5717" t="s">
        <v>11</v>
      </c>
    </row>
    <row r="5718" spans="1:9" hidden="1" x14ac:dyDescent="0.25">
      <c r="A5718" t="s">
        <v>17</v>
      </c>
      <c r="B5718" t="s">
        <v>96</v>
      </c>
      <c r="C5718">
        <v>202310</v>
      </c>
      <c r="D5718" t="str">
        <f t="shared" si="89"/>
        <v>2023</v>
      </c>
      <c r="E5718">
        <v>25419</v>
      </c>
      <c r="F5718">
        <v>52045</v>
      </c>
      <c r="G5718">
        <v>48.84</v>
      </c>
      <c r="H5718" t="s">
        <v>10</v>
      </c>
      <c r="I5718" t="s">
        <v>11</v>
      </c>
    </row>
    <row r="5719" spans="1:9" hidden="1" x14ac:dyDescent="0.25">
      <c r="A5719" t="s">
        <v>17</v>
      </c>
      <c r="B5719" t="s">
        <v>96</v>
      </c>
      <c r="C5719">
        <v>202311</v>
      </c>
      <c r="D5719" t="str">
        <f t="shared" si="89"/>
        <v>2023</v>
      </c>
      <c r="E5719">
        <v>18974</v>
      </c>
      <c r="F5719">
        <v>52045</v>
      </c>
      <c r="G5719">
        <v>36.46</v>
      </c>
      <c r="H5719" t="s">
        <v>10</v>
      </c>
      <c r="I5719" t="s">
        <v>11</v>
      </c>
    </row>
    <row r="5720" spans="1:9" hidden="1" x14ac:dyDescent="0.25">
      <c r="A5720" t="s">
        <v>17</v>
      </c>
      <c r="B5720" t="s">
        <v>50</v>
      </c>
      <c r="C5720">
        <v>202005</v>
      </c>
      <c r="D5720" t="str">
        <f t="shared" si="89"/>
        <v>2020</v>
      </c>
      <c r="E5720">
        <v>18</v>
      </c>
      <c r="F5720">
        <v>68057</v>
      </c>
      <c r="G5720">
        <v>0.03</v>
      </c>
      <c r="H5720" t="s">
        <v>10</v>
      </c>
      <c r="I5720" t="s">
        <v>11</v>
      </c>
    </row>
    <row r="5721" spans="1:9" hidden="1" x14ac:dyDescent="0.25">
      <c r="A5721" t="s">
        <v>17</v>
      </c>
      <c r="B5721" t="s">
        <v>50</v>
      </c>
      <c r="C5721">
        <v>202011</v>
      </c>
      <c r="D5721" t="str">
        <f t="shared" si="89"/>
        <v>2020</v>
      </c>
      <c r="E5721">
        <v>10</v>
      </c>
      <c r="F5721">
        <v>68057</v>
      </c>
      <c r="G5721">
        <v>0.01</v>
      </c>
      <c r="H5721" t="s">
        <v>10</v>
      </c>
      <c r="I5721" t="s">
        <v>11</v>
      </c>
    </row>
    <row r="5722" spans="1:9" hidden="1" x14ac:dyDescent="0.25">
      <c r="A5722" t="s">
        <v>17</v>
      </c>
      <c r="B5722" t="s">
        <v>50</v>
      </c>
      <c r="C5722">
        <v>202012</v>
      </c>
      <c r="D5722" t="str">
        <f t="shared" si="89"/>
        <v>2020</v>
      </c>
      <c r="E5722">
        <v>10</v>
      </c>
      <c r="F5722">
        <v>68057</v>
      </c>
      <c r="G5722">
        <v>0.01</v>
      </c>
      <c r="H5722" t="s">
        <v>10</v>
      </c>
      <c r="I5722" t="s">
        <v>11</v>
      </c>
    </row>
    <row r="5723" spans="1:9" hidden="1" x14ac:dyDescent="0.25">
      <c r="A5723" t="s">
        <v>17</v>
      </c>
      <c r="B5723" t="s">
        <v>50</v>
      </c>
      <c r="C5723">
        <v>202102</v>
      </c>
      <c r="D5723" t="str">
        <f t="shared" si="89"/>
        <v>2021</v>
      </c>
      <c r="E5723">
        <v>1</v>
      </c>
      <c r="F5723">
        <v>68057</v>
      </c>
      <c r="G5723">
        <v>0</v>
      </c>
      <c r="H5723" t="s">
        <v>10</v>
      </c>
      <c r="I5723" t="s">
        <v>11</v>
      </c>
    </row>
    <row r="5724" spans="1:9" hidden="1" x14ac:dyDescent="0.25">
      <c r="A5724" t="s">
        <v>17</v>
      </c>
      <c r="B5724" t="s">
        <v>50</v>
      </c>
      <c r="C5724">
        <v>202106</v>
      </c>
      <c r="D5724" t="str">
        <f t="shared" si="89"/>
        <v>2021</v>
      </c>
      <c r="E5724">
        <v>1</v>
      </c>
      <c r="F5724">
        <v>68057</v>
      </c>
      <c r="G5724">
        <v>0</v>
      </c>
      <c r="H5724" t="s">
        <v>10</v>
      </c>
      <c r="I5724" t="s">
        <v>11</v>
      </c>
    </row>
    <row r="5725" spans="1:9" hidden="1" x14ac:dyDescent="0.25">
      <c r="A5725" t="s">
        <v>17</v>
      </c>
      <c r="B5725" t="s">
        <v>50</v>
      </c>
      <c r="C5725">
        <v>202108</v>
      </c>
      <c r="D5725" t="str">
        <f t="shared" si="89"/>
        <v>2021</v>
      </c>
      <c r="E5725">
        <v>1</v>
      </c>
      <c r="F5725">
        <v>68057</v>
      </c>
      <c r="G5725">
        <v>0</v>
      </c>
      <c r="H5725" t="s">
        <v>10</v>
      </c>
      <c r="I5725" t="s">
        <v>11</v>
      </c>
    </row>
    <row r="5726" spans="1:9" hidden="1" x14ac:dyDescent="0.25">
      <c r="A5726" t="s">
        <v>17</v>
      </c>
      <c r="B5726" t="s">
        <v>50</v>
      </c>
      <c r="C5726">
        <v>202109</v>
      </c>
      <c r="D5726" t="str">
        <f t="shared" si="89"/>
        <v>2021</v>
      </c>
      <c r="E5726">
        <v>28</v>
      </c>
      <c r="F5726">
        <v>68057</v>
      </c>
      <c r="G5726">
        <v>0.04</v>
      </c>
      <c r="H5726" t="s">
        <v>10</v>
      </c>
      <c r="I5726" t="s">
        <v>11</v>
      </c>
    </row>
    <row r="5727" spans="1:9" hidden="1" x14ac:dyDescent="0.25">
      <c r="A5727" t="s">
        <v>17</v>
      </c>
      <c r="B5727" t="s">
        <v>50</v>
      </c>
      <c r="C5727">
        <v>202111</v>
      </c>
      <c r="D5727" t="str">
        <f t="shared" si="89"/>
        <v>2021</v>
      </c>
      <c r="E5727">
        <v>8</v>
      </c>
      <c r="F5727">
        <v>68057</v>
      </c>
      <c r="G5727">
        <v>0.01</v>
      </c>
      <c r="H5727" t="s">
        <v>10</v>
      </c>
      <c r="I5727" t="s">
        <v>11</v>
      </c>
    </row>
    <row r="5728" spans="1:9" hidden="1" x14ac:dyDescent="0.25">
      <c r="A5728" t="s">
        <v>17</v>
      </c>
      <c r="B5728" t="s">
        <v>50</v>
      </c>
      <c r="C5728">
        <v>202112</v>
      </c>
      <c r="D5728" t="str">
        <f t="shared" si="89"/>
        <v>2021</v>
      </c>
      <c r="E5728">
        <v>46</v>
      </c>
      <c r="F5728">
        <v>68057</v>
      </c>
      <c r="G5728">
        <v>7.0000000000000007E-2</v>
      </c>
      <c r="H5728" t="s">
        <v>10</v>
      </c>
      <c r="I5728" t="s">
        <v>11</v>
      </c>
    </row>
    <row r="5729" spans="1:9" hidden="1" x14ac:dyDescent="0.25">
      <c r="A5729" t="s">
        <v>17</v>
      </c>
      <c r="B5729" t="s">
        <v>50</v>
      </c>
      <c r="C5729">
        <v>202201</v>
      </c>
      <c r="D5729" t="str">
        <f t="shared" si="89"/>
        <v>2022</v>
      </c>
      <c r="E5729">
        <v>100</v>
      </c>
      <c r="F5729">
        <v>68057</v>
      </c>
      <c r="G5729">
        <v>0.15</v>
      </c>
      <c r="H5729" t="s">
        <v>10</v>
      </c>
      <c r="I5729" t="s">
        <v>11</v>
      </c>
    </row>
    <row r="5730" spans="1:9" hidden="1" x14ac:dyDescent="0.25">
      <c r="A5730" t="s">
        <v>17</v>
      </c>
      <c r="B5730" t="s">
        <v>50</v>
      </c>
      <c r="C5730">
        <v>202202</v>
      </c>
      <c r="D5730" t="str">
        <f t="shared" si="89"/>
        <v>2022</v>
      </c>
      <c r="E5730">
        <v>36</v>
      </c>
      <c r="F5730">
        <v>68057</v>
      </c>
      <c r="G5730">
        <v>0.05</v>
      </c>
      <c r="H5730" t="s">
        <v>10</v>
      </c>
      <c r="I5730" t="s">
        <v>11</v>
      </c>
    </row>
    <row r="5731" spans="1:9" hidden="1" x14ac:dyDescent="0.25">
      <c r="A5731" t="s">
        <v>17</v>
      </c>
      <c r="B5731" t="s">
        <v>50</v>
      </c>
      <c r="C5731">
        <v>202203</v>
      </c>
      <c r="D5731" t="str">
        <f t="shared" si="89"/>
        <v>2022</v>
      </c>
      <c r="E5731">
        <v>119</v>
      </c>
      <c r="F5731">
        <v>68057</v>
      </c>
      <c r="G5731">
        <v>0.17</v>
      </c>
      <c r="H5731" t="s">
        <v>10</v>
      </c>
      <c r="I5731" t="s">
        <v>11</v>
      </c>
    </row>
    <row r="5732" spans="1:9" hidden="1" x14ac:dyDescent="0.25">
      <c r="A5732" t="s">
        <v>17</v>
      </c>
      <c r="B5732" t="s">
        <v>50</v>
      </c>
      <c r="C5732">
        <v>202204</v>
      </c>
      <c r="D5732" t="str">
        <f t="shared" si="89"/>
        <v>2022</v>
      </c>
      <c r="E5732">
        <v>178</v>
      </c>
      <c r="F5732">
        <v>68057</v>
      </c>
      <c r="G5732">
        <v>0.26</v>
      </c>
      <c r="H5732" t="s">
        <v>10</v>
      </c>
      <c r="I5732" t="s">
        <v>11</v>
      </c>
    </row>
    <row r="5733" spans="1:9" hidden="1" x14ac:dyDescent="0.25">
      <c r="A5733" t="s">
        <v>17</v>
      </c>
      <c r="B5733" t="s">
        <v>50</v>
      </c>
      <c r="C5733">
        <v>202205</v>
      </c>
      <c r="D5733" t="str">
        <f t="shared" si="89"/>
        <v>2022</v>
      </c>
      <c r="E5733">
        <v>91</v>
      </c>
      <c r="F5733">
        <v>68057</v>
      </c>
      <c r="G5733">
        <v>0.13</v>
      </c>
      <c r="H5733" t="s">
        <v>10</v>
      </c>
      <c r="I5733" t="s">
        <v>11</v>
      </c>
    </row>
    <row r="5734" spans="1:9" hidden="1" x14ac:dyDescent="0.25">
      <c r="A5734" t="s">
        <v>17</v>
      </c>
      <c r="B5734" t="s">
        <v>50</v>
      </c>
      <c r="C5734">
        <v>202206</v>
      </c>
      <c r="D5734" t="str">
        <f t="shared" si="89"/>
        <v>2022</v>
      </c>
      <c r="E5734">
        <v>162</v>
      </c>
      <c r="F5734">
        <v>68057</v>
      </c>
      <c r="G5734">
        <v>0.24</v>
      </c>
      <c r="H5734" t="s">
        <v>10</v>
      </c>
      <c r="I5734" t="s">
        <v>11</v>
      </c>
    </row>
    <row r="5735" spans="1:9" hidden="1" x14ac:dyDescent="0.25">
      <c r="A5735" t="s">
        <v>17</v>
      </c>
      <c r="B5735" t="s">
        <v>50</v>
      </c>
      <c r="C5735">
        <v>202207</v>
      </c>
      <c r="D5735" t="str">
        <f t="shared" si="89"/>
        <v>2022</v>
      </c>
      <c r="E5735">
        <v>73</v>
      </c>
      <c r="F5735">
        <v>68057</v>
      </c>
      <c r="G5735">
        <v>0.11</v>
      </c>
      <c r="H5735" t="s">
        <v>10</v>
      </c>
      <c r="I5735" t="s">
        <v>11</v>
      </c>
    </row>
    <row r="5736" spans="1:9" hidden="1" x14ac:dyDescent="0.25">
      <c r="A5736" t="s">
        <v>17</v>
      </c>
      <c r="B5736" t="s">
        <v>50</v>
      </c>
      <c r="C5736">
        <v>202208</v>
      </c>
      <c r="D5736" t="str">
        <f t="shared" si="89"/>
        <v>2022</v>
      </c>
      <c r="E5736">
        <v>198</v>
      </c>
      <c r="F5736">
        <v>68057</v>
      </c>
      <c r="G5736">
        <v>0.28999999999999998</v>
      </c>
      <c r="H5736" t="s">
        <v>10</v>
      </c>
      <c r="I5736" t="s">
        <v>11</v>
      </c>
    </row>
    <row r="5737" spans="1:9" hidden="1" x14ac:dyDescent="0.25">
      <c r="A5737" t="s">
        <v>17</v>
      </c>
      <c r="B5737" t="s">
        <v>50</v>
      </c>
      <c r="C5737">
        <v>202209</v>
      </c>
      <c r="D5737" t="str">
        <f t="shared" si="89"/>
        <v>2022</v>
      </c>
      <c r="E5737">
        <v>154</v>
      </c>
      <c r="F5737">
        <v>68057</v>
      </c>
      <c r="G5737">
        <v>0.23</v>
      </c>
      <c r="H5737" t="s">
        <v>10</v>
      </c>
      <c r="I5737" t="s">
        <v>11</v>
      </c>
    </row>
    <row r="5738" spans="1:9" hidden="1" x14ac:dyDescent="0.25">
      <c r="A5738" t="s">
        <v>17</v>
      </c>
      <c r="B5738" t="s">
        <v>50</v>
      </c>
      <c r="C5738">
        <v>202210</v>
      </c>
      <c r="D5738" t="str">
        <f t="shared" si="89"/>
        <v>2022</v>
      </c>
      <c r="E5738">
        <v>209</v>
      </c>
      <c r="F5738">
        <v>68057</v>
      </c>
      <c r="G5738">
        <v>0.31</v>
      </c>
      <c r="H5738" t="s">
        <v>10</v>
      </c>
      <c r="I5738" t="s">
        <v>11</v>
      </c>
    </row>
    <row r="5739" spans="1:9" hidden="1" x14ac:dyDescent="0.25">
      <c r="A5739" t="s">
        <v>17</v>
      </c>
      <c r="B5739" t="s">
        <v>50</v>
      </c>
      <c r="C5739">
        <v>202211</v>
      </c>
      <c r="D5739" t="str">
        <f t="shared" si="89"/>
        <v>2022</v>
      </c>
      <c r="E5739">
        <v>192</v>
      </c>
      <c r="F5739">
        <v>68057</v>
      </c>
      <c r="G5739">
        <v>0.28000000000000003</v>
      </c>
      <c r="H5739" t="s">
        <v>10</v>
      </c>
      <c r="I5739" t="s">
        <v>11</v>
      </c>
    </row>
    <row r="5740" spans="1:9" hidden="1" x14ac:dyDescent="0.25">
      <c r="A5740" t="s">
        <v>17</v>
      </c>
      <c r="B5740" t="s">
        <v>50</v>
      </c>
      <c r="C5740">
        <v>202212</v>
      </c>
      <c r="D5740" t="str">
        <f t="shared" si="89"/>
        <v>2022</v>
      </c>
      <c r="E5740">
        <v>232</v>
      </c>
      <c r="F5740">
        <v>68057</v>
      </c>
      <c r="G5740">
        <v>0.34</v>
      </c>
      <c r="H5740" t="s">
        <v>10</v>
      </c>
      <c r="I5740" t="s">
        <v>11</v>
      </c>
    </row>
    <row r="5741" spans="1:9" hidden="1" x14ac:dyDescent="0.25">
      <c r="A5741" t="s">
        <v>17</v>
      </c>
      <c r="B5741" t="s">
        <v>50</v>
      </c>
      <c r="C5741">
        <v>202301</v>
      </c>
      <c r="D5741" t="str">
        <f t="shared" si="89"/>
        <v>2023</v>
      </c>
      <c r="E5741">
        <v>360</v>
      </c>
      <c r="F5741">
        <v>68057</v>
      </c>
      <c r="G5741">
        <v>0.53</v>
      </c>
      <c r="H5741" t="s">
        <v>10</v>
      </c>
      <c r="I5741" t="s">
        <v>11</v>
      </c>
    </row>
    <row r="5742" spans="1:9" hidden="1" x14ac:dyDescent="0.25">
      <c r="A5742" t="s">
        <v>17</v>
      </c>
      <c r="B5742" t="s">
        <v>50</v>
      </c>
      <c r="C5742">
        <v>202302</v>
      </c>
      <c r="D5742" t="str">
        <f t="shared" si="89"/>
        <v>2023</v>
      </c>
      <c r="E5742">
        <v>321</v>
      </c>
      <c r="F5742">
        <v>68057</v>
      </c>
      <c r="G5742">
        <v>0.47</v>
      </c>
      <c r="H5742" t="s">
        <v>10</v>
      </c>
      <c r="I5742" t="s">
        <v>11</v>
      </c>
    </row>
    <row r="5743" spans="1:9" hidden="1" x14ac:dyDescent="0.25">
      <c r="A5743" t="s">
        <v>17</v>
      </c>
      <c r="B5743" t="s">
        <v>50</v>
      </c>
      <c r="C5743">
        <v>202303</v>
      </c>
      <c r="D5743" t="str">
        <f t="shared" si="89"/>
        <v>2023</v>
      </c>
      <c r="E5743">
        <v>572</v>
      </c>
      <c r="F5743">
        <v>68057</v>
      </c>
      <c r="G5743">
        <v>0.84</v>
      </c>
      <c r="H5743" t="s">
        <v>10</v>
      </c>
      <c r="I5743" t="s">
        <v>11</v>
      </c>
    </row>
    <row r="5744" spans="1:9" hidden="1" x14ac:dyDescent="0.25">
      <c r="A5744" t="s">
        <v>17</v>
      </c>
      <c r="B5744" t="s">
        <v>50</v>
      </c>
      <c r="C5744">
        <v>202304</v>
      </c>
      <c r="D5744" t="str">
        <f t="shared" si="89"/>
        <v>2023</v>
      </c>
      <c r="E5744">
        <v>379</v>
      </c>
      <c r="F5744">
        <v>68057</v>
      </c>
      <c r="G5744">
        <v>0.56000000000000005</v>
      </c>
      <c r="H5744" t="s">
        <v>10</v>
      </c>
      <c r="I5744" t="s">
        <v>11</v>
      </c>
    </row>
    <row r="5745" spans="1:9" hidden="1" x14ac:dyDescent="0.25">
      <c r="A5745" t="s">
        <v>17</v>
      </c>
      <c r="B5745" t="s">
        <v>50</v>
      </c>
      <c r="C5745">
        <v>202305</v>
      </c>
      <c r="D5745" t="str">
        <f t="shared" si="89"/>
        <v>2023</v>
      </c>
      <c r="E5745">
        <v>528</v>
      </c>
      <c r="F5745">
        <v>68057</v>
      </c>
      <c r="G5745">
        <v>0.78</v>
      </c>
      <c r="H5745" t="s">
        <v>10</v>
      </c>
      <c r="I5745" t="s">
        <v>11</v>
      </c>
    </row>
    <row r="5746" spans="1:9" hidden="1" x14ac:dyDescent="0.25">
      <c r="A5746" t="s">
        <v>17</v>
      </c>
      <c r="B5746" t="s">
        <v>50</v>
      </c>
      <c r="C5746">
        <v>202306</v>
      </c>
      <c r="D5746" t="str">
        <f t="shared" si="89"/>
        <v>2023</v>
      </c>
      <c r="E5746">
        <v>791</v>
      </c>
      <c r="F5746">
        <v>68057</v>
      </c>
      <c r="G5746">
        <v>1.1599999999999999</v>
      </c>
      <c r="H5746" t="s">
        <v>10</v>
      </c>
      <c r="I5746" t="s">
        <v>11</v>
      </c>
    </row>
    <row r="5747" spans="1:9" hidden="1" x14ac:dyDescent="0.25">
      <c r="A5747" t="s">
        <v>17</v>
      </c>
      <c r="B5747" t="s">
        <v>50</v>
      </c>
      <c r="C5747">
        <v>202307</v>
      </c>
      <c r="D5747" t="str">
        <f t="shared" si="89"/>
        <v>2023</v>
      </c>
      <c r="E5747">
        <v>859</v>
      </c>
      <c r="F5747">
        <v>68057</v>
      </c>
      <c r="G5747">
        <v>1.26</v>
      </c>
      <c r="H5747" t="s">
        <v>10</v>
      </c>
      <c r="I5747" t="s">
        <v>11</v>
      </c>
    </row>
    <row r="5748" spans="1:9" hidden="1" x14ac:dyDescent="0.25">
      <c r="A5748" t="s">
        <v>17</v>
      </c>
      <c r="B5748" t="s">
        <v>50</v>
      </c>
      <c r="C5748">
        <v>202308</v>
      </c>
      <c r="D5748" t="str">
        <f t="shared" si="89"/>
        <v>2023</v>
      </c>
      <c r="E5748">
        <v>1206</v>
      </c>
      <c r="F5748">
        <v>68057</v>
      </c>
      <c r="G5748">
        <v>1.77</v>
      </c>
      <c r="H5748" t="s">
        <v>10</v>
      </c>
      <c r="I5748" t="s">
        <v>11</v>
      </c>
    </row>
    <row r="5749" spans="1:9" hidden="1" x14ac:dyDescent="0.25">
      <c r="A5749" t="s">
        <v>17</v>
      </c>
      <c r="B5749" t="s">
        <v>50</v>
      </c>
      <c r="C5749">
        <v>202309</v>
      </c>
      <c r="D5749" t="str">
        <f t="shared" si="89"/>
        <v>2023</v>
      </c>
      <c r="E5749">
        <v>1902</v>
      </c>
      <c r="F5749">
        <v>68057</v>
      </c>
      <c r="G5749">
        <v>2.79</v>
      </c>
      <c r="H5749" t="s">
        <v>10</v>
      </c>
      <c r="I5749" t="s">
        <v>11</v>
      </c>
    </row>
    <row r="5750" spans="1:9" hidden="1" x14ac:dyDescent="0.25">
      <c r="A5750" t="s">
        <v>17</v>
      </c>
      <c r="B5750" t="s">
        <v>50</v>
      </c>
      <c r="C5750">
        <v>202310</v>
      </c>
      <c r="D5750" t="str">
        <f t="shared" si="89"/>
        <v>2023</v>
      </c>
      <c r="E5750">
        <v>7956</v>
      </c>
      <c r="F5750">
        <v>68057</v>
      </c>
      <c r="G5750">
        <v>11.69</v>
      </c>
      <c r="H5750" t="s">
        <v>10</v>
      </c>
      <c r="I5750" t="s">
        <v>11</v>
      </c>
    </row>
    <row r="5751" spans="1:9" hidden="1" x14ac:dyDescent="0.25">
      <c r="A5751" t="s">
        <v>17</v>
      </c>
      <c r="B5751" t="s">
        <v>50</v>
      </c>
      <c r="C5751">
        <v>202311</v>
      </c>
      <c r="D5751" t="str">
        <f t="shared" si="89"/>
        <v>2023</v>
      </c>
      <c r="E5751">
        <v>27498</v>
      </c>
      <c r="F5751">
        <v>68057</v>
      </c>
      <c r="G5751">
        <v>40.4</v>
      </c>
      <c r="H5751" t="s">
        <v>10</v>
      </c>
      <c r="I5751" t="s">
        <v>11</v>
      </c>
    </row>
    <row r="5752" spans="1:9" hidden="1" x14ac:dyDescent="0.25">
      <c r="A5752" t="s">
        <v>17</v>
      </c>
      <c r="B5752" t="s">
        <v>50</v>
      </c>
      <c r="C5752">
        <v>202312</v>
      </c>
      <c r="D5752" t="str">
        <f t="shared" si="89"/>
        <v>2023</v>
      </c>
      <c r="E5752">
        <v>23818</v>
      </c>
      <c r="F5752">
        <v>68057</v>
      </c>
      <c r="G5752">
        <v>35</v>
      </c>
      <c r="H5752" t="s">
        <v>10</v>
      </c>
      <c r="I5752" t="s">
        <v>11</v>
      </c>
    </row>
    <row r="5753" spans="1:9" hidden="1" x14ac:dyDescent="0.25">
      <c r="A5753" t="s">
        <v>17</v>
      </c>
      <c r="B5753" t="s">
        <v>129</v>
      </c>
      <c r="C5753">
        <v>201808</v>
      </c>
      <c r="D5753" t="str">
        <f t="shared" si="89"/>
        <v>2018</v>
      </c>
      <c r="E5753">
        <v>2</v>
      </c>
      <c r="F5753">
        <v>54076</v>
      </c>
      <c r="G5753">
        <v>0</v>
      </c>
      <c r="H5753" t="s">
        <v>10</v>
      </c>
      <c r="I5753" t="s">
        <v>11</v>
      </c>
    </row>
    <row r="5754" spans="1:9" hidden="1" x14ac:dyDescent="0.25">
      <c r="A5754" t="s">
        <v>17</v>
      </c>
      <c r="B5754" t="s">
        <v>129</v>
      </c>
      <c r="C5754">
        <v>202005</v>
      </c>
      <c r="D5754" t="str">
        <f t="shared" si="89"/>
        <v>2020</v>
      </c>
      <c r="E5754">
        <v>9</v>
      </c>
      <c r="F5754">
        <v>54076</v>
      </c>
      <c r="G5754">
        <v>0.02</v>
      </c>
      <c r="H5754" t="s">
        <v>10</v>
      </c>
      <c r="I5754" t="s">
        <v>11</v>
      </c>
    </row>
    <row r="5755" spans="1:9" hidden="1" x14ac:dyDescent="0.25">
      <c r="A5755" t="s">
        <v>17</v>
      </c>
      <c r="B5755" t="s">
        <v>129</v>
      </c>
      <c r="C5755">
        <v>202012</v>
      </c>
      <c r="D5755" t="str">
        <f t="shared" si="89"/>
        <v>2020</v>
      </c>
      <c r="E5755">
        <v>1</v>
      </c>
      <c r="F5755">
        <v>54076</v>
      </c>
      <c r="G5755">
        <v>0</v>
      </c>
      <c r="H5755" t="s">
        <v>10</v>
      </c>
      <c r="I5755" t="s">
        <v>11</v>
      </c>
    </row>
    <row r="5756" spans="1:9" hidden="1" x14ac:dyDescent="0.25">
      <c r="A5756" t="s">
        <v>17</v>
      </c>
      <c r="B5756" t="s">
        <v>129</v>
      </c>
      <c r="C5756">
        <v>202102</v>
      </c>
      <c r="D5756" t="str">
        <f t="shared" si="89"/>
        <v>2021</v>
      </c>
      <c r="E5756">
        <v>17</v>
      </c>
      <c r="F5756">
        <v>54076</v>
      </c>
      <c r="G5756">
        <v>0.03</v>
      </c>
      <c r="H5756" t="s">
        <v>10</v>
      </c>
      <c r="I5756" t="s">
        <v>11</v>
      </c>
    </row>
    <row r="5757" spans="1:9" hidden="1" x14ac:dyDescent="0.25">
      <c r="A5757" t="s">
        <v>17</v>
      </c>
      <c r="B5757" t="s">
        <v>129</v>
      </c>
      <c r="C5757">
        <v>202105</v>
      </c>
      <c r="D5757" t="str">
        <f t="shared" si="89"/>
        <v>2021</v>
      </c>
      <c r="E5757">
        <v>19</v>
      </c>
      <c r="F5757">
        <v>54076</v>
      </c>
      <c r="G5757">
        <v>0.04</v>
      </c>
      <c r="H5757" t="s">
        <v>10</v>
      </c>
      <c r="I5757" t="s">
        <v>11</v>
      </c>
    </row>
    <row r="5758" spans="1:9" hidden="1" x14ac:dyDescent="0.25">
      <c r="A5758" t="s">
        <v>17</v>
      </c>
      <c r="B5758" t="s">
        <v>129</v>
      </c>
      <c r="C5758">
        <v>202106</v>
      </c>
      <c r="D5758" t="str">
        <f t="shared" si="89"/>
        <v>2021</v>
      </c>
      <c r="E5758">
        <v>26</v>
      </c>
      <c r="F5758">
        <v>54076</v>
      </c>
      <c r="G5758">
        <v>0.05</v>
      </c>
      <c r="H5758" t="s">
        <v>10</v>
      </c>
      <c r="I5758" t="s">
        <v>11</v>
      </c>
    </row>
    <row r="5759" spans="1:9" hidden="1" x14ac:dyDescent="0.25">
      <c r="A5759" t="s">
        <v>17</v>
      </c>
      <c r="B5759" t="s">
        <v>129</v>
      </c>
      <c r="C5759">
        <v>202107</v>
      </c>
      <c r="D5759" t="str">
        <f t="shared" si="89"/>
        <v>2021</v>
      </c>
      <c r="E5759">
        <v>21</v>
      </c>
      <c r="F5759">
        <v>54076</v>
      </c>
      <c r="G5759">
        <v>0.04</v>
      </c>
      <c r="H5759" t="s">
        <v>10</v>
      </c>
      <c r="I5759" t="s">
        <v>11</v>
      </c>
    </row>
    <row r="5760" spans="1:9" hidden="1" x14ac:dyDescent="0.25">
      <c r="A5760" t="s">
        <v>17</v>
      </c>
      <c r="B5760" t="s">
        <v>129</v>
      </c>
      <c r="C5760">
        <v>202108</v>
      </c>
      <c r="D5760" t="str">
        <f t="shared" si="89"/>
        <v>2021</v>
      </c>
      <c r="E5760">
        <v>6</v>
      </c>
      <c r="F5760">
        <v>54076</v>
      </c>
      <c r="G5760">
        <v>0.01</v>
      </c>
      <c r="H5760" t="s">
        <v>10</v>
      </c>
      <c r="I5760" t="s">
        <v>11</v>
      </c>
    </row>
    <row r="5761" spans="1:9" hidden="1" x14ac:dyDescent="0.25">
      <c r="A5761" t="s">
        <v>17</v>
      </c>
      <c r="B5761" t="s">
        <v>129</v>
      </c>
      <c r="C5761">
        <v>202110</v>
      </c>
      <c r="D5761" t="str">
        <f t="shared" si="89"/>
        <v>2021</v>
      </c>
      <c r="E5761">
        <v>13</v>
      </c>
      <c r="F5761">
        <v>54076</v>
      </c>
      <c r="G5761">
        <v>0.02</v>
      </c>
      <c r="H5761" t="s">
        <v>10</v>
      </c>
      <c r="I5761" t="s">
        <v>11</v>
      </c>
    </row>
    <row r="5762" spans="1:9" hidden="1" x14ac:dyDescent="0.25">
      <c r="A5762" t="s">
        <v>17</v>
      </c>
      <c r="B5762" t="s">
        <v>129</v>
      </c>
      <c r="C5762">
        <v>202111</v>
      </c>
      <c r="D5762" t="str">
        <f t="shared" si="89"/>
        <v>2021</v>
      </c>
      <c r="E5762">
        <v>16</v>
      </c>
      <c r="F5762">
        <v>54076</v>
      </c>
      <c r="G5762">
        <v>0.03</v>
      </c>
      <c r="H5762" t="s">
        <v>10</v>
      </c>
      <c r="I5762" t="s">
        <v>11</v>
      </c>
    </row>
    <row r="5763" spans="1:9" hidden="1" x14ac:dyDescent="0.25">
      <c r="A5763" t="s">
        <v>17</v>
      </c>
      <c r="B5763" t="s">
        <v>129</v>
      </c>
      <c r="C5763">
        <v>202112</v>
      </c>
      <c r="D5763" t="str">
        <f t="shared" ref="D5763:D5826" si="90">LEFT(C5763,4)</f>
        <v>2021</v>
      </c>
      <c r="E5763">
        <v>10</v>
      </c>
      <c r="F5763">
        <v>54076</v>
      </c>
      <c r="G5763">
        <v>0.02</v>
      </c>
      <c r="H5763" t="s">
        <v>10</v>
      </c>
      <c r="I5763" t="s">
        <v>11</v>
      </c>
    </row>
    <row r="5764" spans="1:9" hidden="1" x14ac:dyDescent="0.25">
      <c r="A5764" t="s">
        <v>17</v>
      </c>
      <c r="B5764" t="s">
        <v>129</v>
      </c>
      <c r="C5764">
        <v>202201</v>
      </c>
      <c r="D5764" t="str">
        <f t="shared" si="90"/>
        <v>2022</v>
      </c>
      <c r="E5764">
        <v>116</v>
      </c>
      <c r="F5764">
        <v>54076</v>
      </c>
      <c r="G5764">
        <v>0.21</v>
      </c>
      <c r="H5764" t="s">
        <v>10</v>
      </c>
      <c r="I5764" t="s">
        <v>11</v>
      </c>
    </row>
    <row r="5765" spans="1:9" hidden="1" x14ac:dyDescent="0.25">
      <c r="A5765" t="s">
        <v>17</v>
      </c>
      <c r="B5765" t="s">
        <v>129</v>
      </c>
      <c r="C5765">
        <v>202202</v>
      </c>
      <c r="D5765" t="str">
        <f t="shared" si="90"/>
        <v>2022</v>
      </c>
      <c r="E5765">
        <v>3</v>
      </c>
      <c r="F5765">
        <v>54076</v>
      </c>
      <c r="G5765">
        <v>0.01</v>
      </c>
      <c r="H5765" t="s">
        <v>10</v>
      </c>
      <c r="I5765" t="s">
        <v>11</v>
      </c>
    </row>
    <row r="5766" spans="1:9" hidden="1" x14ac:dyDescent="0.25">
      <c r="A5766" t="s">
        <v>17</v>
      </c>
      <c r="B5766" t="s">
        <v>129</v>
      </c>
      <c r="C5766">
        <v>202203</v>
      </c>
      <c r="D5766" t="str">
        <f t="shared" si="90"/>
        <v>2022</v>
      </c>
      <c r="E5766">
        <v>17</v>
      </c>
      <c r="F5766">
        <v>54076</v>
      </c>
      <c r="G5766">
        <v>0.03</v>
      </c>
      <c r="H5766" t="s">
        <v>10</v>
      </c>
      <c r="I5766" t="s">
        <v>11</v>
      </c>
    </row>
    <row r="5767" spans="1:9" hidden="1" x14ac:dyDescent="0.25">
      <c r="A5767" t="s">
        <v>17</v>
      </c>
      <c r="B5767" t="s">
        <v>129</v>
      </c>
      <c r="C5767">
        <v>202204</v>
      </c>
      <c r="D5767" t="str">
        <f t="shared" si="90"/>
        <v>2022</v>
      </c>
      <c r="E5767">
        <v>11</v>
      </c>
      <c r="F5767">
        <v>54076</v>
      </c>
      <c r="G5767">
        <v>0.02</v>
      </c>
      <c r="H5767" t="s">
        <v>10</v>
      </c>
      <c r="I5767" t="s">
        <v>11</v>
      </c>
    </row>
    <row r="5768" spans="1:9" hidden="1" x14ac:dyDescent="0.25">
      <c r="A5768" t="s">
        <v>17</v>
      </c>
      <c r="B5768" t="s">
        <v>129</v>
      </c>
      <c r="C5768">
        <v>202205</v>
      </c>
      <c r="D5768" t="str">
        <f t="shared" si="90"/>
        <v>2022</v>
      </c>
      <c r="E5768">
        <v>3</v>
      </c>
      <c r="F5768">
        <v>54076</v>
      </c>
      <c r="G5768">
        <v>0.01</v>
      </c>
      <c r="H5768" t="s">
        <v>10</v>
      </c>
      <c r="I5768" t="s">
        <v>11</v>
      </c>
    </row>
    <row r="5769" spans="1:9" hidden="1" x14ac:dyDescent="0.25">
      <c r="A5769" t="s">
        <v>17</v>
      </c>
      <c r="B5769" t="s">
        <v>129</v>
      </c>
      <c r="C5769">
        <v>202206</v>
      </c>
      <c r="D5769" t="str">
        <f t="shared" si="90"/>
        <v>2022</v>
      </c>
      <c r="E5769">
        <v>31</v>
      </c>
      <c r="F5769">
        <v>54076</v>
      </c>
      <c r="G5769">
        <v>0.06</v>
      </c>
      <c r="H5769" t="s">
        <v>10</v>
      </c>
      <c r="I5769" t="s">
        <v>11</v>
      </c>
    </row>
    <row r="5770" spans="1:9" hidden="1" x14ac:dyDescent="0.25">
      <c r="A5770" t="s">
        <v>17</v>
      </c>
      <c r="B5770" t="s">
        <v>129</v>
      </c>
      <c r="C5770">
        <v>202207</v>
      </c>
      <c r="D5770" t="str">
        <f t="shared" si="90"/>
        <v>2022</v>
      </c>
      <c r="E5770">
        <v>42</v>
      </c>
      <c r="F5770">
        <v>54076</v>
      </c>
      <c r="G5770">
        <v>0.08</v>
      </c>
      <c r="H5770" t="s">
        <v>10</v>
      </c>
      <c r="I5770" t="s">
        <v>11</v>
      </c>
    </row>
    <row r="5771" spans="1:9" hidden="1" x14ac:dyDescent="0.25">
      <c r="A5771" t="s">
        <v>17</v>
      </c>
      <c r="B5771" t="s">
        <v>129</v>
      </c>
      <c r="C5771">
        <v>202208</v>
      </c>
      <c r="D5771" t="str">
        <f t="shared" si="90"/>
        <v>2022</v>
      </c>
      <c r="E5771">
        <v>77</v>
      </c>
      <c r="F5771">
        <v>54076</v>
      </c>
      <c r="G5771">
        <v>0.14000000000000001</v>
      </c>
      <c r="H5771" t="s">
        <v>10</v>
      </c>
      <c r="I5771" t="s">
        <v>11</v>
      </c>
    </row>
    <row r="5772" spans="1:9" hidden="1" x14ac:dyDescent="0.25">
      <c r="A5772" t="s">
        <v>17</v>
      </c>
      <c r="B5772" t="s">
        <v>129</v>
      </c>
      <c r="C5772">
        <v>202209</v>
      </c>
      <c r="D5772" t="str">
        <f t="shared" si="90"/>
        <v>2022</v>
      </c>
      <c r="E5772">
        <v>42</v>
      </c>
      <c r="F5772">
        <v>54076</v>
      </c>
      <c r="G5772">
        <v>0.08</v>
      </c>
      <c r="H5772" t="s">
        <v>10</v>
      </c>
      <c r="I5772" t="s">
        <v>11</v>
      </c>
    </row>
    <row r="5773" spans="1:9" hidden="1" x14ac:dyDescent="0.25">
      <c r="A5773" t="s">
        <v>17</v>
      </c>
      <c r="B5773" t="s">
        <v>129</v>
      </c>
      <c r="C5773">
        <v>202210</v>
      </c>
      <c r="D5773" t="str">
        <f t="shared" si="90"/>
        <v>2022</v>
      </c>
      <c r="E5773">
        <v>95</v>
      </c>
      <c r="F5773">
        <v>54076</v>
      </c>
      <c r="G5773">
        <v>0.18</v>
      </c>
      <c r="H5773" t="s">
        <v>10</v>
      </c>
      <c r="I5773" t="s">
        <v>11</v>
      </c>
    </row>
    <row r="5774" spans="1:9" hidden="1" x14ac:dyDescent="0.25">
      <c r="A5774" t="s">
        <v>17</v>
      </c>
      <c r="B5774" t="s">
        <v>129</v>
      </c>
      <c r="C5774">
        <v>202211</v>
      </c>
      <c r="D5774" t="str">
        <f t="shared" si="90"/>
        <v>2022</v>
      </c>
      <c r="E5774">
        <v>99</v>
      </c>
      <c r="F5774">
        <v>54076</v>
      </c>
      <c r="G5774">
        <v>0.18</v>
      </c>
      <c r="H5774" t="s">
        <v>10</v>
      </c>
      <c r="I5774" t="s">
        <v>11</v>
      </c>
    </row>
    <row r="5775" spans="1:9" hidden="1" x14ac:dyDescent="0.25">
      <c r="A5775" t="s">
        <v>17</v>
      </c>
      <c r="B5775" t="s">
        <v>129</v>
      </c>
      <c r="C5775">
        <v>202212</v>
      </c>
      <c r="D5775" t="str">
        <f t="shared" si="90"/>
        <v>2022</v>
      </c>
      <c r="E5775">
        <v>84</v>
      </c>
      <c r="F5775">
        <v>54076</v>
      </c>
      <c r="G5775">
        <v>0.16</v>
      </c>
      <c r="H5775" t="s">
        <v>10</v>
      </c>
      <c r="I5775" t="s">
        <v>11</v>
      </c>
    </row>
    <row r="5776" spans="1:9" hidden="1" x14ac:dyDescent="0.25">
      <c r="A5776" t="s">
        <v>17</v>
      </c>
      <c r="B5776" t="s">
        <v>129</v>
      </c>
      <c r="C5776">
        <v>202301</v>
      </c>
      <c r="D5776" t="str">
        <f t="shared" si="90"/>
        <v>2023</v>
      </c>
      <c r="E5776">
        <v>243</v>
      </c>
      <c r="F5776">
        <v>54076</v>
      </c>
      <c r="G5776">
        <v>0.45</v>
      </c>
      <c r="H5776" t="s">
        <v>10</v>
      </c>
      <c r="I5776" t="s">
        <v>11</v>
      </c>
    </row>
    <row r="5777" spans="1:9" hidden="1" x14ac:dyDescent="0.25">
      <c r="A5777" t="s">
        <v>17</v>
      </c>
      <c r="B5777" t="s">
        <v>129</v>
      </c>
      <c r="C5777">
        <v>202302</v>
      </c>
      <c r="D5777" t="str">
        <f t="shared" si="90"/>
        <v>2023</v>
      </c>
      <c r="E5777">
        <v>290</v>
      </c>
      <c r="F5777">
        <v>54076</v>
      </c>
      <c r="G5777">
        <v>0.54</v>
      </c>
      <c r="H5777" t="s">
        <v>10</v>
      </c>
      <c r="I5777" t="s">
        <v>11</v>
      </c>
    </row>
    <row r="5778" spans="1:9" hidden="1" x14ac:dyDescent="0.25">
      <c r="A5778" t="s">
        <v>17</v>
      </c>
      <c r="B5778" t="s">
        <v>129</v>
      </c>
      <c r="C5778">
        <v>202303</v>
      </c>
      <c r="D5778" t="str">
        <f t="shared" si="90"/>
        <v>2023</v>
      </c>
      <c r="E5778">
        <v>230</v>
      </c>
      <c r="F5778">
        <v>54076</v>
      </c>
      <c r="G5778">
        <v>0.43</v>
      </c>
      <c r="H5778" t="s">
        <v>10</v>
      </c>
      <c r="I5778" t="s">
        <v>11</v>
      </c>
    </row>
    <row r="5779" spans="1:9" hidden="1" x14ac:dyDescent="0.25">
      <c r="A5779" t="s">
        <v>17</v>
      </c>
      <c r="B5779" t="s">
        <v>129</v>
      </c>
      <c r="C5779">
        <v>202304</v>
      </c>
      <c r="D5779" t="str">
        <f t="shared" si="90"/>
        <v>2023</v>
      </c>
      <c r="E5779">
        <v>341</v>
      </c>
      <c r="F5779">
        <v>54076</v>
      </c>
      <c r="G5779">
        <v>0.63</v>
      </c>
      <c r="H5779" t="s">
        <v>10</v>
      </c>
      <c r="I5779" t="s">
        <v>11</v>
      </c>
    </row>
    <row r="5780" spans="1:9" hidden="1" x14ac:dyDescent="0.25">
      <c r="A5780" t="s">
        <v>17</v>
      </c>
      <c r="B5780" t="s">
        <v>129</v>
      </c>
      <c r="C5780">
        <v>202305</v>
      </c>
      <c r="D5780" t="str">
        <f t="shared" si="90"/>
        <v>2023</v>
      </c>
      <c r="E5780">
        <v>327</v>
      </c>
      <c r="F5780">
        <v>54076</v>
      </c>
      <c r="G5780">
        <v>0.6</v>
      </c>
      <c r="H5780" t="s">
        <v>10</v>
      </c>
      <c r="I5780" t="s">
        <v>11</v>
      </c>
    </row>
    <row r="5781" spans="1:9" hidden="1" x14ac:dyDescent="0.25">
      <c r="A5781" t="s">
        <v>17</v>
      </c>
      <c r="B5781" t="s">
        <v>129</v>
      </c>
      <c r="C5781">
        <v>202306</v>
      </c>
      <c r="D5781" t="str">
        <f t="shared" si="90"/>
        <v>2023</v>
      </c>
      <c r="E5781">
        <v>463</v>
      </c>
      <c r="F5781">
        <v>54076</v>
      </c>
      <c r="G5781">
        <v>0.86</v>
      </c>
      <c r="H5781" t="s">
        <v>10</v>
      </c>
      <c r="I5781" t="s">
        <v>11</v>
      </c>
    </row>
    <row r="5782" spans="1:9" hidden="1" x14ac:dyDescent="0.25">
      <c r="A5782" t="s">
        <v>17</v>
      </c>
      <c r="B5782" t="s">
        <v>129</v>
      </c>
      <c r="C5782">
        <v>202307</v>
      </c>
      <c r="D5782" t="str">
        <f t="shared" si="90"/>
        <v>2023</v>
      </c>
      <c r="E5782">
        <v>395</v>
      </c>
      <c r="F5782">
        <v>54076</v>
      </c>
      <c r="G5782">
        <v>0.73</v>
      </c>
      <c r="H5782" t="s">
        <v>10</v>
      </c>
      <c r="I5782" t="s">
        <v>11</v>
      </c>
    </row>
    <row r="5783" spans="1:9" hidden="1" x14ac:dyDescent="0.25">
      <c r="A5783" t="s">
        <v>17</v>
      </c>
      <c r="B5783" t="s">
        <v>129</v>
      </c>
      <c r="C5783">
        <v>202308</v>
      </c>
      <c r="D5783" t="str">
        <f t="shared" si="90"/>
        <v>2023</v>
      </c>
      <c r="E5783">
        <v>926</v>
      </c>
      <c r="F5783">
        <v>54076</v>
      </c>
      <c r="G5783">
        <v>1.71</v>
      </c>
      <c r="H5783" t="s">
        <v>10</v>
      </c>
      <c r="I5783" t="s">
        <v>11</v>
      </c>
    </row>
    <row r="5784" spans="1:9" hidden="1" x14ac:dyDescent="0.25">
      <c r="A5784" t="s">
        <v>17</v>
      </c>
      <c r="B5784" t="s">
        <v>129</v>
      </c>
      <c r="C5784">
        <v>202309</v>
      </c>
      <c r="D5784" t="str">
        <f t="shared" si="90"/>
        <v>2023</v>
      </c>
      <c r="E5784">
        <v>1082</v>
      </c>
      <c r="F5784">
        <v>54076</v>
      </c>
      <c r="G5784">
        <v>2</v>
      </c>
      <c r="H5784" t="s">
        <v>10</v>
      </c>
      <c r="I5784" t="s">
        <v>11</v>
      </c>
    </row>
    <row r="5785" spans="1:9" hidden="1" x14ac:dyDescent="0.25">
      <c r="A5785" t="s">
        <v>17</v>
      </c>
      <c r="B5785" t="s">
        <v>129</v>
      </c>
      <c r="C5785">
        <v>202310</v>
      </c>
      <c r="D5785" t="str">
        <f t="shared" si="90"/>
        <v>2023</v>
      </c>
      <c r="E5785">
        <v>2441</v>
      </c>
      <c r="F5785">
        <v>54076</v>
      </c>
      <c r="G5785">
        <v>4.51</v>
      </c>
      <c r="H5785" t="s">
        <v>10</v>
      </c>
      <c r="I5785" t="s">
        <v>11</v>
      </c>
    </row>
    <row r="5786" spans="1:9" hidden="1" x14ac:dyDescent="0.25">
      <c r="A5786" t="s">
        <v>17</v>
      </c>
      <c r="B5786" t="s">
        <v>129</v>
      </c>
      <c r="C5786">
        <v>202311</v>
      </c>
      <c r="D5786" t="str">
        <f t="shared" si="90"/>
        <v>2023</v>
      </c>
      <c r="E5786">
        <v>4191</v>
      </c>
      <c r="F5786">
        <v>54076</v>
      </c>
      <c r="G5786">
        <v>7.75</v>
      </c>
      <c r="H5786" t="s">
        <v>10</v>
      </c>
      <c r="I5786" t="s">
        <v>11</v>
      </c>
    </row>
    <row r="5787" spans="1:9" hidden="1" x14ac:dyDescent="0.25">
      <c r="A5787" t="s">
        <v>17</v>
      </c>
      <c r="B5787" t="s">
        <v>129</v>
      </c>
      <c r="C5787">
        <v>202312</v>
      </c>
      <c r="D5787" t="str">
        <f t="shared" si="90"/>
        <v>2023</v>
      </c>
      <c r="E5787">
        <v>21824</v>
      </c>
      <c r="F5787">
        <v>54076</v>
      </c>
      <c r="G5787">
        <v>40.36</v>
      </c>
      <c r="H5787" t="s">
        <v>10</v>
      </c>
      <c r="I5787" t="s">
        <v>11</v>
      </c>
    </row>
    <row r="5788" spans="1:9" hidden="1" x14ac:dyDescent="0.25">
      <c r="A5788" t="s">
        <v>17</v>
      </c>
      <c r="B5788" t="s">
        <v>129</v>
      </c>
      <c r="C5788">
        <v>202401</v>
      </c>
      <c r="D5788" t="str">
        <f t="shared" si="90"/>
        <v>2024</v>
      </c>
      <c r="E5788">
        <v>20563</v>
      </c>
      <c r="F5788">
        <v>54076</v>
      </c>
      <c r="G5788">
        <v>38.03</v>
      </c>
      <c r="H5788" t="s">
        <v>10</v>
      </c>
      <c r="I5788" t="s">
        <v>11</v>
      </c>
    </row>
    <row r="5789" spans="1:9" hidden="1" x14ac:dyDescent="0.25">
      <c r="A5789" t="s">
        <v>17</v>
      </c>
      <c r="B5789" t="s">
        <v>132</v>
      </c>
      <c r="C5789">
        <v>201909</v>
      </c>
      <c r="D5789" t="str">
        <f t="shared" si="90"/>
        <v>2019</v>
      </c>
      <c r="E5789">
        <v>22</v>
      </c>
      <c r="F5789">
        <v>69173</v>
      </c>
      <c r="G5789">
        <v>0.03</v>
      </c>
      <c r="H5789" t="s">
        <v>10</v>
      </c>
      <c r="I5789" t="s">
        <v>11</v>
      </c>
    </row>
    <row r="5790" spans="1:9" hidden="1" x14ac:dyDescent="0.25">
      <c r="A5790" t="s">
        <v>17</v>
      </c>
      <c r="B5790" t="s">
        <v>132</v>
      </c>
      <c r="C5790">
        <v>202001</v>
      </c>
      <c r="D5790" t="str">
        <f t="shared" si="90"/>
        <v>2020</v>
      </c>
      <c r="E5790">
        <v>15</v>
      </c>
      <c r="F5790">
        <v>69173</v>
      </c>
      <c r="G5790">
        <v>0.02</v>
      </c>
      <c r="H5790" t="s">
        <v>10</v>
      </c>
      <c r="I5790" t="s">
        <v>11</v>
      </c>
    </row>
    <row r="5791" spans="1:9" hidden="1" x14ac:dyDescent="0.25">
      <c r="A5791" t="s">
        <v>17</v>
      </c>
      <c r="B5791" t="s">
        <v>132</v>
      </c>
      <c r="C5791">
        <v>202002</v>
      </c>
      <c r="D5791" t="str">
        <f t="shared" si="90"/>
        <v>2020</v>
      </c>
      <c r="E5791">
        <v>1</v>
      </c>
      <c r="F5791">
        <v>69173</v>
      </c>
      <c r="G5791">
        <v>0</v>
      </c>
      <c r="H5791" t="s">
        <v>10</v>
      </c>
      <c r="I5791" t="s">
        <v>11</v>
      </c>
    </row>
    <row r="5792" spans="1:9" hidden="1" x14ac:dyDescent="0.25">
      <c r="A5792" t="s">
        <v>17</v>
      </c>
      <c r="B5792" t="s">
        <v>132</v>
      </c>
      <c r="C5792">
        <v>202003</v>
      </c>
      <c r="D5792" t="str">
        <f t="shared" si="90"/>
        <v>2020</v>
      </c>
      <c r="E5792">
        <v>3</v>
      </c>
      <c r="F5792">
        <v>69173</v>
      </c>
      <c r="G5792">
        <v>0</v>
      </c>
      <c r="H5792" t="s">
        <v>10</v>
      </c>
      <c r="I5792" t="s">
        <v>11</v>
      </c>
    </row>
    <row r="5793" spans="1:9" hidden="1" x14ac:dyDescent="0.25">
      <c r="A5793" t="s">
        <v>17</v>
      </c>
      <c r="B5793" t="s">
        <v>132</v>
      </c>
      <c r="C5793">
        <v>202005</v>
      </c>
      <c r="D5793" t="str">
        <f t="shared" si="90"/>
        <v>2020</v>
      </c>
      <c r="E5793">
        <v>8</v>
      </c>
      <c r="F5793">
        <v>69173</v>
      </c>
      <c r="G5793">
        <v>0.01</v>
      </c>
      <c r="H5793" t="s">
        <v>10</v>
      </c>
      <c r="I5793" t="s">
        <v>11</v>
      </c>
    </row>
    <row r="5794" spans="1:9" hidden="1" x14ac:dyDescent="0.25">
      <c r="A5794" t="s">
        <v>17</v>
      </c>
      <c r="B5794" t="s">
        <v>132</v>
      </c>
      <c r="C5794">
        <v>202006</v>
      </c>
      <c r="D5794" t="str">
        <f t="shared" si="90"/>
        <v>2020</v>
      </c>
      <c r="E5794">
        <v>3</v>
      </c>
      <c r="F5794">
        <v>69173</v>
      </c>
      <c r="G5794">
        <v>0</v>
      </c>
      <c r="H5794" t="s">
        <v>10</v>
      </c>
      <c r="I5794" t="s">
        <v>11</v>
      </c>
    </row>
    <row r="5795" spans="1:9" hidden="1" x14ac:dyDescent="0.25">
      <c r="A5795" t="s">
        <v>17</v>
      </c>
      <c r="B5795" t="s">
        <v>132</v>
      </c>
      <c r="C5795">
        <v>202012</v>
      </c>
      <c r="D5795" t="str">
        <f t="shared" si="90"/>
        <v>2020</v>
      </c>
      <c r="E5795">
        <v>2</v>
      </c>
      <c r="F5795">
        <v>69173</v>
      </c>
      <c r="G5795">
        <v>0</v>
      </c>
      <c r="H5795" t="s">
        <v>10</v>
      </c>
      <c r="I5795" t="s">
        <v>11</v>
      </c>
    </row>
    <row r="5796" spans="1:9" hidden="1" x14ac:dyDescent="0.25">
      <c r="A5796" t="s">
        <v>17</v>
      </c>
      <c r="B5796" t="s">
        <v>132</v>
      </c>
      <c r="C5796">
        <v>202105</v>
      </c>
      <c r="D5796" t="str">
        <f t="shared" si="90"/>
        <v>2021</v>
      </c>
      <c r="E5796">
        <v>26</v>
      </c>
      <c r="F5796">
        <v>69173</v>
      </c>
      <c r="G5796">
        <v>0.04</v>
      </c>
      <c r="H5796" t="s">
        <v>10</v>
      </c>
      <c r="I5796" t="s">
        <v>11</v>
      </c>
    </row>
    <row r="5797" spans="1:9" hidden="1" x14ac:dyDescent="0.25">
      <c r="A5797" t="s">
        <v>17</v>
      </c>
      <c r="B5797" t="s">
        <v>132</v>
      </c>
      <c r="C5797">
        <v>202106</v>
      </c>
      <c r="D5797" t="str">
        <f t="shared" si="90"/>
        <v>2021</v>
      </c>
      <c r="E5797">
        <v>12</v>
      </c>
      <c r="F5797">
        <v>69173</v>
      </c>
      <c r="G5797">
        <v>0.02</v>
      </c>
      <c r="H5797" t="s">
        <v>10</v>
      </c>
      <c r="I5797" t="s">
        <v>11</v>
      </c>
    </row>
    <row r="5798" spans="1:9" hidden="1" x14ac:dyDescent="0.25">
      <c r="A5798" t="s">
        <v>17</v>
      </c>
      <c r="B5798" t="s">
        <v>132</v>
      </c>
      <c r="C5798">
        <v>202108</v>
      </c>
      <c r="D5798" t="str">
        <f t="shared" si="90"/>
        <v>2021</v>
      </c>
      <c r="E5798">
        <v>5</v>
      </c>
      <c r="F5798">
        <v>69173</v>
      </c>
      <c r="G5798">
        <v>0.01</v>
      </c>
      <c r="H5798" t="s">
        <v>10</v>
      </c>
      <c r="I5798" t="s">
        <v>11</v>
      </c>
    </row>
    <row r="5799" spans="1:9" hidden="1" x14ac:dyDescent="0.25">
      <c r="A5799" t="s">
        <v>17</v>
      </c>
      <c r="B5799" t="s">
        <v>132</v>
      </c>
      <c r="C5799">
        <v>202109</v>
      </c>
      <c r="D5799" t="str">
        <f t="shared" si="90"/>
        <v>2021</v>
      </c>
      <c r="E5799">
        <v>1</v>
      </c>
      <c r="F5799">
        <v>69173</v>
      </c>
      <c r="G5799">
        <v>0</v>
      </c>
      <c r="H5799" t="s">
        <v>10</v>
      </c>
      <c r="I5799" t="s">
        <v>11</v>
      </c>
    </row>
    <row r="5800" spans="1:9" hidden="1" x14ac:dyDescent="0.25">
      <c r="A5800" t="s">
        <v>17</v>
      </c>
      <c r="B5800" t="s">
        <v>132</v>
      </c>
      <c r="C5800">
        <v>202110</v>
      </c>
      <c r="D5800" t="str">
        <f t="shared" si="90"/>
        <v>2021</v>
      </c>
      <c r="E5800">
        <v>3</v>
      </c>
      <c r="F5800">
        <v>69173</v>
      </c>
      <c r="G5800">
        <v>0</v>
      </c>
      <c r="H5800" t="s">
        <v>10</v>
      </c>
      <c r="I5800" t="s">
        <v>11</v>
      </c>
    </row>
    <row r="5801" spans="1:9" hidden="1" x14ac:dyDescent="0.25">
      <c r="A5801" t="s">
        <v>17</v>
      </c>
      <c r="B5801" t="s">
        <v>132</v>
      </c>
      <c r="C5801">
        <v>202111</v>
      </c>
      <c r="D5801" t="str">
        <f t="shared" si="90"/>
        <v>2021</v>
      </c>
      <c r="E5801">
        <v>1</v>
      </c>
      <c r="F5801">
        <v>69173</v>
      </c>
      <c r="G5801">
        <v>0</v>
      </c>
      <c r="H5801" t="s">
        <v>10</v>
      </c>
      <c r="I5801" t="s">
        <v>11</v>
      </c>
    </row>
    <row r="5802" spans="1:9" hidden="1" x14ac:dyDescent="0.25">
      <c r="A5802" t="s">
        <v>17</v>
      </c>
      <c r="B5802" t="s">
        <v>132</v>
      </c>
      <c r="C5802">
        <v>202201</v>
      </c>
      <c r="D5802" t="str">
        <f t="shared" si="90"/>
        <v>2022</v>
      </c>
      <c r="E5802">
        <v>3</v>
      </c>
      <c r="F5802">
        <v>69173</v>
      </c>
      <c r="G5802">
        <v>0</v>
      </c>
      <c r="H5802" t="s">
        <v>10</v>
      </c>
      <c r="I5802" t="s">
        <v>11</v>
      </c>
    </row>
    <row r="5803" spans="1:9" hidden="1" x14ac:dyDescent="0.25">
      <c r="A5803" t="s">
        <v>17</v>
      </c>
      <c r="B5803" t="s">
        <v>132</v>
      </c>
      <c r="C5803">
        <v>202202</v>
      </c>
      <c r="D5803" t="str">
        <f t="shared" si="90"/>
        <v>2022</v>
      </c>
      <c r="E5803">
        <v>8</v>
      </c>
      <c r="F5803">
        <v>69173</v>
      </c>
      <c r="G5803">
        <v>0.01</v>
      </c>
      <c r="H5803" t="s">
        <v>10</v>
      </c>
      <c r="I5803" t="s">
        <v>11</v>
      </c>
    </row>
    <row r="5804" spans="1:9" hidden="1" x14ac:dyDescent="0.25">
      <c r="A5804" t="s">
        <v>17</v>
      </c>
      <c r="B5804" t="s">
        <v>132</v>
      </c>
      <c r="C5804">
        <v>202203</v>
      </c>
      <c r="D5804" t="str">
        <f t="shared" si="90"/>
        <v>2022</v>
      </c>
      <c r="E5804">
        <v>33</v>
      </c>
      <c r="F5804">
        <v>69173</v>
      </c>
      <c r="G5804">
        <v>0.05</v>
      </c>
      <c r="H5804" t="s">
        <v>10</v>
      </c>
      <c r="I5804" t="s">
        <v>11</v>
      </c>
    </row>
    <row r="5805" spans="1:9" hidden="1" x14ac:dyDescent="0.25">
      <c r="A5805" t="s">
        <v>17</v>
      </c>
      <c r="B5805" t="s">
        <v>132</v>
      </c>
      <c r="C5805">
        <v>202204</v>
      </c>
      <c r="D5805" t="str">
        <f t="shared" si="90"/>
        <v>2022</v>
      </c>
      <c r="E5805">
        <v>16</v>
      </c>
      <c r="F5805">
        <v>69173</v>
      </c>
      <c r="G5805">
        <v>0.02</v>
      </c>
      <c r="H5805" t="s">
        <v>10</v>
      </c>
      <c r="I5805" t="s">
        <v>11</v>
      </c>
    </row>
    <row r="5806" spans="1:9" hidden="1" x14ac:dyDescent="0.25">
      <c r="A5806" t="s">
        <v>17</v>
      </c>
      <c r="B5806" t="s">
        <v>132</v>
      </c>
      <c r="C5806">
        <v>202205</v>
      </c>
      <c r="D5806" t="str">
        <f t="shared" si="90"/>
        <v>2022</v>
      </c>
      <c r="E5806">
        <v>32</v>
      </c>
      <c r="F5806">
        <v>69173</v>
      </c>
      <c r="G5806">
        <v>0.05</v>
      </c>
      <c r="H5806" t="s">
        <v>10</v>
      </c>
      <c r="I5806" t="s">
        <v>11</v>
      </c>
    </row>
    <row r="5807" spans="1:9" hidden="1" x14ac:dyDescent="0.25">
      <c r="A5807" t="s">
        <v>17</v>
      </c>
      <c r="B5807" t="s">
        <v>132</v>
      </c>
      <c r="C5807">
        <v>202206</v>
      </c>
      <c r="D5807" t="str">
        <f t="shared" si="90"/>
        <v>2022</v>
      </c>
      <c r="E5807">
        <v>39</v>
      </c>
      <c r="F5807">
        <v>69173</v>
      </c>
      <c r="G5807">
        <v>0.06</v>
      </c>
      <c r="H5807" t="s">
        <v>10</v>
      </c>
      <c r="I5807" t="s">
        <v>11</v>
      </c>
    </row>
    <row r="5808" spans="1:9" hidden="1" x14ac:dyDescent="0.25">
      <c r="A5808" t="s">
        <v>17</v>
      </c>
      <c r="B5808" t="s">
        <v>132</v>
      </c>
      <c r="C5808">
        <v>202207</v>
      </c>
      <c r="D5808" t="str">
        <f t="shared" si="90"/>
        <v>2022</v>
      </c>
      <c r="E5808">
        <v>27</v>
      </c>
      <c r="F5808">
        <v>69173</v>
      </c>
      <c r="G5808">
        <v>0.04</v>
      </c>
      <c r="H5808" t="s">
        <v>10</v>
      </c>
      <c r="I5808" t="s">
        <v>11</v>
      </c>
    </row>
    <row r="5809" spans="1:9" hidden="1" x14ac:dyDescent="0.25">
      <c r="A5809" t="s">
        <v>17</v>
      </c>
      <c r="B5809" t="s">
        <v>132</v>
      </c>
      <c r="C5809">
        <v>202208</v>
      </c>
      <c r="D5809" t="str">
        <f t="shared" si="90"/>
        <v>2022</v>
      </c>
      <c r="E5809">
        <v>66</v>
      </c>
      <c r="F5809">
        <v>69173</v>
      </c>
      <c r="G5809">
        <v>0.1</v>
      </c>
      <c r="H5809" t="s">
        <v>10</v>
      </c>
      <c r="I5809" t="s">
        <v>11</v>
      </c>
    </row>
    <row r="5810" spans="1:9" hidden="1" x14ac:dyDescent="0.25">
      <c r="A5810" t="s">
        <v>17</v>
      </c>
      <c r="B5810" t="s">
        <v>132</v>
      </c>
      <c r="C5810">
        <v>202209</v>
      </c>
      <c r="D5810" t="str">
        <f t="shared" si="90"/>
        <v>2022</v>
      </c>
      <c r="E5810">
        <v>47</v>
      </c>
      <c r="F5810">
        <v>69173</v>
      </c>
      <c r="G5810">
        <v>7.0000000000000007E-2</v>
      </c>
      <c r="H5810" t="s">
        <v>10</v>
      </c>
      <c r="I5810" t="s">
        <v>11</v>
      </c>
    </row>
    <row r="5811" spans="1:9" hidden="1" x14ac:dyDescent="0.25">
      <c r="A5811" t="s">
        <v>17</v>
      </c>
      <c r="B5811" t="s">
        <v>132</v>
      </c>
      <c r="C5811">
        <v>202210</v>
      </c>
      <c r="D5811" t="str">
        <f t="shared" si="90"/>
        <v>2022</v>
      </c>
      <c r="E5811">
        <v>48</v>
      </c>
      <c r="F5811">
        <v>69173</v>
      </c>
      <c r="G5811">
        <v>7.0000000000000007E-2</v>
      </c>
      <c r="H5811" t="s">
        <v>10</v>
      </c>
      <c r="I5811" t="s">
        <v>11</v>
      </c>
    </row>
    <row r="5812" spans="1:9" hidden="1" x14ac:dyDescent="0.25">
      <c r="A5812" t="s">
        <v>17</v>
      </c>
      <c r="B5812" t="s">
        <v>132</v>
      </c>
      <c r="C5812">
        <v>202211</v>
      </c>
      <c r="D5812" t="str">
        <f t="shared" si="90"/>
        <v>2022</v>
      </c>
      <c r="E5812">
        <v>48</v>
      </c>
      <c r="F5812">
        <v>69173</v>
      </c>
      <c r="G5812">
        <v>7.0000000000000007E-2</v>
      </c>
      <c r="H5812" t="s">
        <v>10</v>
      </c>
      <c r="I5812" t="s">
        <v>11</v>
      </c>
    </row>
    <row r="5813" spans="1:9" hidden="1" x14ac:dyDescent="0.25">
      <c r="A5813" t="s">
        <v>17</v>
      </c>
      <c r="B5813" t="s">
        <v>132</v>
      </c>
      <c r="C5813">
        <v>202212</v>
      </c>
      <c r="D5813" t="str">
        <f t="shared" si="90"/>
        <v>2022</v>
      </c>
      <c r="E5813">
        <v>32</v>
      </c>
      <c r="F5813">
        <v>69173</v>
      </c>
      <c r="G5813">
        <v>0.05</v>
      </c>
      <c r="H5813" t="s">
        <v>10</v>
      </c>
      <c r="I5813" t="s">
        <v>11</v>
      </c>
    </row>
    <row r="5814" spans="1:9" hidden="1" x14ac:dyDescent="0.25">
      <c r="A5814" t="s">
        <v>17</v>
      </c>
      <c r="B5814" t="s">
        <v>132</v>
      </c>
      <c r="C5814">
        <v>202301</v>
      </c>
      <c r="D5814" t="str">
        <f t="shared" si="90"/>
        <v>2023</v>
      </c>
      <c r="E5814">
        <v>711</v>
      </c>
      <c r="F5814">
        <v>69173</v>
      </c>
      <c r="G5814">
        <v>1.03</v>
      </c>
      <c r="H5814" t="s">
        <v>10</v>
      </c>
      <c r="I5814" t="s">
        <v>11</v>
      </c>
    </row>
    <row r="5815" spans="1:9" hidden="1" x14ac:dyDescent="0.25">
      <c r="A5815" t="s">
        <v>17</v>
      </c>
      <c r="B5815" t="s">
        <v>132</v>
      </c>
      <c r="C5815">
        <v>202302</v>
      </c>
      <c r="D5815" t="str">
        <f t="shared" si="90"/>
        <v>2023</v>
      </c>
      <c r="E5815">
        <v>600</v>
      </c>
      <c r="F5815">
        <v>69173</v>
      </c>
      <c r="G5815">
        <v>0.87</v>
      </c>
      <c r="H5815" t="s">
        <v>10</v>
      </c>
      <c r="I5815" t="s">
        <v>11</v>
      </c>
    </row>
    <row r="5816" spans="1:9" hidden="1" x14ac:dyDescent="0.25">
      <c r="A5816" t="s">
        <v>17</v>
      </c>
      <c r="B5816" t="s">
        <v>132</v>
      </c>
      <c r="C5816">
        <v>202303</v>
      </c>
      <c r="D5816" t="str">
        <f t="shared" si="90"/>
        <v>2023</v>
      </c>
      <c r="E5816">
        <v>694</v>
      </c>
      <c r="F5816">
        <v>69173</v>
      </c>
      <c r="G5816">
        <v>1</v>
      </c>
      <c r="H5816" t="s">
        <v>10</v>
      </c>
      <c r="I5816" t="s">
        <v>11</v>
      </c>
    </row>
    <row r="5817" spans="1:9" hidden="1" x14ac:dyDescent="0.25">
      <c r="A5817" t="s">
        <v>17</v>
      </c>
      <c r="B5817" t="s">
        <v>132</v>
      </c>
      <c r="C5817">
        <v>202304</v>
      </c>
      <c r="D5817" t="str">
        <f t="shared" si="90"/>
        <v>2023</v>
      </c>
      <c r="E5817">
        <v>494</v>
      </c>
      <c r="F5817">
        <v>69173</v>
      </c>
      <c r="G5817">
        <v>0.71</v>
      </c>
      <c r="H5817" t="s">
        <v>10</v>
      </c>
      <c r="I5817" t="s">
        <v>11</v>
      </c>
    </row>
    <row r="5818" spans="1:9" hidden="1" x14ac:dyDescent="0.25">
      <c r="A5818" t="s">
        <v>17</v>
      </c>
      <c r="B5818" t="s">
        <v>132</v>
      </c>
      <c r="C5818">
        <v>202305</v>
      </c>
      <c r="D5818" t="str">
        <f t="shared" si="90"/>
        <v>2023</v>
      </c>
      <c r="E5818">
        <v>600</v>
      </c>
      <c r="F5818">
        <v>69173</v>
      </c>
      <c r="G5818">
        <v>0.87</v>
      </c>
      <c r="H5818" t="s">
        <v>10</v>
      </c>
      <c r="I5818" t="s">
        <v>11</v>
      </c>
    </row>
    <row r="5819" spans="1:9" hidden="1" x14ac:dyDescent="0.25">
      <c r="A5819" t="s">
        <v>17</v>
      </c>
      <c r="B5819" t="s">
        <v>132</v>
      </c>
      <c r="C5819">
        <v>202306</v>
      </c>
      <c r="D5819" t="str">
        <f t="shared" si="90"/>
        <v>2023</v>
      </c>
      <c r="E5819">
        <v>956</v>
      </c>
      <c r="F5819">
        <v>69173</v>
      </c>
      <c r="G5819">
        <v>1.38</v>
      </c>
      <c r="H5819" t="s">
        <v>10</v>
      </c>
      <c r="I5819" t="s">
        <v>11</v>
      </c>
    </row>
    <row r="5820" spans="1:9" hidden="1" x14ac:dyDescent="0.25">
      <c r="A5820" t="s">
        <v>17</v>
      </c>
      <c r="B5820" t="s">
        <v>132</v>
      </c>
      <c r="C5820">
        <v>202307</v>
      </c>
      <c r="D5820" t="str">
        <f t="shared" si="90"/>
        <v>2023</v>
      </c>
      <c r="E5820">
        <v>772</v>
      </c>
      <c r="F5820">
        <v>69173</v>
      </c>
      <c r="G5820">
        <v>1.1200000000000001</v>
      </c>
      <c r="H5820" t="s">
        <v>10</v>
      </c>
      <c r="I5820" t="s">
        <v>11</v>
      </c>
    </row>
    <row r="5821" spans="1:9" hidden="1" x14ac:dyDescent="0.25">
      <c r="A5821" t="s">
        <v>17</v>
      </c>
      <c r="B5821" t="s">
        <v>132</v>
      </c>
      <c r="C5821">
        <v>202308</v>
      </c>
      <c r="D5821" t="str">
        <f t="shared" si="90"/>
        <v>2023</v>
      </c>
      <c r="E5821">
        <v>904</v>
      </c>
      <c r="F5821">
        <v>69173</v>
      </c>
      <c r="G5821">
        <v>1.31</v>
      </c>
      <c r="H5821" t="s">
        <v>10</v>
      </c>
      <c r="I5821" t="s">
        <v>11</v>
      </c>
    </row>
    <row r="5822" spans="1:9" hidden="1" x14ac:dyDescent="0.25">
      <c r="A5822" t="s">
        <v>17</v>
      </c>
      <c r="B5822" t="s">
        <v>132</v>
      </c>
      <c r="C5822">
        <v>202309</v>
      </c>
      <c r="D5822" t="str">
        <f t="shared" si="90"/>
        <v>2023</v>
      </c>
      <c r="E5822">
        <v>890</v>
      </c>
      <c r="F5822">
        <v>69173</v>
      </c>
      <c r="G5822">
        <v>1.29</v>
      </c>
      <c r="H5822" t="s">
        <v>10</v>
      </c>
      <c r="I5822" t="s">
        <v>11</v>
      </c>
    </row>
    <row r="5823" spans="1:9" hidden="1" x14ac:dyDescent="0.25">
      <c r="A5823" t="s">
        <v>17</v>
      </c>
      <c r="B5823" t="s">
        <v>132</v>
      </c>
      <c r="C5823">
        <v>202310</v>
      </c>
      <c r="D5823" t="str">
        <f t="shared" si="90"/>
        <v>2023</v>
      </c>
      <c r="E5823">
        <v>1159</v>
      </c>
      <c r="F5823">
        <v>69173</v>
      </c>
      <c r="G5823">
        <v>1.68</v>
      </c>
      <c r="H5823" t="s">
        <v>10</v>
      </c>
      <c r="I5823" t="s">
        <v>11</v>
      </c>
    </row>
    <row r="5824" spans="1:9" hidden="1" x14ac:dyDescent="0.25">
      <c r="A5824" t="s">
        <v>17</v>
      </c>
      <c r="B5824" t="s">
        <v>132</v>
      </c>
      <c r="C5824">
        <v>202311</v>
      </c>
      <c r="D5824" t="str">
        <f t="shared" si="90"/>
        <v>2023</v>
      </c>
      <c r="E5824">
        <v>1962</v>
      </c>
      <c r="F5824">
        <v>69173</v>
      </c>
      <c r="G5824">
        <v>2.84</v>
      </c>
      <c r="H5824" t="s">
        <v>10</v>
      </c>
      <c r="I5824" t="s">
        <v>11</v>
      </c>
    </row>
    <row r="5825" spans="1:9" hidden="1" x14ac:dyDescent="0.25">
      <c r="A5825" t="s">
        <v>17</v>
      </c>
      <c r="B5825" t="s">
        <v>132</v>
      </c>
      <c r="C5825">
        <v>202312</v>
      </c>
      <c r="D5825" t="str">
        <f t="shared" si="90"/>
        <v>2023</v>
      </c>
      <c r="E5825">
        <v>4172</v>
      </c>
      <c r="F5825">
        <v>69173</v>
      </c>
      <c r="G5825">
        <v>6.03</v>
      </c>
      <c r="H5825" t="s">
        <v>10</v>
      </c>
      <c r="I5825" t="s">
        <v>11</v>
      </c>
    </row>
    <row r="5826" spans="1:9" hidden="1" x14ac:dyDescent="0.25">
      <c r="A5826" t="s">
        <v>17</v>
      </c>
      <c r="B5826" t="s">
        <v>132</v>
      </c>
      <c r="C5826">
        <v>202401</v>
      </c>
      <c r="D5826" t="str">
        <f t="shared" si="90"/>
        <v>2024</v>
      </c>
      <c r="E5826">
        <v>30527</v>
      </c>
      <c r="F5826">
        <v>69173</v>
      </c>
      <c r="G5826">
        <v>44.13</v>
      </c>
      <c r="H5826" t="s">
        <v>10</v>
      </c>
      <c r="I5826" t="s">
        <v>11</v>
      </c>
    </row>
    <row r="5827" spans="1:9" hidden="1" x14ac:dyDescent="0.25">
      <c r="A5827" t="s">
        <v>17</v>
      </c>
      <c r="B5827" t="s">
        <v>132</v>
      </c>
      <c r="C5827">
        <v>202402</v>
      </c>
      <c r="D5827" t="str">
        <f t="shared" ref="D5827:D5890" si="91">LEFT(C5827,4)</f>
        <v>2024</v>
      </c>
      <c r="E5827">
        <v>24231</v>
      </c>
      <c r="F5827">
        <v>69173</v>
      </c>
      <c r="G5827">
        <v>35.03</v>
      </c>
      <c r="H5827" t="s">
        <v>10</v>
      </c>
      <c r="I5827" t="s">
        <v>11</v>
      </c>
    </row>
    <row r="5828" spans="1:9" hidden="1" x14ac:dyDescent="0.25">
      <c r="A5828" t="s">
        <v>17</v>
      </c>
      <c r="B5828" t="s">
        <v>145</v>
      </c>
      <c r="C5828">
        <v>202009</v>
      </c>
      <c r="D5828" t="str">
        <f t="shared" si="91"/>
        <v>2020</v>
      </c>
      <c r="E5828">
        <v>3</v>
      </c>
      <c r="F5828">
        <v>58995</v>
      </c>
      <c r="G5828">
        <v>0.01</v>
      </c>
      <c r="H5828" t="s">
        <v>10</v>
      </c>
      <c r="I5828" t="s">
        <v>11</v>
      </c>
    </row>
    <row r="5829" spans="1:9" hidden="1" x14ac:dyDescent="0.25">
      <c r="A5829" t="s">
        <v>17</v>
      </c>
      <c r="B5829" t="s">
        <v>145</v>
      </c>
      <c r="C5829">
        <v>202102</v>
      </c>
      <c r="D5829" t="str">
        <f t="shared" si="91"/>
        <v>2021</v>
      </c>
      <c r="E5829">
        <v>2</v>
      </c>
      <c r="F5829">
        <v>58995</v>
      </c>
      <c r="G5829">
        <v>0</v>
      </c>
      <c r="H5829" t="s">
        <v>10</v>
      </c>
      <c r="I5829" t="s">
        <v>11</v>
      </c>
    </row>
    <row r="5830" spans="1:9" hidden="1" x14ac:dyDescent="0.25">
      <c r="A5830" t="s">
        <v>17</v>
      </c>
      <c r="B5830" t="s">
        <v>145</v>
      </c>
      <c r="C5830">
        <v>202103</v>
      </c>
      <c r="D5830" t="str">
        <f t="shared" si="91"/>
        <v>2021</v>
      </c>
      <c r="E5830">
        <v>15</v>
      </c>
      <c r="F5830">
        <v>58995</v>
      </c>
      <c r="G5830">
        <v>0.03</v>
      </c>
      <c r="H5830" t="s">
        <v>10</v>
      </c>
      <c r="I5830" t="s">
        <v>11</v>
      </c>
    </row>
    <row r="5831" spans="1:9" hidden="1" x14ac:dyDescent="0.25">
      <c r="A5831" t="s">
        <v>17</v>
      </c>
      <c r="B5831" t="s">
        <v>145</v>
      </c>
      <c r="C5831">
        <v>202104</v>
      </c>
      <c r="D5831" t="str">
        <f t="shared" si="91"/>
        <v>2021</v>
      </c>
      <c r="E5831">
        <v>11</v>
      </c>
      <c r="F5831">
        <v>58995</v>
      </c>
      <c r="G5831">
        <v>0.02</v>
      </c>
      <c r="H5831" t="s">
        <v>10</v>
      </c>
      <c r="I5831" t="s">
        <v>11</v>
      </c>
    </row>
    <row r="5832" spans="1:9" hidden="1" x14ac:dyDescent="0.25">
      <c r="A5832" t="s">
        <v>17</v>
      </c>
      <c r="B5832" t="s">
        <v>145</v>
      </c>
      <c r="C5832">
        <v>202105</v>
      </c>
      <c r="D5832" t="str">
        <f t="shared" si="91"/>
        <v>2021</v>
      </c>
      <c r="E5832">
        <v>3</v>
      </c>
      <c r="F5832">
        <v>58995</v>
      </c>
      <c r="G5832">
        <v>0.01</v>
      </c>
      <c r="H5832" t="s">
        <v>10</v>
      </c>
      <c r="I5832" t="s">
        <v>11</v>
      </c>
    </row>
    <row r="5833" spans="1:9" hidden="1" x14ac:dyDescent="0.25">
      <c r="A5833" t="s">
        <v>17</v>
      </c>
      <c r="B5833" t="s">
        <v>145</v>
      </c>
      <c r="C5833">
        <v>202106</v>
      </c>
      <c r="D5833" t="str">
        <f t="shared" si="91"/>
        <v>2021</v>
      </c>
      <c r="E5833">
        <v>25</v>
      </c>
      <c r="F5833">
        <v>58995</v>
      </c>
      <c r="G5833">
        <v>0.04</v>
      </c>
      <c r="H5833" t="s">
        <v>10</v>
      </c>
      <c r="I5833" t="s">
        <v>11</v>
      </c>
    </row>
    <row r="5834" spans="1:9" hidden="1" x14ac:dyDescent="0.25">
      <c r="A5834" t="s">
        <v>17</v>
      </c>
      <c r="B5834" t="s">
        <v>145</v>
      </c>
      <c r="C5834">
        <v>202107</v>
      </c>
      <c r="D5834" t="str">
        <f t="shared" si="91"/>
        <v>2021</v>
      </c>
      <c r="E5834">
        <v>1</v>
      </c>
      <c r="F5834">
        <v>58995</v>
      </c>
      <c r="G5834">
        <v>0</v>
      </c>
      <c r="H5834" t="s">
        <v>10</v>
      </c>
      <c r="I5834" t="s">
        <v>11</v>
      </c>
    </row>
    <row r="5835" spans="1:9" hidden="1" x14ac:dyDescent="0.25">
      <c r="A5835" t="s">
        <v>17</v>
      </c>
      <c r="B5835" t="s">
        <v>145</v>
      </c>
      <c r="C5835">
        <v>202108</v>
      </c>
      <c r="D5835" t="str">
        <f t="shared" si="91"/>
        <v>2021</v>
      </c>
      <c r="E5835">
        <v>2</v>
      </c>
      <c r="F5835">
        <v>58995</v>
      </c>
      <c r="G5835">
        <v>0</v>
      </c>
      <c r="H5835" t="s">
        <v>10</v>
      </c>
      <c r="I5835" t="s">
        <v>11</v>
      </c>
    </row>
    <row r="5836" spans="1:9" hidden="1" x14ac:dyDescent="0.25">
      <c r="A5836" t="s">
        <v>17</v>
      </c>
      <c r="B5836" t="s">
        <v>145</v>
      </c>
      <c r="C5836">
        <v>202109</v>
      </c>
      <c r="D5836" t="str">
        <f t="shared" si="91"/>
        <v>2021</v>
      </c>
      <c r="E5836">
        <v>7</v>
      </c>
      <c r="F5836">
        <v>58995</v>
      </c>
      <c r="G5836">
        <v>0.01</v>
      </c>
      <c r="H5836" t="s">
        <v>10</v>
      </c>
      <c r="I5836" t="s">
        <v>11</v>
      </c>
    </row>
    <row r="5837" spans="1:9" hidden="1" x14ac:dyDescent="0.25">
      <c r="A5837" t="s">
        <v>17</v>
      </c>
      <c r="B5837" t="s">
        <v>145</v>
      </c>
      <c r="C5837">
        <v>202110</v>
      </c>
      <c r="D5837" t="str">
        <f t="shared" si="91"/>
        <v>2021</v>
      </c>
      <c r="E5837">
        <v>3</v>
      </c>
      <c r="F5837">
        <v>58995</v>
      </c>
      <c r="G5837">
        <v>0.01</v>
      </c>
      <c r="H5837" t="s">
        <v>10</v>
      </c>
      <c r="I5837" t="s">
        <v>11</v>
      </c>
    </row>
    <row r="5838" spans="1:9" hidden="1" x14ac:dyDescent="0.25">
      <c r="A5838" t="s">
        <v>17</v>
      </c>
      <c r="B5838" t="s">
        <v>145</v>
      </c>
      <c r="C5838">
        <v>202111</v>
      </c>
      <c r="D5838" t="str">
        <f t="shared" si="91"/>
        <v>2021</v>
      </c>
      <c r="E5838">
        <v>4</v>
      </c>
      <c r="F5838">
        <v>58995</v>
      </c>
      <c r="G5838">
        <v>0.01</v>
      </c>
      <c r="H5838" t="s">
        <v>10</v>
      </c>
      <c r="I5838" t="s">
        <v>11</v>
      </c>
    </row>
    <row r="5839" spans="1:9" hidden="1" x14ac:dyDescent="0.25">
      <c r="A5839" t="s">
        <v>17</v>
      </c>
      <c r="B5839" t="s">
        <v>145</v>
      </c>
      <c r="C5839">
        <v>202112</v>
      </c>
      <c r="D5839" t="str">
        <f t="shared" si="91"/>
        <v>2021</v>
      </c>
      <c r="E5839">
        <v>2</v>
      </c>
      <c r="F5839">
        <v>58995</v>
      </c>
      <c r="G5839">
        <v>0</v>
      </c>
      <c r="H5839" t="s">
        <v>10</v>
      </c>
      <c r="I5839" t="s">
        <v>11</v>
      </c>
    </row>
    <row r="5840" spans="1:9" hidden="1" x14ac:dyDescent="0.25">
      <c r="A5840" t="s">
        <v>17</v>
      </c>
      <c r="B5840" t="s">
        <v>145</v>
      </c>
      <c r="C5840">
        <v>202202</v>
      </c>
      <c r="D5840" t="str">
        <f t="shared" si="91"/>
        <v>2022</v>
      </c>
      <c r="E5840">
        <v>7</v>
      </c>
      <c r="F5840">
        <v>58995</v>
      </c>
      <c r="G5840">
        <v>0.01</v>
      </c>
      <c r="H5840" t="s">
        <v>10</v>
      </c>
      <c r="I5840" t="s">
        <v>11</v>
      </c>
    </row>
    <row r="5841" spans="1:9" hidden="1" x14ac:dyDescent="0.25">
      <c r="A5841" t="s">
        <v>17</v>
      </c>
      <c r="B5841" t="s">
        <v>145</v>
      </c>
      <c r="C5841">
        <v>202204</v>
      </c>
      <c r="D5841" t="str">
        <f t="shared" si="91"/>
        <v>2022</v>
      </c>
      <c r="E5841">
        <v>8</v>
      </c>
      <c r="F5841">
        <v>58995</v>
      </c>
      <c r="G5841">
        <v>0.01</v>
      </c>
      <c r="H5841" t="s">
        <v>10</v>
      </c>
      <c r="I5841" t="s">
        <v>11</v>
      </c>
    </row>
    <row r="5842" spans="1:9" hidden="1" x14ac:dyDescent="0.25">
      <c r="A5842" t="s">
        <v>17</v>
      </c>
      <c r="B5842" t="s">
        <v>145</v>
      </c>
      <c r="C5842">
        <v>202206</v>
      </c>
      <c r="D5842" t="str">
        <f t="shared" si="91"/>
        <v>2022</v>
      </c>
      <c r="E5842">
        <v>16</v>
      </c>
      <c r="F5842">
        <v>58995</v>
      </c>
      <c r="G5842">
        <v>0.03</v>
      </c>
      <c r="H5842" t="s">
        <v>10</v>
      </c>
      <c r="I5842" t="s">
        <v>11</v>
      </c>
    </row>
    <row r="5843" spans="1:9" hidden="1" x14ac:dyDescent="0.25">
      <c r="A5843" t="s">
        <v>17</v>
      </c>
      <c r="B5843" t="s">
        <v>145</v>
      </c>
      <c r="C5843">
        <v>202207</v>
      </c>
      <c r="D5843" t="str">
        <f t="shared" si="91"/>
        <v>2022</v>
      </c>
      <c r="E5843">
        <v>15</v>
      </c>
      <c r="F5843">
        <v>58995</v>
      </c>
      <c r="G5843">
        <v>0.03</v>
      </c>
      <c r="H5843" t="s">
        <v>10</v>
      </c>
      <c r="I5843" t="s">
        <v>11</v>
      </c>
    </row>
    <row r="5844" spans="1:9" hidden="1" x14ac:dyDescent="0.25">
      <c r="A5844" t="s">
        <v>17</v>
      </c>
      <c r="B5844" t="s">
        <v>145</v>
      </c>
      <c r="C5844">
        <v>202208</v>
      </c>
      <c r="D5844" t="str">
        <f t="shared" si="91"/>
        <v>2022</v>
      </c>
      <c r="E5844">
        <v>42</v>
      </c>
      <c r="F5844">
        <v>58995</v>
      </c>
      <c r="G5844">
        <v>7.0000000000000007E-2</v>
      </c>
      <c r="H5844" t="s">
        <v>10</v>
      </c>
      <c r="I5844" t="s">
        <v>11</v>
      </c>
    </row>
    <row r="5845" spans="1:9" hidden="1" x14ac:dyDescent="0.25">
      <c r="A5845" t="s">
        <v>17</v>
      </c>
      <c r="B5845" t="s">
        <v>145</v>
      </c>
      <c r="C5845">
        <v>202209</v>
      </c>
      <c r="D5845" t="str">
        <f t="shared" si="91"/>
        <v>2022</v>
      </c>
      <c r="E5845">
        <v>28</v>
      </c>
      <c r="F5845">
        <v>58995</v>
      </c>
      <c r="G5845">
        <v>0.05</v>
      </c>
      <c r="H5845" t="s">
        <v>10</v>
      </c>
      <c r="I5845" t="s">
        <v>11</v>
      </c>
    </row>
    <row r="5846" spans="1:9" hidden="1" x14ac:dyDescent="0.25">
      <c r="A5846" t="s">
        <v>17</v>
      </c>
      <c r="B5846" t="s">
        <v>145</v>
      </c>
      <c r="C5846">
        <v>202210</v>
      </c>
      <c r="D5846" t="str">
        <f t="shared" si="91"/>
        <v>2022</v>
      </c>
      <c r="E5846">
        <v>46</v>
      </c>
      <c r="F5846">
        <v>58995</v>
      </c>
      <c r="G5846">
        <v>0.08</v>
      </c>
      <c r="H5846" t="s">
        <v>10</v>
      </c>
      <c r="I5846" t="s">
        <v>11</v>
      </c>
    </row>
    <row r="5847" spans="1:9" hidden="1" x14ac:dyDescent="0.25">
      <c r="A5847" t="s">
        <v>17</v>
      </c>
      <c r="B5847" t="s">
        <v>145</v>
      </c>
      <c r="C5847">
        <v>202211</v>
      </c>
      <c r="D5847" t="str">
        <f t="shared" si="91"/>
        <v>2022</v>
      </c>
      <c r="E5847">
        <v>32</v>
      </c>
      <c r="F5847">
        <v>58995</v>
      </c>
      <c r="G5847">
        <v>0.05</v>
      </c>
      <c r="H5847" t="s">
        <v>10</v>
      </c>
      <c r="I5847" t="s">
        <v>11</v>
      </c>
    </row>
    <row r="5848" spans="1:9" hidden="1" x14ac:dyDescent="0.25">
      <c r="A5848" t="s">
        <v>17</v>
      </c>
      <c r="B5848" t="s">
        <v>145</v>
      </c>
      <c r="C5848">
        <v>202212</v>
      </c>
      <c r="D5848" t="str">
        <f t="shared" si="91"/>
        <v>2022</v>
      </c>
      <c r="E5848">
        <v>26</v>
      </c>
      <c r="F5848">
        <v>58995</v>
      </c>
      <c r="G5848">
        <v>0.04</v>
      </c>
      <c r="H5848" t="s">
        <v>10</v>
      </c>
      <c r="I5848" t="s">
        <v>11</v>
      </c>
    </row>
    <row r="5849" spans="1:9" hidden="1" x14ac:dyDescent="0.25">
      <c r="A5849" t="s">
        <v>17</v>
      </c>
      <c r="B5849" t="s">
        <v>145</v>
      </c>
      <c r="C5849">
        <v>202301</v>
      </c>
      <c r="D5849" t="str">
        <f t="shared" si="91"/>
        <v>2023</v>
      </c>
      <c r="E5849">
        <v>143</v>
      </c>
      <c r="F5849">
        <v>58995</v>
      </c>
      <c r="G5849">
        <v>0.24</v>
      </c>
      <c r="H5849" t="s">
        <v>10</v>
      </c>
      <c r="I5849" t="s">
        <v>11</v>
      </c>
    </row>
    <row r="5850" spans="1:9" hidden="1" x14ac:dyDescent="0.25">
      <c r="A5850" t="s">
        <v>17</v>
      </c>
      <c r="B5850" t="s">
        <v>145</v>
      </c>
      <c r="C5850">
        <v>202302</v>
      </c>
      <c r="D5850" t="str">
        <f t="shared" si="91"/>
        <v>2023</v>
      </c>
      <c r="E5850">
        <v>118</v>
      </c>
      <c r="F5850">
        <v>58995</v>
      </c>
      <c r="G5850">
        <v>0.2</v>
      </c>
      <c r="H5850" t="s">
        <v>10</v>
      </c>
      <c r="I5850" t="s">
        <v>11</v>
      </c>
    </row>
    <row r="5851" spans="1:9" hidden="1" x14ac:dyDescent="0.25">
      <c r="A5851" t="s">
        <v>17</v>
      </c>
      <c r="B5851" t="s">
        <v>145</v>
      </c>
      <c r="C5851">
        <v>202303</v>
      </c>
      <c r="D5851" t="str">
        <f t="shared" si="91"/>
        <v>2023</v>
      </c>
      <c r="E5851">
        <v>187</v>
      </c>
      <c r="F5851">
        <v>58995</v>
      </c>
      <c r="G5851">
        <v>0.32</v>
      </c>
      <c r="H5851" t="s">
        <v>10</v>
      </c>
      <c r="I5851" t="s">
        <v>11</v>
      </c>
    </row>
    <row r="5852" spans="1:9" hidden="1" x14ac:dyDescent="0.25">
      <c r="A5852" t="s">
        <v>17</v>
      </c>
      <c r="B5852" t="s">
        <v>145</v>
      </c>
      <c r="C5852">
        <v>202304</v>
      </c>
      <c r="D5852" t="str">
        <f t="shared" si="91"/>
        <v>2023</v>
      </c>
      <c r="E5852">
        <v>219</v>
      </c>
      <c r="F5852">
        <v>58995</v>
      </c>
      <c r="G5852">
        <v>0.37</v>
      </c>
      <c r="H5852" t="s">
        <v>10</v>
      </c>
      <c r="I5852" t="s">
        <v>11</v>
      </c>
    </row>
    <row r="5853" spans="1:9" hidden="1" x14ac:dyDescent="0.25">
      <c r="A5853" t="s">
        <v>17</v>
      </c>
      <c r="B5853" t="s">
        <v>145</v>
      </c>
      <c r="C5853">
        <v>202305</v>
      </c>
      <c r="D5853" t="str">
        <f t="shared" si="91"/>
        <v>2023</v>
      </c>
      <c r="E5853">
        <v>213</v>
      </c>
      <c r="F5853">
        <v>58995</v>
      </c>
      <c r="G5853">
        <v>0.36</v>
      </c>
      <c r="H5853" t="s">
        <v>10</v>
      </c>
      <c r="I5853" t="s">
        <v>11</v>
      </c>
    </row>
    <row r="5854" spans="1:9" hidden="1" x14ac:dyDescent="0.25">
      <c r="A5854" t="s">
        <v>17</v>
      </c>
      <c r="B5854" t="s">
        <v>145</v>
      </c>
      <c r="C5854">
        <v>202306</v>
      </c>
      <c r="D5854" t="str">
        <f t="shared" si="91"/>
        <v>2023</v>
      </c>
      <c r="E5854">
        <v>450</v>
      </c>
      <c r="F5854">
        <v>58995</v>
      </c>
      <c r="G5854">
        <v>0.76</v>
      </c>
      <c r="H5854" t="s">
        <v>10</v>
      </c>
      <c r="I5854" t="s">
        <v>11</v>
      </c>
    </row>
    <row r="5855" spans="1:9" hidden="1" x14ac:dyDescent="0.25">
      <c r="A5855" t="s">
        <v>17</v>
      </c>
      <c r="B5855" t="s">
        <v>145</v>
      </c>
      <c r="C5855">
        <v>202307</v>
      </c>
      <c r="D5855" t="str">
        <f t="shared" si="91"/>
        <v>2023</v>
      </c>
      <c r="E5855">
        <v>528</v>
      </c>
      <c r="F5855">
        <v>58995</v>
      </c>
      <c r="G5855">
        <v>0.89</v>
      </c>
      <c r="H5855" t="s">
        <v>10</v>
      </c>
      <c r="I5855" t="s">
        <v>11</v>
      </c>
    </row>
    <row r="5856" spans="1:9" hidden="1" x14ac:dyDescent="0.25">
      <c r="A5856" t="s">
        <v>17</v>
      </c>
      <c r="B5856" t="s">
        <v>145</v>
      </c>
      <c r="C5856">
        <v>202308</v>
      </c>
      <c r="D5856" t="str">
        <f t="shared" si="91"/>
        <v>2023</v>
      </c>
      <c r="E5856">
        <v>476</v>
      </c>
      <c r="F5856">
        <v>58995</v>
      </c>
      <c r="G5856">
        <v>0.81</v>
      </c>
      <c r="H5856" t="s">
        <v>10</v>
      </c>
      <c r="I5856" t="s">
        <v>11</v>
      </c>
    </row>
    <row r="5857" spans="1:9" hidden="1" x14ac:dyDescent="0.25">
      <c r="A5857" t="s">
        <v>17</v>
      </c>
      <c r="B5857" t="s">
        <v>145</v>
      </c>
      <c r="C5857">
        <v>202309</v>
      </c>
      <c r="D5857" t="str">
        <f t="shared" si="91"/>
        <v>2023</v>
      </c>
      <c r="E5857">
        <v>875</v>
      </c>
      <c r="F5857">
        <v>58995</v>
      </c>
      <c r="G5857">
        <v>1.48</v>
      </c>
      <c r="H5857" t="s">
        <v>10</v>
      </c>
      <c r="I5857" t="s">
        <v>11</v>
      </c>
    </row>
    <row r="5858" spans="1:9" hidden="1" x14ac:dyDescent="0.25">
      <c r="A5858" t="s">
        <v>17</v>
      </c>
      <c r="B5858" t="s">
        <v>145</v>
      </c>
      <c r="C5858">
        <v>202310</v>
      </c>
      <c r="D5858" t="str">
        <f t="shared" si="91"/>
        <v>2023</v>
      </c>
      <c r="E5858">
        <v>1067</v>
      </c>
      <c r="F5858">
        <v>58995</v>
      </c>
      <c r="G5858">
        <v>1.81</v>
      </c>
      <c r="H5858" t="s">
        <v>10</v>
      </c>
      <c r="I5858" t="s">
        <v>11</v>
      </c>
    </row>
    <row r="5859" spans="1:9" hidden="1" x14ac:dyDescent="0.25">
      <c r="A5859" t="s">
        <v>17</v>
      </c>
      <c r="B5859" t="s">
        <v>145</v>
      </c>
      <c r="C5859">
        <v>202311</v>
      </c>
      <c r="D5859" t="str">
        <f t="shared" si="91"/>
        <v>2023</v>
      </c>
      <c r="E5859">
        <v>2179</v>
      </c>
      <c r="F5859">
        <v>58995</v>
      </c>
      <c r="G5859">
        <v>3.69</v>
      </c>
      <c r="H5859" t="s">
        <v>10</v>
      </c>
      <c r="I5859" t="s">
        <v>11</v>
      </c>
    </row>
    <row r="5860" spans="1:9" hidden="1" x14ac:dyDescent="0.25">
      <c r="A5860" t="s">
        <v>17</v>
      </c>
      <c r="B5860" t="s">
        <v>145</v>
      </c>
      <c r="C5860">
        <v>202312</v>
      </c>
      <c r="D5860" t="str">
        <f t="shared" si="91"/>
        <v>2023</v>
      </c>
      <c r="E5860">
        <v>2298</v>
      </c>
      <c r="F5860">
        <v>58995</v>
      </c>
      <c r="G5860">
        <v>3.9</v>
      </c>
      <c r="H5860" t="s">
        <v>10</v>
      </c>
      <c r="I5860" t="s">
        <v>11</v>
      </c>
    </row>
    <row r="5861" spans="1:9" hidden="1" x14ac:dyDescent="0.25">
      <c r="A5861" t="s">
        <v>17</v>
      </c>
      <c r="B5861" t="s">
        <v>145</v>
      </c>
      <c r="C5861">
        <v>202401</v>
      </c>
      <c r="D5861" t="str">
        <f t="shared" si="91"/>
        <v>2024</v>
      </c>
      <c r="E5861">
        <v>5717</v>
      </c>
      <c r="F5861">
        <v>58995</v>
      </c>
      <c r="G5861">
        <v>9.69</v>
      </c>
      <c r="H5861" t="s">
        <v>10</v>
      </c>
      <c r="I5861" t="s">
        <v>11</v>
      </c>
    </row>
    <row r="5862" spans="1:9" hidden="1" x14ac:dyDescent="0.25">
      <c r="A5862" t="s">
        <v>17</v>
      </c>
      <c r="B5862" t="s">
        <v>145</v>
      </c>
      <c r="C5862">
        <v>202402</v>
      </c>
      <c r="D5862" t="str">
        <f t="shared" si="91"/>
        <v>2024</v>
      </c>
      <c r="E5862">
        <v>27150</v>
      </c>
      <c r="F5862">
        <v>58995</v>
      </c>
      <c r="G5862">
        <v>46.02</v>
      </c>
      <c r="H5862" t="s">
        <v>10</v>
      </c>
      <c r="I5862" t="s">
        <v>11</v>
      </c>
    </row>
    <row r="5863" spans="1:9" hidden="1" x14ac:dyDescent="0.25">
      <c r="A5863" t="s">
        <v>17</v>
      </c>
      <c r="B5863" t="s">
        <v>145</v>
      </c>
      <c r="C5863">
        <v>202403</v>
      </c>
      <c r="D5863" t="str">
        <f t="shared" si="91"/>
        <v>2024</v>
      </c>
      <c r="E5863">
        <v>17077</v>
      </c>
      <c r="F5863">
        <v>58995</v>
      </c>
      <c r="G5863">
        <v>28.95</v>
      </c>
      <c r="H5863" t="s">
        <v>10</v>
      </c>
      <c r="I5863" t="s">
        <v>11</v>
      </c>
    </row>
    <row r="5864" spans="1:9" hidden="1" x14ac:dyDescent="0.25">
      <c r="A5864" t="s">
        <v>17</v>
      </c>
      <c r="B5864" t="s">
        <v>72</v>
      </c>
      <c r="C5864">
        <v>202009</v>
      </c>
      <c r="D5864" t="str">
        <f t="shared" si="91"/>
        <v>2020</v>
      </c>
      <c r="E5864">
        <v>3</v>
      </c>
      <c r="F5864">
        <v>70398</v>
      </c>
      <c r="G5864">
        <v>0</v>
      </c>
      <c r="H5864" t="s">
        <v>10</v>
      </c>
      <c r="I5864" t="s">
        <v>11</v>
      </c>
    </row>
    <row r="5865" spans="1:9" hidden="1" x14ac:dyDescent="0.25">
      <c r="A5865" t="s">
        <v>17</v>
      </c>
      <c r="B5865" t="s">
        <v>72</v>
      </c>
      <c r="C5865">
        <v>202011</v>
      </c>
      <c r="D5865" t="str">
        <f t="shared" si="91"/>
        <v>2020</v>
      </c>
      <c r="E5865">
        <v>4</v>
      </c>
      <c r="F5865">
        <v>70398</v>
      </c>
      <c r="G5865">
        <v>0.01</v>
      </c>
      <c r="H5865" t="s">
        <v>10</v>
      </c>
      <c r="I5865" t="s">
        <v>11</v>
      </c>
    </row>
    <row r="5866" spans="1:9" hidden="1" x14ac:dyDescent="0.25">
      <c r="A5866" t="s">
        <v>17</v>
      </c>
      <c r="B5866" t="s">
        <v>72</v>
      </c>
      <c r="C5866">
        <v>202012</v>
      </c>
      <c r="D5866" t="str">
        <f t="shared" si="91"/>
        <v>2020</v>
      </c>
      <c r="E5866">
        <v>12</v>
      </c>
      <c r="F5866">
        <v>70398</v>
      </c>
      <c r="G5866">
        <v>0.02</v>
      </c>
      <c r="H5866" t="s">
        <v>10</v>
      </c>
      <c r="I5866" t="s">
        <v>11</v>
      </c>
    </row>
    <row r="5867" spans="1:9" hidden="1" x14ac:dyDescent="0.25">
      <c r="A5867" t="s">
        <v>17</v>
      </c>
      <c r="B5867" t="s">
        <v>72</v>
      </c>
      <c r="C5867">
        <v>202102</v>
      </c>
      <c r="D5867" t="str">
        <f t="shared" si="91"/>
        <v>2021</v>
      </c>
      <c r="E5867">
        <v>3</v>
      </c>
      <c r="F5867">
        <v>70398</v>
      </c>
      <c r="G5867">
        <v>0</v>
      </c>
      <c r="H5867" t="s">
        <v>10</v>
      </c>
      <c r="I5867" t="s">
        <v>11</v>
      </c>
    </row>
    <row r="5868" spans="1:9" hidden="1" x14ac:dyDescent="0.25">
      <c r="A5868" t="s">
        <v>17</v>
      </c>
      <c r="B5868" t="s">
        <v>72</v>
      </c>
      <c r="C5868">
        <v>202103</v>
      </c>
      <c r="D5868" t="str">
        <f t="shared" si="91"/>
        <v>2021</v>
      </c>
      <c r="E5868">
        <v>16</v>
      </c>
      <c r="F5868">
        <v>70398</v>
      </c>
      <c r="G5868">
        <v>0.02</v>
      </c>
      <c r="H5868" t="s">
        <v>10</v>
      </c>
      <c r="I5868" t="s">
        <v>11</v>
      </c>
    </row>
    <row r="5869" spans="1:9" hidden="1" x14ac:dyDescent="0.25">
      <c r="A5869" t="s">
        <v>17</v>
      </c>
      <c r="B5869" t="s">
        <v>72</v>
      </c>
      <c r="C5869">
        <v>202104</v>
      </c>
      <c r="D5869" t="str">
        <f t="shared" si="91"/>
        <v>2021</v>
      </c>
      <c r="E5869">
        <v>13</v>
      </c>
      <c r="F5869">
        <v>70398</v>
      </c>
      <c r="G5869">
        <v>0.02</v>
      </c>
      <c r="H5869" t="s">
        <v>10</v>
      </c>
      <c r="I5869" t="s">
        <v>11</v>
      </c>
    </row>
    <row r="5870" spans="1:9" hidden="1" x14ac:dyDescent="0.25">
      <c r="A5870" t="s">
        <v>17</v>
      </c>
      <c r="B5870" t="s">
        <v>72</v>
      </c>
      <c r="C5870">
        <v>202105</v>
      </c>
      <c r="D5870" t="str">
        <f t="shared" si="91"/>
        <v>2021</v>
      </c>
      <c r="E5870">
        <v>3</v>
      </c>
      <c r="F5870">
        <v>70398</v>
      </c>
      <c r="G5870">
        <v>0</v>
      </c>
      <c r="H5870" t="s">
        <v>10</v>
      </c>
      <c r="I5870" t="s">
        <v>11</v>
      </c>
    </row>
    <row r="5871" spans="1:9" hidden="1" x14ac:dyDescent="0.25">
      <c r="A5871" t="s">
        <v>17</v>
      </c>
      <c r="B5871" t="s">
        <v>72</v>
      </c>
      <c r="C5871">
        <v>202106</v>
      </c>
      <c r="D5871" t="str">
        <f t="shared" si="91"/>
        <v>2021</v>
      </c>
      <c r="E5871">
        <v>25</v>
      </c>
      <c r="F5871">
        <v>70398</v>
      </c>
      <c r="G5871">
        <v>0.04</v>
      </c>
      <c r="H5871" t="s">
        <v>10</v>
      </c>
      <c r="I5871" t="s">
        <v>11</v>
      </c>
    </row>
    <row r="5872" spans="1:9" hidden="1" x14ac:dyDescent="0.25">
      <c r="A5872" t="s">
        <v>17</v>
      </c>
      <c r="B5872" t="s">
        <v>72</v>
      </c>
      <c r="C5872">
        <v>202107</v>
      </c>
      <c r="D5872" t="str">
        <f t="shared" si="91"/>
        <v>2021</v>
      </c>
      <c r="E5872">
        <v>2</v>
      </c>
      <c r="F5872">
        <v>70398</v>
      </c>
      <c r="G5872">
        <v>0</v>
      </c>
      <c r="H5872" t="s">
        <v>10</v>
      </c>
      <c r="I5872" t="s">
        <v>11</v>
      </c>
    </row>
    <row r="5873" spans="1:9" hidden="1" x14ac:dyDescent="0.25">
      <c r="A5873" t="s">
        <v>17</v>
      </c>
      <c r="B5873" t="s">
        <v>72</v>
      </c>
      <c r="C5873">
        <v>202108</v>
      </c>
      <c r="D5873" t="str">
        <f t="shared" si="91"/>
        <v>2021</v>
      </c>
      <c r="E5873">
        <v>2</v>
      </c>
      <c r="F5873">
        <v>70398</v>
      </c>
      <c r="G5873">
        <v>0</v>
      </c>
      <c r="H5873" t="s">
        <v>10</v>
      </c>
      <c r="I5873" t="s">
        <v>11</v>
      </c>
    </row>
    <row r="5874" spans="1:9" hidden="1" x14ac:dyDescent="0.25">
      <c r="A5874" t="s">
        <v>17</v>
      </c>
      <c r="B5874" t="s">
        <v>72</v>
      </c>
      <c r="C5874">
        <v>202109</v>
      </c>
      <c r="D5874" t="str">
        <f t="shared" si="91"/>
        <v>2021</v>
      </c>
      <c r="E5874">
        <v>7</v>
      </c>
      <c r="F5874">
        <v>70398</v>
      </c>
      <c r="G5874">
        <v>0.01</v>
      </c>
      <c r="H5874" t="s">
        <v>10</v>
      </c>
      <c r="I5874" t="s">
        <v>11</v>
      </c>
    </row>
    <row r="5875" spans="1:9" hidden="1" x14ac:dyDescent="0.25">
      <c r="A5875" t="s">
        <v>17</v>
      </c>
      <c r="B5875" t="s">
        <v>72</v>
      </c>
      <c r="C5875">
        <v>202110</v>
      </c>
      <c r="D5875" t="str">
        <f t="shared" si="91"/>
        <v>2021</v>
      </c>
      <c r="E5875">
        <v>4</v>
      </c>
      <c r="F5875">
        <v>70398</v>
      </c>
      <c r="G5875">
        <v>0.01</v>
      </c>
      <c r="H5875" t="s">
        <v>10</v>
      </c>
      <c r="I5875" t="s">
        <v>11</v>
      </c>
    </row>
    <row r="5876" spans="1:9" hidden="1" x14ac:dyDescent="0.25">
      <c r="A5876" t="s">
        <v>17</v>
      </c>
      <c r="B5876" t="s">
        <v>72</v>
      </c>
      <c r="C5876">
        <v>202111</v>
      </c>
      <c r="D5876" t="str">
        <f t="shared" si="91"/>
        <v>2021</v>
      </c>
      <c r="E5876">
        <v>4</v>
      </c>
      <c r="F5876">
        <v>70398</v>
      </c>
      <c r="G5876">
        <v>0.01</v>
      </c>
      <c r="H5876" t="s">
        <v>10</v>
      </c>
      <c r="I5876" t="s">
        <v>11</v>
      </c>
    </row>
    <row r="5877" spans="1:9" hidden="1" x14ac:dyDescent="0.25">
      <c r="A5877" t="s">
        <v>17</v>
      </c>
      <c r="B5877" t="s">
        <v>72</v>
      </c>
      <c r="C5877">
        <v>202112</v>
      </c>
      <c r="D5877" t="str">
        <f t="shared" si="91"/>
        <v>2021</v>
      </c>
      <c r="E5877">
        <v>2</v>
      </c>
      <c r="F5877">
        <v>70398</v>
      </c>
      <c r="G5877">
        <v>0</v>
      </c>
      <c r="H5877" t="s">
        <v>10</v>
      </c>
      <c r="I5877" t="s">
        <v>11</v>
      </c>
    </row>
    <row r="5878" spans="1:9" hidden="1" x14ac:dyDescent="0.25">
      <c r="A5878" t="s">
        <v>17</v>
      </c>
      <c r="B5878" t="s">
        <v>72</v>
      </c>
      <c r="C5878">
        <v>202202</v>
      </c>
      <c r="D5878" t="str">
        <f t="shared" si="91"/>
        <v>2022</v>
      </c>
      <c r="E5878">
        <v>7</v>
      </c>
      <c r="F5878">
        <v>70398</v>
      </c>
      <c r="G5878">
        <v>0.01</v>
      </c>
      <c r="H5878" t="s">
        <v>10</v>
      </c>
      <c r="I5878" t="s">
        <v>11</v>
      </c>
    </row>
    <row r="5879" spans="1:9" hidden="1" x14ac:dyDescent="0.25">
      <c r="A5879" t="s">
        <v>17</v>
      </c>
      <c r="B5879" t="s">
        <v>72</v>
      </c>
      <c r="C5879">
        <v>202204</v>
      </c>
      <c r="D5879" t="str">
        <f t="shared" si="91"/>
        <v>2022</v>
      </c>
      <c r="E5879">
        <v>8</v>
      </c>
      <c r="F5879">
        <v>70398</v>
      </c>
      <c r="G5879">
        <v>0.01</v>
      </c>
      <c r="H5879" t="s">
        <v>10</v>
      </c>
      <c r="I5879" t="s">
        <v>11</v>
      </c>
    </row>
    <row r="5880" spans="1:9" hidden="1" x14ac:dyDescent="0.25">
      <c r="A5880" t="s">
        <v>17</v>
      </c>
      <c r="B5880" t="s">
        <v>72</v>
      </c>
      <c r="C5880">
        <v>202206</v>
      </c>
      <c r="D5880" t="str">
        <f t="shared" si="91"/>
        <v>2022</v>
      </c>
      <c r="E5880">
        <v>21</v>
      </c>
      <c r="F5880">
        <v>70398</v>
      </c>
      <c r="G5880">
        <v>0.03</v>
      </c>
      <c r="H5880" t="s">
        <v>10</v>
      </c>
      <c r="I5880" t="s">
        <v>11</v>
      </c>
    </row>
    <row r="5881" spans="1:9" hidden="1" x14ac:dyDescent="0.25">
      <c r="A5881" t="s">
        <v>17</v>
      </c>
      <c r="B5881" t="s">
        <v>72</v>
      </c>
      <c r="C5881">
        <v>202207</v>
      </c>
      <c r="D5881" t="str">
        <f t="shared" si="91"/>
        <v>2022</v>
      </c>
      <c r="E5881">
        <v>15</v>
      </c>
      <c r="F5881">
        <v>70398</v>
      </c>
      <c r="G5881">
        <v>0.02</v>
      </c>
      <c r="H5881" t="s">
        <v>10</v>
      </c>
      <c r="I5881" t="s">
        <v>11</v>
      </c>
    </row>
    <row r="5882" spans="1:9" hidden="1" x14ac:dyDescent="0.25">
      <c r="A5882" t="s">
        <v>17</v>
      </c>
      <c r="B5882" t="s">
        <v>72</v>
      </c>
      <c r="C5882">
        <v>202208</v>
      </c>
      <c r="D5882" t="str">
        <f t="shared" si="91"/>
        <v>2022</v>
      </c>
      <c r="E5882">
        <v>44</v>
      </c>
      <c r="F5882">
        <v>70398</v>
      </c>
      <c r="G5882">
        <v>0.06</v>
      </c>
      <c r="H5882" t="s">
        <v>10</v>
      </c>
      <c r="I5882" t="s">
        <v>11</v>
      </c>
    </row>
    <row r="5883" spans="1:9" hidden="1" x14ac:dyDescent="0.25">
      <c r="A5883" t="s">
        <v>17</v>
      </c>
      <c r="B5883" t="s">
        <v>72</v>
      </c>
      <c r="C5883">
        <v>202209</v>
      </c>
      <c r="D5883" t="str">
        <f t="shared" si="91"/>
        <v>2022</v>
      </c>
      <c r="E5883">
        <v>28</v>
      </c>
      <c r="F5883">
        <v>70398</v>
      </c>
      <c r="G5883">
        <v>0.04</v>
      </c>
      <c r="H5883" t="s">
        <v>10</v>
      </c>
      <c r="I5883" t="s">
        <v>11</v>
      </c>
    </row>
    <row r="5884" spans="1:9" hidden="1" x14ac:dyDescent="0.25">
      <c r="A5884" t="s">
        <v>17</v>
      </c>
      <c r="B5884" t="s">
        <v>72</v>
      </c>
      <c r="C5884">
        <v>202210</v>
      </c>
      <c r="D5884" t="str">
        <f t="shared" si="91"/>
        <v>2022</v>
      </c>
      <c r="E5884">
        <v>48</v>
      </c>
      <c r="F5884">
        <v>70398</v>
      </c>
      <c r="G5884">
        <v>7.0000000000000007E-2</v>
      </c>
      <c r="H5884" t="s">
        <v>10</v>
      </c>
      <c r="I5884" t="s">
        <v>11</v>
      </c>
    </row>
    <row r="5885" spans="1:9" hidden="1" x14ac:dyDescent="0.25">
      <c r="A5885" t="s">
        <v>17</v>
      </c>
      <c r="B5885" t="s">
        <v>72</v>
      </c>
      <c r="C5885">
        <v>202211</v>
      </c>
      <c r="D5885" t="str">
        <f t="shared" si="91"/>
        <v>2022</v>
      </c>
      <c r="E5885">
        <v>63</v>
      </c>
      <c r="F5885">
        <v>70398</v>
      </c>
      <c r="G5885">
        <v>0.09</v>
      </c>
      <c r="H5885" t="s">
        <v>10</v>
      </c>
      <c r="I5885" t="s">
        <v>11</v>
      </c>
    </row>
    <row r="5886" spans="1:9" hidden="1" x14ac:dyDescent="0.25">
      <c r="A5886" t="s">
        <v>17</v>
      </c>
      <c r="B5886" t="s">
        <v>72</v>
      </c>
      <c r="C5886">
        <v>202212</v>
      </c>
      <c r="D5886" t="str">
        <f t="shared" si="91"/>
        <v>2022</v>
      </c>
      <c r="E5886">
        <v>26</v>
      </c>
      <c r="F5886">
        <v>70398</v>
      </c>
      <c r="G5886">
        <v>0.04</v>
      </c>
      <c r="H5886" t="s">
        <v>10</v>
      </c>
      <c r="I5886" t="s">
        <v>11</v>
      </c>
    </row>
    <row r="5887" spans="1:9" hidden="1" x14ac:dyDescent="0.25">
      <c r="A5887" t="s">
        <v>17</v>
      </c>
      <c r="B5887" t="s">
        <v>72</v>
      </c>
      <c r="C5887">
        <v>202301</v>
      </c>
      <c r="D5887" t="str">
        <f t="shared" si="91"/>
        <v>2023</v>
      </c>
      <c r="E5887">
        <v>161</v>
      </c>
      <c r="F5887">
        <v>70398</v>
      </c>
      <c r="G5887">
        <v>0.23</v>
      </c>
      <c r="H5887" t="s">
        <v>10</v>
      </c>
      <c r="I5887" t="s">
        <v>11</v>
      </c>
    </row>
    <row r="5888" spans="1:9" hidden="1" x14ac:dyDescent="0.25">
      <c r="A5888" t="s">
        <v>17</v>
      </c>
      <c r="B5888" t="s">
        <v>72</v>
      </c>
      <c r="C5888">
        <v>202302</v>
      </c>
      <c r="D5888" t="str">
        <f t="shared" si="91"/>
        <v>2023</v>
      </c>
      <c r="E5888">
        <v>121</v>
      </c>
      <c r="F5888">
        <v>70398</v>
      </c>
      <c r="G5888">
        <v>0.17</v>
      </c>
      <c r="H5888" t="s">
        <v>10</v>
      </c>
      <c r="I5888" t="s">
        <v>11</v>
      </c>
    </row>
    <row r="5889" spans="1:9" hidden="1" x14ac:dyDescent="0.25">
      <c r="A5889" t="s">
        <v>17</v>
      </c>
      <c r="B5889" t="s">
        <v>72</v>
      </c>
      <c r="C5889">
        <v>202303</v>
      </c>
      <c r="D5889" t="str">
        <f t="shared" si="91"/>
        <v>2023</v>
      </c>
      <c r="E5889">
        <v>224</v>
      </c>
      <c r="F5889">
        <v>70398</v>
      </c>
      <c r="G5889">
        <v>0.32</v>
      </c>
      <c r="H5889" t="s">
        <v>10</v>
      </c>
      <c r="I5889" t="s">
        <v>11</v>
      </c>
    </row>
    <row r="5890" spans="1:9" hidden="1" x14ac:dyDescent="0.25">
      <c r="A5890" t="s">
        <v>17</v>
      </c>
      <c r="B5890" t="s">
        <v>72</v>
      </c>
      <c r="C5890">
        <v>202304</v>
      </c>
      <c r="D5890" t="str">
        <f t="shared" si="91"/>
        <v>2023</v>
      </c>
      <c r="E5890">
        <v>223</v>
      </c>
      <c r="F5890">
        <v>70398</v>
      </c>
      <c r="G5890">
        <v>0.32</v>
      </c>
      <c r="H5890" t="s">
        <v>10</v>
      </c>
      <c r="I5890" t="s">
        <v>11</v>
      </c>
    </row>
    <row r="5891" spans="1:9" hidden="1" x14ac:dyDescent="0.25">
      <c r="A5891" t="s">
        <v>17</v>
      </c>
      <c r="B5891" t="s">
        <v>72</v>
      </c>
      <c r="C5891">
        <v>202305</v>
      </c>
      <c r="D5891" t="str">
        <f t="shared" ref="D5891:D5954" si="92">LEFT(C5891,4)</f>
        <v>2023</v>
      </c>
      <c r="E5891">
        <v>250</v>
      </c>
      <c r="F5891">
        <v>70398</v>
      </c>
      <c r="G5891">
        <v>0.36</v>
      </c>
      <c r="H5891" t="s">
        <v>10</v>
      </c>
      <c r="I5891" t="s">
        <v>11</v>
      </c>
    </row>
    <row r="5892" spans="1:9" hidden="1" x14ac:dyDescent="0.25">
      <c r="A5892" t="s">
        <v>17</v>
      </c>
      <c r="B5892" t="s">
        <v>72</v>
      </c>
      <c r="C5892">
        <v>202306</v>
      </c>
      <c r="D5892" t="str">
        <f t="shared" si="92"/>
        <v>2023</v>
      </c>
      <c r="E5892">
        <v>485</v>
      </c>
      <c r="F5892">
        <v>70398</v>
      </c>
      <c r="G5892">
        <v>0.69</v>
      </c>
      <c r="H5892" t="s">
        <v>10</v>
      </c>
      <c r="I5892" t="s">
        <v>11</v>
      </c>
    </row>
    <row r="5893" spans="1:9" hidden="1" x14ac:dyDescent="0.25">
      <c r="A5893" t="s">
        <v>17</v>
      </c>
      <c r="B5893" t="s">
        <v>72</v>
      </c>
      <c r="C5893">
        <v>202307</v>
      </c>
      <c r="D5893" t="str">
        <f t="shared" si="92"/>
        <v>2023</v>
      </c>
      <c r="E5893">
        <v>641</v>
      </c>
      <c r="F5893">
        <v>70398</v>
      </c>
      <c r="G5893">
        <v>0.91</v>
      </c>
      <c r="H5893" t="s">
        <v>10</v>
      </c>
      <c r="I5893" t="s">
        <v>11</v>
      </c>
    </row>
    <row r="5894" spans="1:9" hidden="1" x14ac:dyDescent="0.25">
      <c r="A5894" t="s">
        <v>17</v>
      </c>
      <c r="B5894" t="s">
        <v>72</v>
      </c>
      <c r="C5894">
        <v>202308</v>
      </c>
      <c r="D5894" t="str">
        <f t="shared" si="92"/>
        <v>2023</v>
      </c>
      <c r="E5894">
        <v>612</v>
      </c>
      <c r="F5894">
        <v>70398</v>
      </c>
      <c r="G5894">
        <v>0.87</v>
      </c>
      <c r="H5894" t="s">
        <v>10</v>
      </c>
      <c r="I5894" t="s">
        <v>11</v>
      </c>
    </row>
    <row r="5895" spans="1:9" hidden="1" x14ac:dyDescent="0.25">
      <c r="A5895" t="s">
        <v>17</v>
      </c>
      <c r="B5895" t="s">
        <v>72</v>
      </c>
      <c r="C5895">
        <v>202309</v>
      </c>
      <c r="D5895" t="str">
        <f t="shared" si="92"/>
        <v>2023</v>
      </c>
      <c r="E5895">
        <v>939</v>
      </c>
      <c r="F5895">
        <v>70398</v>
      </c>
      <c r="G5895">
        <v>1.33</v>
      </c>
      <c r="H5895" t="s">
        <v>10</v>
      </c>
      <c r="I5895" t="s">
        <v>11</v>
      </c>
    </row>
    <row r="5896" spans="1:9" hidden="1" x14ac:dyDescent="0.25">
      <c r="A5896" t="s">
        <v>17</v>
      </c>
      <c r="B5896" t="s">
        <v>72</v>
      </c>
      <c r="C5896">
        <v>202310</v>
      </c>
      <c r="D5896" t="str">
        <f t="shared" si="92"/>
        <v>2023</v>
      </c>
      <c r="E5896">
        <v>1321</v>
      </c>
      <c r="F5896">
        <v>70398</v>
      </c>
      <c r="G5896">
        <v>1.88</v>
      </c>
      <c r="H5896" t="s">
        <v>10</v>
      </c>
      <c r="I5896" t="s">
        <v>11</v>
      </c>
    </row>
    <row r="5897" spans="1:9" hidden="1" x14ac:dyDescent="0.25">
      <c r="A5897" t="s">
        <v>17</v>
      </c>
      <c r="B5897" t="s">
        <v>72</v>
      </c>
      <c r="C5897">
        <v>202311</v>
      </c>
      <c r="D5897" t="str">
        <f t="shared" si="92"/>
        <v>2023</v>
      </c>
      <c r="E5897">
        <v>2351</v>
      </c>
      <c r="F5897">
        <v>70398</v>
      </c>
      <c r="G5897">
        <v>3.34</v>
      </c>
      <c r="H5897" t="s">
        <v>10</v>
      </c>
      <c r="I5897" t="s">
        <v>11</v>
      </c>
    </row>
    <row r="5898" spans="1:9" hidden="1" x14ac:dyDescent="0.25">
      <c r="A5898" t="s">
        <v>17</v>
      </c>
      <c r="B5898" t="s">
        <v>72</v>
      </c>
      <c r="C5898">
        <v>202312</v>
      </c>
      <c r="D5898" t="str">
        <f t="shared" si="92"/>
        <v>2023</v>
      </c>
      <c r="E5898">
        <v>2458</v>
      </c>
      <c r="F5898">
        <v>70398</v>
      </c>
      <c r="G5898">
        <v>3.49</v>
      </c>
      <c r="H5898" t="s">
        <v>10</v>
      </c>
      <c r="I5898" t="s">
        <v>11</v>
      </c>
    </row>
    <row r="5899" spans="1:9" hidden="1" x14ac:dyDescent="0.25">
      <c r="A5899" t="s">
        <v>17</v>
      </c>
      <c r="B5899" t="s">
        <v>72</v>
      </c>
      <c r="C5899">
        <v>202401</v>
      </c>
      <c r="D5899" t="str">
        <f t="shared" si="92"/>
        <v>2024</v>
      </c>
      <c r="E5899">
        <v>6910</v>
      </c>
      <c r="F5899">
        <v>70398</v>
      </c>
      <c r="G5899">
        <v>9.82</v>
      </c>
      <c r="H5899" t="s">
        <v>10</v>
      </c>
      <c r="I5899" t="s">
        <v>11</v>
      </c>
    </row>
    <row r="5900" spans="1:9" hidden="1" x14ac:dyDescent="0.25">
      <c r="A5900" t="s">
        <v>17</v>
      </c>
      <c r="B5900" t="s">
        <v>72</v>
      </c>
      <c r="C5900">
        <v>202402</v>
      </c>
      <c r="D5900" t="str">
        <f t="shared" si="92"/>
        <v>2024</v>
      </c>
      <c r="E5900">
        <v>29916</v>
      </c>
      <c r="F5900">
        <v>70398</v>
      </c>
      <c r="G5900">
        <v>42.5</v>
      </c>
      <c r="H5900" t="s">
        <v>10</v>
      </c>
      <c r="I5900" t="s">
        <v>11</v>
      </c>
    </row>
    <row r="5901" spans="1:9" hidden="1" x14ac:dyDescent="0.25">
      <c r="A5901" t="s">
        <v>17</v>
      </c>
      <c r="B5901" t="s">
        <v>72</v>
      </c>
      <c r="C5901">
        <v>202403</v>
      </c>
      <c r="D5901" t="str">
        <f t="shared" si="92"/>
        <v>2024</v>
      </c>
      <c r="E5901">
        <v>23426</v>
      </c>
      <c r="F5901">
        <v>70398</v>
      </c>
      <c r="G5901">
        <v>33.28</v>
      </c>
      <c r="H5901" t="s">
        <v>10</v>
      </c>
      <c r="I5901" t="s">
        <v>11</v>
      </c>
    </row>
    <row r="5902" spans="1:9" hidden="1" x14ac:dyDescent="0.25">
      <c r="A5902" t="s">
        <v>17</v>
      </c>
      <c r="B5902" t="s">
        <v>115</v>
      </c>
      <c r="C5902">
        <v>201601</v>
      </c>
      <c r="D5902" t="str">
        <f t="shared" si="92"/>
        <v>2016</v>
      </c>
      <c r="E5902">
        <v>2</v>
      </c>
      <c r="F5902">
        <v>121626</v>
      </c>
      <c r="G5902">
        <v>0</v>
      </c>
      <c r="H5902" t="s">
        <v>10</v>
      </c>
      <c r="I5902" t="s">
        <v>11</v>
      </c>
    </row>
    <row r="5903" spans="1:9" hidden="1" x14ac:dyDescent="0.25">
      <c r="A5903" t="s">
        <v>17</v>
      </c>
      <c r="B5903" t="s">
        <v>115</v>
      </c>
      <c r="C5903">
        <v>201604</v>
      </c>
      <c r="D5903" t="str">
        <f t="shared" si="92"/>
        <v>2016</v>
      </c>
      <c r="E5903">
        <v>3</v>
      </c>
      <c r="F5903">
        <v>121626</v>
      </c>
      <c r="G5903">
        <v>0</v>
      </c>
      <c r="H5903" t="s">
        <v>10</v>
      </c>
      <c r="I5903" t="s">
        <v>11</v>
      </c>
    </row>
    <row r="5904" spans="1:9" hidden="1" x14ac:dyDescent="0.25">
      <c r="A5904" t="s">
        <v>17</v>
      </c>
      <c r="B5904" t="s">
        <v>115</v>
      </c>
      <c r="C5904">
        <v>201612</v>
      </c>
      <c r="D5904" t="str">
        <f t="shared" si="92"/>
        <v>2016</v>
      </c>
      <c r="E5904">
        <v>30</v>
      </c>
      <c r="F5904">
        <v>121626</v>
      </c>
      <c r="G5904">
        <v>0.02</v>
      </c>
      <c r="H5904" t="s">
        <v>10</v>
      </c>
      <c r="I5904" t="s">
        <v>11</v>
      </c>
    </row>
    <row r="5905" spans="1:9" hidden="1" x14ac:dyDescent="0.25">
      <c r="A5905" t="s">
        <v>17</v>
      </c>
      <c r="B5905" t="s">
        <v>115</v>
      </c>
      <c r="C5905">
        <v>201801</v>
      </c>
      <c r="D5905" t="str">
        <f t="shared" si="92"/>
        <v>2018</v>
      </c>
      <c r="E5905">
        <v>3</v>
      </c>
      <c r="F5905">
        <v>121626</v>
      </c>
      <c r="G5905">
        <v>0</v>
      </c>
      <c r="H5905" t="s">
        <v>10</v>
      </c>
      <c r="I5905" t="s">
        <v>11</v>
      </c>
    </row>
    <row r="5906" spans="1:9" hidden="1" x14ac:dyDescent="0.25">
      <c r="A5906" t="s">
        <v>17</v>
      </c>
      <c r="B5906" t="s">
        <v>115</v>
      </c>
      <c r="C5906">
        <v>201802</v>
      </c>
      <c r="D5906" t="str">
        <f t="shared" si="92"/>
        <v>2018</v>
      </c>
      <c r="E5906">
        <v>1</v>
      </c>
      <c r="F5906">
        <v>121626</v>
      </c>
      <c r="G5906">
        <v>0</v>
      </c>
      <c r="H5906" t="s">
        <v>10</v>
      </c>
      <c r="I5906" t="s">
        <v>11</v>
      </c>
    </row>
    <row r="5907" spans="1:9" hidden="1" x14ac:dyDescent="0.25">
      <c r="A5907" t="s">
        <v>17</v>
      </c>
      <c r="B5907" t="s">
        <v>115</v>
      </c>
      <c r="C5907">
        <v>201803</v>
      </c>
      <c r="D5907" t="str">
        <f t="shared" si="92"/>
        <v>2018</v>
      </c>
      <c r="E5907">
        <v>9</v>
      </c>
      <c r="F5907">
        <v>121626</v>
      </c>
      <c r="G5907">
        <v>0.01</v>
      </c>
      <c r="H5907" t="s">
        <v>10</v>
      </c>
      <c r="I5907" t="s">
        <v>11</v>
      </c>
    </row>
    <row r="5908" spans="1:9" hidden="1" x14ac:dyDescent="0.25">
      <c r="A5908" t="s">
        <v>17</v>
      </c>
      <c r="B5908" t="s">
        <v>115</v>
      </c>
      <c r="C5908">
        <v>201804</v>
      </c>
      <c r="D5908" t="str">
        <f t="shared" si="92"/>
        <v>2018</v>
      </c>
      <c r="E5908">
        <v>1</v>
      </c>
      <c r="F5908">
        <v>121626</v>
      </c>
      <c r="G5908">
        <v>0</v>
      </c>
      <c r="H5908" t="s">
        <v>10</v>
      </c>
      <c r="I5908" t="s">
        <v>11</v>
      </c>
    </row>
    <row r="5909" spans="1:9" hidden="1" x14ac:dyDescent="0.25">
      <c r="A5909" t="s">
        <v>17</v>
      </c>
      <c r="B5909" t="s">
        <v>115</v>
      </c>
      <c r="C5909">
        <v>201805</v>
      </c>
      <c r="D5909" t="str">
        <f t="shared" si="92"/>
        <v>2018</v>
      </c>
      <c r="E5909">
        <v>1</v>
      </c>
      <c r="F5909">
        <v>121626</v>
      </c>
      <c r="G5909">
        <v>0</v>
      </c>
      <c r="H5909" t="s">
        <v>10</v>
      </c>
      <c r="I5909" t="s">
        <v>11</v>
      </c>
    </row>
    <row r="5910" spans="1:9" hidden="1" x14ac:dyDescent="0.25">
      <c r="A5910" t="s">
        <v>17</v>
      </c>
      <c r="B5910" t="s">
        <v>115</v>
      </c>
      <c r="C5910">
        <v>201806</v>
      </c>
      <c r="D5910" t="str">
        <f t="shared" si="92"/>
        <v>2018</v>
      </c>
      <c r="E5910">
        <v>6</v>
      </c>
      <c r="F5910">
        <v>121626</v>
      </c>
      <c r="G5910">
        <v>0</v>
      </c>
      <c r="H5910" t="s">
        <v>10</v>
      </c>
      <c r="I5910" t="s">
        <v>11</v>
      </c>
    </row>
    <row r="5911" spans="1:9" hidden="1" x14ac:dyDescent="0.25">
      <c r="A5911" t="s">
        <v>17</v>
      </c>
      <c r="B5911" t="s">
        <v>115</v>
      </c>
      <c r="C5911">
        <v>201808</v>
      </c>
      <c r="D5911" t="str">
        <f t="shared" si="92"/>
        <v>2018</v>
      </c>
      <c r="E5911">
        <v>17</v>
      </c>
      <c r="F5911">
        <v>121626</v>
      </c>
      <c r="G5911">
        <v>0.01</v>
      </c>
      <c r="H5911" t="s">
        <v>10</v>
      </c>
      <c r="I5911" t="s">
        <v>11</v>
      </c>
    </row>
    <row r="5912" spans="1:9" hidden="1" x14ac:dyDescent="0.25">
      <c r="A5912" t="s">
        <v>17</v>
      </c>
      <c r="B5912" t="s">
        <v>115</v>
      </c>
      <c r="C5912">
        <v>201809</v>
      </c>
      <c r="D5912" t="str">
        <f t="shared" si="92"/>
        <v>2018</v>
      </c>
      <c r="E5912">
        <v>4</v>
      </c>
      <c r="F5912">
        <v>121626</v>
      </c>
      <c r="G5912">
        <v>0</v>
      </c>
      <c r="H5912" t="s">
        <v>10</v>
      </c>
      <c r="I5912" t="s">
        <v>11</v>
      </c>
    </row>
    <row r="5913" spans="1:9" hidden="1" x14ac:dyDescent="0.25">
      <c r="A5913" t="s">
        <v>17</v>
      </c>
      <c r="B5913" t="s">
        <v>115</v>
      </c>
      <c r="C5913">
        <v>201810</v>
      </c>
      <c r="D5913" t="str">
        <f t="shared" si="92"/>
        <v>2018</v>
      </c>
      <c r="E5913">
        <v>31</v>
      </c>
      <c r="F5913">
        <v>121626</v>
      </c>
      <c r="G5913">
        <v>0.03</v>
      </c>
      <c r="H5913" t="s">
        <v>10</v>
      </c>
      <c r="I5913" t="s">
        <v>11</v>
      </c>
    </row>
    <row r="5914" spans="1:9" hidden="1" x14ac:dyDescent="0.25">
      <c r="A5914" t="s">
        <v>17</v>
      </c>
      <c r="B5914" t="s">
        <v>115</v>
      </c>
      <c r="C5914">
        <v>201811</v>
      </c>
      <c r="D5914" t="str">
        <f t="shared" si="92"/>
        <v>2018</v>
      </c>
      <c r="E5914">
        <v>12</v>
      </c>
      <c r="F5914">
        <v>121626</v>
      </c>
      <c r="G5914">
        <v>0.01</v>
      </c>
      <c r="H5914" t="s">
        <v>10</v>
      </c>
      <c r="I5914" t="s">
        <v>11</v>
      </c>
    </row>
    <row r="5915" spans="1:9" hidden="1" x14ac:dyDescent="0.25">
      <c r="A5915" t="s">
        <v>17</v>
      </c>
      <c r="B5915" t="s">
        <v>115</v>
      </c>
      <c r="C5915">
        <v>201812</v>
      </c>
      <c r="D5915" t="str">
        <f t="shared" si="92"/>
        <v>2018</v>
      </c>
      <c r="E5915">
        <v>17</v>
      </c>
      <c r="F5915">
        <v>121626</v>
      </c>
      <c r="G5915">
        <v>0.01</v>
      </c>
      <c r="H5915" t="s">
        <v>10</v>
      </c>
      <c r="I5915" t="s">
        <v>11</v>
      </c>
    </row>
    <row r="5916" spans="1:9" hidden="1" x14ac:dyDescent="0.25">
      <c r="A5916" t="s">
        <v>17</v>
      </c>
      <c r="B5916" t="s">
        <v>115</v>
      </c>
      <c r="C5916">
        <v>201907</v>
      </c>
      <c r="D5916" t="str">
        <f t="shared" si="92"/>
        <v>2019</v>
      </c>
      <c r="E5916">
        <v>16</v>
      </c>
      <c r="F5916">
        <v>121626</v>
      </c>
      <c r="G5916">
        <v>0.01</v>
      </c>
      <c r="H5916" t="s">
        <v>10</v>
      </c>
      <c r="I5916" t="s">
        <v>11</v>
      </c>
    </row>
    <row r="5917" spans="1:9" hidden="1" x14ac:dyDescent="0.25">
      <c r="A5917" t="s">
        <v>17</v>
      </c>
      <c r="B5917" t="s">
        <v>115</v>
      </c>
      <c r="C5917">
        <v>202111</v>
      </c>
      <c r="D5917" t="str">
        <f t="shared" si="92"/>
        <v>2021</v>
      </c>
      <c r="E5917">
        <v>3</v>
      </c>
      <c r="F5917">
        <v>121626</v>
      </c>
      <c r="G5917">
        <v>0</v>
      </c>
      <c r="H5917" t="s">
        <v>10</v>
      </c>
      <c r="I5917" t="s">
        <v>11</v>
      </c>
    </row>
    <row r="5918" spans="1:9" hidden="1" x14ac:dyDescent="0.25">
      <c r="A5918" t="s">
        <v>17</v>
      </c>
      <c r="B5918" t="s">
        <v>115</v>
      </c>
      <c r="C5918">
        <v>202201</v>
      </c>
      <c r="D5918" t="str">
        <f t="shared" si="92"/>
        <v>2022</v>
      </c>
      <c r="E5918">
        <v>41</v>
      </c>
      <c r="F5918">
        <v>121626</v>
      </c>
      <c r="G5918">
        <v>0.03</v>
      </c>
      <c r="H5918" t="s">
        <v>10</v>
      </c>
      <c r="I5918" t="s">
        <v>11</v>
      </c>
    </row>
    <row r="5919" spans="1:9" hidden="1" x14ac:dyDescent="0.25">
      <c r="A5919" t="s">
        <v>17</v>
      </c>
      <c r="B5919" t="s">
        <v>115</v>
      </c>
      <c r="C5919">
        <v>202202</v>
      </c>
      <c r="D5919" t="str">
        <f t="shared" si="92"/>
        <v>2022</v>
      </c>
      <c r="E5919">
        <v>41</v>
      </c>
      <c r="F5919">
        <v>121626</v>
      </c>
      <c r="G5919">
        <v>0.03</v>
      </c>
      <c r="H5919" t="s">
        <v>10</v>
      </c>
      <c r="I5919" t="s">
        <v>11</v>
      </c>
    </row>
    <row r="5920" spans="1:9" hidden="1" x14ac:dyDescent="0.25">
      <c r="A5920" t="s">
        <v>17</v>
      </c>
      <c r="B5920" t="s">
        <v>115</v>
      </c>
      <c r="C5920">
        <v>202203</v>
      </c>
      <c r="D5920" t="str">
        <f t="shared" si="92"/>
        <v>2022</v>
      </c>
      <c r="E5920">
        <v>47</v>
      </c>
      <c r="F5920">
        <v>121626</v>
      </c>
      <c r="G5920">
        <v>0.04</v>
      </c>
      <c r="H5920" t="s">
        <v>10</v>
      </c>
      <c r="I5920" t="s">
        <v>11</v>
      </c>
    </row>
    <row r="5921" spans="1:9" hidden="1" x14ac:dyDescent="0.25">
      <c r="A5921" t="s">
        <v>17</v>
      </c>
      <c r="B5921" t="s">
        <v>115</v>
      </c>
      <c r="C5921">
        <v>202204</v>
      </c>
      <c r="D5921" t="str">
        <f t="shared" si="92"/>
        <v>2022</v>
      </c>
      <c r="E5921">
        <v>64</v>
      </c>
      <c r="F5921">
        <v>121626</v>
      </c>
      <c r="G5921">
        <v>0.05</v>
      </c>
      <c r="H5921" t="s">
        <v>10</v>
      </c>
      <c r="I5921" t="s">
        <v>11</v>
      </c>
    </row>
    <row r="5922" spans="1:9" hidden="1" x14ac:dyDescent="0.25">
      <c r="A5922" t="s">
        <v>17</v>
      </c>
      <c r="B5922" t="s">
        <v>115</v>
      </c>
      <c r="C5922">
        <v>202205</v>
      </c>
      <c r="D5922" t="str">
        <f t="shared" si="92"/>
        <v>2022</v>
      </c>
      <c r="E5922">
        <v>33</v>
      </c>
      <c r="F5922">
        <v>121626</v>
      </c>
      <c r="G5922">
        <v>0.03</v>
      </c>
      <c r="H5922" t="s">
        <v>10</v>
      </c>
      <c r="I5922" t="s">
        <v>11</v>
      </c>
    </row>
    <row r="5923" spans="1:9" hidden="1" x14ac:dyDescent="0.25">
      <c r="A5923" t="s">
        <v>17</v>
      </c>
      <c r="B5923" t="s">
        <v>115</v>
      </c>
      <c r="C5923">
        <v>202206</v>
      </c>
      <c r="D5923" t="str">
        <f t="shared" si="92"/>
        <v>2022</v>
      </c>
      <c r="E5923">
        <v>70</v>
      </c>
      <c r="F5923">
        <v>121626</v>
      </c>
      <c r="G5923">
        <v>0.06</v>
      </c>
      <c r="H5923" t="s">
        <v>10</v>
      </c>
      <c r="I5923" t="s">
        <v>11</v>
      </c>
    </row>
    <row r="5924" spans="1:9" hidden="1" x14ac:dyDescent="0.25">
      <c r="A5924" t="s">
        <v>17</v>
      </c>
      <c r="B5924" t="s">
        <v>115</v>
      </c>
      <c r="C5924">
        <v>202207</v>
      </c>
      <c r="D5924" t="str">
        <f t="shared" si="92"/>
        <v>2022</v>
      </c>
      <c r="E5924">
        <v>35</v>
      </c>
      <c r="F5924">
        <v>121626</v>
      </c>
      <c r="G5924">
        <v>0.03</v>
      </c>
      <c r="H5924" t="s">
        <v>10</v>
      </c>
      <c r="I5924" t="s">
        <v>11</v>
      </c>
    </row>
    <row r="5925" spans="1:9" hidden="1" x14ac:dyDescent="0.25">
      <c r="A5925" t="s">
        <v>17</v>
      </c>
      <c r="B5925" t="s">
        <v>115</v>
      </c>
      <c r="C5925">
        <v>202208</v>
      </c>
      <c r="D5925" t="str">
        <f t="shared" si="92"/>
        <v>2022</v>
      </c>
      <c r="E5925">
        <v>63</v>
      </c>
      <c r="F5925">
        <v>121626</v>
      </c>
      <c r="G5925">
        <v>0.05</v>
      </c>
      <c r="H5925" t="s">
        <v>10</v>
      </c>
      <c r="I5925" t="s">
        <v>11</v>
      </c>
    </row>
    <row r="5926" spans="1:9" hidden="1" x14ac:dyDescent="0.25">
      <c r="A5926" t="s">
        <v>17</v>
      </c>
      <c r="B5926" t="s">
        <v>115</v>
      </c>
      <c r="C5926">
        <v>202209</v>
      </c>
      <c r="D5926" t="str">
        <f t="shared" si="92"/>
        <v>2022</v>
      </c>
      <c r="E5926">
        <v>95</v>
      </c>
      <c r="F5926">
        <v>121626</v>
      </c>
      <c r="G5926">
        <v>0.08</v>
      </c>
      <c r="H5926" t="s">
        <v>10</v>
      </c>
      <c r="I5926" t="s">
        <v>11</v>
      </c>
    </row>
    <row r="5927" spans="1:9" hidden="1" x14ac:dyDescent="0.25">
      <c r="A5927" t="s">
        <v>17</v>
      </c>
      <c r="B5927" t="s">
        <v>115</v>
      </c>
      <c r="C5927">
        <v>202210</v>
      </c>
      <c r="D5927" t="str">
        <f t="shared" si="92"/>
        <v>2022</v>
      </c>
      <c r="E5927">
        <v>98</v>
      </c>
      <c r="F5927">
        <v>121626</v>
      </c>
      <c r="G5927">
        <v>0.08</v>
      </c>
      <c r="H5927" t="s">
        <v>10</v>
      </c>
      <c r="I5927" t="s">
        <v>11</v>
      </c>
    </row>
    <row r="5928" spans="1:9" hidden="1" x14ac:dyDescent="0.25">
      <c r="A5928" t="s">
        <v>17</v>
      </c>
      <c r="B5928" t="s">
        <v>115</v>
      </c>
      <c r="C5928">
        <v>202211</v>
      </c>
      <c r="D5928" t="str">
        <f t="shared" si="92"/>
        <v>2022</v>
      </c>
      <c r="E5928">
        <v>77</v>
      </c>
      <c r="F5928">
        <v>121626</v>
      </c>
      <c r="G5928">
        <v>0.06</v>
      </c>
      <c r="H5928" t="s">
        <v>10</v>
      </c>
      <c r="I5928" t="s">
        <v>11</v>
      </c>
    </row>
    <row r="5929" spans="1:9" hidden="1" x14ac:dyDescent="0.25">
      <c r="A5929" t="s">
        <v>17</v>
      </c>
      <c r="B5929" t="s">
        <v>115</v>
      </c>
      <c r="C5929">
        <v>202212</v>
      </c>
      <c r="D5929" t="str">
        <f t="shared" si="92"/>
        <v>2022</v>
      </c>
      <c r="E5929">
        <v>51</v>
      </c>
      <c r="F5929">
        <v>121626</v>
      </c>
      <c r="G5929">
        <v>0.04</v>
      </c>
      <c r="H5929" t="s">
        <v>10</v>
      </c>
      <c r="I5929" t="s">
        <v>11</v>
      </c>
    </row>
    <row r="5930" spans="1:9" hidden="1" x14ac:dyDescent="0.25">
      <c r="A5930" t="s">
        <v>17</v>
      </c>
      <c r="B5930" t="s">
        <v>115</v>
      </c>
      <c r="C5930">
        <v>202301</v>
      </c>
      <c r="D5930" t="str">
        <f t="shared" si="92"/>
        <v>2023</v>
      </c>
      <c r="E5930">
        <v>7527</v>
      </c>
      <c r="F5930">
        <v>121626</v>
      </c>
      <c r="G5930">
        <v>6.19</v>
      </c>
      <c r="H5930" t="s">
        <v>10</v>
      </c>
      <c r="I5930" t="s">
        <v>11</v>
      </c>
    </row>
    <row r="5931" spans="1:9" hidden="1" x14ac:dyDescent="0.25">
      <c r="A5931" t="s">
        <v>17</v>
      </c>
      <c r="B5931" t="s">
        <v>115</v>
      </c>
      <c r="C5931">
        <v>202302</v>
      </c>
      <c r="D5931" t="str">
        <f t="shared" si="92"/>
        <v>2023</v>
      </c>
      <c r="E5931">
        <v>6976</v>
      </c>
      <c r="F5931">
        <v>121626</v>
      </c>
      <c r="G5931">
        <v>5.74</v>
      </c>
      <c r="H5931" t="s">
        <v>10</v>
      </c>
      <c r="I5931" t="s">
        <v>11</v>
      </c>
    </row>
    <row r="5932" spans="1:9" hidden="1" x14ac:dyDescent="0.25">
      <c r="A5932" t="s">
        <v>17</v>
      </c>
      <c r="B5932" t="s">
        <v>115</v>
      </c>
      <c r="C5932">
        <v>202303</v>
      </c>
      <c r="D5932" t="str">
        <f t="shared" si="92"/>
        <v>2023</v>
      </c>
      <c r="E5932">
        <v>8349</v>
      </c>
      <c r="F5932">
        <v>121626</v>
      </c>
      <c r="G5932">
        <v>6.86</v>
      </c>
      <c r="H5932" t="s">
        <v>10</v>
      </c>
      <c r="I5932" t="s">
        <v>11</v>
      </c>
    </row>
    <row r="5933" spans="1:9" hidden="1" x14ac:dyDescent="0.25">
      <c r="A5933" t="s">
        <v>17</v>
      </c>
      <c r="B5933" t="s">
        <v>115</v>
      </c>
      <c r="C5933">
        <v>202304</v>
      </c>
      <c r="D5933" t="str">
        <f t="shared" si="92"/>
        <v>2023</v>
      </c>
      <c r="E5933">
        <v>7607</v>
      </c>
      <c r="F5933">
        <v>121626</v>
      </c>
      <c r="G5933">
        <v>6.25</v>
      </c>
      <c r="H5933" t="s">
        <v>10</v>
      </c>
      <c r="I5933" t="s">
        <v>11</v>
      </c>
    </row>
    <row r="5934" spans="1:9" hidden="1" x14ac:dyDescent="0.25">
      <c r="A5934" t="s">
        <v>17</v>
      </c>
      <c r="B5934" t="s">
        <v>115</v>
      </c>
      <c r="C5934">
        <v>202305</v>
      </c>
      <c r="D5934" t="str">
        <f t="shared" si="92"/>
        <v>2023</v>
      </c>
      <c r="E5934">
        <v>8716</v>
      </c>
      <c r="F5934">
        <v>121626</v>
      </c>
      <c r="G5934">
        <v>7.17</v>
      </c>
      <c r="H5934" t="s">
        <v>10</v>
      </c>
      <c r="I5934" t="s">
        <v>11</v>
      </c>
    </row>
    <row r="5935" spans="1:9" hidden="1" x14ac:dyDescent="0.25">
      <c r="A5935" t="s">
        <v>17</v>
      </c>
      <c r="B5935" t="s">
        <v>115</v>
      </c>
      <c r="C5935">
        <v>202306</v>
      </c>
      <c r="D5935" t="str">
        <f t="shared" si="92"/>
        <v>2023</v>
      </c>
      <c r="E5935">
        <v>7366</v>
      </c>
      <c r="F5935">
        <v>121626</v>
      </c>
      <c r="G5935">
        <v>6.06</v>
      </c>
      <c r="H5935" t="s">
        <v>10</v>
      </c>
      <c r="I5935" t="s">
        <v>11</v>
      </c>
    </row>
    <row r="5936" spans="1:9" hidden="1" x14ac:dyDescent="0.25">
      <c r="A5936" t="s">
        <v>17</v>
      </c>
      <c r="B5936" t="s">
        <v>115</v>
      </c>
      <c r="C5936">
        <v>202307</v>
      </c>
      <c r="D5936" t="str">
        <f t="shared" si="92"/>
        <v>2023</v>
      </c>
      <c r="E5936">
        <v>6419</v>
      </c>
      <c r="F5936">
        <v>121626</v>
      </c>
      <c r="G5936">
        <v>5.28</v>
      </c>
      <c r="H5936" t="s">
        <v>10</v>
      </c>
      <c r="I5936" t="s">
        <v>11</v>
      </c>
    </row>
    <row r="5937" spans="1:9" hidden="1" x14ac:dyDescent="0.25">
      <c r="A5937" t="s">
        <v>17</v>
      </c>
      <c r="B5937" t="s">
        <v>115</v>
      </c>
      <c r="C5937">
        <v>202308</v>
      </c>
      <c r="D5937" t="str">
        <f t="shared" si="92"/>
        <v>2023</v>
      </c>
      <c r="E5937">
        <v>6521</v>
      </c>
      <c r="F5937">
        <v>121626</v>
      </c>
      <c r="G5937">
        <v>5.36</v>
      </c>
      <c r="H5937" t="s">
        <v>10</v>
      </c>
      <c r="I5937" t="s">
        <v>11</v>
      </c>
    </row>
    <row r="5938" spans="1:9" hidden="1" x14ac:dyDescent="0.25">
      <c r="A5938" t="s">
        <v>17</v>
      </c>
      <c r="B5938" t="s">
        <v>115</v>
      </c>
      <c r="C5938">
        <v>202309</v>
      </c>
      <c r="D5938" t="str">
        <f t="shared" si="92"/>
        <v>2023</v>
      </c>
      <c r="E5938">
        <v>3873</v>
      </c>
      <c r="F5938">
        <v>121626</v>
      </c>
      <c r="G5938">
        <v>3.18</v>
      </c>
      <c r="H5938" t="s">
        <v>10</v>
      </c>
      <c r="I5938" t="s">
        <v>11</v>
      </c>
    </row>
    <row r="5939" spans="1:9" hidden="1" x14ac:dyDescent="0.25">
      <c r="A5939" t="s">
        <v>17</v>
      </c>
      <c r="B5939" t="s">
        <v>115</v>
      </c>
      <c r="C5939">
        <v>202310</v>
      </c>
      <c r="D5939" t="str">
        <f t="shared" si="92"/>
        <v>2023</v>
      </c>
      <c r="E5939">
        <v>680</v>
      </c>
      <c r="F5939">
        <v>121626</v>
      </c>
      <c r="G5939">
        <v>0.56000000000000005</v>
      </c>
      <c r="H5939" t="s">
        <v>10</v>
      </c>
      <c r="I5939" t="s">
        <v>11</v>
      </c>
    </row>
    <row r="5940" spans="1:9" hidden="1" x14ac:dyDescent="0.25">
      <c r="A5940" t="s">
        <v>17</v>
      </c>
      <c r="B5940" t="s">
        <v>115</v>
      </c>
      <c r="C5940">
        <v>202311</v>
      </c>
      <c r="D5940" t="str">
        <f t="shared" si="92"/>
        <v>2023</v>
      </c>
      <c r="E5940">
        <v>583</v>
      </c>
      <c r="F5940">
        <v>121626</v>
      </c>
      <c r="G5940">
        <v>0.48</v>
      </c>
      <c r="H5940" t="s">
        <v>10</v>
      </c>
      <c r="I5940" t="s">
        <v>11</v>
      </c>
    </row>
    <row r="5941" spans="1:9" hidden="1" x14ac:dyDescent="0.25">
      <c r="A5941" t="s">
        <v>17</v>
      </c>
      <c r="B5941" t="s">
        <v>115</v>
      </c>
      <c r="C5941">
        <v>202312</v>
      </c>
      <c r="D5941" t="str">
        <f t="shared" si="92"/>
        <v>2023</v>
      </c>
      <c r="E5941">
        <v>597</v>
      </c>
      <c r="F5941">
        <v>121626</v>
      </c>
      <c r="G5941">
        <v>0.49</v>
      </c>
      <c r="H5941" t="s">
        <v>10</v>
      </c>
      <c r="I5941" t="s">
        <v>11</v>
      </c>
    </row>
    <row r="5942" spans="1:9" hidden="1" x14ac:dyDescent="0.25">
      <c r="A5942" t="s">
        <v>17</v>
      </c>
      <c r="B5942" t="s">
        <v>115</v>
      </c>
      <c r="C5942">
        <v>202401</v>
      </c>
      <c r="D5942" t="str">
        <f t="shared" si="92"/>
        <v>2024</v>
      </c>
      <c r="E5942">
        <v>1616</v>
      </c>
      <c r="F5942">
        <v>121626</v>
      </c>
      <c r="G5942">
        <v>1.33</v>
      </c>
      <c r="H5942" t="s">
        <v>10</v>
      </c>
      <c r="I5942" t="s">
        <v>11</v>
      </c>
    </row>
    <row r="5943" spans="1:9" hidden="1" x14ac:dyDescent="0.25">
      <c r="A5943" t="s">
        <v>17</v>
      </c>
      <c r="B5943" t="s">
        <v>115</v>
      </c>
      <c r="C5943">
        <v>202402</v>
      </c>
      <c r="D5943" t="str">
        <f t="shared" si="92"/>
        <v>2024</v>
      </c>
      <c r="E5943">
        <v>1900</v>
      </c>
      <c r="F5943">
        <v>121626</v>
      </c>
      <c r="G5943">
        <v>1.56</v>
      </c>
      <c r="H5943" t="s">
        <v>10</v>
      </c>
      <c r="I5943" t="s">
        <v>11</v>
      </c>
    </row>
    <row r="5944" spans="1:9" hidden="1" x14ac:dyDescent="0.25">
      <c r="A5944" t="s">
        <v>17</v>
      </c>
      <c r="B5944" t="s">
        <v>115</v>
      </c>
      <c r="C5944">
        <v>202403</v>
      </c>
      <c r="D5944" t="str">
        <f t="shared" si="92"/>
        <v>2024</v>
      </c>
      <c r="E5944">
        <v>3693</v>
      </c>
      <c r="F5944">
        <v>121626</v>
      </c>
      <c r="G5944">
        <v>3.04</v>
      </c>
      <c r="H5944" t="s">
        <v>10</v>
      </c>
      <c r="I5944" t="s">
        <v>11</v>
      </c>
    </row>
    <row r="5945" spans="1:9" hidden="1" x14ac:dyDescent="0.25">
      <c r="A5945" t="s">
        <v>17</v>
      </c>
      <c r="B5945" t="s">
        <v>115</v>
      </c>
      <c r="C5945">
        <v>202404</v>
      </c>
      <c r="D5945" t="str">
        <f t="shared" si="92"/>
        <v>2024</v>
      </c>
      <c r="E5945">
        <v>26632</v>
      </c>
      <c r="F5945">
        <v>121626</v>
      </c>
      <c r="G5945">
        <v>21.9</v>
      </c>
      <c r="H5945" t="s">
        <v>10</v>
      </c>
      <c r="I5945" t="s">
        <v>11</v>
      </c>
    </row>
    <row r="5946" spans="1:9" hidden="1" x14ac:dyDescent="0.25">
      <c r="A5946" t="s">
        <v>17</v>
      </c>
      <c r="B5946" t="s">
        <v>115</v>
      </c>
      <c r="C5946">
        <v>202405</v>
      </c>
      <c r="D5946" t="str">
        <f t="shared" si="92"/>
        <v>2024</v>
      </c>
      <c r="E5946">
        <v>21700</v>
      </c>
      <c r="F5946">
        <v>121626</v>
      </c>
      <c r="G5946">
        <v>17.84</v>
      </c>
      <c r="H5946" t="s">
        <v>10</v>
      </c>
      <c r="I5946" t="s">
        <v>11</v>
      </c>
    </row>
    <row r="5947" spans="1:9" hidden="1" x14ac:dyDescent="0.25">
      <c r="A5947" t="s">
        <v>17</v>
      </c>
      <c r="B5947" t="s">
        <v>140</v>
      </c>
      <c r="C5947">
        <v>201909</v>
      </c>
      <c r="D5947" t="str">
        <f t="shared" si="92"/>
        <v>2019</v>
      </c>
      <c r="E5947">
        <v>1</v>
      </c>
      <c r="F5947">
        <v>157525</v>
      </c>
      <c r="G5947">
        <v>0</v>
      </c>
      <c r="H5947" t="s">
        <v>10</v>
      </c>
      <c r="I5947" t="s">
        <v>11</v>
      </c>
    </row>
    <row r="5948" spans="1:9" hidden="1" x14ac:dyDescent="0.25">
      <c r="A5948" t="s">
        <v>17</v>
      </c>
      <c r="B5948" t="s">
        <v>140</v>
      </c>
      <c r="C5948">
        <v>202106</v>
      </c>
      <c r="D5948" t="str">
        <f t="shared" si="92"/>
        <v>2021</v>
      </c>
      <c r="E5948">
        <v>1</v>
      </c>
      <c r="F5948">
        <v>157525</v>
      </c>
      <c r="G5948">
        <v>0</v>
      </c>
      <c r="H5948" t="s">
        <v>10</v>
      </c>
      <c r="I5948" t="s">
        <v>11</v>
      </c>
    </row>
    <row r="5949" spans="1:9" hidden="1" x14ac:dyDescent="0.25">
      <c r="A5949" t="s">
        <v>17</v>
      </c>
      <c r="B5949" t="s">
        <v>140</v>
      </c>
      <c r="C5949">
        <v>202201</v>
      </c>
      <c r="D5949" t="str">
        <f t="shared" si="92"/>
        <v>2022</v>
      </c>
      <c r="E5949">
        <v>6</v>
      </c>
      <c r="F5949">
        <v>157525</v>
      </c>
      <c r="G5949">
        <v>0</v>
      </c>
      <c r="H5949" t="s">
        <v>10</v>
      </c>
      <c r="I5949" t="s">
        <v>11</v>
      </c>
    </row>
    <row r="5950" spans="1:9" hidden="1" x14ac:dyDescent="0.25">
      <c r="A5950" t="s">
        <v>17</v>
      </c>
      <c r="B5950" t="s">
        <v>140</v>
      </c>
      <c r="C5950">
        <v>202202</v>
      </c>
      <c r="D5950" t="str">
        <f t="shared" si="92"/>
        <v>2022</v>
      </c>
      <c r="E5950">
        <v>4</v>
      </c>
      <c r="F5950">
        <v>157525</v>
      </c>
      <c r="G5950">
        <v>0</v>
      </c>
      <c r="H5950" t="s">
        <v>10</v>
      </c>
      <c r="I5950" t="s">
        <v>11</v>
      </c>
    </row>
    <row r="5951" spans="1:9" hidden="1" x14ac:dyDescent="0.25">
      <c r="A5951" t="s">
        <v>17</v>
      </c>
      <c r="B5951" t="s">
        <v>140</v>
      </c>
      <c r="C5951">
        <v>202203</v>
      </c>
      <c r="D5951" t="str">
        <f t="shared" si="92"/>
        <v>2022</v>
      </c>
      <c r="E5951">
        <v>18</v>
      </c>
      <c r="F5951">
        <v>157525</v>
      </c>
      <c r="G5951">
        <v>0.01</v>
      </c>
      <c r="H5951" t="s">
        <v>10</v>
      </c>
      <c r="I5951" t="s">
        <v>11</v>
      </c>
    </row>
    <row r="5952" spans="1:9" hidden="1" x14ac:dyDescent="0.25">
      <c r="A5952" t="s">
        <v>17</v>
      </c>
      <c r="B5952" t="s">
        <v>140</v>
      </c>
      <c r="C5952">
        <v>202204</v>
      </c>
      <c r="D5952" t="str">
        <f t="shared" si="92"/>
        <v>2022</v>
      </c>
      <c r="E5952">
        <v>18</v>
      </c>
      <c r="F5952">
        <v>157525</v>
      </c>
      <c r="G5952">
        <v>0.01</v>
      </c>
      <c r="H5952" t="s">
        <v>10</v>
      </c>
      <c r="I5952" t="s">
        <v>11</v>
      </c>
    </row>
    <row r="5953" spans="1:9" hidden="1" x14ac:dyDescent="0.25">
      <c r="A5953" t="s">
        <v>17</v>
      </c>
      <c r="B5953" t="s">
        <v>140</v>
      </c>
      <c r="C5953">
        <v>202205</v>
      </c>
      <c r="D5953" t="str">
        <f t="shared" si="92"/>
        <v>2022</v>
      </c>
      <c r="E5953">
        <v>14</v>
      </c>
      <c r="F5953">
        <v>157525</v>
      </c>
      <c r="G5953">
        <v>0.01</v>
      </c>
      <c r="H5953" t="s">
        <v>10</v>
      </c>
      <c r="I5953" t="s">
        <v>11</v>
      </c>
    </row>
    <row r="5954" spans="1:9" hidden="1" x14ac:dyDescent="0.25">
      <c r="A5954" t="s">
        <v>17</v>
      </c>
      <c r="B5954" t="s">
        <v>140</v>
      </c>
      <c r="C5954">
        <v>202206</v>
      </c>
      <c r="D5954" t="str">
        <f t="shared" si="92"/>
        <v>2022</v>
      </c>
      <c r="E5954">
        <v>11</v>
      </c>
      <c r="F5954">
        <v>157525</v>
      </c>
      <c r="G5954">
        <v>0.01</v>
      </c>
      <c r="H5954" t="s">
        <v>10</v>
      </c>
      <c r="I5954" t="s">
        <v>11</v>
      </c>
    </row>
    <row r="5955" spans="1:9" hidden="1" x14ac:dyDescent="0.25">
      <c r="A5955" t="s">
        <v>17</v>
      </c>
      <c r="B5955" t="s">
        <v>140</v>
      </c>
      <c r="C5955">
        <v>202207</v>
      </c>
      <c r="D5955" t="str">
        <f t="shared" ref="D5955:D6018" si="93">LEFT(C5955,4)</f>
        <v>2022</v>
      </c>
      <c r="E5955">
        <v>4</v>
      </c>
      <c r="F5955">
        <v>157525</v>
      </c>
      <c r="G5955">
        <v>0</v>
      </c>
      <c r="H5955" t="s">
        <v>10</v>
      </c>
      <c r="I5955" t="s">
        <v>11</v>
      </c>
    </row>
    <row r="5956" spans="1:9" hidden="1" x14ac:dyDescent="0.25">
      <c r="A5956" t="s">
        <v>17</v>
      </c>
      <c r="B5956" t="s">
        <v>140</v>
      </c>
      <c r="C5956">
        <v>202208</v>
      </c>
      <c r="D5956" t="str">
        <f t="shared" si="93"/>
        <v>2022</v>
      </c>
      <c r="E5956">
        <v>9</v>
      </c>
      <c r="F5956">
        <v>157525</v>
      </c>
      <c r="G5956">
        <v>0.01</v>
      </c>
      <c r="H5956" t="s">
        <v>10</v>
      </c>
      <c r="I5956" t="s">
        <v>11</v>
      </c>
    </row>
    <row r="5957" spans="1:9" hidden="1" x14ac:dyDescent="0.25">
      <c r="A5957" t="s">
        <v>17</v>
      </c>
      <c r="B5957" t="s">
        <v>140</v>
      </c>
      <c r="C5957">
        <v>202210</v>
      </c>
      <c r="D5957" t="str">
        <f t="shared" si="93"/>
        <v>2022</v>
      </c>
      <c r="E5957">
        <v>5</v>
      </c>
      <c r="F5957">
        <v>157525</v>
      </c>
      <c r="G5957">
        <v>0</v>
      </c>
      <c r="H5957" t="s">
        <v>10</v>
      </c>
      <c r="I5957" t="s">
        <v>11</v>
      </c>
    </row>
    <row r="5958" spans="1:9" hidden="1" x14ac:dyDescent="0.25">
      <c r="A5958" t="s">
        <v>17</v>
      </c>
      <c r="B5958" t="s">
        <v>140</v>
      </c>
      <c r="C5958">
        <v>202211</v>
      </c>
      <c r="D5958" t="str">
        <f t="shared" si="93"/>
        <v>2022</v>
      </c>
      <c r="E5958">
        <v>14</v>
      </c>
      <c r="F5958">
        <v>157525</v>
      </c>
      <c r="G5958">
        <v>0.01</v>
      </c>
      <c r="H5958" t="s">
        <v>10</v>
      </c>
      <c r="I5958" t="s">
        <v>11</v>
      </c>
    </row>
    <row r="5959" spans="1:9" hidden="1" x14ac:dyDescent="0.25">
      <c r="A5959" t="s">
        <v>17</v>
      </c>
      <c r="B5959" t="s">
        <v>140</v>
      </c>
      <c r="C5959">
        <v>202212</v>
      </c>
      <c r="D5959" t="str">
        <f t="shared" si="93"/>
        <v>2022</v>
      </c>
      <c r="E5959">
        <v>14</v>
      </c>
      <c r="F5959">
        <v>157525</v>
      </c>
      <c r="G5959">
        <v>0.01</v>
      </c>
      <c r="H5959" t="s">
        <v>10</v>
      </c>
      <c r="I5959" t="s">
        <v>11</v>
      </c>
    </row>
    <row r="5960" spans="1:9" hidden="1" x14ac:dyDescent="0.25">
      <c r="A5960" t="s">
        <v>17</v>
      </c>
      <c r="B5960" t="s">
        <v>140</v>
      </c>
      <c r="C5960">
        <v>202301</v>
      </c>
      <c r="D5960" t="str">
        <f t="shared" si="93"/>
        <v>2023</v>
      </c>
      <c r="E5960">
        <v>12169</v>
      </c>
      <c r="F5960">
        <v>157525</v>
      </c>
      <c r="G5960">
        <v>7.73</v>
      </c>
      <c r="H5960" t="s">
        <v>10</v>
      </c>
      <c r="I5960" t="s">
        <v>11</v>
      </c>
    </row>
    <row r="5961" spans="1:9" hidden="1" x14ac:dyDescent="0.25">
      <c r="A5961" t="s">
        <v>17</v>
      </c>
      <c r="B5961" t="s">
        <v>140</v>
      </c>
      <c r="C5961">
        <v>202302</v>
      </c>
      <c r="D5961" t="str">
        <f t="shared" si="93"/>
        <v>2023</v>
      </c>
      <c r="E5961">
        <v>11256</v>
      </c>
      <c r="F5961">
        <v>157525</v>
      </c>
      <c r="G5961">
        <v>7.15</v>
      </c>
      <c r="H5961" t="s">
        <v>10</v>
      </c>
      <c r="I5961" t="s">
        <v>11</v>
      </c>
    </row>
    <row r="5962" spans="1:9" hidden="1" x14ac:dyDescent="0.25">
      <c r="A5962" t="s">
        <v>17</v>
      </c>
      <c r="B5962" t="s">
        <v>140</v>
      </c>
      <c r="C5962">
        <v>202303</v>
      </c>
      <c r="D5962" t="str">
        <f t="shared" si="93"/>
        <v>2023</v>
      </c>
      <c r="E5962">
        <v>12974</v>
      </c>
      <c r="F5962">
        <v>157525</v>
      </c>
      <c r="G5962">
        <v>8.24</v>
      </c>
      <c r="H5962" t="s">
        <v>10</v>
      </c>
      <c r="I5962" t="s">
        <v>11</v>
      </c>
    </row>
    <row r="5963" spans="1:9" hidden="1" x14ac:dyDescent="0.25">
      <c r="A5963" t="s">
        <v>17</v>
      </c>
      <c r="B5963" t="s">
        <v>140</v>
      </c>
      <c r="C5963">
        <v>202304</v>
      </c>
      <c r="D5963" t="str">
        <f t="shared" si="93"/>
        <v>2023</v>
      </c>
      <c r="E5963">
        <v>11715</v>
      </c>
      <c r="F5963">
        <v>157525</v>
      </c>
      <c r="G5963">
        <v>7.44</v>
      </c>
      <c r="H5963" t="s">
        <v>10</v>
      </c>
      <c r="I5963" t="s">
        <v>11</v>
      </c>
    </row>
    <row r="5964" spans="1:9" hidden="1" x14ac:dyDescent="0.25">
      <c r="A5964" t="s">
        <v>17</v>
      </c>
      <c r="B5964" t="s">
        <v>140</v>
      </c>
      <c r="C5964">
        <v>202305</v>
      </c>
      <c r="D5964" t="str">
        <f t="shared" si="93"/>
        <v>2023</v>
      </c>
      <c r="E5964">
        <v>12432</v>
      </c>
      <c r="F5964">
        <v>157525</v>
      </c>
      <c r="G5964">
        <v>7.89</v>
      </c>
      <c r="H5964" t="s">
        <v>10</v>
      </c>
      <c r="I5964" t="s">
        <v>11</v>
      </c>
    </row>
    <row r="5965" spans="1:9" hidden="1" x14ac:dyDescent="0.25">
      <c r="A5965" t="s">
        <v>17</v>
      </c>
      <c r="B5965" t="s">
        <v>140</v>
      </c>
      <c r="C5965">
        <v>202306</v>
      </c>
      <c r="D5965" t="str">
        <f t="shared" si="93"/>
        <v>2023</v>
      </c>
      <c r="E5965">
        <v>12047</v>
      </c>
      <c r="F5965">
        <v>157525</v>
      </c>
      <c r="G5965">
        <v>7.65</v>
      </c>
      <c r="H5965" t="s">
        <v>10</v>
      </c>
      <c r="I5965" t="s">
        <v>11</v>
      </c>
    </row>
    <row r="5966" spans="1:9" hidden="1" x14ac:dyDescent="0.25">
      <c r="A5966" t="s">
        <v>17</v>
      </c>
      <c r="B5966" t="s">
        <v>140</v>
      </c>
      <c r="C5966">
        <v>202307</v>
      </c>
      <c r="D5966" t="str">
        <f t="shared" si="93"/>
        <v>2023</v>
      </c>
      <c r="E5966">
        <v>9801</v>
      </c>
      <c r="F5966">
        <v>157525</v>
      </c>
      <c r="G5966">
        <v>6.22</v>
      </c>
      <c r="H5966" t="s">
        <v>10</v>
      </c>
      <c r="I5966" t="s">
        <v>11</v>
      </c>
    </row>
    <row r="5967" spans="1:9" hidden="1" x14ac:dyDescent="0.25">
      <c r="A5967" t="s">
        <v>17</v>
      </c>
      <c r="B5967" t="s">
        <v>140</v>
      </c>
      <c r="C5967">
        <v>202308</v>
      </c>
      <c r="D5967" t="str">
        <f t="shared" si="93"/>
        <v>2023</v>
      </c>
      <c r="E5967">
        <v>9475</v>
      </c>
      <c r="F5967">
        <v>157525</v>
      </c>
      <c r="G5967">
        <v>6.01</v>
      </c>
      <c r="H5967" t="s">
        <v>10</v>
      </c>
      <c r="I5967" t="s">
        <v>11</v>
      </c>
    </row>
    <row r="5968" spans="1:9" hidden="1" x14ac:dyDescent="0.25">
      <c r="A5968" t="s">
        <v>17</v>
      </c>
      <c r="B5968" t="s">
        <v>140</v>
      </c>
      <c r="C5968">
        <v>202309</v>
      </c>
      <c r="D5968" t="str">
        <f t="shared" si="93"/>
        <v>2023</v>
      </c>
      <c r="E5968">
        <v>5043</v>
      </c>
      <c r="F5968">
        <v>157525</v>
      </c>
      <c r="G5968">
        <v>3.2</v>
      </c>
      <c r="H5968" t="s">
        <v>10</v>
      </c>
      <c r="I5968" t="s">
        <v>11</v>
      </c>
    </row>
    <row r="5969" spans="1:9" hidden="1" x14ac:dyDescent="0.25">
      <c r="A5969" t="s">
        <v>17</v>
      </c>
      <c r="B5969" t="s">
        <v>140</v>
      </c>
      <c r="C5969">
        <v>202310</v>
      </c>
      <c r="D5969" t="str">
        <f t="shared" si="93"/>
        <v>2023</v>
      </c>
      <c r="E5969">
        <v>787</v>
      </c>
      <c r="F5969">
        <v>157525</v>
      </c>
      <c r="G5969">
        <v>0.5</v>
      </c>
      <c r="H5969" t="s">
        <v>10</v>
      </c>
      <c r="I5969" t="s">
        <v>11</v>
      </c>
    </row>
    <row r="5970" spans="1:9" hidden="1" x14ac:dyDescent="0.25">
      <c r="A5970" t="s">
        <v>17</v>
      </c>
      <c r="B5970" t="s">
        <v>140</v>
      </c>
      <c r="C5970">
        <v>202311</v>
      </c>
      <c r="D5970" t="str">
        <f t="shared" si="93"/>
        <v>2023</v>
      </c>
      <c r="E5970">
        <v>546</v>
      </c>
      <c r="F5970">
        <v>157525</v>
      </c>
      <c r="G5970">
        <v>0.35</v>
      </c>
      <c r="H5970" t="s">
        <v>10</v>
      </c>
      <c r="I5970" t="s">
        <v>11</v>
      </c>
    </row>
    <row r="5971" spans="1:9" hidden="1" x14ac:dyDescent="0.25">
      <c r="A5971" t="s">
        <v>17</v>
      </c>
      <c r="B5971" t="s">
        <v>140</v>
      </c>
      <c r="C5971">
        <v>202312</v>
      </c>
      <c r="D5971" t="str">
        <f t="shared" si="93"/>
        <v>2023</v>
      </c>
      <c r="E5971">
        <v>525</v>
      </c>
      <c r="F5971">
        <v>157525</v>
      </c>
      <c r="G5971">
        <v>0.33</v>
      </c>
      <c r="H5971" t="s">
        <v>10</v>
      </c>
      <c r="I5971" t="s">
        <v>11</v>
      </c>
    </row>
    <row r="5972" spans="1:9" hidden="1" x14ac:dyDescent="0.25">
      <c r="A5972" t="s">
        <v>17</v>
      </c>
      <c r="B5972" t="s">
        <v>140</v>
      </c>
      <c r="C5972">
        <v>202401</v>
      </c>
      <c r="D5972" t="str">
        <f t="shared" si="93"/>
        <v>2024</v>
      </c>
      <c r="E5972">
        <v>1241</v>
      </c>
      <c r="F5972">
        <v>157525</v>
      </c>
      <c r="G5972">
        <v>0.79</v>
      </c>
      <c r="H5972" t="s">
        <v>10</v>
      </c>
      <c r="I5972" t="s">
        <v>11</v>
      </c>
    </row>
    <row r="5973" spans="1:9" hidden="1" x14ac:dyDescent="0.25">
      <c r="A5973" t="s">
        <v>17</v>
      </c>
      <c r="B5973" t="s">
        <v>140</v>
      </c>
      <c r="C5973">
        <v>202402</v>
      </c>
      <c r="D5973" t="str">
        <f t="shared" si="93"/>
        <v>2024</v>
      </c>
      <c r="E5973">
        <v>1230</v>
      </c>
      <c r="F5973">
        <v>157525</v>
      </c>
      <c r="G5973">
        <v>0.78</v>
      </c>
      <c r="H5973" t="s">
        <v>10</v>
      </c>
      <c r="I5973" t="s">
        <v>11</v>
      </c>
    </row>
    <row r="5974" spans="1:9" hidden="1" x14ac:dyDescent="0.25">
      <c r="A5974" t="s">
        <v>17</v>
      </c>
      <c r="B5974" t="s">
        <v>140</v>
      </c>
      <c r="C5974">
        <v>202403</v>
      </c>
      <c r="D5974" t="str">
        <f t="shared" si="93"/>
        <v>2024</v>
      </c>
      <c r="E5974">
        <v>1547</v>
      </c>
      <c r="F5974">
        <v>157525</v>
      </c>
      <c r="G5974">
        <v>0.98</v>
      </c>
      <c r="H5974" t="s">
        <v>10</v>
      </c>
      <c r="I5974" t="s">
        <v>11</v>
      </c>
    </row>
    <row r="5975" spans="1:9" hidden="1" x14ac:dyDescent="0.25">
      <c r="A5975" t="s">
        <v>17</v>
      </c>
      <c r="B5975" t="s">
        <v>140</v>
      </c>
      <c r="C5975">
        <v>202404</v>
      </c>
      <c r="D5975" t="str">
        <f t="shared" si="93"/>
        <v>2024</v>
      </c>
      <c r="E5975">
        <v>3697</v>
      </c>
      <c r="F5975">
        <v>157525</v>
      </c>
      <c r="G5975">
        <v>2.35</v>
      </c>
      <c r="H5975" t="s">
        <v>10</v>
      </c>
      <c r="I5975" t="s">
        <v>11</v>
      </c>
    </row>
    <row r="5976" spans="1:9" hidden="1" x14ac:dyDescent="0.25">
      <c r="A5976" t="s">
        <v>17</v>
      </c>
      <c r="B5976" t="s">
        <v>140</v>
      </c>
      <c r="C5976">
        <v>202405</v>
      </c>
      <c r="D5976" t="str">
        <f t="shared" si="93"/>
        <v>2024</v>
      </c>
      <c r="E5976">
        <v>32055</v>
      </c>
      <c r="F5976">
        <v>157525</v>
      </c>
      <c r="G5976">
        <v>20.350000000000001</v>
      </c>
      <c r="H5976" t="s">
        <v>10</v>
      </c>
      <c r="I5976" t="s">
        <v>11</v>
      </c>
    </row>
    <row r="5977" spans="1:9" hidden="1" x14ac:dyDescent="0.25">
      <c r="A5977" t="s">
        <v>17</v>
      </c>
      <c r="B5977" t="s">
        <v>140</v>
      </c>
      <c r="C5977">
        <v>202406</v>
      </c>
      <c r="D5977" t="str">
        <f t="shared" si="93"/>
        <v>2024</v>
      </c>
      <c r="E5977">
        <v>18866</v>
      </c>
      <c r="F5977">
        <v>157525</v>
      </c>
      <c r="G5977">
        <v>11.98</v>
      </c>
      <c r="H5977" t="s">
        <v>10</v>
      </c>
      <c r="I5977" t="s">
        <v>11</v>
      </c>
    </row>
    <row r="5978" spans="1:9" hidden="1" x14ac:dyDescent="0.25">
      <c r="A5978" t="s">
        <v>17</v>
      </c>
      <c r="B5978" t="s">
        <v>168</v>
      </c>
      <c r="C5978">
        <v>201801</v>
      </c>
      <c r="D5978" t="str">
        <f t="shared" si="93"/>
        <v>2018</v>
      </c>
      <c r="E5978">
        <v>2</v>
      </c>
      <c r="F5978">
        <v>76600</v>
      </c>
      <c r="G5978">
        <v>0</v>
      </c>
      <c r="H5978" t="s">
        <v>10</v>
      </c>
      <c r="I5978" t="s">
        <v>11</v>
      </c>
    </row>
    <row r="5979" spans="1:9" hidden="1" x14ac:dyDescent="0.25">
      <c r="A5979" t="s">
        <v>17</v>
      </c>
      <c r="B5979" t="s">
        <v>168</v>
      </c>
      <c r="C5979">
        <v>201803</v>
      </c>
      <c r="D5979" t="str">
        <f t="shared" si="93"/>
        <v>2018</v>
      </c>
      <c r="E5979">
        <v>2</v>
      </c>
      <c r="F5979">
        <v>76600</v>
      </c>
      <c r="G5979">
        <v>0</v>
      </c>
      <c r="H5979" t="s">
        <v>10</v>
      </c>
      <c r="I5979" t="s">
        <v>11</v>
      </c>
    </row>
    <row r="5980" spans="1:9" hidden="1" x14ac:dyDescent="0.25">
      <c r="A5980" t="s">
        <v>17</v>
      </c>
      <c r="B5980" t="s">
        <v>168</v>
      </c>
      <c r="C5980">
        <v>201806</v>
      </c>
      <c r="D5980" t="str">
        <f t="shared" si="93"/>
        <v>2018</v>
      </c>
      <c r="E5980">
        <v>3</v>
      </c>
      <c r="F5980">
        <v>76600</v>
      </c>
      <c r="G5980">
        <v>0</v>
      </c>
      <c r="H5980" t="s">
        <v>10</v>
      </c>
      <c r="I5980" t="s">
        <v>11</v>
      </c>
    </row>
    <row r="5981" spans="1:9" hidden="1" x14ac:dyDescent="0.25">
      <c r="A5981" t="s">
        <v>17</v>
      </c>
      <c r="B5981" t="s">
        <v>168</v>
      </c>
      <c r="C5981">
        <v>201808</v>
      </c>
      <c r="D5981" t="str">
        <f t="shared" si="93"/>
        <v>2018</v>
      </c>
      <c r="E5981">
        <v>1</v>
      </c>
      <c r="F5981">
        <v>76600</v>
      </c>
      <c r="G5981">
        <v>0</v>
      </c>
      <c r="H5981" t="s">
        <v>10</v>
      </c>
      <c r="I5981" t="s">
        <v>11</v>
      </c>
    </row>
    <row r="5982" spans="1:9" hidden="1" x14ac:dyDescent="0.25">
      <c r="A5982" t="s">
        <v>17</v>
      </c>
      <c r="B5982" t="s">
        <v>168</v>
      </c>
      <c r="C5982">
        <v>201809</v>
      </c>
      <c r="D5982" t="str">
        <f t="shared" si="93"/>
        <v>2018</v>
      </c>
      <c r="E5982">
        <v>1</v>
      </c>
      <c r="F5982">
        <v>76600</v>
      </c>
      <c r="G5982">
        <v>0</v>
      </c>
      <c r="H5982" t="s">
        <v>10</v>
      </c>
      <c r="I5982" t="s">
        <v>11</v>
      </c>
    </row>
    <row r="5983" spans="1:9" hidden="1" x14ac:dyDescent="0.25">
      <c r="A5983" t="s">
        <v>17</v>
      </c>
      <c r="B5983" t="s">
        <v>168</v>
      </c>
      <c r="C5983">
        <v>201810</v>
      </c>
      <c r="D5983" t="str">
        <f t="shared" si="93"/>
        <v>2018</v>
      </c>
      <c r="E5983">
        <v>3</v>
      </c>
      <c r="F5983">
        <v>76600</v>
      </c>
      <c r="G5983">
        <v>0</v>
      </c>
      <c r="H5983" t="s">
        <v>10</v>
      </c>
      <c r="I5983" t="s">
        <v>11</v>
      </c>
    </row>
    <row r="5984" spans="1:9" hidden="1" x14ac:dyDescent="0.25">
      <c r="A5984" t="s">
        <v>17</v>
      </c>
      <c r="B5984" t="s">
        <v>168</v>
      </c>
      <c r="C5984">
        <v>201811</v>
      </c>
      <c r="D5984" t="str">
        <f t="shared" si="93"/>
        <v>2018</v>
      </c>
      <c r="E5984">
        <v>1</v>
      </c>
      <c r="F5984">
        <v>76600</v>
      </c>
      <c r="G5984">
        <v>0</v>
      </c>
      <c r="H5984" t="s">
        <v>10</v>
      </c>
      <c r="I5984" t="s">
        <v>11</v>
      </c>
    </row>
    <row r="5985" spans="1:9" hidden="1" x14ac:dyDescent="0.25">
      <c r="A5985" t="s">
        <v>17</v>
      </c>
      <c r="B5985" t="s">
        <v>168</v>
      </c>
      <c r="C5985">
        <v>202009</v>
      </c>
      <c r="D5985" t="str">
        <f t="shared" si="93"/>
        <v>2020</v>
      </c>
      <c r="E5985">
        <v>15</v>
      </c>
      <c r="F5985">
        <v>76600</v>
      </c>
      <c r="G5985">
        <v>0.02</v>
      </c>
      <c r="H5985" t="s">
        <v>10</v>
      </c>
      <c r="I5985" t="s">
        <v>11</v>
      </c>
    </row>
    <row r="5986" spans="1:9" hidden="1" x14ac:dyDescent="0.25">
      <c r="A5986" t="s">
        <v>17</v>
      </c>
      <c r="B5986" t="s">
        <v>168</v>
      </c>
      <c r="C5986">
        <v>202010</v>
      </c>
      <c r="D5986" t="str">
        <f t="shared" si="93"/>
        <v>2020</v>
      </c>
      <c r="E5986">
        <v>37</v>
      </c>
      <c r="F5986">
        <v>76600</v>
      </c>
      <c r="G5986">
        <v>0.05</v>
      </c>
      <c r="H5986" t="s">
        <v>10</v>
      </c>
      <c r="I5986" t="s">
        <v>11</v>
      </c>
    </row>
    <row r="5987" spans="1:9" hidden="1" x14ac:dyDescent="0.25">
      <c r="A5987" t="s">
        <v>17</v>
      </c>
      <c r="B5987" t="s">
        <v>168</v>
      </c>
      <c r="C5987">
        <v>202105</v>
      </c>
      <c r="D5987" t="str">
        <f t="shared" si="93"/>
        <v>2021</v>
      </c>
      <c r="E5987">
        <v>2</v>
      </c>
      <c r="F5987">
        <v>76600</v>
      </c>
      <c r="G5987">
        <v>0</v>
      </c>
      <c r="H5987" t="s">
        <v>10</v>
      </c>
      <c r="I5987" t="s">
        <v>11</v>
      </c>
    </row>
    <row r="5988" spans="1:9" hidden="1" x14ac:dyDescent="0.25">
      <c r="A5988" t="s">
        <v>17</v>
      </c>
      <c r="B5988" t="s">
        <v>168</v>
      </c>
      <c r="C5988">
        <v>202107</v>
      </c>
      <c r="D5988" t="str">
        <f t="shared" si="93"/>
        <v>2021</v>
      </c>
      <c r="E5988">
        <v>1</v>
      </c>
      <c r="F5988">
        <v>76600</v>
      </c>
      <c r="G5988">
        <v>0</v>
      </c>
      <c r="H5988" t="s">
        <v>10</v>
      </c>
      <c r="I5988" t="s">
        <v>11</v>
      </c>
    </row>
    <row r="5989" spans="1:9" hidden="1" x14ac:dyDescent="0.25">
      <c r="A5989" t="s">
        <v>17</v>
      </c>
      <c r="B5989" t="s">
        <v>168</v>
      </c>
      <c r="C5989">
        <v>202111</v>
      </c>
      <c r="D5989" t="str">
        <f t="shared" si="93"/>
        <v>2021</v>
      </c>
      <c r="E5989">
        <v>3</v>
      </c>
      <c r="F5989">
        <v>76600</v>
      </c>
      <c r="G5989">
        <v>0</v>
      </c>
      <c r="H5989" t="s">
        <v>10</v>
      </c>
      <c r="I5989" t="s">
        <v>11</v>
      </c>
    </row>
    <row r="5990" spans="1:9" hidden="1" x14ac:dyDescent="0.25">
      <c r="A5990" t="s">
        <v>17</v>
      </c>
      <c r="B5990" t="s">
        <v>168</v>
      </c>
      <c r="C5990">
        <v>202207</v>
      </c>
      <c r="D5990" t="str">
        <f t="shared" si="93"/>
        <v>2022</v>
      </c>
      <c r="E5990">
        <v>7</v>
      </c>
      <c r="F5990">
        <v>76600</v>
      </c>
      <c r="G5990">
        <v>0.01</v>
      </c>
      <c r="H5990" t="s">
        <v>10</v>
      </c>
      <c r="I5990" t="s">
        <v>11</v>
      </c>
    </row>
    <row r="5991" spans="1:9" hidden="1" x14ac:dyDescent="0.25">
      <c r="A5991" t="s">
        <v>17</v>
      </c>
      <c r="B5991" t="s">
        <v>168</v>
      </c>
      <c r="C5991">
        <v>202208</v>
      </c>
      <c r="D5991" t="str">
        <f t="shared" si="93"/>
        <v>2022</v>
      </c>
      <c r="E5991">
        <v>23</v>
      </c>
      <c r="F5991">
        <v>76600</v>
      </c>
      <c r="G5991">
        <v>0.03</v>
      </c>
      <c r="H5991" t="s">
        <v>10</v>
      </c>
      <c r="I5991" t="s">
        <v>11</v>
      </c>
    </row>
    <row r="5992" spans="1:9" hidden="1" x14ac:dyDescent="0.25">
      <c r="A5992" t="s">
        <v>17</v>
      </c>
      <c r="B5992" t="s">
        <v>168</v>
      </c>
      <c r="C5992">
        <v>202209</v>
      </c>
      <c r="D5992" t="str">
        <f t="shared" si="93"/>
        <v>2022</v>
      </c>
      <c r="E5992">
        <v>9</v>
      </c>
      <c r="F5992">
        <v>76600</v>
      </c>
      <c r="G5992">
        <v>0.01</v>
      </c>
      <c r="H5992" t="s">
        <v>10</v>
      </c>
      <c r="I5992" t="s">
        <v>11</v>
      </c>
    </row>
    <row r="5993" spans="1:9" hidden="1" x14ac:dyDescent="0.25">
      <c r="A5993" t="s">
        <v>17</v>
      </c>
      <c r="B5993" t="s">
        <v>168</v>
      </c>
      <c r="C5993">
        <v>202210</v>
      </c>
      <c r="D5993" t="str">
        <f t="shared" si="93"/>
        <v>2022</v>
      </c>
      <c r="E5993">
        <v>9</v>
      </c>
      <c r="F5993">
        <v>76600</v>
      </c>
      <c r="G5993">
        <v>0.01</v>
      </c>
      <c r="H5993" t="s">
        <v>10</v>
      </c>
      <c r="I5993" t="s">
        <v>11</v>
      </c>
    </row>
    <row r="5994" spans="1:9" hidden="1" x14ac:dyDescent="0.25">
      <c r="A5994" t="s">
        <v>17</v>
      </c>
      <c r="B5994" t="s">
        <v>168</v>
      </c>
      <c r="C5994">
        <v>202211</v>
      </c>
      <c r="D5994" t="str">
        <f t="shared" si="93"/>
        <v>2022</v>
      </c>
      <c r="E5994">
        <v>3</v>
      </c>
      <c r="F5994">
        <v>76600</v>
      </c>
      <c r="G5994">
        <v>0</v>
      </c>
      <c r="H5994" t="s">
        <v>10</v>
      </c>
      <c r="I5994" t="s">
        <v>11</v>
      </c>
    </row>
    <row r="5995" spans="1:9" hidden="1" x14ac:dyDescent="0.25">
      <c r="A5995" t="s">
        <v>17</v>
      </c>
      <c r="B5995" t="s">
        <v>168</v>
      </c>
      <c r="C5995">
        <v>202212</v>
      </c>
      <c r="D5995" t="str">
        <f t="shared" si="93"/>
        <v>2022</v>
      </c>
      <c r="E5995">
        <v>19</v>
      </c>
      <c r="F5995">
        <v>76600</v>
      </c>
      <c r="G5995">
        <v>0.02</v>
      </c>
      <c r="H5995" t="s">
        <v>10</v>
      </c>
      <c r="I5995" t="s">
        <v>11</v>
      </c>
    </row>
    <row r="5996" spans="1:9" hidden="1" x14ac:dyDescent="0.25">
      <c r="A5996" t="s">
        <v>17</v>
      </c>
      <c r="B5996" t="s">
        <v>168</v>
      </c>
      <c r="C5996">
        <v>202301</v>
      </c>
      <c r="D5996" t="str">
        <f t="shared" si="93"/>
        <v>2023</v>
      </c>
      <c r="E5996">
        <v>1706</v>
      </c>
      <c r="F5996">
        <v>76600</v>
      </c>
      <c r="G5996">
        <v>2.23</v>
      </c>
      <c r="H5996" t="s">
        <v>10</v>
      </c>
      <c r="I5996" t="s">
        <v>11</v>
      </c>
    </row>
    <row r="5997" spans="1:9" hidden="1" x14ac:dyDescent="0.25">
      <c r="A5997" t="s">
        <v>17</v>
      </c>
      <c r="B5997" t="s">
        <v>168</v>
      </c>
      <c r="C5997">
        <v>202302</v>
      </c>
      <c r="D5997" t="str">
        <f t="shared" si="93"/>
        <v>2023</v>
      </c>
      <c r="E5997">
        <v>1388</v>
      </c>
      <c r="F5997">
        <v>76600</v>
      </c>
      <c r="G5997">
        <v>1.81</v>
      </c>
      <c r="H5997" t="s">
        <v>10</v>
      </c>
      <c r="I5997" t="s">
        <v>11</v>
      </c>
    </row>
    <row r="5998" spans="1:9" hidden="1" x14ac:dyDescent="0.25">
      <c r="A5998" t="s">
        <v>17</v>
      </c>
      <c r="B5998" t="s">
        <v>168</v>
      </c>
      <c r="C5998">
        <v>202303</v>
      </c>
      <c r="D5998" t="str">
        <f t="shared" si="93"/>
        <v>2023</v>
      </c>
      <c r="E5998">
        <v>1861</v>
      </c>
      <c r="F5998">
        <v>76600</v>
      </c>
      <c r="G5998">
        <v>2.4300000000000002</v>
      </c>
      <c r="H5998" t="s">
        <v>10</v>
      </c>
      <c r="I5998" t="s">
        <v>11</v>
      </c>
    </row>
    <row r="5999" spans="1:9" hidden="1" x14ac:dyDescent="0.25">
      <c r="A5999" t="s">
        <v>17</v>
      </c>
      <c r="B5999" t="s">
        <v>168</v>
      </c>
      <c r="C5999">
        <v>202304</v>
      </c>
      <c r="D5999" t="str">
        <f t="shared" si="93"/>
        <v>2023</v>
      </c>
      <c r="E5999">
        <v>1860</v>
      </c>
      <c r="F5999">
        <v>76600</v>
      </c>
      <c r="G5999">
        <v>2.4300000000000002</v>
      </c>
      <c r="H5999" t="s">
        <v>10</v>
      </c>
      <c r="I5999" t="s">
        <v>11</v>
      </c>
    </row>
    <row r="6000" spans="1:9" hidden="1" x14ac:dyDescent="0.25">
      <c r="A6000" t="s">
        <v>17</v>
      </c>
      <c r="B6000" t="s">
        <v>168</v>
      </c>
      <c r="C6000">
        <v>202305</v>
      </c>
      <c r="D6000" t="str">
        <f t="shared" si="93"/>
        <v>2023</v>
      </c>
      <c r="E6000">
        <v>1619</v>
      </c>
      <c r="F6000">
        <v>76600</v>
      </c>
      <c r="G6000">
        <v>2.11</v>
      </c>
      <c r="H6000" t="s">
        <v>10</v>
      </c>
      <c r="I6000" t="s">
        <v>11</v>
      </c>
    </row>
    <row r="6001" spans="1:9" hidden="1" x14ac:dyDescent="0.25">
      <c r="A6001" t="s">
        <v>17</v>
      </c>
      <c r="B6001" t="s">
        <v>168</v>
      </c>
      <c r="C6001">
        <v>202306</v>
      </c>
      <c r="D6001" t="str">
        <f t="shared" si="93"/>
        <v>2023</v>
      </c>
      <c r="E6001">
        <v>1658</v>
      </c>
      <c r="F6001">
        <v>76600</v>
      </c>
      <c r="G6001">
        <v>2.16</v>
      </c>
      <c r="H6001" t="s">
        <v>10</v>
      </c>
      <c r="I6001" t="s">
        <v>11</v>
      </c>
    </row>
    <row r="6002" spans="1:9" hidden="1" x14ac:dyDescent="0.25">
      <c r="A6002" t="s">
        <v>17</v>
      </c>
      <c r="B6002" t="s">
        <v>168</v>
      </c>
      <c r="C6002">
        <v>202307</v>
      </c>
      <c r="D6002" t="str">
        <f t="shared" si="93"/>
        <v>2023</v>
      </c>
      <c r="E6002">
        <v>1437</v>
      </c>
      <c r="F6002">
        <v>76600</v>
      </c>
      <c r="G6002">
        <v>1.88</v>
      </c>
      <c r="H6002" t="s">
        <v>10</v>
      </c>
      <c r="I6002" t="s">
        <v>11</v>
      </c>
    </row>
    <row r="6003" spans="1:9" hidden="1" x14ac:dyDescent="0.25">
      <c r="A6003" t="s">
        <v>17</v>
      </c>
      <c r="B6003" t="s">
        <v>168</v>
      </c>
      <c r="C6003">
        <v>202308</v>
      </c>
      <c r="D6003" t="str">
        <f t="shared" si="93"/>
        <v>2023</v>
      </c>
      <c r="E6003">
        <v>1493</v>
      </c>
      <c r="F6003">
        <v>76600</v>
      </c>
      <c r="G6003">
        <v>1.95</v>
      </c>
      <c r="H6003" t="s">
        <v>10</v>
      </c>
      <c r="I6003" t="s">
        <v>11</v>
      </c>
    </row>
    <row r="6004" spans="1:9" hidden="1" x14ac:dyDescent="0.25">
      <c r="A6004" t="s">
        <v>17</v>
      </c>
      <c r="B6004" t="s">
        <v>168</v>
      </c>
      <c r="C6004">
        <v>202309</v>
      </c>
      <c r="D6004" t="str">
        <f t="shared" si="93"/>
        <v>2023</v>
      </c>
      <c r="E6004">
        <v>949</v>
      </c>
      <c r="F6004">
        <v>76600</v>
      </c>
      <c r="G6004">
        <v>1.24</v>
      </c>
      <c r="H6004" t="s">
        <v>10</v>
      </c>
      <c r="I6004" t="s">
        <v>11</v>
      </c>
    </row>
    <row r="6005" spans="1:9" hidden="1" x14ac:dyDescent="0.25">
      <c r="A6005" t="s">
        <v>17</v>
      </c>
      <c r="B6005" t="s">
        <v>168</v>
      </c>
      <c r="C6005">
        <v>202310</v>
      </c>
      <c r="D6005" t="str">
        <f t="shared" si="93"/>
        <v>2023</v>
      </c>
      <c r="E6005">
        <v>1034</v>
      </c>
      <c r="F6005">
        <v>76600</v>
      </c>
      <c r="G6005">
        <v>1.35</v>
      </c>
      <c r="H6005" t="s">
        <v>10</v>
      </c>
      <c r="I6005" t="s">
        <v>11</v>
      </c>
    </row>
    <row r="6006" spans="1:9" hidden="1" x14ac:dyDescent="0.25">
      <c r="A6006" t="s">
        <v>17</v>
      </c>
      <c r="B6006" t="s">
        <v>168</v>
      </c>
      <c r="C6006">
        <v>202311</v>
      </c>
      <c r="D6006" t="str">
        <f t="shared" si="93"/>
        <v>2023</v>
      </c>
      <c r="E6006">
        <v>1087</v>
      </c>
      <c r="F6006">
        <v>76600</v>
      </c>
      <c r="G6006">
        <v>1.42</v>
      </c>
      <c r="H6006" t="s">
        <v>10</v>
      </c>
      <c r="I6006" t="s">
        <v>11</v>
      </c>
    </row>
    <row r="6007" spans="1:9" hidden="1" x14ac:dyDescent="0.25">
      <c r="A6007" t="s">
        <v>17</v>
      </c>
      <c r="B6007" t="s">
        <v>168</v>
      </c>
      <c r="C6007">
        <v>202312</v>
      </c>
      <c r="D6007" t="str">
        <f t="shared" si="93"/>
        <v>2023</v>
      </c>
      <c r="E6007">
        <v>1022</v>
      </c>
      <c r="F6007">
        <v>76600</v>
      </c>
      <c r="G6007">
        <v>1.33</v>
      </c>
      <c r="H6007" t="s">
        <v>10</v>
      </c>
      <c r="I6007" t="s">
        <v>11</v>
      </c>
    </row>
    <row r="6008" spans="1:9" hidden="1" x14ac:dyDescent="0.25">
      <c r="A6008" t="s">
        <v>17</v>
      </c>
      <c r="B6008" t="s">
        <v>168</v>
      </c>
      <c r="C6008">
        <v>202401</v>
      </c>
      <c r="D6008" t="str">
        <f t="shared" si="93"/>
        <v>2024</v>
      </c>
      <c r="E6008">
        <v>1097</v>
      </c>
      <c r="F6008">
        <v>76600</v>
      </c>
      <c r="G6008">
        <v>1.43</v>
      </c>
      <c r="H6008" t="s">
        <v>10</v>
      </c>
      <c r="I6008" t="s">
        <v>11</v>
      </c>
    </row>
    <row r="6009" spans="1:9" hidden="1" x14ac:dyDescent="0.25">
      <c r="A6009" t="s">
        <v>17</v>
      </c>
      <c r="B6009" t="s">
        <v>168</v>
      </c>
      <c r="C6009">
        <v>202402</v>
      </c>
      <c r="D6009" t="str">
        <f t="shared" si="93"/>
        <v>2024</v>
      </c>
      <c r="E6009">
        <v>1158</v>
      </c>
      <c r="F6009">
        <v>76600</v>
      </c>
      <c r="G6009">
        <v>1.51</v>
      </c>
      <c r="H6009" t="s">
        <v>10</v>
      </c>
      <c r="I6009" t="s">
        <v>11</v>
      </c>
    </row>
    <row r="6010" spans="1:9" hidden="1" x14ac:dyDescent="0.25">
      <c r="A6010" t="s">
        <v>17</v>
      </c>
      <c r="B6010" t="s">
        <v>168</v>
      </c>
      <c r="C6010">
        <v>202403</v>
      </c>
      <c r="D6010" t="str">
        <f t="shared" si="93"/>
        <v>2024</v>
      </c>
      <c r="E6010">
        <v>1242</v>
      </c>
      <c r="F6010">
        <v>76600</v>
      </c>
      <c r="G6010">
        <v>1.62</v>
      </c>
      <c r="H6010" t="s">
        <v>10</v>
      </c>
      <c r="I6010" t="s">
        <v>11</v>
      </c>
    </row>
    <row r="6011" spans="1:9" hidden="1" x14ac:dyDescent="0.25">
      <c r="A6011" t="s">
        <v>17</v>
      </c>
      <c r="B6011" t="s">
        <v>168</v>
      </c>
      <c r="C6011">
        <v>202404</v>
      </c>
      <c r="D6011" t="str">
        <f t="shared" si="93"/>
        <v>2024</v>
      </c>
      <c r="E6011">
        <v>2230</v>
      </c>
      <c r="F6011">
        <v>76600</v>
      </c>
      <c r="G6011">
        <v>2.91</v>
      </c>
      <c r="H6011" t="s">
        <v>10</v>
      </c>
      <c r="I6011" t="s">
        <v>11</v>
      </c>
    </row>
    <row r="6012" spans="1:9" hidden="1" x14ac:dyDescent="0.25">
      <c r="A6012" t="s">
        <v>17</v>
      </c>
      <c r="B6012" t="s">
        <v>168</v>
      </c>
      <c r="C6012">
        <v>202405</v>
      </c>
      <c r="D6012" t="str">
        <f t="shared" si="93"/>
        <v>2024</v>
      </c>
      <c r="E6012">
        <v>5256</v>
      </c>
      <c r="F6012">
        <v>76600</v>
      </c>
      <c r="G6012">
        <v>6.86</v>
      </c>
      <c r="H6012" t="s">
        <v>10</v>
      </c>
      <c r="I6012" t="s">
        <v>11</v>
      </c>
    </row>
    <row r="6013" spans="1:9" hidden="1" x14ac:dyDescent="0.25">
      <c r="A6013" t="s">
        <v>17</v>
      </c>
      <c r="B6013" t="s">
        <v>168</v>
      </c>
      <c r="C6013">
        <v>202406</v>
      </c>
      <c r="D6013" t="str">
        <f t="shared" si="93"/>
        <v>2024</v>
      </c>
      <c r="E6013">
        <v>29360</v>
      </c>
      <c r="F6013">
        <v>76600</v>
      </c>
      <c r="G6013">
        <v>38.33</v>
      </c>
      <c r="H6013" t="s">
        <v>10</v>
      </c>
      <c r="I6013" t="s">
        <v>11</v>
      </c>
    </row>
    <row r="6014" spans="1:9" hidden="1" x14ac:dyDescent="0.25">
      <c r="A6014" t="s">
        <v>17</v>
      </c>
      <c r="B6014" t="s">
        <v>168</v>
      </c>
      <c r="C6014">
        <v>202407</v>
      </c>
      <c r="D6014" t="str">
        <f t="shared" si="93"/>
        <v>2024</v>
      </c>
      <c r="E6014">
        <v>19002</v>
      </c>
      <c r="F6014">
        <v>76600</v>
      </c>
      <c r="G6014">
        <v>24.81</v>
      </c>
      <c r="H6014" t="s">
        <v>10</v>
      </c>
      <c r="I6014" t="s">
        <v>11</v>
      </c>
    </row>
    <row r="6015" spans="1:9" hidden="1" x14ac:dyDescent="0.25">
      <c r="A6015" t="s">
        <v>17</v>
      </c>
      <c r="B6015" t="s">
        <v>104</v>
      </c>
      <c r="C6015">
        <v>202104</v>
      </c>
      <c r="D6015" t="str">
        <f t="shared" si="93"/>
        <v>2021</v>
      </c>
      <c r="E6015">
        <v>1</v>
      </c>
      <c r="F6015">
        <v>70200</v>
      </c>
      <c r="G6015">
        <v>0</v>
      </c>
      <c r="H6015" t="s">
        <v>10</v>
      </c>
      <c r="I6015" t="s">
        <v>11</v>
      </c>
    </row>
    <row r="6016" spans="1:9" hidden="1" x14ac:dyDescent="0.25">
      <c r="A6016" t="s">
        <v>17</v>
      </c>
      <c r="B6016" t="s">
        <v>104</v>
      </c>
      <c r="C6016">
        <v>202208</v>
      </c>
      <c r="D6016" t="str">
        <f t="shared" si="93"/>
        <v>2022</v>
      </c>
      <c r="E6016">
        <v>21</v>
      </c>
      <c r="F6016">
        <v>70200</v>
      </c>
      <c r="G6016">
        <v>0.03</v>
      </c>
      <c r="H6016" t="s">
        <v>10</v>
      </c>
      <c r="I6016" t="s">
        <v>11</v>
      </c>
    </row>
    <row r="6017" spans="1:9" hidden="1" x14ac:dyDescent="0.25">
      <c r="A6017" t="s">
        <v>17</v>
      </c>
      <c r="B6017" t="s">
        <v>104</v>
      </c>
      <c r="C6017">
        <v>202209</v>
      </c>
      <c r="D6017" t="str">
        <f t="shared" si="93"/>
        <v>2022</v>
      </c>
      <c r="E6017">
        <v>1</v>
      </c>
      <c r="F6017">
        <v>70200</v>
      </c>
      <c r="G6017">
        <v>0</v>
      </c>
      <c r="H6017" t="s">
        <v>10</v>
      </c>
      <c r="I6017" t="s">
        <v>11</v>
      </c>
    </row>
    <row r="6018" spans="1:9" hidden="1" x14ac:dyDescent="0.25">
      <c r="A6018" t="s">
        <v>17</v>
      </c>
      <c r="B6018" t="s">
        <v>104</v>
      </c>
      <c r="C6018">
        <v>202210</v>
      </c>
      <c r="D6018" t="str">
        <f t="shared" si="93"/>
        <v>2022</v>
      </c>
      <c r="E6018">
        <v>33</v>
      </c>
      <c r="F6018">
        <v>70200</v>
      </c>
      <c r="G6018">
        <v>0.05</v>
      </c>
      <c r="H6018" t="s">
        <v>10</v>
      </c>
      <c r="I6018" t="s">
        <v>11</v>
      </c>
    </row>
    <row r="6019" spans="1:9" hidden="1" x14ac:dyDescent="0.25">
      <c r="A6019" t="s">
        <v>17</v>
      </c>
      <c r="B6019" t="s">
        <v>104</v>
      </c>
      <c r="C6019">
        <v>202211</v>
      </c>
      <c r="D6019" t="str">
        <f t="shared" ref="D6019:D6082" si="94">LEFT(C6019,4)</f>
        <v>2022</v>
      </c>
      <c r="E6019">
        <v>12</v>
      </c>
      <c r="F6019">
        <v>70200</v>
      </c>
      <c r="G6019">
        <v>0.02</v>
      </c>
      <c r="H6019" t="s">
        <v>10</v>
      </c>
      <c r="I6019" t="s">
        <v>11</v>
      </c>
    </row>
    <row r="6020" spans="1:9" hidden="1" x14ac:dyDescent="0.25">
      <c r="A6020" t="s">
        <v>17</v>
      </c>
      <c r="B6020" t="s">
        <v>104</v>
      </c>
      <c r="C6020">
        <v>202212</v>
      </c>
      <c r="D6020" t="str">
        <f t="shared" si="94"/>
        <v>2022</v>
      </c>
      <c r="E6020">
        <v>18</v>
      </c>
      <c r="F6020">
        <v>70200</v>
      </c>
      <c r="G6020">
        <v>0.03</v>
      </c>
      <c r="H6020" t="s">
        <v>10</v>
      </c>
      <c r="I6020" t="s">
        <v>11</v>
      </c>
    </row>
    <row r="6021" spans="1:9" hidden="1" x14ac:dyDescent="0.25">
      <c r="A6021" t="s">
        <v>17</v>
      </c>
      <c r="B6021" t="s">
        <v>104</v>
      </c>
      <c r="C6021">
        <v>202301</v>
      </c>
      <c r="D6021" t="str">
        <f t="shared" si="94"/>
        <v>2023</v>
      </c>
      <c r="E6021">
        <v>1200</v>
      </c>
      <c r="F6021">
        <v>70200</v>
      </c>
      <c r="G6021">
        <v>1.71</v>
      </c>
      <c r="H6021" t="s">
        <v>10</v>
      </c>
      <c r="I6021" t="s">
        <v>11</v>
      </c>
    </row>
    <row r="6022" spans="1:9" hidden="1" x14ac:dyDescent="0.25">
      <c r="A6022" t="s">
        <v>17</v>
      </c>
      <c r="B6022" t="s">
        <v>104</v>
      </c>
      <c r="C6022">
        <v>202302</v>
      </c>
      <c r="D6022" t="str">
        <f t="shared" si="94"/>
        <v>2023</v>
      </c>
      <c r="E6022">
        <v>927</v>
      </c>
      <c r="F6022">
        <v>70200</v>
      </c>
      <c r="G6022">
        <v>1.32</v>
      </c>
      <c r="H6022" t="s">
        <v>10</v>
      </c>
      <c r="I6022" t="s">
        <v>11</v>
      </c>
    </row>
    <row r="6023" spans="1:9" hidden="1" x14ac:dyDescent="0.25">
      <c r="A6023" t="s">
        <v>17</v>
      </c>
      <c r="B6023" t="s">
        <v>104</v>
      </c>
      <c r="C6023">
        <v>202303</v>
      </c>
      <c r="D6023" t="str">
        <f t="shared" si="94"/>
        <v>2023</v>
      </c>
      <c r="E6023">
        <v>1272</v>
      </c>
      <c r="F6023">
        <v>70200</v>
      </c>
      <c r="G6023">
        <v>1.81</v>
      </c>
      <c r="H6023" t="s">
        <v>10</v>
      </c>
      <c r="I6023" t="s">
        <v>11</v>
      </c>
    </row>
    <row r="6024" spans="1:9" hidden="1" x14ac:dyDescent="0.25">
      <c r="A6024" t="s">
        <v>17</v>
      </c>
      <c r="B6024" t="s">
        <v>104</v>
      </c>
      <c r="C6024">
        <v>202304</v>
      </c>
      <c r="D6024" t="str">
        <f t="shared" si="94"/>
        <v>2023</v>
      </c>
      <c r="E6024">
        <v>1273</v>
      </c>
      <c r="F6024">
        <v>70200</v>
      </c>
      <c r="G6024">
        <v>1.81</v>
      </c>
      <c r="H6024" t="s">
        <v>10</v>
      </c>
      <c r="I6024" t="s">
        <v>11</v>
      </c>
    </row>
    <row r="6025" spans="1:9" hidden="1" x14ac:dyDescent="0.25">
      <c r="A6025" t="s">
        <v>17</v>
      </c>
      <c r="B6025" t="s">
        <v>104</v>
      </c>
      <c r="C6025">
        <v>202305</v>
      </c>
      <c r="D6025" t="str">
        <f t="shared" si="94"/>
        <v>2023</v>
      </c>
      <c r="E6025">
        <v>1123</v>
      </c>
      <c r="F6025">
        <v>70200</v>
      </c>
      <c r="G6025">
        <v>1.6</v>
      </c>
      <c r="H6025" t="s">
        <v>10</v>
      </c>
      <c r="I6025" t="s">
        <v>11</v>
      </c>
    </row>
    <row r="6026" spans="1:9" hidden="1" x14ac:dyDescent="0.25">
      <c r="A6026" t="s">
        <v>17</v>
      </c>
      <c r="B6026" t="s">
        <v>104</v>
      </c>
      <c r="C6026">
        <v>202306</v>
      </c>
      <c r="D6026" t="str">
        <f t="shared" si="94"/>
        <v>2023</v>
      </c>
      <c r="E6026">
        <v>1221</v>
      </c>
      <c r="F6026">
        <v>70200</v>
      </c>
      <c r="G6026">
        <v>1.74</v>
      </c>
      <c r="H6026" t="s">
        <v>10</v>
      </c>
      <c r="I6026" t="s">
        <v>11</v>
      </c>
    </row>
    <row r="6027" spans="1:9" hidden="1" x14ac:dyDescent="0.25">
      <c r="A6027" t="s">
        <v>17</v>
      </c>
      <c r="B6027" t="s">
        <v>104</v>
      </c>
      <c r="C6027">
        <v>202307</v>
      </c>
      <c r="D6027" t="str">
        <f t="shared" si="94"/>
        <v>2023</v>
      </c>
      <c r="E6027">
        <v>1005</v>
      </c>
      <c r="F6027">
        <v>70200</v>
      </c>
      <c r="G6027">
        <v>1.43</v>
      </c>
      <c r="H6027" t="s">
        <v>10</v>
      </c>
      <c r="I6027" t="s">
        <v>11</v>
      </c>
    </row>
    <row r="6028" spans="1:9" hidden="1" x14ac:dyDescent="0.25">
      <c r="A6028" t="s">
        <v>17</v>
      </c>
      <c r="B6028" t="s">
        <v>104</v>
      </c>
      <c r="C6028">
        <v>202308</v>
      </c>
      <c r="D6028" t="str">
        <f t="shared" si="94"/>
        <v>2023</v>
      </c>
      <c r="E6028">
        <v>898</v>
      </c>
      <c r="F6028">
        <v>70200</v>
      </c>
      <c r="G6028">
        <v>1.28</v>
      </c>
      <c r="H6028" t="s">
        <v>10</v>
      </c>
      <c r="I6028" t="s">
        <v>11</v>
      </c>
    </row>
    <row r="6029" spans="1:9" hidden="1" x14ac:dyDescent="0.25">
      <c r="A6029" t="s">
        <v>17</v>
      </c>
      <c r="B6029" t="s">
        <v>104</v>
      </c>
      <c r="C6029">
        <v>202309</v>
      </c>
      <c r="D6029" t="str">
        <f t="shared" si="94"/>
        <v>2023</v>
      </c>
      <c r="E6029">
        <v>716</v>
      </c>
      <c r="F6029">
        <v>70200</v>
      </c>
      <c r="G6029">
        <v>1.02</v>
      </c>
      <c r="H6029" t="s">
        <v>10</v>
      </c>
      <c r="I6029" t="s">
        <v>11</v>
      </c>
    </row>
    <row r="6030" spans="1:9" hidden="1" x14ac:dyDescent="0.25">
      <c r="A6030" t="s">
        <v>17</v>
      </c>
      <c r="B6030" t="s">
        <v>104</v>
      </c>
      <c r="C6030">
        <v>202310</v>
      </c>
      <c r="D6030" t="str">
        <f t="shared" si="94"/>
        <v>2023</v>
      </c>
      <c r="E6030">
        <v>532</v>
      </c>
      <c r="F6030">
        <v>70200</v>
      </c>
      <c r="G6030">
        <v>0.76</v>
      </c>
      <c r="H6030" t="s">
        <v>10</v>
      </c>
      <c r="I6030" t="s">
        <v>11</v>
      </c>
    </row>
    <row r="6031" spans="1:9" hidden="1" x14ac:dyDescent="0.25">
      <c r="A6031" t="s">
        <v>17</v>
      </c>
      <c r="B6031" t="s">
        <v>104</v>
      </c>
      <c r="C6031">
        <v>202311</v>
      </c>
      <c r="D6031" t="str">
        <f t="shared" si="94"/>
        <v>2023</v>
      </c>
      <c r="E6031">
        <v>513</v>
      </c>
      <c r="F6031">
        <v>70200</v>
      </c>
      <c r="G6031">
        <v>0.73</v>
      </c>
      <c r="H6031" t="s">
        <v>10</v>
      </c>
      <c r="I6031" t="s">
        <v>11</v>
      </c>
    </row>
    <row r="6032" spans="1:9" hidden="1" x14ac:dyDescent="0.25">
      <c r="A6032" t="s">
        <v>17</v>
      </c>
      <c r="B6032" t="s">
        <v>104</v>
      </c>
      <c r="C6032">
        <v>202312</v>
      </c>
      <c r="D6032" t="str">
        <f t="shared" si="94"/>
        <v>2023</v>
      </c>
      <c r="E6032">
        <v>534</v>
      </c>
      <c r="F6032">
        <v>70200</v>
      </c>
      <c r="G6032">
        <v>0.76</v>
      </c>
      <c r="H6032" t="s">
        <v>10</v>
      </c>
      <c r="I6032" t="s">
        <v>11</v>
      </c>
    </row>
    <row r="6033" spans="1:9" hidden="1" x14ac:dyDescent="0.25">
      <c r="A6033" t="s">
        <v>17</v>
      </c>
      <c r="B6033" t="s">
        <v>104</v>
      </c>
      <c r="C6033">
        <v>202401</v>
      </c>
      <c r="D6033" t="str">
        <f t="shared" si="94"/>
        <v>2024</v>
      </c>
      <c r="E6033">
        <v>705</v>
      </c>
      <c r="F6033">
        <v>70200</v>
      </c>
      <c r="G6033">
        <v>1</v>
      </c>
      <c r="H6033" t="s">
        <v>10</v>
      </c>
      <c r="I6033" t="s">
        <v>11</v>
      </c>
    </row>
    <row r="6034" spans="1:9" hidden="1" x14ac:dyDescent="0.25">
      <c r="A6034" t="s">
        <v>17</v>
      </c>
      <c r="B6034" t="s">
        <v>104</v>
      </c>
      <c r="C6034">
        <v>202402</v>
      </c>
      <c r="D6034" t="str">
        <f t="shared" si="94"/>
        <v>2024</v>
      </c>
      <c r="E6034">
        <v>1071</v>
      </c>
      <c r="F6034">
        <v>70200</v>
      </c>
      <c r="G6034">
        <v>1.53</v>
      </c>
      <c r="H6034" t="s">
        <v>10</v>
      </c>
      <c r="I6034" t="s">
        <v>11</v>
      </c>
    </row>
    <row r="6035" spans="1:9" hidden="1" x14ac:dyDescent="0.25">
      <c r="A6035" t="s">
        <v>17</v>
      </c>
      <c r="B6035" t="s">
        <v>104</v>
      </c>
      <c r="C6035">
        <v>202403</v>
      </c>
      <c r="D6035" t="str">
        <f t="shared" si="94"/>
        <v>2024</v>
      </c>
      <c r="E6035">
        <v>890</v>
      </c>
      <c r="F6035">
        <v>70200</v>
      </c>
      <c r="G6035">
        <v>1.27</v>
      </c>
      <c r="H6035" t="s">
        <v>10</v>
      </c>
      <c r="I6035" t="s">
        <v>11</v>
      </c>
    </row>
    <row r="6036" spans="1:9" hidden="1" x14ac:dyDescent="0.25">
      <c r="A6036" t="s">
        <v>17</v>
      </c>
      <c r="B6036" t="s">
        <v>104</v>
      </c>
      <c r="C6036">
        <v>202404</v>
      </c>
      <c r="D6036" t="str">
        <f t="shared" si="94"/>
        <v>2024</v>
      </c>
      <c r="E6036">
        <v>1325</v>
      </c>
      <c r="F6036">
        <v>70200</v>
      </c>
      <c r="G6036">
        <v>1.89</v>
      </c>
      <c r="H6036" t="s">
        <v>10</v>
      </c>
      <c r="I6036" t="s">
        <v>11</v>
      </c>
    </row>
    <row r="6037" spans="1:9" hidden="1" x14ac:dyDescent="0.25">
      <c r="A6037" t="s">
        <v>17</v>
      </c>
      <c r="B6037" t="s">
        <v>104</v>
      </c>
      <c r="C6037">
        <v>202405</v>
      </c>
      <c r="D6037" t="str">
        <f t="shared" si="94"/>
        <v>2024</v>
      </c>
      <c r="E6037">
        <v>1808</v>
      </c>
      <c r="F6037">
        <v>70200</v>
      </c>
      <c r="G6037">
        <v>2.58</v>
      </c>
      <c r="H6037" t="s">
        <v>10</v>
      </c>
      <c r="I6037" t="s">
        <v>11</v>
      </c>
    </row>
    <row r="6038" spans="1:9" hidden="1" x14ac:dyDescent="0.25">
      <c r="A6038" t="s">
        <v>17</v>
      </c>
      <c r="B6038" t="s">
        <v>104</v>
      </c>
      <c r="C6038">
        <v>202406</v>
      </c>
      <c r="D6038" t="str">
        <f t="shared" si="94"/>
        <v>2024</v>
      </c>
      <c r="E6038">
        <v>5103</v>
      </c>
      <c r="F6038">
        <v>70200</v>
      </c>
      <c r="G6038">
        <v>7.27</v>
      </c>
      <c r="H6038" t="s">
        <v>10</v>
      </c>
      <c r="I6038" t="s">
        <v>11</v>
      </c>
    </row>
    <row r="6039" spans="1:9" hidden="1" x14ac:dyDescent="0.25">
      <c r="A6039" t="s">
        <v>17</v>
      </c>
      <c r="B6039" t="s">
        <v>104</v>
      </c>
      <c r="C6039">
        <v>202407</v>
      </c>
      <c r="D6039" t="str">
        <f t="shared" si="94"/>
        <v>2024</v>
      </c>
      <c r="E6039">
        <v>27348</v>
      </c>
      <c r="F6039">
        <v>70200</v>
      </c>
      <c r="G6039">
        <v>38.96</v>
      </c>
      <c r="H6039" t="s">
        <v>10</v>
      </c>
      <c r="I6039" t="s">
        <v>11</v>
      </c>
    </row>
    <row r="6040" spans="1:9" hidden="1" x14ac:dyDescent="0.25">
      <c r="A6040" t="s">
        <v>17</v>
      </c>
      <c r="B6040" t="s">
        <v>104</v>
      </c>
      <c r="C6040">
        <v>202408</v>
      </c>
      <c r="D6040" t="str">
        <f t="shared" si="94"/>
        <v>2024</v>
      </c>
      <c r="E6040">
        <v>20650</v>
      </c>
      <c r="F6040">
        <v>70200</v>
      </c>
      <c r="G6040">
        <v>29.42</v>
      </c>
      <c r="H6040" t="s">
        <v>10</v>
      </c>
      <c r="I6040" t="s">
        <v>11</v>
      </c>
    </row>
    <row r="6041" spans="1:9" hidden="1" x14ac:dyDescent="0.25">
      <c r="A6041" t="s">
        <v>17</v>
      </c>
      <c r="B6041" t="s">
        <v>149</v>
      </c>
      <c r="C6041">
        <v>201901</v>
      </c>
      <c r="D6041" t="str">
        <f t="shared" si="94"/>
        <v>2019</v>
      </c>
      <c r="E6041">
        <v>13</v>
      </c>
      <c r="F6041">
        <v>51003</v>
      </c>
      <c r="G6041">
        <v>0.03</v>
      </c>
      <c r="H6041" t="s">
        <v>10</v>
      </c>
      <c r="I6041" t="s">
        <v>11</v>
      </c>
    </row>
    <row r="6042" spans="1:9" hidden="1" x14ac:dyDescent="0.25">
      <c r="A6042" t="s">
        <v>17</v>
      </c>
      <c r="B6042" t="s">
        <v>149</v>
      </c>
      <c r="C6042">
        <v>201902</v>
      </c>
      <c r="D6042" t="str">
        <f t="shared" si="94"/>
        <v>2019</v>
      </c>
      <c r="E6042">
        <v>12</v>
      </c>
      <c r="F6042">
        <v>51003</v>
      </c>
      <c r="G6042">
        <v>0.02</v>
      </c>
      <c r="H6042" t="s">
        <v>10</v>
      </c>
      <c r="I6042" t="s">
        <v>11</v>
      </c>
    </row>
    <row r="6043" spans="1:9" hidden="1" x14ac:dyDescent="0.25">
      <c r="A6043" t="s">
        <v>17</v>
      </c>
      <c r="B6043" t="s">
        <v>149</v>
      </c>
      <c r="C6043">
        <v>202001</v>
      </c>
      <c r="D6043" t="str">
        <f t="shared" si="94"/>
        <v>2020</v>
      </c>
      <c r="E6043">
        <v>1</v>
      </c>
      <c r="F6043">
        <v>51003</v>
      </c>
      <c r="G6043">
        <v>0</v>
      </c>
      <c r="H6043" t="s">
        <v>10</v>
      </c>
      <c r="I6043" t="s">
        <v>11</v>
      </c>
    </row>
    <row r="6044" spans="1:9" hidden="1" x14ac:dyDescent="0.25">
      <c r="A6044" t="s">
        <v>17</v>
      </c>
      <c r="B6044" t="s">
        <v>149</v>
      </c>
      <c r="C6044">
        <v>202012</v>
      </c>
      <c r="D6044" t="str">
        <f t="shared" si="94"/>
        <v>2020</v>
      </c>
      <c r="E6044">
        <v>5</v>
      </c>
      <c r="F6044">
        <v>51003</v>
      </c>
      <c r="G6044">
        <v>0.01</v>
      </c>
      <c r="H6044" t="s">
        <v>10</v>
      </c>
      <c r="I6044" t="s">
        <v>11</v>
      </c>
    </row>
    <row r="6045" spans="1:9" hidden="1" x14ac:dyDescent="0.25">
      <c r="A6045" t="s">
        <v>17</v>
      </c>
      <c r="B6045" t="s">
        <v>149</v>
      </c>
      <c r="C6045">
        <v>202102</v>
      </c>
      <c r="D6045" t="str">
        <f t="shared" si="94"/>
        <v>2021</v>
      </c>
      <c r="E6045">
        <v>27</v>
      </c>
      <c r="F6045">
        <v>51003</v>
      </c>
      <c r="G6045">
        <v>0.05</v>
      </c>
      <c r="H6045" t="s">
        <v>10</v>
      </c>
      <c r="I6045" t="s">
        <v>11</v>
      </c>
    </row>
    <row r="6046" spans="1:9" hidden="1" x14ac:dyDescent="0.25">
      <c r="A6046" t="s">
        <v>17</v>
      </c>
      <c r="B6046" t="s">
        <v>149</v>
      </c>
      <c r="C6046">
        <v>202111</v>
      </c>
      <c r="D6046" t="str">
        <f t="shared" si="94"/>
        <v>2021</v>
      </c>
      <c r="E6046">
        <v>9</v>
      </c>
      <c r="F6046">
        <v>51003</v>
      </c>
      <c r="G6046">
        <v>0.02</v>
      </c>
      <c r="H6046" t="s">
        <v>10</v>
      </c>
      <c r="I6046" t="s">
        <v>11</v>
      </c>
    </row>
    <row r="6047" spans="1:9" hidden="1" x14ac:dyDescent="0.25">
      <c r="A6047" t="s">
        <v>17</v>
      </c>
      <c r="B6047" t="s">
        <v>149</v>
      </c>
      <c r="C6047">
        <v>202203</v>
      </c>
      <c r="D6047" t="str">
        <f t="shared" si="94"/>
        <v>2022</v>
      </c>
      <c r="E6047">
        <v>7</v>
      </c>
      <c r="F6047">
        <v>51003</v>
      </c>
      <c r="G6047">
        <v>0.01</v>
      </c>
      <c r="H6047" t="s">
        <v>10</v>
      </c>
      <c r="I6047" t="s">
        <v>11</v>
      </c>
    </row>
    <row r="6048" spans="1:9" hidden="1" x14ac:dyDescent="0.25">
      <c r="A6048" t="s">
        <v>17</v>
      </c>
      <c r="B6048" t="s">
        <v>149</v>
      </c>
      <c r="C6048">
        <v>202204</v>
      </c>
      <c r="D6048" t="str">
        <f t="shared" si="94"/>
        <v>2022</v>
      </c>
      <c r="E6048">
        <v>6</v>
      </c>
      <c r="F6048">
        <v>51003</v>
      </c>
      <c r="G6048">
        <v>0.01</v>
      </c>
      <c r="H6048" t="s">
        <v>10</v>
      </c>
      <c r="I6048" t="s">
        <v>11</v>
      </c>
    </row>
    <row r="6049" spans="1:9" hidden="1" x14ac:dyDescent="0.25">
      <c r="A6049" t="s">
        <v>17</v>
      </c>
      <c r="B6049" t="s">
        <v>149</v>
      </c>
      <c r="C6049">
        <v>202208</v>
      </c>
      <c r="D6049" t="str">
        <f t="shared" si="94"/>
        <v>2022</v>
      </c>
      <c r="E6049">
        <v>3</v>
      </c>
      <c r="F6049">
        <v>51003</v>
      </c>
      <c r="G6049">
        <v>0.01</v>
      </c>
      <c r="H6049" t="s">
        <v>10</v>
      </c>
      <c r="I6049" t="s">
        <v>11</v>
      </c>
    </row>
    <row r="6050" spans="1:9" hidden="1" x14ac:dyDescent="0.25">
      <c r="A6050" t="s">
        <v>17</v>
      </c>
      <c r="B6050" t="s">
        <v>149</v>
      </c>
      <c r="C6050">
        <v>202210</v>
      </c>
      <c r="D6050" t="str">
        <f t="shared" si="94"/>
        <v>2022</v>
      </c>
      <c r="E6050">
        <v>7</v>
      </c>
      <c r="F6050">
        <v>51003</v>
      </c>
      <c r="G6050">
        <v>0.01</v>
      </c>
      <c r="H6050" t="s">
        <v>10</v>
      </c>
      <c r="I6050" t="s">
        <v>11</v>
      </c>
    </row>
    <row r="6051" spans="1:9" hidden="1" x14ac:dyDescent="0.25">
      <c r="A6051" t="s">
        <v>17</v>
      </c>
      <c r="B6051" t="s">
        <v>149</v>
      </c>
      <c r="C6051">
        <v>202211</v>
      </c>
      <c r="D6051" t="str">
        <f t="shared" si="94"/>
        <v>2022</v>
      </c>
      <c r="E6051">
        <v>6</v>
      </c>
      <c r="F6051">
        <v>51003</v>
      </c>
      <c r="G6051">
        <v>0.01</v>
      </c>
      <c r="H6051" t="s">
        <v>10</v>
      </c>
      <c r="I6051" t="s">
        <v>11</v>
      </c>
    </row>
    <row r="6052" spans="1:9" hidden="1" x14ac:dyDescent="0.25">
      <c r="A6052" t="s">
        <v>17</v>
      </c>
      <c r="B6052" t="s">
        <v>149</v>
      </c>
      <c r="C6052">
        <v>202212</v>
      </c>
      <c r="D6052" t="str">
        <f t="shared" si="94"/>
        <v>2022</v>
      </c>
      <c r="E6052">
        <v>55</v>
      </c>
      <c r="F6052">
        <v>51003</v>
      </c>
      <c r="G6052">
        <v>0.11</v>
      </c>
      <c r="H6052" t="s">
        <v>10</v>
      </c>
      <c r="I6052" t="s">
        <v>11</v>
      </c>
    </row>
    <row r="6053" spans="1:9" hidden="1" x14ac:dyDescent="0.25">
      <c r="A6053" t="s">
        <v>17</v>
      </c>
      <c r="B6053" t="s">
        <v>149</v>
      </c>
      <c r="C6053">
        <v>202301</v>
      </c>
      <c r="D6053" t="str">
        <f t="shared" si="94"/>
        <v>2023</v>
      </c>
      <c r="E6053">
        <v>118</v>
      </c>
      <c r="F6053">
        <v>51003</v>
      </c>
      <c r="G6053">
        <v>0.23</v>
      </c>
      <c r="H6053" t="s">
        <v>10</v>
      </c>
      <c r="I6053" t="s">
        <v>11</v>
      </c>
    </row>
    <row r="6054" spans="1:9" hidden="1" x14ac:dyDescent="0.25">
      <c r="A6054" t="s">
        <v>17</v>
      </c>
      <c r="B6054" t="s">
        <v>149</v>
      </c>
      <c r="C6054">
        <v>202302</v>
      </c>
      <c r="D6054" t="str">
        <f t="shared" si="94"/>
        <v>2023</v>
      </c>
      <c r="E6054">
        <v>112</v>
      </c>
      <c r="F6054">
        <v>51003</v>
      </c>
      <c r="G6054">
        <v>0.22</v>
      </c>
      <c r="H6054" t="s">
        <v>10</v>
      </c>
      <c r="I6054" t="s">
        <v>11</v>
      </c>
    </row>
    <row r="6055" spans="1:9" hidden="1" x14ac:dyDescent="0.25">
      <c r="A6055" t="s">
        <v>17</v>
      </c>
      <c r="B6055" t="s">
        <v>149</v>
      </c>
      <c r="C6055">
        <v>202303</v>
      </c>
      <c r="D6055" t="str">
        <f t="shared" si="94"/>
        <v>2023</v>
      </c>
      <c r="E6055">
        <v>150</v>
      </c>
      <c r="F6055">
        <v>51003</v>
      </c>
      <c r="G6055">
        <v>0.28999999999999998</v>
      </c>
      <c r="H6055" t="s">
        <v>10</v>
      </c>
      <c r="I6055" t="s">
        <v>11</v>
      </c>
    </row>
    <row r="6056" spans="1:9" hidden="1" x14ac:dyDescent="0.25">
      <c r="A6056" t="s">
        <v>17</v>
      </c>
      <c r="B6056" t="s">
        <v>149</v>
      </c>
      <c r="C6056">
        <v>202304</v>
      </c>
      <c r="D6056" t="str">
        <f t="shared" si="94"/>
        <v>2023</v>
      </c>
      <c r="E6056">
        <v>290</v>
      </c>
      <c r="F6056">
        <v>51003</v>
      </c>
      <c r="G6056">
        <v>0.56999999999999995</v>
      </c>
      <c r="H6056" t="s">
        <v>10</v>
      </c>
      <c r="I6056" t="s">
        <v>11</v>
      </c>
    </row>
    <row r="6057" spans="1:9" hidden="1" x14ac:dyDescent="0.25">
      <c r="A6057" t="s">
        <v>17</v>
      </c>
      <c r="B6057" t="s">
        <v>149</v>
      </c>
      <c r="C6057">
        <v>202305</v>
      </c>
      <c r="D6057" t="str">
        <f t="shared" si="94"/>
        <v>2023</v>
      </c>
      <c r="E6057">
        <v>235</v>
      </c>
      <c r="F6057">
        <v>51003</v>
      </c>
      <c r="G6057">
        <v>0.46</v>
      </c>
      <c r="H6057" t="s">
        <v>10</v>
      </c>
      <c r="I6057" t="s">
        <v>11</v>
      </c>
    </row>
    <row r="6058" spans="1:9" hidden="1" x14ac:dyDescent="0.25">
      <c r="A6058" t="s">
        <v>17</v>
      </c>
      <c r="B6058" t="s">
        <v>149</v>
      </c>
      <c r="C6058">
        <v>202306</v>
      </c>
      <c r="D6058" t="str">
        <f t="shared" si="94"/>
        <v>2023</v>
      </c>
      <c r="E6058">
        <v>331</v>
      </c>
      <c r="F6058">
        <v>51003</v>
      </c>
      <c r="G6058">
        <v>0.65</v>
      </c>
      <c r="H6058" t="s">
        <v>10</v>
      </c>
      <c r="I6058" t="s">
        <v>11</v>
      </c>
    </row>
    <row r="6059" spans="1:9" hidden="1" x14ac:dyDescent="0.25">
      <c r="A6059" t="s">
        <v>17</v>
      </c>
      <c r="B6059" t="s">
        <v>149</v>
      </c>
      <c r="C6059">
        <v>202307</v>
      </c>
      <c r="D6059" t="str">
        <f t="shared" si="94"/>
        <v>2023</v>
      </c>
      <c r="E6059">
        <v>210</v>
      </c>
      <c r="F6059">
        <v>51003</v>
      </c>
      <c r="G6059">
        <v>0.41</v>
      </c>
      <c r="H6059" t="s">
        <v>10</v>
      </c>
      <c r="I6059" t="s">
        <v>11</v>
      </c>
    </row>
    <row r="6060" spans="1:9" hidden="1" x14ac:dyDescent="0.25">
      <c r="A6060" t="s">
        <v>17</v>
      </c>
      <c r="B6060" t="s">
        <v>149</v>
      </c>
      <c r="C6060">
        <v>202308</v>
      </c>
      <c r="D6060" t="str">
        <f t="shared" si="94"/>
        <v>2023</v>
      </c>
      <c r="E6060">
        <v>197</v>
      </c>
      <c r="F6060">
        <v>51003</v>
      </c>
      <c r="G6060">
        <v>0.39</v>
      </c>
      <c r="H6060" t="s">
        <v>10</v>
      </c>
      <c r="I6060" t="s">
        <v>11</v>
      </c>
    </row>
    <row r="6061" spans="1:9" hidden="1" x14ac:dyDescent="0.25">
      <c r="A6061" t="s">
        <v>17</v>
      </c>
      <c r="B6061" t="s">
        <v>149</v>
      </c>
      <c r="C6061">
        <v>202309</v>
      </c>
      <c r="D6061" t="str">
        <f t="shared" si="94"/>
        <v>2023</v>
      </c>
      <c r="E6061">
        <v>270</v>
      </c>
      <c r="F6061">
        <v>51003</v>
      </c>
      <c r="G6061">
        <v>0.53</v>
      </c>
      <c r="H6061" t="s">
        <v>10</v>
      </c>
      <c r="I6061" t="s">
        <v>11</v>
      </c>
    </row>
    <row r="6062" spans="1:9" hidden="1" x14ac:dyDescent="0.25">
      <c r="A6062" t="s">
        <v>17</v>
      </c>
      <c r="B6062" t="s">
        <v>149</v>
      </c>
      <c r="C6062">
        <v>202310</v>
      </c>
      <c r="D6062" t="str">
        <f t="shared" si="94"/>
        <v>2023</v>
      </c>
      <c r="E6062">
        <v>365</v>
      </c>
      <c r="F6062">
        <v>51003</v>
      </c>
      <c r="G6062">
        <v>0.72</v>
      </c>
      <c r="H6062" t="s">
        <v>10</v>
      </c>
      <c r="I6062" t="s">
        <v>11</v>
      </c>
    </row>
    <row r="6063" spans="1:9" hidden="1" x14ac:dyDescent="0.25">
      <c r="A6063" t="s">
        <v>17</v>
      </c>
      <c r="B6063" t="s">
        <v>149</v>
      </c>
      <c r="C6063">
        <v>202311</v>
      </c>
      <c r="D6063" t="str">
        <f t="shared" si="94"/>
        <v>2023</v>
      </c>
      <c r="E6063">
        <v>683</v>
      </c>
      <c r="F6063">
        <v>51003</v>
      </c>
      <c r="G6063">
        <v>1.34</v>
      </c>
      <c r="H6063" t="s">
        <v>10</v>
      </c>
      <c r="I6063" t="s">
        <v>11</v>
      </c>
    </row>
    <row r="6064" spans="1:9" hidden="1" x14ac:dyDescent="0.25">
      <c r="A6064" t="s">
        <v>17</v>
      </c>
      <c r="B6064" t="s">
        <v>149</v>
      </c>
      <c r="C6064">
        <v>202312</v>
      </c>
      <c r="D6064" t="str">
        <f t="shared" si="94"/>
        <v>2023</v>
      </c>
      <c r="E6064">
        <v>546</v>
      </c>
      <c r="F6064">
        <v>51003</v>
      </c>
      <c r="G6064">
        <v>1.07</v>
      </c>
      <c r="H6064" t="s">
        <v>10</v>
      </c>
      <c r="I6064" t="s">
        <v>11</v>
      </c>
    </row>
    <row r="6065" spans="1:9" hidden="1" x14ac:dyDescent="0.25">
      <c r="A6065" t="s">
        <v>17</v>
      </c>
      <c r="B6065" t="s">
        <v>149</v>
      </c>
      <c r="C6065">
        <v>202401</v>
      </c>
      <c r="D6065" t="str">
        <f t="shared" si="94"/>
        <v>2024</v>
      </c>
      <c r="E6065">
        <v>341</v>
      </c>
      <c r="F6065">
        <v>51003</v>
      </c>
      <c r="G6065">
        <v>0.67</v>
      </c>
      <c r="H6065" t="s">
        <v>10</v>
      </c>
      <c r="I6065" t="s">
        <v>11</v>
      </c>
    </row>
    <row r="6066" spans="1:9" hidden="1" x14ac:dyDescent="0.25">
      <c r="A6066" t="s">
        <v>17</v>
      </c>
      <c r="B6066" t="s">
        <v>149</v>
      </c>
      <c r="C6066">
        <v>202402</v>
      </c>
      <c r="D6066" t="str">
        <f t="shared" si="94"/>
        <v>2024</v>
      </c>
      <c r="E6066">
        <v>633</v>
      </c>
      <c r="F6066">
        <v>51003</v>
      </c>
      <c r="G6066">
        <v>1.24</v>
      </c>
      <c r="H6066" t="s">
        <v>10</v>
      </c>
      <c r="I6066" t="s">
        <v>11</v>
      </c>
    </row>
    <row r="6067" spans="1:9" hidden="1" x14ac:dyDescent="0.25">
      <c r="A6067" t="s">
        <v>17</v>
      </c>
      <c r="B6067" t="s">
        <v>149</v>
      </c>
      <c r="C6067">
        <v>202403</v>
      </c>
      <c r="D6067" t="str">
        <f t="shared" si="94"/>
        <v>2024</v>
      </c>
      <c r="E6067">
        <v>751</v>
      </c>
      <c r="F6067">
        <v>51003</v>
      </c>
      <c r="G6067">
        <v>1.47</v>
      </c>
      <c r="H6067" t="s">
        <v>10</v>
      </c>
      <c r="I6067" t="s">
        <v>11</v>
      </c>
    </row>
    <row r="6068" spans="1:9" hidden="1" x14ac:dyDescent="0.25">
      <c r="A6068" t="s">
        <v>17</v>
      </c>
      <c r="B6068" t="s">
        <v>149</v>
      </c>
      <c r="C6068">
        <v>202404</v>
      </c>
      <c r="D6068" t="str">
        <f t="shared" si="94"/>
        <v>2024</v>
      </c>
      <c r="E6068">
        <v>797</v>
      </c>
      <c r="F6068">
        <v>51003</v>
      </c>
      <c r="G6068">
        <v>1.56</v>
      </c>
      <c r="H6068" t="s">
        <v>10</v>
      </c>
      <c r="I6068" t="s">
        <v>11</v>
      </c>
    </row>
    <row r="6069" spans="1:9" hidden="1" x14ac:dyDescent="0.25">
      <c r="A6069" t="s">
        <v>17</v>
      </c>
      <c r="B6069" t="s">
        <v>149</v>
      </c>
      <c r="C6069">
        <v>202405</v>
      </c>
      <c r="D6069" t="str">
        <f t="shared" si="94"/>
        <v>2024</v>
      </c>
      <c r="E6069">
        <v>810</v>
      </c>
      <c r="F6069">
        <v>51003</v>
      </c>
      <c r="G6069">
        <v>1.59</v>
      </c>
      <c r="H6069" t="s">
        <v>10</v>
      </c>
      <c r="I6069" t="s">
        <v>11</v>
      </c>
    </row>
    <row r="6070" spans="1:9" hidden="1" x14ac:dyDescent="0.25">
      <c r="A6070" t="s">
        <v>17</v>
      </c>
      <c r="B6070" t="s">
        <v>149</v>
      </c>
      <c r="C6070">
        <v>202406</v>
      </c>
      <c r="D6070" t="str">
        <f t="shared" si="94"/>
        <v>2024</v>
      </c>
      <c r="E6070">
        <v>1868</v>
      </c>
      <c r="F6070">
        <v>51003</v>
      </c>
      <c r="G6070">
        <v>3.66</v>
      </c>
      <c r="H6070" t="s">
        <v>10</v>
      </c>
      <c r="I6070" t="s">
        <v>11</v>
      </c>
    </row>
    <row r="6071" spans="1:9" hidden="1" x14ac:dyDescent="0.25">
      <c r="A6071" t="s">
        <v>17</v>
      </c>
      <c r="B6071" t="s">
        <v>149</v>
      </c>
      <c r="C6071">
        <v>202407</v>
      </c>
      <c r="D6071" t="str">
        <f t="shared" si="94"/>
        <v>2024</v>
      </c>
      <c r="E6071">
        <v>3996</v>
      </c>
      <c r="F6071">
        <v>51003</v>
      </c>
      <c r="G6071">
        <v>7.83</v>
      </c>
      <c r="H6071" t="s">
        <v>10</v>
      </c>
      <c r="I6071" t="s">
        <v>11</v>
      </c>
    </row>
    <row r="6072" spans="1:9" hidden="1" x14ac:dyDescent="0.25">
      <c r="A6072" t="s">
        <v>17</v>
      </c>
      <c r="B6072" t="s">
        <v>149</v>
      </c>
      <c r="C6072">
        <v>202408</v>
      </c>
      <c r="D6072" t="str">
        <f t="shared" si="94"/>
        <v>2024</v>
      </c>
      <c r="E6072">
        <v>22947</v>
      </c>
      <c r="F6072">
        <v>51003</v>
      </c>
      <c r="G6072">
        <v>44.99</v>
      </c>
      <c r="H6072" t="s">
        <v>10</v>
      </c>
      <c r="I6072" t="s">
        <v>11</v>
      </c>
    </row>
    <row r="6073" spans="1:9" hidden="1" x14ac:dyDescent="0.25">
      <c r="A6073" t="s">
        <v>17</v>
      </c>
      <c r="B6073" t="s">
        <v>149</v>
      </c>
      <c r="C6073">
        <v>202409</v>
      </c>
      <c r="D6073" t="str">
        <f t="shared" si="94"/>
        <v>2024</v>
      </c>
      <c r="E6073">
        <v>15202</v>
      </c>
      <c r="F6073">
        <v>51003</v>
      </c>
      <c r="G6073">
        <v>29.81</v>
      </c>
      <c r="H6073" t="s">
        <v>10</v>
      </c>
      <c r="I6073" t="s">
        <v>11</v>
      </c>
    </row>
    <row r="6074" spans="1:9" hidden="1" x14ac:dyDescent="0.25">
      <c r="A6074" t="s">
        <v>17</v>
      </c>
      <c r="B6074" t="s">
        <v>126</v>
      </c>
      <c r="C6074">
        <v>201810</v>
      </c>
      <c r="D6074" t="str">
        <f t="shared" si="94"/>
        <v>2018</v>
      </c>
      <c r="E6074">
        <v>1</v>
      </c>
      <c r="F6074">
        <v>66678</v>
      </c>
      <c r="G6074">
        <v>0</v>
      </c>
      <c r="H6074" t="s">
        <v>10</v>
      </c>
      <c r="I6074" t="s">
        <v>11</v>
      </c>
    </row>
    <row r="6075" spans="1:9" hidden="1" x14ac:dyDescent="0.25">
      <c r="A6075" t="s">
        <v>17</v>
      </c>
      <c r="B6075" t="s">
        <v>126</v>
      </c>
      <c r="C6075">
        <v>201812</v>
      </c>
      <c r="D6075" t="str">
        <f t="shared" si="94"/>
        <v>2018</v>
      </c>
      <c r="E6075">
        <v>2</v>
      </c>
      <c r="F6075">
        <v>66678</v>
      </c>
      <c r="G6075">
        <v>0</v>
      </c>
      <c r="H6075" t="s">
        <v>10</v>
      </c>
      <c r="I6075" t="s">
        <v>11</v>
      </c>
    </row>
    <row r="6076" spans="1:9" hidden="1" x14ac:dyDescent="0.25">
      <c r="A6076" t="s">
        <v>17</v>
      </c>
      <c r="B6076" t="s">
        <v>126</v>
      </c>
      <c r="C6076">
        <v>201903</v>
      </c>
      <c r="D6076" t="str">
        <f t="shared" si="94"/>
        <v>2019</v>
      </c>
      <c r="E6076">
        <v>1</v>
      </c>
      <c r="F6076">
        <v>66678</v>
      </c>
      <c r="G6076">
        <v>0</v>
      </c>
      <c r="H6076" t="s">
        <v>10</v>
      </c>
      <c r="I6076" t="s">
        <v>11</v>
      </c>
    </row>
    <row r="6077" spans="1:9" hidden="1" x14ac:dyDescent="0.25">
      <c r="A6077" t="s">
        <v>17</v>
      </c>
      <c r="B6077" t="s">
        <v>126</v>
      </c>
      <c r="C6077">
        <v>202002</v>
      </c>
      <c r="D6077" t="str">
        <f t="shared" si="94"/>
        <v>2020</v>
      </c>
      <c r="E6077">
        <v>6</v>
      </c>
      <c r="F6077">
        <v>66678</v>
      </c>
      <c r="G6077">
        <v>0.01</v>
      </c>
      <c r="H6077" t="s">
        <v>10</v>
      </c>
      <c r="I6077" t="s">
        <v>11</v>
      </c>
    </row>
    <row r="6078" spans="1:9" hidden="1" x14ac:dyDescent="0.25">
      <c r="A6078" t="s">
        <v>17</v>
      </c>
      <c r="B6078" t="s">
        <v>126</v>
      </c>
      <c r="C6078">
        <v>202007</v>
      </c>
      <c r="D6078" t="str">
        <f t="shared" si="94"/>
        <v>2020</v>
      </c>
      <c r="E6078">
        <v>11</v>
      </c>
      <c r="F6078">
        <v>66678</v>
      </c>
      <c r="G6078">
        <v>0.02</v>
      </c>
      <c r="H6078" t="s">
        <v>10</v>
      </c>
      <c r="I6078" t="s">
        <v>11</v>
      </c>
    </row>
    <row r="6079" spans="1:9" hidden="1" x14ac:dyDescent="0.25">
      <c r="A6079" t="s">
        <v>17</v>
      </c>
      <c r="B6079" t="s">
        <v>126</v>
      </c>
      <c r="C6079">
        <v>202109</v>
      </c>
      <c r="D6079" t="str">
        <f t="shared" si="94"/>
        <v>2021</v>
      </c>
      <c r="E6079">
        <v>2</v>
      </c>
      <c r="F6079">
        <v>66678</v>
      </c>
      <c r="G6079">
        <v>0</v>
      </c>
      <c r="H6079" t="s">
        <v>10</v>
      </c>
      <c r="I6079" t="s">
        <v>11</v>
      </c>
    </row>
    <row r="6080" spans="1:9" hidden="1" x14ac:dyDescent="0.25">
      <c r="A6080" t="s">
        <v>17</v>
      </c>
      <c r="B6080" t="s">
        <v>126</v>
      </c>
      <c r="C6080">
        <v>202201</v>
      </c>
      <c r="D6080" t="str">
        <f t="shared" si="94"/>
        <v>2022</v>
      </c>
      <c r="E6080">
        <v>20</v>
      </c>
      <c r="F6080">
        <v>66678</v>
      </c>
      <c r="G6080">
        <v>0.03</v>
      </c>
      <c r="H6080" t="s">
        <v>10</v>
      </c>
      <c r="I6080" t="s">
        <v>11</v>
      </c>
    </row>
    <row r="6081" spans="1:9" hidden="1" x14ac:dyDescent="0.25">
      <c r="A6081" t="s">
        <v>17</v>
      </c>
      <c r="B6081" t="s">
        <v>126</v>
      </c>
      <c r="C6081">
        <v>202204</v>
      </c>
      <c r="D6081" t="str">
        <f t="shared" si="94"/>
        <v>2022</v>
      </c>
      <c r="E6081">
        <v>4</v>
      </c>
      <c r="F6081">
        <v>66678</v>
      </c>
      <c r="G6081">
        <v>0.01</v>
      </c>
      <c r="H6081" t="s">
        <v>10</v>
      </c>
      <c r="I6081" t="s">
        <v>11</v>
      </c>
    </row>
    <row r="6082" spans="1:9" hidden="1" x14ac:dyDescent="0.25">
      <c r="A6082" t="s">
        <v>17</v>
      </c>
      <c r="B6082" t="s">
        <v>126</v>
      </c>
      <c r="C6082">
        <v>202205</v>
      </c>
      <c r="D6082" t="str">
        <f t="shared" si="94"/>
        <v>2022</v>
      </c>
      <c r="E6082">
        <v>8</v>
      </c>
      <c r="F6082">
        <v>66678</v>
      </c>
      <c r="G6082">
        <v>0.01</v>
      </c>
      <c r="H6082" t="s">
        <v>10</v>
      </c>
      <c r="I6082" t="s">
        <v>11</v>
      </c>
    </row>
    <row r="6083" spans="1:9" hidden="1" x14ac:dyDescent="0.25">
      <c r="A6083" t="s">
        <v>17</v>
      </c>
      <c r="B6083" t="s">
        <v>126</v>
      </c>
      <c r="C6083">
        <v>202206</v>
      </c>
      <c r="D6083" t="str">
        <f t="shared" ref="D6083:D6146" si="95">LEFT(C6083,4)</f>
        <v>2022</v>
      </c>
      <c r="E6083">
        <v>1</v>
      </c>
      <c r="F6083">
        <v>66678</v>
      </c>
      <c r="G6083">
        <v>0</v>
      </c>
      <c r="H6083" t="s">
        <v>10</v>
      </c>
      <c r="I6083" t="s">
        <v>11</v>
      </c>
    </row>
    <row r="6084" spans="1:9" hidden="1" x14ac:dyDescent="0.25">
      <c r="A6084" t="s">
        <v>17</v>
      </c>
      <c r="B6084" t="s">
        <v>126</v>
      </c>
      <c r="C6084">
        <v>202208</v>
      </c>
      <c r="D6084" t="str">
        <f t="shared" si="95"/>
        <v>2022</v>
      </c>
      <c r="E6084">
        <v>6</v>
      </c>
      <c r="F6084">
        <v>66678</v>
      </c>
      <c r="G6084">
        <v>0.01</v>
      </c>
      <c r="H6084" t="s">
        <v>10</v>
      </c>
      <c r="I6084" t="s">
        <v>11</v>
      </c>
    </row>
    <row r="6085" spans="1:9" hidden="1" x14ac:dyDescent="0.25">
      <c r="A6085" t="s">
        <v>17</v>
      </c>
      <c r="B6085" t="s">
        <v>126</v>
      </c>
      <c r="C6085">
        <v>202209</v>
      </c>
      <c r="D6085" t="str">
        <f t="shared" si="95"/>
        <v>2022</v>
      </c>
      <c r="E6085">
        <v>10</v>
      </c>
      <c r="F6085">
        <v>66678</v>
      </c>
      <c r="G6085">
        <v>0.01</v>
      </c>
      <c r="H6085" t="s">
        <v>10</v>
      </c>
      <c r="I6085" t="s">
        <v>11</v>
      </c>
    </row>
    <row r="6086" spans="1:9" hidden="1" x14ac:dyDescent="0.25">
      <c r="A6086" t="s">
        <v>17</v>
      </c>
      <c r="B6086" t="s">
        <v>126</v>
      </c>
      <c r="C6086">
        <v>202210</v>
      </c>
      <c r="D6086" t="str">
        <f t="shared" si="95"/>
        <v>2022</v>
      </c>
      <c r="E6086">
        <v>2</v>
      </c>
      <c r="F6086">
        <v>66678</v>
      </c>
      <c r="G6086">
        <v>0</v>
      </c>
      <c r="H6086" t="s">
        <v>10</v>
      </c>
      <c r="I6086" t="s">
        <v>11</v>
      </c>
    </row>
    <row r="6087" spans="1:9" hidden="1" x14ac:dyDescent="0.25">
      <c r="A6087" t="s">
        <v>17</v>
      </c>
      <c r="B6087" t="s">
        <v>126</v>
      </c>
      <c r="C6087">
        <v>202212</v>
      </c>
      <c r="D6087" t="str">
        <f t="shared" si="95"/>
        <v>2022</v>
      </c>
      <c r="E6087">
        <v>35</v>
      </c>
      <c r="F6087">
        <v>66678</v>
      </c>
      <c r="G6087">
        <v>0.05</v>
      </c>
      <c r="H6087" t="s">
        <v>10</v>
      </c>
      <c r="I6087" t="s">
        <v>11</v>
      </c>
    </row>
    <row r="6088" spans="1:9" hidden="1" x14ac:dyDescent="0.25">
      <c r="A6088" t="s">
        <v>17</v>
      </c>
      <c r="B6088" t="s">
        <v>126</v>
      </c>
      <c r="C6088">
        <v>202301</v>
      </c>
      <c r="D6088" t="str">
        <f t="shared" si="95"/>
        <v>2023</v>
      </c>
      <c r="E6088">
        <v>95</v>
      </c>
      <c r="F6088">
        <v>66678</v>
      </c>
      <c r="G6088">
        <v>0.14000000000000001</v>
      </c>
      <c r="H6088" t="s">
        <v>10</v>
      </c>
      <c r="I6088" t="s">
        <v>11</v>
      </c>
    </row>
    <row r="6089" spans="1:9" hidden="1" x14ac:dyDescent="0.25">
      <c r="A6089" t="s">
        <v>17</v>
      </c>
      <c r="B6089" t="s">
        <v>126</v>
      </c>
      <c r="C6089">
        <v>202302</v>
      </c>
      <c r="D6089" t="str">
        <f t="shared" si="95"/>
        <v>2023</v>
      </c>
      <c r="E6089">
        <v>109</v>
      </c>
      <c r="F6089">
        <v>66678</v>
      </c>
      <c r="G6089">
        <v>0.16</v>
      </c>
      <c r="H6089" t="s">
        <v>10</v>
      </c>
      <c r="I6089" t="s">
        <v>11</v>
      </c>
    </row>
    <row r="6090" spans="1:9" hidden="1" x14ac:dyDescent="0.25">
      <c r="A6090" t="s">
        <v>17</v>
      </c>
      <c r="B6090" t="s">
        <v>126</v>
      </c>
      <c r="C6090">
        <v>202303</v>
      </c>
      <c r="D6090" t="str">
        <f t="shared" si="95"/>
        <v>2023</v>
      </c>
      <c r="E6090">
        <v>95</v>
      </c>
      <c r="F6090">
        <v>66678</v>
      </c>
      <c r="G6090">
        <v>0.14000000000000001</v>
      </c>
      <c r="H6090" t="s">
        <v>10</v>
      </c>
      <c r="I6090" t="s">
        <v>11</v>
      </c>
    </row>
    <row r="6091" spans="1:9" hidden="1" x14ac:dyDescent="0.25">
      <c r="A6091" t="s">
        <v>17</v>
      </c>
      <c r="B6091" t="s">
        <v>126</v>
      </c>
      <c r="C6091">
        <v>202304</v>
      </c>
      <c r="D6091" t="str">
        <f t="shared" si="95"/>
        <v>2023</v>
      </c>
      <c r="E6091">
        <v>93</v>
      </c>
      <c r="F6091">
        <v>66678</v>
      </c>
      <c r="G6091">
        <v>0.14000000000000001</v>
      </c>
      <c r="H6091" t="s">
        <v>10</v>
      </c>
      <c r="I6091" t="s">
        <v>11</v>
      </c>
    </row>
    <row r="6092" spans="1:9" hidden="1" x14ac:dyDescent="0.25">
      <c r="A6092" t="s">
        <v>17</v>
      </c>
      <c r="B6092" t="s">
        <v>126</v>
      </c>
      <c r="C6092">
        <v>202305</v>
      </c>
      <c r="D6092" t="str">
        <f t="shared" si="95"/>
        <v>2023</v>
      </c>
      <c r="E6092">
        <v>143</v>
      </c>
      <c r="F6092">
        <v>66678</v>
      </c>
      <c r="G6092">
        <v>0.21</v>
      </c>
      <c r="H6092" t="s">
        <v>10</v>
      </c>
      <c r="I6092" t="s">
        <v>11</v>
      </c>
    </row>
    <row r="6093" spans="1:9" hidden="1" x14ac:dyDescent="0.25">
      <c r="A6093" t="s">
        <v>17</v>
      </c>
      <c r="B6093" t="s">
        <v>126</v>
      </c>
      <c r="C6093">
        <v>202306</v>
      </c>
      <c r="D6093" t="str">
        <f t="shared" si="95"/>
        <v>2023</v>
      </c>
      <c r="E6093">
        <v>141</v>
      </c>
      <c r="F6093">
        <v>66678</v>
      </c>
      <c r="G6093">
        <v>0.21</v>
      </c>
      <c r="H6093" t="s">
        <v>10</v>
      </c>
      <c r="I6093" t="s">
        <v>11</v>
      </c>
    </row>
    <row r="6094" spans="1:9" hidden="1" x14ac:dyDescent="0.25">
      <c r="A6094" t="s">
        <v>17</v>
      </c>
      <c r="B6094" t="s">
        <v>126</v>
      </c>
      <c r="C6094">
        <v>202307</v>
      </c>
      <c r="D6094" t="str">
        <f t="shared" si="95"/>
        <v>2023</v>
      </c>
      <c r="E6094">
        <v>112</v>
      </c>
      <c r="F6094">
        <v>66678</v>
      </c>
      <c r="G6094">
        <v>0.17</v>
      </c>
      <c r="H6094" t="s">
        <v>10</v>
      </c>
      <c r="I6094" t="s">
        <v>11</v>
      </c>
    </row>
    <row r="6095" spans="1:9" hidden="1" x14ac:dyDescent="0.25">
      <c r="A6095" t="s">
        <v>17</v>
      </c>
      <c r="B6095" t="s">
        <v>126</v>
      </c>
      <c r="C6095">
        <v>202308</v>
      </c>
      <c r="D6095" t="str">
        <f t="shared" si="95"/>
        <v>2023</v>
      </c>
      <c r="E6095">
        <v>205</v>
      </c>
      <c r="F6095">
        <v>66678</v>
      </c>
      <c r="G6095">
        <v>0.31</v>
      </c>
      <c r="H6095" t="s">
        <v>10</v>
      </c>
      <c r="I6095" t="s">
        <v>11</v>
      </c>
    </row>
    <row r="6096" spans="1:9" hidden="1" x14ac:dyDescent="0.25">
      <c r="A6096" t="s">
        <v>17</v>
      </c>
      <c r="B6096" t="s">
        <v>126</v>
      </c>
      <c r="C6096">
        <v>202309</v>
      </c>
      <c r="D6096" t="str">
        <f t="shared" si="95"/>
        <v>2023</v>
      </c>
      <c r="E6096">
        <v>272</v>
      </c>
      <c r="F6096">
        <v>66678</v>
      </c>
      <c r="G6096">
        <v>0.41</v>
      </c>
      <c r="H6096" t="s">
        <v>10</v>
      </c>
      <c r="I6096" t="s">
        <v>11</v>
      </c>
    </row>
    <row r="6097" spans="1:9" hidden="1" x14ac:dyDescent="0.25">
      <c r="A6097" t="s">
        <v>17</v>
      </c>
      <c r="B6097" t="s">
        <v>126</v>
      </c>
      <c r="C6097">
        <v>202310</v>
      </c>
      <c r="D6097" t="str">
        <f t="shared" si="95"/>
        <v>2023</v>
      </c>
      <c r="E6097">
        <v>393</v>
      </c>
      <c r="F6097">
        <v>66678</v>
      </c>
      <c r="G6097">
        <v>0.59</v>
      </c>
      <c r="H6097" t="s">
        <v>10</v>
      </c>
      <c r="I6097" t="s">
        <v>11</v>
      </c>
    </row>
    <row r="6098" spans="1:9" hidden="1" x14ac:dyDescent="0.25">
      <c r="A6098" t="s">
        <v>17</v>
      </c>
      <c r="B6098" t="s">
        <v>126</v>
      </c>
      <c r="C6098">
        <v>202311</v>
      </c>
      <c r="D6098" t="str">
        <f t="shared" si="95"/>
        <v>2023</v>
      </c>
      <c r="E6098">
        <v>280</v>
      </c>
      <c r="F6098">
        <v>66678</v>
      </c>
      <c r="G6098">
        <v>0.42</v>
      </c>
      <c r="H6098" t="s">
        <v>10</v>
      </c>
      <c r="I6098" t="s">
        <v>11</v>
      </c>
    </row>
    <row r="6099" spans="1:9" hidden="1" x14ac:dyDescent="0.25">
      <c r="A6099" t="s">
        <v>17</v>
      </c>
      <c r="B6099" t="s">
        <v>126</v>
      </c>
      <c r="C6099">
        <v>202312</v>
      </c>
      <c r="D6099" t="str">
        <f t="shared" si="95"/>
        <v>2023</v>
      </c>
      <c r="E6099">
        <v>328</v>
      </c>
      <c r="F6099">
        <v>66678</v>
      </c>
      <c r="G6099">
        <v>0.49</v>
      </c>
      <c r="H6099" t="s">
        <v>10</v>
      </c>
      <c r="I6099" t="s">
        <v>11</v>
      </c>
    </row>
    <row r="6100" spans="1:9" hidden="1" x14ac:dyDescent="0.25">
      <c r="A6100" t="s">
        <v>17</v>
      </c>
      <c r="B6100" t="s">
        <v>126</v>
      </c>
      <c r="C6100">
        <v>202401</v>
      </c>
      <c r="D6100" t="str">
        <f t="shared" si="95"/>
        <v>2024</v>
      </c>
      <c r="E6100">
        <v>585</v>
      </c>
      <c r="F6100">
        <v>66678</v>
      </c>
      <c r="G6100">
        <v>0.88</v>
      </c>
      <c r="H6100" t="s">
        <v>10</v>
      </c>
      <c r="I6100" t="s">
        <v>11</v>
      </c>
    </row>
    <row r="6101" spans="1:9" hidden="1" x14ac:dyDescent="0.25">
      <c r="A6101" t="s">
        <v>17</v>
      </c>
      <c r="B6101" t="s">
        <v>126</v>
      </c>
      <c r="C6101">
        <v>202402</v>
      </c>
      <c r="D6101" t="str">
        <f t="shared" si="95"/>
        <v>2024</v>
      </c>
      <c r="E6101">
        <v>598</v>
      </c>
      <c r="F6101">
        <v>66678</v>
      </c>
      <c r="G6101">
        <v>0.9</v>
      </c>
      <c r="H6101" t="s">
        <v>10</v>
      </c>
      <c r="I6101" t="s">
        <v>11</v>
      </c>
    </row>
    <row r="6102" spans="1:9" hidden="1" x14ac:dyDescent="0.25">
      <c r="A6102" t="s">
        <v>17</v>
      </c>
      <c r="B6102" t="s">
        <v>126</v>
      </c>
      <c r="C6102">
        <v>202403</v>
      </c>
      <c r="D6102" t="str">
        <f t="shared" si="95"/>
        <v>2024</v>
      </c>
      <c r="E6102">
        <v>287</v>
      </c>
      <c r="F6102">
        <v>66678</v>
      </c>
      <c r="G6102">
        <v>0.43</v>
      </c>
      <c r="H6102" t="s">
        <v>10</v>
      </c>
      <c r="I6102" t="s">
        <v>11</v>
      </c>
    </row>
    <row r="6103" spans="1:9" hidden="1" x14ac:dyDescent="0.25">
      <c r="A6103" t="s">
        <v>17</v>
      </c>
      <c r="B6103" t="s">
        <v>126</v>
      </c>
      <c r="C6103">
        <v>202404</v>
      </c>
      <c r="D6103" t="str">
        <f t="shared" si="95"/>
        <v>2024</v>
      </c>
      <c r="E6103">
        <v>504</v>
      </c>
      <c r="F6103">
        <v>66678</v>
      </c>
      <c r="G6103">
        <v>0.76</v>
      </c>
      <c r="H6103" t="s">
        <v>10</v>
      </c>
      <c r="I6103" t="s">
        <v>11</v>
      </c>
    </row>
    <row r="6104" spans="1:9" hidden="1" x14ac:dyDescent="0.25">
      <c r="A6104" t="s">
        <v>17</v>
      </c>
      <c r="B6104" t="s">
        <v>126</v>
      </c>
      <c r="C6104">
        <v>202405</v>
      </c>
      <c r="D6104" t="str">
        <f t="shared" si="95"/>
        <v>2024</v>
      </c>
      <c r="E6104">
        <v>807</v>
      </c>
      <c r="F6104">
        <v>66678</v>
      </c>
      <c r="G6104">
        <v>1.21</v>
      </c>
      <c r="H6104" t="s">
        <v>10</v>
      </c>
      <c r="I6104" t="s">
        <v>11</v>
      </c>
    </row>
    <row r="6105" spans="1:9" hidden="1" x14ac:dyDescent="0.25">
      <c r="A6105" t="s">
        <v>17</v>
      </c>
      <c r="B6105" t="s">
        <v>126</v>
      </c>
      <c r="C6105">
        <v>202406</v>
      </c>
      <c r="D6105" t="str">
        <f t="shared" si="95"/>
        <v>2024</v>
      </c>
      <c r="E6105">
        <v>1435</v>
      </c>
      <c r="F6105">
        <v>66678</v>
      </c>
      <c r="G6105">
        <v>2.15</v>
      </c>
      <c r="H6105" t="s">
        <v>10</v>
      </c>
      <c r="I6105" t="s">
        <v>11</v>
      </c>
    </row>
    <row r="6106" spans="1:9" hidden="1" x14ac:dyDescent="0.25">
      <c r="A6106" t="s">
        <v>17</v>
      </c>
      <c r="B6106" t="s">
        <v>126</v>
      </c>
      <c r="C6106">
        <v>202407</v>
      </c>
      <c r="D6106" t="str">
        <f t="shared" si="95"/>
        <v>2024</v>
      </c>
      <c r="E6106">
        <v>1364</v>
      </c>
      <c r="F6106">
        <v>66678</v>
      </c>
      <c r="G6106">
        <v>2.0499999999999998</v>
      </c>
      <c r="H6106" t="s">
        <v>10</v>
      </c>
      <c r="I6106" t="s">
        <v>11</v>
      </c>
    </row>
    <row r="6107" spans="1:9" hidden="1" x14ac:dyDescent="0.25">
      <c r="A6107" t="s">
        <v>17</v>
      </c>
      <c r="B6107" t="s">
        <v>126</v>
      </c>
      <c r="C6107">
        <v>202408</v>
      </c>
      <c r="D6107" t="str">
        <f t="shared" si="95"/>
        <v>2024</v>
      </c>
      <c r="E6107">
        <v>5177</v>
      </c>
      <c r="F6107">
        <v>66678</v>
      </c>
      <c r="G6107">
        <v>7.76</v>
      </c>
      <c r="H6107" t="s">
        <v>10</v>
      </c>
      <c r="I6107" t="s">
        <v>11</v>
      </c>
    </row>
    <row r="6108" spans="1:9" hidden="1" x14ac:dyDescent="0.25">
      <c r="A6108" t="s">
        <v>17</v>
      </c>
      <c r="B6108" t="s">
        <v>126</v>
      </c>
      <c r="C6108">
        <v>202409</v>
      </c>
      <c r="D6108" t="str">
        <f t="shared" si="95"/>
        <v>2024</v>
      </c>
      <c r="E6108">
        <v>28850</v>
      </c>
      <c r="F6108">
        <v>66678</v>
      </c>
      <c r="G6108">
        <v>43.27</v>
      </c>
      <c r="H6108" t="s">
        <v>10</v>
      </c>
      <c r="I6108" t="s">
        <v>11</v>
      </c>
    </row>
    <row r="6109" spans="1:9" hidden="1" x14ac:dyDescent="0.25">
      <c r="A6109" t="s">
        <v>17</v>
      </c>
      <c r="B6109" t="s">
        <v>126</v>
      </c>
      <c r="C6109">
        <v>202410</v>
      </c>
      <c r="D6109" t="str">
        <f t="shared" si="95"/>
        <v>2024</v>
      </c>
      <c r="E6109">
        <v>24696</v>
      </c>
      <c r="F6109">
        <v>66678</v>
      </c>
      <c r="G6109">
        <v>37.04</v>
      </c>
      <c r="H6109" t="s">
        <v>10</v>
      </c>
      <c r="I6109" t="s">
        <v>11</v>
      </c>
    </row>
    <row r="6110" spans="1:9" hidden="1" x14ac:dyDescent="0.25">
      <c r="A6110" t="s">
        <v>17</v>
      </c>
      <c r="B6110" t="s">
        <v>192</v>
      </c>
      <c r="C6110">
        <v>202004</v>
      </c>
      <c r="D6110" t="str">
        <f t="shared" si="95"/>
        <v>2020</v>
      </c>
      <c r="E6110">
        <v>35</v>
      </c>
      <c r="F6110">
        <v>68137</v>
      </c>
      <c r="G6110">
        <v>0.05</v>
      </c>
      <c r="H6110" t="s">
        <v>10</v>
      </c>
      <c r="I6110" t="s">
        <v>11</v>
      </c>
    </row>
    <row r="6111" spans="1:9" hidden="1" x14ac:dyDescent="0.25">
      <c r="A6111" t="s">
        <v>17</v>
      </c>
      <c r="B6111" t="s">
        <v>192</v>
      </c>
      <c r="C6111">
        <v>202005</v>
      </c>
      <c r="D6111" t="str">
        <f t="shared" si="95"/>
        <v>2020</v>
      </c>
      <c r="E6111">
        <v>101</v>
      </c>
      <c r="F6111">
        <v>68137</v>
      </c>
      <c r="G6111">
        <v>0.15</v>
      </c>
      <c r="H6111" t="s">
        <v>10</v>
      </c>
      <c r="I6111" t="s">
        <v>11</v>
      </c>
    </row>
    <row r="6112" spans="1:9" hidden="1" x14ac:dyDescent="0.25">
      <c r="A6112" t="s">
        <v>17</v>
      </c>
      <c r="B6112" t="s">
        <v>192</v>
      </c>
      <c r="C6112">
        <v>202009</v>
      </c>
      <c r="D6112" t="str">
        <f t="shared" si="95"/>
        <v>2020</v>
      </c>
      <c r="E6112">
        <v>2</v>
      </c>
      <c r="F6112">
        <v>68137</v>
      </c>
      <c r="G6112">
        <v>0</v>
      </c>
      <c r="H6112" t="s">
        <v>10</v>
      </c>
      <c r="I6112" t="s">
        <v>11</v>
      </c>
    </row>
    <row r="6113" spans="1:9" hidden="1" x14ac:dyDescent="0.25">
      <c r="A6113" t="s">
        <v>17</v>
      </c>
      <c r="B6113" t="s">
        <v>192</v>
      </c>
      <c r="C6113">
        <v>202108</v>
      </c>
      <c r="D6113" t="str">
        <f t="shared" si="95"/>
        <v>2021</v>
      </c>
      <c r="E6113">
        <v>1</v>
      </c>
      <c r="F6113">
        <v>68137</v>
      </c>
      <c r="G6113">
        <v>0</v>
      </c>
      <c r="H6113" t="s">
        <v>10</v>
      </c>
      <c r="I6113" t="s">
        <v>11</v>
      </c>
    </row>
    <row r="6114" spans="1:9" hidden="1" x14ac:dyDescent="0.25">
      <c r="A6114" t="s">
        <v>17</v>
      </c>
      <c r="B6114" t="s">
        <v>192</v>
      </c>
      <c r="C6114">
        <v>202110</v>
      </c>
      <c r="D6114" t="str">
        <f t="shared" si="95"/>
        <v>2021</v>
      </c>
      <c r="E6114">
        <v>11</v>
      </c>
      <c r="F6114">
        <v>68137</v>
      </c>
      <c r="G6114">
        <v>0.02</v>
      </c>
      <c r="H6114" t="s">
        <v>10</v>
      </c>
      <c r="I6114" t="s">
        <v>11</v>
      </c>
    </row>
    <row r="6115" spans="1:9" hidden="1" x14ac:dyDescent="0.25">
      <c r="A6115" t="s">
        <v>17</v>
      </c>
      <c r="B6115" t="s">
        <v>192</v>
      </c>
      <c r="C6115">
        <v>202111</v>
      </c>
      <c r="D6115" t="str">
        <f t="shared" si="95"/>
        <v>2021</v>
      </c>
      <c r="E6115">
        <v>2</v>
      </c>
      <c r="F6115">
        <v>68137</v>
      </c>
      <c r="G6115">
        <v>0</v>
      </c>
      <c r="H6115" t="s">
        <v>10</v>
      </c>
      <c r="I6115" t="s">
        <v>11</v>
      </c>
    </row>
    <row r="6116" spans="1:9" hidden="1" x14ac:dyDescent="0.25">
      <c r="A6116" t="s">
        <v>17</v>
      </c>
      <c r="B6116" t="s">
        <v>192</v>
      </c>
      <c r="C6116">
        <v>202112</v>
      </c>
      <c r="D6116" t="str">
        <f t="shared" si="95"/>
        <v>2021</v>
      </c>
      <c r="E6116">
        <v>1</v>
      </c>
      <c r="F6116">
        <v>68137</v>
      </c>
      <c r="G6116">
        <v>0</v>
      </c>
      <c r="H6116" t="s">
        <v>10</v>
      </c>
      <c r="I6116" t="s">
        <v>11</v>
      </c>
    </row>
    <row r="6117" spans="1:9" hidden="1" x14ac:dyDescent="0.25">
      <c r="A6117" t="s">
        <v>17</v>
      </c>
      <c r="B6117" t="s">
        <v>192</v>
      </c>
      <c r="C6117">
        <v>202201</v>
      </c>
      <c r="D6117" t="str">
        <f t="shared" si="95"/>
        <v>2022</v>
      </c>
      <c r="E6117">
        <v>5</v>
      </c>
      <c r="F6117">
        <v>68137</v>
      </c>
      <c r="G6117">
        <v>0.01</v>
      </c>
      <c r="H6117" t="s">
        <v>10</v>
      </c>
      <c r="I6117" t="s">
        <v>11</v>
      </c>
    </row>
    <row r="6118" spans="1:9" hidden="1" x14ac:dyDescent="0.25">
      <c r="A6118" t="s">
        <v>17</v>
      </c>
      <c r="B6118" t="s">
        <v>192</v>
      </c>
      <c r="C6118">
        <v>202202</v>
      </c>
      <c r="D6118" t="str">
        <f t="shared" si="95"/>
        <v>2022</v>
      </c>
      <c r="E6118">
        <v>1</v>
      </c>
      <c r="F6118">
        <v>68137</v>
      </c>
      <c r="G6118">
        <v>0</v>
      </c>
      <c r="H6118" t="s">
        <v>10</v>
      </c>
      <c r="I6118" t="s">
        <v>11</v>
      </c>
    </row>
    <row r="6119" spans="1:9" hidden="1" x14ac:dyDescent="0.25">
      <c r="A6119" t="s">
        <v>17</v>
      </c>
      <c r="B6119" t="s">
        <v>192</v>
      </c>
      <c r="C6119">
        <v>202203</v>
      </c>
      <c r="D6119" t="str">
        <f t="shared" si="95"/>
        <v>2022</v>
      </c>
      <c r="E6119">
        <v>18</v>
      </c>
      <c r="F6119">
        <v>68137</v>
      </c>
      <c r="G6119">
        <v>0.03</v>
      </c>
      <c r="H6119" t="s">
        <v>10</v>
      </c>
      <c r="I6119" t="s">
        <v>11</v>
      </c>
    </row>
    <row r="6120" spans="1:9" hidden="1" x14ac:dyDescent="0.25">
      <c r="A6120" t="s">
        <v>17</v>
      </c>
      <c r="B6120" t="s">
        <v>192</v>
      </c>
      <c r="C6120">
        <v>202204</v>
      </c>
      <c r="D6120" t="str">
        <f t="shared" si="95"/>
        <v>2022</v>
      </c>
      <c r="E6120">
        <v>1</v>
      </c>
      <c r="F6120">
        <v>68137</v>
      </c>
      <c r="G6120">
        <v>0</v>
      </c>
      <c r="H6120" t="s">
        <v>10</v>
      </c>
      <c r="I6120" t="s">
        <v>11</v>
      </c>
    </row>
    <row r="6121" spans="1:9" hidden="1" x14ac:dyDescent="0.25">
      <c r="A6121" t="s">
        <v>17</v>
      </c>
      <c r="B6121" t="s">
        <v>192</v>
      </c>
      <c r="C6121">
        <v>202205</v>
      </c>
      <c r="D6121" t="str">
        <f t="shared" si="95"/>
        <v>2022</v>
      </c>
      <c r="E6121">
        <v>26</v>
      </c>
      <c r="F6121">
        <v>68137</v>
      </c>
      <c r="G6121">
        <v>0.04</v>
      </c>
      <c r="H6121" t="s">
        <v>10</v>
      </c>
      <c r="I6121" t="s">
        <v>11</v>
      </c>
    </row>
    <row r="6122" spans="1:9" hidden="1" x14ac:dyDescent="0.25">
      <c r="A6122" t="s">
        <v>17</v>
      </c>
      <c r="B6122" t="s">
        <v>192</v>
      </c>
      <c r="C6122">
        <v>202206</v>
      </c>
      <c r="D6122" t="str">
        <f t="shared" si="95"/>
        <v>2022</v>
      </c>
      <c r="E6122">
        <v>4</v>
      </c>
      <c r="F6122">
        <v>68137</v>
      </c>
      <c r="G6122">
        <v>0.01</v>
      </c>
      <c r="H6122" t="s">
        <v>10</v>
      </c>
      <c r="I6122" t="s">
        <v>11</v>
      </c>
    </row>
    <row r="6123" spans="1:9" hidden="1" x14ac:dyDescent="0.25">
      <c r="A6123" t="s">
        <v>17</v>
      </c>
      <c r="B6123" t="s">
        <v>192</v>
      </c>
      <c r="C6123">
        <v>202207</v>
      </c>
      <c r="D6123" t="str">
        <f t="shared" si="95"/>
        <v>2022</v>
      </c>
      <c r="E6123">
        <v>1</v>
      </c>
      <c r="F6123">
        <v>68137</v>
      </c>
      <c r="G6123">
        <v>0</v>
      </c>
      <c r="H6123" t="s">
        <v>10</v>
      </c>
      <c r="I6123" t="s">
        <v>11</v>
      </c>
    </row>
    <row r="6124" spans="1:9" hidden="1" x14ac:dyDescent="0.25">
      <c r="A6124" t="s">
        <v>17</v>
      </c>
      <c r="B6124" t="s">
        <v>192</v>
      </c>
      <c r="C6124">
        <v>202208</v>
      </c>
      <c r="D6124" t="str">
        <f t="shared" si="95"/>
        <v>2022</v>
      </c>
      <c r="E6124">
        <v>7</v>
      </c>
      <c r="F6124">
        <v>68137</v>
      </c>
      <c r="G6124">
        <v>0.01</v>
      </c>
      <c r="H6124" t="s">
        <v>10</v>
      </c>
      <c r="I6124" t="s">
        <v>11</v>
      </c>
    </row>
    <row r="6125" spans="1:9" hidden="1" x14ac:dyDescent="0.25">
      <c r="A6125" t="s">
        <v>17</v>
      </c>
      <c r="B6125" t="s">
        <v>192</v>
      </c>
      <c r="C6125">
        <v>202209</v>
      </c>
      <c r="D6125" t="str">
        <f t="shared" si="95"/>
        <v>2022</v>
      </c>
      <c r="E6125">
        <v>7</v>
      </c>
      <c r="F6125">
        <v>68137</v>
      </c>
      <c r="G6125">
        <v>0.01</v>
      </c>
      <c r="H6125" t="s">
        <v>10</v>
      </c>
      <c r="I6125" t="s">
        <v>11</v>
      </c>
    </row>
    <row r="6126" spans="1:9" hidden="1" x14ac:dyDescent="0.25">
      <c r="A6126" t="s">
        <v>17</v>
      </c>
      <c r="B6126" t="s">
        <v>192</v>
      </c>
      <c r="C6126">
        <v>202210</v>
      </c>
      <c r="D6126" t="str">
        <f t="shared" si="95"/>
        <v>2022</v>
      </c>
      <c r="E6126">
        <v>14</v>
      </c>
      <c r="F6126">
        <v>68137</v>
      </c>
      <c r="G6126">
        <v>0.02</v>
      </c>
      <c r="H6126" t="s">
        <v>10</v>
      </c>
      <c r="I6126" t="s">
        <v>11</v>
      </c>
    </row>
    <row r="6127" spans="1:9" hidden="1" x14ac:dyDescent="0.25">
      <c r="A6127" t="s">
        <v>17</v>
      </c>
      <c r="B6127" t="s">
        <v>192</v>
      </c>
      <c r="C6127">
        <v>202211</v>
      </c>
      <c r="D6127" t="str">
        <f t="shared" si="95"/>
        <v>2022</v>
      </c>
      <c r="E6127">
        <v>18</v>
      </c>
      <c r="F6127">
        <v>68137</v>
      </c>
      <c r="G6127">
        <v>0.03</v>
      </c>
      <c r="H6127" t="s">
        <v>10</v>
      </c>
      <c r="I6127" t="s">
        <v>11</v>
      </c>
    </row>
    <row r="6128" spans="1:9" hidden="1" x14ac:dyDescent="0.25">
      <c r="A6128" t="s">
        <v>17</v>
      </c>
      <c r="B6128" t="s">
        <v>192</v>
      </c>
      <c r="C6128">
        <v>202212</v>
      </c>
      <c r="D6128" t="str">
        <f t="shared" si="95"/>
        <v>2022</v>
      </c>
      <c r="E6128">
        <v>27</v>
      </c>
      <c r="F6128">
        <v>68137</v>
      </c>
      <c r="G6128">
        <v>0.04</v>
      </c>
      <c r="H6128" t="s">
        <v>10</v>
      </c>
      <c r="I6128" t="s">
        <v>11</v>
      </c>
    </row>
    <row r="6129" spans="1:9" hidden="1" x14ac:dyDescent="0.25">
      <c r="A6129" t="s">
        <v>17</v>
      </c>
      <c r="B6129" t="s">
        <v>192</v>
      </c>
      <c r="C6129">
        <v>202301</v>
      </c>
      <c r="D6129" t="str">
        <f t="shared" si="95"/>
        <v>2023</v>
      </c>
      <c r="E6129">
        <v>101</v>
      </c>
      <c r="F6129">
        <v>68137</v>
      </c>
      <c r="G6129">
        <v>0.15</v>
      </c>
      <c r="H6129" t="s">
        <v>10</v>
      </c>
      <c r="I6129" t="s">
        <v>11</v>
      </c>
    </row>
    <row r="6130" spans="1:9" hidden="1" x14ac:dyDescent="0.25">
      <c r="A6130" t="s">
        <v>17</v>
      </c>
      <c r="B6130" t="s">
        <v>192</v>
      </c>
      <c r="C6130">
        <v>202302</v>
      </c>
      <c r="D6130" t="str">
        <f t="shared" si="95"/>
        <v>2023</v>
      </c>
      <c r="E6130">
        <v>50</v>
      </c>
      <c r="F6130">
        <v>68137</v>
      </c>
      <c r="G6130">
        <v>7.0000000000000007E-2</v>
      </c>
      <c r="H6130" t="s">
        <v>10</v>
      </c>
      <c r="I6130" t="s">
        <v>11</v>
      </c>
    </row>
    <row r="6131" spans="1:9" hidden="1" x14ac:dyDescent="0.25">
      <c r="A6131" t="s">
        <v>17</v>
      </c>
      <c r="B6131" t="s">
        <v>192</v>
      </c>
      <c r="C6131">
        <v>202303</v>
      </c>
      <c r="D6131" t="str">
        <f t="shared" si="95"/>
        <v>2023</v>
      </c>
      <c r="E6131">
        <v>141</v>
      </c>
      <c r="F6131">
        <v>68137</v>
      </c>
      <c r="G6131">
        <v>0.21</v>
      </c>
      <c r="H6131" t="s">
        <v>10</v>
      </c>
      <c r="I6131" t="s">
        <v>11</v>
      </c>
    </row>
    <row r="6132" spans="1:9" hidden="1" x14ac:dyDescent="0.25">
      <c r="A6132" t="s">
        <v>17</v>
      </c>
      <c r="B6132" t="s">
        <v>192</v>
      </c>
      <c r="C6132">
        <v>202304</v>
      </c>
      <c r="D6132" t="str">
        <f t="shared" si="95"/>
        <v>2023</v>
      </c>
      <c r="E6132">
        <v>158</v>
      </c>
      <c r="F6132">
        <v>68137</v>
      </c>
      <c r="G6132">
        <v>0.23</v>
      </c>
      <c r="H6132" t="s">
        <v>10</v>
      </c>
      <c r="I6132" t="s">
        <v>11</v>
      </c>
    </row>
    <row r="6133" spans="1:9" hidden="1" x14ac:dyDescent="0.25">
      <c r="A6133" t="s">
        <v>17</v>
      </c>
      <c r="B6133" t="s">
        <v>192</v>
      </c>
      <c r="C6133">
        <v>202305</v>
      </c>
      <c r="D6133" t="str">
        <f t="shared" si="95"/>
        <v>2023</v>
      </c>
      <c r="E6133">
        <v>137</v>
      </c>
      <c r="F6133">
        <v>68137</v>
      </c>
      <c r="G6133">
        <v>0.2</v>
      </c>
      <c r="H6133" t="s">
        <v>10</v>
      </c>
      <c r="I6133" t="s">
        <v>11</v>
      </c>
    </row>
    <row r="6134" spans="1:9" hidden="1" x14ac:dyDescent="0.25">
      <c r="A6134" t="s">
        <v>17</v>
      </c>
      <c r="B6134" t="s">
        <v>192</v>
      </c>
      <c r="C6134">
        <v>202306</v>
      </c>
      <c r="D6134" t="str">
        <f t="shared" si="95"/>
        <v>2023</v>
      </c>
      <c r="E6134">
        <v>143</v>
      </c>
      <c r="F6134">
        <v>68137</v>
      </c>
      <c r="G6134">
        <v>0.21</v>
      </c>
      <c r="H6134" t="s">
        <v>10</v>
      </c>
      <c r="I6134" t="s">
        <v>11</v>
      </c>
    </row>
    <row r="6135" spans="1:9" hidden="1" x14ac:dyDescent="0.25">
      <c r="A6135" t="s">
        <v>17</v>
      </c>
      <c r="B6135" t="s">
        <v>192</v>
      </c>
      <c r="C6135">
        <v>202307</v>
      </c>
      <c r="D6135" t="str">
        <f t="shared" si="95"/>
        <v>2023</v>
      </c>
      <c r="E6135">
        <v>116</v>
      </c>
      <c r="F6135">
        <v>68137</v>
      </c>
      <c r="G6135">
        <v>0.17</v>
      </c>
      <c r="H6135" t="s">
        <v>10</v>
      </c>
      <c r="I6135" t="s">
        <v>11</v>
      </c>
    </row>
    <row r="6136" spans="1:9" hidden="1" x14ac:dyDescent="0.25">
      <c r="A6136" t="s">
        <v>17</v>
      </c>
      <c r="B6136" t="s">
        <v>192</v>
      </c>
      <c r="C6136">
        <v>202308</v>
      </c>
      <c r="D6136" t="str">
        <f t="shared" si="95"/>
        <v>2023</v>
      </c>
      <c r="E6136">
        <v>227</v>
      </c>
      <c r="F6136">
        <v>68137</v>
      </c>
      <c r="G6136">
        <v>0.33</v>
      </c>
      <c r="H6136" t="s">
        <v>10</v>
      </c>
      <c r="I6136" t="s">
        <v>11</v>
      </c>
    </row>
    <row r="6137" spans="1:9" hidden="1" x14ac:dyDescent="0.25">
      <c r="A6137" t="s">
        <v>17</v>
      </c>
      <c r="B6137" t="s">
        <v>192</v>
      </c>
      <c r="C6137">
        <v>202309</v>
      </c>
      <c r="D6137" t="str">
        <f t="shared" si="95"/>
        <v>2023</v>
      </c>
      <c r="E6137">
        <v>168</v>
      </c>
      <c r="F6137">
        <v>68137</v>
      </c>
      <c r="G6137">
        <v>0.25</v>
      </c>
      <c r="H6137" t="s">
        <v>10</v>
      </c>
      <c r="I6137" t="s">
        <v>11</v>
      </c>
    </row>
    <row r="6138" spans="1:9" hidden="1" x14ac:dyDescent="0.25">
      <c r="A6138" t="s">
        <v>17</v>
      </c>
      <c r="B6138" t="s">
        <v>192</v>
      </c>
      <c r="C6138">
        <v>202310</v>
      </c>
      <c r="D6138" t="str">
        <f t="shared" si="95"/>
        <v>2023</v>
      </c>
      <c r="E6138">
        <v>186</v>
      </c>
      <c r="F6138">
        <v>68137</v>
      </c>
      <c r="G6138">
        <v>0.27</v>
      </c>
      <c r="H6138" t="s">
        <v>10</v>
      </c>
      <c r="I6138" t="s">
        <v>11</v>
      </c>
    </row>
    <row r="6139" spans="1:9" hidden="1" x14ac:dyDescent="0.25">
      <c r="A6139" t="s">
        <v>17</v>
      </c>
      <c r="B6139" t="s">
        <v>192</v>
      </c>
      <c r="C6139">
        <v>202311</v>
      </c>
      <c r="D6139" t="str">
        <f t="shared" si="95"/>
        <v>2023</v>
      </c>
      <c r="E6139">
        <v>292</v>
      </c>
      <c r="F6139">
        <v>68137</v>
      </c>
      <c r="G6139">
        <v>0.43</v>
      </c>
      <c r="H6139" t="s">
        <v>10</v>
      </c>
      <c r="I6139" t="s">
        <v>11</v>
      </c>
    </row>
    <row r="6140" spans="1:9" hidden="1" x14ac:dyDescent="0.25">
      <c r="A6140" t="s">
        <v>17</v>
      </c>
      <c r="B6140" t="s">
        <v>192</v>
      </c>
      <c r="C6140">
        <v>202312</v>
      </c>
      <c r="D6140" t="str">
        <f t="shared" si="95"/>
        <v>2023</v>
      </c>
      <c r="E6140">
        <v>451</v>
      </c>
      <c r="F6140">
        <v>68137</v>
      </c>
      <c r="G6140">
        <v>0.66</v>
      </c>
      <c r="H6140" t="s">
        <v>10</v>
      </c>
      <c r="I6140" t="s">
        <v>11</v>
      </c>
    </row>
    <row r="6141" spans="1:9" hidden="1" x14ac:dyDescent="0.25">
      <c r="A6141" t="s">
        <v>17</v>
      </c>
      <c r="B6141" t="s">
        <v>192</v>
      </c>
      <c r="C6141">
        <v>202401</v>
      </c>
      <c r="D6141" t="str">
        <f t="shared" si="95"/>
        <v>2024</v>
      </c>
      <c r="E6141">
        <v>519</v>
      </c>
      <c r="F6141">
        <v>68137</v>
      </c>
      <c r="G6141">
        <v>0.76</v>
      </c>
      <c r="H6141" t="s">
        <v>10</v>
      </c>
      <c r="I6141" t="s">
        <v>11</v>
      </c>
    </row>
    <row r="6142" spans="1:9" hidden="1" x14ac:dyDescent="0.25">
      <c r="A6142" t="s">
        <v>17</v>
      </c>
      <c r="B6142" t="s">
        <v>192</v>
      </c>
      <c r="C6142">
        <v>202402</v>
      </c>
      <c r="D6142" t="str">
        <f t="shared" si="95"/>
        <v>2024</v>
      </c>
      <c r="E6142">
        <v>504</v>
      </c>
      <c r="F6142">
        <v>68137</v>
      </c>
      <c r="G6142">
        <v>0.74</v>
      </c>
      <c r="H6142" t="s">
        <v>10</v>
      </c>
      <c r="I6142" t="s">
        <v>11</v>
      </c>
    </row>
    <row r="6143" spans="1:9" hidden="1" x14ac:dyDescent="0.25">
      <c r="A6143" t="s">
        <v>17</v>
      </c>
      <c r="B6143" t="s">
        <v>192</v>
      </c>
      <c r="C6143">
        <v>202403</v>
      </c>
      <c r="D6143" t="str">
        <f t="shared" si="95"/>
        <v>2024</v>
      </c>
      <c r="E6143">
        <v>395</v>
      </c>
      <c r="F6143">
        <v>68137</v>
      </c>
      <c r="G6143">
        <v>0.57999999999999996</v>
      </c>
      <c r="H6143" t="s">
        <v>10</v>
      </c>
      <c r="I6143" t="s">
        <v>11</v>
      </c>
    </row>
    <row r="6144" spans="1:9" hidden="1" x14ac:dyDescent="0.25">
      <c r="A6144" t="s">
        <v>17</v>
      </c>
      <c r="B6144" t="s">
        <v>192</v>
      </c>
      <c r="C6144">
        <v>202404</v>
      </c>
      <c r="D6144" t="str">
        <f t="shared" si="95"/>
        <v>2024</v>
      </c>
      <c r="E6144">
        <v>621</v>
      </c>
      <c r="F6144">
        <v>68137</v>
      </c>
      <c r="G6144">
        <v>0.91</v>
      </c>
      <c r="H6144" t="s">
        <v>10</v>
      </c>
      <c r="I6144" t="s">
        <v>11</v>
      </c>
    </row>
    <row r="6145" spans="1:9" hidden="1" x14ac:dyDescent="0.25">
      <c r="A6145" t="s">
        <v>17</v>
      </c>
      <c r="B6145" t="s">
        <v>192</v>
      </c>
      <c r="C6145">
        <v>202405</v>
      </c>
      <c r="D6145" t="str">
        <f t="shared" si="95"/>
        <v>2024</v>
      </c>
      <c r="E6145">
        <v>849</v>
      </c>
      <c r="F6145">
        <v>68137</v>
      </c>
      <c r="G6145">
        <v>1.25</v>
      </c>
      <c r="H6145" t="s">
        <v>10</v>
      </c>
      <c r="I6145" t="s">
        <v>11</v>
      </c>
    </row>
    <row r="6146" spans="1:9" hidden="1" x14ac:dyDescent="0.25">
      <c r="A6146" t="s">
        <v>17</v>
      </c>
      <c r="B6146" t="s">
        <v>192</v>
      </c>
      <c r="C6146">
        <v>202406</v>
      </c>
      <c r="D6146" t="str">
        <f t="shared" si="95"/>
        <v>2024</v>
      </c>
      <c r="E6146">
        <v>698</v>
      </c>
      <c r="F6146">
        <v>68137</v>
      </c>
      <c r="G6146">
        <v>1.02</v>
      </c>
      <c r="H6146" t="s">
        <v>10</v>
      </c>
      <c r="I6146" t="s">
        <v>11</v>
      </c>
    </row>
    <row r="6147" spans="1:9" hidden="1" x14ac:dyDescent="0.25">
      <c r="A6147" t="s">
        <v>17</v>
      </c>
      <c r="B6147" t="s">
        <v>192</v>
      </c>
      <c r="C6147">
        <v>202407</v>
      </c>
      <c r="D6147" t="str">
        <f t="shared" ref="D6147:D6210" si="96">LEFT(C6147,4)</f>
        <v>2024</v>
      </c>
      <c r="E6147">
        <v>835</v>
      </c>
      <c r="F6147">
        <v>68137</v>
      </c>
      <c r="G6147">
        <v>1.23</v>
      </c>
      <c r="H6147" t="s">
        <v>10</v>
      </c>
      <c r="I6147" t="s">
        <v>11</v>
      </c>
    </row>
    <row r="6148" spans="1:9" hidden="1" x14ac:dyDescent="0.25">
      <c r="A6148" t="s">
        <v>17</v>
      </c>
      <c r="B6148" t="s">
        <v>192</v>
      </c>
      <c r="C6148">
        <v>202408</v>
      </c>
      <c r="D6148" t="str">
        <f t="shared" si="96"/>
        <v>2024</v>
      </c>
      <c r="E6148">
        <v>1741</v>
      </c>
      <c r="F6148">
        <v>68137</v>
      </c>
      <c r="G6148">
        <v>2.56</v>
      </c>
      <c r="H6148" t="s">
        <v>10</v>
      </c>
      <c r="I6148" t="s">
        <v>11</v>
      </c>
    </row>
    <row r="6149" spans="1:9" hidden="1" x14ac:dyDescent="0.25">
      <c r="A6149" t="s">
        <v>17</v>
      </c>
      <c r="B6149" t="s">
        <v>192</v>
      </c>
      <c r="C6149">
        <v>202409</v>
      </c>
      <c r="D6149" t="str">
        <f t="shared" si="96"/>
        <v>2024</v>
      </c>
      <c r="E6149">
        <v>4175</v>
      </c>
      <c r="F6149">
        <v>68137</v>
      </c>
      <c r="G6149">
        <v>6.13</v>
      </c>
      <c r="H6149" t="s">
        <v>10</v>
      </c>
      <c r="I6149" t="s">
        <v>11</v>
      </c>
    </row>
    <row r="6150" spans="1:9" hidden="1" x14ac:dyDescent="0.25">
      <c r="A6150" t="s">
        <v>17</v>
      </c>
      <c r="B6150" t="s">
        <v>192</v>
      </c>
      <c r="C6150">
        <v>202410</v>
      </c>
      <c r="D6150" t="str">
        <f t="shared" si="96"/>
        <v>2024</v>
      </c>
      <c r="E6150">
        <v>32351</v>
      </c>
      <c r="F6150">
        <v>68137</v>
      </c>
      <c r="G6150">
        <v>47.48</v>
      </c>
      <c r="H6150" t="s">
        <v>10</v>
      </c>
      <c r="I6150" t="s">
        <v>11</v>
      </c>
    </row>
    <row r="6151" spans="1:9" hidden="1" x14ac:dyDescent="0.25">
      <c r="A6151" t="s">
        <v>17</v>
      </c>
      <c r="B6151" t="s">
        <v>192</v>
      </c>
      <c r="C6151">
        <v>202411</v>
      </c>
      <c r="D6151" t="str">
        <f t="shared" si="96"/>
        <v>2024</v>
      </c>
      <c r="E6151">
        <v>22997</v>
      </c>
      <c r="F6151">
        <v>68137</v>
      </c>
      <c r="G6151">
        <v>33.75</v>
      </c>
      <c r="H6151" t="s">
        <v>10</v>
      </c>
      <c r="I6151" t="s">
        <v>11</v>
      </c>
    </row>
    <row r="6152" spans="1:9" hidden="1" x14ac:dyDescent="0.25">
      <c r="A6152" t="s">
        <v>17</v>
      </c>
      <c r="B6152" t="s">
        <v>150</v>
      </c>
      <c r="C6152">
        <v>201801</v>
      </c>
      <c r="D6152" t="str">
        <f t="shared" si="96"/>
        <v>2018</v>
      </c>
      <c r="E6152">
        <v>3</v>
      </c>
      <c r="F6152">
        <v>61011</v>
      </c>
      <c r="G6152">
        <v>0</v>
      </c>
      <c r="H6152" t="s">
        <v>10</v>
      </c>
      <c r="I6152" t="s">
        <v>11</v>
      </c>
    </row>
    <row r="6153" spans="1:9" hidden="1" x14ac:dyDescent="0.25">
      <c r="A6153" t="s">
        <v>17</v>
      </c>
      <c r="B6153" t="s">
        <v>150</v>
      </c>
      <c r="C6153">
        <v>201802</v>
      </c>
      <c r="D6153" t="str">
        <f t="shared" si="96"/>
        <v>2018</v>
      </c>
      <c r="E6153">
        <v>6</v>
      </c>
      <c r="F6153">
        <v>61011</v>
      </c>
      <c r="G6153">
        <v>0.01</v>
      </c>
      <c r="H6153" t="s">
        <v>10</v>
      </c>
      <c r="I6153" t="s">
        <v>11</v>
      </c>
    </row>
    <row r="6154" spans="1:9" hidden="1" x14ac:dyDescent="0.25">
      <c r="A6154" t="s">
        <v>17</v>
      </c>
      <c r="B6154" t="s">
        <v>150</v>
      </c>
      <c r="C6154">
        <v>201803</v>
      </c>
      <c r="D6154" t="str">
        <f t="shared" si="96"/>
        <v>2018</v>
      </c>
      <c r="E6154">
        <v>3</v>
      </c>
      <c r="F6154">
        <v>61011</v>
      </c>
      <c r="G6154">
        <v>0</v>
      </c>
      <c r="H6154" t="s">
        <v>10</v>
      </c>
      <c r="I6154" t="s">
        <v>11</v>
      </c>
    </row>
    <row r="6155" spans="1:9" hidden="1" x14ac:dyDescent="0.25">
      <c r="A6155" t="s">
        <v>17</v>
      </c>
      <c r="B6155" t="s">
        <v>150</v>
      </c>
      <c r="C6155">
        <v>201804</v>
      </c>
      <c r="D6155" t="str">
        <f t="shared" si="96"/>
        <v>2018</v>
      </c>
      <c r="E6155">
        <v>18</v>
      </c>
      <c r="F6155">
        <v>61011</v>
      </c>
      <c r="G6155">
        <v>0.03</v>
      </c>
      <c r="H6155" t="s">
        <v>10</v>
      </c>
      <c r="I6155" t="s">
        <v>11</v>
      </c>
    </row>
    <row r="6156" spans="1:9" hidden="1" x14ac:dyDescent="0.25">
      <c r="A6156" t="s">
        <v>17</v>
      </c>
      <c r="B6156" t="s">
        <v>150</v>
      </c>
      <c r="C6156">
        <v>201805</v>
      </c>
      <c r="D6156" t="str">
        <f t="shared" si="96"/>
        <v>2018</v>
      </c>
      <c r="E6156">
        <v>7</v>
      </c>
      <c r="F6156">
        <v>61011</v>
      </c>
      <c r="G6156">
        <v>0.01</v>
      </c>
      <c r="H6156" t="s">
        <v>10</v>
      </c>
      <c r="I6156" t="s">
        <v>11</v>
      </c>
    </row>
    <row r="6157" spans="1:9" hidden="1" x14ac:dyDescent="0.25">
      <c r="A6157" t="s">
        <v>17</v>
      </c>
      <c r="B6157" t="s">
        <v>150</v>
      </c>
      <c r="C6157">
        <v>201806</v>
      </c>
      <c r="D6157" t="str">
        <f t="shared" si="96"/>
        <v>2018</v>
      </c>
      <c r="E6157">
        <v>7</v>
      </c>
      <c r="F6157">
        <v>61011</v>
      </c>
      <c r="G6157">
        <v>0.01</v>
      </c>
      <c r="H6157" t="s">
        <v>10</v>
      </c>
      <c r="I6157" t="s">
        <v>11</v>
      </c>
    </row>
    <row r="6158" spans="1:9" hidden="1" x14ac:dyDescent="0.25">
      <c r="A6158" t="s">
        <v>17</v>
      </c>
      <c r="B6158" t="s">
        <v>150</v>
      </c>
      <c r="C6158">
        <v>201807</v>
      </c>
      <c r="D6158" t="str">
        <f t="shared" si="96"/>
        <v>2018</v>
      </c>
      <c r="E6158">
        <v>25</v>
      </c>
      <c r="F6158">
        <v>61011</v>
      </c>
      <c r="G6158">
        <v>0.04</v>
      </c>
      <c r="H6158" t="s">
        <v>10</v>
      </c>
      <c r="I6158" t="s">
        <v>11</v>
      </c>
    </row>
    <row r="6159" spans="1:9" hidden="1" x14ac:dyDescent="0.25">
      <c r="A6159" t="s">
        <v>17</v>
      </c>
      <c r="B6159" t="s">
        <v>150</v>
      </c>
      <c r="C6159">
        <v>201808</v>
      </c>
      <c r="D6159" t="str">
        <f t="shared" si="96"/>
        <v>2018</v>
      </c>
      <c r="E6159">
        <v>103</v>
      </c>
      <c r="F6159">
        <v>61011</v>
      </c>
      <c r="G6159">
        <v>0.17</v>
      </c>
      <c r="H6159" t="s">
        <v>10</v>
      </c>
      <c r="I6159" t="s">
        <v>11</v>
      </c>
    </row>
    <row r="6160" spans="1:9" hidden="1" x14ac:dyDescent="0.25">
      <c r="A6160" t="s">
        <v>17</v>
      </c>
      <c r="B6160" t="s">
        <v>150</v>
      </c>
      <c r="C6160">
        <v>201809</v>
      </c>
      <c r="D6160" t="str">
        <f t="shared" si="96"/>
        <v>2018</v>
      </c>
      <c r="E6160">
        <v>170</v>
      </c>
      <c r="F6160">
        <v>61011</v>
      </c>
      <c r="G6160">
        <v>0.28000000000000003</v>
      </c>
      <c r="H6160" t="s">
        <v>10</v>
      </c>
      <c r="I6160" t="s">
        <v>11</v>
      </c>
    </row>
    <row r="6161" spans="1:9" hidden="1" x14ac:dyDescent="0.25">
      <c r="A6161" t="s">
        <v>17</v>
      </c>
      <c r="B6161" t="s">
        <v>150</v>
      </c>
      <c r="C6161">
        <v>201810</v>
      </c>
      <c r="D6161" t="str">
        <f t="shared" si="96"/>
        <v>2018</v>
      </c>
      <c r="E6161">
        <v>258</v>
      </c>
      <c r="F6161">
        <v>61011</v>
      </c>
      <c r="G6161">
        <v>0.42</v>
      </c>
      <c r="H6161" t="s">
        <v>10</v>
      </c>
      <c r="I6161" t="s">
        <v>11</v>
      </c>
    </row>
    <row r="6162" spans="1:9" hidden="1" x14ac:dyDescent="0.25">
      <c r="A6162" t="s">
        <v>17</v>
      </c>
      <c r="B6162" t="s">
        <v>150</v>
      </c>
      <c r="C6162">
        <v>201811</v>
      </c>
      <c r="D6162" t="str">
        <f t="shared" si="96"/>
        <v>2018</v>
      </c>
      <c r="E6162">
        <v>10</v>
      </c>
      <c r="F6162">
        <v>61011</v>
      </c>
      <c r="G6162">
        <v>0.02</v>
      </c>
      <c r="H6162" t="s">
        <v>10</v>
      </c>
      <c r="I6162" t="s">
        <v>11</v>
      </c>
    </row>
    <row r="6163" spans="1:9" hidden="1" x14ac:dyDescent="0.25">
      <c r="A6163" t="s">
        <v>17</v>
      </c>
      <c r="B6163" t="s">
        <v>150</v>
      </c>
      <c r="C6163">
        <v>201812</v>
      </c>
      <c r="D6163" t="str">
        <f t="shared" si="96"/>
        <v>2018</v>
      </c>
      <c r="E6163">
        <v>3</v>
      </c>
      <c r="F6163">
        <v>61011</v>
      </c>
      <c r="G6163">
        <v>0</v>
      </c>
      <c r="H6163" t="s">
        <v>10</v>
      </c>
      <c r="I6163" t="s">
        <v>11</v>
      </c>
    </row>
    <row r="6164" spans="1:9" hidden="1" x14ac:dyDescent="0.25">
      <c r="A6164" t="s">
        <v>17</v>
      </c>
      <c r="B6164" t="s">
        <v>150</v>
      </c>
      <c r="C6164">
        <v>201901</v>
      </c>
      <c r="D6164" t="str">
        <f t="shared" si="96"/>
        <v>2019</v>
      </c>
      <c r="E6164">
        <v>16</v>
      </c>
      <c r="F6164">
        <v>61011</v>
      </c>
      <c r="G6164">
        <v>0.03</v>
      </c>
      <c r="H6164" t="s">
        <v>10</v>
      </c>
      <c r="I6164" t="s">
        <v>11</v>
      </c>
    </row>
    <row r="6165" spans="1:9" hidden="1" x14ac:dyDescent="0.25">
      <c r="A6165" t="s">
        <v>17</v>
      </c>
      <c r="B6165" t="s">
        <v>150</v>
      </c>
      <c r="C6165">
        <v>201902</v>
      </c>
      <c r="D6165" t="str">
        <f t="shared" si="96"/>
        <v>2019</v>
      </c>
      <c r="E6165">
        <v>12</v>
      </c>
      <c r="F6165">
        <v>61011</v>
      </c>
      <c r="G6165">
        <v>0.02</v>
      </c>
      <c r="H6165" t="s">
        <v>10</v>
      </c>
      <c r="I6165" t="s">
        <v>11</v>
      </c>
    </row>
    <row r="6166" spans="1:9" hidden="1" x14ac:dyDescent="0.25">
      <c r="A6166" t="s">
        <v>17</v>
      </c>
      <c r="B6166" t="s">
        <v>150</v>
      </c>
      <c r="C6166">
        <v>201903</v>
      </c>
      <c r="D6166" t="str">
        <f t="shared" si="96"/>
        <v>2019</v>
      </c>
      <c r="E6166">
        <v>1</v>
      </c>
      <c r="F6166">
        <v>61011</v>
      </c>
      <c r="G6166">
        <v>0</v>
      </c>
      <c r="H6166" t="s">
        <v>10</v>
      </c>
      <c r="I6166" t="s">
        <v>11</v>
      </c>
    </row>
    <row r="6167" spans="1:9" hidden="1" x14ac:dyDescent="0.25">
      <c r="A6167" t="s">
        <v>17</v>
      </c>
      <c r="B6167" t="s">
        <v>150</v>
      </c>
      <c r="C6167">
        <v>201912</v>
      </c>
      <c r="D6167" t="str">
        <f t="shared" si="96"/>
        <v>2019</v>
      </c>
      <c r="E6167">
        <v>18</v>
      </c>
      <c r="F6167">
        <v>61011</v>
      </c>
      <c r="G6167">
        <v>0.03</v>
      </c>
      <c r="H6167" t="s">
        <v>10</v>
      </c>
      <c r="I6167" t="s">
        <v>11</v>
      </c>
    </row>
    <row r="6168" spans="1:9" hidden="1" x14ac:dyDescent="0.25">
      <c r="A6168" t="s">
        <v>17</v>
      </c>
      <c r="B6168" t="s">
        <v>150</v>
      </c>
      <c r="C6168">
        <v>202003</v>
      </c>
      <c r="D6168" t="str">
        <f t="shared" si="96"/>
        <v>2020</v>
      </c>
      <c r="E6168">
        <v>8</v>
      </c>
      <c r="F6168">
        <v>61011</v>
      </c>
      <c r="G6168">
        <v>0.01</v>
      </c>
      <c r="H6168" t="s">
        <v>10</v>
      </c>
      <c r="I6168" t="s">
        <v>11</v>
      </c>
    </row>
    <row r="6169" spans="1:9" hidden="1" x14ac:dyDescent="0.25">
      <c r="A6169" t="s">
        <v>17</v>
      </c>
      <c r="B6169" t="s">
        <v>150</v>
      </c>
      <c r="C6169">
        <v>202005</v>
      </c>
      <c r="D6169" t="str">
        <f t="shared" si="96"/>
        <v>2020</v>
      </c>
      <c r="E6169">
        <v>27</v>
      </c>
      <c r="F6169">
        <v>61011</v>
      </c>
      <c r="G6169">
        <v>0.04</v>
      </c>
      <c r="H6169" t="s">
        <v>10</v>
      </c>
      <c r="I6169" t="s">
        <v>11</v>
      </c>
    </row>
    <row r="6170" spans="1:9" hidden="1" x14ac:dyDescent="0.25">
      <c r="A6170" t="s">
        <v>17</v>
      </c>
      <c r="B6170" t="s">
        <v>150</v>
      </c>
      <c r="C6170">
        <v>202006</v>
      </c>
      <c r="D6170" t="str">
        <f t="shared" si="96"/>
        <v>2020</v>
      </c>
      <c r="E6170">
        <v>7</v>
      </c>
      <c r="F6170">
        <v>61011</v>
      </c>
      <c r="G6170">
        <v>0.01</v>
      </c>
      <c r="H6170" t="s">
        <v>10</v>
      </c>
      <c r="I6170" t="s">
        <v>11</v>
      </c>
    </row>
    <row r="6171" spans="1:9" hidden="1" x14ac:dyDescent="0.25">
      <c r="A6171" t="s">
        <v>17</v>
      </c>
      <c r="B6171" t="s">
        <v>150</v>
      </c>
      <c r="C6171">
        <v>202007</v>
      </c>
      <c r="D6171" t="str">
        <f t="shared" si="96"/>
        <v>2020</v>
      </c>
      <c r="E6171">
        <v>56</v>
      </c>
      <c r="F6171">
        <v>61011</v>
      </c>
      <c r="G6171">
        <v>0.09</v>
      </c>
      <c r="H6171" t="s">
        <v>10</v>
      </c>
      <c r="I6171" t="s">
        <v>11</v>
      </c>
    </row>
    <row r="6172" spans="1:9" hidden="1" x14ac:dyDescent="0.25">
      <c r="A6172" t="s">
        <v>17</v>
      </c>
      <c r="B6172" t="s">
        <v>150</v>
      </c>
      <c r="C6172">
        <v>202204</v>
      </c>
      <c r="D6172" t="str">
        <f t="shared" si="96"/>
        <v>2022</v>
      </c>
      <c r="E6172">
        <v>18</v>
      </c>
      <c r="F6172">
        <v>61011</v>
      </c>
      <c r="G6172">
        <v>0.03</v>
      </c>
      <c r="H6172" t="s">
        <v>10</v>
      </c>
      <c r="I6172" t="s">
        <v>11</v>
      </c>
    </row>
    <row r="6173" spans="1:9" hidden="1" x14ac:dyDescent="0.25">
      <c r="A6173" t="s">
        <v>17</v>
      </c>
      <c r="B6173" t="s">
        <v>150</v>
      </c>
      <c r="C6173">
        <v>202205</v>
      </c>
      <c r="D6173" t="str">
        <f t="shared" si="96"/>
        <v>2022</v>
      </c>
      <c r="E6173">
        <v>9</v>
      </c>
      <c r="F6173">
        <v>61011</v>
      </c>
      <c r="G6173">
        <v>0.01</v>
      </c>
      <c r="H6173" t="s">
        <v>10</v>
      </c>
      <c r="I6173" t="s">
        <v>11</v>
      </c>
    </row>
    <row r="6174" spans="1:9" hidden="1" x14ac:dyDescent="0.25">
      <c r="A6174" t="s">
        <v>17</v>
      </c>
      <c r="B6174" t="s">
        <v>150</v>
      </c>
      <c r="C6174">
        <v>202206</v>
      </c>
      <c r="D6174" t="str">
        <f t="shared" si="96"/>
        <v>2022</v>
      </c>
      <c r="E6174">
        <v>4</v>
      </c>
      <c r="F6174">
        <v>61011</v>
      </c>
      <c r="G6174">
        <v>0.01</v>
      </c>
      <c r="H6174" t="s">
        <v>10</v>
      </c>
      <c r="I6174" t="s">
        <v>11</v>
      </c>
    </row>
    <row r="6175" spans="1:9" hidden="1" x14ac:dyDescent="0.25">
      <c r="A6175" t="s">
        <v>17</v>
      </c>
      <c r="B6175" t="s">
        <v>150</v>
      </c>
      <c r="C6175">
        <v>202207</v>
      </c>
      <c r="D6175" t="str">
        <f t="shared" si="96"/>
        <v>2022</v>
      </c>
      <c r="E6175">
        <v>4</v>
      </c>
      <c r="F6175">
        <v>61011</v>
      </c>
      <c r="G6175">
        <v>0.01</v>
      </c>
      <c r="H6175" t="s">
        <v>10</v>
      </c>
      <c r="I6175" t="s">
        <v>11</v>
      </c>
    </row>
    <row r="6176" spans="1:9" hidden="1" x14ac:dyDescent="0.25">
      <c r="A6176" t="s">
        <v>17</v>
      </c>
      <c r="B6176" t="s">
        <v>150</v>
      </c>
      <c r="C6176">
        <v>202208</v>
      </c>
      <c r="D6176" t="str">
        <f t="shared" si="96"/>
        <v>2022</v>
      </c>
      <c r="E6176">
        <v>4</v>
      </c>
      <c r="F6176">
        <v>61011</v>
      </c>
      <c r="G6176">
        <v>0.01</v>
      </c>
      <c r="H6176" t="s">
        <v>10</v>
      </c>
      <c r="I6176" t="s">
        <v>11</v>
      </c>
    </row>
    <row r="6177" spans="1:9" hidden="1" x14ac:dyDescent="0.25">
      <c r="A6177" t="s">
        <v>17</v>
      </c>
      <c r="B6177" t="s">
        <v>150</v>
      </c>
      <c r="C6177">
        <v>202209</v>
      </c>
      <c r="D6177" t="str">
        <f t="shared" si="96"/>
        <v>2022</v>
      </c>
      <c r="E6177">
        <v>2</v>
      </c>
      <c r="F6177">
        <v>61011</v>
      </c>
      <c r="G6177">
        <v>0</v>
      </c>
      <c r="H6177" t="s">
        <v>10</v>
      </c>
      <c r="I6177" t="s">
        <v>11</v>
      </c>
    </row>
    <row r="6178" spans="1:9" hidden="1" x14ac:dyDescent="0.25">
      <c r="A6178" t="s">
        <v>17</v>
      </c>
      <c r="B6178" t="s">
        <v>150</v>
      </c>
      <c r="C6178">
        <v>202210</v>
      </c>
      <c r="D6178" t="str">
        <f t="shared" si="96"/>
        <v>2022</v>
      </c>
      <c r="E6178">
        <v>9</v>
      </c>
      <c r="F6178">
        <v>61011</v>
      </c>
      <c r="G6178">
        <v>0.01</v>
      </c>
      <c r="H6178" t="s">
        <v>10</v>
      </c>
      <c r="I6178" t="s">
        <v>11</v>
      </c>
    </row>
    <row r="6179" spans="1:9" hidden="1" x14ac:dyDescent="0.25">
      <c r="A6179" t="s">
        <v>17</v>
      </c>
      <c r="B6179" t="s">
        <v>150</v>
      </c>
      <c r="C6179">
        <v>202211</v>
      </c>
      <c r="D6179" t="str">
        <f t="shared" si="96"/>
        <v>2022</v>
      </c>
      <c r="E6179">
        <v>31</v>
      </c>
      <c r="F6179">
        <v>61011</v>
      </c>
      <c r="G6179">
        <v>0.05</v>
      </c>
      <c r="H6179" t="s">
        <v>10</v>
      </c>
      <c r="I6179" t="s">
        <v>11</v>
      </c>
    </row>
    <row r="6180" spans="1:9" hidden="1" x14ac:dyDescent="0.25">
      <c r="A6180" t="s">
        <v>17</v>
      </c>
      <c r="B6180" t="s">
        <v>150</v>
      </c>
      <c r="C6180">
        <v>202212</v>
      </c>
      <c r="D6180" t="str">
        <f t="shared" si="96"/>
        <v>2022</v>
      </c>
      <c r="E6180">
        <v>51</v>
      </c>
      <c r="F6180">
        <v>61011</v>
      </c>
      <c r="G6180">
        <v>0.08</v>
      </c>
      <c r="H6180" t="s">
        <v>10</v>
      </c>
      <c r="I6180" t="s">
        <v>11</v>
      </c>
    </row>
    <row r="6181" spans="1:9" hidden="1" x14ac:dyDescent="0.25">
      <c r="A6181" t="s">
        <v>17</v>
      </c>
      <c r="B6181" t="s">
        <v>150</v>
      </c>
      <c r="C6181">
        <v>202301</v>
      </c>
      <c r="D6181" t="str">
        <f t="shared" si="96"/>
        <v>2023</v>
      </c>
      <c r="E6181">
        <v>40</v>
      </c>
      <c r="F6181">
        <v>61011</v>
      </c>
      <c r="G6181">
        <v>7.0000000000000007E-2</v>
      </c>
      <c r="H6181" t="s">
        <v>10</v>
      </c>
      <c r="I6181" t="s">
        <v>11</v>
      </c>
    </row>
    <row r="6182" spans="1:9" hidden="1" x14ac:dyDescent="0.25">
      <c r="A6182" t="s">
        <v>17</v>
      </c>
      <c r="B6182" t="s">
        <v>150</v>
      </c>
      <c r="C6182">
        <v>202302</v>
      </c>
      <c r="D6182" t="str">
        <f t="shared" si="96"/>
        <v>2023</v>
      </c>
      <c r="E6182">
        <v>93</v>
      </c>
      <c r="F6182">
        <v>61011</v>
      </c>
      <c r="G6182">
        <v>0.15</v>
      </c>
      <c r="H6182" t="s">
        <v>10</v>
      </c>
      <c r="I6182" t="s">
        <v>11</v>
      </c>
    </row>
    <row r="6183" spans="1:9" hidden="1" x14ac:dyDescent="0.25">
      <c r="A6183" t="s">
        <v>17</v>
      </c>
      <c r="B6183" t="s">
        <v>150</v>
      </c>
      <c r="C6183">
        <v>202303</v>
      </c>
      <c r="D6183" t="str">
        <f t="shared" si="96"/>
        <v>2023</v>
      </c>
      <c r="E6183">
        <v>76</v>
      </c>
      <c r="F6183">
        <v>61011</v>
      </c>
      <c r="G6183">
        <v>0.12</v>
      </c>
      <c r="H6183" t="s">
        <v>10</v>
      </c>
      <c r="I6183" t="s">
        <v>11</v>
      </c>
    </row>
    <row r="6184" spans="1:9" hidden="1" x14ac:dyDescent="0.25">
      <c r="A6184" t="s">
        <v>17</v>
      </c>
      <c r="B6184" t="s">
        <v>150</v>
      </c>
      <c r="C6184">
        <v>202304</v>
      </c>
      <c r="D6184" t="str">
        <f t="shared" si="96"/>
        <v>2023</v>
      </c>
      <c r="E6184">
        <v>82</v>
      </c>
      <c r="F6184">
        <v>61011</v>
      </c>
      <c r="G6184">
        <v>0.13</v>
      </c>
      <c r="H6184" t="s">
        <v>10</v>
      </c>
      <c r="I6184" t="s">
        <v>11</v>
      </c>
    </row>
    <row r="6185" spans="1:9" hidden="1" x14ac:dyDescent="0.25">
      <c r="A6185" t="s">
        <v>17</v>
      </c>
      <c r="B6185" t="s">
        <v>150</v>
      </c>
      <c r="C6185">
        <v>202305</v>
      </c>
      <c r="D6185" t="str">
        <f t="shared" si="96"/>
        <v>2023</v>
      </c>
      <c r="E6185">
        <v>70</v>
      </c>
      <c r="F6185">
        <v>61011</v>
      </c>
      <c r="G6185">
        <v>0.11</v>
      </c>
      <c r="H6185" t="s">
        <v>10</v>
      </c>
      <c r="I6185" t="s">
        <v>11</v>
      </c>
    </row>
    <row r="6186" spans="1:9" hidden="1" x14ac:dyDescent="0.25">
      <c r="A6186" t="s">
        <v>17</v>
      </c>
      <c r="B6186" t="s">
        <v>150</v>
      </c>
      <c r="C6186">
        <v>202306</v>
      </c>
      <c r="D6186" t="str">
        <f t="shared" si="96"/>
        <v>2023</v>
      </c>
      <c r="E6186">
        <v>93</v>
      </c>
      <c r="F6186">
        <v>61011</v>
      </c>
      <c r="G6186">
        <v>0.15</v>
      </c>
      <c r="H6186" t="s">
        <v>10</v>
      </c>
      <c r="I6186" t="s">
        <v>11</v>
      </c>
    </row>
    <row r="6187" spans="1:9" hidden="1" x14ac:dyDescent="0.25">
      <c r="A6187" t="s">
        <v>17</v>
      </c>
      <c r="B6187" t="s">
        <v>150</v>
      </c>
      <c r="C6187">
        <v>202307</v>
      </c>
      <c r="D6187" t="str">
        <f t="shared" si="96"/>
        <v>2023</v>
      </c>
      <c r="E6187">
        <v>59</v>
      </c>
      <c r="F6187">
        <v>61011</v>
      </c>
      <c r="G6187">
        <v>0.1</v>
      </c>
      <c r="H6187" t="s">
        <v>10</v>
      </c>
      <c r="I6187" t="s">
        <v>11</v>
      </c>
    </row>
    <row r="6188" spans="1:9" hidden="1" x14ac:dyDescent="0.25">
      <c r="A6188" t="s">
        <v>17</v>
      </c>
      <c r="B6188" t="s">
        <v>150</v>
      </c>
      <c r="C6188">
        <v>202308</v>
      </c>
      <c r="D6188" t="str">
        <f t="shared" si="96"/>
        <v>2023</v>
      </c>
      <c r="E6188">
        <v>117</v>
      </c>
      <c r="F6188">
        <v>61011</v>
      </c>
      <c r="G6188">
        <v>0.19</v>
      </c>
      <c r="H6188" t="s">
        <v>10</v>
      </c>
      <c r="I6188" t="s">
        <v>11</v>
      </c>
    </row>
    <row r="6189" spans="1:9" hidden="1" x14ac:dyDescent="0.25">
      <c r="A6189" t="s">
        <v>17</v>
      </c>
      <c r="B6189" t="s">
        <v>150</v>
      </c>
      <c r="C6189">
        <v>202309</v>
      </c>
      <c r="D6189" t="str">
        <f t="shared" si="96"/>
        <v>2023</v>
      </c>
      <c r="E6189">
        <v>69</v>
      </c>
      <c r="F6189">
        <v>61011</v>
      </c>
      <c r="G6189">
        <v>0.11</v>
      </c>
      <c r="H6189" t="s">
        <v>10</v>
      </c>
      <c r="I6189" t="s">
        <v>11</v>
      </c>
    </row>
    <row r="6190" spans="1:9" hidden="1" x14ac:dyDescent="0.25">
      <c r="A6190" t="s">
        <v>17</v>
      </c>
      <c r="B6190" t="s">
        <v>150</v>
      </c>
      <c r="C6190">
        <v>202310</v>
      </c>
      <c r="D6190" t="str">
        <f t="shared" si="96"/>
        <v>2023</v>
      </c>
      <c r="E6190">
        <v>176</v>
      </c>
      <c r="F6190">
        <v>61011</v>
      </c>
      <c r="G6190">
        <v>0.28999999999999998</v>
      </c>
      <c r="H6190" t="s">
        <v>10</v>
      </c>
      <c r="I6190" t="s">
        <v>11</v>
      </c>
    </row>
    <row r="6191" spans="1:9" hidden="1" x14ac:dyDescent="0.25">
      <c r="A6191" t="s">
        <v>17</v>
      </c>
      <c r="B6191" t="s">
        <v>150</v>
      </c>
      <c r="C6191">
        <v>202311</v>
      </c>
      <c r="D6191" t="str">
        <f t="shared" si="96"/>
        <v>2023</v>
      </c>
      <c r="E6191">
        <v>236</v>
      </c>
      <c r="F6191">
        <v>61011</v>
      </c>
      <c r="G6191">
        <v>0.39</v>
      </c>
      <c r="H6191" t="s">
        <v>10</v>
      </c>
      <c r="I6191" t="s">
        <v>11</v>
      </c>
    </row>
    <row r="6192" spans="1:9" hidden="1" x14ac:dyDescent="0.25">
      <c r="A6192" t="s">
        <v>17</v>
      </c>
      <c r="B6192" t="s">
        <v>150</v>
      </c>
      <c r="C6192">
        <v>202312</v>
      </c>
      <c r="D6192" t="str">
        <f t="shared" si="96"/>
        <v>2023</v>
      </c>
      <c r="E6192">
        <v>170</v>
      </c>
      <c r="F6192">
        <v>61011</v>
      </c>
      <c r="G6192">
        <v>0.28000000000000003</v>
      </c>
      <c r="H6192" t="s">
        <v>10</v>
      </c>
      <c r="I6192" t="s">
        <v>11</v>
      </c>
    </row>
    <row r="6193" spans="1:9" hidden="1" x14ac:dyDescent="0.25">
      <c r="A6193" t="s">
        <v>17</v>
      </c>
      <c r="B6193" t="s">
        <v>150</v>
      </c>
      <c r="C6193">
        <v>202401</v>
      </c>
      <c r="D6193" t="str">
        <f t="shared" si="96"/>
        <v>2024</v>
      </c>
      <c r="E6193">
        <v>965</v>
      </c>
      <c r="F6193">
        <v>61011</v>
      </c>
      <c r="G6193">
        <v>1.58</v>
      </c>
      <c r="H6193" t="s">
        <v>10</v>
      </c>
      <c r="I6193" t="s">
        <v>11</v>
      </c>
    </row>
    <row r="6194" spans="1:9" hidden="1" x14ac:dyDescent="0.25">
      <c r="A6194" t="s">
        <v>17</v>
      </c>
      <c r="B6194" t="s">
        <v>150</v>
      </c>
      <c r="C6194">
        <v>202402</v>
      </c>
      <c r="D6194" t="str">
        <f t="shared" si="96"/>
        <v>2024</v>
      </c>
      <c r="E6194">
        <v>347</v>
      </c>
      <c r="F6194">
        <v>61011</v>
      </c>
      <c r="G6194">
        <v>0.56999999999999995</v>
      </c>
      <c r="H6194" t="s">
        <v>10</v>
      </c>
      <c r="I6194" t="s">
        <v>11</v>
      </c>
    </row>
    <row r="6195" spans="1:9" hidden="1" x14ac:dyDescent="0.25">
      <c r="A6195" t="s">
        <v>17</v>
      </c>
      <c r="B6195" t="s">
        <v>150</v>
      </c>
      <c r="C6195">
        <v>202403</v>
      </c>
      <c r="D6195" t="str">
        <f t="shared" si="96"/>
        <v>2024</v>
      </c>
      <c r="E6195">
        <v>506</v>
      </c>
      <c r="F6195">
        <v>61011</v>
      </c>
      <c r="G6195">
        <v>0.83</v>
      </c>
      <c r="H6195" t="s">
        <v>10</v>
      </c>
      <c r="I6195" t="s">
        <v>11</v>
      </c>
    </row>
    <row r="6196" spans="1:9" hidden="1" x14ac:dyDescent="0.25">
      <c r="A6196" t="s">
        <v>17</v>
      </c>
      <c r="B6196" t="s">
        <v>150</v>
      </c>
      <c r="C6196">
        <v>202404</v>
      </c>
      <c r="D6196" t="str">
        <f t="shared" si="96"/>
        <v>2024</v>
      </c>
      <c r="E6196">
        <v>559</v>
      </c>
      <c r="F6196">
        <v>61011</v>
      </c>
      <c r="G6196">
        <v>0.92</v>
      </c>
      <c r="H6196" t="s">
        <v>10</v>
      </c>
      <c r="I6196" t="s">
        <v>11</v>
      </c>
    </row>
    <row r="6197" spans="1:9" hidden="1" x14ac:dyDescent="0.25">
      <c r="A6197" t="s">
        <v>17</v>
      </c>
      <c r="B6197" t="s">
        <v>150</v>
      </c>
      <c r="C6197">
        <v>202405</v>
      </c>
      <c r="D6197" t="str">
        <f t="shared" si="96"/>
        <v>2024</v>
      </c>
      <c r="E6197">
        <v>1098</v>
      </c>
      <c r="F6197">
        <v>61011</v>
      </c>
      <c r="G6197">
        <v>1.8</v>
      </c>
      <c r="H6197" t="s">
        <v>10</v>
      </c>
      <c r="I6197" t="s">
        <v>11</v>
      </c>
    </row>
    <row r="6198" spans="1:9" hidden="1" x14ac:dyDescent="0.25">
      <c r="A6198" t="s">
        <v>17</v>
      </c>
      <c r="B6198" t="s">
        <v>150</v>
      </c>
      <c r="C6198">
        <v>202406</v>
      </c>
      <c r="D6198" t="str">
        <f t="shared" si="96"/>
        <v>2024</v>
      </c>
      <c r="E6198">
        <v>477</v>
      </c>
      <c r="F6198">
        <v>61011</v>
      </c>
      <c r="G6198">
        <v>0.78</v>
      </c>
      <c r="H6198" t="s">
        <v>10</v>
      </c>
      <c r="I6198" t="s">
        <v>11</v>
      </c>
    </row>
    <row r="6199" spans="1:9" hidden="1" x14ac:dyDescent="0.25">
      <c r="A6199" t="s">
        <v>17</v>
      </c>
      <c r="B6199" t="s">
        <v>150</v>
      </c>
      <c r="C6199">
        <v>202407</v>
      </c>
      <c r="D6199" t="str">
        <f t="shared" si="96"/>
        <v>2024</v>
      </c>
      <c r="E6199">
        <v>513</v>
      </c>
      <c r="F6199">
        <v>61011</v>
      </c>
      <c r="G6199">
        <v>0.84</v>
      </c>
      <c r="H6199" t="s">
        <v>10</v>
      </c>
      <c r="I6199" t="s">
        <v>11</v>
      </c>
    </row>
    <row r="6200" spans="1:9" hidden="1" x14ac:dyDescent="0.25">
      <c r="A6200" t="s">
        <v>17</v>
      </c>
      <c r="B6200" t="s">
        <v>150</v>
      </c>
      <c r="C6200">
        <v>202408</v>
      </c>
      <c r="D6200" t="str">
        <f t="shared" si="96"/>
        <v>2024</v>
      </c>
      <c r="E6200">
        <v>900</v>
      </c>
      <c r="F6200">
        <v>61011</v>
      </c>
      <c r="G6200">
        <v>1.48</v>
      </c>
      <c r="H6200" t="s">
        <v>10</v>
      </c>
      <c r="I6200" t="s">
        <v>11</v>
      </c>
    </row>
    <row r="6201" spans="1:9" hidden="1" x14ac:dyDescent="0.25">
      <c r="A6201" t="s">
        <v>17</v>
      </c>
      <c r="B6201" t="s">
        <v>150</v>
      </c>
      <c r="C6201">
        <v>202409</v>
      </c>
      <c r="D6201" t="str">
        <f t="shared" si="96"/>
        <v>2024</v>
      </c>
      <c r="E6201">
        <v>1287</v>
      </c>
      <c r="F6201">
        <v>61011</v>
      </c>
      <c r="G6201">
        <v>2.11</v>
      </c>
      <c r="H6201" t="s">
        <v>10</v>
      </c>
      <c r="I6201" t="s">
        <v>11</v>
      </c>
    </row>
    <row r="6202" spans="1:9" hidden="1" x14ac:dyDescent="0.25">
      <c r="A6202" t="s">
        <v>17</v>
      </c>
      <c r="B6202" t="s">
        <v>150</v>
      </c>
      <c r="C6202">
        <v>202410</v>
      </c>
      <c r="D6202" t="str">
        <f t="shared" si="96"/>
        <v>2024</v>
      </c>
      <c r="E6202">
        <v>4849</v>
      </c>
      <c r="F6202">
        <v>61011</v>
      </c>
      <c r="G6202">
        <v>7.95</v>
      </c>
      <c r="H6202" t="s">
        <v>10</v>
      </c>
      <c r="I6202" t="s">
        <v>11</v>
      </c>
    </row>
    <row r="6203" spans="1:9" hidden="1" x14ac:dyDescent="0.25">
      <c r="A6203" t="s">
        <v>17</v>
      </c>
      <c r="B6203" t="s">
        <v>150</v>
      </c>
      <c r="C6203">
        <v>202411</v>
      </c>
      <c r="D6203" t="str">
        <f t="shared" si="96"/>
        <v>2024</v>
      </c>
      <c r="E6203">
        <v>24971</v>
      </c>
      <c r="F6203">
        <v>61011</v>
      </c>
      <c r="G6203">
        <v>40.93</v>
      </c>
      <c r="H6203" t="s">
        <v>10</v>
      </c>
      <c r="I6203" t="s">
        <v>11</v>
      </c>
    </row>
    <row r="6204" spans="1:9" hidden="1" x14ac:dyDescent="0.25">
      <c r="A6204" t="s">
        <v>17</v>
      </c>
      <c r="B6204" t="s">
        <v>150</v>
      </c>
      <c r="C6204">
        <v>202412</v>
      </c>
      <c r="D6204" t="str">
        <f t="shared" si="96"/>
        <v>2024</v>
      </c>
      <c r="E6204">
        <v>22368</v>
      </c>
      <c r="F6204">
        <v>61011</v>
      </c>
      <c r="G6204">
        <v>36.659999999999997</v>
      </c>
      <c r="H6204" t="s">
        <v>10</v>
      </c>
      <c r="I6204" t="s">
        <v>11</v>
      </c>
    </row>
    <row r="6205" spans="1:9" hidden="1" x14ac:dyDescent="0.25">
      <c r="A6205" t="s">
        <v>17</v>
      </c>
      <c r="B6205" t="s">
        <v>84</v>
      </c>
      <c r="C6205">
        <v>201810</v>
      </c>
      <c r="D6205" t="str">
        <f t="shared" si="96"/>
        <v>2018</v>
      </c>
      <c r="E6205">
        <v>4</v>
      </c>
      <c r="F6205">
        <v>57313</v>
      </c>
      <c r="G6205">
        <v>0.01</v>
      </c>
      <c r="H6205" t="s">
        <v>10</v>
      </c>
      <c r="I6205" t="s">
        <v>11</v>
      </c>
    </row>
    <row r="6206" spans="1:9" hidden="1" x14ac:dyDescent="0.25">
      <c r="A6206" t="s">
        <v>17</v>
      </c>
      <c r="B6206" t="s">
        <v>84</v>
      </c>
      <c r="C6206">
        <v>201811</v>
      </c>
      <c r="D6206" t="str">
        <f t="shared" si="96"/>
        <v>2018</v>
      </c>
      <c r="E6206">
        <v>22</v>
      </c>
      <c r="F6206">
        <v>57313</v>
      </c>
      <c r="G6206">
        <v>0.04</v>
      </c>
      <c r="H6206" t="s">
        <v>10</v>
      </c>
      <c r="I6206" t="s">
        <v>11</v>
      </c>
    </row>
    <row r="6207" spans="1:9" hidden="1" x14ac:dyDescent="0.25">
      <c r="A6207" t="s">
        <v>17</v>
      </c>
      <c r="B6207" t="s">
        <v>84</v>
      </c>
      <c r="C6207">
        <v>201812</v>
      </c>
      <c r="D6207" t="str">
        <f t="shared" si="96"/>
        <v>2018</v>
      </c>
      <c r="E6207">
        <v>8</v>
      </c>
      <c r="F6207">
        <v>57313</v>
      </c>
      <c r="G6207">
        <v>0.01</v>
      </c>
      <c r="H6207" t="s">
        <v>10</v>
      </c>
      <c r="I6207" t="s">
        <v>11</v>
      </c>
    </row>
    <row r="6208" spans="1:9" hidden="1" x14ac:dyDescent="0.25">
      <c r="A6208" t="s">
        <v>17</v>
      </c>
      <c r="B6208" t="s">
        <v>84</v>
      </c>
      <c r="C6208">
        <v>202209</v>
      </c>
      <c r="D6208" t="str">
        <f t="shared" si="96"/>
        <v>2022</v>
      </c>
      <c r="E6208">
        <v>15</v>
      </c>
      <c r="F6208">
        <v>57313</v>
      </c>
      <c r="G6208">
        <v>0.03</v>
      </c>
      <c r="H6208" t="s">
        <v>10</v>
      </c>
      <c r="I6208" t="s">
        <v>11</v>
      </c>
    </row>
    <row r="6209" spans="1:9" hidden="1" x14ac:dyDescent="0.25">
      <c r="A6209" t="s">
        <v>17</v>
      </c>
      <c r="B6209" t="s">
        <v>84</v>
      </c>
      <c r="C6209">
        <v>202210</v>
      </c>
      <c r="D6209" t="str">
        <f t="shared" si="96"/>
        <v>2022</v>
      </c>
      <c r="E6209">
        <v>17</v>
      </c>
      <c r="F6209">
        <v>57313</v>
      </c>
      <c r="G6209">
        <v>0.03</v>
      </c>
      <c r="H6209" t="s">
        <v>10</v>
      </c>
      <c r="I6209" t="s">
        <v>11</v>
      </c>
    </row>
    <row r="6210" spans="1:9" hidden="1" x14ac:dyDescent="0.25">
      <c r="A6210" t="s">
        <v>17</v>
      </c>
      <c r="B6210" t="s">
        <v>84</v>
      </c>
      <c r="C6210">
        <v>202211</v>
      </c>
      <c r="D6210" t="str">
        <f t="shared" si="96"/>
        <v>2022</v>
      </c>
      <c r="E6210">
        <v>28</v>
      </c>
      <c r="F6210">
        <v>57313</v>
      </c>
      <c r="G6210">
        <v>0.05</v>
      </c>
      <c r="H6210" t="s">
        <v>10</v>
      </c>
      <c r="I6210" t="s">
        <v>11</v>
      </c>
    </row>
    <row r="6211" spans="1:9" hidden="1" x14ac:dyDescent="0.25">
      <c r="A6211" t="s">
        <v>17</v>
      </c>
      <c r="B6211" t="s">
        <v>84</v>
      </c>
      <c r="C6211">
        <v>202212</v>
      </c>
      <c r="D6211" t="str">
        <f t="shared" ref="D6211:D6274" si="97">LEFT(C6211,4)</f>
        <v>2022</v>
      </c>
      <c r="E6211">
        <v>53</v>
      </c>
      <c r="F6211">
        <v>57313</v>
      </c>
      <c r="G6211">
        <v>0.09</v>
      </c>
      <c r="H6211" t="s">
        <v>10</v>
      </c>
      <c r="I6211" t="s">
        <v>11</v>
      </c>
    </row>
    <row r="6212" spans="1:9" hidden="1" x14ac:dyDescent="0.25">
      <c r="A6212" t="s">
        <v>17</v>
      </c>
      <c r="B6212" t="s">
        <v>84</v>
      </c>
      <c r="C6212">
        <v>202301</v>
      </c>
      <c r="D6212" t="str">
        <f t="shared" si="97"/>
        <v>2023</v>
      </c>
      <c r="E6212">
        <v>68</v>
      </c>
      <c r="F6212">
        <v>57313</v>
      </c>
      <c r="G6212">
        <v>0.12</v>
      </c>
      <c r="H6212" t="s">
        <v>10</v>
      </c>
      <c r="I6212" t="s">
        <v>11</v>
      </c>
    </row>
    <row r="6213" spans="1:9" hidden="1" x14ac:dyDescent="0.25">
      <c r="A6213" t="s">
        <v>17</v>
      </c>
      <c r="B6213" t="s">
        <v>84</v>
      </c>
      <c r="C6213">
        <v>202302</v>
      </c>
      <c r="D6213" t="str">
        <f t="shared" si="97"/>
        <v>2023</v>
      </c>
      <c r="E6213">
        <v>123</v>
      </c>
      <c r="F6213">
        <v>57313</v>
      </c>
      <c r="G6213">
        <v>0.21</v>
      </c>
      <c r="H6213" t="s">
        <v>10</v>
      </c>
      <c r="I6213" t="s">
        <v>11</v>
      </c>
    </row>
    <row r="6214" spans="1:9" hidden="1" x14ac:dyDescent="0.25">
      <c r="A6214" t="s">
        <v>17</v>
      </c>
      <c r="B6214" t="s">
        <v>84</v>
      </c>
      <c r="C6214">
        <v>202303</v>
      </c>
      <c r="D6214" t="str">
        <f t="shared" si="97"/>
        <v>2023</v>
      </c>
      <c r="E6214">
        <v>123</v>
      </c>
      <c r="F6214">
        <v>57313</v>
      </c>
      <c r="G6214">
        <v>0.21</v>
      </c>
      <c r="H6214" t="s">
        <v>10</v>
      </c>
      <c r="I6214" t="s">
        <v>11</v>
      </c>
    </row>
    <row r="6215" spans="1:9" hidden="1" x14ac:dyDescent="0.25">
      <c r="A6215" t="s">
        <v>17</v>
      </c>
      <c r="B6215" t="s">
        <v>84</v>
      </c>
      <c r="C6215">
        <v>202304</v>
      </c>
      <c r="D6215" t="str">
        <f t="shared" si="97"/>
        <v>2023</v>
      </c>
      <c r="E6215">
        <v>62</v>
      </c>
      <c r="F6215">
        <v>57313</v>
      </c>
      <c r="G6215">
        <v>0.11</v>
      </c>
      <c r="H6215" t="s">
        <v>10</v>
      </c>
      <c r="I6215" t="s">
        <v>11</v>
      </c>
    </row>
    <row r="6216" spans="1:9" hidden="1" x14ac:dyDescent="0.25">
      <c r="A6216" t="s">
        <v>17</v>
      </c>
      <c r="B6216" t="s">
        <v>84</v>
      </c>
      <c r="C6216">
        <v>202305</v>
      </c>
      <c r="D6216" t="str">
        <f t="shared" si="97"/>
        <v>2023</v>
      </c>
      <c r="E6216">
        <v>48</v>
      </c>
      <c r="F6216">
        <v>57313</v>
      </c>
      <c r="G6216">
        <v>0.08</v>
      </c>
      <c r="H6216" t="s">
        <v>10</v>
      </c>
      <c r="I6216" t="s">
        <v>11</v>
      </c>
    </row>
    <row r="6217" spans="1:9" hidden="1" x14ac:dyDescent="0.25">
      <c r="A6217" t="s">
        <v>17</v>
      </c>
      <c r="B6217" t="s">
        <v>84</v>
      </c>
      <c r="C6217">
        <v>202306</v>
      </c>
      <c r="D6217" t="str">
        <f t="shared" si="97"/>
        <v>2023</v>
      </c>
      <c r="E6217">
        <v>78</v>
      </c>
      <c r="F6217">
        <v>57313</v>
      </c>
      <c r="G6217">
        <v>0.14000000000000001</v>
      </c>
      <c r="H6217" t="s">
        <v>10</v>
      </c>
      <c r="I6217" t="s">
        <v>11</v>
      </c>
    </row>
    <row r="6218" spans="1:9" hidden="1" x14ac:dyDescent="0.25">
      <c r="A6218" t="s">
        <v>17</v>
      </c>
      <c r="B6218" t="s">
        <v>84</v>
      </c>
      <c r="C6218">
        <v>202307</v>
      </c>
      <c r="D6218" t="str">
        <f t="shared" si="97"/>
        <v>2023</v>
      </c>
      <c r="E6218">
        <v>34</v>
      </c>
      <c r="F6218">
        <v>57313</v>
      </c>
      <c r="G6218">
        <v>0.06</v>
      </c>
      <c r="H6218" t="s">
        <v>10</v>
      </c>
      <c r="I6218" t="s">
        <v>11</v>
      </c>
    </row>
    <row r="6219" spans="1:9" hidden="1" x14ac:dyDescent="0.25">
      <c r="A6219" t="s">
        <v>17</v>
      </c>
      <c r="B6219" t="s">
        <v>84</v>
      </c>
      <c r="C6219">
        <v>202308</v>
      </c>
      <c r="D6219" t="str">
        <f t="shared" si="97"/>
        <v>2023</v>
      </c>
      <c r="E6219">
        <v>145</v>
      </c>
      <c r="F6219">
        <v>57313</v>
      </c>
      <c r="G6219">
        <v>0.25</v>
      </c>
      <c r="H6219" t="s">
        <v>10</v>
      </c>
      <c r="I6219" t="s">
        <v>11</v>
      </c>
    </row>
    <row r="6220" spans="1:9" hidden="1" x14ac:dyDescent="0.25">
      <c r="A6220" t="s">
        <v>17</v>
      </c>
      <c r="B6220" t="s">
        <v>84</v>
      </c>
      <c r="C6220">
        <v>202309</v>
      </c>
      <c r="D6220" t="str">
        <f t="shared" si="97"/>
        <v>2023</v>
      </c>
      <c r="E6220">
        <v>83</v>
      </c>
      <c r="F6220">
        <v>57313</v>
      </c>
      <c r="G6220">
        <v>0.14000000000000001</v>
      </c>
      <c r="H6220" t="s">
        <v>10</v>
      </c>
      <c r="I6220" t="s">
        <v>11</v>
      </c>
    </row>
    <row r="6221" spans="1:9" hidden="1" x14ac:dyDescent="0.25">
      <c r="A6221" t="s">
        <v>17</v>
      </c>
      <c r="B6221" t="s">
        <v>84</v>
      </c>
      <c r="C6221">
        <v>202310</v>
      </c>
      <c r="D6221" t="str">
        <f t="shared" si="97"/>
        <v>2023</v>
      </c>
      <c r="E6221">
        <v>82</v>
      </c>
      <c r="F6221">
        <v>57313</v>
      </c>
      <c r="G6221">
        <v>0.14000000000000001</v>
      </c>
      <c r="H6221" t="s">
        <v>10</v>
      </c>
      <c r="I6221" t="s">
        <v>11</v>
      </c>
    </row>
    <row r="6222" spans="1:9" hidden="1" x14ac:dyDescent="0.25">
      <c r="A6222" t="s">
        <v>17</v>
      </c>
      <c r="B6222" t="s">
        <v>84</v>
      </c>
      <c r="C6222">
        <v>202311</v>
      </c>
      <c r="D6222" t="str">
        <f t="shared" si="97"/>
        <v>2023</v>
      </c>
      <c r="E6222">
        <v>162</v>
      </c>
      <c r="F6222">
        <v>57313</v>
      </c>
      <c r="G6222">
        <v>0.28000000000000003</v>
      </c>
      <c r="H6222" t="s">
        <v>10</v>
      </c>
      <c r="I6222" t="s">
        <v>11</v>
      </c>
    </row>
    <row r="6223" spans="1:9" hidden="1" x14ac:dyDescent="0.25">
      <c r="A6223" t="s">
        <v>17</v>
      </c>
      <c r="B6223" t="s">
        <v>84</v>
      </c>
      <c r="C6223">
        <v>202312</v>
      </c>
      <c r="D6223" t="str">
        <f t="shared" si="97"/>
        <v>2023</v>
      </c>
      <c r="E6223">
        <v>197</v>
      </c>
      <c r="F6223">
        <v>57313</v>
      </c>
      <c r="G6223">
        <v>0.34</v>
      </c>
      <c r="H6223" t="s">
        <v>10</v>
      </c>
      <c r="I6223" t="s">
        <v>11</v>
      </c>
    </row>
    <row r="6224" spans="1:9" hidden="1" x14ac:dyDescent="0.25">
      <c r="A6224" t="s">
        <v>17</v>
      </c>
      <c r="B6224" t="s">
        <v>84</v>
      </c>
      <c r="C6224">
        <v>202401</v>
      </c>
      <c r="D6224" t="str">
        <f t="shared" si="97"/>
        <v>2024</v>
      </c>
      <c r="E6224">
        <v>528</v>
      </c>
      <c r="F6224">
        <v>57313</v>
      </c>
      <c r="G6224">
        <v>0.92</v>
      </c>
      <c r="H6224" t="s">
        <v>10</v>
      </c>
      <c r="I6224" t="s">
        <v>11</v>
      </c>
    </row>
    <row r="6225" spans="1:9" hidden="1" x14ac:dyDescent="0.25">
      <c r="A6225" t="s">
        <v>17</v>
      </c>
      <c r="B6225" t="s">
        <v>84</v>
      </c>
      <c r="C6225">
        <v>202402</v>
      </c>
      <c r="D6225" t="str">
        <f t="shared" si="97"/>
        <v>2024</v>
      </c>
      <c r="E6225">
        <v>730</v>
      </c>
      <c r="F6225">
        <v>57313</v>
      </c>
      <c r="G6225">
        <v>1.27</v>
      </c>
      <c r="H6225" t="s">
        <v>10</v>
      </c>
      <c r="I6225" t="s">
        <v>11</v>
      </c>
    </row>
    <row r="6226" spans="1:9" hidden="1" x14ac:dyDescent="0.25">
      <c r="A6226" t="s">
        <v>17</v>
      </c>
      <c r="B6226" t="s">
        <v>84</v>
      </c>
      <c r="C6226">
        <v>202403</v>
      </c>
      <c r="D6226" t="str">
        <f t="shared" si="97"/>
        <v>2024</v>
      </c>
      <c r="E6226">
        <v>1116</v>
      </c>
      <c r="F6226">
        <v>57313</v>
      </c>
      <c r="G6226">
        <v>1.95</v>
      </c>
      <c r="H6226" t="s">
        <v>10</v>
      </c>
      <c r="I6226" t="s">
        <v>11</v>
      </c>
    </row>
    <row r="6227" spans="1:9" hidden="1" x14ac:dyDescent="0.25">
      <c r="A6227" t="s">
        <v>17</v>
      </c>
      <c r="B6227" t="s">
        <v>84</v>
      </c>
      <c r="C6227">
        <v>202404</v>
      </c>
      <c r="D6227" t="str">
        <f t="shared" si="97"/>
        <v>2024</v>
      </c>
      <c r="E6227">
        <v>444</v>
      </c>
      <c r="F6227">
        <v>57313</v>
      </c>
      <c r="G6227">
        <v>0.77</v>
      </c>
      <c r="H6227" t="s">
        <v>10</v>
      </c>
      <c r="I6227" t="s">
        <v>11</v>
      </c>
    </row>
    <row r="6228" spans="1:9" hidden="1" x14ac:dyDescent="0.25">
      <c r="A6228" t="s">
        <v>17</v>
      </c>
      <c r="B6228" t="s">
        <v>84</v>
      </c>
      <c r="C6228">
        <v>202405</v>
      </c>
      <c r="D6228" t="str">
        <f t="shared" si="97"/>
        <v>2024</v>
      </c>
      <c r="E6228">
        <v>375</v>
      </c>
      <c r="F6228">
        <v>57313</v>
      </c>
      <c r="G6228">
        <v>0.65</v>
      </c>
      <c r="H6228" t="s">
        <v>10</v>
      </c>
      <c r="I6228" t="s">
        <v>11</v>
      </c>
    </row>
    <row r="6229" spans="1:9" hidden="1" x14ac:dyDescent="0.25">
      <c r="A6229" t="s">
        <v>17</v>
      </c>
      <c r="B6229" t="s">
        <v>84</v>
      </c>
      <c r="C6229">
        <v>202406</v>
      </c>
      <c r="D6229" t="str">
        <f t="shared" si="97"/>
        <v>2024</v>
      </c>
      <c r="E6229">
        <v>313</v>
      </c>
      <c r="F6229">
        <v>57313</v>
      </c>
      <c r="G6229">
        <v>0.55000000000000004</v>
      </c>
      <c r="H6229" t="s">
        <v>10</v>
      </c>
      <c r="I6229" t="s">
        <v>11</v>
      </c>
    </row>
    <row r="6230" spans="1:9" hidden="1" x14ac:dyDescent="0.25">
      <c r="A6230" t="s">
        <v>17</v>
      </c>
      <c r="B6230" t="s">
        <v>84</v>
      </c>
      <c r="C6230">
        <v>202407</v>
      </c>
      <c r="D6230" t="str">
        <f t="shared" si="97"/>
        <v>2024</v>
      </c>
      <c r="E6230">
        <v>310</v>
      </c>
      <c r="F6230">
        <v>57313</v>
      </c>
      <c r="G6230">
        <v>0.54</v>
      </c>
      <c r="H6230" t="s">
        <v>10</v>
      </c>
      <c r="I6230" t="s">
        <v>11</v>
      </c>
    </row>
    <row r="6231" spans="1:9" hidden="1" x14ac:dyDescent="0.25">
      <c r="A6231" t="s">
        <v>17</v>
      </c>
      <c r="B6231" t="s">
        <v>84</v>
      </c>
      <c r="C6231">
        <v>202408</v>
      </c>
      <c r="D6231" t="str">
        <f t="shared" si="97"/>
        <v>2024</v>
      </c>
      <c r="E6231">
        <v>729</v>
      </c>
      <c r="F6231">
        <v>57313</v>
      </c>
      <c r="G6231">
        <v>1.27</v>
      </c>
      <c r="H6231" t="s">
        <v>10</v>
      </c>
      <c r="I6231" t="s">
        <v>11</v>
      </c>
    </row>
    <row r="6232" spans="1:9" hidden="1" x14ac:dyDescent="0.25">
      <c r="A6232" t="s">
        <v>17</v>
      </c>
      <c r="B6232" t="s">
        <v>84</v>
      </c>
      <c r="C6232">
        <v>202409</v>
      </c>
      <c r="D6232" t="str">
        <f t="shared" si="97"/>
        <v>2024</v>
      </c>
      <c r="E6232">
        <v>955</v>
      </c>
      <c r="F6232">
        <v>57313</v>
      </c>
      <c r="G6232">
        <v>1.67</v>
      </c>
      <c r="H6232" t="s">
        <v>10</v>
      </c>
      <c r="I6232" t="s">
        <v>11</v>
      </c>
    </row>
    <row r="6233" spans="1:9" hidden="1" x14ac:dyDescent="0.25">
      <c r="A6233" t="s">
        <v>17</v>
      </c>
      <c r="B6233" t="s">
        <v>84</v>
      </c>
      <c r="C6233">
        <v>202410</v>
      </c>
      <c r="D6233" t="str">
        <f t="shared" si="97"/>
        <v>2024</v>
      </c>
      <c r="E6233">
        <v>1584</v>
      </c>
      <c r="F6233">
        <v>57313</v>
      </c>
      <c r="G6233">
        <v>2.76</v>
      </c>
      <c r="H6233" t="s">
        <v>10</v>
      </c>
      <c r="I6233" t="s">
        <v>11</v>
      </c>
    </row>
    <row r="6234" spans="1:9" hidden="1" x14ac:dyDescent="0.25">
      <c r="A6234" t="s">
        <v>17</v>
      </c>
      <c r="B6234" t="s">
        <v>84</v>
      </c>
      <c r="C6234">
        <v>202411</v>
      </c>
      <c r="D6234" t="str">
        <f t="shared" si="97"/>
        <v>2024</v>
      </c>
      <c r="E6234">
        <v>4967</v>
      </c>
      <c r="F6234">
        <v>57313</v>
      </c>
      <c r="G6234">
        <v>8.67</v>
      </c>
      <c r="H6234" t="s">
        <v>10</v>
      </c>
      <c r="I6234" t="s">
        <v>11</v>
      </c>
    </row>
    <row r="6235" spans="1:9" hidden="1" x14ac:dyDescent="0.25">
      <c r="A6235" t="s">
        <v>17</v>
      </c>
      <c r="B6235" t="s">
        <v>84</v>
      </c>
      <c r="C6235">
        <v>202412</v>
      </c>
      <c r="D6235" t="str">
        <f t="shared" si="97"/>
        <v>2024</v>
      </c>
      <c r="E6235">
        <v>27096</v>
      </c>
      <c r="F6235">
        <v>57313</v>
      </c>
      <c r="G6235">
        <v>47.28</v>
      </c>
      <c r="H6235" t="s">
        <v>10</v>
      </c>
      <c r="I6235" t="s">
        <v>11</v>
      </c>
    </row>
    <row r="6236" spans="1:9" x14ac:dyDescent="0.25">
      <c r="A6236" t="s">
        <v>17</v>
      </c>
      <c r="B6236" t="s">
        <v>84</v>
      </c>
      <c r="C6236">
        <v>202501</v>
      </c>
      <c r="D6236" t="str">
        <f t="shared" si="97"/>
        <v>2025</v>
      </c>
      <c r="E6236">
        <v>16814</v>
      </c>
      <c r="F6236">
        <v>57313</v>
      </c>
      <c r="G6236">
        <v>29.34</v>
      </c>
      <c r="H6236" t="s">
        <v>10</v>
      </c>
      <c r="I6236" t="s">
        <v>11</v>
      </c>
    </row>
    <row r="6237" spans="1:9" hidden="1" x14ac:dyDescent="0.25">
      <c r="A6237" t="s">
        <v>17</v>
      </c>
      <c r="B6237" t="s">
        <v>156</v>
      </c>
      <c r="C6237">
        <v>201902</v>
      </c>
      <c r="D6237" t="str">
        <f t="shared" si="97"/>
        <v>2019</v>
      </c>
      <c r="E6237">
        <v>6</v>
      </c>
      <c r="F6237">
        <v>71864</v>
      </c>
      <c r="G6237">
        <v>0.01</v>
      </c>
      <c r="H6237" t="s">
        <v>10</v>
      </c>
      <c r="I6237" t="s">
        <v>11</v>
      </c>
    </row>
    <row r="6238" spans="1:9" hidden="1" x14ac:dyDescent="0.25">
      <c r="A6238" t="s">
        <v>17</v>
      </c>
      <c r="B6238" t="s">
        <v>156</v>
      </c>
      <c r="C6238">
        <v>202006</v>
      </c>
      <c r="D6238" t="str">
        <f t="shared" si="97"/>
        <v>2020</v>
      </c>
      <c r="E6238">
        <v>2</v>
      </c>
      <c r="F6238">
        <v>71864</v>
      </c>
      <c r="G6238">
        <v>0</v>
      </c>
      <c r="H6238" t="s">
        <v>10</v>
      </c>
      <c r="I6238" t="s">
        <v>11</v>
      </c>
    </row>
    <row r="6239" spans="1:9" hidden="1" x14ac:dyDescent="0.25">
      <c r="A6239" t="s">
        <v>17</v>
      </c>
      <c r="B6239" t="s">
        <v>156</v>
      </c>
      <c r="C6239">
        <v>202112</v>
      </c>
      <c r="D6239" t="str">
        <f t="shared" si="97"/>
        <v>2021</v>
      </c>
      <c r="E6239">
        <v>4</v>
      </c>
      <c r="F6239">
        <v>71864</v>
      </c>
      <c r="G6239">
        <v>0.01</v>
      </c>
      <c r="H6239" t="s">
        <v>10</v>
      </c>
      <c r="I6239" t="s">
        <v>11</v>
      </c>
    </row>
    <row r="6240" spans="1:9" hidden="1" x14ac:dyDescent="0.25">
      <c r="A6240" t="s">
        <v>17</v>
      </c>
      <c r="B6240" t="s">
        <v>156</v>
      </c>
      <c r="C6240">
        <v>202206</v>
      </c>
      <c r="D6240" t="str">
        <f t="shared" si="97"/>
        <v>2022</v>
      </c>
      <c r="E6240">
        <v>14</v>
      </c>
      <c r="F6240">
        <v>71864</v>
      </c>
      <c r="G6240">
        <v>0.02</v>
      </c>
      <c r="H6240" t="s">
        <v>10</v>
      </c>
      <c r="I6240" t="s">
        <v>11</v>
      </c>
    </row>
    <row r="6241" spans="1:9" hidden="1" x14ac:dyDescent="0.25">
      <c r="A6241" t="s">
        <v>17</v>
      </c>
      <c r="B6241" t="s">
        <v>156</v>
      </c>
      <c r="C6241">
        <v>202207</v>
      </c>
      <c r="D6241" t="str">
        <f t="shared" si="97"/>
        <v>2022</v>
      </c>
      <c r="E6241">
        <v>2</v>
      </c>
      <c r="F6241">
        <v>71864</v>
      </c>
      <c r="G6241">
        <v>0</v>
      </c>
      <c r="H6241" t="s">
        <v>10</v>
      </c>
      <c r="I6241" t="s">
        <v>11</v>
      </c>
    </row>
    <row r="6242" spans="1:9" hidden="1" x14ac:dyDescent="0.25">
      <c r="A6242" t="s">
        <v>17</v>
      </c>
      <c r="B6242" t="s">
        <v>156</v>
      </c>
      <c r="C6242">
        <v>202212</v>
      </c>
      <c r="D6242" t="str">
        <f t="shared" si="97"/>
        <v>2022</v>
      </c>
      <c r="E6242">
        <v>3</v>
      </c>
      <c r="F6242">
        <v>71864</v>
      </c>
      <c r="G6242">
        <v>0</v>
      </c>
      <c r="H6242" t="s">
        <v>10</v>
      </c>
      <c r="I6242" t="s">
        <v>11</v>
      </c>
    </row>
    <row r="6243" spans="1:9" hidden="1" x14ac:dyDescent="0.25">
      <c r="A6243" t="s">
        <v>17</v>
      </c>
      <c r="B6243" t="s">
        <v>156</v>
      </c>
      <c r="C6243">
        <v>202301</v>
      </c>
      <c r="D6243" t="str">
        <f t="shared" si="97"/>
        <v>2023</v>
      </c>
      <c r="E6243">
        <v>19</v>
      </c>
      <c r="F6243">
        <v>71864</v>
      </c>
      <c r="G6243">
        <v>0.03</v>
      </c>
      <c r="H6243" t="s">
        <v>10</v>
      </c>
      <c r="I6243" t="s">
        <v>11</v>
      </c>
    </row>
    <row r="6244" spans="1:9" hidden="1" x14ac:dyDescent="0.25">
      <c r="A6244" t="s">
        <v>17</v>
      </c>
      <c r="B6244" t="s">
        <v>156</v>
      </c>
      <c r="C6244">
        <v>202302</v>
      </c>
      <c r="D6244" t="str">
        <f t="shared" si="97"/>
        <v>2023</v>
      </c>
      <c r="E6244">
        <v>3</v>
      </c>
      <c r="F6244">
        <v>71864</v>
      </c>
      <c r="G6244">
        <v>0</v>
      </c>
      <c r="H6244" t="s">
        <v>10</v>
      </c>
      <c r="I6244" t="s">
        <v>11</v>
      </c>
    </row>
    <row r="6245" spans="1:9" hidden="1" x14ac:dyDescent="0.25">
      <c r="A6245" t="s">
        <v>17</v>
      </c>
      <c r="B6245" t="s">
        <v>156</v>
      </c>
      <c r="C6245">
        <v>202303</v>
      </c>
      <c r="D6245" t="str">
        <f t="shared" si="97"/>
        <v>2023</v>
      </c>
      <c r="E6245">
        <v>65</v>
      </c>
      <c r="F6245">
        <v>71864</v>
      </c>
      <c r="G6245">
        <v>0.09</v>
      </c>
      <c r="H6245" t="s">
        <v>10</v>
      </c>
      <c r="I6245" t="s">
        <v>11</v>
      </c>
    </row>
    <row r="6246" spans="1:9" hidden="1" x14ac:dyDescent="0.25">
      <c r="A6246" t="s">
        <v>17</v>
      </c>
      <c r="B6246" t="s">
        <v>156</v>
      </c>
      <c r="C6246">
        <v>202304</v>
      </c>
      <c r="D6246" t="str">
        <f t="shared" si="97"/>
        <v>2023</v>
      </c>
      <c r="E6246">
        <v>86</v>
      </c>
      <c r="F6246">
        <v>71864</v>
      </c>
      <c r="G6246">
        <v>0.12</v>
      </c>
      <c r="H6246" t="s">
        <v>10</v>
      </c>
      <c r="I6246" t="s">
        <v>11</v>
      </c>
    </row>
    <row r="6247" spans="1:9" hidden="1" x14ac:dyDescent="0.25">
      <c r="A6247" t="s">
        <v>17</v>
      </c>
      <c r="B6247" t="s">
        <v>156</v>
      </c>
      <c r="C6247">
        <v>202305</v>
      </c>
      <c r="D6247" t="str">
        <f t="shared" si="97"/>
        <v>2023</v>
      </c>
      <c r="E6247">
        <v>80</v>
      </c>
      <c r="F6247">
        <v>71864</v>
      </c>
      <c r="G6247">
        <v>0.11</v>
      </c>
      <c r="H6247" t="s">
        <v>10</v>
      </c>
      <c r="I6247" t="s">
        <v>11</v>
      </c>
    </row>
    <row r="6248" spans="1:9" hidden="1" x14ac:dyDescent="0.25">
      <c r="A6248" t="s">
        <v>17</v>
      </c>
      <c r="B6248" t="s">
        <v>156</v>
      </c>
      <c r="C6248">
        <v>202306</v>
      </c>
      <c r="D6248" t="str">
        <f t="shared" si="97"/>
        <v>2023</v>
      </c>
      <c r="E6248">
        <v>86</v>
      </c>
      <c r="F6248">
        <v>71864</v>
      </c>
      <c r="G6248">
        <v>0.12</v>
      </c>
      <c r="H6248" t="s">
        <v>10</v>
      </c>
      <c r="I6248" t="s">
        <v>11</v>
      </c>
    </row>
    <row r="6249" spans="1:9" hidden="1" x14ac:dyDescent="0.25">
      <c r="A6249" t="s">
        <v>17</v>
      </c>
      <c r="B6249" t="s">
        <v>156</v>
      </c>
      <c r="C6249">
        <v>202307</v>
      </c>
      <c r="D6249" t="str">
        <f t="shared" si="97"/>
        <v>2023</v>
      </c>
      <c r="E6249">
        <v>26</v>
      </c>
      <c r="F6249">
        <v>71864</v>
      </c>
      <c r="G6249">
        <v>0.04</v>
      </c>
      <c r="H6249" t="s">
        <v>10</v>
      </c>
      <c r="I6249" t="s">
        <v>11</v>
      </c>
    </row>
    <row r="6250" spans="1:9" hidden="1" x14ac:dyDescent="0.25">
      <c r="A6250" t="s">
        <v>17</v>
      </c>
      <c r="B6250" t="s">
        <v>156</v>
      </c>
      <c r="C6250">
        <v>202308</v>
      </c>
      <c r="D6250" t="str">
        <f t="shared" si="97"/>
        <v>2023</v>
      </c>
      <c r="E6250">
        <v>141</v>
      </c>
      <c r="F6250">
        <v>71864</v>
      </c>
      <c r="G6250">
        <v>0.2</v>
      </c>
      <c r="H6250" t="s">
        <v>10</v>
      </c>
      <c r="I6250" t="s">
        <v>11</v>
      </c>
    </row>
    <row r="6251" spans="1:9" hidden="1" x14ac:dyDescent="0.25">
      <c r="A6251" t="s">
        <v>17</v>
      </c>
      <c r="B6251" t="s">
        <v>156</v>
      </c>
      <c r="C6251">
        <v>202309</v>
      </c>
      <c r="D6251" t="str">
        <f t="shared" si="97"/>
        <v>2023</v>
      </c>
      <c r="E6251">
        <v>122</v>
      </c>
      <c r="F6251">
        <v>71864</v>
      </c>
      <c r="G6251">
        <v>0.17</v>
      </c>
      <c r="H6251" t="s">
        <v>10</v>
      </c>
      <c r="I6251" t="s">
        <v>11</v>
      </c>
    </row>
    <row r="6252" spans="1:9" hidden="1" x14ac:dyDescent="0.25">
      <c r="A6252" t="s">
        <v>17</v>
      </c>
      <c r="B6252" t="s">
        <v>156</v>
      </c>
      <c r="C6252">
        <v>202310</v>
      </c>
      <c r="D6252" t="str">
        <f t="shared" si="97"/>
        <v>2023</v>
      </c>
      <c r="E6252">
        <v>112</v>
      </c>
      <c r="F6252">
        <v>71864</v>
      </c>
      <c r="G6252">
        <v>0.16</v>
      </c>
      <c r="H6252" t="s">
        <v>10</v>
      </c>
      <c r="I6252" t="s">
        <v>11</v>
      </c>
    </row>
    <row r="6253" spans="1:9" hidden="1" x14ac:dyDescent="0.25">
      <c r="A6253" t="s">
        <v>17</v>
      </c>
      <c r="B6253" t="s">
        <v>156</v>
      </c>
      <c r="C6253">
        <v>202311</v>
      </c>
      <c r="D6253" t="str">
        <f t="shared" si="97"/>
        <v>2023</v>
      </c>
      <c r="E6253">
        <v>148</v>
      </c>
      <c r="F6253">
        <v>71864</v>
      </c>
      <c r="G6253">
        <v>0.21</v>
      </c>
      <c r="H6253" t="s">
        <v>10</v>
      </c>
      <c r="I6253" t="s">
        <v>11</v>
      </c>
    </row>
    <row r="6254" spans="1:9" hidden="1" x14ac:dyDescent="0.25">
      <c r="A6254" t="s">
        <v>17</v>
      </c>
      <c r="B6254" t="s">
        <v>156</v>
      </c>
      <c r="C6254">
        <v>202312</v>
      </c>
      <c r="D6254" t="str">
        <f t="shared" si="97"/>
        <v>2023</v>
      </c>
      <c r="E6254">
        <v>174</v>
      </c>
      <c r="F6254">
        <v>71864</v>
      </c>
      <c r="G6254">
        <v>0.24</v>
      </c>
      <c r="H6254" t="s">
        <v>10</v>
      </c>
      <c r="I6254" t="s">
        <v>11</v>
      </c>
    </row>
    <row r="6255" spans="1:9" hidden="1" x14ac:dyDescent="0.25">
      <c r="A6255" t="s">
        <v>17</v>
      </c>
      <c r="B6255" t="s">
        <v>156</v>
      </c>
      <c r="C6255">
        <v>202401</v>
      </c>
      <c r="D6255" t="str">
        <f t="shared" si="97"/>
        <v>2024</v>
      </c>
      <c r="E6255">
        <v>346</v>
      </c>
      <c r="F6255">
        <v>71864</v>
      </c>
      <c r="G6255">
        <v>0.48</v>
      </c>
      <c r="H6255" t="s">
        <v>10</v>
      </c>
      <c r="I6255" t="s">
        <v>11</v>
      </c>
    </row>
    <row r="6256" spans="1:9" hidden="1" x14ac:dyDescent="0.25">
      <c r="A6256" t="s">
        <v>17</v>
      </c>
      <c r="B6256" t="s">
        <v>156</v>
      </c>
      <c r="C6256">
        <v>202402</v>
      </c>
      <c r="D6256" t="str">
        <f t="shared" si="97"/>
        <v>2024</v>
      </c>
      <c r="E6256">
        <v>191</v>
      </c>
      <c r="F6256">
        <v>71864</v>
      </c>
      <c r="G6256">
        <v>0.27</v>
      </c>
      <c r="H6256" t="s">
        <v>10</v>
      </c>
      <c r="I6256" t="s">
        <v>11</v>
      </c>
    </row>
    <row r="6257" spans="1:9" hidden="1" x14ac:dyDescent="0.25">
      <c r="A6257" t="s">
        <v>17</v>
      </c>
      <c r="B6257" t="s">
        <v>156</v>
      </c>
      <c r="C6257">
        <v>202403</v>
      </c>
      <c r="D6257" t="str">
        <f t="shared" si="97"/>
        <v>2024</v>
      </c>
      <c r="E6257">
        <v>172</v>
      </c>
      <c r="F6257">
        <v>71864</v>
      </c>
      <c r="G6257">
        <v>0.24</v>
      </c>
      <c r="H6257" t="s">
        <v>10</v>
      </c>
      <c r="I6257" t="s">
        <v>11</v>
      </c>
    </row>
    <row r="6258" spans="1:9" hidden="1" x14ac:dyDescent="0.25">
      <c r="A6258" t="s">
        <v>17</v>
      </c>
      <c r="B6258" t="s">
        <v>156</v>
      </c>
      <c r="C6258">
        <v>202404</v>
      </c>
      <c r="D6258" t="str">
        <f t="shared" si="97"/>
        <v>2024</v>
      </c>
      <c r="E6258">
        <v>1368</v>
      </c>
      <c r="F6258">
        <v>71864</v>
      </c>
      <c r="G6258">
        <v>1.9</v>
      </c>
      <c r="H6258" t="s">
        <v>10</v>
      </c>
      <c r="I6258" t="s">
        <v>11</v>
      </c>
    </row>
    <row r="6259" spans="1:9" hidden="1" x14ac:dyDescent="0.25">
      <c r="A6259" t="s">
        <v>17</v>
      </c>
      <c r="B6259" t="s">
        <v>156</v>
      </c>
      <c r="C6259">
        <v>202405</v>
      </c>
      <c r="D6259" t="str">
        <f t="shared" si="97"/>
        <v>2024</v>
      </c>
      <c r="E6259">
        <v>989</v>
      </c>
      <c r="F6259">
        <v>71864</v>
      </c>
      <c r="G6259">
        <v>1.38</v>
      </c>
      <c r="H6259" t="s">
        <v>10</v>
      </c>
      <c r="I6259" t="s">
        <v>11</v>
      </c>
    </row>
    <row r="6260" spans="1:9" hidden="1" x14ac:dyDescent="0.25">
      <c r="A6260" t="s">
        <v>17</v>
      </c>
      <c r="B6260" t="s">
        <v>156</v>
      </c>
      <c r="C6260">
        <v>202406</v>
      </c>
      <c r="D6260" t="str">
        <f t="shared" si="97"/>
        <v>2024</v>
      </c>
      <c r="E6260">
        <v>944</v>
      </c>
      <c r="F6260">
        <v>71864</v>
      </c>
      <c r="G6260">
        <v>1.31</v>
      </c>
      <c r="H6260" t="s">
        <v>10</v>
      </c>
      <c r="I6260" t="s">
        <v>11</v>
      </c>
    </row>
    <row r="6261" spans="1:9" hidden="1" x14ac:dyDescent="0.25">
      <c r="A6261" t="s">
        <v>17</v>
      </c>
      <c r="B6261" t="s">
        <v>156</v>
      </c>
      <c r="C6261">
        <v>202407</v>
      </c>
      <c r="D6261" t="str">
        <f t="shared" si="97"/>
        <v>2024</v>
      </c>
      <c r="E6261">
        <v>1266</v>
      </c>
      <c r="F6261">
        <v>71864</v>
      </c>
      <c r="G6261">
        <v>1.76</v>
      </c>
      <c r="H6261" t="s">
        <v>10</v>
      </c>
      <c r="I6261" t="s">
        <v>11</v>
      </c>
    </row>
    <row r="6262" spans="1:9" hidden="1" x14ac:dyDescent="0.25">
      <c r="A6262" t="s">
        <v>17</v>
      </c>
      <c r="B6262" t="s">
        <v>156</v>
      </c>
      <c r="C6262">
        <v>202408</v>
      </c>
      <c r="D6262" t="str">
        <f t="shared" si="97"/>
        <v>2024</v>
      </c>
      <c r="E6262">
        <v>1089</v>
      </c>
      <c r="F6262">
        <v>71864</v>
      </c>
      <c r="G6262">
        <v>1.52</v>
      </c>
      <c r="H6262" t="s">
        <v>10</v>
      </c>
      <c r="I6262" t="s">
        <v>11</v>
      </c>
    </row>
    <row r="6263" spans="1:9" hidden="1" x14ac:dyDescent="0.25">
      <c r="A6263" t="s">
        <v>17</v>
      </c>
      <c r="B6263" t="s">
        <v>156</v>
      </c>
      <c r="C6263">
        <v>202409</v>
      </c>
      <c r="D6263" t="str">
        <f t="shared" si="97"/>
        <v>2024</v>
      </c>
      <c r="E6263">
        <v>1166</v>
      </c>
      <c r="F6263">
        <v>71864</v>
      </c>
      <c r="G6263">
        <v>1.62</v>
      </c>
      <c r="H6263" t="s">
        <v>10</v>
      </c>
      <c r="I6263" t="s">
        <v>11</v>
      </c>
    </row>
    <row r="6264" spans="1:9" hidden="1" x14ac:dyDescent="0.25">
      <c r="A6264" t="s">
        <v>17</v>
      </c>
      <c r="B6264" t="s">
        <v>156</v>
      </c>
      <c r="C6264">
        <v>202410</v>
      </c>
      <c r="D6264" t="str">
        <f t="shared" si="97"/>
        <v>2024</v>
      </c>
      <c r="E6264">
        <v>2209</v>
      </c>
      <c r="F6264">
        <v>71864</v>
      </c>
      <c r="G6264">
        <v>3.07</v>
      </c>
      <c r="H6264" t="s">
        <v>10</v>
      </c>
      <c r="I6264" t="s">
        <v>11</v>
      </c>
    </row>
    <row r="6265" spans="1:9" hidden="1" x14ac:dyDescent="0.25">
      <c r="A6265" t="s">
        <v>17</v>
      </c>
      <c r="B6265" t="s">
        <v>156</v>
      </c>
      <c r="C6265">
        <v>202411</v>
      </c>
      <c r="D6265" t="str">
        <f t="shared" si="97"/>
        <v>2024</v>
      </c>
      <c r="E6265">
        <v>1801</v>
      </c>
      <c r="F6265">
        <v>71864</v>
      </c>
      <c r="G6265">
        <v>2.5099999999999998</v>
      </c>
      <c r="H6265" t="s">
        <v>10</v>
      </c>
      <c r="I6265" t="s">
        <v>11</v>
      </c>
    </row>
    <row r="6266" spans="1:9" hidden="1" x14ac:dyDescent="0.25">
      <c r="A6266" t="s">
        <v>17</v>
      </c>
      <c r="B6266" t="s">
        <v>156</v>
      </c>
      <c r="C6266">
        <v>202412</v>
      </c>
      <c r="D6266" t="str">
        <f t="shared" si="97"/>
        <v>2024</v>
      </c>
      <c r="E6266">
        <v>5143</v>
      </c>
      <c r="F6266">
        <v>71864</v>
      </c>
      <c r="G6266">
        <v>7.16</v>
      </c>
      <c r="H6266" t="s">
        <v>10</v>
      </c>
      <c r="I6266" t="s">
        <v>11</v>
      </c>
    </row>
    <row r="6267" spans="1:9" x14ac:dyDescent="0.25">
      <c r="A6267" t="s">
        <v>17</v>
      </c>
      <c r="B6267" t="s">
        <v>156</v>
      </c>
      <c r="C6267">
        <v>202501</v>
      </c>
      <c r="D6267" t="str">
        <f t="shared" si="97"/>
        <v>2025</v>
      </c>
      <c r="E6267">
        <v>37631</v>
      </c>
      <c r="F6267">
        <v>71864</v>
      </c>
      <c r="G6267">
        <v>52.36</v>
      </c>
      <c r="H6267" t="s">
        <v>10</v>
      </c>
      <c r="I6267" t="s">
        <v>11</v>
      </c>
    </row>
    <row r="6268" spans="1:9" x14ac:dyDescent="0.25">
      <c r="A6268" t="s">
        <v>17</v>
      </c>
      <c r="B6268" t="s">
        <v>156</v>
      </c>
      <c r="C6268">
        <v>202502</v>
      </c>
      <c r="D6268" t="str">
        <f t="shared" si="97"/>
        <v>2025</v>
      </c>
      <c r="E6268">
        <v>16456</v>
      </c>
      <c r="F6268">
        <v>71864</v>
      </c>
      <c r="G6268">
        <v>22.9</v>
      </c>
      <c r="H6268" t="s">
        <v>10</v>
      </c>
      <c r="I6268" t="s">
        <v>11</v>
      </c>
    </row>
    <row r="6269" spans="1:9" hidden="1" x14ac:dyDescent="0.25">
      <c r="A6269" t="s">
        <v>17</v>
      </c>
      <c r="B6269" t="s">
        <v>110</v>
      </c>
      <c r="C6269">
        <v>202001</v>
      </c>
      <c r="D6269" t="str">
        <f t="shared" si="97"/>
        <v>2020</v>
      </c>
      <c r="E6269">
        <v>7</v>
      </c>
      <c r="F6269">
        <v>79756</v>
      </c>
      <c r="G6269">
        <v>0.01</v>
      </c>
      <c r="H6269" t="s">
        <v>10</v>
      </c>
      <c r="I6269" t="s">
        <v>11</v>
      </c>
    </row>
    <row r="6270" spans="1:9" hidden="1" x14ac:dyDescent="0.25">
      <c r="A6270" t="s">
        <v>17</v>
      </c>
      <c r="B6270" t="s">
        <v>110</v>
      </c>
      <c r="C6270">
        <v>202008</v>
      </c>
      <c r="D6270" t="str">
        <f t="shared" si="97"/>
        <v>2020</v>
      </c>
      <c r="E6270">
        <v>1</v>
      </c>
      <c r="F6270">
        <v>79756</v>
      </c>
      <c r="G6270">
        <v>0</v>
      </c>
      <c r="H6270" t="s">
        <v>10</v>
      </c>
      <c r="I6270" t="s">
        <v>11</v>
      </c>
    </row>
    <row r="6271" spans="1:9" hidden="1" x14ac:dyDescent="0.25">
      <c r="A6271" t="s">
        <v>17</v>
      </c>
      <c r="B6271" t="s">
        <v>110</v>
      </c>
      <c r="C6271">
        <v>202104</v>
      </c>
      <c r="D6271" t="str">
        <f t="shared" si="97"/>
        <v>2021</v>
      </c>
      <c r="E6271">
        <v>1</v>
      </c>
      <c r="F6271">
        <v>79756</v>
      </c>
      <c r="G6271">
        <v>0</v>
      </c>
      <c r="H6271" t="s">
        <v>10</v>
      </c>
      <c r="I6271" t="s">
        <v>11</v>
      </c>
    </row>
    <row r="6272" spans="1:9" hidden="1" x14ac:dyDescent="0.25">
      <c r="A6272" t="s">
        <v>17</v>
      </c>
      <c r="B6272" t="s">
        <v>110</v>
      </c>
      <c r="C6272">
        <v>202106</v>
      </c>
      <c r="D6272" t="str">
        <f t="shared" si="97"/>
        <v>2021</v>
      </c>
      <c r="E6272">
        <v>19</v>
      </c>
      <c r="F6272">
        <v>79756</v>
      </c>
      <c r="G6272">
        <v>0.02</v>
      </c>
      <c r="H6272" t="s">
        <v>10</v>
      </c>
      <c r="I6272" t="s">
        <v>11</v>
      </c>
    </row>
    <row r="6273" spans="1:9" hidden="1" x14ac:dyDescent="0.25">
      <c r="A6273" t="s">
        <v>17</v>
      </c>
      <c r="B6273" t="s">
        <v>110</v>
      </c>
      <c r="C6273">
        <v>202107</v>
      </c>
      <c r="D6273" t="str">
        <f t="shared" si="97"/>
        <v>2021</v>
      </c>
      <c r="E6273">
        <v>8</v>
      </c>
      <c r="F6273">
        <v>79756</v>
      </c>
      <c r="G6273">
        <v>0.01</v>
      </c>
      <c r="H6273" t="s">
        <v>10</v>
      </c>
      <c r="I6273" t="s">
        <v>11</v>
      </c>
    </row>
    <row r="6274" spans="1:9" hidden="1" x14ac:dyDescent="0.25">
      <c r="A6274" t="s">
        <v>17</v>
      </c>
      <c r="B6274" t="s">
        <v>110</v>
      </c>
      <c r="C6274">
        <v>202203</v>
      </c>
      <c r="D6274" t="str">
        <f t="shared" si="97"/>
        <v>2022</v>
      </c>
      <c r="E6274">
        <v>3</v>
      </c>
      <c r="F6274">
        <v>79756</v>
      </c>
      <c r="G6274">
        <v>0</v>
      </c>
      <c r="H6274" t="s">
        <v>10</v>
      </c>
      <c r="I6274" t="s">
        <v>11</v>
      </c>
    </row>
    <row r="6275" spans="1:9" hidden="1" x14ac:dyDescent="0.25">
      <c r="A6275" t="s">
        <v>17</v>
      </c>
      <c r="B6275" t="s">
        <v>110</v>
      </c>
      <c r="C6275">
        <v>202206</v>
      </c>
      <c r="D6275" t="str">
        <f t="shared" ref="D6275:D6338" si="98">LEFT(C6275,4)</f>
        <v>2022</v>
      </c>
      <c r="E6275">
        <v>3</v>
      </c>
      <c r="F6275">
        <v>79756</v>
      </c>
      <c r="G6275">
        <v>0</v>
      </c>
      <c r="H6275" t="s">
        <v>10</v>
      </c>
      <c r="I6275" t="s">
        <v>11</v>
      </c>
    </row>
    <row r="6276" spans="1:9" hidden="1" x14ac:dyDescent="0.25">
      <c r="A6276" t="s">
        <v>17</v>
      </c>
      <c r="B6276" t="s">
        <v>110</v>
      </c>
      <c r="C6276">
        <v>202207</v>
      </c>
      <c r="D6276" t="str">
        <f t="shared" si="98"/>
        <v>2022</v>
      </c>
      <c r="E6276">
        <v>1</v>
      </c>
      <c r="F6276">
        <v>79756</v>
      </c>
      <c r="G6276">
        <v>0</v>
      </c>
      <c r="H6276" t="s">
        <v>10</v>
      </c>
      <c r="I6276" t="s">
        <v>11</v>
      </c>
    </row>
    <row r="6277" spans="1:9" hidden="1" x14ac:dyDescent="0.25">
      <c r="A6277" t="s">
        <v>17</v>
      </c>
      <c r="B6277" t="s">
        <v>110</v>
      </c>
      <c r="C6277">
        <v>202211</v>
      </c>
      <c r="D6277" t="str">
        <f t="shared" si="98"/>
        <v>2022</v>
      </c>
      <c r="E6277">
        <v>9</v>
      </c>
      <c r="F6277">
        <v>79756</v>
      </c>
      <c r="G6277">
        <v>0.01</v>
      </c>
      <c r="H6277" t="s">
        <v>10</v>
      </c>
      <c r="I6277" t="s">
        <v>11</v>
      </c>
    </row>
    <row r="6278" spans="1:9" hidden="1" x14ac:dyDescent="0.25">
      <c r="A6278" t="s">
        <v>17</v>
      </c>
      <c r="B6278" t="s">
        <v>110</v>
      </c>
      <c r="C6278">
        <v>202212</v>
      </c>
      <c r="D6278" t="str">
        <f t="shared" si="98"/>
        <v>2022</v>
      </c>
      <c r="E6278">
        <v>1</v>
      </c>
      <c r="F6278">
        <v>79756</v>
      </c>
      <c r="G6278">
        <v>0</v>
      </c>
      <c r="H6278" t="s">
        <v>10</v>
      </c>
      <c r="I6278" t="s">
        <v>11</v>
      </c>
    </row>
    <row r="6279" spans="1:9" hidden="1" x14ac:dyDescent="0.25">
      <c r="A6279" t="s">
        <v>17</v>
      </c>
      <c r="B6279" t="s">
        <v>110</v>
      </c>
      <c r="C6279">
        <v>202301</v>
      </c>
      <c r="D6279" t="str">
        <f t="shared" si="98"/>
        <v>2023</v>
      </c>
      <c r="E6279">
        <v>70</v>
      </c>
      <c r="F6279">
        <v>79756</v>
      </c>
      <c r="G6279">
        <v>0.09</v>
      </c>
      <c r="H6279" t="s">
        <v>10</v>
      </c>
      <c r="I6279" t="s">
        <v>11</v>
      </c>
    </row>
    <row r="6280" spans="1:9" hidden="1" x14ac:dyDescent="0.25">
      <c r="A6280" t="s">
        <v>17</v>
      </c>
      <c r="B6280" t="s">
        <v>110</v>
      </c>
      <c r="C6280">
        <v>202302</v>
      </c>
      <c r="D6280" t="str">
        <f t="shared" si="98"/>
        <v>2023</v>
      </c>
      <c r="E6280">
        <v>1</v>
      </c>
      <c r="F6280">
        <v>79756</v>
      </c>
      <c r="G6280">
        <v>0</v>
      </c>
      <c r="H6280" t="s">
        <v>10</v>
      </c>
      <c r="I6280" t="s">
        <v>11</v>
      </c>
    </row>
    <row r="6281" spans="1:9" hidden="1" x14ac:dyDescent="0.25">
      <c r="A6281" t="s">
        <v>17</v>
      </c>
      <c r="B6281" t="s">
        <v>110</v>
      </c>
      <c r="C6281">
        <v>202303</v>
      </c>
      <c r="D6281" t="str">
        <f t="shared" si="98"/>
        <v>2023</v>
      </c>
      <c r="E6281">
        <v>32</v>
      </c>
      <c r="F6281">
        <v>79756</v>
      </c>
      <c r="G6281">
        <v>0.04</v>
      </c>
      <c r="H6281" t="s">
        <v>10</v>
      </c>
      <c r="I6281" t="s">
        <v>11</v>
      </c>
    </row>
    <row r="6282" spans="1:9" hidden="1" x14ac:dyDescent="0.25">
      <c r="A6282" t="s">
        <v>17</v>
      </c>
      <c r="B6282" t="s">
        <v>110</v>
      </c>
      <c r="C6282">
        <v>202304</v>
      </c>
      <c r="D6282" t="str">
        <f t="shared" si="98"/>
        <v>2023</v>
      </c>
      <c r="E6282">
        <v>79</v>
      </c>
      <c r="F6282">
        <v>79756</v>
      </c>
      <c r="G6282">
        <v>0.1</v>
      </c>
      <c r="H6282" t="s">
        <v>10</v>
      </c>
      <c r="I6282" t="s">
        <v>11</v>
      </c>
    </row>
    <row r="6283" spans="1:9" hidden="1" x14ac:dyDescent="0.25">
      <c r="A6283" t="s">
        <v>17</v>
      </c>
      <c r="B6283" t="s">
        <v>110</v>
      </c>
      <c r="C6283">
        <v>202305</v>
      </c>
      <c r="D6283" t="str">
        <f t="shared" si="98"/>
        <v>2023</v>
      </c>
      <c r="E6283">
        <v>110</v>
      </c>
      <c r="F6283">
        <v>79756</v>
      </c>
      <c r="G6283">
        <v>0.14000000000000001</v>
      </c>
      <c r="H6283" t="s">
        <v>10</v>
      </c>
      <c r="I6283" t="s">
        <v>11</v>
      </c>
    </row>
    <row r="6284" spans="1:9" hidden="1" x14ac:dyDescent="0.25">
      <c r="A6284" t="s">
        <v>17</v>
      </c>
      <c r="B6284" t="s">
        <v>110</v>
      </c>
      <c r="C6284">
        <v>202306</v>
      </c>
      <c r="D6284" t="str">
        <f t="shared" si="98"/>
        <v>2023</v>
      </c>
      <c r="E6284">
        <v>123</v>
      </c>
      <c r="F6284">
        <v>79756</v>
      </c>
      <c r="G6284">
        <v>0.15</v>
      </c>
      <c r="H6284" t="s">
        <v>10</v>
      </c>
      <c r="I6284" t="s">
        <v>11</v>
      </c>
    </row>
    <row r="6285" spans="1:9" hidden="1" x14ac:dyDescent="0.25">
      <c r="A6285" t="s">
        <v>17</v>
      </c>
      <c r="B6285" t="s">
        <v>110</v>
      </c>
      <c r="C6285">
        <v>202307</v>
      </c>
      <c r="D6285" t="str">
        <f t="shared" si="98"/>
        <v>2023</v>
      </c>
      <c r="E6285">
        <v>64</v>
      </c>
      <c r="F6285">
        <v>79756</v>
      </c>
      <c r="G6285">
        <v>0.08</v>
      </c>
      <c r="H6285" t="s">
        <v>10</v>
      </c>
      <c r="I6285" t="s">
        <v>11</v>
      </c>
    </row>
    <row r="6286" spans="1:9" hidden="1" x14ac:dyDescent="0.25">
      <c r="A6286" t="s">
        <v>17</v>
      </c>
      <c r="B6286" t="s">
        <v>110</v>
      </c>
      <c r="C6286">
        <v>202308</v>
      </c>
      <c r="D6286" t="str">
        <f t="shared" si="98"/>
        <v>2023</v>
      </c>
      <c r="E6286">
        <v>48</v>
      </c>
      <c r="F6286">
        <v>79756</v>
      </c>
      <c r="G6286">
        <v>0.06</v>
      </c>
      <c r="H6286" t="s">
        <v>10</v>
      </c>
      <c r="I6286" t="s">
        <v>11</v>
      </c>
    </row>
    <row r="6287" spans="1:9" hidden="1" x14ac:dyDescent="0.25">
      <c r="A6287" t="s">
        <v>17</v>
      </c>
      <c r="B6287" t="s">
        <v>110</v>
      </c>
      <c r="C6287">
        <v>202309</v>
      </c>
      <c r="D6287" t="str">
        <f t="shared" si="98"/>
        <v>2023</v>
      </c>
      <c r="E6287">
        <v>27</v>
      </c>
      <c r="F6287">
        <v>79756</v>
      </c>
      <c r="G6287">
        <v>0.03</v>
      </c>
      <c r="H6287" t="s">
        <v>10</v>
      </c>
      <c r="I6287" t="s">
        <v>11</v>
      </c>
    </row>
    <row r="6288" spans="1:9" hidden="1" x14ac:dyDescent="0.25">
      <c r="A6288" t="s">
        <v>17</v>
      </c>
      <c r="B6288" t="s">
        <v>110</v>
      </c>
      <c r="C6288">
        <v>202310</v>
      </c>
      <c r="D6288" t="str">
        <f t="shared" si="98"/>
        <v>2023</v>
      </c>
      <c r="E6288">
        <v>67</v>
      </c>
      <c r="F6288">
        <v>79756</v>
      </c>
      <c r="G6288">
        <v>0.08</v>
      </c>
      <c r="H6288" t="s">
        <v>10</v>
      </c>
      <c r="I6288" t="s">
        <v>11</v>
      </c>
    </row>
    <row r="6289" spans="1:9" hidden="1" x14ac:dyDescent="0.25">
      <c r="A6289" t="s">
        <v>17</v>
      </c>
      <c r="B6289" t="s">
        <v>110</v>
      </c>
      <c r="C6289">
        <v>202311</v>
      </c>
      <c r="D6289" t="str">
        <f t="shared" si="98"/>
        <v>2023</v>
      </c>
      <c r="E6289">
        <v>132</v>
      </c>
      <c r="F6289">
        <v>79756</v>
      </c>
      <c r="G6289">
        <v>0.17</v>
      </c>
      <c r="H6289" t="s">
        <v>10</v>
      </c>
      <c r="I6289" t="s">
        <v>11</v>
      </c>
    </row>
    <row r="6290" spans="1:9" hidden="1" x14ac:dyDescent="0.25">
      <c r="A6290" t="s">
        <v>17</v>
      </c>
      <c r="B6290" t="s">
        <v>110</v>
      </c>
      <c r="C6290">
        <v>202312</v>
      </c>
      <c r="D6290" t="str">
        <f t="shared" si="98"/>
        <v>2023</v>
      </c>
      <c r="E6290">
        <v>89</v>
      </c>
      <c r="F6290">
        <v>79756</v>
      </c>
      <c r="G6290">
        <v>0.11</v>
      </c>
      <c r="H6290" t="s">
        <v>10</v>
      </c>
      <c r="I6290" t="s">
        <v>11</v>
      </c>
    </row>
    <row r="6291" spans="1:9" hidden="1" x14ac:dyDescent="0.25">
      <c r="A6291" t="s">
        <v>17</v>
      </c>
      <c r="B6291" t="s">
        <v>110</v>
      </c>
      <c r="C6291">
        <v>202401</v>
      </c>
      <c r="D6291" t="str">
        <f t="shared" si="98"/>
        <v>2024</v>
      </c>
      <c r="E6291">
        <v>138</v>
      </c>
      <c r="F6291">
        <v>79756</v>
      </c>
      <c r="G6291">
        <v>0.17</v>
      </c>
      <c r="H6291" t="s">
        <v>10</v>
      </c>
      <c r="I6291" t="s">
        <v>11</v>
      </c>
    </row>
    <row r="6292" spans="1:9" hidden="1" x14ac:dyDescent="0.25">
      <c r="A6292" t="s">
        <v>17</v>
      </c>
      <c r="B6292" t="s">
        <v>110</v>
      </c>
      <c r="C6292">
        <v>202402</v>
      </c>
      <c r="D6292" t="str">
        <f t="shared" si="98"/>
        <v>2024</v>
      </c>
      <c r="E6292">
        <v>148</v>
      </c>
      <c r="F6292">
        <v>79756</v>
      </c>
      <c r="G6292">
        <v>0.19</v>
      </c>
      <c r="H6292" t="s">
        <v>10</v>
      </c>
      <c r="I6292" t="s">
        <v>11</v>
      </c>
    </row>
    <row r="6293" spans="1:9" hidden="1" x14ac:dyDescent="0.25">
      <c r="A6293" t="s">
        <v>17</v>
      </c>
      <c r="B6293" t="s">
        <v>110</v>
      </c>
      <c r="C6293">
        <v>202403</v>
      </c>
      <c r="D6293" t="str">
        <f t="shared" si="98"/>
        <v>2024</v>
      </c>
      <c r="E6293">
        <v>211</v>
      </c>
      <c r="F6293">
        <v>79756</v>
      </c>
      <c r="G6293">
        <v>0.26</v>
      </c>
      <c r="H6293" t="s">
        <v>10</v>
      </c>
      <c r="I6293" t="s">
        <v>11</v>
      </c>
    </row>
    <row r="6294" spans="1:9" hidden="1" x14ac:dyDescent="0.25">
      <c r="A6294" t="s">
        <v>17</v>
      </c>
      <c r="B6294" t="s">
        <v>110</v>
      </c>
      <c r="C6294">
        <v>202404</v>
      </c>
      <c r="D6294" t="str">
        <f t="shared" si="98"/>
        <v>2024</v>
      </c>
      <c r="E6294">
        <v>432</v>
      </c>
      <c r="F6294">
        <v>79756</v>
      </c>
      <c r="G6294">
        <v>0.54</v>
      </c>
      <c r="H6294" t="s">
        <v>10</v>
      </c>
      <c r="I6294" t="s">
        <v>11</v>
      </c>
    </row>
    <row r="6295" spans="1:9" hidden="1" x14ac:dyDescent="0.25">
      <c r="A6295" t="s">
        <v>17</v>
      </c>
      <c r="B6295" t="s">
        <v>110</v>
      </c>
      <c r="C6295">
        <v>202405</v>
      </c>
      <c r="D6295" t="str">
        <f t="shared" si="98"/>
        <v>2024</v>
      </c>
      <c r="E6295">
        <v>662</v>
      </c>
      <c r="F6295">
        <v>79756</v>
      </c>
      <c r="G6295">
        <v>0.83</v>
      </c>
      <c r="H6295" t="s">
        <v>10</v>
      </c>
      <c r="I6295" t="s">
        <v>11</v>
      </c>
    </row>
    <row r="6296" spans="1:9" hidden="1" x14ac:dyDescent="0.25">
      <c r="A6296" t="s">
        <v>17</v>
      </c>
      <c r="B6296" t="s">
        <v>110</v>
      </c>
      <c r="C6296">
        <v>202406</v>
      </c>
      <c r="D6296" t="str">
        <f t="shared" si="98"/>
        <v>2024</v>
      </c>
      <c r="E6296">
        <v>655</v>
      </c>
      <c r="F6296">
        <v>79756</v>
      </c>
      <c r="G6296">
        <v>0.82</v>
      </c>
      <c r="H6296" t="s">
        <v>10</v>
      </c>
      <c r="I6296" t="s">
        <v>11</v>
      </c>
    </row>
    <row r="6297" spans="1:9" hidden="1" x14ac:dyDescent="0.25">
      <c r="A6297" t="s">
        <v>17</v>
      </c>
      <c r="B6297" t="s">
        <v>110</v>
      </c>
      <c r="C6297">
        <v>202407</v>
      </c>
      <c r="D6297" t="str">
        <f t="shared" si="98"/>
        <v>2024</v>
      </c>
      <c r="E6297">
        <v>617</v>
      </c>
      <c r="F6297">
        <v>79756</v>
      </c>
      <c r="G6297">
        <v>0.77</v>
      </c>
      <c r="H6297" t="s">
        <v>10</v>
      </c>
      <c r="I6297" t="s">
        <v>11</v>
      </c>
    </row>
    <row r="6298" spans="1:9" hidden="1" x14ac:dyDescent="0.25">
      <c r="A6298" t="s">
        <v>17</v>
      </c>
      <c r="B6298" t="s">
        <v>110</v>
      </c>
      <c r="C6298">
        <v>202408</v>
      </c>
      <c r="D6298" t="str">
        <f t="shared" si="98"/>
        <v>2024</v>
      </c>
      <c r="E6298">
        <v>745</v>
      </c>
      <c r="F6298">
        <v>79756</v>
      </c>
      <c r="G6298">
        <v>0.93</v>
      </c>
      <c r="H6298" t="s">
        <v>10</v>
      </c>
      <c r="I6298" t="s">
        <v>11</v>
      </c>
    </row>
    <row r="6299" spans="1:9" hidden="1" x14ac:dyDescent="0.25">
      <c r="A6299" t="s">
        <v>17</v>
      </c>
      <c r="B6299" t="s">
        <v>110</v>
      </c>
      <c r="C6299">
        <v>202409</v>
      </c>
      <c r="D6299" t="str">
        <f t="shared" si="98"/>
        <v>2024</v>
      </c>
      <c r="E6299">
        <v>901</v>
      </c>
      <c r="F6299">
        <v>79756</v>
      </c>
      <c r="G6299">
        <v>1.1299999999999999</v>
      </c>
      <c r="H6299" t="s">
        <v>10</v>
      </c>
      <c r="I6299" t="s">
        <v>11</v>
      </c>
    </row>
    <row r="6300" spans="1:9" hidden="1" x14ac:dyDescent="0.25">
      <c r="A6300" t="s">
        <v>17</v>
      </c>
      <c r="B6300" t="s">
        <v>110</v>
      </c>
      <c r="C6300">
        <v>202410</v>
      </c>
      <c r="D6300" t="str">
        <f t="shared" si="98"/>
        <v>2024</v>
      </c>
      <c r="E6300">
        <v>1170</v>
      </c>
      <c r="F6300">
        <v>79756</v>
      </c>
      <c r="G6300">
        <v>1.47</v>
      </c>
      <c r="H6300" t="s">
        <v>10</v>
      </c>
      <c r="I6300" t="s">
        <v>11</v>
      </c>
    </row>
    <row r="6301" spans="1:9" hidden="1" x14ac:dyDescent="0.25">
      <c r="A6301" t="s">
        <v>17</v>
      </c>
      <c r="B6301" t="s">
        <v>110</v>
      </c>
      <c r="C6301">
        <v>202411</v>
      </c>
      <c r="D6301" t="str">
        <f t="shared" si="98"/>
        <v>2024</v>
      </c>
      <c r="E6301">
        <v>1940</v>
      </c>
      <c r="F6301">
        <v>79756</v>
      </c>
      <c r="G6301">
        <v>2.4300000000000002</v>
      </c>
      <c r="H6301" t="s">
        <v>10</v>
      </c>
      <c r="I6301" t="s">
        <v>11</v>
      </c>
    </row>
    <row r="6302" spans="1:9" hidden="1" x14ac:dyDescent="0.25">
      <c r="A6302" t="s">
        <v>17</v>
      </c>
      <c r="B6302" t="s">
        <v>110</v>
      </c>
      <c r="C6302">
        <v>202412</v>
      </c>
      <c r="D6302" t="str">
        <f t="shared" si="98"/>
        <v>2024</v>
      </c>
      <c r="E6302">
        <v>2132</v>
      </c>
      <c r="F6302">
        <v>79756</v>
      </c>
      <c r="G6302">
        <v>2.67</v>
      </c>
      <c r="H6302" t="s">
        <v>10</v>
      </c>
      <c r="I6302" t="s">
        <v>11</v>
      </c>
    </row>
    <row r="6303" spans="1:9" x14ac:dyDescent="0.25">
      <c r="A6303" t="s">
        <v>17</v>
      </c>
      <c r="B6303" t="s">
        <v>110</v>
      </c>
      <c r="C6303">
        <v>202501</v>
      </c>
      <c r="D6303" t="str">
        <f t="shared" si="98"/>
        <v>2025</v>
      </c>
      <c r="E6303">
        <v>7155</v>
      </c>
      <c r="F6303">
        <v>79756</v>
      </c>
      <c r="G6303">
        <v>8.9700000000000006</v>
      </c>
      <c r="H6303" t="s">
        <v>10</v>
      </c>
      <c r="I6303" t="s">
        <v>11</v>
      </c>
    </row>
    <row r="6304" spans="1:9" x14ac:dyDescent="0.25">
      <c r="A6304" t="s">
        <v>17</v>
      </c>
      <c r="B6304" t="s">
        <v>110</v>
      </c>
      <c r="C6304">
        <v>202502</v>
      </c>
      <c r="D6304" t="str">
        <f t="shared" si="98"/>
        <v>2025</v>
      </c>
      <c r="E6304">
        <v>34691</v>
      </c>
      <c r="F6304">
        <v>79756</v>
      </c>
      <c r="G6304">
        <v>43.5</v>
      </c>
      <c r="H6304" t="s">
        <v>10</v>
      </c>
      <c r="I6304" t="s">
        <v>11</v>
      </c>
    </row>
    <row r="6305" spans="1:9" x14ac:dyDescent="0.25">
      <c r="A6305" t="s">
        <v>17</v>
      </c>
      <c r="B6305" t="s">
        <v>110</v>
      </c>
      <c r="C6305">
        <v>202503</v>
      </c>
      <c r="D6305" t="str">
        <f t="shared" si="98"/>
        <v>2025</v>
      </c>
      <c r="E6305">
        <v>27264</v>
      </c>
      <c r="F6305">
        <v>79756</v>
      </c>
      <c r="G6305">
        <v>34.18</v>
      </c>
      <c r="H6305" t="s">
        <v>10</v>
      </c>
      <c r="I6305" t="s">
        <v>11</v>
      </c>
    </row>
    <row r="6306" spans="1:9" hidden="1" x14ac:dyDescent="0.25">
      <c r="A6306" t="s">
        <v>17</v>
      </c>
      <c r="B6306" t="s">
        <v>89</v>
      </c>
      <c r="C6306">
        <v>201512</v>
      </c>
      <c r="D6306" t="str">
        <f t="shared" si="98"/>
        <v>2015</v>
      </c>
      <c r="E6306">
        <v>2</v>
      </c>
      <c r="F6306">
        <v>68958</v>
      </c>
      <c r="G6306">
        <v>0</v>
      </c>
      <c r="H6306" t="s">
        <v>10</v>
      </c>
      <c r="I6306" t="s">
        <v>11</v>
      </c>
    </row>
    <row r="6307" spans="1:9" hidden="1" x14ac:dyDescent="0.25">
      <c r="A6307" t="s">
        <v>17</v>
      </c>
      <c r="B6307" t="s">
        <v>89</v>
      </c>
      <c r="C6307">
        <v>201907</v>
      </c>
      <c r="D6307" t="str">
        <f t="shared" si="98"/>
        <v>2019</v>
      </c>
      <c r="E6307">
        <v>25</v>
      </c>
      <c r="F6307">
        <v>68958</v>
      </c>
      <c r="G6307">
        <v>0.04</v>
      </c>
      <c r="H6307" t="s">
        <v>10</v>
      </c>
      <c r="I6307" t="s">
        <v>11</v>
      </c>
    </row>
    <row r="6308" spans="1:9" hidden="1" x14ac:dyDescent="0.25">
      <c r="A6308" t="s">
        <v>17</v>
      </c>
      <c r="B6308" t="s">
        <v>89</v>
      </c>
      <c r="C6308">
        <v>202207</v>
      </c>
      <c r="D6308" t="str">
        <f t="shared" si="98"/>
        <v>2022</v>
      </c>
      <c r="E6308">
        <v>2</v>
      </c>
      <c r="F6308">
        <v>68958</v>
      </c>
      <c r="G6308">
        <v>0</v>
      </c>
      <c r="H6308" t="s">
        <v>10</v>
      </c>
      <c r="I6308" t="s">
        <v>11</v>
      </c>
    </row>
    <row r="6309" spans="1:9" hidden="1" x14ac:dyDescent="0.25">
      <c r="A6309" t="s">
        <v>17</v>
      </c>
      <c r="B6309" t="s">
        <v>89</v>
      </c>
      <c r="C6309">
        <v>202209</v>
      </c>
      <c r="D6309" t="str">
        <f t="shared" si="98"/>
        <v>2022</v>
      </c>
      <c r="E6309">
        <v>4</v>
      </c>
      <c r="F6309">
        <v>68958</v>
      </c>
      <c r="G6309">
        <v>0.01</v>
      </c>
      <c r="H6309" t="s">
        <v>10</v>
      </c>
      <c r="I6309" t="s">
        <v>11</v>
      </c>
    </row>
    <row r="6310" spans="1:9" hidden="1" x14ac:dyDescent="0.25">
      <c r="A6310" t="s">
        <v>17</v>
      </c>
      <c r="B6310" t="s">
        <v>89</v>
      </c>
      <c r="C6310">
        <v>202210</v>
      </c>
      <c r="D6310" t="str">
        <f t="shared" si="98"/>
        <v>2022</v>
      </c>
      <c r="E6310">
        <v>8</v>
      </c>
      <c r="F6310">
        <v>68958</v>
      </c>
      <c r="G6310">
        <v>0.01</v>
      </c>
      <c r="H6310" t="s">
        <v>10</v>
      </c>
      <c r="I6310" t="s">
        <v>11</v>
      </c>
    </row>
    <row r="6311" spans="1:9" hidden="1" x14ac:dyDescent="0.25">
      <c r="A6311" t="s">
        <v>17</v>
      </c>
      <c r="B6311" t="s">
        <v>89</v>
      </c>
      <c r="C6311">
        <v>202211</v>
      </c>
      <c r="D6311" t="str">
        <f t="shared" si="98"/>
        <v>2022</v>
      </c>
      <c r="E6311">
        <v>5</v>
      </c>
      <c r="F6311">
        <v>68958</v>
      </c>
      <c r="G6311">
        <v>0.01</v>
      </c>
      <c r="H6311" t="s">
        <v>10</v>
      </c>
      <c r="I6311" t="s">
        <v>11</v>
      </c>
    </row>
    <row r="6312" spans="1:9" hidden="1" x14ac:dyDescent="0.25">
      <c r="A6312" t="s">
        <v>17</v>
      </c>
      <c r="B6312" t="s">
        <v>89</v>
      </c>
      <c r="C6312">
        <v>202212</v>
      </c>
      <c r="D6312" t="str">
        <f t="shared" si="98"/>
        <v>2022</v>
      </c>
      <c r="E6312">
        <v>5</v>
      </c>
      <c r="F6312">
        <v>68958</v>
      </c>
      <c r="G6312">
        <v>0.01</v>
      </c>
      <c r="H6312" t="s">
        <v>10</v>
      </c>
      <c r="I6312" t="s">
        <v>11</v>
      </c>
    </row>
    <row r="6313" spans="1:9" hidden="1" x14ac:dyDescent="0.25">
      <c r="A6313" t="s">
        <v>17</v>
      </c>
      <c r="B6313" t="s">
        <v>89</v>
      </c>
      <c r="C6313">
        <v>202301</v>
      </c>
      <c r="D6313" t="str">
        <f t="shared" si="98"/>
        <v>2023</v>
      </c>
      <c r="E6313">
        <v>34</v>
      </c>
      <c r="F6313">
        <v>68958</v>
      </c>
      <c r="G6313">
        <v>0.05</v>
      </c>
      <c r="H6313" t="s">
        <v>10</v>
      </c>
      <c r="I6313" t="s">
        <v>11</v>
      </c>
    </row>
    <row r="6314" spans="1:9" hidden="1" x14ac:dyDescent="0.25">
      <c r="A6314" t="s">
        <v>17</v>
      </c>
      <c r="B6314" t="s">
        <v>89</v>
      </c>
      <c r="C6314">
        <v>202302</v>
      </c>
      <c r="D6314" t="str">
        <f t="shared" si="98"/>
        <v>2023</v>
      </c>
      <c r="E6314">
        <v>13</v>
      </c>
      <c r="F6314">
        <v>68958</v>
      </c>
      <c r="G6314">
        <v>0.02</v>
      </c>
      <c r="H6314" t="s">
        <v>10</v>
      </c>
      <c r="I6314" t="s">
        <v>11</v>
      </c>
    </row>
    <row r="6315" spans="1:9" hidden="1" x14ac:dyDescent="0.25">
      <c r="A6315" t="s">
        <v>17</v>
      </c>
      <c r="B6315" t="s">
        <v>89</v>
      </c>
      <c r="C6315">
        <v>202303</v>
      </c>
      <c r="D6315" t="str">
        <f t="shared" si="98"/>
        <v>2023</v>
      </c>
      <c r="E6315">
        <v>7</v>
      </c>
      <c r="F6315">
        <v>68958</v>
      </c>
      <c r="G6315">
        <v>0.01</v>
      </c>
      <c r="H6315" t="s">
        <v>10</v>
      </c>
      <c r="I6315" t="s">
        <v>11</v>
      </c>
    </row>
    <row r="6316" spans="1:9" hidden="1" x14ac:dyDescent="0.25">
      <c r="A6316" t="s">
        <v>17</v>
      </c>
      <c r="B6316" t="s">
        <v>89</v>
      </c>
      <c r="C6316">
        <v>202304</v>
      </c>
      <c r="D6316" t="str">
        <f t="shared" si="98"/>
        <v>2023</v>
      </c>
      <c r="E6316">
        <v>6</v>
      </c>
      <c r="F6316">
        <v>68958</v>
      </c>
      <c r="G6316">
        <v>0.01</v>
      </c>
      <c r="H6316" t="s">
        <v>10</v>
      </c>
      <c r="I6316" t="s">
        <v>11</v>
      </c>
    </row>
    <row r="6317" spans="1:9" hidden="1" x14ac:dyDescent="0.25">
      <c r="A6317" t="s">
        <v>17</v>
      </c>
      <c r="B6317" t="s">
        <v>89</v>
      </c>
      <c r="C6317">
        <v>202305</v>
      </c>
      <c r="D6317" t="str">
        <f t="shared" si="98"/>
        <v>2023</v>
      </c>
      <c r="E6317">
        <v>89</v>
      </c>
      <c r="F6317">
        <v>68958</v>
      </c>
      <c r="G6317">
        <v>0.13</v>
      </c>
      <c r="H6317" t="s">
        <v>10</v>
      </c>
      <c r="I6317" t="s">
        <v>11</v>
      </c>
    </row>
    <row r="6318" spans="1:9" hidden="1" x14ac:dyDescent="0.25">
      <c r="A6318" t="s">
        <v>17</v>
      </c>
      <c r="B6318" t="s">
        <v>89</v>
      </c>
      <c r="C6318">
        <v>202306</v>
      </c>
      <c r="D6318" t="str">
        <f t="shared" si="98"/>
        <v>2023</v>
      </c>
      <c r="E6318">
        <v>47</v>
      </c>
      <c r="F6318">
        <v>68958</v>
      </c>
      <c r="G6318">
        <v>7.0000000000000007E-2</v>
      </c>
      <c r="H6318" t="s">
        <v>10</v>
      </c>
      <c r="I6318" t="s">
        <v>11</v>
      </c>
    </row>
    <row r="6319" spans="1:9" hidden="1" x14ac:dyDescent="0.25">
      <c r="A6319" t="s">
        <v>17</v>
      </c>
      <c r="B6319" t="s">
        <v>89</v>
      </c>
      <c r="C6319">
        <v>202307</v>
      </c>
      <c r="D6319" t="str">
        <f t="shared" si="98"/>
        <v>2023</v>
      </c>
      <c r="E6319">
        <v>72</v>
      </c>
      <c r="F6319">
        <v>68958</v>
      </c>
      <c r="G6319">
        <v>0.1</v>
      </c>
      <c r="H6319" t="s">
        <v>10</v>
      </c>
      <c r="I6319" t="s">
        <v>11</v>
      </c>
    </row>
    <row r="6320" spans="1:9" hidden="1" x14ac:dyDescent="0.25">
      <c r="A6320" t="s">
        <v>17</v>
      </c>
      <c r="B6320" t="s">
        <v>89</v>
      </c>
      <c r="C6320">
        <v>202308</v>
      </c>
      <c r="D6320" t="str">
        <f t="shared" si="98"/>
        <v>2023</v>
      </c>
      <c r="E6320">
        <v>261</v>
      </c>
      <c r="F6320">
        <v>68958</v>
      </c>
      <c r="G6320">
        <v>0.38</v>
      </c>
      <c r="H6320" t="s">
        <v>10</v>
      </c>
      <c r="I6320" t="s">
        <v>11</v>
      </c>
    </row>
    <row r="6321" spans="1:9" hidden="1" x14ac:dyDescent="0.25">
      <c r="A6321" t="s">
        <v>17</v>
      </c>
      <c r="B6321" t="s">
        <v>89</v>
      </c>
      <c r="C6321">
        <v>202309</v>
      </c>
      <c r="D6321" t="str">
        <f t="shared" si="98"/>
        <v>2023</v>
      </c>
      <c r="E6321">
        <v>1412</v>
      </c>
      <c r="F6321">
        <v>68958</v>
      </c>
      <c r="G6321">
        <v>2.0499999999999998</v>
      </c>
      <c r="H6321" t="s">
        <v>10</v>
      </c>
      <c r="I6321" t="s">
        <v>11</v>
      </c>
    </row>
    <row r="6322" spans="1:9" hidden="1" x14ac:dyDescent="0.25">
      <c r="A6322" t="s">
        <v>17</v>
      </c>
      <c r="B6322" t="s">
        <v>89</v>
      </c>
      <c r="C6322">
        <v>202310</v>
      </c>
      <c r="D6322" t="str">
        <f t="shared" si="98"/>
        <v>2023</v>
      </c>
      <c r="E6322">
        <v>82</v>
      </c>
      <c r="F6322">
        <v>68958</v>
      </c>
      <c r="G6322">
        <v>0.12</v>
      </c>
      <c r="H6322" t="s">
        <v>10</v>
      </c>
      <c r="I6322" t="s">
        <v>11</v>
      </c>
    </row>
    <row r="6323" spans="1:9" hidden="1" x14ac:dyDescent="0.25">
      <c r="A6323" t="s">
        <v>17</v>
      </c>
      <c r="B6323" t="s">
        <v>89</v>
      </c>
      <c r="C6323">
        <v>202311</v>
      </c>
      <c r="D6323" t="str">
        <f t="shared" si="98"/>
        <v>2023</v>
      </c>
      <c r="E6323">
        <v>169</v>
      </c>
      <c r="F6323">
        <v>68958</v>
      </c>
      <c r="G6323">
        <v>0.25</v>
      </c>
      <c r="H6323" t="s">
        <v>10</v>
      </c>
      <c r="I6323" t="s">
        <v>11</v>
      </c>
    </row>
    <row r="6324" spans="1:9" hidden="1" x14ac:dyDescent="0.25">
      <c r="A6324" t="s">
        <v>17</v>
      </c>
      <c r="B6324" t="s">
        <v>89</v>
      </c>
      <c r="C6324">
        <v>202312</v>
      </c>
      <c r="D6324" t="str">
        <f t="shared" si="98"/>
        <v>2023</v>
      </c>
      <c r="E6324">
        <v>82</v>
      </c>
      <c r="F6324">
        <v>68958</v>
      </c>
      <c r="G6324">
        <v>0.12</v>
      </c>
      <c r="H6324" t="s">
        <v>10</v>
      </c>
      <c r="I6324" t="s">
        <v>11</v>
      </c>
    </row>
    <row r="6325" spans="1:9" hidden="1" x14ac:dyDescent="0.25">
      <c r="A6325" t="s">
        <v>17</v>
      </c>
      <c r="B6325" t="s">
        <v>89</v>
      </c>
      <c r="C6325">
        <v>202401</v>
      </c>
      <c r="D6325" t="str">
        <f t="shared" si="98"/>
        <v>2024</v>
      </c>
      <c r="E6325">
        <v>165</v>
      </c>
      <c r="F6325">
        <v>68958</v>
      </c>
      <c r="G6325">
        <v>0.24</v>
      </c>
      <c r="H6325" t="s">
        <v>10</v>
      </c>
      <c r="I6325" t="s">
        <v>11</v>
      </c>
    </row>
    <row r="6326" spans="1:9" hidden="1" x14ac:dyDescent="0.25">
      <c r="A6326" t="s">
        <v>17</v>
      </c>
      <c r="B6326" t="s">
        <v>89</v>
      </c>
      <c r="C6326">
        <v>202402</v>
      </c>
      <c r="D6326" t="str">
        <f t="shared" si="98"/>
        <v>2024</v>
      </c>
      <c r="E6326">
        <v>101</v>
      </c>
      <c r="F6326">
        <v>68958</v>
      </c>
      <c r="G6326">
        <v>0.15</v>
      </c>
      <c r="H6326" t="s">
        <v>10</v>
      </c>
      <c r="I6326" t="s">
        <v>11</v>
      </c>
    </row>
    <row r="6327" spans="1:9" hidden="1" x14ac:dyDescent="0.25">
      <c r="A6327" t="s">
        <v>17</v>
      </c>
      <c r="B6327" t="s">
        <v>89</v>
      </c>
      <c r="C6327">
        <v>202403</v>
      </c>
      <c r="D6327" t="str">
        <f t="shared" si="98"/>
        <v>2024</v>
      </c>
      <c r="E6327">
        <v>103</v>
      </c>
      <c r="F6327">
        <v>68958</v>
      </c>
      <c r="G6327">
        <v>0.15</v>
      </c>
      <c r="H6327" t="s">
        <v>10</v>
      </c>
      <c r="I6327" t="s">
        <v>11</v>
      </c>
    </row>
    <row r="6328" spans="1:9" hidden="1" x14ac:dyDescent="0.25">
      <c r="A6328" t="s">
        <v>17</v>
      </c>
      <c r="B6328" t="s">
        <v>89</v>
      </c>
      <c r="C6328">
        <v>202404</v>
      </c>
      <c r="D6328" t="str">
        <f t="shared" si="98"/>
        <v>2024</v>
      </c>
      <c r="E6328">
        <v>93</v>
      </c>
      <c r="F6328">
        <v>68958</v>
      </c>
      <c r="G6328">
        <v>0.13</v>
      </c>
      <c r="H6328" t="s">
        <v>10</v>
      </c>
      <c r="I6328" t="s">
        <v>11</v>
      </c>
    </row>
    <row r="6329" spans="1:9" hidden="1" x14ac:dyDescent="0.25">
      <c r="A6329" t="s">
        <v>17</v>
      </c>
      <c r="B6329" t="s">
        <v>89</v>
      </c>
      <c r="C6329">
        <v>202405</v>
      </c>
      <c r="D6329" t="str">
        <f t="shared" si="98"/>
        <v>2024</v>
      </c>
      <c r="E6329">
        <v>146</v>
      </c>
      <c r="F6329">
        <v>68958</v>
      </c>
      <c r="G6329">
        <v>0.21</v>
      </c>
      <c r="H6329" t="s">
        <v>10</v>
      </c>
      <c r="I6329" t="s">
        <v>11</v>
      </c>
    </row>
    <row r="6330" spans="1:9" hidden="1" x14ac:dyDescent="0.25">
      <c r="A6330" t="s">
        <v>17</v>
      </c>
      <c r="B6330" t="s">
        <v>89</v>
      </c>
      <c r="C6330">
        <v>202406</v>
      </c>
      <c r="D6330" t="str">
        <f t="shared" si="98"/>
        <v>2024</v>
      </c>
      <c r="E6330">
        <v>605</v>
      </c>
      <c r="F6330">
        <v>68958</v>
      </c>
      <c r="G6330">
        <v>0.88</v>
      </c>
      <c r="H6330" t="s">
        <v>10</v>
      </c>
      <c r="I6330" t="s">
        <v>11</v>
      </c>
    </row>
    <row r="6331" spans="1:9" hidden="1" x14ac:dyDescent="0.25">
      <c r="A6331" t="s">
        <v>17</v>
      </c>
      <c r="B6331" t="s">
        <v>89</v>
      </c>
      <c r="C6331">
        <v>202407</v>
      </c>
      <c r="D6331" t="str">
        <f t="shared" si="98"/>
        <v>2024</v>
      </c>
      <c r="E6331">
        <v>498</v>
      </c>
      <c r="F6331">
        <v>68958</v>
      </c>
      <c r="G6331">
        <v>0.72</v>
      </c>
      <c r="H6331" t="s">
        <v>10</v>
      </c>
      <c r="I6331" t="s">
        <v>11</v>
      </c>
    </row>
    <row r="6332" spans="1:9" hidden="1" x14ac:dyDescent="0.25">
      <c r="A6332" t="s">
        <v>17</v>
      </c>
      <c r="B6332" t="s">
        <v>89</v>
      </c>
      <c r="C6332">
        <v>202408</v>
      </c>
      <c r="D6332" t="str">
        <f t="shared" si="98"/>
        <v>2024</v>
      </c>
      <c r="E6332">
        <v>307</v>
      </c>
      <c r="F6332">
        <v>68958</v>
      </c>
      <c r="G6332">
        <v>0.45</v>
      </c>
      <c r="H6332" t="s">
        <v>10</v>
      </c>
      <c r="I6332" t="s">
        <v>11</v>
      </c>
    </row>
    <row r="6333" spans="1:9" hidden="1" x14ac:dyDescent="0.25">
      <c r="A6333" t="s">
        <v>17</v>
      </c>
      <c r="B6333" t="s">
        <v>89</v>
      </c>
      <c r="C6333">
        <v>202409</v>
      </c>
      <c r="D6333" t="str">
        <f t="shared" si="98"/>
        <v>2024</v>
      </c>
      <c r="E6333">
        <v>555</v>
      </c>
      <c r="F6333">
        <v>68958</v>
      </c>
      <c r="G6333">
        <v>0.8</v>
      </c>
      <c r="H6333" t="s">
        <v>10</v>
      </c>
      <c r="I6333" t="s">
        <v>11</v>
      </c>
    </row>
    <row r="6334" spans="1:9" hidden="1" x14ac:dyDescent="0.25">
      <c r="A6334" t="s">
        <v>17</v>
      </c>
      <c r="B6334" t="s">
        <v>89</v>
      </c>
      <c r="C6334">
        <v>202410</v>
      </c>
      <c r="D6334" t="str">
        <f t="shared" si="98"/>
        <v>2024</v>
      </c>
      <c r="E6334">
        <v>783</v>
      </c>
      <c r="F6334">
        <v>68958</v>
      </c>
      <c r="G6334">
        <v>1.1399999999999999</v>
      </c>
      <c r="H6334" t="s">
        <v>10</v>
      </c>
      <c r="I6334" t="s">
        <v>11</v>
      </c>
    </row>
    <row r="6335" spans="1:9" hidden="1" x14ac:dyDescent="0.25">
      <c r="A6335" t="s">
        <v>17</v>
      </c>
      <c r="B6335" t="s">
        <v>89</v>
      </c>
      <c r="C6335">
        <v>202411</v>
      </c>
      <c r="D6335" t="str">
        <f t="shared" si="98"/>
        <v>2024</v>
      </c>
      <c r="E6335">
        <v>565</v>
      </c>
      <c r="F6335">
        <v>68958</v>
      </c>
      <c r="G6335">
        <v>0.82</v>
      </c>
      <c r="H6335" t="s">
        <v>10</v>
      </c>
      <c r="I6335" t="s">
        <v>11</v>
      </c>
    </row>
    <row r="6336" spans="1:9" hidden="1" x14ac:dyDescent="0.25">
      <c r="A6336" t="s">
        <v>17</v>
      </c>
      <c r="B6336" t="s">
        <v>89</v>
      </c>
      <c r="C6336">
        <v>202412</v>
      </c>
      <c r="D6336" t="str">
        <f t="shared" si="98"/>
        <v>2024</v>
      </c>
      <c r="E6336">
        <v>615</v>
      </c>
      <c r="F6336">
        <v>68958</v>
      </c>
      <c r="G6336">
        <v>0.89</v>
      </c>
      <c r="H6336" t="s">
        <v>10</v>
      </c>
      <c r="I6336" t="s">
        <v>11</v>
      </c>
    </row>
    <row r="6337" spans="1:9" x14ac:dyDescent="0.25">
      <c r="A6337" t="s">
        <v>17</v>
      </c>
      <c r="B6337" t="s">
        <v>89</v>
      </c>
      <c r="C6337">
        <v>202501</v>
      </c>
      <c r="D6337" t="str">
        <f t="shared" si="98"/>
        <v>2025</v>
      </c>
      <c r="E6337">
        <v>2311</v>
      </c>
      <c r="F6337">
        <v>68958</v>
      </c>
      <c r="G6337">
        <v>3.35</v>
      </c>
      <c r="H6337" t="s">
        <v>10</v>
      </c>
      <c r="I6337" t="s">
        <v>11</v>
      </c>
    </row>
    <row r="6338" spans="1:9" x14ac:dyDescent="0.25">
      <c r="A6338" t="s">
        <v>17</v>
      </c>
      <c r="B6338" t="s">
        <v>89</v>
      </c>
      <c r="C6338">
        <v>202502</v>
      </c>
      <c r="D6338" t="str">
        <f t="shared" si="98"/>
        <v>2025</v>
      </c>
      <c r="E6338">
        <v>5036</v>
      </c>
      <c r="F6338">
        <v>68958</v>
      </c>
      <c r="G6338">
        <v>7.3</v>
      </c>
      <c r="H6338" t="s">
        <v>10</v>
      </c>
      <c r="I6338" t="s">
        <v>11</v>
      </c>
    </row>
    <row r="6339" spans="1:9" x14ac:dyDescent="0.25">
      <c r="A6339" t="s">
        <v>17</v>
      </c>
      <c r="B6339" t="s">
        <v>89</v>
      </c>
      <c r="C6339">
        <v>202503</v>
      </c>
      <c r="D6339" t="str">
        <f t="shared" ref="D6339:D6402" si="99">LEFT(C6339,4)</f>
        <v>2025</v>
      </c>
      <c r="E6339">
        <v>31586</v>
      </c>
      <c r="F6339">
        <v>68958</v>
      </c>
      <c r="G6339">
        <v>45.8</v>
      </c>
      <c r="H6339" t="s">
        <v>10</v>
      </c>
      <c r="I6339" t="s">
        <v>11</v>
      </c>
    </row>
    <row r="6340" spans="1:9" x14ac:dyDescent="0.25">
      <c r="A6340" t="s">
        <v>17</v>
      </c>
      <c r="B6340" t="s">
        <v>89</v>
      </c>
      <c r="C6340">
        <v>202504</v>
      </c>
      <c r="D6340" t="str">
        <f t="shared" si="99"/>
        <v>2025</v>
      </c>
      <c r="E6340">
        <v>23164</v>
      </c>
      <c r="F6340">
        <v>68958</v>
      </c>
      <c r="G6340">
        <v>33.590000000000003</v>
      </c>
      <c r="H6340" t="s">
        <v>10</v>
      </c>
      <c r="I6340" t="s">
        <v>11</v>
      </c>
    </row>
    <row r="6341" spans="1:9" hidden="1" x14ac:dyDescent="0.25">
      <c r="A6341" t="s">
        <v>17</v>
      </c>
      <c r="B6341" t="s">
        <v>139</v>
      </c>
      <c r="C6341">
        <v>202206</v>
      </c>
      <c r="D6341" t="str">
        <f t="shared" si="99"/>
        <v>2022</v>
      </c>
      <c r="E6341">
        <v>3</v>
      </c>
      <c r="F6341">
        <v>88081</v>
      </c>
      <c r="G6341">
        <v>0</v>
      </c>
      <c r="H6341" t="s">
        <v>10</v>
      </c>
      <c r="I6341" t="s">
        <v>11</v>
      </c>
    </row>
    <row r="6342" spans="1:9" hidden="1" x14ac:dyDescent="0.25">
      <c r="A6342" t="s">
        <v>17</v>
      </c>
      <c r="B6342" t="s">
        <v>139</v>
      </c>
      <c r="C6342">
        <v>202209</v>
      </c>
      <c r="D6342" t="str">
        <f t="shared" si="99"/>
        <v>2022</v>
      </c>
      <c r="E6342">
        <v>13</v>
      </c>
      <c r="F6342">
        <v>88081</v>
      </c>
      <c r="G6342">
        <v>0.01</v>
      </c>
      <c r="H6342" t="s">
        <v>10</v>
      </c>
      <c r="I6342" t="s">
        <v>11</v>
      </c>
    </row>
    <row r="6343" spans="1:9" hidden="1" x14ac:dyDescent="0.25">
      <c r="A6343" t="s">
        <v>17</v>
      </c>
      <c r="B6343" t="s">
        <v>139</v>
      </c>
      <c r="C6343">
        <v>202210</v>
      </c>
      <c r="D6343" t="str">
        <f t="shared" si="99"/>
        <v>2022</v>
      </c>
      <c r="E6343">
        <v>2</v>
      </c>
      <c r="F6343">
        <v>88081</v>
      </c>
      <c r="G6343">
        <v>0</v>
      </c>
      <c r="H6343" t="s">
        <v>10</v>
      </c>
      <c r="I6343" t="s">
        <v>11</v>
      </c>
    </row>
    <row r="6344" spans="1:9" hidden="1" x14ac:dyDescent="0.25">
      <c r="A6344" t="s">
        <v>17</v>
      </c>
      <c r="B6344" t="s">
        <v>139</v>
      </c>
      <c r="C6344">
        <v>202212</v>
      </c>
      <c r="D6344" t="str">
        <f t="shared" si="99"/>
        <v>2022</v>
      </c>
      <c r="E6344">
        <v>24</v>
      </c>
      <c r="F6344">
        <v>88081</v>
      </c>
      <c r="G6344">
        <v>0.03</v>
      </c>
      <c r="H6344" t="s">
        <v>10</v>
      </c>
      <c r="I6344" t="s">
        <v>11</v>
      </c>
    </row>
    <row r="6345" spans="1:9" hidden="1" x14ac:dyDescent="0.25">
      <c r="A6345" t="s">
        <v>17</v>
      </c>
      <c r="B6345" t="s">
        <v>139</v>
      </c>
      <c r="C6345">
        <v>202301</v>
      </c>
      <c r="D6345" t="str">
        <f t="shared" si="99"/>
        <v>2023</v>
      </c>
      <c r="E6345">
        <v>5</v>
      </c>
      <c r="F6345">
        <v>88081</v>
      </c>
      <c r="G6345">
        <v>0.01</v>
      </c>
      <c r="H6345" t="s">
        <v>10</v>
      </c>
      <c r="I6345" t="s">
        <v>11</v>
      </c>
    </row>
    <row r="6346" spans="1:9" hidden="1" x14ac:dyDescent="0.25">
      <c r="A6346" t="s">
        <v>17</v>
      </c>
      <c r="B6346" t="s">
        <v>139</v>
      </c>
      <c r="C6346">
        <v>202302</v>
      </c>
      <c r="D6346" t="str">
        <f t="shared" si="99"/>
        <v>2023</v>
      </c>
      <c r="E6346">
        <v>15</v>
      </c>
      <c r="F6346">
        <v>88081</v>
      </c>
      <c r="G6346">
        <v>0.02</v>
      </c>
      <c r="H6346" t="s">
        <v>10</v>
      </c>
      <c r="I6346" t="s">
        <v>11</v>
      </c>
    </row>
    <row r="6347" spans="1:9" hidden="1" x14ac:dyDescent="0.25">
      <c r="A6347" t="s">
        <v>17</v>
      </c>
      <c r="B6347" t="s">
        <v>139</v>
      </c>
      <c r="C6347">
        <v>202303</v>
      </c>
      <c r="D6347" t="str">
        <f t="shared" si="99"/>
        <v>2023</v>
      </c>
      <c r="E6347">
        <v>7</v>
      </c>
      <c r="F6347">
        <v>88081</v>
      </c>
      <c r="G6347">
        <v>0.01</v>
      </c>
      <c r="H6347" t="s">
        <v>10</v>
      </c>
      <c r="I6347" t="s">
        <v>11</v>
      </c>
    </row>
    <row r="6348" spans="1:9" hidden="1" x14ac:dyDescent="0.25">
      <c r="A6348" t="s">
        <v>17</v>
      </c>
      <c r="B6348" t="s">
        <v>139</v>
      </c>
      <c r="C6348">
        <v>202304</v>
      </c>
      <c r="D6348" t="str">
        <f t="shared" si="99"/>
        <v>2023</v>
      </c>
      <c r="E6348">
        <v>6</v>
      </c>
      <c r="F6348">
        <v>88081</v>
      </c>
      <c r="G6348">
        <v>0.01</v>
      </c>
      <c r="H6348" t="s">
        <v>10</v>
      </c>
      <c r="I6348" t="s">
        <v>11</v>
      </c>
    </row>
    <row r="6349" spans="1:9" hidden="1" x14ac:dyDescent="0.25">
      <c r="A6349" t="s">
        <v>17</v>
      </c>
      <c r="B6349" t="s">
        <v>139</v>
      </c>
      <c r="C6349">
        <v>202305</v>
      </c>
      <c r="D6349" t="str">
        <f t="shared" si="99"/>
        <v>2023</v>
      </c>
      <c r="E6349">
        <v>11</v>
      </c>
      <c r="F6349">
        <v>88081</v>
      </c>
      <c r="G6349">
        <v>0.01</v>
      </c>
      <c r="H6349" t="s">
        <v>10</v>
      </c>
      <c r="I6349" t="s">
        <v>11</v>
      </c>
    </row>
    <row r="6350" spans="1:9" hidden="1" x14ac:dyDescent="0.25">
      <c r="A6350" t="s">
        <v>17</v>
      </c>
      <c r="B6350" t="s">
        <v>139</v>
      </c>
      <c r="C6350">
        <v>202306</v>
      </c>
      <c r="D6350" t="str">
        <f t="shared" si="99"/>
        <v>2023</v>
      </c>
      <c r="E6350">
        <v>20</v>
      </c>
      <c r="F6350">
        <v>88081</v>
      </c>
      <c r="G6350">
        <v>0.02</v>
      </c>
      <c r="H6350" t="s">
        <v>10</v>
      </c>
      <c r="I6350" t="s">
        <v>11</v>
      </c>
    </row>
    <row r="6351" spans="1:9" hidden="1" x14ac:dyDescent="0.25">
      <c r="A6351" t="s">
        <v>17</v>
      </c>
      <c r="B6351" t="s">
        <v>139</v>
      </c>
      <c r="C6351">
        <v>202307</v>
      </c>
      <c r="D6351" t="str">
        <f t="shared" si="99"/>
        <v>2023</v>
      </c>
      <c r="E6351">
        <v>49</v>
      </c>
      <c r="F6351">
        <v>88081</v>
      </c>
      <c r="G6351">
        <v>0.06</v>
      </c>
      <c r="H6351" t="s">
        <v>10</v>
      </c>
      <c r="I6351" t="s">
        <v>11</v>
      </c>
    </row>
    <row r="6352" spans="1:9" hidden="1" x14ac:dyDescent="0.25">
      <c r="A6352" t="s">
        <v>17</v>
      </c>
      <c r="B6352" t="s">
        <v>139</v>
      </c>
      <c r="C6352">
        <v>202308</v>
      </c>
      <c r="D6352" t="str">
        <f t="shared" si="99"/>
        <v>2023</v>
      </c>
      <c r="E6352">
        <v>45</v>
      </c>
      <c r="F6352">
        <v>88081</v>
      </c>
      <c r="G6352">
        <v>0.05</v>
      </c>
      <c r="H6352" t="s">
        <v>10</v>
      </c>
      <c r="I6352" t="s">
        <v>11</v>
      </c>
    </row>
    <row r="6353" spans="1:9" hidden="1" x14ac:dyDescent="0.25">
      <c r="A6353" t="s">
        <v>17</v>
      </c>
      <c r="B6353" t="s">
        <v>139</v>
      </c>
      <c r="C6353">
        <v>202309</v>
      </c>
      <c r="D6353" t="str">
        <f t="shared" si="99"/>
        <v>2023</v>
      </c>
      <c r="E6353">
        <v>66</v>
      </c>
      <c r="F6353">
        <v>88081</v>
      </c>
      <c r="G6353">
        <v>7.0000000000000007E-2</v>
      </c>
      <c r="H6353" t="s">
        <v>10</v>
      </c>
      <c r="I6353" t="s">
        <v>11</v>
      </c>
    </row>
    <row r="6354" spans="1:9" hidden="1" x14ac:dyDescent="0.25">
      <c r="A6354" t="s">
        <v>17</v>
      </c>
      <c r="B6354" t="s">
        <v>139</v>
      </c>
      <c r="C6354">
        <v>202310</v>
      </c>
      <c r="D6354" t="str">
        <f t="shared" si="99"/>
        <v>2023</v>
      </c>
      <c r="E6354">
        <v>33</v>
      </c>
      <c r="F6354">
        <v>88081</v>
      </c>
      <c r="G6354">
        <v>0.04</v>
      </c>
      <c r="H6354" t="s">
        <v>10</v>
      </c>
      <c r="I6354" t="s">
        <v>11</v>
      </c>
    </row>
    <row r="6355" spans="1:9" hidden="1" x14ac:dyDescent="0.25">
      <c r="A6355" t="s">
        <v>17</v>
      </c>
      <c r="B6355" t="s">
        <v>139</v>
      </c>
      <c r="C6355">
        <v>202311</v>
      </c>
      <c r="D6355" t="str">
        <f t="shared" si="99"/>
        <v>2023</v>
      </c>
      <c r="E6355">
        <v>35</v>
      </c>
      <c r="F6355">
        <v>88081</v>
      </c>
      <c r="G6355">
        <v>0.04</v>
      </c>
      <c r="H6355" t="s">
        <v>10</v>
      </c>
      <c r="I6355" t="s">
        <v>11</v>
      </c>
    </row>
    <row r="6356" spans="1:9" hidden="1" x14ac:dyDescent="0.25">
      <c r="A6356" t="s">
        <v>17</v>
      </c>
      <c r="B6356" t="s">
        <v>139</v>
      </c>
      <c r="C6356">
        <v>202312</v>
      </c>
      <c r="D6356" t="str">
        <f t="shared" si="99"/>
        <v>2023</v>
      </c>
      <c r="E6356">
        <v>62</v>
      </c>
      <c r="F6356">
        <v>88081</v>
      </c>
      <c r="G6356">
        <v>7.0000000000000007E-2</v>
      </c>
      <c r="H6356" t="s">
        <v>10</v>
      </c>
      <c r="I6356" t="s">
        <v>11</v>
      </c>
    </row>
    <row r="6357" spans="1:9" hidden="1" x14ac:dyDescent="0.25">
      <c r="A6357" t="s">
        <v>17</v>
      </c>
      <c r="B6357" t="s">
        <v>139</v>
      </c>
      <c r="C6357">
        <v>202401</v>
      </c>
      <c r="D6357" t="str">
        <f t="shared" si="99"/>
        <v>2024</v>
      </c>
      <c r="E6357">
        <v>84</v>
      </c>
      <c r="F6357">
        <v>88081</v>
      </c>
      <c r="G6357">
        <v>0.1</v>
      </c>
      <c r="H6357" t="s">
        <v>10</v>
      </c>
      <c r="I6357" t="s">
        <v>11</v>
      </c>
    </row>
    <row r="6358" spans="1:9" hidden="1" x14ac:dyDescent="0.25">
      <c r="A6358" t="s">
        <v>17</v>
      </c>
      <c r="B6358" t="s">
        <v>139</v>
      </c>
      <c r="C6358">
        <v>202402</v>
      </c>
      <c r="D6358" t="str">
        <f t="shared" si="99"/>
        <v>2024</v>
      </c>
      <c r="E6358">
        <v>86</v>
      </c>
      <c r="F6358">
        <v>88081</v>
      </c>
      <c r="G6358">
        <v>0.1</v>
      </c>
      <c r="H6358" t="s">
        <v>10</v>
      </c>
      <c r="I6358" t="s">
        <v>11</v>
      </c>
    </row>
    <row r="6359" spans="1:9" hidden="1" x14ac:dyDescent="0.25">
      <c r="A6359" t="s">
        <v>17</v>
      </c>
      <c r="B6359" t="s">
        <v>139</v>
      </c>
      <c r="C6359">
        <v>202403</v>
      </c>
      <c r="D6359" t="str">
        <f t="shared" si="99"/>
        <v>2024</v>
      </c>
      <c r="E6359">
        <v>133</v>
      </c>
      <c r="F6359">
        <v>88081</v>
      </c>
      <c r="G6359">
        <v>0.15</v>
      </c>
      <c r="H6359" t="s">
        <v>10</v>
      </c>
      <c r="I6359" t="s">
        <v>11</v>
      </c>
    </row>
    <row r="6360" spans="1:9" hidden="1" x14ac:dyDescent="0.25">
      <c r="A6360" t="s">
        <v>17</v>
      </c>
      <c r="B6360" t="s">
        <v>139</v>
      </c>
      <c r="C6360">
        <v>202404</v>
      </c>
      <c r="D6360" t="str">
        <f t="shared" si="99"/>
        <v>2024</v>
      </c>
      <c r="E6360">
        <v>176</v>
      </c>
      <c r="F6360">
        <v>88081</v>
      </c>
      <c r="G6360">
        <v>0.2</v>
      </c>
      <c r="H6360" t="s">
        <v>10</v>
      </c>
      <c r="I6360" t="s">
        <v>11</v>
      </c>
    </row>
    <row r="6361" spans="1:9" hidden="1" x14ac:dyDescent="0.25">
      <c r="A6361" t="s">
        <v>17</v>
      </c>
      <c r="B6361" t="s">
        <v>139</v>
      </c>
      <c r="C6361">
        <v>202405</v>
      </c>
      <c r="D6361" t="str">
        <f t="shared" si="99"/>
        <v>2024</v>
      </c>
      <c r="E6361">
        <v>200</v>
      </c>
      <c r="F6361">
        <v>88081</v>
      </c>
      <c r="G6361">
        <v>0.23</v>
      </c>
      <c r="H6361" t="s">
        <v>10</v>
      </c>
      <c r="I6361" t="s">
        <v>11</v>
      </c>
    </row>
    <row r="6362" spans="1:9" hidden="1" x14ac:dyDescent="0.25">
      <c r="A6362" t="s">
        <v>17</v>
      </c>
      <c r="B6362" t="s">
        <v>139</v>
      </c>
      <c r="C6362">
        <v>202406</v>
      </c>
      <c r="D6362" t="str">
        <f t="shared" si="99"/>
        <v>2024</v>
      </c>
      <c r="E6362">
        <v>256</v>
      </c>
      <c r="F6362">
        <v>88081</v>
      </c>
      <c r="G6362">
        <v>0.28999999999999998</v>
      </c>
      <c r="H6362" t="s">
        <v>10</v>
      </c>
      <c r="I6362" t="s">
        <v>11</v>
      </c>
    </row>
    <row r="6363" spans="1:9" hidden="1" x14ac:dyDescent="0.25">
      <c r="A6363" t="s">
        <v>17</v>
      </c>
      <c r="B6363" t="s">
        <v>139</v>
      </c>
      <c r="C6363">
        <v>202407</v>
      </c>
      <c r="D6363" t="str">
        <f t="shared" si="99"/>
        <v>2024</v>
      </c>
      <c r="E6363">
        <v>568</v>
      </c>
      <c r="F6363">
        <v>88081</v>
      </c>
      <c r="G6363">
        <v>0.64</v>
      </c>
      <c r="H6363" t="s">
        <v>10</v>
      </c>
      <c r="I6363" t="s">
        <v>11</v>
      </c>
    </row>
    <row r="6364" spans="1:9" hidden="1" x14ac:dyDescent="0.25">
      <c r="A6364" t="s">
        <v>17</v>
      </c>
      <c r="B6364" t="s">
        <v>139</v>
      </c>
      <c r="C6364">
        <v>202408</v>
      </c>
      <c r="D6364" t="str">
        <f t="shared" si="99"/>
        <v>2024</v>
      </c>
      <c r="E6364">
        <v>619</v>
      </c>
      <c r="F6364">
        <v>88081</v>
      </c>
      <c r="G6364">
        <v>0.7</v>
      </c>
      <c r="H6364" t="s">
        <v>10</v>
      </c>
      <c r="I6364" t="s">
        <v>11</v>
      </c>
    </row>
    <row r="6365" spans="1:9" hidden="1" x14ac:dyDescent="0.25">
      <c r="A6365" t="s">
        <v>17</v>
      </c>
      <c r="B6365" t="s">
        <v>139</v>
      </c>
      <c r="C6365">
        <v>202409</v>
      </c>
      <c r="D6365" t="str">
        <f t="shared" si="99"/>
        <v>2024</v>
      </c>
      <c r="E6365">
        <v>860</v>
      </c>
      <c r="F6365">
        <v>88081</v>
      </c>
      <c r="G6365">
        <v>0.98</v>
      </c>
      <c r="H6365" t="s">
        <v>10</v>
      </c>
      <c r="I6365" t="s">
        <v>11</v>
      </c>
    </row>
    <row r="6366" spans="1:9" hidden="1" x14ac:dyDescent="0.25">
      <c r="A6366" t="s">
        <v>17</v>
      </c>
      <c r="B6366" t="s">
        <v>139</v>
      </c>
      <c r="C6366">
        <v>202410</v>
      </c>
      <c r="D6366" t="str">
        <f t="shared" si="99"/>
        <v>2024</v>
      </c>
      <c r="E6366">
        <v>1484</v>
      </c>
      <c r="F6366">
        <v>88081</v>
      </c>
      <c r="G6366">
        <v>1.68</v>
      </c>
      <c r="H6366" t="s">
        <v>10</v>
      </c>
      <c r="I6366" t="s">
        <v>11</v>
      </c>
    </row>
    <row r="6367" spans="1:9" hidden="1" x14ac:dyDescent="0.25">
      <c r="A6367" t="s">
        <v>17</v>
      </c>
      <c r="B6367" t="s">
        <v>139</v>
      </c>
      <c r="C6367">
        <v>202411</v>
      </c>
      <c r="D6367" t="str">
        <f t="shared" si="99"/>
        <v>2024</v>
      </c>
      <c r="E6367">
        <v>608</v>
      </c>
      <c r="F6367">
        <v>88081</v>
      </c>
      <c r="G6367">
        <v>0.69</v>
      </c>
      <c r="H6367" t="s">
        <v>10</v>
      </c>
      <c r="I6367" t="s">
        <v>11</v>
      </c>
    </row>
    <row r="6368" spans="1:9" hidden="1" x14ac:dyDescent="0.25">
      <c r="A6368" t="s">
        <v>17</v>
      </c>
      <c r="B6368" t="s">
        <v>139</v>
      </c>
      <c r="C6368">
        <v>202412</v>
      </c>
      <c r="D6368" t="str">
        <f t="shared" si="99"/>
        <v>2024</v>
      </c>
      <c r="E6368">
        <v>744</v>
      </c>
      <c r="F6368">
        <v>88081</v>
      </c>
      <c r="G6368">
        <v>0.84</v>
      </c>
      <c r="H6368" t="s">
        <v>10</v>
      </c>
      <c r="I6368" t="s">
        <v>11</v>
      </c>
    </row>
    <row r="6369" spans="1:9" x14ac:dyDescent="0.25">
      <c r="A6369" t="s">
        <v>17</v>
      </c>
      <c r="B6369" t="s">
        <v>139</v>
      </c>
      <c r="C6369">
        <v>202501</v>
      </c>
      <c r="D6369" t="str">
        <f t="shared" si="99"/>
        <v>2025</v>
      </c>
      <c r="E6369">
        <v>1124</v>
      </c>
      <c r="F6369">
        <v>88081</v>
      </c>
      <c r="G6369">
        <v>1.28</v>
      </c>
      <c r="H6369" t="s">
        <v>10</v>
      </c>
      <c r="I6369" t="s">
        <v>11</v>
      </c>
    </row>
    <row r="6370" spans="1:9" x14ac:dyDescent="0.25">
      <c r="A6370" t="s">
        <v>17</v>
      </c>
      <c r="B6370" t="s">
        <v>139</v>
      </c>
      <c r="C6370">
        <v>202502</v>
      </c>
      <c r="D6370" t="str">
        <f t="shared" si="99"/>
        <v>2025</v>
      </c>
      <c r="E6370">
        <v>2406</v>
      </c>
      <c r="F6370">
        <v>88081</v>
      </c>
      <c r="G6370">
        <v>2.73</v>
      </c>
      <c r="H6370" t="s">
        <v>10</v>
      </c>
      <c r="I6370" t="s">
        <v>11</v>
      </c>
    </row>
    <row r="6371" spans="1:9" x14ac:dyDescent="0.25">
      <c r="A6371" t="s">
        <v>17</v>
      </c>
      <c r="B6371" t="s">
        <v>139</v>
      </c>
      <c r="C6371">
        <v>202503</v>
      </c>
      <c r="D6371" t="str">
        <f t="shared" si="99"/>
        <v>2025</v>
      </c>
      <c r="E6371">
        <v>6373</v>
      </c>
      <c r="F6371">
        <v>88081</v>
      </c>
      <c r="G6371">
        <v>7.24</v>
      </c>
      <c r="H6371" t="s">
        <v>10</v>
      </c>
      <c r="I6371" t="s">
        <v>11</v>
      </c>
    </row>
    <row r="6372" spans="1:9" x14ac:dyDescent="0.25">
      <c r="A6372" t="s">
        <v>17</v>
      </c>
      <c r="B6372" t="s">
        <v>139</v>
      </c>
      <c r="C6372">
        <v>202504</v>
      </c>
      <c r="D6372" t="str">
        <f t="shared" si="99"/>
        <v>2025</v>
      </c>
      <c r="E6372">
        <v>42564</v>
      </c>
      <c r="F6372">
        <v>88081</v>
      </c>
      <c r="G6372">
        <v>48.32</v>
      </c>
      <c r="H6372" t="s">
        <v>10</v>
      </c>
      <c r="I6372" t="s">
        <v>11</v>
      </c>
    </row>
    <row r="6373" spans="1:9" x14ac:dyDescent="0.25">
      <c r="A6373" t="s">
        <v>17</v>
      </c>
      <c r="B6373" t="s">
        <v>139</v>
      </c>
      <c r="C6373">
        <v>202505</v>
      </c>
      <c r="D6373" t="str">
        <f t="shared" si="99"/>
        <v>2025</v>
      </c>
      <c r="E6373">
        <v>29400</v>
      </c>
      <c r="F6373">
        <v>88081</v>
      </c>
      <c r="G6373">
        <v>33.380000000000003</v>
      </c>
      <c r="H6373" t="s">
        <v>10</v>
      </c>
      <c r="I6373" t="s">
        <v>11</v>
      </c>
    </row>
    <row r="6374" spans="1:9" hidden="1" x14ac:dyDescent="0.25">
      <c r="A6374" t="s">
        <v>17</v>
      </c>
      <c r="B6374" t="s">
        <v>144</v>
      </c>
      <c r="C6374">
        <v>201902</v>
      </c>
      <c r="D6374" t="str">
        <f t="shared" si="99"/>
        <v>2019</v>
      </c>
      <c r="E6374">
        <v>12</v>
      </c>
      <c r="F6374">
        <v>73940</v>
      </c>
      <c r="G6374">
        <v>0.02</v>
      </c>
      <c r="H6374" t="s">
        <v>10</v>
      </c>
      <c r="I6374" t="s">
        <v>11</v>
      </c>
    </row>
    <row r="6375" spans="1:9" hidden="1" x14ac:dyDescent="0.25">
      <c r="A6375" t="s">
        <v>17</v>
      </c>
      <c r="B6375" t="s">
        <v>144</v>
      </c>
      <c r="C6375">
        <v>202204</v>
      </c>
      <c r="D6375" t="str">
        <f t="shared" si="99"/>
        <v>2022</v>
      </c>
      <c r="E6375">
        <v>9</v>
      </c>
      <c r="F6375">
        <v>73940</v>
      </c>
      <c r="G6375">
        <v>0.01</v>
      </c>
      <c r="H6375" t="s">
        <v>10</v>
      </c>
      <c r="I6375" t="s">
        <v>11</v>
      </c>
    </row>
    <row r="6376" spans="1:9" hidden="1" x14ac:dyDescent="0.25">
      <c r="A6376" t="s">
        <v>17</v>
      </c>
      <c r="B6376" t="s">
        <v>144</v>
      </c>
      <c r="C6376">
        <v>202205</v>
      </c>
      <c r="D6376" t="str">
        <f t="shared" si="99"/>
        <v>2022</v>
      </c>
      <c r="E6376">
        <v>1</v>
      </c>
      <c r="F6376">
        <v>73940</v>
      </c>
      <c r="G6376">
        <v>0</v>
      </c>
      <c r="H6376" t="s">
        <v>10</v>
      </c>
      <c r="I6376" t="s">
        <v>11</v>
      </c>
    </row>
    <row r="6377" spans="1:9" hidden="1" x14ac:dyDescent="0.25">
      <c r="A6377" t="s">
        <v>17</v>
      </c>
      <c r="B6377" t="s">
        <v>144</v>
      </c>
      <c r="C6377">
        <v>202206</v>
      </c>
      <c r="D6377" t="str">
        <f t="shared" si="99"/>
        <v>2022</v>
      </c>
      <c r="E6377">
        <v>6</v>
      </c>
      <c r="F6377">
        <v>73940</v>
      </c>
      <c r="G6377">
        <v>0.01</v>
      </c>
      <c r="H6377" t="s">
        <v>10</v>
      </c>
      <c r="I6377" t="s">
        <v>11</v>
      </c>
    </row>
    <row r="6378" spans="1:9" hidden="1" x14ac:dyDescent="0.25">
      <c r="A6378" t="s">
        <v>17</v>
      </c>
      <c r="B6378" t="s">
        <v>144</v>
      </c>
      <c r="C6378">
        <v>202207</v>
      </c>
      <c r="D6378" t="str">
        <f t="shared" si="99"/>
        <v>2022</v>
      </c>
      <c r="E6378">
        <v>3</v>
      </c>
      <c r="F6378">
        <v>73940</v>
      </c>
      <c r="G6378">
        <v>0</v>
      </c>
      <c r="H6378" t="s">
        <v>10</v>
      </c>
      <c r="I6378" t="s">
        <v>11</v>
      </c>
    </row>
    <row r="6379" spans="1:9" hidden="1" x14ac:dyDescent="0.25">
      <c r="A6379" t="s">
        <v>17</v>
      </c>
      <c r="B6379" t="s">
        <v>144</v>
      </c>
      <c r="C6379">
        <v>202208</v>
      </c>
      <c r="D6379" t="str">
        <f t="shared" si="99"/>
        <v>2022</v>
      </c>
      <c r="E6379">
        <v>10</v>
      </c>
      <c r="F6379">
        <v>73940</v>
      </c>
      <c r="G6379">
        <v>0.01</v>
      </c>
      <c r="H6379" t="s">
        <v>10</v>
      </c>
      <c r="I6379" t="s">
        <v>11</v>
      </c>
    </row>
    <row r="6380" spans="1:9" hidden="1" x14ac:dyDescent="0.25">
      <c r="A6380" t="s">
        <v>17</v>
      </c>
      <c r="B6380" t="s">
        <v>144</v>
      </c>
      <c r="C6380">
        <v>202209</v>
      </c>
      <c r="D6380" t="str">
        <f t="shared" si="99"/>
        <v>2022</v>
      </c>
      <c r="E6380">
        <v>2</v>
      </c>
      <c r="F6380">
        <v>73940</v>
      </c>
      <c r="G6380">
        <v>0</v>
      </c>
      <c r="H6380" t="s">
        <v>10</v>
      </c>
      <c r="I6380" t="s">
        <v>11</v>
      </c>
    </row>
    <row r="6381" spans="1:9" hidden="1" x14ac:dyDescent="0.25">
      <c r="A6381" t="s">
        <v>17</v>
      </c>
      <c r="B6381" t="s">
        <v>144</v>
      </c>
      <c r="C6381">
        <v>202210</v>
      </c>
      <c r="D6381" t="str">
        <f t="shared" si="99"/>
        <v>2022</v>
      </c>
      <c r="E6381">
        <v>5</v>
      </c>
      <c r="F6381">
        <v>73940</v>
      </c>
      <c r="G6381">
        <v>0.01</v>
      </c>
      <c r="H6381" t="s">
        <v>10</v>
      </c>
      <c r="I6381" t="s">
        <v>11</v>
      </c>
    </row>
    <row r="6382" spans="1:9" hidden="1" x14ac:dyDescent="0.25">
      <c r="A6382" t="s">
        <v>17</v>
      </c>
      <c r="B6382" t="s">
        <v>144</v>
      </c>
      <c r="C6382">
        <v>202211</v>
      </c>
      <c r="D6382" t="str">
        <f t="shared" si="99"/>
        <v>2022</v>
      </c>
      <c r="E6382">
        <v>3</v>
      </c>
      <c r="F6382">
        <v>73940</v>
      </c>
      <c r="G6382">
        <v>0</v>
      </c>
      <c r="H6382" t="s">
        <v>10</v>
      </c>
      <c r="I6382" t="s">
        <v>11</v>
      </c>
    </row>
    <row r="6383" spans="1:9" hidden="1" x14ac:dyDescent="0.25">
      <c r="A6383" t="s">
        <v>17</v>
      </c>
      <c r="B6383" t="s">
        <v>144</v>
      </c>
      <c r="C6383">
        <v>202212</v>
      </c>
      <c r="D6383" t="str">
        <f t="shared" si="99"/>
        <v>2022</v>
      </c>
      <c r="E6383">
        <v>11</v>
      </c>
      <c r="F6383">
        <v>73940</v>
      </c>
      <c r="G6383">
        <v>0.01</v>
      </c>
      <c r="H6383" t="s">
        <v>10</v>
      </c>
      <c r="I6383" t="s">
        <v>11</v>
      </c>
    </row>
    <row r="6384" spans="1:9" hidden="1" x14ac:dyDescent="0.25">
      <c r="A6384" t="s">
        <v>17</v>
      </c>
      <c r="B6384" t="s">
        <v>144</v>
      </c>
      <c r="C6384">
        <v>202301</v>
      </c>
      <c r="D6384" t="str">
        <f t="shared" si="99"/>
        <v>2023</v>
      </c>
      <c r="E6384">
        <v>158</v>
      </c>
      <c r="F6384">
        <v>73940</v>
      </c>
      <c r="G6384">
        <v>0.21</v>
      </c>
      <c r="H6384" t="s">
        <v>10</v>
      </c>
      <c r="I6384" t="s">
        <v>11</v>
      </c>
    </row>
    <row r="6385" spans="1:9" hidden="1" x14ac:dyDescent="0.25">
      <c r="A6385" t="s">
        <v>17</v>
      </c>
      <c r="B6385" t="s">
        <v>144</v>
      </c>
      <c r="C6385">
        <v>202302</v>
      </c>
      <c r="D6385" t="str">
        <f t="shared" si="99"/>
        <v>2023</v>
      </c>
      <c r="E6385">
        <v>104</v>
      </c>
      <c r="F6385">
        <v>73940</v>
      </c>
      <c r="G6385">
        <v>0.14000000000000001</v>
      </c>
      <c r="H6385" t="s">
        <v>10</v>
      </c>
      <c r="I6385" t="s">
        <v>11</v>
      </c>
    </row>
    <row r="6386" spans="1:9" hidden="1" x14ac:dyDescent="0.25">
      <c r="A6386" t="s">
        <v>17</v>
      </c>
      <c r="B6386" t="s">
        <v>144</v>
      </c>
      <c r="C6386">
        <v>202303</v>
      </c>
      <c r="D6386" t="str">
        <f t="shared" si="99"/>
        <v>2023</v>
      </c>
      <c r="E6386">
        <v>154</v>
      </c>
      <c r="F6386">
        <v>73940</v>
      </c>
      <c r="G6386">
        <v>0.21</v>
      </c>
      <c r="H6386" t="s">
        <v>10</v>
      </c>
      <c r="I6386" t="s">
        <v>11</v>
      </c>
    </row>
    <row r="6387" spans="1:9" hidden="1" x14ac:dyDescent="0.25">
      <c r="A6387" t="s">
        <v>17</v>
      </c>
      <c r="B6387" t="s">
        <v>144</v>
      </c>
      <c r="C6387">
        <v>202304</v>
      </c>
      <c r="D6387" t="str">
        <f t="shared" si="99"/>
        <v>2023</v>
      </c>
      <c r="E6387">
        <v>59</v>
      </c>
      <c r="F6387">
        <v>73940</v>
      </c>
      <c r="G6387">
        <v>0.08</v>
      </c>
      <c r="H6387" t="s">
        <v>10</v>
      </c>
      <c r="I6387" t="s">
        <v>11</v>
      </c>
    </row>
    <row r="6388" spans="1:9" hidden="1" x14ac:dyDescent="0.25">
      <c r="A6388" t="s">
        <v>17</v>
      </c>
      <c r="B6388" t="s">
        <v>144</v>
      </c>
      <c r="C6388">
        <v>202305</v>
      </c>
      <c r="D6388" t="str">
        <f t="shared" si="99"/>
        <v>2023</v>
      </c>
      <c r="E6388">
        <v>57</v>
      </c>
      <c r="F6388">
        <v>73940</v>
      </c>
      <c r="G6388">
        <v>0.08</v>
      </c>
      <c r="H6388" t="s">
        <v>10</v>
      </c>
      <c r="I6388" t="s">
        <v>11</v>
      </c>
    </row>
    <row r="6389" spans="1:9" hidden="1" x14ac:dyDescent="0.25">
      <c r="A6389" t="s">
        <v>17</v>
      </c>
      <c r="B6389" t="s">
        <v>144</v>
      </c>
      <c r="C6389">
        <v>202306</v>
      </c>
      <c r="D6389" t="str">
        <f t="shared" si="99"/>
        <v>2023</v>
      </c>
      <c r="E6389">
        <v>54</v>
      </c>
      <c r="F6389">
        <v>73940</v>
      </c>
      <c r="G6389">
        <v>7.0000000000000007E-2</v>
      </c>
      <c r="H6389" t="s">
        <v>10</v>
      </c>
      <c r="I6389" t="s">
        <v>11</v>
      </c>
    </row>
    <row r="6390" spans="1:9" hidden="1" x14ac:dyDescent="0.25">
      <c r="A6390" t="s">
        <v>17</v>
      </c>
      <c r="B6390" t="s">
        <v>144</v>
      </c>
      <c r="C6390">
        <v>202307</v>
      </c>
      <c r="D6390" t="str">
        <f t="shared" si="99"/>
        <v>2023</v>
      </c>
      <c r="E6390">
        <v>66</v>
      </c>
      <c r="F6390">
        <v>73940</v>
      </c>
      <c r="G6390">
        <v>0.09</v>
      </c>
      <c r="H6390" t="s">
        <v>10</v>
      </c>
      <c r="I6390" t="s">
        <v>11</v>
      </c>
    </row>
    <row r="6391" spans="1:9" hidden="1" x14ac:dyDescent="0.25">
      <c r="A6391" t="s">
        <v>17</v>
      </c>
      <c r="B6391" t="s">
        <v>144</v>
      </c>
      <c r="C6391">
        <v>202308</v>
      </c>
      <c r="D6391" t="str">
        <f t="shared" si="99"/>
        <v>2023</v>
      </c>
      <c r="E6391">
        <v>38</v>
      </c>
      <c r="F6391">
        <v>73940</v>
      </c>
      <c r="G6391">
        <v>0.05</v>
      </c>
      <c r="H6391" t="s">
        <v>10</v>
      </c>
      <c r="I6391" t="s">
        <v>11</v>
      </c>
    </row>
    <row r="6392" spans="1:9" hidden="1" x14ac:dyDescent="0.25">
      <c r="A6392" t="s">
        <v>17</v>
      </c>
      <c r="B6392" t="s">
        <v>144</v>
      </c>
      <c r="C6392">
        <v>202309</v>
      </c>
      <c r="D6392" t="str">
        <f t="shared" si="99"/>
        <v>2023</v>
      </c>
      <c r="E6392">
        <v>29</v>
      </c>
      <c r="F6392">
        <v>73940</v>
      </c>
      <c r="G6392">
        <v>0.04</v>
      </c>
      <c r="H6392" t="s">
        <v>10</v>
      </c>
      <c r="I6392" t="s">
        <v>11</v>
      </c>
    </row>
    <row r="6393" spans="1:9" hidden="1" x14ac:dyDescent="0.25">
      <c r="A6393" t="s">
        <v>17</v>
      </c>
      <c r="B6393" t="s">
        <v>144</v>
      </c>
      <c r="C6393">
        <v>202310</v>
      </c>
      <c r="D6393" t="str">
        <f t="shared" si="99"/>
        <v>2023</v>
      </c>
      <c r="E6393">
        <v>77</v>
      </c>
      <c r="F6393">
        <v>73940</v>
      </c>
      <c r="G6393">
        <v>0.1</v>
      </c>
      <c r="H6393" t="s">
        <v>10</v>
      </c>
      <c r="I6393" t="s">
        <v>11</v>
      </c>
    </row>
    <row r="6394" spans="1:9" hidden="1" x14ac:dyDescent="0.25">
      <c r="A6394" t="s">
        <v>17</v>
      </c>
      <c r="B6394" t="s">
        <v>144</v>
      </c>
      <c r="C6394">
        <v>202311</v>
      </c>
      <c r="D6394" t="str">
        <f t="shared" si="99"/>
        <v>2023</v>
      </c>
      <c r="E6394">
        <v>65</v>
      </c>
      <c r="F6394">
        <v>73940</v>
      </c>
      <c r="G6394">
        <v>0.09</v>
      </c>
      <c r="H6394" t="s">
        <v>10</v>
      </c>
      <c r="I6394" t="s">
        <v>11</v>
      </c>
    </row>
    <row r="6395" spans="1:9" hidden="1" x14ac:dyDescent="0.25">
      <c r="A6395" t="s">
        <v>17</v>
      </c>
      <c r="B6395" t="s">
        <v>144</v>
      </c>
      <c r="C6395">
        <v>202312</v>
      </c>
      <c r="D6395" t="str">
        <f t="shared" si="99"/>
        <v>2023</v>
      </c>
      <c r="E6395">
        <v>35</v>
      </c>
      <c r="F6395">
        <v>73940</v>
      </c>
      <c r="G6395">
        <v>0.05</v>
      </c>
      <c r="H6395" t="s">
        <v>10</v>
      </c>
      <c r="I6395" t="s">
        <v>11</v>
      </c>
    </row>
    <row r="6396" spans="1:9" hidden="1" x14ac:dyDescent="0.25">
      <c r="A6396" t="s">
        <v>17</v>
      </c>
      <c r="B6396" t="s">
        <v>144</v>
      </c>
      <c r="C6396">
        <v>202401</v>
      </c>
      <c r="D6396" t="str">
        <f t="shared" si="99"/>
        <v>2024</v>
      </c>
      <c r="E6396">
        <v>53</v>
      </c>
      <c r="F6396">
        <v>73940</v>
      </c>
      <c r="G6396">
        <v>7.0000000000000007E-2</v>
      </c>
      <c r="H6396" t="s">
        <v>10</v>
      </c>
      <c r="I6396" t="s">
        <v>11</v>
      </c>
    </row>
    <row r="6397" spans="1:9" hidden="1" x14ac:dyDescent="0.25">
      <c r="A6397" t="s">
        <v>17</v>
      </c>
      <c r="B6397" t="s">
        <v>144</v>
      </c>
      <c r="C6397">
        <v>202402</v>
      </c>
      <c r="D6397" t="str">
        <f t="shared" si="99"/>
        <v>2024</v>
      </c>
      <c r="E6397">
        <v>121</v>
      </c>
      <c r="F6397">
        <v>73940</v>
      </c>
      <c r="G6397">
        <v>0.16</v>
      </c>
      <c r="H6397" t="s">
        <v>10</v>
      </c>
      <c r="I6397" t="s">
        <v>11</v>
      </c>
    </row>
    <row r="6398" spans="1:9" hidden="1" x14ac:dyDescent="0.25">
      <c r="A6398" t="s">
        <v>17</v>
      </c>
      <c r="B6398" t="s">
        <v>144</v>
      </c>
      <c r="C6398">
        <v>202403</v>
      </c>
      <c r="D6398" t="str">
        <f t="shared" si="99"/>
        <v>2024</v>
      </c>
      <c r="E6398">
        <v>85</v>
      </c>
      <c r="F6398">
        <v>73940</v>
      </c>
      <c r="G6398">
        <v>0.11</v>
      </c>
      <c r="H6398" t="s">
        <v>10</v>
      </c>
      <c r="I6398" t="s">
        <v>11</v>
      </c>
    </row>
    <row r="6399" spans="1:9" hidden="1" x14ac:dyDescent="0.25">
      <c r="A6399" t="s">
        <v>17</v>
      </c>
      <c r="B6399" t="s">
        <v>144</v>
      </c>
      <c r="C6399">
        <v>202404</v>
      </c>
      <c r="D6399" t="str">
        <f t="shared" si="99"/>
        <v>2024</v>
      </c>
      <c r="E6399">
        <v>110</v>
      </c>
      <c r="F6399">
        <v>73940</v>
      </c>
      <c r="G6399">
        <v>0.15</v>
      </c>
      <c r="H6399" t="s">
        <v>10</v>
      </c>
      <c r="I6399" t="s">
        <v>11</v>
      </c>
    </row>
    <row r="6400" spans="1:9" hidden="1" x14ac:dyDescent="0.25">
      <c r="A6400" t="s">
        <v>17</v>
      </c>
      <c r="B6400" t="s">
        <v>144</v>
      </c>
      <c r="C6400">
        <v>202405</v>
      </c>
      <c r="D6400" t="str">
        <f t="shared" si="99"/>
        <v>2024</v>
      </c>
      <c r="E6400">
        <v>129</v>
      </c>
      <c r="F6400">
        <v>73940</v>
      </c>
      <c r="G6400">
        <v>0.17</v>
      </c>
      <c r="H6400" t="s">
        <v>10</v>
      </c>
      <c r="I6400" t="s">
        <v>11</v>
      </c>
    </row>
    <row r="6401" spans="1:9" hidden="1" x14ac:dyDescent="0.25">
      <c r="A6401" t="s">
        <v>17</v>
      </c>
      <c r="B6401" t="s">
        <v>144</v>
      </c>
      <c r="C6401">
        <v>202406</v>
      </c>
      <c r="D6401" t="str">
        <f t="shared" si="99"/>
        <v>2024</v>
      </c>
      <c r="E6401">
        <v>115</v>
      </c>
      <c r="F6401">
        <v>73940</v>
      </c>
      <c r="G6401">
        <v>0.16</v>
      </c>
      <c r="H6401" t="s">
        <v>10</v>
      </c>
      <c r="I6401" t="s">
        <v>11</v>
      </c>
    </row>
    <row r="6402" spans="1:9" hidden="1" x14ac:dyDescent="0.25">
      <c r="A6402" t="s">
        <v>17</v>
      </c>
      <c r="B6402" t="s">
        <v>144</v>
      </c>
      <c r="C6402">
        <v>202407</v>
      </c>
      <c r="D6402" t="str">
        <f t="shared" si="99"/>
        <v>2024</v>
      </c>
      <c r="E6402">
        <v>179</v>
      </c>
      <c r="F6402">
        <v>73940</v>
      </c>
      <c r="G6402">
        <v>0.24</v>
      </c>
      <c r="H6402" t="s">
        <v>10</v>
      </c>
      <c r="I6402" t="s">
        <v>11</v>
      </c>
    </row>
    <row r="6403" spans="1:9" hidden="1" x14ac:dyDescent="0.25">
      <c r="A6403" t="s">
        <v>17</v>
      </c>
      <c r="B6403" t="s">
        <v>144</v>
      </c>
      <c r="C6403">
        <v>202408</v>
      </c>
      <c r="D6403" t="str">
        <f t="shared" ref="D6403:D6466" si="100">LEFT(C6403,4)</f>
        <v>2024</v>
      </c>
      <c r="E6403">
        <v>116</v>
      </c>
      <c r="F6403">
        <v>73940</v>
      </c>
      <c r="G6403">
        <v>0.16</v>
      </c>
      <c r="H6403" t="s">
        <v>10</v>
      </c>
      <c r="I6403" t="s">
        <v>11</v>
      </c>
    </row>
    <row r="6404" spans="1:9" hidden="1" x14ac:dyDescent="0.25">
      <c r="A6404" t="s">
        <v>17</v>
      </c>
      <c r="B6404" t="s">
        <v>144</v>
      </c>
      <c r="C6404">
        <v>202409</v>
      </c>
      <c r="D6404" t="str">
        <f t="shared" si="100"/>
        <v>2024</v>
      </c>
      <c r="E6404">
        <v>252</v>
      </c>
      <c r="F6404">
        <v>73940</v>
      </c>
      <c r="G6404">
        <v>0.34</v>
      </c>
      <c r="H6404" t="s">
        <v>10</v>
      </c>
      <c r="I6404" t="s">
        <v>11</v>
      </c>
    </row>
    <row r="6405" spans="1:9" hidden="1" x14ac:dyDescent="0.25">
      <c r="A6405" t="s">
        <v>17</v>
      </c>
      <c r="B6405" t="s">
        <v>144</v>
      </c>
      <c r="C6405">
        <v>202410</v>
      </c>
      <c r="D6405" t="str">
        <f t="shared" si="100"/>
        <v>2024</v>
      </c>
      <c r="E6405">
        <v>1535</v>
      </c>
      <c r="F6405">
        <v>73940</v>
      </c>
      <c r="G6405">
        <v>2.08</v>
      </c>
      <c r="H6405" t="s">
        <v>10</v>
      </c>
      <c r="I6405" t="s">
        <v>11</v>
      </c>
    </row>
    <row r="6406" spans="1:9" hidden="1" x14ac:dyDescent="0.25">
      <c r="A6406" t="s">
        <v>17</v>
      </c>
      <c r="B6406" t="s">
        <v>144</v>
      </c>
      <c r="C6406">
        <v>202411</v>
      </c>
      <c r="D6406" t="str">
        <f t="shared" si="100"/>
        <v>2024</v>
      </c>
      <c r="E6406">
        <v>1215</v>
      </c>
      <c r="F6406">
        <v>73940</v>
      </c>
      <c r="G6406">
        <v>1.64</v>
      </c>
      <c r="H6406" t="s">
        <v>10</v>
      </c>
      <c r="I6406" t="s">
        <v>11</v>
      </c>
    </row>
    <row r="6407" spans="1:9" hidden="1" x14ac:dyDescent="0.25">
      <c r="A6407" t="s">
        <v>17</v>
      </c>
      <c r="B6407" t="s">
        <v>144</v>
      </c>
      <c r="C6407">
        <v>202412</v>
      </c>
      <c r="D6407" t="str">
        <f t="shared" si="100"/>
        <v>2024</v>
      </c>
      <c r="E6407">
        <v>742</v>
      </c>
      <c r="F6407">
        <v>73940</v>
      </c>
      <c r="G6407">
        <v>1</v>
      </c>
      <c r="H6407" t="s">
        <v>10</v>
      </c>
      <c r="I6407" t="s">
        <v>11</v>
      </c>
    </row>
    <row r="6408" spans="1:9" x14ac:dyDescent="0.25">
      <c r="A6408" t="s">
        <v>17</v>
      </c>
      <c r="B6408" t="s">
        <v>144</v>
      </c>
      <c r="C6408">
        <v>202501</v>
      </c>
      <c r="D6408" t="str">
        <f t="shared" si="100"/>
        <v>2025</v>
      </c>
      <c r="E6408">
        <v>1367</v>
      </c>
      <c r="F6408">
        <v>73940</v>
      </c>
      <c r="G6408">
        <v>1.85</v>
      </c>
      <c r="H6408" t="s">
        <v>10</v>
      </c>
      <c r="I6408" t="s">
        <v>11</v>
      </c>
    </row>
    <row r="6409" spans="1:9" x14ac:dyDescent="0.25">
      <c r="A6409" t="s">
        <v>17</v>
      </c>
      <c r="B6409" t="s">
        <v>144</v>
      </c>
      <c r="C6409">
        <v>202502</v>
      </c>
      <c r="D6409" t="str">
        <f t="shared" si="100"/>
        <v>2025</v>
      </c>
      <c r="E6409">
        <v>843</v>
      </c>
      <c r="F6409">
        <v>73940</v>
      </c>
      <c r="G6409">
        <v>1.1399999999999999</v>
      </c>
      <c r="H6409" t="s">
        <v>10</v>
      </c>
      <c r="I6409" t="s">
        <v>11</v>
      </c>
    </row>
    <row r="6410" spans="1:9" x14ac:dyDescent="0.25">
      <c r="A6410" t="s">
        <v>17</v>
      </c>
      <c r="B6410" t="s">
        <v>144</v>
      </c>
      <c r="C6410">
        <v>202503</v>
      </c>
      <c r="D6410" t="str">
        <f t="shared" si="100"/>
        <v>2025</v>
      </c>
      <c r="E6410">
        <v>2048</v>
      </c>
      <c r="F6410">
        <v>73940</v>
      </c>
      <c r="G6410">
        <v>2.77</v>
      </c>
      <c r="H6410" t="s">
        <v>10</v>
      </c>
      <c r="I6410" t="s">
        <v>11</v>
      </c>
    </row>
    <row r="6411" spans="1:9" x14ac:dyDescent="0.25">
      <c r="A6411" t="s">
        <v>17</v>
      </c>
      <c r="B6411" t="s">
        <v>144</v>
      </c>
      <c r="C6411">
        <v>202504</v>
      </c>
      <c r="D6411" t="str">
        <f t="shared" si="100"/>
        <v>2025</v>
      </c>
      <c r="E6411">
        <v>4142</v>
      </c>
      <c r="F6411">
        <v>73940</v>
      </c>
      <c r="G6411">
        <v>5.6</v>
      </c>
      <c r="H6411" t="s">
        <v>10</v>
      </c>
      <c r="I6411" t="s">
        <v>11</v>
      </c>
    </row>
    <row r="6412" spans="1:9" x14ac:dyDescent="0.25">
      <c r="A6412" t="s">
        <v>17</v>
      </c>
      <c r="B6412" t="s">
        <v>144</v>
      </c>
      <c r="C6412">
        <v>202505</v>
      </c>
      <c r="D6412" t="str">
        <f t="shared" si="100"/>
        <v>2025</v>
      </c>
      <c r="E6412">
        <v>33170</v>
      </c>
      <c r="F6412">
        <v>73940</v>
      </c>
      <c r="G6412">
        <v>44.86</v>
      </c>
      <c r="H6412" t="s">
        <v>10</v>
      </c>
      <c r="I6412" t="s">
        <v>11</v>
      </c>
    </row>
    <row r="6413" spans="1:9" x14ac:dyDescent="0.25">
      <c r="A6413" t="s">
        <v>17</v>
      </c>
      <c r="B6413" t="s">
        <v>144</v>
      </c>
      <c r="C6413">
        <v>202506</v>
      </c>
      <c r="D6413" t="str">
        <f t="shared" si="100"/>
        <v>2025</v>
      </c>
      <c r="E6413">
        <v>26760</v>
      </c>
      <c r="F6413">
        <v>73940</v>
      </c>
      <c r="G6413">
        <v>36.19</v>
      </c>
      <c r="H6413" t="s">
        <v>10</v>
      </c>
      <c r="I6413" t="s">
        <v>11</v>
      </c>
    </row>
    <row r="6414" spans="1:9" hidden="1" x14ac:dyDescent="0.25">
      <c r="A6414" t="s">
        <v>17</v>
      </c>
      <c r="B6414" t="s">
        <v>32</v>
      </c>
      <c r="C6414">
        <v>202001</v>
      </c>
      <c r="D6414" t="str">
        <f t="shared" si="100"/>
        <v>2020</v>
      </c>
      <c r="E6414">
        <v>1</v>
      </c>
      <c r="F6414">
        <v>70591</v>
      </c>
      <c r="G6414">
        <v>0</v>
      </c>
      <c r="H6414" t="s">
        <v>10</v>
      </c>
      <c r="I6414" t="s">
        <v>11</v>
      </c>
    </row>
    <row r="6415" spans="1:9" hidden="1" x14ac:dyDescent="0.25">
      <c r="A6415" t="s">
        <v>17</v>
      </c>
      <c r="B6415" t="s">
        <v>32</v>
      </c>
      <c r="C6415">
        <v>202205</v>
      </c>
      <c r="D6415" t="str">
        <f t="shared" si="100"/>
        <v>2022</v>
      </c>
      <c r="E6415">
        <v>1</v>
      </c>
      <c r="F6415">
        <v>70591</v>
      </c>
      <c r="G6415">
        <v>0</v>
      </c>
      <c r="H6415" t="s">
        <v>10</v>
      </c>
      <c r="I6415" t="s">
        <v>11</v>
      </c>
    </row>
    <row r="6416" spans="1:9" hidden="1" x14ac:dyDescent="0.25">
      <c r="A6416" t="s">
        <v>17</v>
      </c>
      <c r="B6416" t="s">
        <v>32</v>
      </c>
      <c r="C6416">
        <v>202206</v>
      </c>
      <c r="D6416" t="str">
        <f t="shared" si="100"/>
        <v>2022</v>
      </c>
      <c r="E6416">
        <v>1</v>
      </c>
      <c r="F6416">
        <v>70591</v>
      </c>
      <c r="G6416">
        <v>0</v>
      </c>
      <c r="H6416" t="s">
        <v>10</v>
      </c>
      <c r="I6416" t="s">
        <v>11</v>
      </c>
    </row>
    <row r="6417" spans="1:9" hidden="1" x14ac:dyDescent="0.25">
      <c r="A6417" t="s">
        <v>17</v>
      </c>
      <c r="B6417" t="s">
        <v>32</v>
      </c>
      <c r="C6417">
        <v>202207</v>
      </c>
      <c r="D6417" t="str">
        <f t="shared" si="100"/>
        <v>2022</v>
      </c>
      <c r="E6417">
        <v>1</v>
      </c>
      <c r="F6417">
        <v>70591</v>
      </c>
      <c r="G6417">
        <v>0</v>
      </c>
      <c r="H6417" t="s">
        <v>10</v>
      </c>
      <c r="I6417" t="s">
        <v>11</v>
      </c>
    </row>
    <row r="6418" spans="1:9" hidden="1" x14ac:dyDescent="0.25">
      <c r="A6418" t="s">
        <v>17</v>
      </c>
      <c r="B6418" t="s">
        <v>32</v>
      </c>
      <c r="C6418">
        <v>202209</v>
      </c>
      <c r="D6418" t="str">
        <f t="shared" si="100"/>
        <v>2022</v>
      </c>
      <c r="E6418">
        <v>8</v>
      </c>
      <c r="F6418">
        <v>70591</v>
      </c>
      <c r="G6418">
        <v>0.01</v>
      </c>
      <c r="H6418" t="s">
        <v>10</v>
      </c>
      <c r="I6418" t="s">
        <v>11</v>
      </c>
    </row>
    <row r="6419" spans="1:9" hidden="1" x14ac:dyDescent="0.25">
      <c r="A6419" t="s">
        <v>17</v>
      </c>
      <c r="B6419" t="s">
        <v>32</v>
      </c>
      <c r="C6419">
        <v>202210</v>
      </c>
      <c r="D6419" t="str">
        <f t="shared" si="100"/>
        <v>2022</v>
      </c>
      <c r="E6419">
        <v>9</v>
      </c>
      <c r="F6419">
        <v>70591</v>
      </c>
      <c r="G6419">
        <v>0.01</v>
      </c>
      <c r="H6419" t="s">
        <v>10</v>
      </c>
      <c r="I6419" t="s">
        <v>11</v>
      </c>
    </row>
    <row r="6420" spans="1:9" hidden="1" x14ac:dyDescent="0.25">
      <c r="A6420" t="s">
        <v>17</v>
      </c>
      <c r="B6420" t="s">
        <v>32</v>
      </c>
      <c r="C6420">
        <v>202301</v>
      </c>
      <c r="D6420" t="str">
        <f t="shared" si="100"/>
        <v>2023</v>
      </c>
      <c r="E6420">
        <v>2</v>
      </c>
      <c r="F6420">
        <v>70591</v>
      </c>
      <c r="G6420">
        <v>0</v>
      </c>
      <c r="H6420" t="s">
        <v>10</v>
      </c>
      <c r="I6420" t="s">
        <v>11</v>
      </c>
    </row>
    <row r="6421" spans="1:9" hidden="1" x14ac:dyDescent="0.25">
      <c r="A6421" t="s">
        <v>17</v>
      </c>
      <c r="B6421" t="s">
        <v>32</v>
      </c>
      <c r="C6421">
        <v>202302</v>
      </c>
      <c r="D6421" t="str">
        <f t="shared" si="100"/>
        <v>2023</v>
      </c>
      <c r="E6421">
        <v>16</v>
      </c>
      <c r="F6421">
        <v>70591</v>
      </c>
      <c r="G6421">
        <v>0.02</v>
      </c>
      <c r="H6421" t="s">
        <v>10</v>
      </c>
      <c r="I6421" t="s">
        <v>11</v>
      </c>
    </row>
    <row r="6422" spans="1:9" hidden="1" x14ac:dyDescent="0.25">
      <c r="A6422" t="s">
        <v>17</v>
      </c>
      <c r="B6422" t="s">
        <v>32</v>
      </c>
      <c r="C6422">
        <v>202303</v>
      </c>
      <c r="D6422" t="str">
        <f t="shared" si="100"/>
        <v>2023</v>
      </c>
      <c r="E6422">
        <v>4</v>
      </c>
      <c r="F6422">
        <v>70591</v>
      </c>
      <c r="G6422">
        <v>0.01</v>
      </c>
      <c r="H6422" t="s">
        <v>10</v>
      </c>
      <c r="I6422" t="s">
        <v>11</v>
      </c>
    </row>
    <row r="6423" spans="1:9" hidden="1" x14ac:dyDescent="0.25">
      <c r="A6423" t="s">
        <v>17</v>
      </c>
      <c r="B6423" t="s">
        <v>32</v>
      </c>
      <c r="C6423">
        <v>202304</v>
      </c>
      <c r="D6423" t="str">
        <f t="shared" si="100"/>
        <v>2023</v>
      </c>
      <c r="E6423">
        <v>6</v>
      </c>
      <c r="F6423">
        <v>70591</v>
      </c>
      <c r="G6423">
        <v>0.01</v>
      </c>
      <c r="H6423" t="s">
        <v>10</v>
      </c>
      <c r="I6423" t="s">
        <v>11</v>
      </c>
    </row>
    <row r="6424" spans="1:9" hidden="1" x14ac:dyDescent="0.25">
      <c r="A6424" t="s">
        <v>17</v>
      </c>
      <c r="B6424" t="s">
        <v>32</v>
      </c>
      <c r="C6424">
        <v>202305</v>
      </c>
      <c r="D6424" t="str">
        <f t="shared" si="100"/>
        <v>2023</v>
      </c>
      <c r="E6424">
        <v>10</v>
      </c>
      <c r="F6424">
        <v>70591</v>
      </c>
      <c r="G6424">
        <v>0.01</v>
      </c>
      <c r="H6424" t="s">
        <v>10</v>
      </c>
      <c r="I6424" t="s">
        <v>11</v>
      </c>
    </row>
    <row r="6425" spans="1:9" hidden="1" x14ac:dyDescent="0.25">
      <c r="A6425" t="s">
        <v>17</v>
      </c>
      <c r="B6425" t="s">
        <v>32</v>
      </c>
      <c r="C6425">
        <v>202306</v>
      </c>
      <c r="D6425" t="str">
        <f t="shared" si="100"/>
        <v>2023</v>
      </c>
      <c r="E6425">
        <v>46</v>
      </c>
      <c r="F6425">
        <v>70591</v>
      </c>
      <c r="G6425">
        <v>7.0000000000000007E-2</v>
      </c>
      <c r="H6425" t="s">
        <v>10</v>
      </c>
      <c r="I6425" t="s">
        <v>11</v>
      </c>
    </row>
    <row r="6426" spans="1:9" hidden="1" x14ac:dyDescent="0.25">
      <c r="A6426" t="s">
        <v>17</v>
      </c>
      <c r="B6426" t="s">
        <v>32</v>
      </c>
      <c r="C6426">
        <v>202307</v>
      </c>
      <c r="D6426" t="str">
        <f t="shared" si="100"/>
        <v>2023</v>
      </c>
      <c r="E6426">
        <v>5</v>
      </c>
      <c r="F6426">
        <v>70591</v>
      </c>
      <c r="G6426">
        <v>0.01</v>
      </c>
      <c r="H6426" t="s">
        <v>10</v>
      </c>
      <c r="I6426" t="s">
        <v>11</v>
      </c>
    </row>
    <row r="6427" spans="1:9" hidden="1" x14ac:dyDescent="0.25">
      <c r="A6427" t="s">
        <v>17</v>
      </c>
      <c r="B6427" t="s">
        <v>32</v>
      </c>
      <c r="C6427">
        <v>202308</v>
      </c>
      <c r="D6427" t="str">
        <f t="shared" si="100"/>
        <v>2023</v>
      </c>
      <c r="E6427">
        <v>40</v>
      </c>
      <c r="F6427">
        <v>70591</v>
      </c>
      <c r="G6427">
        <v>0.06</v>
      </c>
      <c r="H6427" t="s">
        <v>10</v>
      </c>
      <c r="I6427" t="s">
        <v>11</v>
      </c>
    </row>
    <row r="6428" spans="1:9" hidden="1" x14ac:dyDescent="0.25">
      <c r="A6428" t="s">
        <v>17</v>
      </c>
      <c r="B6428" t="s">
        <v>32</v>
      </c>
      <c r="C6428">
        <v>202309</v>
      </c>
      <c r="D6428" t="str">
        <f t="shared" si="100"/>
        <v>2023</v>
      </c>
      <c r="E6428">
        <v>38</v>
      </c>
      <c r="F6428">
        <v>70591</v>
      </c>
      <c r="G6428">
        <v>0.05</v>
      </c>
      <c r="H6428" t="s">
        <v>10</v>
      </c>
      <c r="I6428" t="s">
        <v>11</v>
      </c>
    </row>
    <row r="6429" spans="1:9" hidden="1" x14ac:dyDescent="0.25">
      <c r="A6429" t="s">
        <v>17</v>
      </c>
      <c r="B6429" t="s">
        <v>32</v>
      </c>
      <c r="C6429">
        <v>202310</v>
      </c>
      <c r="D6429" t="str">
        <f t="shared" si="100"/>
        <v>2023</v>
      </c>
      <c r="E6429">
        <v>6</v>
      </c>
      <c r="F6429">
        <v>70591</v>
      </c>
      <c r="G6429">
        <v>0.01</v>
      </c>
      <c r="H6429" t="s">
        <v>10</v>
      </c>
      <c r="I6429" t="s">
        <v>11</v>
      </c>
    </row>
    <row r="6430" spans="1:9" hidden="1" x14ac:dyDescent="0.25">
      <c r="A6430" t="s">
        <v>17</v>
      </c>
      <c r="B6430" t="s">
        <v>32</v>
      </c>
      <c r="C6430">
        <v>202311</v>
      </c>
      <c r="D6430" t="str">
        <f t="shared" si="100"/>
        <v>2023</v>
      </c>
      <c r="E6430">
        <v>57</v>
      </c>
      <c r="F6430">
        <v>70591</v>
      </c>
      <c r="G6430">
        <v>0.08</v>
      </c>
      <c r="H6430" t="s">
        <v>10</v>
      </c>
      <c r="I6430" t="s">
        <v>11</v>
      </c>
    </row>
    <row r="6431" spans="1:9" hidden="1" x14ac:dyDescent="0.25">
      <c r="A6431" t="s">
        <v>17</v>
      </c>
      <c r="B6431" t="s">
        <v>32</v>
      </c>
      <c r="C6431">
        <v>202312</v>
      </c>
      <c r="D6431" t="str">
        <f t="shared" si="100"/>
        <v>2023</v>
      </c>
      <c r="E6431">
        <v>30</v>
      </c>
      <c r="F6431">
        <v>70591</v>
      </c>
      <c r="G6431">
        <v>0.04</v>
      </c>
      <c r="H6431" t="s">
        <v>10</v>
      </c>
      <c r="I6431" t="s">
        <v>11</v>
      </c>
    </row>
    <row r="6432" spans="1:9" hidden="1" x14ac:dyDescent="0.25">
      <c r="A6432" t="s">
        <v>17</v>
      </c>
      <c r="B6432" t="s">
        <v>32</v>
      </c>
      <c r="C6432">
        <v>202401</v>
      </c>
      <c r="D6432" t="str">
        <f t="shared" si="100"/>
        <v>2024</v>
      </c>
      <c r="E6432">
        <v>51</v>
      </c>
      <c r="F6432">
        <v>70591</v>
      </c>
      <c r="G6432">
        <v>7.0000000000000007E-2</v>
      </c>
      <c r="H6432" t="s">
        <v>10</v>
      </c>
      <c r="I6432" t="s">
        <v>11</v>
      </c>
    </row>
    <row r="6433" spans="1:9" hidden="1" x14ac:dyDescent="0.25">
      <c r="A6433" t="s">
        <v>17</v>
      </c>
      <c r="B6433" t="s">
        <v>32</v>
      </c>
      <c r="C6433">
        <v>202402</v>
      </c>
      <c r="D6433" t="str">
        <f t="shared" si="100"/>
        <v>2024</v>
      </c>
      <c r="E6433">
        <v>75</v>
      </c>
      <c r="F6433">
        <v>70591</v>
      </c>
      <c r="G6433">
        <v>0.11</v>
      </c>
      <c r="H6433" t="s">
        <v>10</v>
      </c>
      <c r="I6433" t="s">
        <v>11</v>
      </c>
    </row>
    <row r="6434" spans="1:9" hidden="1" x14ac:dyDescent="0.25">
      <c r="A6434" t="s">
        <v>17</v>
      </c>
      <c r="B6434" t="s">
        <v>32</v>
      </c>
      <c r="C6434">
        <v>202403</v>
      </c>
      <c r="D6434" t="str">
        <f t="shared" si="100"/>
        <v>2024</v>
      </c>
      <c r="E6434">
        <v>252</v>
      </c>
      <c r="F6434">
        <v>70591</v>
      </c>
      <c r="G6434">
        <v>0.36</v>
      </c>
      <c r="H6434" t="s">
        <v>10</v>
      </c>
      <c r="I6434" t="s">
        <v>11</v>
      </c>
    </row>
    <row r="6435" spans="1:9" hidden="1" x14ac:dyDescent="0.25">
      <c r="A6435" t="s">
        <v>17</v>
      </c>
      <c r="B6435" t="s">
        <v>32</v>
      </c>
      <c r="C6435">
        <v>202404</v>
      </c>
      <c r="D6435" t="str">
        <f t="shared" si="100"/>
        <v>2024</v>
      </c>
      <c r="E6435">
        <v>104</v>
      </c>
      <c r="F6435">
        <v>70591</v>
      </c>
      <c r="G6435">
        <v>0.15</v>
      </c>
      <c r="H6435" t="s">
        <v>10</v>
      </c>
      <c r="I6435" t="s">
        <v>11</v>
      </c>
    </row>
    <row r="6436" spans="1:9" hidden="1" x14ac:dyDescent="0.25">
      <c r="A6436" t="s">
        <v>17</v>
      </c>
      <c r="B6436" t="s">
        <v>32</v>
      </c>
      <c r="C6436">
        <v>202405</v>
      </c>
      <c r="D6436" t="str">
        <f t="shared" si="100"/>
        <v>2024</v>
      </c>
      <c r="E6436">
        <v>151</v>
      </c>
      <c r="F6436">
        <v>70591</v>
      </c>
      <c r="G6436">
        <v>0.21</v>
      </c>
      <c r="H6436" t="s">
        <v>10</v>
      </c>
      <c r="I6436" t="s">
        <v>11</v>
      </c>
    </row>
    <row r="6437" spans="1:9" hidden="1" x14ac:dyDescent="0.25">
      <c r="A6437" t="s">
        <v>17</v>
      </c>
      <c r="B6437" t="s">
        <v>32</v>
      </c>
      <c r="C6437">
        <v>202406</v>
      </c>
      <c r="D6437" t="str">
        <f t="shared" si="100"/>
        <v>2024</v>
      </c>
      <c r="E6437">
        <v>154</v>
      </c>
      <c r="F6437">
        <v>70591</v>
      </c>
      <c r="G6437">
        <v>0.22</v>
      </c>
      <c r="H6437" t="s">
        <v>10</v>
      </c>
      <c r="I6437" t="s">
        <v>11</v>
      </c>
    </row>
    <row r="6438" spans="1:9" hidden="1" x14ac:dyDescent="0.25">
      <c r="A6438" t="s">
        <v>17</v>
      </c>
      <c r="B6438" t="s">
        <v>32</v>
      </c>
      <c r="C6438">
        <v>202407</v>
      </c>
      <c r="D6438" t="str">
        <f t="shared" si="100"/>
        <v>2024</v>
      </c>
      <c r="E6438">
        <v>161</v>
      </c>
      <c r="F6438">
        <v>70591</v>
      </c>
      <c r="G6438">
        <v>0.23</v>
      </c>
      <c r="H6438" t="s">
        <v>10</v>
      </c>
      <c r="I6438" t="s">
        <v>11</v>
      </c>
    </row>
    <row r="6439" spans="1:9" hidden="1" x14ac:dyDescent="0.25">
      <c r="A6439" t="s">
        <v>17</v>
      </c>
      <c r="B6439" t="s">
        <v>32</v>
      </c>
      <c r="C6439">
        <v>202408</v>
      </c>
      <c r="D6439" t="str">
        <f t="shared" si="100"/>
        <v>2024</v>
      </c>
      <c r="E6439">
        <v>130</v>
      </c>
      <c r="F6439">
        <v>70591</v>
      </c>
      <c r="G6439">
        <v>0.18</v>
      </c>
      <c r="H6439" t="s">
        <v>10</v>
      </c>
      <c r="I6439" t="s">
        <v>11</v>
      </c>
    </row>
    <row r="6440" spans="1:9" hidden="1" x14ac:dyDescent="0.25">
      <c r="A6440" t="s">
        <v>17</v>
      </c>
      <c r="B6440" t="s">
        <v>32</v>
      </c>
      <c r="C6440">
        <v>202409</v>
      </c>
      <c r="D6440" t="str">
        <f t="shared" si="100"/>
        <v>2024</v>
      </c>
      <c r="E6440">
        <v>215</v>
      </c>
      <c r="F6440">
        <v>70591</v>
      </c>
      <c r="G6440">
        <v>0.3</v>
      </c>
      <c r="H6440" t="s">
        <v>10</v>
      </c>
      <c r="I6440" t="s">
        <v>11</v>
      </c>
    </row>
    <row r="6441" spans="1:9" hidden="1" x14ac:dyDescent="0.25">
      <c r="A6441" t="s">
        <v>17</v>
      </c>
      <c r="B6441" t="s">
        <v>32</v>
      </c>
      <c r="C6441">
        <v>202410</v>
      </c>
      <c r="D6441" t="str">
        <f t="shared" si="100"/>
        <v>2024</v>
      </c>
      <c r="E6441">
        <v>515</v>
      </c>
      <c r="F6441">
        <v>70591</v>
      </c>
      <c r="G6441">
        <v>0.73</v>
      </c>
      <c r="H6441" t="s">
        <v>10</v>
      </c>
      <c r="I6441" t="s">
        <v>11</v>
      </c>
    </row>
    <row r="6442" spans="1:9" hidden="1" x14ac:dyDescent="0.25">
      <c r="A6442" t="s">
        <v>17</v>
      </c>
      <c r="B6442" t="s">
        <v>32</v>
      </c>
      <c r="C6442">
        <v>202411</v>
      </c>
      <c r="D6442" t="str">
        <f t="shared" si="100"/>
        <v>2024</v>
      </c>
      <c r="E6442">
        <v>549</v>
      </c>
      <c r="F6442">
        <v>70591</v>
      </c>
      <c r="G6442">
        <v>0.78</v>
      </c>
      <c r="H6442" t="s">
        <v>10</v>
      </c>
      <c r="I6442" t="s">
        <v>11</v>
      </c>
    </row>
    <row r="6443" spans="1:9" hidden="1" x14ac:dyDescent="0.25">
      <c r="A6443" t="s">
        <v>17</v>
      </c>
      <c r="B6443" t="s">
        <v>32</v>
      </c>
      <c r="C6443">
        <v>202412</v>
      </c>
      <c r="D6443" t="str">
        <f t="shared" si="100"/>
        <v>2024</v>
      </c>
      <c r="E6443">
        <v>842</v>
      </c>
      <c r="F6443">
        <v>70591</v>
      </c>
      <c r="G6443">
        <v>1.19</v>
      </c>
      <c r="H6443" t="s">
        <v>10</v>
      </c>
      <c r="I6443" t="s">
        <v>11</v>
      </c>
    </row>
    <row r="6444" spans="1:9" x14ac:dyDescent="0.25">
      <c r="A6444" t="s">
        <v>17</v>
      </c>
      <c r="B6444" t="s">
        <v>32</v>
      </c>
      <c r="C6444">
        <v>202501</v>
      </c>
      <c r="D6444" t="str">
        <f t="shared" si="100"/>
        <v>2025</v>
      </c>
      <c r="E6444">
        <v>736</v>
      </c>
      <c r="F6444">
        <v>70591</v>
      </c>
      <c r="G6444">
        <v>1.04</v>
      </c>
      <c r="H6444" t="s">
        <v>10</v>
      </c>
      <c r="I6444" t="s">
        <v>11</v>
      </c>
    </row>
    <row r="6445" spans="1:9" x14ac:dyDescent="0.25">
      <c r="A6445" t="s">
        <v>17</v>
      </c>
      <c r="B6445" t="s">
        <v>32</v>
      </c>
      <c r="C6445">
        <v>202502</v>
      </c>
      <c r="D6445" t="str">
        <f t="shared" si="100"/>
        <v>2025</v>
      </c>
      <c r="E6445">
        <v>1260</v>
      </c>
      <c r="F6445">
        <v>70591</v>
      </c>
      <c r="G6445">
        <v>1.78</v>
      </c>
      <c r="H6445" t="s">
        <v>10</v>
      </c>
      <c r="I6445" t="s">
        <v>11</v>
      </c>
    </row>
    <row r="6446" spans="1:9" x14ac:dyDescent="0.25">
      <c r="A6446" t="s">
        <v>17</v>
      </c>
      <c r="B6446" t="s">
        <v>32</v>
      </c>
      <c r="C6446">
        <v>202503</v>
      </c>
      <c r="D6446" t="str">
        <f t="shared" si="100"/>
        <v>2025</v>
      </c>
      <c r="E6446">
        <v>1474</v>
      </c>
      <c r="F6446">
        <v>70591</v>
      </c>
      <c r="G6446">
        <v>2.09</v>
      </c>
      <c r="H6446" t="s">
        <v>10</v>
      </c>
      <c r="I6446" t="s">
        <v>11</v>
      </c>
    </row>
    <row r="6447" spans="1:9" x14ac:dyDescent="0.25">
      <c r="A6447" t="s">
        <v>17</v>
      </c>
      <c r="B6447" t="s">
        <v>32</v>
      </c>
      <c r="C6447">
        <v>202504</v>
      </c>
      <c r="D6447" t="str">
        <f t="shared" si="100"/>
        <v>2025</v>
      </c>
      <c r="E6447">
        <v>2677</v>
      </c>
      <c r="F6447">
        <v>70591</v>
      </c>
      <c r="G6447">
        <v>3.79</v>
      </c>
      <c r="H6447" t="s">
        <v>10</v>
      </c>
      <c r="I6447" t="s">
        <v>11</v>
      </c>
    </row>
    <row r="6448" spans="1:9" x14ac:dyDescent="0.25">
      <c r="A6448" t="s">
        <v>17</v>
      </c>
      <c r="B6448" t="s">
        <v>32</v>
      </c>
      <c r="C6448">
        <v>202505</v>
      </c>
      <c r="D6448" t="str">
        <f t="shared" si="100"/>
        <v>2025</v>
      </c>
      <c r="E6448">
        <v>4529</v>
      </c>
      <c r="F6448">
        <v>70591</v>
      </c>
      <c r="G6448">
        <v>6.42</v>
      </c>
      <c r="H6448" t="s">
        <v>10</v>
      </c>
      <c r="I6448" t="s">
        <v>11</v>
      </c>
    </row>
    <row r="6449" spans="1:9" x14ac:dyDescent="0.25">
      <c r="A6449" t="s">
        <v>17</v>
      </c>
      <c r="B6449" t="s">
        <v>32</v>
      </c>
      <c r="C6449">
        <v>202506</v>
      </c>
      <c r="D6449" t="str">
        <f t="shared" si="100"/>
        <v>2025</v>
      </c>
      <c r="E6449">
        <v>30947</v>
      </c>
      <c r="F6449">
        <v>70591</v>
      </c>
      <c r="G6449">
        <v>43.84</v>
      </c>
      <c r="H6449" t="s">
        <v>10</v>
      </c>
      <c r="I6449" t="s">
        <v>11</v>
      </c>
    </row>
    <row r="6450" spans="1:9" x14ac:dyDescent="0.25">
      <c r="A6450" t="s">
        <v>17</v>
      </c>
      <c r="B6450" t="s">
        <v>32</v>
      </c>
      <c r="C6450">
        <v>202507</v>
      </c>
      <c r="D6450" t="str">
        <f t="shared" si="100"/>
        <v>2025</v>
      </c>
      <c r="E6450">
        <v>25488</v>
      </c>
      <c r="F6450">
        <v>70591</v>
      </c>
      <c r="G6450">
        <v>36.11</v>
      </c>
      <c r="H6450" t="s">
        <v>10</v>
      </c>
      <c r="I6450" t="s">
        <v>11</v>
      </c>
    </row>
    <row r="6451" spans="1:9" hidden="1" x14ac:dyDescent="0.25">
      <c r="A6451" t="s">
        <v>17</v>
      </c>
      <c r="B6451" t="s">
        <v>69</v>
      </c>
      <c r="C6451">
        <v>202210</v>
      </c>
      <c r="D6451" t="str">
        <f t="shared" si="100"/>
        <v>2022</v>
      </c>
      <c r="E6451">
        <v>7</v>
      </c>
      <c r="F6451">
        <v>69867</v>
      </c>
      <c r="G6451">
        <v>0.01</v>
      </c>
      <c r="H6451" t="s">
        <v>10</v>
      </c>
      <c r="I6451" t="s">
        <v>11</v>
      </c>
    </row>
    <row r="6452" spans="1:9" hidden="1" x14ac:dyDescent="0.25">
      <c r="A6452" t="s">
        <v>17</v>
      </c>
      <c r="B6452" t="s">
        <v>69</v>
      </c>
      <c r="C6452">
        <v>202307</v>
      </c>
      <c r="D6452" t="str">
        <f t="shared" si="100"/>
        <v>2023</v>
      </c>
      <c r="E6452">
        <v>1</v>
      </c>
      <c r="F6452">
        <v>69867</v>
      </c>
      <c r="G6452">
        <v>0</v>
      </c>
      <c r="H6452" t="s">
        <v>10</v>
      </c>
      <c r="I6452" t="s">
        <v>11</v>
      </c>
    </row>
    <row r="6453" spans="1:9" hidden="1" x14ac:dyDescent="0.25">
      <c r="A6453" t="s">
        <v>17</v>
      </c>
      <c r="B6453" t="s">
        <v>69</v>
      </c>
      <c r="C6453">
        <v>202308</v>
      </c>
      <c r="D6453" t="str">
        <f t="shared" si="100"/>
        <v>2023</v>
      </c>
      <c r="E6453">
        <v>15</v>
      </c>
      <c r="F6453">
        <v>69867</v>
      </c>
      <c r="G6453">
        <v>0.02</v>
      </c>
      <c r="H6453" t="s">
        <v>10</v>
      </c>
      <c r="I6453" t="s">
        <v>11</v>
      </c>
    </row>
    <row r="6454" spans="1:9" hidden="1" x14ac:dyDescent="0.25">
      <c r="A6454" t="s">
        <v>17</v>
      </c>
      <c r="B6454" t="s">
        <v>69</v>
      </c>
      <c r="C6454">
        <v>202309</v>
      </c>
      <c r="D6454" t="str">
        <f t="shared" si="100"/>
        <v>2023</v>
      </c>
      <c r="E6454">
        <v>29</v>
      </c>
      <c r="F6454">
        <v>69867</v>
      </c>
      <c r="G6454">
        <v>0.04</v>
      </c>
      <c r="H6454" t="s">
        <v>10</v>
      </c>
      <c r="I6454" t="s">
        <v>11</v>
      </c>
    </row>
    <row r="6455" spans="1:9" hidden="1" x14ac:dyDescent="0.25">
      <c r="A6455" t="s">
        <v>17</v>
      </c>
      <c r="B6455" t="s">
        <v>69</v>
      </c>
      <c r="C6455">
        <v>202310</v>
      </c>
      <c r="D6455" t="str">
        <f t="shared" si="100"/>
        <v>2023</v>
      </c>
      <c r="E6455">
        <v>11</v>
      </c>
      <c r="F6455">
        <v>69867</v>
      </c>
      <c r="G6455">
        <v>0.02</v>
      </c>
      <c r="H6455" t="s">
        <v>10</v>
      </c>
      <c r="I6455" t="s">
        <v>11</v>
      </c>
    </row>
    <row r="6456" spans="1:9" hidden="1" x14ac:dyDescent="0.25">
      <c r="A6456" t="s">
        <v>17</v>
      </c>
      <c r="B6456" t="s">
        <v>69</v>
      </c>
      <c r="C6456">
        <v>202311</v>
      </c>
      <c r="D6456" t="str">
        <f t="shared" si="100"/>
        <v>2023</v>
      </c>
      <c r="E6456">
        <v>11</v>
      </c>
      <c r="F6456">
        <v>69867</v>
      </c>
      <c r="G6456">
        <v>0.02</v>
      </c>
      <c r="H6456" t="s">
        <v>10</v>
      </c>
      <c r="I6456" t="s">
        <v>11</v>
      </c>
    </row>
    <row r="6457" spans="1:9" hidden="1" x14ac:dyDescent="0.25">
      <c r="A6457" t="s">
        <v>17</v>
      </c>
      <c r="B6457" t="s">
        <v>69</v>
      </c>
      <c r="C6457">
        <v>202312</v>
      </c>
      <c r="D6457" t="str">
        <f t="shared" si="100"/>
        <v>2023</v>
      </c>
      <c r="E6457">
        <v>15</v>
      </c>
      <c r="F6457">
        <v>69867</v>
      </c>
      <c r="G6457">
        <v>0.02</v>
      </c>
      <c r="H6457" t="s">
        <v>10</v>
      </c>
      <c r="I6457" t="s">
        <v>11</v>
      </c>
    </row>
    <row r="6458" spans="1:9" hidden="1" x14ac:dyDescent="0.25">
      <c r="A6458" t="s">
        <v>17</v>
      </c>
      <c r="B6458" t="s">
        <v>69</v>
      </c>
      <c r="C6458">
        <v>202401</v>
      </c>
      <c r="D6458" t="str">
        <f t="shared" si="100"/>
        <v>2024</v>
      </c>
      <c r="E6458">
        <v>172</v>
      </c>
      <c r="F6458">
        <v>69867</v>
      </c>
      <c r="G6458">
        <v>0.25</v>
      </c>
      <c r="H6458" t="s">
        <v>10</v>
      </c>
      <c r="I6458" t="s">
        <v>11</v>
      </c>
    </row>
    <row r="6459" spans="1:9" hidden="1" x14ac:dyDescent="0.25">
      <c r="A6459" t="s">
        <v>17</v>
      </c>
      <c r="B6459" t="s">
        <v>69</v>
      </c>
      <c r="C6459">
        <v>202402</v>
      </c>
      <c r="D6459" t="str">
        <f t="shared" si="100"/>
        <v>2024</v>
      </c>
      <c r="E6459">
        <v>139</v>
      </c>
      <c r="F6459">
        <v>69867</v>
      </c>
      <c r="G6459">
        <v>0.2</v>
      </c>
      <c r="H6459" t="s">
        <v>10</v>
      </c>
      <c r="I6459" t="s">
        <v>11</v>
      </c>
    </row>
    <row r="6460" spans="1:9" hidden="1" x14ac:dyDescent="0.25">
      <c r="A6460" t="s">
        <v>17</v>
      </c>
      <c r="B6460" t="s">
        <v>69</v>
      </c>
      <c r="C6460">
        <v>202403</v>
      </c>
      <c r="D6460" t="str">
        <f t="shared" si="100"/>
        <v>2024</v>
      </c>
      <c r="E6460">
        <v>513</v>
      </c>
      <c r="F6460">
        <v>69867</v>
      </c>
      <c r="G6460">
        <v>0.73</v>
      </c>
      <c r="H6460" t="s">
        <v>10</v>
      </c>
      <c r="I6460" t="s">
        <v>11</v>
      </c>
    </row>
    <row r="6461" spans="1:9" hidden="1" x14ac:dyDescent="0.25">
      <c r="A6461" t="s">
        <v>17</v>
      </c>
      <c r="B6461" t="s">
        <v>69</v>
      </c>
      <c r="C6461">
        <v>202404</v>
      </c>
      <c r="D6461" t="str">
        <f t="shared" si="100"/>
        <v>2024</v>
      </c>
      <c r="E6461">
        <v>249</v>
      </c>
      <c r="F6461">
        <v>69867</v>
      </c>
      <c r="G6461">
        <v>0.36</v>
      </c>
      <c r="H6461" t="s">
        <v>10</v>
      </c>
      <c r="I6461" t="s">
        <v>11</v>
      </c>
    </row>
    <row r="6462" spans="1:9" hidden="1" x14ac:dyDescent="0.25">
      <c r="A6462" t="s">
        <v>17</v>
      </c>
      <c r="B6462" t="s">
        <v>69</v>
      </c>
      <c r="C6462">
        <v>202405</v>
      </c>
      <c r="D6462" t="str">
        <f t="shared" si="100"/>
        <v>2024</v>
      </c>
      <c r="E6462">
        <v>238</v>
      </c>
      <c r="F6462">
        <v>69867</v>
      </c>
      <c r="G6462">
        <v>0.34</v>
      </c>
      <c r="H6462" t="s">
        <v>10</v>
      </c>
      <c r="I6462" t="s">
        <v>11</v>
      </c>
    </row>
    <row r="6463" spans="1:9" hidden="1" x14ac:dyDescent="0.25">
      <c r="A6463" t="s">
        <v>17</v>
      </c>
      <c r="B6463" t="s">
        <v>69</v>
      </c>
      <c r="C6463">
        <v>202406</v>
      </c>
      <c r="D6463" t="str">
        <f t="shared" si="100"/>
        <v>2024</v>
      </c>
      <c r="E6463">
        <v>256</v>
      </c>
      <c r="F6463">
        <v>69867</v>
      </c>
      <c r="G6463">
        <v>0.37</v>
      </c>
      <c r="H6463" t="s">
        <v>10</v>
      </c>
      <c r="I6463" t="s">
        <v>11</v>
      </c>
    </row>
    <row r="6464" spans="1:9" hidden="1" x14ac:dyDescent="0.25">
      <c r="A6464" t="s">
        <v>17</v>
      </c>
      <c r="B6464" t="s">
        <v>69</v>
      </c>
      <c r="C6464">
        <v>202407</v>
      </c>
      <c r="D6464" t="str">
        <f t="shared" si="100"/>
        <v>2024</v>
      </c>
      <c r="E6464">
        <v>386</v>
      </c>
      <c r="F6464">
        <v>69867</v>
      </c>
      <c r="G6464">
        <v>0.55000000000000004</v>
      </c>
      <c r="H6464" t="s">
        <v>10</v>
      </c>
      <c r="I6464" t="s">
        <v>11</v>
      </c>
    </row>
    <row r="6465" spans="1:9" hidden="1" x14ac:dyDescent="0.25">
      <c r="A6465" t="s">
        <v>17</v>
      </c>
      <c r="B6465" t="s">
        <v>69</v>
      </c>
      <c r="C6465">
        <v>202408</v>
      </c>
      <c r="D6465" t="str">
        <f t="shared" si="100"/>
        <v>2024</v>
      </c>
      <c r="E6465">
        <v>259</v>
      </c>
      <c r="F6465">
        <v>69867</v>
      </c>
      <c r="G6465">
        <v>0.37</v>
      </c>
      <c r="H6465" t="s">
        <v>10</v>
      </c>
      <c r="I6465" t="s">
        <v>11</v>
      </c>
    </row>
    <row r="6466" spans="1:9" hidden="1" x14ac:dyDescent="0.25">
      <c r="A6466" t="s">
        <v>17</v>
      </c>
      <c r="B6466" t="s">
        <v>69</v>
      </c>
      <c r="C6466">
        <v>202409</v>
      </c>
      <c r="D6466" t="str">
        <f t="shared" si="100"/>
        <v>2024</v>
      </c>
      <c r="E6466">
        <v>317</v>
      </c>
      <c r="F6466">
        <v>69867</v>
      </c>
      <c r="G6466">
        <v>0.45</v>
      </c>
      <c r="H6466" t="s">
        <v>10</v>
      </c>
      <c r="I6466" t="s">
        <v>11</v>
      </c>
    </row>
    <row r="6467" spans="1:9" hidden="1" x14ac:dyDescent="0.25">
      <c r="A6467" t="s">
        <v>17</v>
      </c>
      <c r="B6467" t="s">
        <v>69</v>
      </c>
      <c r="C6467">
        <v>202410</v>
      </c>
      <c r="D6467" t="str">
        <f t="shared" ref="D6467:D6530" si="101">LEFT(C6467,4)</f>
        <v>2024</v>
      </c>
      <c r="E6467">
        <v>498</v>
      </c>
      <c r="F6467">
        <v>69867</v>
      </c>
      <c r="G6467">
        <v>0.71</v>
      </c>
      <c r="H6467" t="s">
        <v>10</v>
      </c>
      <c r="I6467" t="s">
        <v>11</v>
      </c>
    </row>
    <row r="6468" spans="1:9" hidden="1" x14ac:dyDescent="0.25">
      <c r="A6468" t="s">
        <v>17</v>
      </c>
      <c r="B6468" t="s">
        <v>69</v>
      </c>
      <c r="C6468">
        <v>202411</v>
      </c>
      <c r="D6468" t="str">
        <f t="shared" si="101"/>
        <v>2024</v>
      </c>
      <c r="E6468">
        <v>636</v>
      </c>
      <c r="F6468">
        <v>69867</v>
      </c>
      <c r="G6468">
        <v>0.91</v>
      </c>
      <c r="H6468" t="s">
        <v>10</v>
      </c>
      <c r="I6468" t="s">
        <v>11</v>
      </c>
    </row>
    <row r="6469" spans="1:9" hidden="1" x14ac:dyDescent="0.25">
      <c r="A6469" t="s">
        <v>17</v>
      </c>
      <c r="B6469" t="s">
        <v>69</v>
      </c>
      <c r="C6469">
        <v>202412</v>
      </c>
      <c r="D6469" t="str">
        <f t="shared" si="101"/>
        <v>2024</v>
      </c>
      <c r="E6469">
        <v>1334</v>
      </c>
      <c r="F6469">
        <v>69867</v>
      </c>
      <c r="G6469">
        <v>1.91</v>
      </c>
      <c r="H6469" t="s">
        <v>10</v>
      </c>
      <c r="I6469" t="s">
        <v>11</v>
      </c>
    </row>
    <row r="6470" spans="1:9" x14ac:dyDescent="0.25">
      <c r="A6470" t="s">
        <v>17</v>
      </c>
      <c r="B6470" t="s">
        <v>69</v>
      </c>
      <c r="C6470">
        <v>202501</v>
      </c>
      <c r="D6470" t="str">
        <f t="shared" si="101"/>
        <v>2025</v>
      </c>
      <c r="E6470">
        <v>1179</v>
      </c>
      <c r="F6470">
        <v>69867</v>
      </c>
      <c r="G6470">
        <v>1.69</v>
      </c>
      <c r="H6470" t="s">
        <v>10</v>
      </c>
      <c r="I6470" t="s">
        <v>11</v>
      </c>
    </row>
    <row r="6471" spans="1:9" x14ac:dyDescent="0.25">
      <c r="A6471" t="s">
        <v>17</v>
      </c>
      <c r="B6471" t="s">
        <v>69</v>
      </c>
      <c r="C6471">
        <v>202502</v>
      </c>
      <c r="D6471" t="str">
        <f t="shared" si="101"/>
        <v>2025</v>
      </c>
      <c r="E6471">
        <v>707</v>
      </c>
      <c r="F6471">
        <v>69867</v>
      </c>
      <c r="G6471">
        <v>1.01</v>
      </c>
      <c r="H6471" t="s">
        <v>10</v>
      </c>
      <c r="I6471" t="s">
        <v>11</v>
      </c>
    </row>
    <row r="6472" spans="1:9" x14ac:dyDescent="0.25">
      <c r="A6472" t="s">
        <v>17</v>
      </c>
      <c r="B6472" t="s">
        <v>69</v>
      </c>
      <c r="C6472">
        <v>202503</v>
      </c>
      <c r="D6472" t="str">
        <f t="shared" si="101"/>
        <v>2025</v>
      </c>
      <c r="E6472">
        <v>794</v>
      </c>
      <c r="F6472">
        <v>69867</v>
      </c>
      <c r="G6472">
        <v>1.1399999999999999</v>
      </c>
      <c r="H6472" t="s">
        <v>10</v>
      </c>
      <c r="I6472" t="s">
        <v>11</v>
      </c>
    </row>
    <row r="6473" spans="1:9" x14ac:dyDescent="0.25">
      <c r="A6473" t="s">
        <v>17</v>
      </c>
      <c r="B6473" t="s">
        <v>69</v>
      </c>
      <c r="C6473">
        <v>202504</v>
      </c>
      <c r="D6473" t="str">
        <f t="shared" si="101"/>
        <v>2025</v>
      </c>
      <c r="E6473">
        <v>944</v>
      </c>
      <c r="F6473">
        <v>69867</v>
      </c>
      <c r="G6473">
        <v>1.35</v>
      </c>
      <c r="H6473" t="s">
        <v>10</v>
      </c>
      <c r="I6473" t="s">
        <v>11</v>
      </c>
    </row>
    <row r="6474" spans="1:9" x14ac:dyDescent="0.25">
      <c r="A6474" t="s">
        <v>17</v>
      </c>
      <c r="B6474" t="s">
        <v>69</v>
      </c>
      <c r="C6474">
        <v>202505</v>
      </c>
      <c r="D6474" t="str">
        <f t="shared" si="101"/>
        <v>2025</v>
      </c>
      <c r="E6474">
        <v>1397</v>
      </c>
      <c r="F6474">
        <v>69867</v>
      </c>
      <c r="G6474">
        <v>2</v>
      </c>
      <c r="H6474" t="s">
        <v>10</v>
      </c>
      <c r="I6474" t="s">
        <v>11</v>
      </c>
    </row>
    <row r="6475" spans="1:9" x14ac:dyDescent="0.25">
      <c r="A6475" t="s">
        <v>17</v>
      </c>
      <c r="B6475" t="s">
        <v>69</v>
      </c>
      <c r="C6475">
        <v>202506</v>
      </c>
      <c r="D6475" t="str">
        <f t="shared" si="101"/>
        <v>2025</v>
      </c>
      <c r="E6475">
        <v>3373</v>
      </c>
      <c r="F6475">
        <v>69867</v>
      </c>
      <c r="G6475">
        <v>4.83</v>
      </c>
      <c r="H6475" t="s">
        <v>10</v>
      </c>
      <c r="I6475" t="s">
        <v>11</v>
      </c>
    </row>
    <row r="6476" spans="1:9" x14ac:dyDescent="0.25">
      <c r="A6476" t="s">
        <v>17</v>
      </c>
      <c r="B6476" t="s">
        <v>69</v>
      </c>
      <c r="C6476">
        <v>202507</v>
      </c>
      <c r="D6476" t="str">
        <f t="shared" si="101"/>
        <v>2025</v>
      </c>
      <c r="E6476">
        <v>32508</v>
      </c>
      <c r="F6476">
        <v>69867</v>
      </c>
      <c r="G6476">
        <v>46.53</v>
      </c>
      <c r="H6476" t="s">
        <v>10</v>
      </c>
      <c r="I6476" t="s">
        <v>11</v>
      </c>
    </row>
    <row r="6477" spans="1:9" x14ac:dyDescent="0.25">
      <c r="A6477" t="s">
        <v>17</v>
      </c>
      <c r="B6477" t="s">
        <v>69</v>
      </c>
      <c r="C6477">
        <v>202508</v>
      </c>
      <c r="D6477" t="str">
        <f t="shared" si="101"/>
        <v>2025</v>
      </c>
      <c r="E6477">
        <v>23879</v>
      </c>
      <c r="F6477">
        <v>69867</v>
      </c>
      <c r="G6477">
        <v>34.18</v>
      </c>
      <c r="H6477" t="s">
        <v>10</v>
      </c>
      <c r="I6477" t="s">
        <v>11</v>
      </c>
    </row>
    <row r="6478" spans="1:9" hidden="1" x14ac:dyDescent="0.25">
      <c r="A6478" t="s">
        <v>17</v>
      </c>
      <c r="B6478" t="s">
        <v>87</v>
      </c>
      <c r="C6478">
        <v>202305</v>
      </c>
      <c r="D6478" t="str">
        <f t="shared" si="101"/>
        <v>2023</v>
      </c>
      <c r="E6478">
        <v>20</v>
      </c>
      <c r="F6478">
        <v>68257</v>
      </c>
      <c r="G6478">
        <v>0.03</v>
      </c>
      <c r="H6478" t="s">
        <v>10</v>
      </c>
      <c r="I6478" t="s">
        <v>11</v>
      </c>
    </row>
    <row r="6479" spans="1:9" hidden="1" x14ac:dyDescent="0.25">
      <c r="A6479" t="s">
        <v>17</v>
      </c>
      <c r="B6479" t="s">
        <v>87</v>
      </c>
      <c r="C6479">
        <v>202307</v>
      </c>
      <c r="D6479" t="str">
        <f t="shared" si="101"/>
        <v>2023</v>
      </c>
      <c r="E6479">
        <v>7</v>
      </c>
      <c r="F6479">
        <v>68257</v>
      </c>
      <c r="G6479">
        <v>0.01</v>
      </c>
      <c r="H6479" t="s">
        <v>10</v>
      </c>
      <c r="I6479" t="s">
        <v>11</v>
      </c>
    </row>
    <row r="6480" spans="1:9" hidden="1" x14ac:dyDescent="0.25">
      <c r="A6480" t="s">
        <v>17</v>
      </c>
      <c r="B6480" t="s">
        <v>87</v>
      </c>
      <c r="C6480">
        <v>202308</v>
      </c>
      <c r="D6480" t="str">
        <f t="shared" si="101"/>
        <v>2023</v>
      </c>
      <c r="E6480">
        <v>17</v>
      </c>
      <c r="F6480">
        <v>68257</v>
      </c>
      <c r="G6480">
        <v>0.02</v>
      </c>
      <c r="H6480" t="s">
        <v>10</v>
      </c>
      <c r="I6480" t="s">
        <v>11</v>
      </c>
    </row>
    <row r="6481" spans="1:9" hidden="1" x14ac:dyDescent="0.25">
      <c r="A6481" t="s">
        <v>17</v>
      </c>
      <c r="B6481" t="s">
        <v>87</v>
      </c>
      <c r="C6481">
        <v>202311</v>
      </c>
      <c r="D6481" t="str">
        <f t="shared" si="101"/>
        <v>2023</v>
      </c>
      <c r="E6481">
        <v>3</v>
      </c>
      <c r="F6481">
        <v>68257</v>
      </c>
      <c r="G6481">
        <v>0</v>
      </c>
      <c r="H6481" t="s">
        <v>10</v>
      </c>
      <c r="I6481" t="s">
        <v>11</v>
      </c>
    </row>
    <row r="6482" spans="1:9" hidden="1" x14ac:dyDescent="0.25">
      <c r="A6482" t="s">
        <v>17</v>
      </c>
      <c r="B6482" t="s">
        <v>87</v>
      </c>
      <c r="C6482">
        <v>202312</v>
      </c>
      <c r="D6482" t="str">
        <f t="shared" si="101"/>
        <v>2023</v>
      </c>
      <c r="E6482">
        <v>3</v>
      </c>
      <c r="F6482">
        <v>68257</v>
      </c>
      <c r="G6482">
        <v>0</v>
      </c>
      <c r="H6482" t="s">
        <v>10</v>
      </c>
      <c r="I6482" t="s">
        <v>11</v>
      </c>
    </row>
    <row r="6483" spans="1:9" hidden="1" x14ac:dyDescent="0.25">
      <c r="A6483" t="s">
        <v>17</v>
      </c>
      <c r="B6483" t="s">
        <v>87</v>
      </c>
      <c r="C6483">
        <v>202401</v>
      </c>
      <c r="D6483" t="str">
        <f t="shared" si="101"/>
        <v>2024</v>
      </c>
      <c r="E6483">
        <v>117</v>
      </c>
      <c r="F6483">
        <v>68257</v>
      </c>
      <c r="G6483">
        <v>0.17</v>
      </c>
      <c r="H6483" t="s">
        <v>10</v>
      </c>
      <c r="I6483" t="s">
        <v>11</v>
      </c>
    </row>
    <row r="6484" spans="1:9" hidden="1" x14ac:dyDescent="0.25">
      <c r="A6484" t="s">
        <v>17</v>
      </c>
      <c r="B6484" t="s">
        <v>87</v>
      </c>
      <c r="C6484">
        <v>202402</v>
      </c>
      <c r="D6484" t="str">
        <f t="shared" si="101"/>
        <v>2024</v>
      </c>
      <c r="E6484">
        <v>111</v>
      </c>
      <c r="F6484">
        <v>68257</v>
      </c>
      <c r="G6484">
        <v>0.16</v>
      </c>
      <c r="H6484" t="s">
        <v>10</v>
      </c>
      <c r="I6484" t="s">
        <v>11</v>
      </c>
    </row>
    <row r="6485" spans="1:9" hidden="1" x14ac:dyDescent="0.25">
      <c r="A6485" t="s">
        <v>17</v>
      </c>
      <c r="B6485" t="s">
        <v>87</v>
      </c>
      <c r="C6485">
        <v>202403</v>
      </c>
      <c r="D6485" t="str">
        <f t="shared" si="101"/>
        <v>2024</v>
      </c>
      <c r="E6485">
        <v>156</v>
      </c>
      <c r="F6485">
        <v>68257</v>
      </c>
      <c r="G6485">
        <v>0.23</v>
      </c>
      <c r="H6485" t="s">
        <v>10</v>
      </c>
      <c r="I6485" t="s">
        <v>11</v>
      </c>
    </row>
    <row r="6486" spans="1:9" hidden="1" x14ac:dyDescent="0.25">
      <c r="A6486" t="s">
        <v>17</v>
      </c>
      <c r="B6486" t="s">
        <v>87</v>
      </c>
      <c r="C6486">
        <v>202404</v>
      </c>
      <c r="D6486" t="str">
        <f t="shared" si="101"/>
        <v>2024</v>
      </c>
      <c r="E6486">
        <v>138</v>
      </c>
      <c r="F6486">
        <v>68257</v>
      </c>
      <c r="G6486">
        <v>0.2</v>
      </c>
      <c r="H6486" t="s">
        <v>10</v>
      </c>
      <c r="I6486" t="s">
        <v>11</v>
      </c>
    </row>
    <row r="6487" spans="1:9" hidden="1" x14ac:dyDescent="0.25">
      <c r="A6487" t="s">
        <v>17</v>
      </c>
      <c r="B6487" t="s">
        <v>87</v>
      </c>
      <c r="C6487">
        <v>202405</v>
      </c>
      <c r="D6487" t="str">
        <f t="shared" si="101"/>
        <v>2024</v>
      </c>
      <c r="E6487">
        <v>73</v>
      </c>
      <c r="F6487">
        <v>68257</v>
      </c>
      <c r="G6487">
        <v>0.11</v>
      </c>
      <c r="H6487" t="s">
        <v>10</v>
      </c>
      <c r="I6487" t="s">
        <v>11</v>
      </c>
    </row>
    <row r="6488" spans="1:9" hidden="1" x14ac:dyDescent="0.25">
      <c r="A6488" t="s">
        <v>17</v>
      </c>
      <c r="B6488" t="s">
        <v>87</v>
      </c>
      <c r="C6488">
        <v>202406</v>
      </c>
      <c r="D6488" t="str">
        <f t="shared" si="101"/>
        <v>2024</v>
      </c>
      <c r="E6488">
        <v>114</v>
      </c>
      <c r="F6488">
        <v>68257</v>
      </c>
      <c r="G6488">
        <v>0.17</v>
      </c>
      <c r="H6488" t="s">
        <v>10</v>
      </c>
      <c r="I6488" t="s">
        <v>11</v>
      </c>
    </row>
    <row r="6489" spans="1:9" hidden="1" x14ac:dyDescent="0.25">
      <c r="A6489" t="s">
        <v>17</v>
      </c>
      <c r="B6489" t="s">
        <v>87</v>
      </c>
      <c r="C6489">
        <v>202407</v>
      </c>
      <c r="D6489" t="str">
        <f t="shared" si="101"/>
        <v>2024</v>
      </c>
      <c r="E6489">
        <v>182</v>
      </c>
      <c r="F6489">
        <v>68257</v>
      </c>
      <c r="G6489">
        <v>0.27</v>
      </c>
      <c r="H6489" t="s">
        <v>10</v>
      </c>
      <c r="I6489" t="s">
        <v>11</v>
      </c>
    </row>
    <row r="6490" spans="1:9" hidden="1" x14ac:dyDescent="0.25">
      <c r="A6490" t="s">
        <v>17</v>
      </c>
      <c r="B6490" t="s">
        <v>87</v>
      </c>
      <c r="C6490">
        <v>202408</v>
      </c>
      <c r="D6490" t="str">
        <f t="shared" si="101"/>
        <v>2024</v>
      </c>
      <c r="E6490">
        <v>198</v>
      </c>
      <c r="F6490">
        <v>68257</v>
      </c>
      <c r="G6490">
        <v>0.28999999999999998</v>
      </c>
      <c r="H6490" t="s">
        <v>10</v>
      </c>
      <c r="I6490" t="s">
        <v>11</v>
      </c>
    </row>
    <row r="6491" spans="1:9" hidden="1" x14ac:dyDescent="0.25">
      <c r="A6491" t="s">
        <v>17</v>
      </c>
      <c r="B6491" t="s">
        <v>87</v>
      </c>
      <c r="C6491">
        <v>202409</v>
      </c>
      <c r="D6491" t="str">
        <f t="shared" si="101"/>
        <v>2024</v>
      </c>
      <c r="E6491">
        <v>209</v>
      </c>
      <c r="F6491">
        <v>68257</v>
      </c>
      <c r="G6491">
        <v>0.31</v>
      </c>
      <c r="H6491" t="s">
        <v>10</v>
      </c>
      <c r="I6491" t="s">
        <v>11</v>
      </c>
    </row>
    <row r="6492" spans="1:9" hidden="1" x14ac:dyDescent="0.25">
      <c r="A6492" t="s">
        <v>17</v>
      </c>
      <c r="B6492" t="s">
        <v>87</v>
      </c>
      <c r="C6492">
        <v>202410</v>
      </c>
      <c r="D6492" t="str">
        <f t="shared" si="101"/>
        <v>2024</v>
      </c>
      <c r="E6492">
        <v>744</v>
      </c>
      <c r="F6492">
        <v>68257</v>
      </c>
      <c r="G6492">
        <v>1.0900000000000001</v>
      </c>
      <c r="H6492" t="s">
        <v>10</v>
      </c>
      <c r="I6492" t="s">
        <v>11</v>
      </c>
    </row>
    <row r="6493" spans="1:9" hidden="1" x14ac:dyDescent="0.25">
      <c r="A6493" t="s">
        <v>17</v>
      </c>
      <c r="B6493" t="s">
        <v>87</v>
      </c>
      <c r="C6493">
        <v>202411</v>
      </c>
      <c r="D6493" t="str">
        <f t="shared" si="101"/>
        <v>2024</v>
      </c>
      <c r="E6493">
        <v>598</v>
      </c>
      <c r="F6493">
        <v>68257</v>
      </c>
      <c r="G6493">
        <v>0.88</v>
      </c>
      <c r="H6493" t="s">
        <v>10</v>
      </c>
      <c r="I6493" t="s">
        <v>11</v>
      </c>
    </row>
    <row r="6494" spans="1:9" hidden="1" x14ac:dyDescent="0.25">
      <c r="A6494" t="s">
        <v>17</v>
      </c>
      <c r="B6494" t="s">
        <v>87</v>
      </c>
      <c r="C6494">
        <v>202412</v>
      </c>
      <c r="D6494" t="str">
        <f t="shared" si="101"/>
        <v>2024</v>
      </c>
      <c r="E6494">
        <v>1614</v>
      </c>
      <c r="F6494">
        <v>68257</v>
      </c>
      <c r="G6494">
        <v>2.36</v>
      </c>
      <c r="H6494" t="s">
        <v>10</v>
      </c>
      <c r="I6494" t="s">
        <v>11</v>
      </c>
    </row>
    <row r="6495" spans="1:9" x14ac:dyDescent="0.25">
      <c r="A6495" t="s">
        <v>17</v>
      </c>
      <c r="B6495" t="s">
        <v>87</v>
      </c>
      <c r="C6495">
        <v>202501</v>
      </c>
      <c r="D6495" t="str">
        <f t="shared" si="101"/>
        <v>2025</v>
      </c>
      <c r="E6495">
        <v>920</v>
      </c>
      <c r="F6495">
        <v>68257</v>
      </c>
      <c r="G6495">
        <v>1.35</v>
      </c>
      <c r="H6495" t="s">
        <v>10</v>
      </c>
      <c r="I6495" t="s">
        <v>11</v>
      </c>
    </row>
    <row r="6496" spans="1:9" x14ac:dyDescent="0.25">
      <c r="A6496" t="s">
        <v>17</v>
      </c>
      <c r="B6496" t="s">
        <v>87</v>
      </c>
      <c r="C6496">
        <v>202502</v>
      </c>
      <c r="D6496" t="str">
        <f t="shared" si="101"/>
        <v>2025</v>
      </c>
      <c r="E6496">
        <v>1422</v>
      </c>
      <c r="F6496">
        <v>68257</v>
      </c>
      <c r="G6496">
        <v>2.08</v>
      </c>
      <c r="H6496" t="s">
        <v>10</v>
      </c>
      <c r="I6496" t="s">
        <v>11</v>
      </c>
    </row>
    <row r="6497" spans="1:9" x14ac:dyDescent="0.25">
      <c r="A6497" t="s">
        <v>17</v>
      </c>
      <c r="B6497" t="s">
        <v>87</v>
      </c>
      <c r="C6497">
        <v>202503</v>
      </c>
      <c r="D6497" t="str">
        <f t="shared" si="101"/>
        <v>2025</v>
      </c>
      <c r="E6497">
        <v>1060</v>
      </c>
      <c r="F6497">
        <v>68257</v>
      </c>
      <c r="G6497">
        <v>1.55</v>
      </c>
      <c r="H6497" t="s">
        <v>10</v>
      </c>
      <c r="I6497" t="s">
        <v>11</v>
      </c>
    </row>
    <row r="6498" spans="1:9" x14ac:dyDescent="0.25">
      <c r="A6498" t="s">
        <v>17</v>
      </c>
      <c r="B6498" t="s">
        <v>87</v>
      </c>
      <c r="C6498">
        <v>202504</v>
      </c>
      <c r="D6498" t="str">
        <f t="shared" si="101"/>
        <v>2025</v>
      </c>
      <c r="E6498">
        <v>1337</v>
      </c>
      <c r="F6498">
        <v>68257</v>
      </c>
      <c r="G6498">
        <v>1.96</v>
      </c>
      <c r="H6498" t="s">
        <v>10</v>
      </c>
      <c r="I6498" t="s">
        <v>11</v>
      </c>
    </row>
    <row r="6499" spans="1:9" x14ac:dyDescent="0.25">
      <c r="A6499" t="s">
        <v>17</v>
      </c>
      <c r="B6499" t="s">
        <v>87</v>
      </c>
      <c r="C6499">
        <v>202505</v>
      </c>
      <c r="D6499" t="str">
        <f t="shared" si="101"/>
        <v>2025</v>
      </c>
      <c r="E6499">
        <v>1258</v>
      </c>
      <c r="F6499">
        <v>68257</v>
      </c>
      <c r="G6499">
        <v>1.84</v>
      </c>
      <c r="H6499" t="s">
        <v>10</v>
      </c>
      <c r="I6499" t="s">
        <v>11</v>
      </c>
    </row>
    <row r="6500" spans="1:9" x14ac:dyDescent="0.25">
      <c r="A6500" t="s">
        <v>17</v>
      </c>
      <c r="B6500" t="s">
        <v>87</v>
      </c>
      <c r="C6500">
        <v>202506</v>
      </c>
      <c r="D6500" t="str">
        <f t="shared" si="101"/>
        <v>2025</v>
      </c>
      <c r="E6500">
        <v>1705</v>
      </c>
      <c r="F6500">
        <v>68257</v>
      </c>
      <c r="G6500">
        <v>2.5</v>
      </c>
      <c r="H6500" t="s">
        <v>10</v>
      </c>
      <c r="I6500" t="s">
        <v>11</v>
      </c>
    </row>
    <row r="6501" spans="1:9" x14ac:dyDescent="0.25">
      <c r="A6501" t="s">
        <v>17</v>
      </c>
      <c r="B6501" t="s">
        <v>87</v>
      </c>
      <c r="C6501">
        <v>202507</v>
      </c>
      <c r="D6501" t="str">
        <f t="shared" si="101"/>
        <v>2025</v>
      </c>
      <c r="E6501">
        <v>4634</v>
      </c>
      <c r="F6501">
        <v>68257</v>
      </c>
      <c r="G6501">
        <v>6.79</v>
      </c>
      <c r="H6501" t="s">
        <v>10</v>
      </c>
      <c r="I6501" t="s">
        <v>11</v>
      </c>
    </row>
    <row r="6502" spans="1:9" x14ac:dyDescent="0.25">
      <c r="A6502" t="s">
        <v>17</v>
      </c>
      <c r="B6502" t="s">
        <v>87</v>
      </c>
      <c r="C6502">
        <v>202508</v>
      </c>
      <c r="D6502" t="str">
        <f t="shared" si="101"/>
        <v>2025</v>
      </c>
      <c r="E6502">
        <v>29198</v>
      </c>
      <c r="F6502">
        <v>68257</v>
      </c>
      <c r="G6502">
        <v>42.78</v>
      </c>
      <c r="H6502" t="s">
        <v>10</v>
      </c>
      <c r="I6502" t="s">
        <v>11</v>
      </c>
    </row>
    <row r="6503" spans="1:9" x14ac:dyDescent="0.25">
      <c r="A6503" t="s">
        <v>17</v>
      </c>
      <c r="B6503" t="s">
        <v>87</v>
      </c>
      <c r="C6503">
        <v>202509</v>
      </c>
      <c r="D6503" t="str">
        <f t="shared" si="101"/>
        <v>2025</v>
      </c>
      <c r="E6503">
        <v>22419</v>
      </c>
      <c r="F6503">
        <v>68257</v>
      </c>
      <c r="G6503">
        <v>32.840000000000003</v>
      </c>
      <c r="H6503" t="s">
        <v>10</v>
      </c>
      <c r="I6503" t="s">
        <v>11</v>
      </c>
    </row>
    <row r="6504" spans="1:9" hidden="1" x14ac:dyDescent="0.25">
      <c r="A6504" t="s">
        <v>17</v>
      </c>
      <c r="B6504" t="s">
        <v>179</v>
      </c>
      <c r="C6504">
        <v>202208</v>
      </c>
      <c r="D6504" t="str">
        <f t="shared" si="101"/>
        <v>2022</v>
      </c>
      <c r="E6504">
        <v>1</v>
      </c>
      <c r="F6504">
        <v>103773</v>
      </c>
      <c r="G6504">
        <v>0</v>
      </c>
      <c r="H6504" t="s">
        <v>10</v>
      </c>
      <c r="I6504" t="s">
        <v>11</v>
      </c>
    </row>
    <row r="6505" spans="1:9" hidden="1" x14ac:dyDescent="0.25">
      <c r="A6505" t="s">
        <v>17</v>
      </c>
      <c r="B6505" t="s">
        <v>179</v>
      </c>
      <c r="C6505">
        <v>202209</v>
      </c>
      <c r="D6505" t="str">
        <f t="shared" si="101"/>
        <v>2022</v>
      </c>
      <c r="E6505">
        <v>1</v>
      </c>
      <c r="F6505">
        <v>103773</v>
      </c>
      <c r="G6505">
        <v>0</v>
      </c>
      <c r="H6505" t="s">
        <v>10</v>
      </c>
      <c r="I6505" t="s">
        <v>11</v>
      </c>
    </row>
    <row r="6506" spans="1:9" hidden="1" x14ac:dyDescent="0.25">
      <c r="A6506" t="s">
        <v>17</v>
      </c>
      <c r="B6506" t="s">
        <v>179</v>
      </c>
      <c r="C6506">
        <v>202302</v>
      </c>
      <c r="D6506" t="str">
        <f t="shared" si="101"/>
        <v>2023</v>
      </c>
      <c r="E6506">
        <v>24</v>
      </c>
      <c r="F6506">
        <v>103773</v>
      </c>
      <c r="G6506">
        <v>0.02</v>
      </c>
      <c r="H6506" t="s">
        <v>10</v>
      </c>
      <c r="I6506" t="s">
        <v>11</v>
      </c>
    </row>
    <row r="6507" spans="1:9" hidden="1" x14ac:dyDescent="0.25">
      <c r="A6507" t="s">
        <v>17</v>
      </c>
      <c r="B6507" t="s">
        <v>179</v>
      </c>
      <c r="C6507">
        <v>202304</v>
      </c>
      <c r="D6507" t="str">
        <f t="shared" si="101"/>
        <v>2023</v>
      </c>
      <c r="E6507">
        <v>16</v>
      </c>
      <c r="F6507">
        <v>103773</v>
      </c>
      <c r="G6507">
        <v>0.02</v>
      </c>
      <c r="H6507" t="s">
        <v>10</v>
      </c>
      <c r="I6507" t="s">
        <v>11</v>
      </c>
    </row>
    <row r="6508" spans="1:9" hidden="1" x14ac:dyDescent="0.25">
      <c r="A6508" t="s">
        <v>17</v>
      </c>
      <c r="B6508" t="s">
        <v>179</v>
      </c>
      <c r="C6508">
        <v>202305</v>
      </c>
      <c r="D6508" t="str">
        <f t="shared" si="101"/>
        <v>2023</v>
      </c>
      <c r="E6508">
        <v>5</v>
      </c>
      <c r="F6508">
        <v>103773</v>
      </c>
      <c r="G6508">
        <v>0</v>
      </c>
      <c r="H6508" t="s">
        <v>10</v>
      </c>
      <c r="I6508" t="s">
        <v>11</v>
      </c>
    </row>
    <row r="6509" spans="1:9" hidden="1" x14ac:dyDescent="0.25">
      <c r="A6509" t="s">
        <v>17</v>
      </c>
      <c r="B6509" t="s">
        <v>179</v>
      </c>
      <c r="C6509">
        <v>202306</v>
      </c>
      <c r="D6509" t="str">
        <f t="shared" si="101"/>
        <v>2023</v>
      </c>
      <c r="E6509">
        <v>28</v>
      </c>
      <c r="F6509">
        <v>103773</v>
      </c>
      <c r="G6509">
        <v>0.03</v>
      </c>
      <c r="H6509" t="s">
        <v>10</v>
      </c>
      <c r="I6509" t="s">
        <v>11</v>
      </c>
    </row>
    <row r="6510" spans="1:9" hidden="1" x14ac:dyDescent="0.25">
      <c r="A6510" t="s">
        <v>17</v>
      </c>
      <c r="B6510" t="s">
        <v>179</v>
      </c>
      <c r="C6510">
        <v>202308</v>
      </c>
      <c r="D6510" t="str">
        <f t="shared" si="101"/>
        <v>2023</v>
      </c>
      <c r="E6510">
        <v>29</v>
      </c>
      <c r="F6510">
        <v>103773</v>
      </c>
      <c r="G6510">
        <v>0.03</v>
      </c>
      <c r="H6510" t="s">
        <v>10</v>
      </c>
      <c r="I6510" t="s">
        <v>11</v>
      </c>
    </row>
    <row r="6511" spans="1:9" hidden="1" x14ac:dyDescent="0.25">
      <c r="A6511" t="s">
        <v>17</v>
      </c>
      <c r="B6511" t="s">
        <v>179</v>
      </c>
      <c r="C6511">
        <v>202309</v>
      </c>
      <c r="D6511" t="str">
        <f t="shared" si="101"/>
        <v>2023</v>
      </c>
      <c r="E6511">
        <v>30</v>
      </c>
      <c r="F6511">
        <v>103773</v>
      </c>
      <c r="G6511">
        <v>0.03</v>
      </c>
      <c r="H6511" t="s">
        <v>10</v>
      </c>
      <c r="I6511" t="s">
        <v>11</v>
      </c>
    </row>
    <row r="6512" spans="1:9" hidden="1" x14ac:dyDescent="0.25">
      <c r="A6512" t="s">
        <v>17</v>
      </c>
      <c r="B6512" t="s">
        <v>179</v>
      </c>
      <c r="C6512">
        <v>202310</v>
      </c>
      <c r="D6512" t="str">
        <f t="shared" si="101"/>
        <v>2023</v>
      </c>
      <c r="E6512">
        <v>24</v>
      </c>
      <c r="F6512">
        <v>103773</v>
      </c>
      <c r="G6512">
        <v>0.02</v>
      </c>
      <c r="H6512" t="s">
        <v>10</v>
      </c>
      <c r="I6512" t="s">
        <v>11</v>
      </c>
    </row>
    <row r="6513" spans="1:9" hidden="1" x14ac:dyDescent="0.25">
      <c r="A6513" t="s">
        <v>17</v>
      </c>
      <c r="B6513" t="s">
        <v>179</v>
      </c>
      <c r="C6513">
        <v>202311</v>
      </c>
      <c r="D6513" t="str">
        <f t="shared" si="101"/>
        <v>2023</v>
      </c>
      <c r="E6513">
        <v>62</v>
      </c>
      <c r="F6513">
        <v>103773</v>
      </c>
      <c r="G6513">
        <v>0.06</v>
      </c>
      <c r="H6513" t="s">
        <v>10</v>
      </c>
      <c r="I6513" t="s">
        <v>11</v>
      </c>
    </row>
    <row r="6514" spans="1:9" hidden="1" x14ac:dyDescent="0.25">
      <c r="A6514" t="s">
        <v>17</v>
      </c>
      <c r="B6514" t="s">
        <v>179</v>
      </c>
      <c r="C6514">
        <v>202312</v>
      </c>
      <c r="D6514" t="str">
        <f t="shared" si="101"/>
        <v>2023</v>
      </c>
      <c r="E6514">
        <v>48</v>
      </c>
      <c r="F6514">
        <v>103773</v>
      </c>
      <c r="G6514">
        <v>0.05</v>
      </c>
      <c r="H6514" t="s">
        <v>10</v>
      </c>
      <c r="I6514" t="s">
        <v>11</v>
      </c>
    </row>
    <row r="6515" spans="1:9" hidden="1" x14ac:dyDescent="0.25">
      <c r="A6515" t="s">
        <v>17</v>
      </c>
      <c r="B6515" t="s">
        <v>179</v>
      </c>
      <c r="C6515">
        <v>202401</v>
      </c>
      <c r="D6515" t="str">
        <f t="shared" si="101"/>
        <v>2024</v>
      </c>
      <c r="E6515">
        <v>107</v>
      </c>
      <c r="F6515">
        <v>103773</v>
      </c>
      <c r="G6515">
        <v>0.1</v>
      </c>
      <c r="H6515" t="s">
        <v>10</v>
      </c>
      <c r="I6515" t="s">
        <v>11</v>
      </c>
    </row>
    <row r="6516" spans="1:9" hidden="1" x14ac:dyDescent="0.25">
      <c r="A6516" t="s">
        <v>17</v>
      </c>
      <c r="B6516" t="s">
        <v>179</v>
      </c>
      <c r="C6516">
        <v>202402</v>
      </c>
      <c r="D6516" t="str">
        <f t="shared" si="101"/>
        <v>2024</v>
      </c>
      <c r="E6516">
        <v>84</v>
      </c>
      <c r="F6516">
        <v>103773</v>
      </c>
      <c r="G6516">
        <v>0.08</v>
      </c>
      <c r="H6516" t="s">
        <v>10</v>
      </c>
      <c r="I6516" t="s">
        <v>11</v>
      </c>
    </row>
    <row r="6517" spans="1:9" hidden="1" x14ac:dyDescent="0.25">
      <c r="A6517" t="s">
        <v>17</v>
      </c>
      <c r="B6517" t="s">
        <v>179</v>
      </c>
      <c r="C6517">
        <v>202403</v>
      </c>
      <c r="D6517" t="str">
        <f t="shared" si="101"/>
        <v>2024</v>
      </c>
      <c r="E6517">
        <v>102</v>
      </c>
      <c r="F6517">
        <v>103773</v>
      </c>
      <c r="G6517">
        <v>0.1</v>
      </c>
      <c r="H6517" t="s">
        <v>10</v>
      </c>
      <c r="I6517" t="s">
        <v>11</v>
      </c>
    </row>
    <row r="6518" spans="1:9" hidden="1" x14ac:dyDescent="0.25">
      <c r="A6518" t="s">
        <v>17</v>
      </c>
      <c r="B6518" t="s">
        <v>179</v>
      </c>
      <c r="C6518">
        <v>202404</v>
      </c>
      <c r="D6518" t="str">
        <f t="shared" si="101"/>
        <v>2024</v>
      </c>
      <c r="E6518">
        <v>68</v>
      </c>
      <c r="F6518">
        <v>103773</v>
      </c>
      <c r="G6518">
        <v>7.0000000000000007E-2</v>
      </c>
      <c r="H6518" t="s">
        <v>10</v>
      </c>
      <c r="I6518" t="s">
        <v>11</v>
      </c>
    </row>
    <row r="6519" spans="1:9" hidden="1" x14ac:dyDescent="0.25">
      <c r="A6519" t="s">
        <v>17</v>
      </c>
      <c r="B6519" t="s">
        <v>179</v>
      </c>
      <c r="C6519">
        <v>202405</v>
      </c>
      <c r="D6519" t="str">
        <f t="shared" si="101"/>
        <v>2024</v>
      </c>
      <c r="E6519">
        <v>41</v>
      </c>
      <c r="F6519">
        <v>103773</v>
      </c>
      <c r="G6519">
        <v>0.04</v>
      </c>
      <c r="H6519" t="s">
        <v>10</v>
      </c>
      <c r="I6519" t="s">
        <v>11</v>
      </c>
    </row>
    <row r="6520" spans="1:9" hidden="1" x14ac:dyDescent="0.25">
      <c r="A6520" t="s">
        <v>17</v>
      </c>
      <c r="B6520" t="s">
        <v>179</v>
      </c>
      <c r="C6520">
        <v>202406</v>
      </c>
      <c r="D6520" t="str">
        <f t="shared" si="101"/>
        <v>2024</v>
      </c>
      <c r="E6520">
        <v>32</v>
      </c>
      <c r="F6520">
        <v>103773</v>
      </c>
      <c r="G6520">
        <v>0.03</v>
      </c>
      <c r="H6520" t="s">
        <v>10</v>
      </c>
      <c r="I6520" t="s">
        <v>11</v>
      </c>
    </row>
    <row r="6521" spans="1:9" hidden="1" x14ac:dyDescent="0.25">
      <c r="A6521" t="s">
        <v>17</v>
      </c>
      <c r="B6521" t="s">
        <v>179</v>
      </c>
      <c r="C6521">
        <v>202407</v>
      </c>
      <c r="D6521" t="str">
        <f t="shared" si="101"/>
        <v>2024</v>
      </c>
      <c r="E6521">
        <v>38</v>
      </c>
      <c r="F6521">
        <v>103773</v>
      </c>
      <c r="G6521">
        <v>0.04</v>
      </c>
      <c r="H6521" t="s">
        <v>10</v>
      </c>
      <c r="I6521" t="s">
        <v>11</v>
      </c>
    </row>
    <row r="6522" spans="1:9" hidden="1" x14ac:dyDescent="0.25">
      <c r="A6522" t="s">
        <v>17</v>
      </c>
      <c r="B6522" t="s">
        <v>179</v>
      </c>
      <c r="C6522">
        <v>202408</v>
      </c>
      <c r="D6522" t="str">
        <f t="shared" si="101"/>
        <v>2024</v>
      </c>
      <c r="E6522">
        <v>175</v>
      </c>
      <c r="F6522">
        <v>103773</v>
      </c>
      <c r="G6522">
        <v>0.17</v>
      </c>
      <c r="H6522" t="s">
        <v>10</v>
      </c>
      <c r="I6522" t="s">
        <v>11</v>
      </c>
    </row>
    <row r="6523" spans="1:9" hidden="1" x14ac:dyDescent="0.25">
      <c r="A6523" t="s">
        <v>17</v>
      </c>
      <c r="B6523" t="s">
        <v>179</v>
      </c>
      <c r="C6523">
        <v>202409</v>
      </c>
      <c r="D6523" t="str">
        <f t="shared" si="101"/>
        <v>2024</v>
      </c>
      <c r="E6523">
        <v>162</v>
      </c>
      <c r="F6523">
        <v>103773</v>
      </c>
      <c r="G6523">
        <v>0.16</v>
      </c>
      <c r="H6523" t="s">
        <v>10</v>
      </c>
      <c r="I6523" t="s">
        <v>11</v>
      </c>
    </row>
    <row r="6524" spans="1:9" hidden="1" x14ac:dyDescent="0.25">
      <c r="A6524" t="s">
        <v>17</v>
      </c>
      <c r="B6524" t="s">
        <v>179</v>
      </c>
      <c r="C6524">
        <v>202410</v>
      </c>
      <c r="D6524" t="str">
        <f t="shared" si="101"/>
        <v>2024</v>
      </c>
      <c r="E6524">
        <v>244</v>
      </c>
      <c r="F6524">
        <v>103773</v>
      </c>
      <c r="G6524">
        <v>0.24</v>
      </c>
      <c r="H6524" t="s">
        <v>10</v>
      </c>
      <c r="I6524" t="s">
        <v>11</v>
      </c>
    </row>
    <row r="6525" spans="1:9" hidden="1" x14ac:dyDescent="0.25">
      <c r="A6525" t="s">
        <v>17</v>
      </c>
      <c r="B6525" t="s">
        <v>179</v>
      </c>
      <c r="C6525">
        <v>202411</v>
      </c>
      <c r="D6525" t="str">
        <f t="shared" si="101"/>
        <v>2024</v>
      </c>
      <c r="E6525">
        <v>253</v>
      </c>
      <c r="F6525">
        <v>103773</v>
      </c>
      <c r="G6525">
        <v>0.24</v>
      </c>
      <c r="H6525" t="s">
        <v>10</v>
      </c>
      <c r="I6525" t="s">
        <v>11</v>
      </c>
    </row>
    <row r="6526" spans="1:9" hidden="1" x14ac:dyDescent="0.25">
      <c r="A6526" t="s">
        <v>17</v>
      </c>
      <c r="B6526" t="s">
        <v>179</v>
      </c>
      <c r="C6526">
        <v>202412</v>
      </c>
      <c r="D6526" t="str">
        <f t="shared" si="101"/>
        <v>2024</v>
      </c>
      <c r="E6526">
        <v>515</v>
      </c>
      <c r="F6526">
        <v>103773</v>
      </c>
      <c r="G6526">
        <v>0.5</v>
      </c>
      <c r="H6526" t="s">
        <v>10</v>
      </c>
      <c r="I6526" t="s">
        <v>11</v>
      </c>
    </row>
    <row r="6527" spans="1:9" x14ac:dyDescent="0.25">
      <c r="A6527" t="s">
        <v>17</v>
      </c>
      <c r="B6527" t="s">
        <v>179</v>
      </c>
      <c r="C6527">
        <v>202501</v>
      </c>
      <c r="D6527" t="str">
        <f t="shared" si="101"/>
        <v>2025</v>
      </c>
      <c r="E6527">
        <v>3391</v>
      </c>
      <c r="F6527">
        <v>103773</v>
      </c>
      <c r="G6527">
        <v>3.27</v>
      </c>
      <c r="H6527" t="s">
        <v>10</v>
      </c>
      <c r="I6527" t="s">
        <v>11</v>
      </c>
    </row>
    <row r="6528" spans="1:9" x14ac:dyDescent="0.25">
      <c r="A6528" t="s">
        <v>17</v>
      </c>
      <c r="B6528" t="s">
        <v>179</v>
      </c>
      <c r="C6528">
        <v>202502</v>
      </c>
      <c r="D6528" t="str">
        <f t="shared" si="101"/>
        <v>2025</v>
      </c>
      <c r="E6528">
        <v>3395</v>
      </c>
      <c r="F6528">
        <v>103773</v>
      </c>
      <c r="G6528">
        <v>3.27</v>
      </c>
      <c r="H6528" t="s">
        <v>10</v>
      </c>
      <c r="I6528" t="s">
        <v>11</v>
      </c>
    </row>
    <row r="6529" spans="1:9" x14ac:dyDescent="0.25">
      <c r="A6529" t="s">
        <v>17</v>
      </c>
      <c r="B6529" t="s">
        <v>179</v>
      </c>
      <c r="C6529">
        <v>202503</v>
      </c>
      <c r="D6529" t="str">
        <f t="shared" si="101"/>
        <v>2025</v>
      </c>
      <c r="E6529">
        <v>3795</v>
      </c>
      <c r="F6529">
        <v>103773</v>
      </c>
      <c r="G6529">
        <v>3.66</v>
      </c>
      <c r="H6529" t="s">
        <v>10</v>
      </c>
      <c r="I6529" t="s">
        <v>11</v>
      </c>
    </row>
    <row r="6530" spans="1:9" x14ac:dyDescent="0.25">
      <c r="A6530" t="s">
        <v>17</v>
      </c>
      <c r="B6530" t="s">
        <v>179</v>
      </c>
      <c r="C6530">
        <v>202504</v>
      </c>
      <c r="D6530" t="str">
        <f t="shared" si="101"/>
        <v>2025</v>
      </c>
      <c r="E6530">
        <v>4158</v>
      </c>
      <c r="F6530">
        <v>103773</v>
      </c>
      <c r="G6530">
        <v>4.01</v>
      </c>
      <c r="H6530" t="s">
        <v>10</v>
      </c>
      <c r="I6530" t="s">
        <v>11</v>
      </c>
    </row>
    <row r="6531" spans="1:9" x14ac:dyDescent="0.25">
      <c r="A6531" t="s">
        <v>17</v>
      </c>
      <c r="B6531" t="s">
        <v>179</v>
      </c>
      <c r="C6531">
        <v>202505</v>
      </c>
      <c r="D6531" t="str">
        <f t="shared" ref="D6531:D6594" si="102">LEFT(C6531,4)</f>
        <v>2025</v>
      </c>
      <c r="E6531">
        <v>4133</v>
      </c>
      <c r="F6531">
        <v>103773</v>
      </c>
      <c r="G6531">
        <v>3.98</v>
      </c>
      <c r="H6531" t="s">
        <v>10</v>
      </c>
      <c r="I6531" t="s">
        <v>11</v>
      </c>
    </row>
    <row r="6532" spans="1:9" x14ac:dyDescent="0.25">
      <c r="A6532" t="s">
        <v>17</v>
      </c>
      <c r="B6532" t="s">
        <v>179</v>
      </c>
      <c r="C6532">
        <v>202506</v>
      </c>
      <c r="D6532" t="str">
        <f t="shared" si="102"/>
        <v>2025</v>
      </c>
      <c r="E6532">
        <v>4694</v>
      </c>
      <c r="F6532">
        <v>103773</v>
      </c>
      <c r="G6532">
        <v>4.5199999999999996</v>
      </c>
      <c r="H6532" t="s">
        <v>10</v>
      </c>
      <c r="I6532" t="s">
        <v>11</v>
      </c>
    </row>
    <row r="6533" spans="1:9" x14ac:dyDescent="0.25">
      <c r="A6533" t="s">
        <v>17</v>
      </c>
      <c r="B6533" t="s">
        <v>179</v>
      </c>
      <c r="C6533">
        <v>202507</v>
      </c>
      <c r="D6533" t="str">
        <f t="shared" si="102"/>
        <v>2025</v>
      </c>
      <c r="E6533">
        <v>6874</v>
      </c>
      <c r="F6533">
        <v>103773</v>
      </c>
      <c r="G6533">
        <v>6.62</v>
      </c>
      <c r="H6533" t="s">
        <v>10</v>
      </c>
      <c r="I6533" t="s">
        <v>11</v>
      </c>
    </row>
    <row r="6534" spans="1:9" x14ac:dyDescent="0.25">
      <c r="A6534" t="s">
        <v>17</v>
      </c>
      <c r="B6534" t="s">
        <v>179</v>
      </c>
      <c r="C6534">
        <v>202508</v>
      </c>
      <c r="D6534" t="str">
        <f t="shared" si="102"/>
        <v>2025</v>
      </c>
      <c r="E6534">
        <v>11256</v>
      </c>
      <c r="F6534">
        <v>103773</v>
      </c>
      <c r="G6534">
        <v>10.85</v>
      </c>
      <c r="H6534" t="s">
        <v>10</v>
      </c>
      <c r="I6534" t="s">
        <v>11</v>
      </c>
    </row>
    <row r="6535" spans="1:9" x14ac:dyDescent="0.25">
      <c r="A6535" t="s">
        <v>17</v>
      </c>
      <c r="B6535" t="s">
        <v>179</v>
      </c>
      <c r="C6535">
        <v>202509</v>
      </c>
      <c r="D6535" t="str">
        <f t="shared" si="102"/>
        <v>2025</v>
      </c>
      <c r="E6535">
        <v>34797</v>
      </c>
      <c r="F6535">
        <v>103773</v>
      </c>
      <c r="G6535">
        <v>33.53</v>
      </c>
      <c r="H6535" t="s">
        <v>10</v>
      </c>
      <c r="I6535" t="s">
        <v>11</v>
      </c>
    </row>
    <row r="6536" spans="1:9" x14ac:dyDescent="0.25">
      <c r="A6536" t="s">
        <v>17</v>
      </c>
      <c r="B6536" t="s">
        <v>179</v>
      </c>
      <c r="C6536">
        <v>202510</v>
      </c>
      <c r="D6536" t="str">
        <f t="shared" si="102"/>
        <v>2025</v>
      </c>
      <c r="E6536">
        <v>25191</v>
      </c>
      <c r="F6536">
        <v>103773</v>
      </c>
      <c r="G6536">
        <v>24.28</v>
      </c>
      <c r="H6536" t="s">
        <v>10</v>
      </c>
      <c r="I6536" t="s">
        <v>11</v>
      </c>
    </row>
    <row r="6537" spans="1:9" hidden="1" x14ac:dyDescent="0.25">
      <c r="A6537" t="s">
        <v>17</v>
      </c>
      <c r="B6537" t="s">
        <v>134</v>
      </c>
      <c r="C6537">
        <v>202301</v>
      </c>
      <c r="D6537" t="str">
        <f t="shared" si="102"/>
        <v>2023</v>
      </c>
      <c r="E6537">
        <v>16</v>
      </c>
      <c r="F6537">
        <v>85741</v>
      </c>
      <c r="G6537">
        <v>0.02</v>
      </c>
      <c r="H6537" t="s">
        <v>10</v>
      </c>
      <c r="I6537" t="s">
        <v>11</v>
      </c>
    </row>
    <row r="6538" spans="1:9" hidden="1" x14ac:dyDescent="0.25">
      <c r="A6538" t="s">
        <v>17</v>
      </c>
      <c r="B6538" t="s">
        <v>134</v>
      </c>
      <c r="C6538">
        <v>202304</v>
      </c>
      <c r="D6538" t="str">
        <f t="shared" si="102"/>
        <v>2023</v>
      </c>
      <c r="E6538">
        <v>5</v>
      </c>
      <c r="F6538">
        <v>85741</v>
      </c>
      <c r="G6538">
        <v>0.01</v>
      </c>
      <c r="H6538" t="s">
        <v>10</v>
      </c>
      <c r="I6538" t="s">
        <v>11</v>
      </c>
    </row>
    <row r="6539" spans="1:9" hidden="1" x14ac:dyDescent="0.25">
      <c r="A6539" t="s">
        <v>17</v>
      </c>
      <c r="B6539" t="s">
        <v>134</v>
      </c>
      <c r="C6539">
        <v>202305</v>
      </c>
      <c r="D6539" t="str">
        <f t="shared" si="102"/>
        <v>2023</v>
      </c>
      <c r="E6539">
        <v>3</v>
      </c>
      <c r="F6539">
        <v>85741</v>
      </c>
      <c r="G6539">
        <v>0</v>
      </c>
      <c r="H6539" t="s">
        <v>10</v>
      </c>
      <c r="I6539" t="s">
        <v>11</v>
      </c>
    </row>
    <row r="6540" spans="1:9" hidden="1" x14ac:dyDescent="0.25">
      <c r="A6540" t="s">
        <v>17</v>
      </c>
      <c r="B6540" t="s">
        <v>134</v>
      </c>
      <c r="C6540">
        <v>202306</v>
      </c>
      <c r="D6540" t="str">
        <f t="shared" si="102"/>
        <v>2023</v>
      </c>
      <c r="E6540">
        <v>1</v>
      </c>
      <c r="F6540">
        <v>85741</v>
      </c>
      <c r="G6540">
        <v>0</v>
      </c>
      <c r="H6540" t="s">
        <v>10</v>
      </c>
      <c r="I6540" t="s">
        <v>11</v>
      </c>
    </row>
    <row r="6541" spans="1:9" hidden="1" x14ac:dyDescent="0.25">
      <c r="A6541" t="s">
        <v>17</v>
      </c>
      <c r="B6541" t="s">
        <v>134</v>
      </c>
      <c r="C6541">
        <v>202307</v>
      </c>
      <c r="D6541" t="str">
        <f t="shared" si="102"/>
        <v>2023</v>
      </c>
      <c r="E6541">
        <v>58</v>
      </c>
      <c r="F6541">
        <v>85741</v>
      </c>
      <c r="G6541">
        <v>7.0000000000000007E-2</v>
      </c>
      <c r="H6541" t="s">
        <v>10</v>
      </c>
      <c r="I6541" t="s">
        <v>11</v>
      </c>
    </row>
    <row r="6542" spans="1:9" hidden="1" x14ac:dyDescent="0.25">
      <c r="A6542" t="s">
        <v>17</v>
      </c>
      <c r="B6542" t="s">
        <v>134</v>
      </c>
      <c r="C6542">
        <v>202308</v>
      </c>
      <c r="D6542" t="str">
        <f t="shared" si="102"/>
        <v>2023</v>
      </c>
      <c r="E6542">
        <v>3</v>
      </c>
      <c r="F6542">
        <v>85741</v>
      </c>
      <c r="G6542">
        <v>0</v>
      </c>
      <c r="H6542" t="s">
        <v>10</v>
      </c>
      <c r="I6542" t="s">
        <v>11</v>
      </c>
    </row>
    <row r="6543" spans="1:9" hidden="1" x14ac:dyDescent="0.25">
      <c r="A6543" t="s">
        <v>17</v>
      </c>
      <c r="B6543" t="s">
        <v>134</v>
      </c>
      <c r="C6543">
        <v>202309</v>
      </c>
      <c r="D6543" t="str">
        <f t="shared" si="102"/>
        <v>2023</v>
      </c>
      <c r="E6543">
        <v>19</v>
      </c>
      <c r="F6543">
        <v>85741</v>
      </c>
      <c r="G6543">
        <v>0.02</v>
      </c>
      <c r="H6543" t="s">
        <v>10</v>
      </c>
      <c r="I6543" t="s">
        <v>11</v>
      </c>
    </row>
    <row r="6544" spans="1:9" hidden="1" x14ac:dyDescent="0.25">
      <c r="A6544" t="s">
        <v>17</v>
      </c>
      <c r="B6544" t="s">
        <v>134</v>
      </c>
      <c r="C6544">
        <v>202310</v>
      </c>
      <c r="D6544" t="str">
        <f t="shared" si="102"/>
        <v>2023</v>
      </c>
      <c r="E6544">
        <v>20</v>
      </c>
      <c r="F6544">
        <v>85741</v>
      </c>
      <c r="G6544">
        <v>0.02</v>
      </c>
      <c r="H6544" t="s">
        <v>10</v>
      </c>
      <c r="I6544" t="s">
        <v>11</v>
      </c>
    </row>
    <row r="6545" spans="1:9" hidden="1" x14ac:dyDescent="0.25">
      <c r="A6545" t="s">
        <v>17</v>
      </c>
      <c r="B6545" t="s">
        <v>134</v>
      </c>
      <c r="C6545">
        <v>202311</v>
      </c>
      <c r="D6545" t="str">
        <f t="shared" si="102"/>
        <v>2023</v>
      </c>
      <c r="E6545">
        <v>4</v>
      </c>
      <c r="F6545">
        <v>85741</v>
      </c>
      <c r="G6545">
        <v>0</v>
      </c>
      <c r="H6545" t="s">
        <v>10</v>
      </c>
      <c r="I6545" t="s">
        <v>11</v>
      </c>
    </row>
    <row r="6546" spans="1:9" hidden="1" x14ac:dyDescent="0.25">
      <c r="A6546" t="s">
        <v>17</v>
      </c>
      <c r="B6546" t="s">
        <v>134</v>
      </c>
      <c r="C6546">
        <v>202401</v>
      </c>
      <c r="D6546" t="str">
        <f t="shared" si="102"/>
        <v>2024</v>
      </c>
      <c r="E6546">
        <v>32</v>
      </c>
      <c r="F6546">
        <v>85741</v>
      </c>
      <c r="G6546">
        <v>0.04</v>
      </c>
      <c r="H6546" t="s">
        <v>10</v>
      </c>
      <c r="I6546" t="s">
        <v>11</v>
      </c>
    </row>
    <row r="6547" spans="1:9" hidden="1" x14ac:dyDescent="0.25">
      <c r="A6547" t="s">
        <v>17</v>
      </c>
      <c r="B6547" t="s">
        <v>134</v>
      </c>
      <c r="C6547">
        <v>202402</v>
      </c>
      <c r="D6547" t="str">
        <f t="shared" si="102"/>
        <v>2024</v>
      </c>
      <c r="E6547">
        <v>65</v>
      </c>
      <c r="F6547">
        <v>85741</v>
      </c>
      <c r="G6547">
        <v>0.08</v>
      </c>
      <c r="H6547" t="s">
        <v>10</v>
      </c>
      <c r="I6547" t="s">
        <v>11</v>
      </c>
    </row>
    <row r="6548" spans="1:9" hidden="1" x14ac:dyDescent="0.25">
      <c r="A6548" t="s">
        <v>17</v>
      </c>
      <c r="B6548" t="s">
        <v>134</v>
      </c>
      <c r="C6548">
        <v>202403</v>
      </c>
      <c r="D6548" t="str">
        <f t="shared" si="102"/>
        <v>2024</v>
      </c>
      <c r="E6548">
        <v>25</v>
      </c>
      <c r="F6548">
        <v>85741</v>
      </c>
      <c r="G6548">
        <v>0.03</v>
      </c>
      <c r="H6548" t="s">
        <v>10</v>
      </c>
      <c r="I6548" t="s">
        <v>11</v>
      </c>
    </row>
    <row r="6549" spans="1:9" hidden="1" x14ac:dyDescent="0.25">
      <c r="A6549" t="s">
        <v>17</v>
      </c>
      <c r="B6549" t="s">
        <v>134</v>
      </c>
      <c r="C6549">
        <v>202404</v>
      </c>
      <c r="D6549" t="str">
        <f t="shared" si="102"/>
        <v>2024</v>
      </c>
      <c r="E6549">
        <v>74</v>
      </c>
      <c r="F6549">
        <v>85741</v>
      </c>
      <c r="G6549">
        <v>0.09</v>
      </c>
      <c r="H6549" t="s">
        <v>10</v>
      </c>
      <c r="I6549" t="s">
        <v>11</v>
      </c>
    </row>
    <row r="6550" spans="1:9" hidden="1" x14ac:dyDescent="0.25">
      <c r="A6550" t="s">
        <v>17</v>
      </c>
      <c r="B6550" t="s">
        <v>134</v>
      </c>
      <c r="C6550">
        <v>202405</v>
      </c>
      <c r="D6550" t="str">
        <f t="shared" si="102"/>
        <v>2024</v>
      </c>
      <c r="E6550">
        <v>68</v>
      </c>
      <c r="F6550">
        <v>85741</v>
      </c>
      <c r="G6550">
        <v>0.08</v>
      </c>
      <c r="H6550" t="s">
        <v>10</v>
      </c>
      <c r="I6550" t="s">
        <v>11</v>
      </c>
    </row>
    <row r="6551" spans="1:9" hidden="1" x14ac:dyDescent="0.25">
      <c r="A6551" t="s">
        <v>17</v>
      </c>
      <c r="B6551" t="s">
        <v>134</v>
      </c>
      <c r="C6551">
        <v>202406</v>
      </c>
      <c r="D6551" t="str">
        <f t="shared" si="102"/>
        <v>2024</v>
      </c>
      <c r="E6551">
        <v>93</v>
      </c>
      <c r="F6551">
        <v>85741</v>
      </c>
      <c r="G6551">
        <v>0.11</v>
      </c>
      <c r="H6551" t="s">
        <v>10</v>
      </c>
      <c r="I6551" t="s">
        <v>11</v>
      </c>
    </row>
    <row r="6552" spans="1:9" hidden="1" x14ac:dyDescent="0.25">
      <c r="A6552" t="s">
        <v>17</v>
      </c>
      <c r="B6552" t="s">
        <v>134</v>
      </c>
      <c r="C6552">
        <v>202407</v>
      </c>
      <c r="D6552" t="str">
        <f t="shared" si="102"/>
        <v>2024</v>
      </c>
      <c r="E6552">
        <v>51</v>
      </c>
      <c r="F6552">
        <v>85741</v>
      </c>
      <c r="G6552">
        <v>0.06</v>
      </c>
      <c r="H6552" t="s">
        <v>10</v>
      </c>
      <c r="I6552" t="s">
        <v>11</v>
      </c>
    </row>
    <row r="6553" spans="1:9" hidden="1" x14ac:dyDescent="0.25">
      <c r="A6553" t="s">
        <v>17</v>
      </c>
      <c r="B6553" t="s">
        <v>134</v>
      </c>
      <c r="C6553">
        <v>202408</v>
      </c>
      <c r="D6553" t="str">
        <f t="shared" si="102"/>
        <v>2024</v>
      </c>
      <c r="E6553">
        <v>105</v>
      </c>
      <c r="F6553">
        <v>85741</v>
      </c>
      <c r="G6553">
        <v>0.12</v>
      </c>
      <c r="H6553" t="s">
        <v>10</v>
      </c>
      <c r="I6553" t="s">
        <v>11</v>
      </c>
    </row>
    <row r="6554" spans="1:9" hidden="1" x14ac:dyDescent="0.25">
      <c r="A6554" t="s">
        <v>17</v>
      </c>
      <c r="B6554" t="s">
        <v>134</v>
      </c>
      <c r="C6554">
        <v>202409</v>
      </c>
      <c r="D6554" t="str">
        <f t="shared" si="102"/>
        <v>2024</v>
      </c>
      <c r="E6554">
        <v>103</v>
      </c>
      <c r="F6554">
        <v>85741</v>
      </c>
      <c r="G6554">
        <v>0.12</v>
      </c>
      <c r="H6554" t="s">
        <v>10</v>
      </c>
      <c r="I6554" t="s">
        <v>11</v>
      </c>
    </row>
    <row r="6555" spans="1:9" hidden="1" x14ac:dyDescent="0.25">
      <c r="A6555" t="s">
        <v>17</v>
      </c>
      <c r="B6555" t="s">
        <v>134</v>
      </c>
      <c r="C6555">
        <v>202410</v>
      </c>
      <c r="D6555" t="str">
        <f t="shared" si="102"/>
        <v>2024</v>
      </c>
      <c r="E6555">
        <v>142</v>
      </c>
      <c r="F6555">
        <v>85741</v>
      </c>
      <c r="G6555">
        <v>0.17</v>
      </c>
      <c r="H6555" t="s">
        <v>10</v>
      </c>
      <c r="I6555" t="s">
        <v>11</v>
      </c>
    </row>
    <row r="6556" spans="1:9" hidden="1" x14ac:dyDescent="0.25">
      <c r="A6556" t="s">
        <v>17</v>
      </c>
      <c r="B6556" t="s">
        <v>134</v>
      </c>
      <c r="C6556">
        <v>202411</v>
      </c>
      <c r="D6556" t="str">
        <f t="shared" si="102"/>
        <v>2024</v>
      </c>
      <c r="E6556">
        <v>227</v>
      </c>
      <c r="F6556">
        <v>85741</v>
      </c>
      <c r="G6556">
        <v>0.26</v>
      </c>
      <c r="H6556" t="s">
        <v>10</v>
      </c>
      <c r="I6556" t="s">
        <v>11</v>
      </c>
    </row>
    <row r="6557" spans="1:9" hidden="1" x14ac:dyDescent="0.25">
      <c r="A6557" t="s">
        <v>17</v>
      </c>
      <c r="B6557" t="s">
        <v>134</v>
      </c>
      <c r="C6557">
        <v>202412</v>
      </c>
      <c r="D6557" t="str">
        <f t="shared" si="102"/>
        <v>2024</v>
      </c>
      <c r="E6557">
        <v>262</v>
      </c>
      <c r="F6557">
        <v>85741</v>
      </c>
      <c r="G6557">
        <v>0.31</v>
      </c>
      <c r="H6557" t="s">
        <v>10</v>
      </c>
      <c r="I6557" t="s">
        <v>11</v>
      </c>
    </row>
    <row r="6558" spans="1:9" x14ac:dyDescent="0.25">
      <c r="A6558" t="s">
        <v>17</v>
      </c>
      <c r="B6558" t="s">
        <v>134</v>
      </c>
      <c r="C6558">
        <v>202501</v>
      </c>
      <c r="D6558" t="str">
        <f t="shared" si="102"/>
        <v>2025</v>
      </c>
      <c r="E6558">
        <v>196</v>
      </c>
      <c r="F6558">
        <v>85741</v>
      </c>
      <c r="G6558">
        <v>0.23</v>
      </c>
      <c r="H6558" t="s">
        <v>10</v>
      </c>
      <c r="I6558" t="s">
        <v>11</v>
      </c>
    </row>
    <row r="6559" spans="1:9" x14ac:dyDescent="0.25">
      <c r="A6559" t="s">
        <v>17</v>
      </c>
      <c r="B6559" t="s">
        <v>134</v>
      </c>
      <c r="C6559">
        <v>202502</v>
      </c>
      <c r="D6559" t="str">
        <f t="shared" si="102"/>
        <v>2025</v>
      </c>
      <c r="E6559">
        <v>344</v>
      </c>
      <c r="F6559">
        <v>85741</v>
      </c>
      <c r="G6559">
        <v>0.4</v>
      </c>
      <c r="H6559" t="s">
        <v>10</v>
      </c>
      <c r="I6559" t="s">
        <v>11</v>
      </c>
    </row>
    <row r="6560" spans="1:9" x14ac:dyDescent="0.25">
      <c r="A6560" t="s">
        <v>17</v>
      </c>
      <c r="B6560" t="s">
        <v>134</v>
      </c>
      <c r="C6560">
        <v>202503</v>
      </c>
      <c r="D6560" t="str">
        <f t="shared" si="102"/>
        <v>2025</v>
      </c>
      <c r="E6560">
        <v>383</v>
      </c>
      <c r="F6560">
        <v>85741</v>
      </c>
      <c r="G6560">
        <v>0.45</v>
      </c>
      <c r="H6560" t="s">
        <v>10</v>
      </c>
      <c r="I6560" t="s">
        <v>11</v>
      </c>
    </row>
    <row r="6561" spans="1:9" x14ac:dyDescent="0.25">
      <c r="A6561" t="s">
        <v>17</v>
      </c>
      <c r="B6561" t="s">
        <v>134</v>
      </c>
      <c r="C6561">
        <v>202504</v>
      </c>
      <c r="D6561" t="str">
        <f t="shared" si="102"/>
        <v>2025</v>
      </c>
      <c r="E6561">
        <v>616</v>
      </c>
      <c r="F6561">
        <v>85741</v>
      </c>
      <c r="G6561">
        <v>0.72</v>
      </c>
      <c r="H6561" t="s">
        <v>10</v>
      </c>
      <c r="I6561" t="s">
        <v>11</v>
      </c>
    </row>
    <row r="6562" spans="1:9" x14ac:dyDescent="0.25">
      <c r="A6562" t="s">
        <v>17</v>
      </c>
      <c r="B6562" t="s">
        <v>134</v>
      </c>
      <c r="C6562">
        <v>202505</v>
      </c>
      <c r="D6562" t="str">
        <f t="shared" si="102"/>
        <v>2025</v>
      </c>
      <c r="E6562">
        <v>600</v>
      </c>
      <c r="F6562">
        <v>85741</v>
      </c>
      <c r="G6562">
        <v>0.7</v>
      </c>
      <c r="H6562" t="s">
        <v>10</v>
      </c>
      <c r="I6562" t="s">
        <v>11</v>
      </c>
    </row>
    <row r="6563" spans="1:9" x14ac:dyDescent="0.25">
      <c r="A6563" t="s">
        <v>17</v>
      </c>
      <c r="B6563" t="s">
        <v>134</v>
      </c>
      <c r="C6563">
        <v>202506</v>
      </c>
      <c r="D6563" t="str">
        <f t="shared" si="102"/>
        <v>2025</v>
      </c>
      <c r="E6563">
        <v>592</v>
      </c>
      <c r="F6563">
        <v>85741</v>
      </c>
      <c r="G6563">
        <v>0.69</v>
      </c>
      <c r="H6563" t="s">
        <v>10</v>
      </c>
      <c r="I6563" t="s">
        <v>11</v>
      </c>
    </row>
    <row r="6564" spans="1:9" x14ac:dyDescent="0.25">
      <c r="A6564" t="s">
        <v>17</v>
      </c>
      <c r="B6564" t="s">
        <v>134</v>
      </c>
      <c r="C6564">
        <v>202507</v>
      </c>
      <c r="D6564" t="str">
        <f t="shared" si="102"/>
        <v>2025</v>
      </c>
      <c r="E6564">
        <v>1281</v>
      </c>
      <c r="F6564">
        <v>85741</v>
      </c>
      <c r="G6564">
        <v>1.49</v>
      </c>
      <c r="H6564" t="s">
        <v>10</v>
      </c>
      <c r="I6564" t="s">
        <v>11</v>
      </c>
    </row>
    <row r="6565" spans="1:9" x14ac:dyDescent="0.25">
      <c r="A6565" t="s">
        <v>17</v>
      </c>
      <c r="B6565" t="s">
        <v>134</v>
      </c>
      <c r="C6565">
        <v>202508</v>
      </c>
      <c r="D6565" t="str">
        <f t="shared" si="102"/>
        <v>2025</v>
      </c>
      <c r="E6565">
        <v>6070</v>
      </c>
      <c r="F6565">
        <v>85741</v>
      </c>
      <c r="G6565">
        <v>7.08</v>
      </c>
      <c r="H6565" t="s">
        <v>10</v>
      </c>
      <c r="I6565" t="s">
        <v>11</v>
      </c>
    </row>
    <row r="6566" spans="1:9" x14ac:dyDescent="0.25">
      <c r="A6566" t="s">
        <v>17</v>
      </c>
      <c r="B6566" t="s">
        <v>134</v>
      </c>
      <c r="C6566">
        <v>202509</v>
      </c>
      <c r="D6566" t="str">
        <f t="shared" si="102"/>
        <v>2025</v>
      </c>
      <c r="E6566">
        <v>4895</v>
      </c>
      <c r="F6566">
        <v>85741</v>
      </c>
      <c r="G6566">
        <v>5.71</v>
      </c>
      <c r="H6566" t="s">
        <v>10</v>
      </c>
      <c r="I6566" t="s">
        <v>11</v>
      </c>
    </row>
    <row r="6567" spans="1:9" x14ac:dyDescent="0.25">
      <c r="A6567" t="s">
        <v>17</v>
      </c>
      <c r="B6567" t="s">
        <v>134</v>
      </c>
      <c r="C6567">
        <v>202510</v>
      </c>
      <c r="D6567" t="str">
        <f t="shared" si="102"/>
        <v>2025</v>
      </c>
      <c r="E6567">
        <v>42724</v>
      </c>
      <c r="F6567">
        <v>85741</v>
      </c>
      <c r="G6567">
        <v>49.83</v>
      </c>
      <c r="H6567" t="s">
        <v>10</v>
      </c>
      <c r="I6567" t="s">
        <v>11</v>
      </c>
    </row>
    <row r="6568" spans="1:9" x14ac:dyDescent="0.25">
      <c r="A6568" t="s">
        <v>17</v>
      </c>
      <c r="B6568" t="s">
        <v>134</v>
      </c>
      <c r="C6568">
        <v>202511</v>
      </c>
      <c r="D6568" t="str">
        <f t="shared" si="102"/>
        <v>2025</v>
      </c>
      <c r="E6568">
        <v>26664</v>
      </c>
      <c r="F6568">
        <v>85741</v>
      </c>
      <c r="G6568">
        <v>31.1</v>
      </c>
      <c r="H6568" t="s">
        <v>10</v>
      </c>
      <c r="I6568" t="s">
        <v>11</v>
      </c>
    </row>
    <row r="6569" spans="1:9" hidden="1" x14ac:dyDescent="0.25">
      <c r="A6569" t="s">
        <v>17</v>
      </c>
      <c r="B6569" t="s">
        <v>113</v>
      </c>
      <c r="C6569">
        <v>202302</v>
      </c>
      <c r="D6569" t="str">
        <f t="shared" si="102"/>
        <v>2023</v>
      </c>
      <c r="E6569">
        <v>1</v>
      </c>
      <c r="F6569">
        <v>92410</v>
      </c>
      <c r="G6569">
        <v>0</v>
      </c>
      <c r="H6569" t="s">
        <v>10</v>
      </c>
      <c r="I6569" t="s">
        <v>11</v>
      </c>
    </row>
    <row r="6570" spans="1:9" hidden="1" x14ac:dyDescent="0.25">
      <c r="A6570" t="s">
        <v>17</v>
      </c>
      <c r="B6570" t="s">
        <v>113</v>
      </c>
      <c r="C6570">
        <v>202303</v>
      </c>
      <c r="D6570" t="str">
        <f t="shared" si="102"/>
        <v>2023</v>
      </c>
      <c r="E6570">
        <v>1</v>
      </c>
      <c r="F6570">
        <v>92410</v>
      </c>
      <c r="G6570">
        <v>0</v>
      </c>
      <c r="H6570" t="s">
        <v>10</v>
      </c>
      <c r="I6570" t="s">
        <v>11</v>
      </c>
    </row>
    <row r="6571" spans="1:9" hidden="1" x14ac:dyDescent="0.25">
      <c r="A6571" t="s">
        <v>17</v>
      </c>
      <c r="B6571" t="s">
        <v>113</v>
      </c>
      <c r="C6571">
        <v>202306</v>
      </c>
      <c r="D6571" t="str">
        <f t="shared" si="102"/>
        <v>2023</v>
      </c>
      <c r="E6571">
        <v>4</v>
      </c>
      <c r="F6571">
        <v>92410</v>
      </c>
      <c r="G6571">
        <v>0</v>
      </c>
      <c r="H6571" t="s">
        <v>10</v>
      </c>
      <c r="I6571" t="s">
        <v>11</v>
      </c>
    </row>
    <row r="6572" spans="1:9" hidden="1" x14ac:dyDescent="0.25">
      <c r="A6572" t="s">
        <v>17</v>
      </c>
      <c r="B6572" t="s">
        <v>113</v>
      </c>
      <c r="C6572">
        <v>202307</v>
      </c>
      <c r="D6572" t="str">
        <f t="shared" si="102"/>
        <v>2023</v>
      </c>
      <c r="E6572">
        <v>5</v>
      </c>
      <c r="F6572">
        <v>92410</v>
      </c>
      <c r="G6572">
        <v>0.01</v>
      </c>
      <c r="H6572" t="s">
        <v>10</v>
      </c>
      <c r="I6572" t="s">
        <v>11</v>
      </c>
    </row>
    <row r="6573" spans="1:9" hidden="1" x14ac:dyDescent="0.25">
      <c r="A6573" t="s">
        <v>17</v>
      </c>
      <c r="B6573" t="s">
        <v>113</v>
      </c>
      <c r="C6573">
        <v>202308</v>
      </c>
      <c r="D6573" t="str">
        <f t="shared" si="102"/>
        <v>2023</v>
      </c>
      <c r="E6573">
        <v>14</v>
      </c>
      <c r="F6573">
        <v>92410</v>
      </c>
      <c r="G6573">
        <v>0.02</v>
      </c>
      <c r="H6573" t="s">
        <v>10</v>
      </c>
      <c r="I6573" t="s">
        <v>11</v>
      </c>
    </row>
    <row r="6574" spans="1:9" hidden="1" x14ac:dyDescent="0.25">
      <c r="A6574" t="s">
        <v>17</v>
      </c>
      <c r="B6574" t="s">
        <v>113</v>
      </c>
      <c r="C6574">
        <v>202309</v>
      </c>
      <c r="D6574" t="str">
        <f t="shared" si="102"/>
        <v>2023</v>
      </c>
      <c r="E6574">
        <v>14</v>
      </c>
      <c r="F6574">
        <v>92410</v>
      </c>
      <c r="G6574">
        <v>0.02</v>
      </c>
      <c r="H6574" t="s">
        <v>10</v>
      </c>
      <c r="I6574" t="s">
        <v>11</v>
      </c>
    </row>
    <row r="6575" spans="1:9" hidden="1" x14ac:dyDescent="0.25">
      <c r="A6575" t="s">
        <v>17</v>
      </c>
      <c r="B6575" t="s">
        <v>113</v>
      </c>
      <c r="C6575">
        <v>202310</v>
      </c>
      <c r="D6575" t="str">
        <f t="shared" si="102"/>
        <v>2023</v>
      </c>
      <c r="E6575">
        <v>12</v>
      </c>
      <c r="F6575">
        <v>92410</v>
      </c>
      <c r="G6575">
        <v>0.01</v>
      </c>
      <c r="H6575" t="s">
        <v>10</v>
      </c>
      <c r="I6575" t="s">
        <v>11</v>
      </c>
    </row>
    <row r="6576" spans="1:9" hidden="1" x14ac:dyDescent="0.25">
      <c r="A6576" t="s">
        <v>17</v>
      </c>
      <c r="B6576" t="s">
        <v>113</v>
      </c>
      <c r="C6576">
        <v>202311</v>
      </c>
      <c r="D6576" t="str">
        <f t="shared" si="102"/>
        <v>2023</v>
      </c>
      <c r="E6576">
        <v>1</v>
      </c>
      <c r="F6576">
        <v>92410</v>
      </c>
      <c r="G6576">
        <v>0</v>
      </c>
      <c r="H6576" t="s">
        <v>10</v>
      </c>
      <c r="I6576" t="s">
        <v>11</v>
      </c>
    </row>
    <row r="6577" spans="1:9" hidden="1" x14ac:dyDescent="0.25">
      <c r="A6577" t="s">
        <v>17</v>
      </c>
      <c r="B6577" t="s">
        <v>113</v>
      </c>
      <c r="C6577">
        <v>202312</v>
      </c>
      <c r="D6577" t="str">
        <f t="shared" si="102"/>
        <v>2023</v>
      </c>
      <c r="E6577">
        <v>44</v>
      </c>
      <c r="F6577">
        <v>92410</v>
      </c>
      <c r="G6577">
        <v>0.05</v>
      </c>
      <c r="H6577" t="s">
        <v>10</v>
      </c>
      <c r="I6577" t="s">
        <v>11</v>
      </c>
    </row>
    <row r="6578" spans="1:9" hidden="1" x14ac:dyDescent="0.25">
      <c r="A6578" t="s">
        <v>17</v>
      </c>
      <c r="B6578" t="s">
        <v>113</v>
      </c>
      <c r="C6578">
        <v>202401</v>
      </c>
      <c r="D6578" t="str">
        <f t="shared" si="102"/>
        <v>2024</v>
      </c>
      <c r="E6578">
        <v>143</v>
      </c>
      <c r="F6578">
        <v>92410</v>
      </c>
      <c r="G6578">
        <v>0.15</v>
      </c>
      <c r="H6578" t="s">
        <v>10</v>
      </c>
      <c r="I6578" t="s">
        <v>11</v>
      </c>
    </row>
    <row r="6579" spans="1:9" hidden="1" x14ac:dyDescent="0.25">
      <c r="A6579" t="s">
        <v>17</v>
      </c>
      <c r="B6579" t="s">
        <v>113</v>
      </c>
      <c r="C6579">
        <v>202402</v>
      </c>
      <c r="D6579" t="str">
        <f t="shared" si="102"/>
        <v>2024</v>
      </c>
      <c r="E6579">
        <v>135</v>
      </c>
      <c r="F6579">
        <v>92410</v>
      </c>
      <c r="G6579">
        <v>0.15</v>
      </c>
      <c r="H6579" t="s">
        <v>10</v>
      </c>
      <c r="I6579" t="s">
        <v>11</v>
      </c>
    </row>
    <row r="6580" spans="1:9" hidden="1" x14ac:dyDescent="0.25">
      <c r="A6580" t="s">
        <v>17</v>
      </c>
      <c r="B6580" t="s">
        <v>113</v>
      </c>
      <c r="C6580">
        <v>202403</v>
      </c>
      <c r="D6580" t="str">
        <f t="shared" si="102"/>
        <v>2024</v>
      </c>
      <c r="E6580">
        <v>36</v>
      </c>
      <c r="F6580">
        <v>92410</v>
      </c>
      <c r="G6580">
        <v>0.04</v>
      </c>
      <c r="H6580" t="s">
        <v>10</v>
      </c>
      <c r="I6580" t="s">
        <v>11</v>
      </c>
    </row>
    <row r="6581" spans="1:9" hidden="1" x14ac:dyDescent="0.25">
      <c r="A6581" t="s">
        <v>17</v>
      </c>
      <c r="B6581" t="s">
        <v>113</v>
      </c>
      <c r="C6581">
        <v>202404</v>
      </c>
      <c r="D6581" t="str">
        <f t="shared" si="102"/>
        <v>2024</v>
      </c>
      <c r="E6581">
        <v>53</v>
      </c>
      <c r="F6581">
        <v>92410</v>
      </c>
      <c r="G6581">
        <v>0.06</v>
      </c>
      <c r="H6581" t="s">
        <v>10</v>
      </c>
      <c r="I6581" t="s">
        <v>11</v>
      </c>
    </row>
    <row r="6582" spans="1:9" hidden="1" x14ac:dyDescent="0.25">
      <c r="A6582" t="s">
        <v>17</v>
      </c>
      <c r="B6582" t="s">
        <v>113</v>
      </c>
      <c r="C6582">
        <v>202405</v>
      </c>
      <c r="D6582" t="str">
        <f t="shared" si="102"/>
        <v>2024</v>
      </c>
      <c r="E6582">
        <v>124</v>
      </c>
      <c r="F6582">
        <v>92410</v>
      </c>
      <c r="G6582">
        <v>0.13</v>
      </c>
      <c r="H6582" t="s">
        <v>10</v>
      </c>
      <c r="I6582" t="s">
        <v>11</v>
      </c>
    </row>
    <row r="6583" spans="1:9" hidden="1" x14ac:dyDescent="0.25">
      <c r="A6583" t="s">
        <v>17</v>
      </c>
      <c r="B6583" t="s">
        <v>113</v>
      </c>
      <c r="C6583">
        <v>202406</v>
      </c>
      <c r="D6583" t="str">
        <f t="shared" si="102"/>
        <v>2024</v>
      </c>
      <c r="E6583">
        <v>220</v>
      </c>
      <c r="F6583">
        <v>92410</v>
      </c>
      <c r="G6583">
        <v>0.24</v>
      </c>
      <c r="H6583" t="s">
        <v>10</v>
      </c>
      <c r="I6583" t="s">
        <v>11</v>
      </c>
    </row>
    <row r="6584" spans="1:9" hidden="1" x14ac:dyDescent="0.25">
      <c r="A6584" t="s">
        <v>17</v>
      </c>
      <c r="B6584" t="s">
        <v>113</v>
      </c>
      <c r="C6584">
        <v>202407</v>
      </c>
      <c r="D6584" t="str">
        <f t="shared" si="102"/>
        <v>2024</v>
      </c>
      <c r="E6584">
        <v>86</v>
      </c>
      <c r="F6584">
        <v>92410</v>
      </c>
      <c r="G6584">
        <v>0.09</v>
      </c>
      <c r="H6584" t="s">
        <v>10</v>
      </c>
      <c r="I6584" t="s">
        <v>11</v>
      </c>
    </row>
    <row r="6585" spans="1:9" hidden="1" x14ac:dyDescent="0.25">
      <c r="A6585" t="s">
        <v>17</v>
      </c>
      <c r="B6585" t="s">
        <v>113</v>
      </c>
      <c r="C6585">
        <v>202408</v>
      </c>
      <c r="D6585" t="str">
        <f t="shared" si="102"/>
        <v>2024</v>
      </c>
      <c r="E6585">
        <v>108</v>
      </c>
      <c r="F6585">
        <v>92410</v>
      </c>
      <c r="G6585">
        <v>0.12</v>
      </c>
      <c r="H6585" t="s">
        <v>10</v>
      </c>
      <c r="I6585" t="s">
        <v>11</v>
      </c>
    </row>
    <row r="6586" spans="1:9" hidden="1" x14ac:dyDescent="0.25">
      <c r="A6586" t="s">
        <v>17</v>
      </c>
      <c r="B6586" t="s">
        <v>113</v>
      </c>
      <c r="C6586">
        <v>202409</v>
      </c>
      <c r="D6586" t="str">
        <f t="shared" si="102"/>
        <v>2024</v>
      </c>
      <c r="E6586">
        <v>260</v>
      </c>
      <c r="F6586">
        <v>92410</v>
      </c>
      <c r="G6586">
        <v>0.28000000000000003</v>
      </c>
      <c r="H6586" t="s">
        <v>10</v>
      </c>
      <c r="I6586" t="s">
        <v>11</v>
      </c>
    </row>
    <row r="6587" spans="1:9" hidden="1" x14ac:dyDescent="0.25">
      <c r="A6587" t="s">
        <v>17</v>
      </c>
      <c r="B6587" t="s">
        <v>113</v>
      </c>
      <c r="C6587">
        <v>202410</v>
      </c>
      <c r="D6587" t="str">
        <f t="shared" si="102"/>
        <v>2024</v>
      </c>
      <c r="E6587">
        <v>262</v>
      </c>
      <c r="F6587">
        <v>92410</v>
      </c>
      <c r="G6587">
        <v>0.28000000000000003</v>
      </c>
      <c r="H6587" t="s">
        <v>10</v>
      </c>
      <c r="I6587" t="s">
        <v>11</v>
      </c>
    </row>
    <row r="6588" spans="1:9" hidden="1" x14ac:dyDescent="0.25">
      <c r="A6588" t="s">
        <v>17</v>
      </c>
      <c r="B6588" t="s">
        <v>113</v>
      </c>
      <c r="C6588">
        <v>202411</v>
      </c>
      <c r="D6588" t="str">
        <f t="shared" si="102"/>
        <v>2024</v>
      </c>
      <c r="E6588">
        <v>173</v>
      </c>
      <c r="F6588">
        <v>92410</v>
      </c>
      <c r="G6588">
        <v>0.19</v>
      </c>
      <c r="H6588" t="s">
        <v>10</v>
      </c>
      <c r="I6588" t="s">
        <v>11</v>
      </c>
    </row>
    <row r="6589" spans="1:9" hidden="1" x14ac:dyDescent="0.25">
      <c r="A6589" t="s">
        <v>17</v>
      </c>
      <c r="B6589" t="s">
        <v>113</v>
      </c>
      <c r="C6589">
        <v>202412</v>
      </c>
      <c r="D6589" t="str">
        <f t="shared" si="102"/>
        <v>2024</v>
      </c>
      <c r="E6589">
        <v>172</v>
      </c>
      <c r="F6589">
        <v>92410</v>
      </c>
      <c r="G6589">
        <v>0.19</v>
      </c>
      <c r="H6589" t="s">
        <v>10</v>
      </c>
      <c r="I6589" t="s">
        <v>11</v>
      </c>
    </row>
    <row r="6590" spans="1:9" x14ac:dyDescent="0.25">
      <c r="A6590" t="s">
        <v>17</v>
      </c>
      <c r="B6590" t="s">
        <v>113</v>
      </c>
      <c r="C6590">
        <v>202501</v>
      </c>
      <c r="D6590" t="str">
        <f t="shared" si="102"/>
        <v>2025</v>
      </c>
      <c r="E6590">
        <v>320</v>
      </c>
      <c r="F6590">
        <v>92410</v>
      </c>
      <c r="G6590">
        <v>0.35</v>
      </c>
      <c r="H6590" t="s">
        <v>10</v>
      </c>
      <c r="I6590" t="s">
        <v>11</v>
      </c>
    </row>
    <row r="6591" spans="1:9" x14ac:dyDescent="0.25">
      <c r="A6591" t="s">
        <v>17</v>
      </c>
      <c r="B6591" t="s">
        <v>113</v>
      </c>
      <c r="C6591">
        <v>202502</v>
      </c>
      <c r="D6591" t="str">
        <f t="shared" si="102"/>
        <v>2025</v>
      </c>
      <c r="E6591">
        <v>390</v>
      </c>
      <c r="F6591">
        <v>92410</v>
      </c>
      <c r="G6591">
        <v>0.42</v>
      </c>
      <c r="H6591" t="s">
        <v>10</v>
      </c>
      <c r="I6591" t="s">
        <v>11</v>
      </c>
    </row>
    <row r="6592" spans="1:9" x14ac:dyDescent="0.25">
      <c r="A6592" t="s">
        <v>17</v>
      </c>
      <c r="B6592" t="s">
        <v>113</v>
      </c>
      <c r="C6592">
        <v>202503</v>
      </c>
      <c r="D6592" t="str">
        <f t="shared" si="102"/>
        <v>2025</v>
      </c>
      <c r="E6592">
        <v>603</v>
      </c>
      <c r="F6592">
        <v>92410</v>
      </c>
      <c r="G6592">
        <v>0.65</v>
      </c>
      <c r="H6592" t="s">
        <v>10</v>
      </c>
      <c r="I6592" t="s">
        <v>11</v>
      </c>
    </row>
    <row r="6593" spans="1:9" x14ac:dyDescent="0.25">
      <c r="A6593" t="s">
        <v>17</v>
      </c>
      <c r="B6593" t="s">
        <v>113</v>
      </c>
      <c r="C6593">
        <v>202504</v>
      </c>
      <c r="D6593" t="str">
        <f t="shared" si="102"/>
        <v>2025</v>
      </c>
      <c r="E6593">
        <v>888</v>
      </c>
      <c r="F6593">
        <v>92410</v>
      </c>
      <c r="G6593">
        <v>0.96</v>
      </c>
      <c r="H6593" t="s">
        <v>10</v>
      </c>
      <c r="I6593" t="s">
        <v>11</v>
      </c>
    </row>
    <row r="6594" spans="1:9" x14ac:dyDescent="0.25">
      <c r="A6594" t="s">
        <v>17</v>
      </c>
      <c r="B6594" t="s">
        <v>113</v>
      </c>
      <c r="C6594">
        <v>202505</v>
      </c>
      <c r="D6594" t="str">
        <f t="shared" si="102"/>
        <v>2025</v>
      </c>
      <c r="E6594">
        <v>773</v>
      </c>
      <c r="F6594">
        <v>92410</v>
      </c>
      <c r="G6594">
        <v>0.84</v>
      </c>
      <c r="H6594" t="s">
        <v>10</v>
      </c>
      <c r="I6594" t="s">
        <v>11</v>
      </c>
    </row>
    <row r="6595" spans="1:9" x14ac:dyDescent="0.25">
      <c r="A6595" t="s">
        <v>17</v>
      </c>
      <c r="B6595" t="s">
        <v>113</v>
      </c>
      <c r="C6595">
        <v>202506</v>
      </c>
      <c r="D6595" t="str">
        <f t="shared" ref="D6595:D6658" si="103">LEFT(C6595,4)</f>
        <v>2025</v>
      </c>
      <c r="E6595">
        <v>904</v>
      </c>
      <c r="F6595">
        <v>92410</v>
      </c>
      <c r="G6595">
        <v>0.98</v>
      </c>
      <c r="H6595" t="s">
        <v>10</v>
      </c>
      <c r="I6595" t="s">
        <v>11</v>
      </c>
    </row>
    <row r="6596" spans="1:9" x14ac:dyDescent="0.25">
      <c r="A6596" t="s">
        <v>17</v>
      </c>
      <c r="B6596" t="s">
        <v>113</v>
      </c>
      <c r="C6596">
        <v>202507</v>
      </c>
      <c r="D6596" t="str">
        <f t="shared" si="103"/>
        <v>2025</v>
      </c>
      <c r="E6596">
        <v>1039</v>
      </c>
      <c r="F6596">
        <v>92410</v>
      </c>
      <c r="G6596">
        <v>1.1200000000000001</v>
      </c>
      <c r="H6596" t="s">
        <v>10</v>
      </c>
      <c r="I6596" t="s">
        <v>11</v>
      </c>
    </row>
    <row r="6597" spans="1:9" x14ac:dyDescent="0.25">
      <c r="A6597" t="s">
        <v>17</v>
      </c>
      <c r="B6597" t="s">
        <v>113</v>
      </c>
      <c r="C6597">
        <v>202508</v>
      </c>
      <c r="D6597" t="str">
        <f t="shared" si="103"/>
        <v>2025</v>
      </c>
      <c r="E6597">
        <v>1669</v>
      </c>
      <c r="F6597">
        <v>92410</v>
      </c>
      <c r="G6597">
        <v>1.81</v>
      </c>
      <c r="H6597" t="s">
        <v>10</v>
      </c>
      <c r="I6597" t="s">
        <v>11</v>
      </c>
    </row>
    <row r="6598" spans="1:9" x14ac:dyDescent="0.25">
      <c r="A6598" t="s">
        <v>17</v>
      </c>
      <c r="B6598" t="s">
        <v>113</v>
      </c>
      <c r="C6598">
        <v>202509</v>
      </c>
      <c r="D6598" t="str">
        <f t="shared" si="103"/>
        <v>2025</v>
      </c>
      <c r="E6598">
        <v>5477</v>
      </c>
      <c r="F6598">
        <v>92410</v>
      </c>
      <c r="G6598">
        <v>5.93</v>
      </c>
      <c r="H6598" t="s">
        <v>10</v>
      </c>
      <c r="I6598" t="s">
        <v>11</v>
      </c>
    </row>
    <row r="6599" spans="1:9" x14ac:dyDescent="0.25">
      <c r="A6599" t="s">
        <v>17</v>
      </c>
      <c r="B6599" t="s">
        <v>113</v>
      </c>
      <c r="C6599">
        <v>202510</v>
      </c>
      <c r="D6599" t="str">
        <f t="shared" si="103"/>
        <v>2025</v>
      </c>
      <c r="E6599">
        <v>9248</v>
      </c>
      <c r="F6599">
        <v>92410</v>
      </c>
      <c r="G6599">
        <v>10.01</v>
      </c>
      <c r="H6599" t="s">
        <v>10</v>
      </c>
      <c r="I6599" t="s">
        <v>11</v>
      </c>
    </row>
    <row r="6600" spans="1:9" x14ac:dyDescent="0.25">
      <c r="A6600" t="s">
        <v>17</v>
      </c>
      <c r="B6600" t="s">
        <v>113</v>
      </c>
      <c r="C6600">
        <v>202511</v>
      </c>
      <c r="D6600" t="str">
        <f t="shared" si="103"/>
        <v>2025</v>
      </c>
      <c r="E6600">
        <v>36685</v>
      </c>
      <c r="F6600">
        <v>92410</v>
      </c>
      <c r="G6600">
        <v>39.700000000000003</v>
      </c>
      <c r="H6600" t="s">
        <v>10</v>
      </c>
      <c r="I6600" t="s">
        <v>11</v>
      </c>
    </row>
    <row r="6601" spans="1:9" x14ac:dyDescent="0.25">
      <c r="A6601" t="s">
        <v>17</v>
      </c>
      <c r="B6601" t="s">
        <v>113</v>
      </c>
      <c r="C6601">
        <v>202512</v>
      </c>
      <c r="D6601" t="str">
        <f t="shared" si="103"/>
        <v>2025</v>
      </c>
      <c r="E6601">
        <v>32546</v>
      </c>
      <c r="F6601">
        <v>92410</v>
      </c>
      <c r="G6601">
        <v>35.22</v>
      </c>
      <c r="H6601" t="s">
        <v>10</v>
      </c>
      <c r="I6601" t="s">
        <v>11</v>
      </c>
    </row>
    <row r="6602" spans="1:9" hidden="1" x14ac:dyDescent="0.25">
      <c r="A6602" t="s">
        <v>17</v>
      </c>
      <c r="B6602" t="s">
        <v>194</v>
      </c>
      <c r="C6602">
        <v>202202</v>
      </c>
      <c r="D6602" t="str">
        <f t="shared" si="103"/>
        <v>2022</v>
      </c>
      <c r="E6602">
        <v>3</v>
      </c>
      <c r="F6602">
        <v>88388</v>
      </c>
      <c r="G6602">
        <v>0</v>
      </c>
      <c r="H6602" t="s">
        <v>10</v>
      </c>
      <c r="I6602" t="s">
        <v>11</v>
      </c>
    </row>
    <row r="6603" spans="1:9" hidden="1" x14ac:dyDescent="0.25">
      <c r="A6603" t="s">
        <v>17</v>
      </c>
      <c r="B6603" t="s">
        <v>194</v>
      </c>
      <c r="C6603">
        <v>202212</v>
      </c>
      <c r="D6603" t="str">
        <f t="shared" si="103"/>
        <v>2022</v>
      </c>
      <c r="E6603">
        <v>1</v>
      </c>
      <c r="F6603">
        <v>88388</v>
      </c>
      <c r="G6603">
        <v>0</v>
      </c>
      <c r="H6603" t="s">
        <v>10</v>
      </c>
      <c r="I6603" t="s">
        <v>11</v>
      </c>
    </row>
    <row r="6604" spans="1:9" hidden="1" x14ac:dyDescent="0.25">
      <c r="A6604" t="s">
        <v>17</v>
      </c>
      <c r="B6604" t="s">
        <v>194</v>
      </c>
      <c r="C6604">
        <v>202304</v>
      </c>
      <c r="D6604" t="str">
        <f t="shared" si="103"/>
        <v>2023</v>
      </c>
      <c r="E6604">
        <v>2</v>
      </c>
      <c r="F6604">
        <v>88388</v>
      </c>
      <c r="G6604">
        <v>0</v>
      </c>
      <c r="H6604" t="s">
        <v>10</v>
      </c>
      <c r="I6604" t="s">
        <v>11</v>
      </c>
    </row>
    <row r="6605" spans="1:9" hidden="1" x14ac:dyDescent="0.25">
      <c r="A6605" t="s">
        <v>17</v>
      </c>
      <c r="B6605" t="s">
        <v>194</v>
      </c>
      <c r="C6605">
        <v>202401</v>
      </c>
      <c r="D6605" t="str">
        <f t="shared" si="103"/>
        <v>2024</v>
      </c>
      <c r="E6605">
        <v>15</v>
      </c>
      <c r="F6605">
        <v>88388</v>
      </c>
      <c r="G6605">
        <v>0.02</v>
      </c>
      <c r="H6605" t="s">
        <v>10</v>
      </c>
      <c r="I6605" t="s">
        <v>11</v>
      </c>
    </row>
    <row r="6606" spans="1:9" hidden="1" x14ac:dyDescent="0.25">
      <c r="A6606" t="s">
        <v>17</v>
      </c>
      <c r="B6606" t="s">
        <v>194</v>
      </c>
      <c r="C6606">
        <v>202402</v>
      </c>
      <c r="D6606" t="str">
        <f t="shared" si="103"/>
        <v>2024</v>
      </c>
      <c r="E6606">
        <v>33</v>
      </c>
      <c r="F6606">
        <v>88388</v>
      </c>
      <c r="G6606">
        <v>0.04</v>
      </c>
      <c r="H6606" t="s">
        <v>10</v>
      </c>
      <c r="I6606" t="s">
        <v>11</v>
      </c>
    </row>
    <row r="6607" spans="1:9" hidden="1" x14ac:dyDescent="0.25">
      <c r="A6607" t="s">
        <v>17</v>
      </c>
      <c r="B6607" t="s">
        <v>194</v>
      </c>
      <c r="C6607">
        <v>202403</v>
      </c>
      <c r="D6607" t="str">
        <f t="shared" si="103"/>
        <v>2024</v>
      </c>
      <c r="E6607">
        <v>77</v>
      </c>
      <c r="F6607">
        <v>88388</v>
      </c>
      <c r="G6607">
        <v>0.09</v>
      </c>
      <c r="H6607" t="s">
        <v>10</v>
      </c>
      <c r="I6607" t="s">
        <v>11</v>
      </c>
    </row>
    <row r="6608" spans="1:9" hidden="1" x14ac:dyDescent="0.25">
      <c r="A6608" t="s">
        <v>17</v>
      </c>
      <c r="B6608" t="s">
        <v>194</v>
      </c>
      <c r="C6608">
        <v>202404</v>
      </c>
      <c r="D6608" t="str">
        <f t="shared" si="103"/>
        <v>2024</v>
      </c>
      <c r="E6608">
        <v>27</v>
      </c>
      <c r="F6608">
        <v>88388</v>
      </c>
      <c r="G6608">
        <v>0.03</v>
      </c>
      <c r="H6608" t="s">
        <v>10</v>
      </c>
      <c r="I6608" t="s">
        <v>11</v>
      </c>
    </row>
    <row r="6609" spans="1:9" hidden="1" x14ac:dyDescent="0.25">
      <c r="A6609" t="s">
        <v>17</v>
      </c>
      <c r="B6609" t="s">
        <v>194</v>
      </c>
      <c r="C6609">
        <v>202405</v>
      </c>
      <c r="D6609" t="str">
        <f t="shared" si="103"/>
        <v>2024</v>
      </c>
      <c r="E6609">
        <v>78</v>
      </c>
      <c r="F6609">
        <v>88388</v>
      </c>
      <c r="G6609">
        <v>0.09</v>
      </c>
      <c r="H6609" t="s">
        <v>10</v>
      </c>
      <c r="I6609" t="s">
        <v>11</v>
      </c>
    </row>
    <row r="6610" spans="1:9" hidden="1" x14ac:dyDescent="0.25">
      <c r="A6610" t="s">
        <v>17</v>
      </c>
      <c r="B6610" t="s">
        <v>194</v>
      </c>
      <c r="C6610">
        <v>202406</v>
      </c>
      <c r="D6610" t="str">
        <f t="shared" si="103"/>
        <v>2024</v>
      </c>
      <c r="E6610">
        <v>70</v>
      </c>
      <c r="F6610">
        <v>88388</v>
      </c>
      <c r="G6610">
        <v>0.08</v>
      </c>
      <c r="H6610" t="s">
        <v>10</v>
      </c>
      <c r="I6610" t="s">
        <v>11</v>
      </c>
    </row>
    <row r="6611" spans="1:9" hidden="1" x14ac:dyDescent="0.25">
      <c r="A6611" t="s">
        <v>17</v>
      </c>
      <c r="B6611" t="s">
        <v>194</v>
      </c>
      <c r="C6611">
        <v>202407</v>
      </c>
      <c r="D6611" t="str">
        <f t="shared" si="103"/>
        <v>2024</v>
      </c>
      <c r="E6611">
        <v>19</v>
      </c>
      <c r="F6611">
        <v>88388</v>
      </c>
      <c r="G6611">
        <v>0.02</v>
      </c>
      <c r="H6611" t="s">
        <v>10</v>
      </c>
      <c r="I6611" t="s">
        <v>11</v>
      </c>
    </row>
    <row r="6612" spans="1:9" hidden="1" x14ac:dyDescent="0.25">
      <c r="A6612" t="s">
        <v>17</v>
      </c>
      <c r="B6612" t="s">
        <v>194</v>
      </c>
      <c r="C6612">
        <v>202408</v>
      </c>
      <c r="D6612" t="str">
        <f t="shared" si="103"/>
        <v>2024</v>
      </c>
      <c r="E6612">
        <v>54</v>
      </c>
      <c r="F6612">
        <v>88388</v>
      </c>
      <c r="G6612">
        <v>0.06</v>
      </c>
      <c r="H6612" t="s">
        <v>10</v>
      </c>
      <c r="I6612" t="s">
        <v>11</v>
      </c>
    </row>
    <row r="6613" spans="1:9" hidden="1" x14ac:dyDescent="0.25">
      <c r="A6613" t="s">
        <v>17</v>
      </c>
      <c r="B6613" t="s">
        <v>194</v>
      </c>
      <c r="C6613">
        <v>202409</v>
      </c>
      <c r="D6613" t="str">
        <f t="shared" si="103"/>
        <v>2024</v>
      </c>
      <c r="E6613">
        <v>83</v>
      </c>
      <c r="F6613">
        <v>88388</v>
      </c>
      <c r="G6613">
        <v>0.09</v>
      </c>
      <c r="H6613" t="s">
        <v>10</v>
      </c>
      <c r="I6613" t="s">
        <v>11</v>
      </c>
    </row>
    <row r="6614" spans="1:9" hidden="1" x14ac:dyDescent="0.25">
      <c r="A6614" t="s">
        <v>17</v>
      </c>
      <c r="B6614" t="s">
        <v>194</v>
      </c>
      <c r="C6614">
        <v>202410</v>
      </c>
      <c r="D6614" t="str">
        <f t="shared" si="103"/>
        <v>2024</v>
      </c>
      <c r="E6614">
        <v>94</v>
      </c>
      <c r="F6614">
        <v>88388</v>
      </c>
      <c r="G6614">
        <v>0.11</v>
      </c>
      <c r="H6614" t="s">
        <v>10</v>
      </c>
      <c r="I6614" t="s">
        <v>11</v>
      </c>
    </row>
    <row r="6615" spans="1:9" hidden="1" x14ac:dyDescent="0.25">
      <c r="A6615" t="s">
        <v>17</v>
      </c>
      <c r="B6615" t="s">
        <v>194</v>
      </c>
      <c r="C6615">
        <v>202411</v>
      </c>
      <c r="D6615" t="str">
        <f t="shared" si="103"/>
        <v>2024</v>
      </c>
      <c r="E6615">
        <v>92</v>
      </c>
      <c r="F6615">
        <v>88388</v>
      </c>
      <c r="G6615">
        <v>0.1</v>
      </c>
      <c r="H6615" t="s">
        <v>10</v>
      </c>
      <c r="I6615" t="s">
        <v>11</v>
      </c>
    </row>
    <row r="6616" spans="1:9" hidden="1" x14ac:dyDescent="0.25">
      <c r="A6616" t="s">
        <v>17</v>
      </c>
      <c r="B6616" t="s">
        <v>194</v>
      </c>
      <c r="C6616">
        <v>202412</v>
      </c>
      <c r="D6616" t="str">
        <f t="shared" si="103"/>
        <v>2024</v>
      </c>
      <c r="E6616">
        <v>109</v>
      </c>
      <c r="F6616">
        <v>88388</v>
      </c>
      <c r="G6616">
        <v>0.12</v>
      </c>
      <c r="H6616" t="s">
        <v>10</v>
      </c>
      <c r="I6616" t="s">
        <v>11</v>
      </c>
    </row>
    <row r="6617" spans="1:9" x14ac:dyDescent="0.25">
      <c r="A6617" t="s">
        <v>17</v>
      </c>
      <c r="B6617" t="s">
        <v>194</v>
      </c>
      <c r="C6617">
        <v>202501</v>
      </c>
      <c r="D6617" t="str">
        <f t="shared" si="103"/>
        <v>2025</v>
      </c>
      <c r="E6617">
        <v>311</v>
      </c>
      <c r="F6617">
        <v>88388</v>
      </c>
      <c r="G6617">
        <v>0.35</v>
      </c>
      <c r="H6617" t="s">
        <v>10</v>
      </c>
      <c r="I6617" t="s">
        <v>11</v>
      </c>
    </row>
    <row r="6618" spans="1:9" x14ac:dyDescent="0.25">
      <c r="A6618" t="s">
        <v>17</v>
      </c>
      <c r="B6618" t="s">
        <v>194</v>
      </c>
      <c r="C6618">
        <v>202502</v>
      </c>
      <c r="D6618" t="str">
        <f t="shared" si="103"/>
        <v>2025</v>
      </c>
      <c r="E6618">
        <v>157</v>
      </c>
      <c r="F6618">
        <v>88388</v>
      </c>
      <c r="G6618">
        <v>0.18</v>
      </c>
      <c r="H6618" t="s">
        <v>10</v>
      </c>
      <c r="I6618" t="s">
        <v>11</v>
      </c>
    </row>
    <row r="6619" spans="1:9" x14ac:dyDescent="0.25">
      <c r="A6619" t="s">
        <v>17</v>
      </c>
      <c r="B6619" t="s">
        <v>194</v>
      </c>
      <c r="C6619">
        <v>202503</v>
      </c>
      <c r="D6619" t="str">
        <f t="shared" si="103"/>
        <v>2025</v>
      </c>
      <c r="E6619">
        <v>245</v>
      </c>
      <c r="F6619">
        <v>88388</v>
      </c>
      <c r="G6619">
        <v>0.28000000000000003</v>
      </c>
      <c r="H6619" t="s">
        <v>10</v>
      </c>
      <c r="I6619" t="s">
        <v>11</v>
      </c>
    </row>
    <row r="6620" spans="1:9" x14ac:dyDescent="0.25">
      <c r="A6620" t="s">
        <v>17</v>
      </c>
      <c r="B6620" t="s">
        <v>194</v>
      </c>
      <c r="C6620">
        <v>202504</v>
      </c>
      <c r="D6620" t="str">
        <f t="shared" si="103"/>
        <v>2025</v>
      </c>
      <c r="E6620">
        <v>854</v>
      </c>
      <c r="F6620">
        <v>88388</v>
      </c>
      <c r="G6620">
        <v>0.97</v>
      </c>
      <c r="H6620" t="s">
        <v>10</v>
      </c>
      <c r="I6620" t="s">
        <v>11</v>
      </c>
    </row>
    <row r="6621" spans="1:9" x14ac:dyDescent="0.25">
      <c r="A6621" t="s">
        <v>17</v>
      </c>
      <c r="B6621" t="s">
        <v>194</v>
      </c>
      <c r="C6621">
        <v>202505</v>
      </c>
      <c r="D6621" t="str">
        <f t="shared" si="103"/>
        <v>2025</v>
      </c>
      <c r="E6621">
        <v>829</v>
      </c>
      <c r="F6621">
        <v>88388</v>
      </c>
      <c r="G6621">
        <v>0.94</v>
      </c>
      <c r="H6621" t="s">
        <v>10</v>
      </c>
      <c r="I6621" t="s">
        <v>11</v>
      </c>
    </row>
    <row r="6622" spans="1:9" x14ac:dyDescent="0.25">
      <c r="A6622" t="s">
        <v>17</v>
      </c>
      <c r="B6622" t="s">
        <v>194</v>
      </c>
      <c r="C6622">
        <v>202506</v>
      </c>
      <c r="D6622" t="str">
        <f t="shared" si="103"/>
        <v>2025</v>
      </c>
      <c r="E6622">
        <v>813</v>
      </c>
      <c r="F6622">
        <v>88388</v>
      </c>
      <c r="G6622">
        <v>0.92</v>
      </c>
      <c r="H6622" t="s">
        <v>10</v>
      </c>
      <c r="I6622" t="s">
        <v>11</v>
      </c>
    </row>
    <row r="6623" spans="1:9" x14ac:dyDescent="0.25">
      <c r="A6623" t="s">
        <v>17</v>
      </c>
      <c r="B6623" t="s">
        <v>194</v>
      </c>
      <c r="C6623">
        <v>202507</v>
      </c>
      <c r="D6623" t="str">
        <f t="shared" si="103"/>
        <v>2025</v>
      </c>
      <c r="E6623">
        <v>734</v>
      </c>
      <c r="F6623">
        <v>88388</v>
      </c>
      <c r="G6623">
        <v>0.83</v>
      </c>
      <c r="H6623" t="s">
        <v>10</v>
      </c>
      <c r="I6623" t="s">
        <v>11</v>
      </c>
    </row>
    <row r="6624" spans="1:9" x14ac:dyDescent="0.25">
      <c r="A6624" t="s">
        <v>17</v>
      </c>
      <c r="B6624" t="s">
        <v>194</v>
      </c>
      <c r="C6624">
        <v>202508</v>
      </c>
      <c r="D6624" t="str">
        <f t="shared" si="103"/>
        <v>2025</v>
      </c>
      <c r="E6624">
        <v>1068</v>
      </c>
      <c r="F6624">
        <v>88388</v>
      </c>
      <c r="G6624">
        <v>1.21</v>
      </c>
      <c r="H6624" t="s">
        <v>10</v>
      </c>
      <c r="I6624" t="s">
        <v>11</v>
      </c>
    </row>
    <row r="6625" spans="1:9" x14ac:dyDescent="0.25">
      <c r="A6625" t="s">
        <v>17</v>
      </c>
      <c r="B6625" t="s">
        <v>194</v>
      </c>
      <c r="C6625">
        <v>202509</v>
      </c>
      <c r="D6625" t="str">
        <f t="shared" si="103"/>
        <v>2025</v>
      </c>
      <c r="E6625">
        <v>2300</v>
      </c>
      <c r="F6625">
        <v>88388</v>
      </c>
      <c r="G6625">
        <v>2.6</v>
      </c>
      <c r="H6625" t="s">
        <v>10</v>
      </c>
      <c r="I6625" t="s">
        <v>11</v>
      </c>
    </row>
    <row r="6626" spans="1:9" x14ac:dyDescent="0.25">
      <c r="A6626" t="s">
        <v>17</v>
      </c>
      <c r="B6626" t="s">
        <v>194</v>
      </c>
      <c r="C6626">
        <v>202510</v>
      </c>
      <c r="D6626" t="str">
        <f t="shared" si="103"/>
        <v>2025</v>
      </c>
      <c r="E6626">
        <v>3221</v>
      </c>
      <c r="F6626">
        <v>88388</v>
      </c>
      <c r="G6626">
        <v>3.64</v>
      </c>
      <c r="H6626" t="s">
        <v>10</v>
      </c>
      <c r="I6626" t="s">
        <v>11</v>
      </c>
    </row>
    <row r="6627" spans="1:9" x14ac:dyDescent="0.25">
      <c r="A6627" t="s">
        <v>17</v>
      </c>
      <c r="B6627" t="s">
        <v>194</v>
      </c>
      <c r="C6627">
        <v>202511</v>
      </c>
      <c r="D6627" t="str">
        <f t="shared" si="103"/>
        <v>2025</v>
      </c>
      <c r="E6627">
        <v>4098</v>
      </c>
      <c r="F6627">
        <v>88388</v>
      </c>
      <c r="G6627">
        <v>4.6399999999999997</v>
      </c>
      <c r="H6627" t="s">
        <v>10</v>
      </c>
      <c r="I6627" t="s">
        <v>11</v>
      </c>
    </row>
    <row r="6628" spans="1:9" x14ac:dyDescent="0.25">
      <c r="A6628" t="s">
        <v>17</v>
      </c>
      <c r="B6628" t="s">
        <v>194</v>
      </c>
      <c r="C6628">
        <v>202512</v>
      </c>
      <c r="D6628" t="str">
        <f t="shared" si="103"/>
        <v>2025</v>
      </c>
      <c r="E6628">
        <v>31316</v>
      </c>
      <c r="F6628">
        <v>88388</v>
      </c>
      <c r="G6628">
        <v>35.43</v>
      </c>
      <c r="H6628" t="s">
        <v>10</v>
      </c>
      <c r="I6628" t="s">
        <v>11</v>
      </c>
    </row>
    <row r="6629" spans="1:9" x14ac:dyDescent="0.25">
      <c r="A6629" t="s">
        <v>17</v>
      </c>
      <c r="B6629" t="s">
        <v>194</v>
      </c>
      <c r="C6629">
        <v>202601</v>
      </c>
      <c r="D6629" t="str">
        <f t="shared" si="103"/>
        <v>2026</v>
      </c>
      <c r="E6629">
        <v>41685</v>
      </c>
      <c r="F6629">
        <v>88388</v>
      </c>
      <c r="G6629">
        <v>47.16</v>
      </c>
      <c r="H6629" t="s">
        <v>10</v>
      </c>
      <c r="I6629" t="s">
        <v>11</v>
      </c>
    </row>
    <row r="6630" spans="1:9" hidden="1" x14ac:dyDescent="0.25">
      <c r="A6630" t="s">
        <v>17</v>
      </c>
      <c r="B6630" t="s">
        <v>88</v>
      </c>
      <c r="C6630">
        <v>202306</v>
      </c>
      <c r="D6630" t="str">
        <f t="shared" si="103"/>
        <v>2023</v>
      </c>
      <c r="E6630">
        <v>2</v>
      </c>
      <c r="F6630">
        <v>103058</v>
      </c>
      <c r="G6630">
        <v>0</v>
      </c>
      <c r="H6630" t="s">
        <v>10</v>
      </c>
      <c r="I6630" t="s">
        <v>11</v>
      </c>
    </row>
    <row r="6631" spans="1:9" hidden="1" x14ac:dyDescent="0.25">
      <c r="A6631" t="s">
        <v>17</v>
      </c>
      <c r="B6631" t="s">
        <v>88</v>
      </c>
      <c r="C6631">
        <v>202307</v>
      </c>
      <c r="D6631" t="str">
        <f t="shared" si="103"/>
        <v>2023</v>
      </c>
      <c r="E6631">
        <v>5</v>
      </c>
      <c r="F6631">
        <v>103058</v>
      </c>
      <c r="G6631">
        <v>0</v>
      </c>
      <c r="H6631" t="s">
        <v>10</v>
      </c>
      <c r="I6631" t="s">
        <v>11</v>
      </c>
    </row>
    <row r="6632" spans="1:9" hidden="1" x14ac:dyDescent="0.25">
      <c r="A6632" t="s">
        <v>17</v>
      </c>
      <c r="B6632" t="s">
        <v>88</v>
      </c>
      <c r="C6632">
        <v>202312</v>
      </c>
      <c r="D6632" t="str">
        <f t="shared" si="103"/>
        <v>2023</v>
      </c>
      <c r="E6632">
        <v>1</v>
      </c>
      <c r="F6632">
        <v>103058</v>
      </c>
      <c r="G6632">
        <v>0</v>
      </c>
      <c r="H6632" t="s">
        <v>10</v>
      </c>
      <c r="I6632" t="s">
        <v>11</v>
      </c>
    </row>
    <row r="6633" spans="1:9" hidden="1" x14ac:dyDescent="0.25">
      <c r="A6633" t="s">
        <v>17</v>
      </c>
      <c r="B6633" t="s">
        <v>88</v>
      </c>
      <c r="C6633">
        <v>202401</v>
      </c>
      <c r="D6633" t="str">
        <f t="shared" si="103"/>
        <v>2024</v>
      </c>
      <c r="E6633">
        <v>2</v>
      </c>
      <c r="F6633">
        <v>103058</v>
      </c>
      <c r="G6633">
        <v>0</v>
      </c>
      <c r="H6633" t="s">
        <v>10</v>
      </c>
      <c r="I6633" t="s">
        <v>11</v>
      </c>
    </row>
    <row r="6634" spans="1:9" hidden="1" x14ac:dyDescent="0.25">
      <c r="A6634" t="s">
        <v>17</v>
      </c>
      <c r="B6634" t="s">
        <v>88</v>
      </c>
      <c r="C6634">
        <v>202402</v>
      </c>
      <c r="D6634" t="str">
        <f t="shared" si="103"/>
        <v>2024</v>
      </c>
      <c r="E6634">
        <v>3</v>
      </c>
      <c r="F6634">
        <v>103058</v>
      </c>
      <c r="G6634">
        <v>0</v>
      </c>
      <c r="H6634" t="s">
        <v>10</v>
      </c>
      <c r="I6634" t="s">
        <v>11</v>
      </c>
    </row>
    <row r="6635" spans="1:9" hidden="1" x14ac:dyDescent="0.25">
      <c r="A6635" t="s">
        <v>17</v>
      </c>
      <c r="B6635" t="s">
        <v>88</v>
      </c>
      <c r="C6635">
        <v>202403</v>
      </c>
      <c r="D6635" t="str">
        <f t="shared" si="103"/>
        <v>2024</v>
      </c>
      <c r="E6635">
        <v>5</v>
      </c>
      <c r="F6635">
        <v>103058</v>
      </c>
      <c r="G6635">
        <v>0</v>
      </c>
      <c r="H6635" t="s">
        <v>10</v>
      </c>
      <c r="I6635" t="s">
        <v>11</v>
      </c>
    </row>
    <row r="6636" spans="1:9" hidden="1" x14ac:dyDescent="0.25">
      <c r="A6636" t="s">
        <v>17</v>
      </c>
      <c r="B6636" t="s">
        <v>88</v>
      </c>
      <c r="C6636">
        <v>202405</v>
      </c>
      <c r="D6636" t="str">
        <f t="shared" si="103"/>
        <v>2024</v>
      </c>
      <c r="E6636">
        <v>7</v>
      </c>
      <c r="F6636">
        <v>103058</v>
      </c>
      <c r="G6636">
        <v>0.01</v>
      </c>
      <c r="H6636" t="s">
        <v>10</v>
      </c>
      <c r="I6636" t="s">
        <v>11</v>
      </c>
    </row>
    <row r="6637" spans="1:9" hidden="1" x14ac:dyDescent="0.25">
      <c r="A6637" t="s">
        <v>17</v>
      </c>
      <c r="B6637" t="s">
        <v>88</v>
      </c>
      <c r="C6637">
        <v>202406</v>
      </c>
      <c r="D6637" t="str">
        <f t="shared" si="103"/>
        <v>2024</v>
      </c>
      <c r="E6637">
        <v>13</v>
      </c>
      <c r="F6637">
        <v>103058</v>
      </c>
      <c r="G6637">
        <v>0.01</v>
      </c>
      <c r="H6637" t="s">
        <v>10</v>
      </c>
      <c r="I6637" t="s">
        <v>11</v>
      </c>
    </row>
    <row r="6638" spans="1:9" hidden="1" x14ac:dyDescent="0.25">
      <c r="A6638" t="s">
        <v>17</v>
      </c>
      <c r="B6638" t="s">
        <v>88</v>
      </c>
      <c r="C6638">
        <v>202407</v>
      </c>
      <c r="D6638" t="str">
        <f t="shared" si="103"/>
        <v>2024</v>
      </c>
      <c r="E6638">
        <v>10</v>
      </c>
      <c r="F6638">
        <v>103058</v>
      </c>
      <c r="G6638">
        <v>0.01</v>
      </c>
      <c r="H6638" t="s">
        <v>10</v>
      </c>
      <c r="I6638" t="s">
        <v>11</v>
      </c>
    </row>
    <row r="6639" spans="1:9" hidden="1" x14ac:dyDescent="0.25">
      <c r="A6639" t="s">
        <v>17</v>
      </c>
      <c r="B6639" t="s">
        <v>88</v>
      </c>
      <c r="C6639">
        <v>202408</v>
      </c>
      <c r="D6639" t="str">
        <f t="shared" si="103"/>
        <v>2024</v>
      </c>
      <c r="E6639">
        <v>20</v>
      </c>
      <c r="F6639">
        <v>103058</v>
      </c>
      <c r="G6639">
        <v>0.02</v>
      </c>
      <c r="H6639" t="s">
        <v>10</v>
      </c>
      <c r="I6639" t="s">
        <v>11</v>
      </c>
    </row>
    <row r="6640" spans="1:9" hidden="1" x14ac:dyDescent="0.25">
      <c r="A6640" t="s">
        <v>17</v>
      </c>
      <c r="B6640" t="s">
        <v>88</v>
      </c>
      <c r="C6640">
        <v>202409</v>
      </c>
      <c r="D6640" t="str">
        <f t="shared" si="103"/>
        <v>2024</v>
      </c>
      <c r="E6640">
        <v>46</v>
      </c>
      <c r="F6640">
        <v>103058</v>
      </c>
      <c r="G6640">
        <v>0.04</v>
      </c>
      <c r="H6640" t="s">
        <v>10</v>
      </c>
      <c r="I6640" t="s">
        <v>11</v>
      </c>
    </row>
    <row r="6641" spans="1:9" hidden="1" x14ac:dyDescent="0.25">
      <c r="A6641" t="s">
        <v>17</v>
      </c>
      <c r="B6641" t="s">
        <v>88</v>
      </c>
      <c r="C6641">
        <v>202410</v>
      </c>
      <c r="D6641" t="str">
        <f t="shared" si="103"/>
        <v>2024</v>
      </c>
      <c r="E6641">
        <v>69</v>
      </c>
      <c r="F6641">
        <v>103058</v>
      </c>
      <c r="G6641">
        <v>7.0000000000000007E-2</v>
      </c>
      <c r="H6641" t="s">
        <v>10</v>
      </c>
      <c r="I6641" t="s">
        <v>11</v>
      </c>
    </row>
    <row r="6642" spans="1:9" hidden="1" x14ac:dyDescent="0.25">
      <c r="A6642" t="s">
        <v>17</v>
      </c>
      <c r="B6642" t="s">
        <v>88</v>
      </c>
      <c r="C6642">
        <v>202411</v>
      </c>
      <c r="D6642" t="str">
        <f t="shared" si="103"/>
        <v>2024</v>
      </c>
      <c r="E6642">
        <v>56</v>
      </c>
      <c r="F6642">
        <v>103058</v>
      </c>
      <c r="G6642">
        <v>0.05</v>
      </c>
      <c r="H6642" t="s">
        <v>10</v>
      </c>
      <c r="I6642" t="s">
        <v>11</v>
      </c>
    </row>
    <row r="6643" spans="1:9" hidden="1" x14ac:dyDescent="0.25">
      <c r="A6643" t="s">
        <v>17</v>
      </c>
      <c r="B6643" t="s">
        <v>88</v>
      </c>
      <c r="C6643">
        <v>202412</v>
      </c>
      <c r="D6643" t="str">
        <f t="shared" si="103"/>
        <v>2024</v>
      </c>
      <c r="E6643">
        <v>47</v>
      </c>
      <c r="F6643">
        <v>103058</v>
      </c>
      <c r="G6643">
        <v>0.05</v>
      </c>
      <c r="H6643" t="s">
        <v>10</v>
      </c>
      <c r="I6643" t="s">
        <v>11</v>
      </c>
    </row>
    <row r="6644" spans="1:9" x14ac:dyDescent="0.25">
      <c r="A6644" t="s">
        <v>17</v>
      </c>
      <c r="B6644" t="s">
        <v>88</v>
      </c>
      <c r="C6644">
        <v>202501</v>
      </c>
      <c r="D6644" t="str">
        <f t="shared" si="103"/>
        <v>2025</v>
      </c>
      <c r="E6644">
        <v>127</v>
      </c>
      <c r="F6644">
        <v>103058</v>
      </c>
      <c r="G6644">
        <v>0.12</v>
      </c>
      <c r="H6644" t="s">
        <v>10</v>
      </c>
      <c r="I6644" t="s">
        <v>11</v>
      </c>
    </row>
    <row r="6645" spans="1:9" x14ac:dyDescent="0.25">
      <c r="A6645" t="s">
        <v>17</v>
      </c>
      <c r="B6645" t="s">
        <v>88</v>
      </c>
      <c r="C6645">
        <v>202502</v>
      </c>
      <c r="D6645" t="str">
        <f t="shared" si="103"/>
        <v>2025</v>
      </c>
      <c r="E6645">
        <v>202</v>
      </c>
      <c r="F6645">
        <v>103058</v>
      </c>
      <c r="G6645">
        <v>0.2</v>
      </c>
      <c r="H6645" t="s">
        <v>10</v>
      </c>
      <c r="I6645" t="s">
        <v>11</v>
      </c>
    </row>
    <row r="6646" spans="1:9" x14ac:dyDescent="0.25">
      <c r="A6646" t="s">
        <v>17</v>
      </c>
      <c r="B6646" t="s">
        <v>88</v>
      </c>
      <c r="C6646">
        <v>202503</v>
      </c>
      <c r="D6646" t="str">
        <f t="shared" si="103"/>
        <v>2025</v>
      </c>
      <c r="E6646">
        <v>445</v>
      </c>
      <c r="F6646">
        <v>103058</v>
      </c>
      <c r="G6646">
        <v>0.43</v>
      </c>
      <c r="H6646" t="s">
        <v>10</v>
      </c>
      <c r="I6646" t="s">
        <v>11</v>
      </c>
    </row>
    <row r="6647" spans="1:9" x14ac:dyDescent="0.25">
      <c r="A6647" t="s">
        <v>17</v>
      </c>
      <c r="B6647" t="s">
        <v>88</v>
      </c>
      <c r="C6647">
        <v>202504</v>
      </c>
      <c r="D6647" t="str">
        <f t="shared" si="103"/>
        <v>2025</v>
      </c>
      <c r="E6647">
        <v>171</v>
      </c>
      <c r="F6647">
        <v>103058</v>
      </c>
      <c r="G6647">
        <v>0.17</v>
      </c>
      <c r="H6647" t="s">
        <v>10</v>
      </c>
      <c r="I6647" t="s">
        <v>11</v>
      </c>
    </row>
    <row r="6648" spans="1:9" x14ac:dyDescent="0.25">
      <c r="A6648" t="s">
        <v>17</v>
      </c>
      <c r="B6648" t="s">
        <v>88</v>
      </c>
      <c r="C6648">
        <v>202505</v>
      </c>
      <c r="D6648" t="str">
        <f t="shared" si="103"/>
        <v>2025</v>
      </c>
      <c r="E6648">
        <v>592</v>
      </c>
      <c r="F6648">
        <v>103058</v>
      </c>
      <c r="G6648">
        <v>0.56999999999999995</v>
      </c>
      <c r="H6648" t="s">
        <v>10</v>
      </c>
      <c r="I6648" t="s">
        <v>11</v>
      </c>
    </row>
    <row r="6649" spans="1:9" x14ac:dyDescent="0.25">
      <c r="A6649" t="s">
        <v>17</v>
      </c>
      <c r="B6649" t="s">
        <v>88</v>
      </c>
      <c r="C6649">
        <v>202506</v>
      </c>
      <c r="D6649" t="str">
        <f t="shared" si="103"/>
        <v>2025</v>
      </c>
      <c r="E6649">
        <v>433</v>
      </c>
      <c r="F6649">
        <v>103058</v>
      </c>
      <c r="G6649">
        <v>0.42</v>
      </c>
      <c r="H6649" t="s">
        <v>10</v>
      </c>
      <c r="I6649" t="s">
        <v>11</v>
      </c>
    </row>
    <row r="6650" spans="1:9" x14ac:dyDescent="0.25">
      <c r="A6650" t="s">
        <v>17</v>
      </c>
      <c r="B6650" t="s">
        <v>88</v>
      </c>
      <c r="C6650">
        <v>202507</v>
      </c>
      <c r="D6650" t="str">
        <f t="shared" si="103"/>
        <v>2025</v>
      </c>
      <c r="E6650">
        <v>531</v>
      </c>
      <c r="F6650">
        <v>103058</v>
      </c>
      <c r="G6650">
        <v>0.52</v>
      </c>
      <c r="H6650" t="s">
        <v>10</v>
      </c>
      <c r="I6650" t="s">
        <v>11</v>
      </c>
    </row>
    <row r="6651" spans="1:9" x14ac:dyDescent="0.25">
      <c r="A6651" t="s">
        <v>17</v>
      </c>
      <c r="B6651" t="s">
        <v>88</v>
      </c>
      <c r="C6651">
        <v>202508</v>
      </c>
      <c r="D6651" t="str">
        <f t="shared" si="103"/>
        <v>2025</v>
      </c>
      <c r="E6651">
        <v>599</v>
      </c>
      <c r="F6651">
        <v>103058</v>
      </c>
      <c r="G6651">
        <v>0.57999999999999996</v>
      </c>
      <c r="H6651" t="s">
        <v>10</v>
      </c>
      <c r="I6651" t="s">
        <v>11</v>
      </c>
    </row>
    <row r="6652" spans="1:9" x14ac:dyDescent="0.25">
      <c r="A6652" t="s">
        <v>17</v>
      </c>
      <c r="B6652" t="s">
        <v>88</v>
      </c>
      <c r="C6652">
        <v>202509</v>
      </c>
      <c r="D6652" t="str">
        <f t="shared" si="103"/>
        <v>2025</v>
      </c>
      <c r="E6652">
        <v>646</v>
      </c>
      <c r="F6652">
        <v>103058</v>
      </c>
      <c r="G6652">
        <v>0.63</v>
      </c>
      <c r="H6652" t="s">
        <v>10</v>
      </c>
      <c r="I6652" t="s">
        <v>11</v>
      </c>
    </row>
    <row r="6653" spans="1:9" x14ac:dyDescent="0.25">
      <c r="A6653" t="s">
        <v>17</v>
      </c>
      <c r="B6653" t="s">
        <v>88</v>
      </c>
      <c r="C6653">
        <v>202510</v>
      </c>
      <c r="D6653" t="str">
        <f t="shared" si="103"/>
        <v>2025</v>
      </c>
      <c r="E6653">
        <v>1040</v>
      </c>
      <c r="F6653">
        <v>103058</v>
      </c>
      <c r="G6653">
        <v>1.01</v>
      </c>
      <c r="H6653" t="s">
        <v>10</v>
      </c>
      <c r="I6653" t="s">
        <v>11</v>
      </c>
    </row>
    <row r="6654" spans="1:9" x14ac:dyDescent="0.25">
      <c r="A6654" t="s">
        <v>17</v>
      </c>
      <c r="B6654" t="s">
        <v>88</v>
      </c>
      <c r="C6654">
        <v>202511</v>
      </c>
      <c r="D6654" t="str">
        <f t="shared" si="103"/>
        <v>2025</v>
      </c>
      <c r="E6654">
        <v>1584</v>
      </c>
      <c r="F6654">
        <v>103058</v>
      </c>
      <c r="G6654">
        <v>1.54</v>
      </c>
      <c r="H6654" t="s">
        <v>10</v>
      </c>
      <c r="I6654" t="s">
        <v>11</v>
      </c>
    </row>
    <row r="6655" spans="1:9" x14ac:dyDescent="0.25">
      <c r="A6655" t="s">
        <v>17</v>
      </c>
      <c r="B6655" t="s">
        <v>88</v>
      </c>
      <c r="C6655">
        <v>202512</v>
      </c>
      <c r="D6655" t="str">
        <f t="shared" si="103"/>
        <v>2025</v>
      </c>
      <c r="E6655">
        <v>3768</v>
      </c>
      <c r="F6655">
        <v>103058</v>
      </c>
      <c r="G6655">
        <v>3.66</v>
      </c>
      <c r="H6655" t="s">
        <v>10</v>
      </c>
      <c r="I6655" t="s">
        <v>11</v>
      </c>
    </row>
    <row r="6656" spans="1:9" x14ac:dyDescent="0.25">
      <c r="A6656" t="s">
        <v>17</v>
      </c>
      <c r="B6656" t="s">
        <v>88</v>
      </c>
      <c r="C6656">
        <v>202601</v>
      </c>
      <c r="D6656" t="str">
        <f t="shared" si="103"/>
        <v>2026</v>
      </c>
      <c r="E6656">
        <v>56193</v>
      </c>
      <c r="F6656">
        <v>103058</v>
      </c>
      <c r="G6656">
        <v>54.53</v>
      </c>
      <c r="H6656" t="s">
        <v>10</v>
      </c>
      <c r="I6656" t="s">
        <v>11</v>
      </c>
    </row>
    <row r="6657" spans="1:9" x14ac:dyDescent="0.25">
      <c r="A6657" t="s">
        <v>17</v>
      </c>
      <c r="B6657" t="s">
        <v>88</v>
      </c>
      <c r="C6657">
        <v>202602</v>
      </c>
      <c r="D6657" t="str">
        <f t="shared" si="103"/>
        <v>2026</v>
      </c>
      <c r="E6657">
        <v>36441</v>
      </c>
      <c r="F6657">
        <v>103058</v>
      </c>
      <c r="G6657">
        <v>35.36</v>
      </c>
      <c r="H6657" t="s">
        <v>10</v>
      </c>
      <c r="I6657" t="s">
        <v>11</v>
      </c>
    </row>
    <row r="6658" spans="1:9" hidden="1" x14ac:dyDescent="0.25">
      <c r="A6658" t="s">
        <v>17</v>
      </c>
      <c r="B6658" t="s">
        <v>80</v>
      </c>
      <c r="C6658">
        <v>202205</v>
      </c>
      <c r="D6658" t="str">
        <f t="shared" si="103"/>
        <v>2022</v>
      </c>
      <c r="E6658">
        <v>1</v>
      </c>
      <c r="F6658">
        <v>142634</v>
      </c>
      <c r="G6658">
        <v>0</v>
      </c>
      <c r="H6658" t="s">
        <v>10</v>
      </c>
      <c r="I6658" t="s">
        <v>11</v>
      </c>
    </row>
    <row r="6659" spans="1:9" hidden="1" x14ac:dyDescent="0.25">
      <c r="A6659" t="s">
        <v>17</v>
      </c>
      <c r="B6659" t="s">
        <v>80</v>
      </c>
      <c r="C6659">
        <v>202304</v>
      </c>
      <c r="D6659" t="str">
        <f t="shared" ref="D6659:D6722" si="104">LEFT(C6659,4)</f>
        <v>2023</v>
      </c>
      <c r="E6659">
        <v>9</v>
      </c>
      <c r="F6659">
        <v>142634</v>
      </c>
      <c r="G6659">
        <v>0.01</v>
      </c>
      <c r="H6659" t="s">
        <v>10</v>
      </c>
      <c r="I6659" t="s">
        <v>11</v>
      </c>
    </row>
    <row r="6660" spans="1:9" hidden="1" x14ac:dyDescent="0.25">
      <c r="A6660" t="s">
        <v>17</v>
      </c>
      <c r="B6660" t="s">
        <v>80</v>
      </c>
      <c r="C6660">
        <v>202305</v>
      </c>
      <c r="D6660" t="str">
        <f t="shared" si="104"/>
        <v>2023</v>
      </c>
      <c r="E6660">
        <v>3</v>
      </c>
      <c r="F6660">
        <v>142634</v>
      </c>
      <c r="G6660">
        <v>0</v>
      </c>
      <c r="H6660" t="s">
        <v>10</v>
      </c>
      <c r="I6660" t="s">
        <v>11</v>
      </c>
    </row>
    <row r="6661" spans="1:9" hidden="1" x14ac:dyDescent="0.25">
      <c r="A6661" t="s">
        <v>17</v>
      </c>
      <c r="B6661" t="s">
        <v>80</v>
      </c>
      <c r="C6661">
        <v>202306</v>
      </c>
      <c r="D6661" t="str">
        <f t="shared" si="104"/>
        <v>2023</v>
      </c>
      <c r="E6661">
        <v>27</v>
      </c>
      <c r="F6661">
        <v>142634</v>
      </c>
      <c r="G6661">
        <v>0.02</v>
      </c>
      <c r="H6661" t="s">
        <v>10</v>
      </c>
      <c r="I6661" t="s">
        <v>11</v>
      </c>
    </row>
    <row r="6662" spans="1:9" hidden="1" x14ac:dyDescent="0.25">
      <c r="A6662" t="s">
        <v>17</v>
      </c>
      <c r="B6662" t="s">
        <v>80</v>
      </c>
      <c r="C6662">
        <v>202307</v>
      </c>
      <c r="D6662" t="str">
        <f t="shared" si="104"/>
        <v>2023</v>
      </c>
      <c r="E6662">
        <v>13</v>
      </c>
      <c r="F6662">
        <v>142634</v>
      </c>
      <c r="G6662">
        <v>0.01</v>
      </c>
      <c r="H6662" t="s">
        <v>10</v>
      </c>
      <c r="I6662" t="s">
        <v>11</v>
      </c>
    </row>
    <row r="6663" spans="1:9" hidden="1" x14ac:dyDescent="0.25">
      <c r="A6663" t="s">
        <v>17</v>
      </c>
      <c r="B6663" t="s">
        <v>80</v>
      </c>
      <c r="C6663">
        <v>202308</v>
      </c>
      <c r="D6663" t="str">
        <f t="shared" si="104"/>
        <v>2023</v>
      </c>
      <c r="E6663">
        <v>57</v>
      </c>
      <c r="F6663">
        <v>142634</v>
      </c>
      <c r="G6663">
        <v>0.04</v>
      </c>
      <c r="H6663" t="s">
        <v>10</v>
      </c>
      <c r="I6663" t="s">
        <v>11</v>
      </c>
    </row>
    <row r="6664" spans="1:9" hidden="1" x14ac:dyDescent="0.25">
      <c r="A6664" t="s">
        <v>17</v>
      </c>
      <c r="B6664" t="s">
        <v>80</v>
      </c>
      <c r="C6664">
        <v>202309</v>
      </c>
      <c r="D6664" t="str">
        <f t="shared" si="104"/>
        <v>2023</v>
      </c>
      <c r="E6664">
        <v>50</v>
      </c>
      <c r="F6664">
        <v>142634</v>
      </c>
      <c r="G6664">
        <v>0.04</v>
      </c>
      <c r="H6664" t="s">
        <v>10</v>
      </c>
      <c r="I6664" t="s">
        <v>11</v>
      </c>
    </row>
    <row r="6665" spans="1:9" hidden="1" x14ac:dyDescent="0.25">
      <c r="A6665" t="s">
        <v>17</v>
      </c>
      <c r="B6665" t="s">
        <v>80</v>
      </c>
      <c r="C6665">
        <v>202310</v>
      </c>
      <c r="D6665" t="str">
        <f t="shared" si="104"/>
        <v>2023</v>
      </c>
      <c r="E6665">
        <v>2</v>
      </c>
      <c r="F6665">
        <v>142634</v>
      </c>
      <c r="G6665">
        <v>0</v>
      </c>
      <c r="H6665" t="s">
        <v>10</v>
      </c>
      <c r="I6665" t="s">
        <v>11</v>
      </c>
    </row>
    <row r="6666" spans="1:9" hidden="1" x14ac:dyDescent="0.25">
      <c r="A6666" t="s">
        <v>17</v>
      </c>
      <c r="B6666" t="s">
        <v>80</v>
      </c>
      <c r="C6666">
        <v>202311</v>
      </c>
      <c r="D6666" t="str">
        <f t="shared" si="104"/>
        <v>2023</v>
      </c>
      <c r="E6666">
        <v>18</v>
      </c>
      <c r="F6666">
        <v>142634</v>
      </c>
      <c r="G6666">
        <v>0.01</v>
      </c>
      <c r="H6666" t="s">
        <v>10</v>
      </c>
      <c r="I6666" t="s">
        <v>11</v>
      </c>
    </row>
    <row r="6667" spans="1:9" hidden="1" x14ac:dyDescent="0.25">
      <c r="A6667" t="s">
        <v>17</v>
      </c>
      <c r="B6667" t="s">
        <v>80</v>
      </c>
      <c r="C6667">
        <v>202312</v>
      </c>
      <c r="D6667" t="str">
        <f t="shared" si="104"/>
        <v>2023</v>
      </c>
      <c r="E6667">
        <v>22</v>
      </c>
      <c r="F6667">
        <v>142634</v>
      </c>
      <c r="G6667">
        <v>0.02</v>
      </c>
      <c r="H6667" t="s">
        <v>10</v>
      </c>
      <c r="I6667" t="s">
        <v>11</v>
      </c>
    </row>
    <row r="6668" spans="1:9" hidden="1" x14ac:dyDescent="0.25">
      <c r="A6668" t="s">
        <v>17</v>
      </c>
      <c r="B6668" t="s">
        <v>80</v>
      </c>
      <c r="C6668">
        <v>202402</v>
      </c>
      <c r="D6668" t="str">
        <f t="shared" si="104"/>
        <v>2024</v>
      </c>
      <c r="E6668">
        <v>16</v>
      </c>
      <c r="F6668">
        <v>142634</v>
      </c>
      <c r="G6668">
        <v>0.01</v>
      </c>
      <c r="H6668" t="s">
        <v>10</v>
      </c>
      <c r="I6668" t="s">
        <v>11</v>
      </c>
    </row>
    <row r="6669" spans="1:9" hidden="1" x14ac:dyDescent="0.25">
      <c r="A6669" t="s">
        <v>17</v>
      </c>
      <c r="B6669" t="s">
        <v>80</v>
      </c>
      <c r="C6669">
        <v>202403</v>
      </c>
      <c r="D6669" t="str">
        <f t="shared" si="104"/>
        <v>2024</v>
      </c>
      <c r="E6669">
        <v>1</v>
      </c>
      <c r="F6669">
        <v>142634</v>
      </c>
      <c r="G6669">
        <v>0</v>
      </c>
      <c r="H6669" t="s">
        <v>10</v>
      </c>
      <c r="I6669" t="s">
        <v>11</v>
      </c>
    </row>
    <row r="6670" spans="1:9" hidden="1" x14ac:dyDescent="0.25">
      <c r="A6670" t="s">
        <v>17</v>
      </c>
      <c r="B6670" t="s">
        <v>80</v>
      </c>
      <c r="C6670">
        <v>202404</v>
      </c>
      <c r="D6670" t="str">
        <f t="shared" si="104"/>
        <v>2024</v>
      </c>
      <c r="E6670">
        <v>30</v>
      </c>
      <c r="F6670">
        <v>142634</v>
      </c>
      <c r="G6670">
        <v>0.02</v>
      </c>
      <c r="H6670" t="s">
        <v>10</v>
      </c>
      <c r="I6670" t="s">
        <v>11</v>
      </c>
    </row>
    <row r="6671" spans="1:9" hidden="1" x14ac:dyDescent="0.25">
      <c r="A6671" t="s">
        <v>17</v>
      </c>
      <c r="B6671" t="s">
        <v>80</v>
      </c>
      <c r="C6671">
        <v>202405</v>
      </c>
      <c r="D6671" t="str">
        <f t="shared" si="104"/>
        <v>2024</v>
      </c>
      <c r="E6671">
        <v>15</v>
      </c>
      <c r="F6671">
        <v>142634</v>
      </c>
      <c r="G6671">
        <v>0.01</v>
      </c>
      <c r="H6671" t="s">
        <v>10</v>
      </c>
      <c r="I6671" t="s">
        <v>11</v>
      </c>
    </row>
    <row r="6672" spans="1:9" hidden="1" x14ac:dyDescent="0.25">
      <c r="A6672" t="s">
        <v>17</v>
      </c>
      <c r="B6672" t="s">
        <v>80</v>
      </c>
      <c r="C6672">
        <v>202406</v>
      </c>
      <c r="D6672" t="str">
        <f t="shared" si="104"/>
        <v>2024</v>
      </c>
      <c r="E6672">
        <v>5</v>
      </c>
      <c r="F6672">
        <v>142634</v>
      </c>
      <c r="G6672">
        <v>0</v>
      </c>
      <c r="H6672" t="s">
        <v>10</v>
      </c>
      <c r="I6672" t="s">
        <v>11</v>
      </c>
    </row>
    <row r="6673" spans="1:9" hidden="1" x14ac:dyDescent="0.25">
      <c r="A6673" t="s">
        <v>17</v>
      </c>
      <c r="B6673" t="s">
        <v>80</v>
      </c>
      <c r="C6673">
        <v>202407</v>
      </c>
      <c r="D6673" t="str">
        <f t="shared" si="104"/>
        <v>2024</v>
      </c>
      <c r="E6673">
        <v>9</v>
      </c>
      <c r="F6673">
        <v>142634</v>
      </c>
      <c r="G6673">
        <v>0.01</v>
      </c>
      <c r="H6673" t="s">
        <v>10</v>
      </c>
      <c r="I6673" t="s">
        <v>11</v>
      </c>
    </row>
    <row r="6674" spans="1:9" hidden="1" x14ac:dyDescent="0.25">
      <c r="A6674" t="s">
        <v>17</v>
      </c>
      <c r="B6674" t="s">
        <v>80</v>
      </c>
      <c r="C6674">
        <v>202408</v>
      </c>
      <c r="D6674" t="str">
        <f t="shared" si="104"/>
        <v>2024</v>
      </c>
      <c r="E6674">
        <v>11</v>
      </c>
      <c r="F6674">
        <v>142634</v>
      </c>
      <c r="G6674">
        <v>0.01</v>
      </c>
      <c r="H6674" t="s">
        <v>10</v>
      </c>
      <c r="I6674" t="s">
        <v>11</v>
      </c>
    </row>
    <row r="6675" spans="1:9" hidden="1" x14ac:dyDescent="0.25">
      <c r="A6675" t="s">
        <v>17</v>
      </c>
      <c r="B6675" t="s">
        <v>80</v>
      </c>
      <c r="C6675">
        <v>202409</v>
      </c>
      <c r="D6675" t="str">
        <f t="shared" si="104"/>
        <v>2024</v>
      </c>
      <c r="E6675">
        <v>55</v>
      </c>
      <c r="F6675">
        <v>142634</v>
      </c>
      <c r="G6675">
        <v>0.04</v>
      </c>
      <c r="H6675" t="s">
        <v>10</v>
      </c>
      <c r="I6675" t="s">
        <v>11</v>
      </c>
    </row>
    <row r="6676" spans="1:9" hidden="1" x14ac:dyDescent="0.25">
      <c r="A6676" t="s">
        <v>17</v>
      </c>
      <c r="B6676" t="s">
        <v>80</v>
      </c>
      <c r="C6676">
        <v>202410</v>
      </c>
      <c r="D6676" t="str">
        <f t="shared" si="104"/>
        <v>2024</v>
      </c>
      <c r="E6676">
        <v>39</v>
      </c>
      <c r="F6676">
        <v>142634</v>
      </c>
      <c r="G6676">
        <v>0.03</v>
      </c>
      <c r="H6676" t="s">
        <v>10</v>
      </c>
      <c r="I6676" t="s">
        <v>11</v>
      </c>
    </row>
    <row r="6677" spans="1:9" hidden="1" x14ac:dyDescent="0.25">
      <c r="A6677" t="s">
        <v>17</v>
      </c>
      <c r="B6677" t="s">
        <v>80</v>
      </c>
      <c r="C6677">
        <v>202411</v>
      </c>
      <c r="D6677" t="str">
        <f t="shared" si="104"/>
        <v>2024</v>
      </c>
      <c r="E6677">
        <v>49</v>
      </c>
      <c r="F6677">
        <v>142634</v>
      </c>
      <c r="G6677">
        <v>0.03</v>
      </c>
      <c r="H6677" t="s">
        <v>10</v>
      </c>
      <c r="I6677" t="s">
        <v>11</v>
      </c>
    </row>
    <row r="6678" spans="1:9" hidden="1" x14ac:dyDescent="0.25">
      <c r="A6678" t="s">
        <v>17</v>
      </c>
      <c r="B6678" t="s">
        <v>80</v>
      </c>
      <c r="C6678">
        <v>202412</v>
      </c>
      <c r="D6678" t="str">
        <f t="shared" si="104"/>
        <v>2024</v>
      </c>
      <c r="E6678">
        <v>37</v>
      </c>
      <c r="F6678">
        <v>142634</v>
      </c>
      <c r="G6678">
        <v>0.03</v>
      </c>
      <c r="H6678" t="s">
        <v>10</v>
      </c>
      <c r="I6678" t="s">
        <v>11</v>
      </c>
    </row>
    <row r="6679" spans="1:9" x14ac:dyDescent="0.25">
      <c r="A6679" t="s">
        <v>17</v>
      </c>
      <c r="B6679" t="s">
        <v>80</v>
      </c>
      <c r="C6679">
        <v>202501</v>
      </c>
      <c r="D6679" t="str">
        <f t="shared" si="104"/>
        <v>2025</v>
      </c>
      <c r="E6679">
        <v>410</v>
      </c>
      <c r="F6679">
        <v>142634</v>
      </c>
      <c r="G6679">
        <v>0.28999999999999998</v>
      </c>
      <c r="H6679" t="s">
        <v>10</v>
      </c>
      <c r="I6679" t="s">
        <v>11</v>
      </c>
    </row>
    <row r="6680" spans="1:9" x14ac:dyDescent="0.25">
      <c r="A6680" t="s">
        <v>17</v>
      </c>
      <c r="B6680" t="s">
        <v>80</v>
      </c>
      <c r="C6680">
        <v>202502</v>
      </c>
      <c r="D6680" t="str">
        <f t="shared" si="104"/>
        <v>2025</v>
      </c>
      <c r="E6680">
        <v>466</v>
      </c>
      <c r="F6680">
        <v>142634</v>
      </c>
      <c r="G6680">
        <v>0.33</v>
      </c>
      <c r="H6680" t="s">
        <v>10</v>
      </c>
      <c r="I6680" t="s">
        <v>11</v>
      </c>
    </row>
    <row r="6681" spans="1:9" x14ac:dyDescent="0.25">
      <c r="A6681" t="s">
        <v>17</v>
      </c>
      <c r="B6681" t="s">
        <v>80</v>
      </c>
      <c r="C6681">
        <v>202503</v>
      </c>
      <c r="D6681" t="str">
        <f t="shared" si="104"/>
        <v>2025</v>
      </c>
      <c r="E6681">
        <v>574</v>
      </c>
      <c r="F6681">
        <v>142634</v>
      </c>
      <c r="G6681">
        <v>0.4</v>
      </c>
      <c r="H6681" t="s">
        <v>10</v>
      </c>
      <c r="I6681" t="s">
        <v>11</v>
      </c>
    </row>
    <row r="6682" spans="1:9" x14ac:dyDescent="0.25">
      <c r="A6682" t="s">
        <v>17</v>
      </c>
      <c r="B6682" t="s">
        <v>80</v>
      </c>
      <c r="C6682">
        <v>202504</v>
      </c>
      <c r="D6682" t="str">
        <f t="shared" si="104"/>
        <v>2025</v>
      </c>
      <c r="E6682">
        <v>543</v>
      </c>
      <c r="F6682">
        <v>142634</v>
      </c>
      <c r="G6682">
        <v>0.38</v>
      </c>
      <c r="H6682" t="s">
        <v>10</v>
      </c>
      <c r="I6682" t="s">
        <v>11</v>
      </c>
    </row>
    <row r="6683" spans="1:9" x14ac:dyDescent="0.25">
      <c r="A6683" t="s">
        <v>17</v>
      </c>
      <c r="B6683" t="s">
        <v>80</v>
      </c>
      <c r="C6683">
        <v>202505</v>
      </c>
      <c r="D6683" t="str">
        <f t="shared" si="104"/>
        <v>2025</v>
      </c>
      <c r="E6683">
        <v>717</v>
      </c>
      <c r="F6683">
        <v>142634</v>
      </c>
      <c r="G6683">
        <v>0.5</v>
      </c>
      <c r="H6683" t="s">
        <v>10</v>
      </c>
      <c r="I6683" t="s">
        <v>11</v>
      </c>
    </row>
    <row r="6684" spans="1:9" x14ac:dyDescent="0.25">
      <c r="A6684" t="s">
        <v>17</v>
      </c>
      <c r="B6684" t="s">
        <v>80</v>
      </c>
      <c r="C6684">
        <v>202506</v>
      </c>
      <c r="D6684" t="str">
        <f t="shared" si="104"/>
        <v>2025</v>
      </c>
      <c r="E6684">
        <v>503</v>
      </c>
      <c r="F6684">
        <v>142634</v>
      </c>
      <c r="G6684">
        <v>0.35</v>
      </c>
      <c r="H6684" t="s">
        <v>10</v>
      </c>
      <c r="I6684" t="s">
        <v>11</v>
      </c>
    </row>
    <row r="6685" spans="1:9" x14ac:dyDescent="0.25">
      <c r="A6685" t="s">
        <v>17</v>
      </c>
      <c r="B6685" t="s">
        <v>80</v>
      </c>
      <c r="C6685">
        <v>202507</v>
      </c>
      <c r="D6685" t="str">
        <f t="shared" si="104"/>
        <v>2025</v>
      </c>
      <c r="E6685">
        <v>603</v>
      </c>
      <c r="F6685">
        <v>142634</v>
      </c>
      <c r="G6685">
        <v>0.42</v>
      </c>
      <c r="H6685" t="s">
        <v>10</v>
      </c>
      <c r="I6685" t="s">
        <v>11</v>
      </c>
    </row>
    <row r="6686" spans="1:9" x14ac:dyDescent="0.25">
      <c r="A6686" t="s">
        <v>17</v>
      </c>
      <c r="B6686" t="s">
        <v>80</v>
      </c>
      <c r="C6686">
        <v>202508</v>
      </c>
      <c r="D6686" t="str">
        <f t="shared" si="104"/>
        <v>2025</v>
      </c>
      <c r="E6686">
        <v>532</v>
      </c>
      <c r="F6686">
        <v>142634</v>
      </c>
      <c r="G6686">
        <v>0.37</v>
      </c>
      <c r="H6686" t="s">
        <v>10</v>
      </c>
      <c r="I6686" t="s">
        <v>11</v>
      </c>
    </row>
    <row r="6687" spans="1:9" x14ac:dyDescent="0.25">
      <c r="A6687" t="s">
        <v>17</v>
      </c>
      <c r="B6687" t="s">
        <v>80</v>
      </c>
      <c r="C6687">
        <v>202509</v>
      </c>
      <c r="D6687" t="str">
        <f t="shared" si="104"/>
        <v>2025</v>
      </c>
      <c r="E6687">
        <v>1092</v>
      </c>
      <c r="F6687">
        <v>142634</v>
      </c>
      <c r="G6687">
        <v>0.77</v>
      </c>
      <c r="H6687" t="s">
        <v>10</v>
      </c>
      <c r="I6687" t="s">
        <v>11</v>
      </c>
    </row>
    <row r="6688" spans="1:9" x14ac:dyDescent="0.25">
      <c r="A6688" t="s">
        <v>17</v>
      </c>
      <c r="B6688" t="s">
        <v>80</v>
      </c>
      <c r="C6688">
        <v>202510</v>
      </c>
      <c r="D6688" t="str">
        <f t="shared" si="104"/>
        <v>2025</v>
      </c>
      <c r="E6688">
        <v>1509</v>
      </c>
      <c r="F6688">
        <v>142634</v>
      </c>
      <c r="G6688">
        <v>1.06</v>
      </c>
      <c r="H6688" t="s">
        <v>10</v>
      </c>
      <c r="I6688" t="s">
        <v>11</v>
      </c>
    </row>
    <row r="6689" spans="1:9" x14ac:dyDescent="0.25">
      <c r="A6689" t="s">
        <v>17</v>
      </c>
      <c r="B6689" t="s">
        <v>80</v>
      </c>
      <c r="C6689">
        <v>202511</v>
      </c>
      <c r="D6689" t="str">
        <f t="shared" si="104"/>
        <v>2025</v>
      </c>
      <c r="E6689">
        <v>1655</v>
      </c>
      <c r="F6689">
        <v>142634</v>
      </c>
      <c r="G6689">
        <v>1.1599999999999999</v>
      </c>
      <c r="H6689" t="s">
        <v>10</v>
      </c>
      <c r="I6689" t="s">
        <v>11</v>
      </c>
    </row>
    <row r="6690" spans="1:9" x14ac:dyDescent="0.25">
      <c r="A6690" t="s">
        <v>17</v>
      </c>
      <c r="B6690" t="s">
        <v>80</v>
      </c>
      <c r="C6690">
        <v>202512</v>
      </c>
      <c r="D6690" t="str">
        <f t="shared" si="104"/>
        <v>2025</v>
      </c>
      <c r="E6690">
        <v>3095</v>
      </c>
      <c r="F6690">
        <v>142634</v>
      </c>
      <c r="G6690">
        <v>2.17</v>
      </c>
      <c r="H6690" t="s">
        <v>10</v>
      </c>
      <c r="I6690" t="s">
        <v>11</v>
      </c>
    </row>
    <row r="6691" spans="1:9" x14ac:dyDescent="0.25">
      <c r="A6691" t="s">
        <v>17</v>
      </c>
      <c r="B6691" t="s">
        <v>80</v>
      </c>
      <c r="C6691">
        <v>202601</v>
      </c>
      <c r="D6691" t="str">
        <f t="shared" si="104"/>
        <v>2026</v>
      </c>
      <c r="E6691">
        <v>12781</v>
      </c>
      <c r="F6691">
        <v>142634</v>
      </c>
      <c r="G6691">
        <v>8.9600000000000009</v>
      </c>
      <c r="H6691" t="s">
        <v>10</v>
      </c>
      <c r="I6691" t="s">
        <v>11</v>
      </c>
    </row>
    <row r="6692" spans="1:9" x14ac:dyDescent="0.25">
      <c r="A6692" t="s">
        <v>17</v>
      </c>
      <c r="B6692" t="s">
        <v>80</v>
      </c>
      <c r="C6692">
        <v>202602</v>
      </c>
      <c r="D6692" t="str">
        <f t="shared" si="104"/>
        <v>2026</v>
      </c>
      <c r="E6692">
        <v>67225</v>
      </c>
      <c r="F6692">
        <v>142634</v>
      </c>
      <c r="G6692">
        <v>47.13</v>
      </c>
      <c r="H6692" t="s">
        <v>10</v>
      </c>
      <c r="I6692" t="s">
        <v>11</v>
      </c>
    </row>
    <row r="6693" spans="1:9" x14ac:dyDescent="0.25">
      <c r="A6693" t="s">
        <v>17</v>
      </c>
      <c r="B6693" t="s">
        <v>80</v>
      </c>
      <c r="C6693">
        <v>202603</v>
      </c>
      <c r="D6693" t="str">
        <f t="shared" si="104"/>
        <v>2026</v>
      </c>
      <c r="E6693">
        <v>50460</v>
      </c>
      <c r="F6693">
        <v>142634</v>
      </c>
      <c r="G6693">
        <v>35.380000000000003</v>
      </c>
      <c r="H6693" t="s">
        <v>10</v>
      </c>
      <c r="I6693" t="s">
        <v>11</v>
      </c>
    </row>
    <row r="6694" spans="1:9" hidden="1" x14ac:dyDescent="0.25">
      <c r="A6694" t="s">
        <v>17</v>
      </c>
      <c r="B6694" t="s">
        <v>123</v>
      </c>
      <c r="C6694">
        <v>202303</v>
      </c>
      <c r="D6694" t="str">
        <f t="shared" si="104"/>
        <v>2023</v>
      </c>
      <c r="E6694">
        <v>1</v>
      </c>
      <c r="F6694">
        <v>118230</v>
      </c>
      <c r="G6694">
        <v>0</v>
      </c>
      <c r="H6694" t="s">
        <v>10</v>
      </c>
      <c r="I6694" t="s">
        <v>11</v>
      </c>
    </row>
    <row r="6695" spans="1:9" hidden="1" x14ac:dyDescent="0.25">
      <c r="A6695" t="s">
        <v>17</v>
      </c>
      <c r="B6695" t="s">
        <v>123</v>
      </c>
      <c r="C6695">
        <v>202305</v>
      </c>
      <c r="D6695" t="str">
        <f t="shared" si="104"/>
        <v>2023</v>
      </c>
      <c r="E6695">
        <v>2</v>
      </c>
      <c r="F6695">
        <v>118230</v>
      </c>
      <c r="G6695">
        <v>0</v>
      </c>
      <c r="H6695" t="s">
        <v>10</v>
      </c>
      <c r="I6695" t="s">
        <v>11</v>
      </c>
    </row>
    <row r="6696" spans="1:9" hidden="1" x14ac:dyDescent="0.25">
      <c r="A6696" t="s">
        <v>17</v>
      </c>
      <c r="B6696" t="s">
        <v>123</v>
      </c>
      <c r="C6696">
        <v>202310</v>
      </c>
      <c r="D6696" t="str">
        <f t="shared" si="104"/>
        <v>2023</v>
      </c>
      <c r="E6696">
        <v>4</v>
      </c>
      <c r="F6696">
        <v>118230</v>
      </c>
      <c r="G6696">
        <v>0</v>
      </c>
      <c r="H6696" t="s">
        <v>10</v>
      </c>
      <c r="I6696" t="s">
        <v>11</v>
      </c>
    </row>
    <row r="6697" spans="1:9" hidden="1" x14ac:dyDescent="0.25">
      <c r="A6697" t="s">
        <v>17</v>
      </c>
      <c r="B6697" t="s">
        <v>123</v>
      </c>
      <c r="C6697">
        <v>202311</v>
      </c>
      <c r="D6697" t="str">
        <f t="shared" si="104"/>
        <v>2023</v>
      </c>
      <c r="E6697">
        <v>8</v>
      </c>
      <c r="F6697">
        <v>118230</v>
      </c>
      <c r="G6697">
        <v>0.01</v>
      </c>
      <c r="H6697" t="s">
        <v>10</v>
      </c>
      <c r="I6697" t="s">
        <v>11</v>
      </c>
    </row>
    <row r="6698" spans="1:9" hidden="1" x14ac:dyDescent="0.25">
      <c r="A6698" t="s">
        <v>17</v>
      </c>
      <c r="B6698" t="s">
        <v>123</v>
      </c>
      <c r="C6698">
        <v>202402</v>
      </c>
      <c r="D6698" t="str">
        <f t="shared" si="104"/>
        <v>2024</v>
      </c>
      <c r="E6698">
        <v>5</v>
      </c>
      <c r="F6698">
        <v>118230</v>
      </c>
      <c r="G6698">
        <v>0</v>
      </c>
      <c r="H6698" t="s">
        <v>10</v>
      </c>
      <c r="I6698" t="s">
        <v>11</v>
      </c>
    </row>
    <row r="6699" spans="1:9" hidden="1" x14ac:dyDescent="0.25">
      <c r="A6699" t="s">
        <v>17</v>
      </c>
      <c r="B6699" t="s">
        <v>123</v>
      </c>
      <c r="C6699">
        <v>202403</v>
      </c>
      <c r="D6699" t="str">
        <f t="shared" si="104"/>
        <v>2024</v>
      </c>
      <c r="E6699">
        <v>7</v>
      </c>
      <c r="F6699">
        <v>118230</v>
      </c>
      <c r="G6699">
        <v>0.01</v>
      </c>
      <c r="H6699" t="s">
        <v>10</v>
      </c>
      <c r="I6699" t="s">
        <v>11</v>
      </c>
    </row>
    <row r="6700" spans="1:9" hidden="1" x14ac:dyDescent="0.25">
      <c r="A6700" t="s">
        <v>17</v>
      </c>
      <c r="B6700" t="s">
        <v>123</v>
      </c>
      <c r="C6700">
        <v>202404</v>
      </c>
      <c r="D6700" t="str">
        <f t="shared" si="104"/>
        <v>2024</v>
      </c>
      <c r="E6700">
        <v>7</v>
      </c>
      <c r="F6700">
        <v>118230</v>
      </c>
      <c r="G6700">
        <v>0.01</v>
      </c>
      <c r="H6700" t="s">
        <v>10</v>
      </c>
      <c r="I6700" t="s">
        <v>11</v>
      </c>
    </row>
    <row r="6701" spans="1:9" hidden="1" x14ac:dyDescent="0.25">
      <c r="A6701" t="s">
        <v>17</v>
      </c>
      <c r="B6701" t="s">
        <v>123</v>
      </c>
      <c r="C6701">
        <v>202405</v>
      </c>
      <c r="D6701" t="str">
        <f t="shared" si="104"/>
        <v>2024</v>
      </c>
      <c r="E6701">
        <v>27</v>
      </c>
      <c r="F6701">
        <v>118230</v>
      </c>
      <c r="G6701">
        <v>0.02</v>
      </c>
      <c r="H6701" t="s">
        <v>10</v>
      </c>
      <c r="I6701" t="s">
        <v>11</v>
      </c>
    </row>
    <row r="6702" spans="1:9" hidden="1" x14ac:dyDescent="0.25">
      <c r="A6702" t="s">
        <v>17</v>
      </c>
      <c r="B6702" t="s">
        <v>123</v>
      </c>
      <c r="C6702">
        <v>202406</v>
      </c>
      <c r="D6702" t="str">
        <f t="shared" si="104"/>
        <v>2024</v>
      </c>
      <c r="E6702">
        <v>6</v>
      </c>
      <c r="F6702">
        <v>118230</v>
      </c>
      <c r="G6702">
        <v>0.01</v>
      </c>
      <c r="H6702" t="s">
        <v>10</v>
      </c>
      <c r="I6702" t="s">
        <v>11</v>
      </c>
    </row>
    <row r="6703" spans="1:9" hidden="1" x14ac:dyDescent="0.25">
      <c r="A6703" t="s">
        <v>17</v>
      </c>
      <c r="B6703" t="s">
        <v>123</v>
      </c>
      <c r="C6703">
        <v>202407</v>
      </c>
      <c r="D6703" t="str">
        <f t="shared" si="104"/>
        <v>2024</v>
      </c>
      <c r="E6703">
        <v>8</v>
      </c>
      <c r="F6703">
        <v>118230</v>
      </c>
      <c r="G6703">
        <v>0.01</v>
      </c>
      <c r="H6703" t="s">
        <v>10</v>
      </c>
      <c r="I6703" t="s">
        <v>11</v>
      </c>
    </row>
    <row r="6704" spans="1:9" hidden="1" x14ac:dyDescent="0.25">
      <c r="A6704" t="s">
        <v>17</v>
      </c>
      <c r="B6704" t="s">
        <v>123</v>
      </c>
      <c r="C6704">
        <v>202408</v>
      </c>
      <c r="D6704" t="str">
        <f t="shared" si="104"/>
        <v>2024</v>
      </c>
      <c r="E6704">
        <v>30</v>
      </c>
      <c r="F6704">
        <v>118230</v>
      </c>
      <c r="G6704">
        <v>0.03</v>
      </c>
      <c r="H6704" t="s">
        <v>10</v>
      </c>
      <c r="I6704" t="s">
        <v>11</v>
      </c>
    </row>
    <row r="6705" spans="1:9" hidden="1" x14ac:dyDescent="0.25">
      <c r="A6705" t="s">
        <v>17</v>
      </c>
      <c r="B6705" t="s">
        <v>123</v>
      </c>
      <c r="C6705">
        <v>202409</v>
      </c>
      <c r="D6705" t="str">
        <f t="shared" si="104"/>
        <v>2024</v>
      </c>
      <c r="E6705">
        <v>2</v>
      </c>
      <c r="F6705">
        <v>118230</v>
      </c>
      <c r="G6705">
        <v>0</v>
      </c>
      <c r="H6705" t="s">
        <v>10</v>
      </c>
      <c r="I6705" t="s">
        <v>11</v>
      </c>
    </row>
    <row r="6706" spans="1:9" hidden="1" x14ac:dyDescent="0.25">
      <c r="A6706" t="s">
        <v>17</v>
      </c>
      <c r="B6706" t="s">
        <v>123</v>
      </c>
      <c r="C6706">
        <v>202410</v>
      </c>
      <c r="D6706" t="str">
        <f t="shared" si="104"/>
        <v>2024</v>
      </c>
      <c r="E6706">
        <v>27</v>
      </c>
      <c r="F6706">
        <v>118230</v>
      </c>
      <c r="G6706">
        <v>0.02</v>
      </c>
      <c r="H6706" t="s">
        <v>10</v>
      </c>
      <c r="I6706" t="s">
        <v>11</v>
      </c>
    </row>
    <row r="6707" spans="1:9" hidden="1" x14ac:dyDescent="0.25">
      <c r="A6707" t="s">
        <v>17</v>
      </c>
      <c r="B6707" t="s">
        <v>123</v>
      </c>
      <c r="C6707">
        <v>202411</v>
      </c>
      <c r="D6707" t="str">
        <f t="shared" si="104"/>
        <v>2024</v>
      </c>
      <c r="E6707">
        <v>20</v>
      </c>
      <c r="F6707">
        <v>118230</v>
      </c>
      <c r="G6707">
        <v>0.02</v>
      </c>
      <c r="H6707" t="s">
        <v>10</v>
      </c>
      <c r="I6707" t="s">
        <v>11</v>
      </c>
    </row>
    <row r="6708" spans="1:9" hidden="1" x14ac:dyDescent="0.25">
      <c r="A6708" t="s">
        <v>17</v>
      </c>
      <c r="B6708" t="s">
        <v>123</v>
      </c>
      <c r="C6708">
        <v>202412</v>
      </c>
      <c r="D6708" t="str">
        <f t="shared" si="104"/>
        <v>2024</v>
      </c>
      <c r="E6708">
        <v>33</v>
      </c>
      <c r="F6708">
        <v>118230</v>
      </c>
      <c r="G6708">
        <v>0.03</v>
      </c>
      <c r="H6708" t="s">
        <v>10</v>
      </c>
      <c r="I6708" t="s">
        <v>11</v>
      </c>
    </row>
    <row r="6709" spans="1:9" x14ac:dyDescent="0.25">
      <c r="A6709" t="s">
        <v>17</v>
      </c>
      <c r="B6709" t="s">
        <v>123</v>
      </c>
      <c r="C6709">
        <v>202501</v>
      </c>
      <c r="D6709" t="str">
        <f t="shared" si="104"/>
        <v>2025</v>
      </c>
      <c r="E6709">
        <v>167</v>
      </c>
      <c r="F6709">
        <v>118230</v>
      </c>
      <c r="G6709">
        <v>0.14000000000000001</v>
      </c>
      <c r="H6709" t="s">
        <v>10</v>
      </c>
      <c r="I6709" t="s">
        <v>11</v>
      </c>
    </row>
    <row r="6710" spans="1:9" x14ac:dyDescent="0.25">
      <c r="A6710" t="s">
        <v>17</v>
      </c>
      <c r="B6710" t="s">
        <v>123</v>
      </c>
      <c r="C6710">
        <v>202502</v>
      </c>
      <c r="D6710" t="str">
        <f t="shared" si="104"/>
        <v>2025</v>
      </c>
      <c r="E6710">
        <v>134</v>
      </c>
      <c r="F6710">
        <v>118230</v>
      </c>
      <c r="G6710">
        <v>0.11</v>
      </c>
      <c r="H6710" t="s">
        <v>10</v>
      </c>
      <c r="I6710" t="s">
        <v>11</v>
      </c>
    </row>
    <row r="6711" spans="1:9" x14ac:dyDescent="0.25">
      <c r="A6711" t="s">
        <v>17</v>
      </c>
      <c r="B6711" t="s">
        <v>123</v>
      </c>
      <c r="C6711">
        <v>202503</v>
      </c>
      <c r="D6711" t="str">
        <f t="shared" si="104"/>
        <v>2025</v>
      </c>
      <c r="E6711">
        <v>276</v>
      </c>
      <c r="F6711">
        <v>118230</v>
      </c>
      <c r="G6711">
        <v>0.23</v>
      </c>
      <c r="H6711" t="s">
        <v>10</v>
      </c>
      <c r="I6711" t="s">
        <v>11</v>
      </c>
    </row>
    <row r="6712" spans="1:9" x14ac:dyDescent="0.25">
      <c r="A6712" t="s">
        <v>17</v>
      </c>
      <c r="B6712" t="s">
        <v>123</v>
      </c>
      <c r="C6712">
        <v>202504</v>
      </c>
      <c r="D6712" t="str">
        <f t="shared" si="104"/>
        <v>2025</v>
      </c>
      <c r="E6712">
        <v>214</v>
      </c>
      <c r="F6712">
        <v>118230</v>
      </c>
      <c r="G6712">
        <v>0.18</v>
      </c>
      <c r="H6712" t="s">
        <v>10</v>
      </c>
      <c r="I6712" t="s">
        <v>11</v>
      </c>
    </row>
    <row r="6713" spans="1:9" x14ac:dyDescent="0.25">
      <c r="A6713" t="s">
        <v>17</v>
      </c>
      <c r="B6713" t="s">
        <v>123</v>
      </c>
      <c r="C6713">
        <v>202505</v>
      </c>
      <c r="D6713" t="str">
        <f t="shared" si="104"/>
        <v>2025</v>
      </c>
      <c r="E6713">
        <v>413</v>
      </c>
      <c r="F6713">
        <v>118230</v>
      </c>
      <c r="G6713">
        <v>0.35</v>
      </c>
      <c r="H6713" t="s">
        <v>10</v>
      </c>
      <c r="I6713" t="s">
        <v>11</v>
      </c>
    </row>
    <row r="6714" spans="1:9" x14ac:dyDescent="0.25">
      <c r="A6714" t="s">
        <v>17</v>
      </c>
      <c r="B6714" t="s">
        <v>123</v>
      </c>
      <c r="C6714">
        <v>202506</v>
      </c>
      <c r="D6714" t="str">
        <f t="shared" si="104"/>
        <v>2025</v>
      </c>
      <c r="E6714">
        <v>374</v>
      </c>
      <c r="F6714">
        <v>118230</v>
      </c>
      <c r="G6714">
        <v>0.32</v>
      </c>
      <c r="H6714" t="s">
        <v>10</v>
      </c>
      <c r="I6714" t="s">
        <v>11</v>
      </c>
    </row>
    <row r="6715" spans="1:9" x14ac:dyDescent="0.25">
      <c r="A6715" t="s">
        <v>17</v>
      </c>
      <c r="B6715" t="s">
        <v>123</v>
      </c>
      <c r="C6715">
        <v>202507</v>
      </c>
      <c r="D6715" t="str">
        <f t="shared" si="104"/>
        <v>2025</v>
      </c>
      <c r="E6715">
        <v>316</v>
      </c>
      <c r="F6715">
        <v>118230</v>
      </c>
      <c r="G6715">
        <v>0.27</v>
      </c>
      <c r="H6715" t="s">
        <v>10</v>
      </c>
      <c r="I6715" t="s">
        <v>11</v>
      </c>
    </row>
    <row r="6716" spans="1:9" x14ac:dyDescent="0.25">
      <c r="A6716" t="s">
        <v>17</v>
      </c>
      <c r="B6716" t="s">
        <v>123</v>
      </c>
      <c r="C6716">
        <v>202508</v>
      </c>
      <c r="D6716" t="str">
        <f t="shared" si="104"/>
        <v>2025</v>
      </c>
      <c r="E6716">
        <v>383</v>
      </c>
      <c r="F6716">
        <v>118230</v>
      </c>
      <c r="G6716">
        <v>0.32</v>
      </c>
      <c r="H6716" t="s">
        <v>10</v>
      </c>
      <c r="I6716" t="s">
        <v>11</v>
      </c>
    </row>
    <row r="6717" spans="1:9" x14ac:dyDescent="0.25">
      <c r="A6717" t="s">
        <v>17</v>
      </c>
      <c r="B6717" t="s">
        <v>123</v>
      </c>
      <c r="C6717">
        <v>202509</v>
      </c>
      <c r="D6717" t="str">
        <f t="shared" si="104"/>
        <v>2025</v>
      </c>
      <c r="E6717">
        <v>399</v>
      </c>
      <c r="F6717">
        <v>118230</v>
      </c>
      <c r="G6717">
        <v>0.34</v>
      </c>
      <c r="H6717" t="s">
        <v>10</v>
      </c>
      <c r="I6717" t="s">
        <v>11</v>
      </c>
    </row>
    <row r="6718" spans="1:9" x14ac:dyDescent="0.25">
      <c r="A6718" t="s">
        <v>17</v>
      </c>
      <c r="B6718" t="s">
        <v>123</v>
      </c>
      <c r="C6718">
        <v>202510</v>
      </c>
      <c r="D6718" t="str">
        <f t="shared" si="104"/>
        <v>2025</v>
      </c>
      <c r="E6718">
        <v>718</v>
      </c>
      <c r="F6718">
        <v>118230</v>
      </c>
      <c r="G6718">
        <v>0.61</v>
      </c>
      <c r="H6718" t="s">
        <v>10</v>
      </c>
      <c r="I6718" t="s">
        <v>11</v>
      </c>
    </row>
    <row r="6719" spans="1:9" x14ac:dyDescent="0.25">
      <c r="A6719" t="s">
        <v>17</v>
      </c>
      <c r="B6719" t="s">
        <v>123</v>
      </c>
      <c r="C6719">
        <v>202511</v>
      </c>
      <c r="D6719" t="str">
        <f t="shared" si="104"/>
        <v>2025</v>
      </c>
      <c r="E6719">
        <v>978</v>
      </c>
      <c r="F6719">
        <v>118230</v>
      </c>
      <c r="G6719">
        <v>0.83</v>
      </c>
      <c r="H6719" t="s">
        <v>10</v>
      </c>
      <c r="I6719" t="s">
        <v>11</v>
      </c>
    </row>
    <row r="6720" spans="1:9" x14ac:dyDescent="0.25">
      <c r="A6720" t="s">
        <v>17</v>
      </c>
      <c r="B6720" t="s">
        <v>123</v>
      </c>
      <c r="C6720">
        <v>202512</v>
      </c>
      <c r="D6720" t="str">
        <f t="shared" si="104"/>
        <v>2025</v>
      </c>
      <c r="E6720">
        <v>1417</v>
      </c>
      <c r="F6720">
        <v>118230</v>
      </c>
      <c r="G6720">
        <v>1.2</v>
      </c>
      <c r="H6720" t="s">
        <v>10</v>
      </c>
      <c r="I6720" t="s">
        <v>11</v>
      </c>
    </row>
    <row r="6721" spans="1:9" x14ac:dyDescent="0.25">
      <c r="A6721" t="s">
        <v>17</v>
      </c>
      <c r="B6721" t="s">
        <v>123</v>
      </c>
      <c r="C6721">
        <v>202601</v>
      </c>
      <c r="D6721" t="str">
        <f t="shared" si="104"/>
        <v>2026</v>
      </c>
      <c r="E6721">
        <v>3861</v>
      </c>
      <c r="F6721">
        <v>118230</v>
      </c>
      <c r="G6721">
        <v>3.27</v>
      </c>
      <c r="H6721" t="s">
        <v>10</v>
      </c>
      <c r="I6721" t="s">
        <v>11</v>
      </c>
    </row>
    <row r="6722" spans="1:9" x14ac:dyDescent="0.25">
      <c r="A6722" t="s">
        <v>17</v>
      </c>
      <c r="B6722" t="s">
        <v>123</v>
      </c>
      <c r="C6722">
        <v>202602</v>
      </c>
      <c r="D6722" t="str">
        <f t="shared" si="104"/>
        <v>2026</v>
      </c>
      <c r="E6722">
        <v>6439</v>
      </c>
      <c r="F6722">
        <v>118230</v>
      </c>
      <c r="G6722">
        <v>5.45</v>
      </c>
      <c r="H6722" t="s">
        <v>10</v>
      </c>
      <c r="I6722" t="s">
        <v>11</v>
      </c>
    </row>
    <row r="6723" spans="1:9" x14ac:dyDescent="0.25">
      <c r="A6723" t="s">
        <v>17</v>
      </c>
      <c r="B6723" t="s">
        <v>123</v>
      </c>
      <c r="C6723">
        <v>202603</v>
      </c>
      <c r="D6723" t="str">
        <f t="shared" ref="D6723:D6786" si="105">LEFT(C6723,4)</f>
        <v>2026</v>
      </c>
      <c r="E6723">
        <v>57149</v>
      </c>
      <c r="F6723">
        <v>118230</v>
      </c>
      <c r="G6723">
        <v>48.34</v>
      </c>
      <c r="H6723" t="s">
        <v>10</v>
      </c>
      <c r="I6723" t="s">
        <v>11</v>
      </c>
    </row>
    <row r="6724" spans="1:9" x14ac:dyDescent="0.25">
      <c r="A6724" t="s">
        <v>17</v>
      </c>
      <c r="B6724" t="s">
        <v>123</v>
      </c>
      <c r="C6724">
        <v>202604</v>
      </c>
      <c r="D6724" t="str">
        <f t="shared" si="105"/>
        <v>2026</v>
      </c>
      <c r="E6724">
        <v>44805</v>
      </c>
      <c r="F6724">
        <v>118230</v>
      </c>
      <c r="G6724">
        <v>37.9</v>
      </c>
      <c r="H6724" t="s">
        <v>10</v>
      </c>
      <c r="I6724" t="s">
        <v>11</v>
      </c>
    </row>
    <row r="6725" spans="1:9" hidden="1" x14ac:dyDescent="0.25">
      <c r="A6725" t="s">
        <v>17</v>
      </c>
      <c r="B6725" t="s">
        <v>187</v>
      </c>
      <c r="C6725">
        <v>202003</v>
      </c>
      <c r="D6725" t="str">
        <f t="shared" si="105"/>
        <v>2020</v>
      </c>
      <c r="E6725">
        <v>7</v>
      </c>
      <c r="F6725">
        <v>52208</v>
      </c>
      <c r="G6725">
        <v>0.01</v>
      </c>
      <c r="H6725" t="s">
        <v>10</v>
      </c>
      <c r="I6725" t="s">
        <v>11</v>
      </c>
    </row>
    <row r="6726" spans="1:9" hidden="1" x14ac:dyDescent="0.25">
      <c r="A6726" t="s">
        <v>17</v>
      </c>
      <c r="B6726" t="s">
        <v>187</v>
      </c>
      <c r="C6726">
        <v>202010</v>
      </c>
      <c r="D6726" t="str">
        <f t="shared" si="105"/>
        <v>2020</v>
      </c>
      <c r="E6726">
        <v>1</v>
      </c>
      <c r="F6726">
        <v>52208</v>
      </c>
      <c r="G6726">
        <v>0</v>
      </c>
      <c r="H6726" t="s">
        <v>10</v>
      </c>
      <c r="I6726" t="s">
        <v>11</v>
      </c>
    </row>
    <row r="6727" spans="1:9" hidden="1" x14ac:dyDescent="0.25">
      <c r="A6727" t="s">
        <v>17</v>
      </c>
      <c r="B6727" t="s">
        <v>187</v>
      </c>
      <c r="C6727">
        <v>202101</v>
      </c>
      <c r="D6727" t="str">
        <f t="shared" si="105"/>
        <v>2021</v>
      </c>
      <c r="E6727">
        <v>3</v>
      </c>
      <c r="F6727">
        <v>52208</v>
      </c>
      <c r="G6727">
        <v>0.01</v>
      </c>
      <c r="H6727" t="s">
        <v>10</v>
      </c>
      <c r="I6727" t="s">
        <v>11</v>
      </c>
    </row>
    <row r="6728" spans="1:9" hidden="1" x14ac:dyDescent="0.25">
      <c r="A6728" t="s">
        <v>17</v>
      </c>
      <c r="B6728" t="s">
        <v>187</v>
      </c>
      <c r="C6728">
        <v>202103</v>
      </c>
      <c r="D6728" t="str">
        <f t="shared" si="105"/>
        <v>2021</v>
      </c>
      <c r="E6728">
        <v>9</v>
      </c>
      <c r="F6728">
        <v>52208</v>
      </c>
      <c r="G6728">
        <v>0.02</v>
      </c>
      <c r="H6728" t="s">
        <v>10</v>
      </c>
      <c r="I6728" t="s">
        <v>11</v>
      </c>
    </row>
    <row r="6729" spans="1:9" hidden="1" x14ac:dyDescent="0.25">
      <c r="A6729" t="s">
        <v>17</v>
      </c>
      <c r="B6729" t="s">
        <v>187</v>
      </c>
      <c r="C6729">
        <v>202105</v>
      </c>
      <c r="D6729" t="str">
        <f t="shared" si="105"/>
        <v>2021</v>
      </c>
      <c r="E6729">
        <v>36</v>
      </c>
      <c r="F6729">
        <v>52208</v>
      </c>
      <c r="G6729">
        <v>7.0000000000000007E-2</v>
      </c>
      <c r="H6729" t="s">
        <v>10</v>
      </c>
      <c r="I6729" t="s">
        <v>11</v>
      </c>
    </row>
    <row r="6730" spans="1:9" hidden="1" x14ac:dyDescent="0.25">
      <c r="A6730" t="s">
        <v>17</v>
      </c>
      <c r="B6730" t="s">
        <v>187</v>
      </c>
      <c r="C6730">
        <v>202107</v>
      </c>
      <c r="D6730" t="str">
        <f t="shared" si="105"/>
        <v>2021</v>
      </c>
      <c r="E6730">
        <v>11</v>
      </c>
      <c r="F6730">
        <v>52208</v>
      </c>
      <c r="G6730">
        <v>0.02</v>
      </c>
      <c r="H6730" t="s">
        <v>10</v>
      </c>
      <c r="I6730" t="s">
        <v>11</v>
      </c>
    </row>
    <row r="6731" spans="1:9" hidden="1" x14ac:dyDescent="0.25">
      <c r="A6731" t="s">
        <v>17</v>
      </c>
      <c r="B6731" t="s">
        <v>187</v>
      </c>
      <c r="C6731">
        <v>202108</v>
      </c>
      <c r="D6731" t="str">
        <f t="shared" si="105"/>
        <v>2021</v>
      </c>
      <c r="E6731">
        <v>4</v>
      </c>
      <c r="F6731">
        <v>52208</v>
      </c>
      <c r="G6731">
        <v>0.01</v>
      </c>
      <c r="H6731" t="s">
        <v>10</v>
      </c>
      <c r="I6731" t="s">
        <v>11</v>
      </c>
    </row>
    <row r="6732" spans="1:9" hidden="1" x14ac:dyDescent="0.25">
      <c r="A6732" t="s">
        <v>17</v>
      </c>
      <c r="B6732" t="s">
        <v>187</v>
      </c>
      <c r="C6732">
        <v>202109</v>
      </c>
      <c r="D6732" t="str">
        <f t="shared" si="105"/>
        <v>2021</v>
      </c>
      <c r="E6732">
        <v>1</v>
      </c>
      <c r="F6732">
        <v>52208</v>
      </c>
      <c r="G6732">
        <v>0</v>
      </c>
      <c r="H6732" t="s">
        <v>10</v>
      </c>
      <c r="I6732" t="s">
        <v>11</v>
      </c>
    </row>
    <row r="6733" spans="1:9" hidden="1" x14ac:dyDescent="0.25">
      <c r="A6733" t="s">
        <v>17</v>
      </c>
      <c r="B6733" t="s">
        <v>187</v>
      </c>
      <c r="C6733">
        <v>202111</v>
      </c>
      <c r="D6733" t="str">
        <f t="shared" si="105"/>
        <v>2021</v>
      </c>
      <c r="E6733">
        <v>1</v>
      </c>
      <c r="F6733">
        <v>52208</v>
      </c>
      <c r="G6733">
        <v>0</v>
      </c>
      <c r="H6733" t="s">
        <v>10</v>
      </c>
      <c r="I6733" t="s">
        <v>11</v>
      </c>
    </row>
    <row r="6734" spans="1:9" hidden="1" x14ac:dyDescent="0.25">
      <c r="A6734" t="s">
        <v>17</v>
      </c>
      <c r="B6734" t="s">
        <v>187</v>
      </c>
      <c r="C6734">
        <v>202112</v>
      </c>
      <c r="D6734" t="str">
        <f t="shared" si="105"/>
        <v>2021</v>
      </c>
      <c r="E6734">
        <v>11</v>
      </c>
      <c r="F6734">
        <v>52208</v>
      </c>
      <c r="G6734">
        <v>0.02</v>
      </c>
      <c r="H6734" t="s">
        <v>10</v>
      </c>
      <c r="I6734" t="s">
        <v>11</v>
      </c>
    </row>
    <row r="6735" spans="1:9" hidden="1" x14ac:dyDescent="0.25">
      <c r="A6735" t="s">
        <v>17</v>
      </c>
      <c r="B6735" t="s">
        <v>187</v>
      </c>
      <c r="C6735">
        <v>202201</v>
      </c>
      <c r="D6735" t="str">
        <f t="shared" si="105"/>
        <v>2022</v>
      </c>
      <c r="E6735">
        <v>3</v>
      </c>
      <c r="F6735">
        <v>52208</v>
      </c>
      <c r="G6735">
        <v>0.01</v>
      </c>
      <c r="H6735" t="s">
        <v>10</v>
      </c>
      <c r="I6735" t="s">
        <v>11</v>
      </c>
    </row>
    <row r="6736" spans="1:9" hidden="1" x14ac:dyDescent="0.25">
      <c r="A6736" t="s">
        <v>17</v>
      </c>
      <c r="B6736" t="s">
        <v>187</v>
      </c>
      <c r="C6736">
        <v>202202</v>
      </c>
      <c r="D6736" t="str">
        <f t="shared" si="105"/>
        <v>2022</v>
      </c>
      <c r="E6736">
        <v>42</v>
      </c>
      <c r="F6736">
        <v>52208</v>
      </c>
      <c r="G6736">
        <v>0.08</v>
      </c>
      <c r="H6736" t="s">
        <v>10</v>
      </c>
      <c r="I6736" t="s">
        <v>11</v>
      </c>
    </row>
    <row r="6737" spans="1:9" hidden="1" x14ac:dyDescent="0.25">
      <c r="A6737" t="s">
        <v>17</v>
      </c>
      <c r="B6737" t="s">
        <v>187</v>
      </c>
      <c r="C6737">
        <v>202203</v>
      </c>
      <c r="D6737" t="str">
        <f t="shared" si="105"/>
        <v>2022</v>
      </c>
      <c r="E6737">
        <v>14</v>
      </c>
      <c r="F6737">
        <v>52208</v>
      </c>
      <c r="G6737">
        <v>0.03</v>
      </c>
      <c r="H6737" t="s">
        <v>10</v>
      </c>
      <c r="I6737" t="s">
        <v>11</v>
      </c>
    </row>
    <row r="6738" spans="1:9" hidden="1" x14ac:dyDescent="0.25">
      <c r="A6738" t="s">
        <v>17</v>
      </c>
      <c r="B6738" t="s">
        <v>187</v>
      </c>
      <c r="C6738">
        <v>202204</v>
      </c>
      <c r="D6738" t="str">
        <f t="shared" si="105"/>
        <v>2022</v>
      </c>
      <c r="E6738">
        <v>24</v>
      </c>
      <c r="F6738">
        <v>52208</v>
      </c>
      <c r="G6738">
        <v>0.05</v>
      </c>
      <c r="H6738" t="s">
        <v>10</v>
      </c>
      <c r="I6738" t="s">
        <v>11</v>
      </c>
    </row>
    <row r="6739" spans="1:9" hidden="1" x14ac:dyDescent="0.25">
      <c r="A6739" t="s">
        <v>17</v>
      </c>
      <c r="B6739" t="s">
        <v>187</v>
      </c>
      <c r="C6739">
        <v>202205</v>
      </c>
      <c r="D6739" t="str">
        <f t="shared" si="105"/>
        <v>2022</v>
      </c>
      <c r="E6739">
        <v>37</v>
      </c>
      <c r="F6739">
        <v>52208</v>
      </c>
      <c r="G6739">
        <v>7.0000000000000007E-2</v>
      </c>
      <c r="H6739" t="s">
        <v>10</v>
      </c>
      <c r="I6739" t="s">
        <v>11</v>
      </c>
    </row>
    <row r="6740" spans="1:9" hidden="1" x14ac:dyDescent="0.25">
      <c r="A6740" t="s">
        <v>17</v>
      </c>
      <c r="B6740" t="s">
        <v>187</v>
      </c>
      <c r="C6740">
        <v>202206</v>
      </c>
      <c r="D6740" t="str">
        <f t="shared" si="105"/>
        <v>2022</v>
      </c>
      <c r="E6740">
        <v>6</v>
      </c>
      <c r="F6740">
        <v>52208</v>
      </c>
      <c r="G6740">
        <v>0.01</v>
      </c>
      <c r="H6740" t="s">
        <v>10</v>
      </c>
      <c r="I6740" t="s">
        <v>11</v>
      </c>
    </row>
    <row r="6741" spans="1:9" hidden="1" x14ac:dyDescent="0.25">
      <c r="A6741" t="s">
        <v>17</v>
      </c>
      <c r="B6741" t="s">
        <v>187</v>
      </c>
      <c r="C6741">
        <v>202207</v>
      </c>
      <c r="D6741" t="str">
        <f t="shared" si="105"/>
        <v>2022</v>
      </c>
      <c r="E6741">
        <v>28</v>
      </c>
      <c r="F6741">
        <v>52208</v>
      </c>
      <c r="G6741">
        <v>0.05</v>
      </c>
      <c r="H6741" t="s">
        <v>10</v>
      </c>
      <c r="I6741" t="s">
        <v>11</v>
      </c>
    </row>
    <row r="6742" spans="1:9" hidden="1" x14ac:dyDescent="0.25">
      <c r="A6742" t="s">
        <v>17</v>
      </c>
      <c r="B6742" t="s">
        <v>187</v>
      </c>
      <c r="C6742">
        <v>202208</v>
      </c>
      <c r="D6742" t="str">
        <f t="shared" si="105"/>
        <v>2022</v>
      </c>
      <c r="E6742">
        <v>34</v>
      </c>
      <c r="F6742">
        <v>52208</v>
      </c>
      <c r="G6742">
        <v>7.0000000000000007E-2</v>
      </c>
      <c r="H6742" t="s">
        <v>10</v>
      </c>
      <c r="I6742" t="s">
        <v>11</v>
      </c>
    </row>
    <row r="6743" spans="1:9" hidden="1" x14ac:dyDescent="0.25">
      <c r="A6743" t="s">
        <v>17</v>
      </c>
      <c r="B6743" t="s">
        <v>187</v>
      </c>
      <c r="C6743">
        <v>202209</v>
      </c>
      <c r="D6743" t="str">
        <f t="shared" si="105"/>
        <v>2022</v>
      </c>
      <c r="E6743">
        <v>69</v>
      </c>
      <c r="F6743">
        <v>52208</v>
      </c>
      <c r="G6743">
        <v>0.13</v>
      </c>
      <c r="H6743" t="s">
        <v>10</v>
      </c>
      <c r="I6743" t="s">
        <v>11</v>
      </c>
    </row>
    <row r="6744" spans="1:9" hidden="1" x14ac:dyDescent="0.25">
      <c r="A6744" t="s">
        <v>17</v>
      </c>
      <c r="B6744" t="s">
        <v>187</v>
      </c>
      <c r="C6744">
        <v>202210</v>
      </c>
      <c r="D6744" t="str">
        <f t="shared" si="105"/>
        <v>2022</v>
      </c>
      <c r="E6744">
        <v>77</v>
      </c>
      <c r="F6744">
        <v>52208</v>
      </c>
      <c r="G6744">
        <v>0.15</v>
      </c>
      <c r="H6744" t="s">
        <v>10</v>
      </c>
      <c r="I6744" t="s">
        <v>11</v>
      </c>
    </row>
    <row r="6745" spans="1:9" hidden="1" x14ac:dyDescent="0.25">
      <c r="A6745" t="s">
        <v>17</v>
      </c>
      <c r="B6745" t="s">
        <v>187</v>
      </c>
      <c r="C6745">
        <v>202211</v>
      </c>
      <c r="D6745" t="str">
        <f t="shared" si="105"/>
        <v>2022</v>
      </c>
      <c r="E6745">
        <v>74</v>
      </c>
      <c r="F6745">
        <v>52208</v>
      </c>
      <c r="G6745">
        <v>0.14000000000000001</v>
      </c>
      <c r="H6745" t="s">
        <v>10</v>
      </c>
      <c r="I6745" t="s">
        <v>11</v>
      </c>
    </row>
    <row r="6746" spans="1:9" hidden="1" x14ac:dyDescent="0.25">
      <c r="A6746" t="s">
        <v>17</v>
      </c>
      <c r="B6746" t="s">
        <v>187</v>
      </c>
      <c r="C6746">
        <v>202212</v>
      </c>
      <c r="D6746" t="str">
        <f t="shared" si="105"/>
        <v>2022</v>
      </c>
      <c r="E6746">
        <v>129</v>
      </c>
      <c r="F6746">
        <v>52208</v>
      </c>
      <c r="G6746">
        <v>0.25</v>
      </c>
      <c r="H6746" t="s">
        <v>10</v>
      </c>
      <c r="I6746" t="s">
        <v>11</v>
      </c>
    </row>
    <row r="6747" spans="1:9" hidden="1" x14ac:dyDescent="0.25">
      <c r="A6747" t="s">
        <v>17</v>
      </c>
      <c r="B6747" t="s">
        <v>187</v>
      </c>
      <c r="C6747">
        <v>202301</v>
      </c>
      <c r="D6747" t="str">
        <f t="shared" si="105"/>
        <v>2023</v>
      </c>
      <c r="E6747">
        <v>176</v>
      </c>
      <c r="F6747">
        <v>52208</v>
      </c>
      <c r="G6747">
        <v>0.34</v>
      </c>
      <c r="H6747" t="s">
        <v>10</v>
      </c>
      <c r="I6747" t="s">
        <v>11</v>
      </c>
    </row>
    <row r="6748" spans="1:9" hidden="1" x14ac:dyDescent="0.25">
      <c r="A6748" t="s">
        <v>17</v>
      </c>
      <c r="B6748" t="s">
        <v>187</v>
      </c>
      <c r="C6748">
        <v>202302</v>
      </c>
      <c r="D6748" t="str">
        <f t="shared" si="105"/>
        <v>2023</v>
      </c>
      <c r="E6748">
        <v>174</v>
      </c>
      <c r="F6748">
        <v>52208</v>
      </c>
      <c r="G6748">
        <v>0.33</v>
      </c>
      <c r="H6748" t="s">
        <v>10</v>
      </c>
      <c r="I6748" t="s">
        <v>11</v>
      </c>
    </row>
    <row r="6749" spans="1:9" hidden="1" x14ac:dyDescent="0.25">
      <c r="A6749" t="s">
        <v>17</v>
      </c>
      <c r="B6749" t="s">
        <v>187</v>
      </c>
      <c r="C6749">
        <v>202303</v>
      </c>
      <c r="D6749" t="str">
        <f t="shared" si="105"/>
        <v>2023</v>
      </c>
      <c r="E6749">
        <v>300</v>
      </c>
      <c r="F6749">
        <v>52208</v>
      </c>
      <c r="G6749">
        <v>0.56999999999999995</v>
      </c>
      <c r="H6749" t="s">
        <v>10</v>
      </c>
      <c r="I6749" t="s">
        <v>11</v>
      </c>
    </row>
    <row r="6750" spans="1:9" hidden="1" x14ac:dyDescent="0.25">
      <c r="A6750" t="s">
        <v>17</v>
      </c>
      <c r="B6750" t="s">
        <v>187</v>
      </c>
      <c r="C6750">
        <v>202304</v>
      </c>
      <c r="D6750" t="str">
        <f t="shared" si="105"/>
        <v>2023</v>
      </c>
      <c r="E6750">
        <v>311</v>
      </c>
      <c r="F6750">
        <v>52208</v>
      </c>
      <c r="G6750">
        <v>0.6</v>
      </c>
      <c r="H6750" t="s">
        <v>10</v>
      </c>
      <c r="I6750" t="s">
        <v>11</v>
      </c>
    </row>
    <row r="6751" spans="1:9" hidden="1" x14ac:dyDescent="0.25">
      <c r="A6751" t="s">
        <v>17</v>
      </c>
      <c r="B6751" t="s">
        <v>187</v>
      </c>
      <c r="C6751">
        <v>202305</v>
      </c>
      <c r="D6751" t="str">
        <f t="shared" si="105"/>
        <v>2023</v>
      </c>
      <c r="E6751">
        <v>384</v>
      </c>
      <c r="F6751">
        <v>52208</v>
      </c>
      <c r="G6751">
        <v>0.74</v>
      </c>
      <c r="H6751" t="s">
        <v>10</v>
      </c>
      <c r="I6751" t="s">
        <v>11</v>
      </c>
    </row>
    <row r="6752" spans="1:9" hidden="1" x14ac:dyDescent="0.25">
      <c r="A6752" t="s">
        <v>17</v>
      </c>
      <c r="B6752" t="s">
        <v>187</v>
      </c>
      <c r="C6752">
        <v>202306</v>
      </c>
      <c r="D6752" t="str">
        <f t="shared" si="105"/>
        <v>2023</v>
      </c>
      <c r="E6752">
        <v>635</v>
      </c>
      <c r="F6752">
        <v>52208</v>
      </c>
      <c r="G6752">
        <v>1.22</v>
      </c>
      <c r="H6752" t="s">
        <v>10</v>
      </c>
      <c r="I6752" t="s">
        <v>11</v>
      </c>
    </row>
    <row r="6753" spans="1:9" hidden="1" x14ac:dyDescent="0.25">
      <c r="A6753" t="s">
        <v>17</v>
      </c>
      <c r="B6753" t="s">
        <v>187</v>
      </c>
      <c r="C6753">
        <v>202307</v>
      </c>
      <c r="D6753" t="str">
        <f t="shared" si="105"/>
        <v>2023</v>
      </c>
      <c r="E6753">
        <v>1079</v>
      </c>
      <c r="F6753">
        <v>52208</v>
      </c>
      <c r="G6753">
        <v>2.0699999999999998</v>
      </c>
      <c r="H6753" t="s">
        <v>10</v>
      </c>
      <c r="I6753" t="s">
        <v>11</v>
      </c>
    </row>
    <row r="6754" spans="1:9" hidden="1" x14ac:dyDescent="0.25">
      <c r="A6754" t="s">
        <v>17</v>
      </c>
      <c r="B6754" t="s">
        <v>187</v>
      </c>
      <c r="C6754">
        <v>202308</v>
      </c>
      <c r="D6754" t="str">
        <f t="shared" si="105"/>
        <v>2023</v>
      </c>
      <c r="E6754">
        <v>1992</v>
      </c>
      <c r="F6754">
        <v>52208</v>
      </c>
      <c r="G6754">
        <v>3.82</v>
      </c>
      <c r="H6754" t="s">
        <v>10</v>
      </c>
      <c r="I6754" t="s">
        <v>11</v>
      </c>
    </row>
    <row r="6755" spans="1:9" hidden="1" x14ac:dyDescent="0.25">
      <c r="A6755" t="s">
        <v>17</v>
      </c>
      <c r="B6755" t="s">
        <v>187</v>
      </c>
      <c r="C6755">
        <v>202309</v>
      </c>
      <c r="D6755" t="str">
        <f t="shared" si="105"/>
        <v>2023</v>
      </c>
      <c r="E6755">
        <v>4178</v>
      </c>
      <c r="F6755">
        <v>52208</v>
      </c>
      <c r="G6755">
        <v>8</v>
      </c>
      <c r="H6755" t="s">
        <v>10</v>
      </c>
      <c r="I6755" t="s">
        <v>11</v>
      </c>
    </row>
    <row r="6756" spans="1:9" hidden="1" x14ac:dyDescent="0.25">
      <c r="A6756" t="s">
        <v>17</v>
      </c>
      <c r="B6756" t="s">
        <v>187</v>
      </c>
      <c r="C6756">
        <v>202310</v>
      </c>
      <c r="D6756" t="str">
        <f t="shared" si="105"/>
        <v>2023</v>
      </c>
      <c r="E6756">
        <v>25046</v>
      </c>
      <c r="F6756">
        <v>52208</v>
      </c>
      <c r="G6756">
        <v>47.97</v>
      </c>
      <c r="H6756" t="s">
        <v>10</v>
      </c>
      <c r="I6756" t="s">
        <v>11</v>
      </c>
    </row>
    <row r="6757" spans="1:9" hidden="1" x14ac:dyDescent="0.25">
      <c r="A6757" t="s">
        <v>17</v>
      </c>
      <c r="B6757" t="s">
        <v>187</v>
      </c>
      <c r="C6757">
        <v>202311</v>
      </c>
      <c r="D6757" t="str">
        <f t="shared" si="105"/>
        <v>2023</v>
      </c>
      <c r="E6757">
        <v>17312</v>
      </c>
      <c r="F6757">
        <v>52208</v>
      </c>
      <c r="G6757">
        <v>33.159999999999997</v>
      </c>
      <c r="H6757" t="s">
        <v>10</v>
      </c>
      <c r="I6757" t="s">
        <v>11</v>
      </c>
    </row>
    <row r="6758" spans="1:9" hidden="1" x14ac:dyDescent="0.25">
      <c r="A6758" t="s">
        <v>17</v>
      </c>
      <c r="B6758" t="s">
        <v>167</v>
      </c>
      <c r="C6758">
        <v>202101</v>
      </c>
      <c r="D6758" t="str">
        <f t="shared" si="105"/>
        <v>2021</v>
      </c>
      <c r="E6758">
        <v>1</v>
      </c>
      <c r="F6758">
        <v>63648</v>
      </c>
      <c r="G6758">
        <v>0</v>
      </c>
      <c r="H6758" t="s">
        <v>10</v>
      </c>
      <c r="I6758" t="s">
        <v>11</v>
      </c>
    </row>
    <row r="6759" spans="1:9" hidden="1" x14ac:dyDescent="0.25">
      <c r="A6759" t="s">
        <v>17</v>
      </c>
      <c r="B6759" t="s">
        <v>167</v>
      </c>
      <c r="C6759">
        <v>202103</v>
      </c>
      <c r="D6759" t="str">
        <f t="shared" si="105"/>
        <v>2021</v>
      </c>
      <c r="E6759">
        <v>9</v>
      </c>
      <c r="F6759">
        <v>63648</v>
      </c>
      <c r="G6759">
        <v>0.01</v>
      </c>
      <c r="H6759" t="s">
        <v>10</v>
      </c>
      <c r="I6759" t="s">
        <v>11</v>
      </c>
    </row>
    <row r="6760" spans="1:9" hidden="1" x14ac:dyDescent="0.25">
      <c r="A6760" t="s">
        <v>17</v>
      </c>
      <c r="B6760" t="s">
        <v>167</v>
      </c>
      <c r="C6760">
        <v>202105</v>
      </c>
      <c r="D6760" t="str">
        <f t="shared" si="105"/>
        <v>2021</v>
      </c>
      <c r="E6760">
        <v>3</v>
      </c>
      <c r="F6760">
        <v>63648</v>
      </c>
      <c r="G6760">
        <v>0</v>
      </c>
      <c r="H6760" t="s">
        <v>10</v>
      </c>
      <c r="I6760" t="s">
        <v>11</v>
      </c>
    </row>
    <row r="6761" spans="1:9" hidden="1" x14ac:dyDescent="0.25">
      <c r="A6761" t="s">
        <v>17</v>
      </c>
      <c r="B6761" t="s">
        <v>167</v>
      </c>
      <c r="C6761">
        <v>202107</v>
      </c>
      <c r="D6761" t="str">
        <f t="shared" si="105"/>
        <v>2021</v>
      </c>
      <c r="E6761">
        <v>61</v>
      </c>
      <c r="F6761">
        <v>63648</v>
      </c>
      <c r="G6761">
        <v>0.1</v>
      </c>
      <c r="H6761" t="s">
        <v>10</v>
      </c>
      <c r="I6761" t="s">
        <v>11</v>
      </c>
    </row>
    <row r="6762" spans="1:9" hidden="1" x14ac:dyDescent="0.25">
      <c r="A6762" t="s">
        <v>17</v>
      </c>
      <c r="B6762" t="s">
        <v>167</v>
      </c>
      <c r="C6762">
        <v>202108</v>
      </c>
      <c r="D6762" t="str">
        <f t="shared" si="105"/>
        <v>2021</v>
      </c>
      <c r="E6762">
        <v>38</v>
      </c>
      <c r="F6762">
        <v>63648</v>
      </c>
      <c r="G6762">
        <v>0.06</v>
      </c>
      <c r="H6762" t="s">
        <v>10</v>
      </c>
      <c r="I6762" t="s">
        <v>11</v>
      </c>
    </row>
    <row r="6763" spans="1:9" hidden="1" x14ac:dyDescent="0.25">
      <c r="A6763" t="s">
        <v>17</v>
      </c>
      <c r="B6763" t="s">
        <v>167</v>
      </c>
      <c r="C6763">
        <v>202109</v>
      </c>
      <c r="D6763" t="str">
        <f t="shared" si="105"/>
        <v>2021</v>
      </c>
      <c r="E6763">
        <v>111</v>
      </c>
      <c r="F6763">
        <v>63648</v>
      </c>
      <c r="G6763">
        <v>0.17</v>
      </c>
      <c r="H6763" t="s">
        <v>10</v>
      </c>
      <c r="I6763" t="s">
        <v>11</v>
      </c>
    </row>
    <row r="6764" spans="1:9" hidden="1" x14ac:dyDescent="0.25">
      <c r="A6764" t="s">
        <v>17</v>
      </c>
      <c r="B6764" t="s">
        <v>167</v>
      </c>
      <c r="C6764">
        <v>202110</v>
      </c>
      <c r="D6764" t="str">
        <f t="shared" si="105"/>
        <v>2021</v>
      </c>
      <c r="E6764">
        <v>19</v>
      </c>
      <c r="F6764">
        <v>63648</v>
      </c>
      <c r="G6764">
        <v>0.03</v>
      </c>
      <c r="H6764" t="s">
        <v>10</v>
      </c>
      <c r="I6764" t="s">
        <v>11</v>
      </c>
    </row>
    <row r="6765" spans="1:9" hidden="1" x14ac:dyDescent="0.25">
      <c r="A6765" t="s">
        <v>17</v>
      </c>
      <c r="B6765" t="s">
        <v>167</v>
      </c>
      <c r="C6765">
        <v>202111</v>
      </c>
      <c r="D6765" t="str">
        <f t="shared" si="105"/>
        <v>2021</v>
      </c>
      <c r="E6765">
        <v>35</v>
      </c>
      <c r="F6765">
        <v>63648</v>
      </c>
      <c r="G6765">
        <v>0.05</v>
      </c>
      <c r="H6765" t="s">
        <v>10</v>
      </c>
      <c r="I6765" t="s">
        <v>11</v>
      </c>
    </row>
    <row r="6766" spans="1:9" hidden="1" x14ac:dyDescent="0.25">
      <c r="A6766" t="s">
        <v>17</v>
      </c>
      <c r="B6766" t="s">
        <v>167</v>
      </c>
      <c r="C6766">
        <v>202112</v>
      </c>
      <c r="D6766" t="str">
        <f t="shared" si="105"/>
        <v>2021</v>
      </c>
      <c r="E6766">
        <v>68</v>
      </c>
      <c r="F6766">
        <v>63648</v>
      </c>
      <c r="G6766">
        <v>0.11</v>
      </c>
      <c r="H6766" t="s">
        <v>10</v>
      </c>
      <c r="I6766" t="s">
        <v>11</v>
      </c>
    </row>
    <row r="6767" spans="1:9" hidden="1" x14ac:dyDescent="0.25">
      <c r="A6767" t="s">
        <v>17</v>
      </c>
      <c r="B6767" t="s">
        <v>167</v>
      </c>
      <c r="C6767">
        <v>202201</v>
      </c>
      <c r="D6767" t="str">
        <f t="shared" si="105"/>
        <v>2022</v>
      </c>
      <c r="E6767">
        <v>52</v>
      </c>
      <c r="F6767">
        <v>63648</v>
      </c>
      <c r="G6767">
        <v>0.08</v>
      </c>
      <c r="H6767" t="s">
        <v>10</v>
      </c>
      <c r="I6767" t="s">
        <v>11</v>
      </c>
    </row>
    <row r="6768" spans="1:9" hidden="1" x14ac:dyDescent="0.25">
      <c r="A6768" t="s">
        <v>17</v>
      </c>
      <c r="B6768" t="s">
        <v>167</v>
      </c>
      <c r="C6768">
        <v>202202</v>
      </c>
      <c r="D6768" t="str">
        <f t="shared" si="105"/>
        <v>2022</v>
      </c>
      <c r="E6768">
        <v>40</v>
      </c>
      <c r="F6768">
        <v>63648</v>
      </c>
      <c r="G6768">
        <v>0.06</v>
      </c>
      <c r="H6768" t="s">
        <v>10</v>
      </c>
      <c r="I6768" t="s">
        <v>11</v>
      </c>
    </row>
    <row r="6769" spans="1:9" hidden="1" x14ac:dyDescent="0.25">
      <c r="A6769" t="s">
        <v>17</v>
      </c>
      <c r="B6769" t="s">
        <v>167</v>
      </c>
      <c r="C6769">
        <v>202203</v>
      </c>
      <c r="D6769" t="str">
        <f t="shared" si="105"/>
        <v>2022</v>
      </c>
      <c r="E6769">
        <v>113</v>
      </c>
      <c r="F6769">
        <v>63648</v>
      </c>
      <c r="G6769">
        <v>0.18</v>
      </c>
      <c r="H6769" t="s">
        <v>10</v>
      </c>
      <c r="I6769" t="s">
        <v>11</v>
      </c>
    </row>
    <row r="6770" spans="1:9" hidden="1" x14ac:dyDescent="0.25">
      <c r="A6770" t="s">
        <v>17</v>
      </c>
      <c r="B6770" t="s">
        <v>167</v>
      </c>
      <c r="C6770">
        <v>202204</v>
      </c>
      <c r="D6770" t="str">
        <f t="shared" si="105"/>
        <v>2022</v>
      </c>
      <c r="E6770">
        <v>118</v>
      </c>
      <c r="F6770">
        <v>63648</v>
      </c>
      <c r="G6770">
        <v>0.19</v>
      </c>
      <c r="H6770" t="s">
        <v>10</v>
      </c>
      <c r="I6770" t="s">
        <v>11</v>
      </c>
    </row>
    <row r="6771" spans="1:9" hidden="1" x14ac:dyDescent="0.25">
      <c r="A6771" t="s">
        <v>17</v>
      </c>
      <c r="B6771" t="s">
        <v>167</v>
      </c>
      <c r="C6771">
        <v>202205</v>
      </c>
      <c r="D6771" t="str">
        <f t="shared" si="105"/>
        <v>2022</v>
      </c>
      <c r="E6771">
        <v>107</v>
      </c>
      <c r="F6771">
        <v>63648</v>
      </c>
      <c r="G6771">
        <v>0.17</v>
      </c>
      <c r="H6771" t="s">
        <v>10</v>
      </c>
      <c r="I6771" t="s">
        <v>11</v>
      </c>
    </row>
    <row r="6772" spans="1:9" hidden="1" x14ac:dyDescent="0.25">
      <c r="A6772" t="s">
        <v>17</v>
      </c>
      <c r="B6772" t="s">
        <v>167</v>
      </c>
      <c r="C6772">
        <v>202206</v>
      </c>
      <c r="D6772" t="str">
        <f t="shared" si="105"/>
        <v>2022</v>
      </c>
      <c r="E6772">
        <v>92</v>
      </c>
      <c r="F6772">
        <v>63648</v>
      </c>
      <c r="G6772">
        <v>0.14000000000000001</v>
      </c>
      <c r="H6772" t="s">
        <v>10</v>
      </c>
      <c r="I6772" t="s">
        <v>11</v>
      </c>
    </row>
    <row r="6773" spans="1:9" hidden="1" x14ac:dyDescent="0.25">
      <c r="A6773" t="s">
        <v>17</v>
      </c>
      <c r="B6773" t="s">
        <v>167</v>
      </c>
      <c r="C6773">
        <v>202207</v>
      </c>
      <c r="D6773" t="str">
        <f t="shared" si="105"/>
        <v>2022</v>
      </c>
      <c r="E6773">
        <v>185</v>
      </c>
      <c r="F6773">
        <v>63648</v>
      </c>
      <c r="G6773">
        <v>0.28999999999999998</v>
      </c>
      <c r="H6773" t="s">
        <v>10</v>
      </c>
      <c r="I6773" t="s">
        <v>11</v>
      </c>
    </row>
    <row r="6774" spans="1:9" hidden="1" x14ac:dyDescent="0.25">
      <c r="A6774" t="s">
        <v>17</v>
      </c>
      <c r="B6774" t="s">
        <v>167</v>
      </c>
      <c r="C6774">
        <v>202208</v>
      </c>
      <c r="D6774" t="str">
        <f t="shared" si="105"/>
        <v>2022</v>
      </c>
      <c r="E6774">
        <v>84</v>
      </c>
      <c r="F6774">
        <v>63648</v>
      </c>
      <c r="G6774">
        <v>0.13</v>
      </c>
      <c r="H6774" t="s">
        <v>10</v>
      </c>
      <c r="I6774" t="s">
        <v>11</v>
      </c>
    </row>
    <row r="6775" spans="1:9" hidden="1" x14ac:dyDescent="0.25">
      <c r="A6775" t="s">
        <v>17</v>
      </c>
      <c r="B6775" t="s">
        <v>167</v>
      </c>
      <c r="C6775">
        <v>202209</v>
      </c>
      <c r="D6775" t="str">
        <f t="shared" si="105"/>
        <v>2022</v>
      </c>
      <c r="E6775">
        <v>206</v>
      </c>
      <c r="F6775">
        <v>63648</v>
      </c>
      <c r="G6775">
        <v>0.32</v>
      </c>
      <c r="H6775" t="s">
        <v>10</v>
      </c>
      <c r="I6775" t="s">
        <v>11</v>
      </c>
    </row>
    <row r="6776" spans="1:9" hidden="1" x14ac:dyDescent="0.25">
      <c r="A6776" t="s">
        <v>17</v>
      </c>
      <c r="B6776" t="s">
        <v>167</v>
      </c>
      <c r="C6776">
        <v>202210</v>
      </c>
      <c r="D6776" t="str">
        <f t="shared" si="105"/>
        <v>2022</v>
      </c>
      <c r="E6776">
        <v>140</v>
      </c>
      <c r="F6776">
        <v>63648</v>
      </c>
      <c r="G6776">
        <v>0.22</v>
      </c>
      <c r="H6776" t="s">
        <v>10</v>
      </c>
      <c r="I6776" t="s">
        <v>11</v>
      </c>
    </row>
    <row r="6777" spans="1:9" hidden="1" x14ac:dyDescent="0.25">
      <c r="A6777" t="s">
        <v>17</v>
      </c>
      <c r="B6777" t="s">
        <v>167</v>
      </c>
      <c r="C6777">
        <v>202211</v>
      </c>
      <c r="D6777" t="str">
        <f t="shared" si="105"/>
        <v>2022</v>
      </c>
      <c r="E6777">
        <v>212</v>
      </c>
      <c r="F6777">
        <v>63648</v>
      </c>
      <c r="G6777">
        <v>0.33</v>
      </c>
      <c r="H6777" t="s">
        <v>10</v>
      </c>
      <c r="I6777" t="s">
        <v>11</v>
      </c>
    </row>
    <row r="6778" spans="1:9" hidden="1" x14ac:dyDescent="0.25">
      <c r="A6778" t="s">
        <v>17</v>
      </c>
      <c r="B6778" t="s">
        <v>167</v>
      </c>
      <c r="C6778">
        <v>202212</v>
      </c>
      <c r="D6778" t="str">
        <f t="shared" si="105"/>
        <v>2022</v>
      </c>
      <c r="E6778">
        <v>269</v>
      </c>
      <c r="F6778">
        <v>63648</v>
      </c>
      <c r="G6778">
        <v>0.42</v>
      </c>
      <c r="H6778" t="s">
        <v>10</v>
      </c>
      <c r="I6778" t="s">
        <v>11</v>
      </c>
    </row>
    <row r="6779" spans="1:9" hidden="1" x14ac:dyDescent="0.25">
      <c r="A6779" t="s">
        <v>17</v>
      </c>
      <c r="B6779" t="s">
        <v>167</v>
      </c>
      <c r="C6779">
        <v>202301</v>
      </c>
      <c r="D6779" t="str">
        <f t="shared" si="105"/>
        <v>2023</v>
      </c>
      <c r="E6779">
        <v>386</v>
      </c>
      <c r="F6779">
        <v>63648</v>
      </c>
      <c r="G6779">
        <v>0.61</v>
      </c>
      <c r="H6779" t="s">
        <v>10</v>
      </c>
      <c r="I6779" t="s">
        <v>11</v>
      </c>
    </row>
    <row r="6780" spans="1:9" hidden="1" x14ac:dyDescent="0.25">
      <c r="A6780" t="s">
        <v>17</v>
      </c>
      <c r="B6780" t="s">
        <v>167</v>
      </c>
      <c r="C6780">
        <v>202302</v>
      </c>
      <c r="D6780" t="str">
        <f t="shared" si="105"/>
        <v>2023</v>
      </c>
      <c r="E6780">
        <v>379</v>
      </c>
      <c r="F6780">
        <v>63648</v>
      </c>
      <c r="G6780">
        <v>0.6</v>
      </c>
      <c r="H6780" t="s">
        <v>10</v>
      </c>
      <c r="I6780" t="s">
        <v>11</v>
      </c>
    </row>
    <row r="6781" spans="1:9" hidden="1" x14ac:dyDescent="0.25">
      <c r="A6781" t="s">
        <v>17</v>
      </c>
      <c r="B6781" t="s">
        <v>167</v>
      </c>
      <c r="C6781">
        <v>202303</v>
      </c>
      <c r="D6781" t="str">
        <f t="shared" si="105"/>
        <v>2023</v>
      </c>
      <c r="E6781">
        <v>482</v>
      </c>
      <c r="F6781">
        <v>63648</v>
      </c>
      <c r="G6781">
        <v>0.76</v>
      </c>
      <c r="H6781" t="s">
        <v>10</v>
      </c>
      <c r="I6781" t="s">
        <v>11</v>
      </c>
    </row>
    <row r="6782" spans="1:9" hidden="1" x14ac:dyDescent="0.25">
      <c r="A6782" t="s">
        <v>17</v>
      </c>
      <c r="B6782" t="s">
        <v>167</v>
      </c>
      <c r="C6782">
        <v>202304</v>
      </c>
      <c r="D6782" t="str">
        <f t="shared" si="105"/>
        <v>2023</v>
      </c>
      <c r="E6782">
        <v>501</v>
      </c>
      <c r="F6782">
        <v>63648</v>
      </c>
      <c r="G6782">
        <v>0.79</v>
      </c>
      <c r="H6782" t="s">
        <v>10</v>
      </c>
      <c r="I6782" t="s">
        <v>11</v>
      </c>
    </row>
    <row r="6783" spans="1:9" hidden="1" x14ac:dyDescent="0.25">
      <c r="A6783" t="s">
        <v>17</v>
      </c>
      <c r="B6783" t="s">
        <v>167</v>
      </c>
      <c r="C6783">
        <v>202305</v>
      </c>
      <c r="D6783" t="str">
        <f t="shared" si="105"/>
        <v>2023</v>
      </c>
      <c r="E6783">
        <v>694</v>
      </c>
      <c r="F6783">
        <v>63648</v>
      </c>
      <c r="G6783">
        <v>1.0900000000000001</v>
      </c>
      <c r="H6783" t="s">
        <v>10</v>
      </c>
      <c r="I6783" t="s">
        <v>11</v>
      </c>
    </row>
    <row r="6784" spans="1:9" hidden="1" x14ac:dyDescent="0.25">
      <c r="A6784" t="s">
        <v>17</v>
      </c>
      <c r="B6784" t="s">
        <v>167</v>
      </c>
      <c r="C6784">
        <v>202306</v>
      </c>
      <c r="D6784" t="str">
        <f t="shared" si="105"/>
        <v>2023</v>
      </c>
      <c r="E6784">
        <v>702</v>
      </c>
      <c r="F6784">
        <v>63648</v>
      </c>
      <c r="G6784">
        <v>1.1000000000000001</v>
      </c>
      <c r="H6784" t="s">
        <v>10</v>
      </c>
      <c r="I6784" t="s">
        <v>11</v>
      </c>
    </row>
    <row r="6785" spans="1:9" hidden="1" x14ac:dyDescent="0.25">
      <c r="A6785" t="s">
        <v>17</v>
      </c>
      <c r="B6785" t="s">
        <v>167</v>
      </c>
      <c r="C6785">
        <v>202307</v>
      </c>
      <c r="D6785" t="str">
        <f t="shared" si="105"/>
        <v>2023</v>
      </c>
      <c r="E6785">
        <v>886</v>
      </c>
      <c r="F6785">
        <v>63648</v>
      </c>
      <c r="G6785">
        <v>1.39</v>
      </c>
      <c r="H6785" t="s">
        <v>10</v>
      </c>
      <c r="I6785" t="s">
        <v>11</v>
      </c>
    </row>
    <row r="6786" spans="1:9" hidden="1" x14ac:dyDescent="0.25">
      <c r="A6786" t="s">
        <v>17</v>
      </c>
      <c r="B6786" t="s">
        <v>167</v>
      </c>
      <c r="C6786">
        <v>202308</v>
      </c>
      <c r="D6786" t="str">
        <f t="shared" si="105"/>
        <v>2023</v>
      </c>
      <c r="E6786">
        <v>1197</v>
      </c>
      <c r="F6786">
        <v>63648</v>
      </c>
      <c r="G6786">
        <v>1.88</v>
      </c>
      <c r="H6786" t="s">
        <v>10</v>
      </c>
      <c r="I6786" t="s">
        <v>11</v>
      </c>
    </row>
    <row r="6787" spans="1:9" hidden="1" x14ac:dyDescent="0.25">
      <c r="A6787" t="s">
        <v>17</v>
      </c>
      <c r="B6787" t="s">
        <v>167</v>
      </c>
      <c r="C6787">
        <v>202309</v>
      </c>
      <c r="D6787" t="str">
        <f t="shared" ref="D6787:D6850" si="106">LEFT(C6787,4)</f>
        <v>2023</v>
      </c>
      <c r="E6787">
        <v>2090</v>
      </c>
      <c r="F6787">
        <v>63648</v>
      </c>
      <c r="G6787">
        <v>3.28</v>
      </c>
      <c r="H6787" t="s">
        <v>10</v>
      </c>
      <c r="I6787" t="s">
        <v>11</v>
      </c>
    </row>
    <row r="6788" spans="1:9" hidden="1" x14ac:dyDescent="0.25">
      <c r="A6788" t="s">
        <v>17</v>
      </c>
      <c r="B6788" t="s">
        <v>167</v>
      </c>
      <c r="C6788">
        <v>202310</v>
      </c>
      <c r="D6788" t="str">
        <f t="shared" si="106"/>
        <v>2023</v>
      </c>
      <c r="E6788">
        <v>7915</v>
      </c>
      <c r="F6788">
        <v>63648</v>
      </c>
      <c r="G6788">
        <v>12.44</v>
      </c>
      <c r="H6788" t="s">
        <v>10</v>
      </c>
      <c r="I6788" t="s">
        <v>11</v>
      </c>
    </row>
    <row r="6789" spans="1:9" hidden="1" x14ac:dyDescent="0.25">
      <c r="A6789" t="s">
        <v>17</v>
      </c>
      <c r="B6789" t="s">
        <v>167</v>
      </c>
      <c r="C6789">
        <v>202311</v>
      </c>
      <c r="D6789" t="str">
        <f t="shared" si="106"/>
        <v>2023</v>
      </c>
      <c r="E6789">
        <v>24913</v>
      </c>
      <c r="F6789">
        <v>63648</v>
      </c>
      <c r="G6789">
        <v>39.14</v>
      </c>
      <c r="H6789" t="s">
        <v>10</v>
      </c>
      <c r="I6789" t="s">
        <v>11</v>
      </c>
    </row>
    <row r="6790" spans="1:9" hidden="1" x14ac:dyDescent="0.25">
      <c r="A6790" t="s">
        <v>17</v>
      </c>
      <c r="B6790" t="s">
        <v>167</v>
      </c>
      <c r="C6790">
        <v>202312</v>
      </c>
      <c r="D6790" t="str">
        <f t="shared" si="106"/>
        <v>2023</v>
      </c>
      <c r="E6790">
        <v>21540</v>
      </c>
      <c r="F6790">
        <v>63648</v>
      </c>
      <c r="G6790">
        <v>33.840000000000003</v>
      </c>
      <c r="H6790" t="s">
        <v>10</v>
      </c>
      <c r="I6790" t="s">
        <v>11</v>
      </c>
    </row>
    <row r="6791" spans="1:9" hidden="1" x14ac:dyDescent="0.25">
      <c r="A6791" t="s">
        <v>17</v>
      </c>
      <c r="B6791" t="s">
        <v>178</v>
      </c>
      <c r="C6791">
        <v>201806</v>
      </c>
      <c r="D6791" t="str">
        <f t="shared" si="106"/>
        <v>2018</v>
      </c>
      <c r="E6791">
        <v>1</v>
      </c>
      <c r="F6791">
        <v>55143</v>
      </c>
      <c r="G6791">
        <v>0</v>
      </c>
      <c r="H6791" t="s">
        <v>10</v>
      </c>
      <c r="I6791" t="s">
        <v>11</v>
      </c>
    </row>
    <row r="6792" spans="1:9" hidden="1" x14ac:dyDescent="0.25">
      <c r="A6792" t="s">
        <v>17</v>
      </c>
      <c r="B6792" t="s">
        <v>178</v>
      </c>
      <c r="C6792">
        <v>202102</v>
      </c>
      <c r="D6792" t="str">
        <f t="shared" si="106"/>
        <v>2021</v>
      </c>
      <c r="E6792">
        <v>17</v>
      </c>
      <c r="F6792">
        <v>55143</v>
      </c>
      <c r="G6792">
        <v>0.03</v>
      </c>
      <c r="H6792" t="s">
        <v>10</v>
      </c>
      <c r="I6792" t="s">
        <v>11</v>
      </c>
    </row>
    <row r="6793" spans="1:9" hidden="1" x14ac:dyDescent="0.25">
      <c r="A6793" t="s">
        <v>17</v>
      </c>
      <c r="B6793" t="s">
        <v>178</v>
      </c>
      <c r="C6793">
        <v>202105</v>
      </c>
      <c r="D6793" t="str">
        <f t="shared" si="106"/>
        <v>2021</v>
      </c>
      <c r="E6793">
        <v>9</v>
      </c>
      <c r="F6793">
        <v>55143</v>
      </c>
      <c r="G6793">
        <v>0.02</v>
      </c>
      <c r="H6793" t="s">
        <v>10</v>
      </c>
      <c r="I6793" t="s">
        <v>11</v>
      </c>
    </row>
    <row r="6794" spans="1:9" hidden="1" x14ac:dyDescent="0.25">
      <c r="A6794" t="s">
        <v>17</v>
      </c>
      <c r="B6794" t="s">
        <v>178</v>
      </c>
      <c r="C6794">
        <v>202106</v>
      </c>
      <c r="D6794" t="str">
        <f t="shared" si="106"/>
        <v>2021</v>
      </c>
      <c r="E6794">
        <v>3</v>
      </c>
      <c r="F6794">
        <v>55143</v>
      </c>
      <c r="G6794">
        <v>0.01</v>
      </c>
      <c r="H6794" t="s">
        <v>10</v>
      </c>
      <c r="I6794" t="s">
        <v>11</v>
      </c>
    </row>
    <row r="6795" spans="1:9" hidden="1" x14ac:dyDescent="0.25">
      <c r="A6795" t="s">
        <v>17</v>
      </c>
      <c r="B6795" t="s">
        <v>178</v>
      </c>
      <c r="C6795">
        <v>202109</v>
      </c>
      <c r="D6795" t="str">
        <f t="shared" si="106"/>
        <v>2021</v>
      </c>
      <c r="E6795">
        <v>4</v>
      </c>
      <c r="F6795">
        <v>55143</v>
      </c>
      <c r="G6795">
        <v>0.01</v>
      </c>
      <c r="H6795" t="s">
        <v>10</v>
      </c>
      <c r="I6795" t="s">
        <v>11</v>
      </c>
    </row>
    <row r="6796" spans="1:9" hidden="1" x14ac:dyDescent="0.25">
      <c r="A6796" t="s">
        <v>17</v>
      </c>
      <c r="B6796" t="s">
        <v>178</v>
      </c>
      <c r="C6796">
        <v>202110</v>
      </c>
      <c r="D6796" t="str">
        <f t="shared" si="106"/>
        <v>2021</v>
      </c>
      <c r="E6796">
        <v>8</v>
      </c>
      <c r="F6796">
        <v>55143</v>
      </c>
      <c r="G6796">
        <v>0.01</v>
      </c>
      <c r="H6796" t="s">
        <v>10</v>
      </c>
      <c r="I6796" t="s">
        <v>11</v>
      </c>
    </row>
    <row r="6797" spans="1:9" hidden="1" x14ac:dyDescent="0.25">
      <c r="A6797" t="s">
        <v>17</v>
      </c>
      <c r="B6797" t="s">
        <v>178</v>
      </c>
      <c r="C6797">
        <v>202111</v>
      </c>
      <c r="D6797" t="str">
        <f t="shared" si="106"/>
        <v>2021</v>
      </c>
      <c r="E6797">
        <v>20</v>
      </c>
      <c r="F6797">
        <v>55143</v>
      </c>
      <c r="G6797">
        <v>0.04</v>
      </c>
      <c r="H6797" t="s">
        <v>10</v>
      </c>
      <c r="I6797" t="s">
        <v>11</v>
      </c>
    </row>
    <row r="6798" spans="1:9" hidden="1" x14ac:dyDescent="0.25">
      <c r="A6798" t="s">
        <v>17</v>
      </c>
      <c r="B6798" t="s">
        <v>178</v>
      </c>
      <c r="C6798">
        <v>202112</v>
      </c>
      <c r="D6798" t="str">
        <f t="shared" si="106"/>
        <v>2021</v>
      </c>
      <c r="E6798">
        <v>12</v>
      </c>
      <c r="F6798">
        <v>55143</v>
      </c>
      <c r="G6798">
        <v>0.02</v>
      </c>
      <c r="H6798" t="s">
        <v>10</v>
      </c>
      <c r="I6798" t="s">
        <v>11</v>
      </c>
    </row>
    <row r="6799" spans="1:9" hidden="1" x14ac:dyDescent="0.25">
      <c r="A6799" t="s">
        <v>17</v>
      </c>
      <c r="B6799" t="s">
        <v>178</v>
      </c>
      <c r="C6799">
        <v>202201</v>
      </c>
      <c r="D6799" t="str">
        <f t="shared" si="106"/>
        <v>2022</v>
      </c>
      <c r="E6799">
        <v>46</v>
      </c>
      <c r="F6799">
        <v>55143</v>
      </c>
      <c r="G6799">
        <v>0.08</v>
      </c>
      <c r="H6799" t="s">
        <v>10</v>
      </c>
      <c r="I6799" t="s">
        <v>11</v>
      </c>
    </row>
    <row r="6800" spans="1:9" hidden="1" x14ac:dyDescent="0.25">
      <c r="A6800" t="s">
        <v>17</v>
      </c>
      <c r="B6800" t="s">
        <v>178</v>
      </c>
      <c r="C6800">
        <v>202202</v>
      </c>
      <c r="D6800" t="str">
        <f t="shared" si="106"/>
        <v>2022</v>
      </c>
      <c r="E6800">
        <v>57</v>
      </c>
      <c r="F6800">
        <v>55143</v>
      </c>
      <c r="G6800">
        <v>0.1</v>
      </c>
      <c r="H6800" t="s">
        <v>10</v>
      </c>
      <c r="I6800" t="s">
        <v>11</v>
      </c>
    </row>
    <row r="6801" spans="1:9" hidden="1" x14ac:dyDescent="0.25">
      <c r="A6801" t="s">
        <v>17</v>
      </c>
      <c r="B6801" t="s">
        <v>178</v>
      </c>
      <c r="C6801">
        <v>202203</v>
      </c>
      <c r="D6801" t="str">
        <f t="shared" si="106"/>
        <v>2022</v>
      </c>
      <c r="E6801">
        <v>76</v>
      </c>
      <c r="F6801">
        <v>55143</v>
      </c>
      <c r="G6801">
        <v>0.14000000000000001</v>
      </c>
      <c r="H6801" t="s">
        <v>10</v>
      </c>
      <c r="I6801" t="s">
        <v>11</v>
      </c>
    </row>
    <row r="6802" spans="1:9" hidden="1" x14ac:dyDescent="0.25">
      <c r="A6802" t="s">
        <v>17</v>
      </c>
      <c r="B6802" t="s">
        <v>178</v>
      </c>
      <c r="C6802">
        <v>202204</v>
      </c>
      <c r="D6802" t="str">
        <f t="shared" si="106"/>
        <v>2022</v>
      </c>
      <c r="E6802">
        <v>89</v>
      </c>
      <c r="F6802">
        <v>55143</v>
      </c>
      <c r="G6802">
        <v>0.16</v>
      </c>
      <c r="H6802" t="s">
        <v>10</v>
      </c>
      <c r="I6802" t="s">
        <v>11</v>
      </c>
    </row>
    <row r="6803" spans="1:9" hidden="1" x14ac:dyDescent="0.25">
      <c r="A6803" t="s">
        <v>17</v>
      </c>
      <c r="B6803" t="s">
        <v>178</v>
      </c>
      <c r="C6803">
        <v>202205</v>
      </c>
      <c r="D6803" t="str">
        <f t="shared" si="106"/>
        <v>2022</v>
      </c>
      <c r="E6803">
        <v>54</v>
      </c>
      <c r="F6803">
        <v>55143</v>
      </c>
      <c r="G6803">
        <v>0.1</v>
      </c>
      <c r="H6803" t="s">
        <v>10</v>
      </c>
      <c r="I6803" t="s">
        <v>11</v>
      </c>
    </row>
    <row r="6804" spans="1:9" hidden="1" x14ac:dyDescent="0.25">
      <c r="A6804" t="s">
        <v>17</v>
      </c>
      <c r="B6804" t="s">
        <v>178</v>
      </c>
      <c r="C6804">
        <v>202206</v>
      </c>
      <c r="D6804" t="str">
        <f t="shared" si="106"/>
        <v>2022</v>
      </c>
      <c r="E6804">
        <v>98</v>
      </c>
      <c r="F6804">
        <v>55143</v>
      </c>
      <c r="G6804">
        <v>0.18</v>
      </c>
      <c r="H6804" t="s">
        <v>10</v>
      </c>
      <c r="I6804" t="s">
        <v>11</v>
      </c>
    </row>
    <row r="6805" spans="1:9" hidden="1" x14ac:dyDescent="0.25">
      <c r="A6805" t="s">
        <v>17</v>
      </c>
      <c r="B6805" t="s">
        <v>178</v>
      </c>
      <c r="C6805">
        <v>202207</v>
      </c>
      <c r="D6805" t="str">
        <f t="shared" si="106"/>
        <v>2022</v>
      </c>
      <c r="E6805">
        <v>43</v>
      </c>
      <c r="F6805">
        <v>55143</v>
      </c>
      <c r="G6805">
        <v>0.08</v>
      </c>
      <c r="H6805" t="s">
        <v>10</v>
      </c>
      <c r="I6805" t="s">
        <v>11</v>
      </c>
    </row>
    <row r="6806" spans="1:9" hidden="1" x14ac:dyDescent="0.25">
      <c r="A6806" t="s">
        <v>17</v>
      </c>
      <c r="B6806" t="s">
        <v>178</v>
      </c>
      <c r="C6806">
        <v>202208</v>
      </c>
      <c r="D6806" t="str">
        <f t="shared" si="106"/>
        <v>2022</v>
      </c>
      <c r="E6806">
        <v>134</v>
      </c>
      <c r="F6806">
        <v>55143</v>
      </c>
      <c r="G6806">
        <v>0.24</v>
      </c>
      <c r="H6806" t="s">
        <v>10</v>
      </c>
      <c r="I6806" t="s">
        <v>11</v>
      </c>
    </row>
    <row r="6807" spans="1:9" hidden="1" x14ac:dyDescent="0.25">
      <c r="A6807" t="s">
        <v>17</v>
      </c>
      <c r="B6807" t="s">
        <v>178</v>
      </c>
      <c r="C6807">
        <v>202209</v>
      </c>
      <c r="D6807" t="str">
        <f t="shared" si="106"/>
        <v>2022</v>
      </c>
      <c r="E6807">
        <v>172</v>
      </c>
      <c r="F6807">
        <v>55143</v>
      </c>
      <c r="G6807">
        <v>0.31</v>
      </c>
      <c r="H6807" t="s">
        <v>10</v>
      </c>
      <c r="I6807" t="s">
        <v>11</v>
      </c>
    </row>
    <row r="6808" spans="1:9" hidden="1" x14ac:dyDescent="0.25">
      <c r="A6808" t="s">
        <v>17</v>
      </c>
      <c r="B6808" t="s">
        <v>178</v>
      </c>
      <c r="C6808">
        <v>202210</v>
      </c>
      <c r="D6808" t="str">
        <f t="shared" si="106"/>
        <v>2022</v>
      </c>
      <c r="E6808">
        <v>119</v>
      </c>
      <c r="F6808">
        <v>55143</v>
      </c>
      <c r="G6808">
        <v>0.22</v>
      </c>
      <c r="H6808" t="s">
        <v>10</v>
      </c>
      <c r="I6808" t="s">
        <v>11</v>
      </c>
    </row>
    <row r="6809" spans="1:9" hidden="1" x14ac:dyDescent="0.25">
      <c r="A6809" t="s">
        <v>17</v>
      </c>
      <c r="B6809" t="s">
        <v>178</v>
      </c>
      <c r="C6809">
        <v>202211</v>
      </c>
      <c r="D6809" t="str">
        <f t="shared" si="106"/>
        <v>2022</v>
      </c>
      <c r="E6809">
        <v>154</v>
      </c>
      <c r="F6809">
        <v>55143</v>
      </c>
      <c r="G6809">
        <v>0.28000000000000003</v>
      </c>
      <c r="H6809" t="s">
        <v>10</v>
      </c>
      <c r="I6809" t="s">
        <v>11</v>
      </c>
    </row>
    <row r="6810" spans="1:9" hidden="1" x14ac:dyDescent="0.25">
      <c r="A6810" t="s">
        <v>17</v>
      </c>
      <c r="B6810" t="s">
        <v>178</v>
      </c>
      <c r="C6810">
        <v>202212</v>
      </c>
      <c r="D6810" t="str">
        <f t="shared" si="106"/>
        <v>2022</v>
      </c>
      <c r="E6810">
        <v>291</v>
      </c>
      <c r="F6810">
        <v>55143</v>
      </c>
      <c r="G6810">
        <v>0.53</v>
      </c>
      <c r="H6810" t="s">
        <v>10</v>
      </c>
      <c r="I6810" t="s">
        <v>11</v>
      </c>
    </row>
    <row r="6811" spans="1:9" hidden="1" x14ac:dyDescent="0.25">
      <c r="A6811" t="s">
        <v>17</v>
      </c>
      <c r="B6811" t="s">
        <v>178</v>
      </c>
      <c r="C6811">
        <v>202301</v>
      </c>
      <c r="D6811" t="str">
        <f t="shared" si="106"/>
        <v>2023</v>
      </c>
      <c r="E6811">
        <v>509</v>
      </c>
      <c r="F6811">
        <v>55143</v>
      </c>
      <c r="G6811">
        <v>0.92</v>
      </c>
      <c r="H6811" t="s">
        <v>10</v>
      </c>
      <c r="I6811" t="s">
        <v>11</v>
      </c>
    </row>
    <row r="6812" spans="1:9" hidden="1" x14ac:dyDescent="0.25">
      <c r="A6812" t="s">
        <v>17</v>
      </c>
      <c r="B6812" t="s">
        <v>178</v>
      </c>
      <c r="C6812">
        <v>202302</v>
      </c>
      <c r="D6812" t="str">
        <f t="shared" si="106"/>
        <v>2023</v>
      </c>
      <c r="E6812">
        <v>285</v>
      </c>
      <c r="F6812">
        <v>55143</v>
      </c>
      <c r="G6812">
        <v>0.52</v>
      </c>
      <c r="H6812" t="s">
        <v>10</v>
      </c>
      <c r="I6812" t="s">
        <v>11</v>
      </c>
    </row>
    <row r="6813" spans="1:9" hidden="1" x14ac:dyDescent="0.25">
      <c r="A6813" t="s">
        <v>17</v>
      </c>
      <c r="B6813" t="s">
        <v>178</v>
      </c>
      <c r="C6813">
        <v>202303</v>
      </c>
      <c r="D6813" t="str">
        <f t="shared" si="106"/>
        <v>2023</v>
      </c>
      <c r="E6813">
        <v>344</v>
      </c>
      <c r="F6813">
        <v>55143</v>
      </c>
      <c r="G6813">
        <v>0.62</v>
      </c>
      <c r="H6813" t="s">
        <v>10</v>
      </c>
      <c r="I6813" t="s">
        <v>11</v>
      </c>
    </row>
    <row r="6814" spans="1:9" hidden="1" x14ac:dyDescent="0.25">
      <c r="A6814" t="s">
        <v>17</v>
      </c>
      <c r="B6814" t="s">
        <v>178</v>
      </c>
      <c r="C6814">
        <v>202304</v>
      </c>
      <c r="D6814" t="str">
        <f t="shared" si="106"/>
        <v>2023</v>
      </c>
      <c r="E6814">
        <v>522</v>
      </c>
      <c r="F6814">
        <v>55143</v>
      </c>
      <c r="G6814">
        <v>0.95</v>
      </c>
      <c r="H6814" t="s">
        <v>10</v>
      </c>
      <c r="I6814" t="s">
        <v>11</v>
      </c>
    </row>
    <row r="6815" spans="1:9" hidden="1" x14ac:dyDescent="0.25">
      <c r="A6815" t="s">
        <v>17</v>
      </c>
      <c r="B6815" t="s">
        <v>178</v>
      </c>
      <c r="C6815">
        <v>202305</v>
      </c>
      <c r="D6815" t="str">
        <f t="shared" si="106"/>
        <v>2023</v>
      </c>
      <c r="E6815">
        <v>496</v>
      </c>
      <c r="F6815">
        <v>55143</v>
      </c>
      <c r="G6815">
        <v>0.9</v>
      </c>
      <c r="H6815" t="s">
        <v>10</v>
      </c>
      <c r="I6815" t="s">
        <v>11</v>
      </c>
    </row>
    <row r="6816" spans="1:9" hidden="1" x14ac:dyDescent="0.25">
      <c r="A6816" t="s">
        <v>17</v>
      </c>
      <c r="B6816" t="s">
        <v>178</v>
      </c>
      <c r="C6816">
        <v>202306</v>
      </c>
      <c r="D6816" t="str">
        <f t="shared" si="106"/>
        <v>2023</v>
      </c>
      <c r="E6816">
        <v>632</v>
      </c>
      <c r="F6816">
        <v>55143</v>
      </c>
      <c r="G6816">
        <v>1.1499999999999999</v>
      </c>
      <c r="H6816" t="s">
        <v>10</v>
      </c>
      <c r="I6816" t="s">
        <v>11</v>
      </c>
    </row>
    <row r="6817" spans="1:9" hidden="1" x14ac:dyDescent="0.25">
      <c r="A6817" t="s">
        <v>17</v>
      </c>
      <c r="B6817" t="s">
        <v>178</v>
      </c>
      <c r="C6817">
        <v>202307</v>
      </c>
      <c r="D6817" t="str">
        <f t="shared" si="106"/>
        <v>2023</v>
      </c>
      <c r="E6817">
        <v>515</v>
      </c>
      <c r="F6817">
        <v>55143</v>
      </c>
      <c r="G6817">
        <v>0.93</v>
      </c>
      <c r="H6817" t="s">
        <v>10</v>
      </c>
      <c r="I6817" t="s">
        <v>11</v>
      </c>
    </row>
    <row r="6818" spans="1:9" hidden="1" x14ac:dyDescent="0.25">
      <c r="A6818" t="s">
        <v>17</v>
      </c>
      <c r="B6818" t="s">
        <v>178</v>
      </c>
      <c r="C6818">
        <v>202308</v>
      </c>
      <c r="D6818" t="str">
        <f t="shared" si="106"/>
        <v>2023</v>
      </c>
      <c r="E6818">
        <v>688</v>
      </c>
      <c r="F6818">
        <v>55143</v>
      </c>
      <c r="G6818">
        <v>1.25</v>
      </c>
      <c r="H6818" t="s">
        <v>10</v>
      </c>
      <c r="I6818" t="s">
        <v>11</v>
      </c>
    </row>
    <row r="6819" spans="1:9" hidden="1" x14ac:dyDescent="0.25">
      <c r="A6819" t="s">
        <v>17</v>
      </c>
      <c r="B6819" t="s">
        <v>178</v>
      </c>
      <c r="C6819">
        <v>202309</v>
      </c>
      <c r="D6819" t="str">
        <f t="shared" si="106"/>
        <v>2023</v>
      </c>
      <c r="E6819">
        <v>1097</v>
      </c>
      <c r="F6819">
        <v>55143</v>
      </c>
      <c r="G6819">
        <v>1.99</v>
      </c>
      <c r="H6819" t="s">
        <v>10</v>
      </c>
      <c r="I6819" t="s">
        <v>11</v>
      </c>
    </row>
    <row r="6820" spans="1:9" hidden="1" x14ac:dyDescent="0.25">
      <c r="A6820" t="s">
        <v>17</v>
      </c>
      <c r="B6820" t="s">
        <v>178</v>
      </c>
      <c r="C6820">
        <v>202310</v>
      </c>
      <c r="D6820" t="str">
        <f t="shared" si="106"/>
        <v>2023</v>
      </c>
      <c r="E6820">
        <v>2036</v>
      </c>
      <c r="F6820">
        <v>55143</v>
      </c>
      <c r="G6820">
        <v>3.69</v>
      </c>
      <c r="H6820" t="s">
        <v>10</v>
      </c>
      <c r="I6820" t="s">
        <v>11</v>
      </c>
    </row>
    <row r="6821" spans="1:9" hidden="1" x14ac:dyDescent="0.25">
      <c r="A6821" t="s">
        <v>17</v>
      </c>
      <c r="B6821" t="s">
        <v>178</v>
      </c>
      <c r="C6821">
        <v>202311</v>
      </c>
      <c r="D6821" t="str">
        <f t="shared" si="106"/>
        <v>2023</v>
      </c>
      <c r="E6821">
        <v>4706</v>
      </c>
      <c r="F6821">
        <v>55143</v>
      </c>
      <c r="G6821">
        <v>8.5299999999999994</v>
      </c>
      <c r="H6821" t="s">
        <v>10</v>
      </c>
      <c r="I6821" t="s">
        <v>11</v>
      </c>
    </row>
    <row r="6822" spans="1:9" hidden="1" x14ac:dyDescent="0.25">
      <c r="A6822" t="s">
        <v>17</v>
      </c>
      <c r="B6822" t="s">
        <v>178</v>
      </c>
      <c r="C6822">
        <v>202312</v>
      </c>
      <c r="D6822" t="str">
        <f t="shared" si="106"/>
        <v>2023</v>
      </c>
      <c r="E6822">
        <v>23084</v>
      </c>
      <c r="F6822">
        <v>55143</v>
      </c>
      <c r="G6822">
        <v>41.86</v>
      </c>
      <c r="H6822" t="s">
        <v>10</v>
      </c>
      <c r="I6822" t="s">
        <v>11</v>
      </c>
    </row>
    <row r="6823" spans="1:9" hidden="1" x14ac:dyDescent="0.25">
      <c r="A6823" t="s">
        <v>17</v>
      </c>
      <c r="B6823" t="s">
        <v>178</v>
      </c>
      <c r="C6823">
        <v>202401</v>
      </c>
      <c r="D6823" t="str">
        <f t="shared" si="106"/>
        <v>2024</v>
      </c>
      <c r="E6823">
        <v>18822</v>
      </c>
      <c r="F6823">
        <v>55143</v>
      </c>
      <c r="G6823">
        <v>34.130000000000003</v>
      </c>
      <c r="H6823" t="s">
        <v>10</v>
      </c>
      <c r="I6823" t="s">
        <v>11</v>
      </c>
    </row>
    <row r="6824" spans="1:9" hidden="1" x14ac:dyDescent="0.25">
      <c r="A6824" t="s">
        <v>17</v>
      </c>
      <c r="B6824" t="s">
        <v>180</v>
      </c>
      <c r="C6824">
        <v>201909</v>
      </c>
      <c r="D6824" t="str">
        <f t="shared" si="106"/>
        <v>2019</v>
      </c>
      <c r="E6824">
        <v>2</v>
      </c>
      <c r="F6824">
        <v>70864</v>
      </c>
      <c r="G6824">
        <v>0</v>
      </c>
      <c r="H6824" t="s">
        <v>10</v>
      </c>
      <c r="I6824" t="s">
        <v>11</v>
      </c>
    </row>
    <row r="6825" spans="1:9" hidden="1" x14ac:dyDescent="0.25">
      <c r="A6825" t="s">
        <v>17</v>
      </c>
      <c r="B6825" t="s">
        <v>180</v>
      </c>
      <c r="C6825">
        <v>201912</v>
      </c>
      <c r="D6825" t="str">
        <f t="shared" si="106"/>
        <v>2019</v>
      </c>
      <c r="E6825">
        <v>1</v>
      </c>
      <c r="F6825">
        <v>70864</v>
      </c>
      <c r="G6825">
        <v>0</v>
      </c>
      <c r="H6825" t="s">
        <v>10</v>
      </c>
      <c r="I6825" t="s">
        <v>11</v>
      </c>
    </row>
    <row r="6826" spans="1:9" hidden="1" x14ac:dyDescent="0.25">
      <c r="A6826" t="s">
        <v>17</v>
      </c>
      <c r="B6826" t="s">
        <v>180</v>
      </c>
      <c r="C6826">
        <v>202008</v>
      </c>
      <c r="D6826" t="str">
        <f t="shared" si="106"/>
        <v>2020</v>
      </c>
      <c r="E6826">
        <v>6</v>
      </c>
      <c r="F6826">
        <v>70864</v>
      </c>
      <c r="G6826">
        <v>0.01</v>
      </c>
      <c r="H6826" t="s">
        <v>10</v>
      </c>
      <c r="I6826" t="s">
        <v>11</v>
      </c>
    </row>
    <row r="6827" spans="1:9" hidden="1" x14ac:dyDescent="0.25">
      <c r="A6827" t="s">
        <v>17</v>
      </c>
      <c r="B6827" t="s">
        <v>180</v>
      </c>
      <c r="C6827">
        <v>202101</v>
      </c>
      <c r="D6827" t="str">
        <f t="shared" si="106"/>
        <v>2021</v>
      </c>
      <c r="E6827">
        <v>3</v>
      </c>
      <c r="F6827">
        <v>70864</v>
      </c>
      <c r="G6827">
        <v>0</v>
      </c>
      <c r="H6827" t="s">
        <v>10</v>
      </c>
      <c r="I6827" t="s">
        <v>11</v>
      </c>
    </row>
    <row r="6828" spans="1:9" hidden="1" x14ac:dyDescent="0.25">
      <c r="A6828" t="s">
        <v>17</v>
      </c>
      <c r="B6828" t="s">
        <v>180</v>
      </c>
      <c r="C6828">
        <v>202103</v>
      </c>
      <c r="D6828" t="str">
        <f t="shared" si="106"/>
        <v>2021</v>
      </c>
      <c r="E6828">
        <v>21</v>
      </c>
      <c r="F6828">
        <v>70864</v>
      </c>
      <c r="G6828">
        <v>0.03</v>
      </c>
      <c r="H6828" t="s">
        <v>10</v>
      </c>
      <c r="I6828" t="s">
        <v>11</v>
      </c>
    </row>
    <row r="6829" spans="1:9" hidden="1" x14ac:dyDescent="0.25">
      <c r="A6829" t="s">
        <v>17</v>
      </c>
      <c r="B6829" t="s">
        <v>180</v>
      </c>
      <c r="C6829">
        <v>202106</v>
      </c>
      <c r="D6829" t="str">
        <f t="shared" si="106"/>
        <v>2021</v>
      </c>
      <c r="E6829">
        <v>39</v>
      </c>
      <c r="F6829">
        <v>70864</v>
      </c>
      <c r="G6829">
        <v>0.06</v>
      </c>
      <c r="H6829" t="s">
        <v>10</v>
      </c>
      <c r="I6829" t="s">
        <v>11</v>
      </c>
    </row>
    <row r="6830" spans="1:9" hidden="1" x14ac:dyDescent="0.25">
      <c r="A6830" t="s">
        <v>17</v>
      </c>
      <c r="B6830" t="s">
        <v>180</v>
      </c>
      <c r="C6830">
        <v>202108</v>
      </c>
      <c r="D6830" t="str">
        <f t="shared" si="106"/>
        <v>2021</v>
      </c>
      <c r="E6830">
        <v>2</v>
      </c>
      <c r="F6830">
        <v>70864</v>
      </c>
      <c r="G6830">
        <v>0</v>
      </c>
      <c r="H6830" t="s">
        <v>10</v>
      </c>
      <c r="I6830" t="s">
        <v>11</v>
      </c>
    </row>
    <row r="6831" spans="1:9" hidden="1" x14ac:dyDescent="0.25">
      <c r="A6831" t="s">
        <v>17</v>
      </c>
      <c r="B6831" t="s">
        <v>180</v>
      </c>
      <c r="C6831">
        <v>202111</v>
      </c>
      <c r="D6831" t="str">
        <f t="shared" si="106"/>
        <v>2021</v>
      </c>
      <c r="E6831">
        <v>1</v>
      </c>
      <c r="F6831">
        <v>70864</v>
      </c>
      <c r="G6831">
        <v>0</v>
      </c>
      <c r="H6831" t="s">
        <v>10</v>
      </c>
      <c r="I6831" t="s">
        <v>11</v>
      </c>
    </row>
    <row r="6832" spans="1:9" hidden="1" x14ac:dyDescent="0.25">
      <c r="A6832" t="s">
        <v>17</v>
      </c>
      <c r="B6832" t="s">
        <v>180</v>
      </c>
      <c r="C6832">
        <v>202201</v>
      </c>
      <c r="D6832" t="str">
        <f t="shared" si="106"/>
        <v>2022</v>
      </c>
      <c r="E6832">
        <v>9</v>
      </c>
      <c r="F6832">
        <v>70864</v>
      </c>
      <c r="G6832">
        <v>0.01</v>
      </c>
      <c r="H6832" t="s">
        <v>10</v>
      </c>
      <c r="I6832" t="s">
        <v>11</v>
      </c>
    </row>
    <row r="6833" spans="1:9" hidden="1" x14ac:dyDescent="0.25">
      <c r="A6833" t="s">
        <v>17</v>
      </c>
      <c r="B6833" t="s">
        <v>180</v>
      </c>
      <c r="C6833">
        <v>202202</v>
      </c>
      <c r="D6833" t="str">
        <f t="shared" si="106"/>
        <v>2022</v>
      </c>
      <c r="E6833">
        <v>13</v>
      </c>
      <c r="F6833">
        <v>70864</v>
      </c>
      <c r="G6833">
        <v>0.02</v>
      </c>
      <c r="H6833" t="s">
        <v>10</v>
      </c>
      <c r="I6833" t="s">
        <v>11</v>
      </c>
    </row>
    <row r="6834" spans="1:9" hidden="1" x14ac:dyDescent="0.25">
      <c r="A6834" t="s">
        <v>17</v>
      </c>
      <c r="B6834" t="s">
        <v>180</v>
      </c>
      <c r="C6834">
        <v>202203</v>
      </c>
      <c r="D6834" t="str">
        <f t="shared" si="106"/>
        <v>2022</v>
      </c>
      <c r="E6834">
        <v>24</v>
      </c>
      <c r="F6834">
        <v>70864</v>
      </c>
      <c r="G6834">
        <v>0.03</v>
      </c>
      <c r="H6834" t="s">
        <v>10</v>
      </c>
      <c r="I6834" t="s">
        <v>11</v>
      </c>
    </row>
    <row r="6835" spans="1:9" hidden="1" x14ac:dyDescent="0.25">
      <c r="A6835" t="s">
        <v>17</v>
      </c>
      <c r="B6835" t="s">
        <v>180</v>
      </c>
      <c r="C6835">
        <v>202204</v>
      </c>
      <c r="D6835" t="str">
        <f t="shared" si="106"/>
        <v>2022</v>
      </c>
      <c r="E6835">
        <v>28</v>
      </c>
      <c r="F6835">
        <v>70864</v>
      </c>
      <c r="G6835">
        <v>0.04</v>
      </c>
      <c r="H6835" t="s">
        <v>10</v>
      </c>
      <c r="I6835" t="s">
        <v>11</v>
      </c>
    </row>
    <row r="6836" spans="1:9" hidden="1" x14ac:dyDescent="0.25">
      <c r="A6836" t="s">
        <v>17</v>
      </c>
      <c r="B6836" t="s">
        <v>180</v>
      </c>
      <c r="C6836">
        <v>202205</v>
      </c>
      <c r="D6836" t="str">
        <f t="shared" si="106"/>
        <v>2022</v>
      </c>
      <c r="E6836">
        <v>51</v>
      </c>
      <c r="F6836">
        <v>70864</v>
      </c>
      <c r="G6836">
        <v>7.0000000000000007E-2</v>
      </c>
      <c r="H6836" t="s">
        <v>10</v>
      </c>
      <c r="I6836" t="s">
        <v>11</v>
      </c>
    </row>
    <row r="6837" spans="1:9" hidden="1" x14ac:dyDescent="0.25">
      <c r="A6837" t="s">
        <v>17</v>
      </c>
      <c r="B6837" t="s">
        <v>180</v>
      </c>
      <c r="C6837">
        <v>202206</v>
      </c>
      <c r="D6837" t="str">
        <f t="shared" si="106"/>
        <v>2022</v>
      </c>
      <c r="E6837">
        <v>30</v>
      </c>
      <c r="F6837">
        <v>70864</v>
      </c>
      <c r="G6837">
        <v>0.04</v>
      </c>
      <c r="H6837" t="s">
        <v>10</v>
      </c>
      <c r="I6837" t="s">
        <v>11</v>
      </c>
    </row>
    <row r="6838" spans="1:9" hidden="1" x14ac:dyDescent="0.25">
      <c r="A6838" t="s">
        <v>17</v>
      </c>
      <c r="B6838" t="s">
        <v>180</v>
      </c>
      <c r="C6838">
        <v>202207</v>
      </c>
      <c r="D6838" t="str">
        <f t="shared" si="106"/>
        <v>2022</v>
      </c>
      <c r="E6838">
        <v>74</v>
      </c>
      <c r="F6838">
        <v>70864</v>
      </c>
      <c r="G6838">
        <v>0.1</v>
      </c>
      <c r="H6838" t="s">
        <v>10</v>
      </c>
      <c r="I6838" t="s">
        <v>11</v>
      </c>
    </row>
    <row r="6839" spans="1:9" hidden="1" x14ac:dyDescent="0.25">
      <c r="A6839" t="s">
        <v>17</v>
      </c>
      <c r="B6839" t="s">
        <v>180</v>
      </c>
      <c r="C6839">
        <v>202208</v>
      </c>
      <c r="D6839" t="str">
        <f t="shared" si="106"/>
        <v>2022</v>
      </c>
      <c r="E6839">
        <v>89</v>
      </c>
      <c r="F6839">
        <v>70864</v>
      </c>
      <c r="G6839">
        <v>0.13</v>
      </c>
      <c r="H6839" t="s">
        <v>10</v>
      </c>
      <c r="I6839" t="s">
        <v>11</v>
      </c>
    </row>
    <row r="6840" spans="1:9" hidden="1" x14ac:dyDescent="0.25">
      <c r="A6840" t="s">
        <v>17</v>
      </c>
      <c r="B6840" t="s">
        <v>180</v>
      </c>
      <c r="C6840">
        <v>202209</v>
      </c>
      <c r="D6840" t="str">
        <f t="shared" si="106"/>
        <v>2022</v>
      </c>
      <c r="E6840">
        <v>75</v>
      </c>
      <c r="F6840">
        <v>70864</v>
      </c>
      <c r="G6840">
        <v>0.11</v>
      </c>
      <c r="H6840" t="s">
        <v>10</v>
      </c>
      <c r="I6840" t="s">
        <v>11</v>
      </c>
    </row>
    <row r="6841" spans="1:9" hidden="1" x14ac:dyDescent="0.25">
      <c r="A6841" t="s">
        <v>17</v>
      </c>
      <c r="B6841" t="s">
        <v>180</v>
      </c>
      <c r="C6841">
        <v>202210</v>
      </c>
      <c r="D6841" t="str">
        <f t="shared" si="106"/>
        <v>2022</v>
      </c>
      <c r="E6841">
        <v>164</v>
      </c>
      <c r="F6841">
        <v>70864</v>
      </c>
      <c r="G6841">
        <v>0.23</v>
      </c>
      <c r="H6841" t="s">
        <v>10</v>
      </c>
      <c r="I6841" t="s">
        <v>11</v>
      </c>
    </row>
    <row r="6842" spans="1:9" hidden="1" x14ac:dyDescent="0.25">
      <c r="A6842" t="s">
        <v>17</v>
      </c>
      <c r="B6842" t="s">
        <v>180</v>
      </c>
      <c r="C6842">
        <v>202211</v>
      </c>
      <c r="D6842" t="str">
        <f t="shared" si="106"/>
        <v>2022</v>
      </c>
      <c r="E6842">
        <v>69</v>
      </c>
      <c r="F6842">
        <v>70864</v>
      </c>
      <c r="G6842">
        <v>0.1</v>
      </c>
      <c r="H6842" t="s">
        <v>10</v>
      </c>
      <c r="I6842" t="s">
        <v>11</v>
      </c>
    </row>
    <row r="6843" spans="1:9" hidden="1" x14ac:dyDescent="0.25">
      <c r="A6843" t="s">
        <v>17</v>
      </c>
      <c r="B6843" t="s">
        <v>180</v>
      </c>
      <c r="C6843">
        <v>202212</v>
      </c>
      <c r="D6843" t="str">
        <f t="shared" si="106"/>
        <v>2022</v>
      </c>
      <c r="E6843">
        <v>180</v>
      </c>
      <c r="F6843">
        <v>70864</v>
      </c>
      <c r="G6843">
        <v>0.25</v>
      </c>
      <c r="H6843" t="s">
        <v>10</v>
      </c>
      <c r="I6843" t="s">
        <v>11</v>
      </c>
    </row>
    <row r="6844" spans="1:9" hidden="1" x14ac:dyDescent="0.25">
      <c r="A6844" t="s">
        <v>17</v>
      </c>
      <c r="B6844" t="s">
        <v>180</v>
      </c>
      <c r="C6844">
        <v>202301</v>
      </c>
      <c r="D6844" t="str">
        <f t="shared" si="106"/>
        <v>2023</v>
      </c>
      <c r="E6844">
        <v>389</v>
      </c>
      <c r="F6844">
        <v>70864</v>
      </c>
      <c r="G6844">
        <v>0.55000000000000004</v>
      </c>
      <c r="H6844" t="s">
        <v>10</v>
      </c>
      <c r="I6844" t="s">
        <v>11</v>
      </c>
    </row>
    <row r="6845" spans="1:9" hidden="1" x14ac:dyDescent="0.25">
      <c r="A6845" t="s">
        <v>17</v>
      </c>
      <c r="B6845" t="s">
        <v>180</v>
      </c>
      <c r="C6845">
        <v>202302</v>
      </c>
      <c r="D6845" t="str">
        <f t="shared" si="106"/>
        <v>2023</v>
      </c>
      <c r="E6845">
        <v>298</v>
      </c>
      <c r="F6845">
        <v>70864</v>
      </c>
      <c r="G6845">
        <v>0.42</v>
      </c>
      <c r="H6845" t="s">
        <v>10</v>
      </c>
      <c r="I6845" t="s">
        <v>11</v>
      </c>
    </row>
    <row r="6846" spans="1:9" hidden="1" x14ac:dyDescent="0.25">
      <c r="A6846" t="s">
        <v>17</v>
      </c>
      <c r="B6846" t="s">
        <v>180</v>
      </c>
      <c r="C6846">
        <v>202303</v>
      </c>
      <c r="D6846" t="str">
        <f t="shared" si="106"/>
        <v>2023</v>
      </c>
      <c r="E6846">
        <v>414</v>
      </c>
      <c r="F6846">
        <v>70864</v>
      </c>
      <c r="G6846">
        <v>0.57999999999999996</v>
      </c>
      <c r="H6846" t="s">
        <v>10</v>
      </c>
      <c r="I6846" t="s">
        <v>11</v>
      </c>
    </row>
    <row r="6847" spans="1:9" hidden="1" x14ac:dyDescent="0.25">
      <c r="A6847" t="s">
        <v>17</v>
      </c>
      <c r="B6847" t="s">
        <v>180</v>
      </c>
      <c r="C6847">
        <v>202304</v>
      </c>
      <c r="D6847" t="str">
        <f t="shared" si="106"/>
        <v>2023</v>
      </c>
      <c r="E6847">
        <v>501</v>
      </c>
      <c r="F6847">
        <v>70864</v>
      </c>
      <c r="G6847">
        <v>0.71</v>
      </c>
      <c r="H6847" t="s">
        <v>10</v>
      </c>
      <c r="I6847" t="s">
        <v>11</v>
      </c>
    </row>
    <row r="6848" spans="1:9" hidden="1" x14ac:dyDescent="0.25">
      <c r="A6848" t="s">
        <v>17</v>
      </c>
      <c r="B6848" t="s">
        <v>180</v>
      </c>
      <c r="C6848">
        <v>202305</v>
      </c>
      <c r="D6848" t="str">
        <f t="shared" si="106"/>
        <v>2023</v>
      </c>
      <c r="E6848">
        <v>603</v>
      </c>
      <c r="F6848">
        <v>70864</v>
      </c>
      <c r="G6848">
        <v>0.85</v>
      </c>
      <c r="H6848" t="s">
        <v>10</v>
      </c>
      <c r="I6848" t="s">
        <v>11</v>
      </c>
    </row>
    <row r="6849" spans="1:9" hidden="1" x14ac:dyDescent="0.25">
      <c r="A6849" t="s">
        <v>17</v>
      </c>
      <c r="B6849" t="s">
        <v>180</v>
      </c>
      <c r="C6849">
        <v>202306</v>
      </c>
      <c r="D6849" t="str">
        <f t="shared" si="106"/>
        <v>2023</v>
      </c>
      <c r="E6849">
        <v>433</v>
      </c>
      <c r="F6849">
        <v>70864</v>
      </c>
      <c r="G6849">
        <v>0.61</v>
      </c>
      <c r="H6849" t="s">
        <v>10</v>
      </c>
      <c r="I6849" t="s">
        <v>11</v>
      </c>
    </row>
    <row r="6850" spans="1:9" hidden="1" x14ac:dyDescent="0.25">
      <c r="A6850" t="s">
        <v>17</v>
      </c>
      <c r="B6850" t="s">
        <v>180</v>
      </c>
      <c r="C6850">
        <v>202307</v>
      </c>
      <c r="D6850" t="str">
        <f t="shared" si="106"/>
        <v>2023</v>
      </c>
      <c r="E6850">
        <v>471</v>
      </c>
      <c r="F6850">
        <v>70864</v>
      </c>
      <c r="G6850">
        <v>0.66</v>
      </c>
      <c r="H6850" t="s">
        <v>10</v>
      </c>
      <c r="I6850" t="s">
        <v>11</v>
      </c>
    </row>
    <row r="6851" spans="1:9" hidden="1" x14ac:dyDescent="0.25">
      <c r="A6851" t="s">
        <v>17</v>
      </c>
      <c r="B6851" t="s">
        <v>180</v>
      </c>
      <c r="C6851">
        <v>202308</v>
      </c>
      <c r="D6851" t="str">
        <f t="shared" ref="D6851:D6914" si="107">LEFT(C6851,4)</f>
        <v>2023</v>
      </c>
      <c r="E6851">
        <v>546</v>
      </c>
      <c r="F6851">
        <v>70864</v>
      </c>
      <c r="G6851">
        <v>0.77</v>
      </c>
      <c r="H6851" t="s">
        <v>10</v>
      </c>
      <c r="I6851" t="s">
        <v>11</v>
      </c>
    </row>
    <row r="6852" spans="1:9" hidden="1" x14ac:dyDescent="0.25">
      <c r="A6852" t="s">
        <v>17</v>
      </c>
      <c r="B6852" t="s">
        <v>180</v>
      </c>
      <c r="C6852">
        <v>202309</v>
      </c>
      <c r="D6852" t="str">
        <f t="shared" si="107"/>
        <v>2023</v>
      </c>
      <c r="E6852">
        <v>736</v>
      </c>
      <c r="F6852">
        <v>70864</v>
      </c>
      <c r="G6852">
        <v>1.04</v>
      </c>
      <c r="H6852" t="s">
        <v>10</v>
      </c>
      <c r="I6852" t="s">
        <v>11</v>
      </c>
    </row>
    <row r="6853" spans="1:9" hidden="1" x14ac:dyDescent="0.25">
      <c r="A6853" t="s">
        <v>17</v>
      </c>
      <c r="B6853" t="s">
        <v>180</v>
      </c>
      <c r="C6853">
        <v>202310</v>
      </c>
      <c r="D6853" t="str">
        <f t="shared" si="107"/>
        <v>2023</v>
      </c>
      <c r="E6853">
        <v>1232</v>
      </c>
      <c r="F6853">
        <v>70864</v>
      </c>
      <c r="G6853">
        <v>1.74</v>
      </c>
      <c r="H6853" t="s">
        <v>10</v>
      </c>
      <c r="I6853" t="s">
        <v>11</v>
      </c>
    </row>
    <row r="6854" spans="1:9" hidden="1" x14ac:dyDescent="0.25">
      <c r="A6854" t="s">
        <v>17</v>
      </c>
      <c r="B6854" t="s">
        <v>180</v>
      </c>
      <c r="C6854">
        <v>202311</v>
      </c>
      <c r="D6854" t="str">
        <f t="shared" si="107"/>
        <v>2023</v>
      </c>
      <c r="E6854">
        <v>2219</v>
      </c>
      <c r="F6854">
        <v>70864</v>
      </c>
      <c r="G6854">
        <v>3.13</v>
      </c>
      <c r="H6854" t="s">
        <v>10</v>
      </c>
      <c r="I6854" t="s">
        <v>11</v>
      </c>
    </row>
    <row r="6855" spans="1:9" hidden="1" x14ac:dyDescent="0.25">
      <c r="A6855" t="s">
        <v>17</v>
      </c>
      <c r="B6855" t="s">
        <v>180</v>
      </c>
      <c r="C6855">
        <v>202312</v>
      </c>
      <c r="D6855" t="str">
        <f t="shared" si="107"/>
        <v>2023</v>
      </c>
      <c r="E6855">
        <v>4723</v>
      </c>
      <c r="F6855">
        <v>70864</v>
      </c>
      <c r="G6855">
        <v>6.66</v>
      </c>
      <c r="H6855" t="s">
        <v>10</v>
      </c>
      <c r="I6855" t="s">
        <v>11</v>
      </c>
    </row>
    <row r="6856" spans="1:9" hidden="1" x14ac:dyDescent="0.25">
      <c r="A6856" t="s">
        <v>17</v>
      </c>
      <c r="B6856" t="s">
        <v>180</v>
      </c>
      <c r="C6856">
        <v>202401</v>
      </c>
      <c r="D6856" t="str">
        <f t="shared" si="107"/>
        <v>2024</v>
      </c>
      <c r="E6856">
        <v>34068</v>
      </c>
      <c r="F6856">
        <v>70864</v>
      </c>
      <c r="G6856">
        <v>48.08</v>
      </c>
      <c r="H6856" t="s">
        <v>10</v>
      </c>
      <c r="I6856" t="s">
        <v>11</v>
      </c>
    </row>
    <row r="6857" spans="1:9" hidden="1" x14ac:dyDescent="0.25">
      <c r="A6857" t="s">
        <v>17</v>
      </c>
      <c r="B6857" t="s">
        <v>180</v>
      </c>
      <c r="C6857">
        <v>202402</v>
      </c>
      <c r="D6857" t="str">
        <f t="shared" si="107"/>
        <v>2024</v>
      </c>
      <c r="E6857">
        <v>23350</v>
      </c>
      <c r="F6857">
        <v>70864</v>
      </c>
      <c r="G6857">
        <v>32.950000000000003</v>
      </c>
      <c r="H6857" t="s">
        <v>10</v>
      </c>
      <c r="I6857" t="s">
        <v>11</v>
      </c>
    </row>
    <row r="6858" spans="1:9" hidden="1" x14ac:dyDescent="0.25">
      <c r="A6858" t="s">
        <v>17</v>
      </c>
      <c r="B6858" t="s">
        <v>79</v>
      </c>
      <c r="C6858">
        <v>201912</v>
      </c>
      <c r="D6858" t="str">
        <f t="shared" si="107"/>
        <v>2019</v>
      </c>
      <c r="E6858">
        <v>16</v>
      </c>
      <c r="F6858">
        <v>91136</v>
      </c>
      <c r="G6858">
        <v>0.02</v>
      </c>
      <c r="H6858" t="s">
        <v>10</v>
      </c>
      <c r="I6858" t="s">
        <v>11</v>
      </c>
    </row>
    <row r="6859" spans="1:9" hidden="1" x14ac:dyDescent="0.25">
      <c r="A6859" t="s">
        <v>17</v>
      </c>
      <c r="B6859" t="s">
        <v>79</v>
      </c>
      <c r="C6859">
        <v>202001</v>
      </c>
      <c r="D6859" t="str">
        <f t="shared" si="107"/>
        <v>2020</v>
      </c>
      <c r="E6859">
        <v>1</v>
      </c>
      <c r="F6859">
        <v>91136</v>
      </c>
      <c r="G6859">
        <v>0</v>
      </c>
      <c r="H6859" t="s">
        <v>10</v>
      </c>
      <c r="I6859" t="s">
        <v>11</v>
      </c>
    </row>
    <row r="6860" spans="1:9" hidden="1" x14ac:dyDescent="0.25">
      <c r="A6860" t="s">
        <v>17</v>
      </c>
      <c r="B6860" t="s">
        <v>79</v>
      </c>
      <c r="C6860">
        <v>202107</v>
      </c>
      <c r="D6860" t="str">
        <f t="shared" si="107"/>
        <v>2021</v>
      </c>
      <c r="E6860">
        <v>2</v>
      </c>
      <c r="F6860">
        <v>91136</v>
      </c>
      <c r="G6860">
        <v>0</v>
      </c>
      <c r="H6860" t="s">
        <v>10</v>
      </c>
      <c r="I6860" t="s">
        <v>11</v>
      </c>
    </row>
    <row r="6861" spans="1:9" hidden="1" x14ac:dyDescent="0.25">
      <c r="A6861" t="s">
        <v>17</v>
      </c>
      <c r="B6861" t="s">
        <v>79</v>
      </c>
      <c r="C6861">
        <v>202109</v>
      </c>
      <c r="D6861" t="str">
        <f t="shared" si="107"/>
        <v>2021</v>
      </c>
      <c r="E6861">
        <v>3</v>
      </c>
      <c r="F6861">
        <v>91136</v>
      </c>
      <c r="G6861">
        <v>0</v>
      </c>
      <c r="H6861" t="s">
        <v>10</v>
      </c>
      <c r="I6861" t="s">
        <v>11</v>
      </c>
    </row>
    <row r="6862" spans="1:9" hidden="1" x14ac:dyDescent="0.25">
      <c r="A6862" t="s">
        <v>17</v>
      </c>
      <c r="B6862" t="s">
        <v>79</v>
      </c>
      <c r="C6862">
        <v>202110</v>
      </c>
      <c r="D6862" t="str">
        <f t="shared" si="107"/>
        <v>2021</v>
      </c>
      <c r="E6862">
        <v>12</v>
      </c>
      <c r="F6862">
        <v>91136</v>
      </c>
      <c r="G6862">
        <v>0.01</v>
      </c>
      <c r="H6862" t="s">
        <v>10</v>
      </c>
      <c r="I6862" t="s">
        <v>11</v>
      </c>
    </row>
    <row r="6863" spans="1:9" hidden="1" x14ac:dyDescent="0.25">
      <c r="A6863" t="s">
        <v>17</v>
      </c>
      <c r="B6863" t="s">
        <v>79</v>
      </c>
      <c r="C6863">
        <v>202111</v>
      </c>
      <c r="D6863" t="str">
        <f t="shared" si="107"/>
        <v>2021</v>
      </c>
      <c r="E6863">
        <v>4</v>
      </c>
      <c r="F6863">
        <v>91136</v>
      </c>
      <c r="G6863">
        <v>0</v>
      </c>
      <c r="H6863" t="s">
        <v>10</v>
      </c>
      <c r="I6863" t="s">
        <v>11</v>
      </c>
    </row>
    <row r="6864" spans="1:9" hidden="1" x14ac:dyDescent="0.25">
      <c r="A6864" t="s">
        <v>17</v>
      </c>
      <c r="B6864" t="s">
        <v>79</v>
      </c>
      <c r="C6864">
        <v>202201</v>
      </c>
      <c r="D6864" t="str">
        <f t="shared" si="107"/>
        <v>2022</v>
      </c>
      <c r="E6864">
        <v>2</v>
      </c>
      <c r="F6864">
        <v>91136</v>
      </c>
      <c r="G6864">
        <v>0</v>
      </c>
      <c r="H6864" t="s">
        <v>10</v>
      </c>
      <c r="I6864" t="s">
        <v>11</v>
      </c>
    </row>
    <row r="6865" spans="1:9" hidden="1" x14ac:dyDescent="0.25">
      <c r="A6865" t="s">
        <v>17</v>
      </c>
      <c r="B6865" t="s">
        <v>79</v>
      </c>
      <c r="C6865">
        <v>202203</v>
      </c>
      <c r="D6865" t="str">
        <f t="shared" si="107"/>
        <v>2022</v>
      </c>
      <c r="E6865">
        <v>3</v>
      </c>
      <c r="F6865">
        <v>91136</v>
      </c>
      <c r="G6865">
        <v>0</v>
      </c>
      <c r="H6865" t="s">
        <v>10</v>
      </c>
      <c r="I6865" t="s">
        <v>11</v>
      </c>
    </row>
    <row r="6866" spans="1:9" hidden="1" x14ac:dyDescent="0.25">
      <c r="A6866" t="s">
        <v>17</v>
      </c>
      <c r="B6866" t="s">
        <v>79</v>
      </c>
      <c r="C6866">
        <v>202204</v>
      </c>
      <c r="D6866" t="str">
        <f t="shared" si="107"/>
        <v>2022</v>
      </c>
      <c r="E6866">
        <v>2</v>
      </c>
      <c r="F6866">
        <v>91136</v>
      </c>
      <c r="G6866">
        <v>0</v>
      </c>
      <c r="H6866" t="s">
        <v>10</v>
      </c>
      <c r="I6866" t="s">
        <v>11</v>
      </c>
    </row>
    <row r="6867" spans="1:9" hidden="1" x14ac:dyDescent="0.25">
      <c r="A6867" t="s">
        <v>17</v>
      </c>
      <c r="B6867" t="s">
        <v>79</v>
      </c>
      <c r="C6867">
        <v>202205</v>
      </c>
      <c r="D6867" t="str">
        <f t="shared" si="107"/>
        <v>2022</v>
      </c>
      <c r="E6867">
        <v>26</v>
      </c>
      <c r="F6867">
        <v>91136</v>
      </c>
      <c r="G6867">
        <v>0.03</v>
      </c>
      <c r="H6867" t="s">
        <v>10</v>
      </c>
      <c r="I6867" t="s">
        <v>11</v>
      </c>
    </row>
    <row r="6868" spans="1:9" hidden="1" x14ac:dyDescent="0.25">
      <c r="A6868" t="s">
        <v>17</v>
      </c>
      <c r="B6868" t="s">
        <v>79</v>
      </c>
      <c r="C6868">
        <v>202206</v>
      </c>
      <c r="D6868" t="str">
        <f t="shared" si="107"/>
        <v>2022</v>
      </c>
      <c r="E6868">
        <v>55</v>
      </c>
      <c r="F6868">
        <v>91136</v>
      </c>
      <c r="G6868">
        <v>0.06</v>
      </c>
      <c r="H6868" t="s">
        <v>10</v>
      </c>
      <c r="I6868" t="s">
        <v>11</v>
      </c>
    </row>
    <row r="6869" spans="1:9" hidden="1" x14ac:dyDescent="0.25">
      <c r="A6869" t="s">
        <v>17</v>
      </c>
      <c r="B6869" t="s">
        <v>79</v>
      </c>
      <c r="C6869">
        <v>202207</v>
      </c>
      <c r="D6869" t="str">
        <f t="shared" si="107"/>
        <v>2022</v>
      </c>
      <c r="E6869">
        <v>79</v>
      </c>
      <c r="F6869">
        <v>91136</v>
      </c>
      <c r="G6869">
        <v>0.09</v>
      </c>
      <c r="H6869" t="s">
        <v>10</v>
      </c>
      <c r="I6869" t="s">
        <v>11</v>
      </c>
    </row>
    <row r="6870" spans="1:9" hidden="1" x14ac:dyDescent="0.25">
      <c r="A6870" t="s">
        <v>17</v>
      </c>
      <c r="B6870" t="s">
        <v>79</v>
      </c>
      <c r="C6870">
        <v>202208</v>
      </c>
      <c r="D6870" t="str">
        <f t="shared" si="107"/>
        <v>2022</v>
      </c>
      <c r="E6870">
        <v>52</v>
      </c>
      <c r="F6870">
        <v>91136</v>
      </c>
      <c r="G6870">
        <v>0.06</v>
      </c>
      <c r="H6870" t="s">
        <v>10</v>
      </c>
      <c r="I6870" t="s">
        <v>11</v>
      </c>
    </row>
    <row r="6871" spans="1:9" hidden="1" x14ac:dyDescent="0.25">
      <c r="A6871" t="s">
        <v>17</v>
      </c>
      <c r="B6871" t="s">
        <v>79</v>
      </c>
      <c r="C6871">
        <v>202209</v>
      </c>
      <c r="D6871" t="str">
        <f t="shared" si="107"/>
        <v>2022</v>
      </c>
      <c r="E6871">
        <v>101</v>
      </c>
      <c r="F6871">
        <v>91136</v>
      </c>
      <c r="G6871">
        <v>0.11</v>
      </c>
      <c r="H6871" t="s">
        <v>10</v>
      </c>
      <c r="I6871" t="s">
        <v>11</v>
      </c>
    </row>
    <row r="6872" spans="1:9" hidden="1" x14ac:dyDescent="0.25">
      <c r="A6872" t="s">
        <v>17</v>
      </c>
      <c r="B6872" t="s">
        <v>79</v>
      </c>
      <c r="C6872">
        <v>202210</v>
      </c>
      <c r="D6872" t="str">
        <f t="shared" si="107"/>
        <v>2022</v>
      </c>
      <c r="E6872">
        <v>63</v>
      </c>
      <c r="F6872">
        <v>91136</v>
      </c>
      <c r="G6872">
        <v>7.0000000000000007E-2</v>
      </c>
      <c r="H6872" t="s">
        <v>10</v>
      </c>
      <c r="I6872" t="s">
        <v>11</v>
      </c>
    </row>
    <row r="6873" spans="1:9" hidden="1" x14ac:dyDescent="0.25">
      <c r="A6873" t="s">
        <v>17</v>
      </c>
      <c r="B6873" t="s">
        <v>79</v>
      </c>
      <c r="C6873">
        <v>202211</v>
      </c>
      <c r="D6873" t="str">
        <f t="shared" si="107"/>
        <v>2022</v>
      </c>
      <c r="E6873">
        <v>144</v>
      </c>
      <c r="F6873">
        <v>91136</v>
      </c>
      <c r="G6873">
        <v>0.16</v>
      </c>
      <c r="H6873" t="s">
        <v>10</v>
      </c>
      <c r="I6873" t="s">
        <v>11</v>
      </c>
    </row>
    <row r="6874" spans="1:9" hidden="1" x14ac:dyDescent="0.25">
      <c r="A6874" t="s">
        <v>17</v>
      </c>
      <c r="B6874" t="s">
        <v>79</v>
      </c>
      <c r="C6874">
        <v>202212</v>
      </c>
      <c r="D6874" t="str">
        <f t="shared" si="107"/>
        <v>2022</v>
      </c>
      <c r="E6874">
        <v>77</v>
      </c>
      <c r="F6874">
        <v>91136</v>
      </c>
      <c r="G6874">
        <v>0.08</v>
      </c>
      <c r="H6874" t="s">
        <v>10</v>
      </c>
      <c r="I6874" t="s">
        <v>11</v>
      </c>
    </row>
    <row r="6875" spans="1:9" hidden="1" x14ac:dyDescent="0.25">
      <c r="A6875" t="s">
        <v>17</v>
      </c>
      <c r="B6875" t="s">
        <v>79</v>
      </c>
      <c r="C6875">
        <v>202301</v>
      </c>
      <c r="D6875" t="str">
        <f t="shared" si="107"/>
        <v>2023</v>
      </c>
      <c r="E6875">
        <v>6889</v>
      </c>
      <c r="F6875">
        <v>91136</v>
      </c>
      <c r="G6875">
        <v>7.56</v>
      </c>
      <c r="H6875" t="s">
        <v>10</v>
      </c>
      <c r="I6875" t="s">
        <v>11</v>
      </c>
    </row>
    <row r="6876" spans="1:9" hidden="1" x14ac:dyDescent="0.25">
      <c r="A6876" t="s">
        <v>17</v>
      </c>
      <c r="B6876" t="s">
        <v>79</v>
      </c>
      <c r="C6876">
        <v>202302</v>
      </c>
      <c r="D6876" t="str">
        <f t="shared" si="107"/>
        <v>2023</v>
      </c>
      <c r="E6876">
        <v>6389</v>
      </c>
      <c r="F6876">
        <v>91136</v>
      </c>
      <c r="G6876">
        <v>7.01</v>
      </c>
      <c r="H6876" t="s">
        <v>10</v>
      </c>
      <c r="I6876" t="s">
        <v>11</v>
      </c>
    </row>
    <row r="6877" spans="1:9" hidden="1" x14ac:dyDescent="0.25">
      <c r="A6877" t="s">
        <v>17</v>
      </c>
      <c r="B6877" t="s">
        <v>79</v>
      </c>
      <c r="C6877">
        <v>202303</v>
      </c>
      <c r="D6877" t="str">
        <f t="shared" si="107"/>
        <v>2023</v>
      </c>
      <c r="E6877">
        <v>7489</v>
      </c>
      <c r="F6877">
        <v>91136</v>
      </c>
      <c r="G6877">
        <v>8.2200000000000006</v>
      </c>
      <c r="H6877" t="s">
        <v>10</v>
      </c>
      <c r="I6877" t="s">
        <v>11</v>
      </c>
    </row>
    <row r="6878" spans="1:9" hidden="1" x14ac:dyDescent="0.25">
      <c r="A6878" t="s">
        <v>17</v>
      </c>
      <c r="B6878" t="s">
        <v>79</v>
      </c>
      <c r="C6878">
        <v>202304</v>
      </c>
      <c r="D6878" t="str">
        <f t="shared" si="107"/>
        <v>2023</v>
      </c>
      <c r="E6878">
        <v>6245</v>
      </c>
      <c r="F6878">
        <v>91136</v>
      </c>
      <c r="G6878">
        <v>6.85</v>
      </c>
      <c r="H6878" t="s">
        <v>10</v>
      </c>
      <c r="I6878" t="s">
        <v>11</v>
      </c>
    </row>
    <row r="6879" spans="1:9" hidden="1" x14ac:dyDescent="0.25">
      <c r="A6879" t="s">
        <v>17</v>
      </c>
      <c r="B6879" t="s">
        <v>79</v>
      </c>
      <c r="C6879">
        <v>202305</v>
      </c>
      <c r="D6879" t="str">
        <f t="shared" si="107"/>
        <v>2023</v>
      </c>
      <c r="E6879">
        <v>5943</v>
      </c>
      <c r="F6879">
        <v>91136</v>
      </c>
      <c r="G6879">
        <v>6.52</v>
      </c>
      <c r="H6879" t="s">
        <v>10</v>
      </c>
      <c r="I6879" t="s">
        <v>11</v>
      </c>
    </row>
    <row r="6880" spans="1:9" hidden="1" x14ac:dyDescent="0.25">
      <c r="A6880" t="s">
        <v>17</v>
      </c>
      <c r="B6880" t="s">
        <v>79</v>
      </c>
      <c r="C6880">
        <v>202306</v>
      </c>
      <c r="D6880" t="str">
        <f t="shared" si="107"/>
        <v>2023</v>
      </c>
      <c r="E6880">
        <v>5948</v>
      </c>
      <c r="F6880">
        <v>91136</v>
      </c>
      <c r="G6880">
        <v>6.53</v>
      </c>
      <c r="H6880" t="s">
        <v>10</v>
      </c>
      <c r="I6880" t="s">
        <v>11</v>
      </c>
    </row>
    <row r="6881" spans="1:9" hidden="1" x14ac:dyDescent="0.25">
      <c r="A6881" t="s">
        <v>17</v>
      </c>
      <c r="B6881" t="s">
        <v>79</v>
      </c>
      <c r="C6881">
        <v>202307</v>
      </c>
      <c r="D6881" t="str">
        <f t="shared" si="107"/>
        <v>2023</v>
      </c>
      <c r="E6881">
        <v>4517</v>
      </c>
      <c r="F6881">
        <v>91136</v>
      </c>
      <c r="G6881">
        <v>4.96</v>
      </c>
      <c r="H6881" t="s">
        <v>10</v>
      </c>
      <c r="I6881" t="s">
        <v>11</v>
      </c>
    </row>
    <row r="6882" spans="1:9" hidden="1" x14ac:dyDescent="0.25">
      <c r="A6882" t="s">
        <v>17</v>
      </c>
      <c r="B6882" t="s">
        <v>79</v>
      </c>
      <c r="C6882">
        <v>202308</v>
      </c>
      <c r="D6882" t="str">
        <f t="shared" si="107"/>
        <v>2023</v>
      </c>
      <c r="E6882">
        <v>614</v>
      </c>
      <c r="F6882">
        <v>91136</v>
      </c>
      <c r="G6882">
        <v>0.67</v>
      </c>
      <c r="H6882" t="s">
        <v>10</v>
      </c>
      <c r="I6882" t="s">
        <v>11</v>
      </c>
    </row>
    <row r="6883" spans="1:9" hidden="1" x14ac:dyDescent="0.25">
      <c r="A6883" t="s">
        <v>17</v>
      </c>
      <c r="B6883" t="s">
        <v>79</v>
      </c>
      <c r="C6883">
        <v>202309</v>
      </c>
      <c r="D6883" t="str">
        <f t="shared" si="107"/>
        <v>2023</v>
      </c>
      <c r="E6883">
        <v>994</v>
      </c>
      <c r="F6883">
        <v>91136</v>
      </c>
      <c r="G6883">
        <v>1.0900000000000001</v>
      </c>
      <c r="H6883" t="s">
        <v>10</v>
      </c>
      <c r="I6883" t="s">
        <v>11</v>
      </c>
    </row>
    <row r="6884" spans="1:9" hidden="1" x14ac:dyDescent="0.25">
      <c r="A6884" t="s">
        <v>17</v>
      </c>
      <c r="B6884" t="s">
        <v>79</v>
      </c>
      <c r="C6884">
        <v>202310</v>
      </c>
      <c r="D6884" t="str">
        <f t="shared" si="107"/>
        <v>2023</v>
      </c>
      <c r="E6884">
        <v>768</v>
      </c>
      <c r="F6884">
        <v>91136</v>
      </c>
      <c r="G6884">
        <v>0.84</v>
      </c>
      <c r="H6884" t="s">
        <v>10</v>
      </c>
      <c r="I6884" t="s">
        <v>11</v>
      </c>
    </row>
    <row r="6885" spans="1:9" hidden="1" x14ac:dyDescent="0.25">
      <c r="A6885" t="s">
        <v>17</v>
      </c>
      <c r="B6885" t="s">
        <v>79</v>
      </c>
      <c r="C6885">
        <v>202311</v>
      </c>
      <c r="D6885" t="str">
        <f t="shared" si="107"/>
        <v>2023</v>
      </c>
      <c r="E6885">
        <v>1925</v>
      </c>
      <c r="F6885">
        <v>91136</v>
      </c>
      <c r="G6885">
        <v>2.11</v>
      </c>
      <c r="H6885" t="s">
        <v>10</v>
      </c>
      <c r="I6885" t="s">
        <v>11</v>
      </c>
    </row>
    <row r="6886" spans="1:9" hidden="1" x14ac:dyDescent="0.25">
      <c r="A6886" t="s">
        <v>17</v>
      </c>
      <c r="B6886" t="s">
        <v>79</v>
      </c>
      <c r="C6886">
        <v>202312</v>
      </c>
      <c r="D6886" t="str">
        <f t="shared" si="107"/>
        <v>2023</v>
      </c>
      <c r="E6886">
        <v>1980</v>
      </c>
      <c r="F6886">
        <v>91136</v>
      </c>
      <c r="G6886">
        <v>2.17</v>
      </c>
      <c r="H6886" t="s">
        <v>10</v>
      </c>
      <c r="I6886" t="s">
        <v>11</v>
      </c>
    </row>
    <row r="6887" spans="1:9" hidden="1" x14ac:dyDescent="0.25">
      <c r="A6887" t="s">
        <v>17</v>
      </c>
      <c r="B6887" t="s">
        <v>79</v>
      </c>
      <c r="C6887">
        <v>202401</v>
      </c>
      <c r="D6887" t="str">
        <f t="shared" si="107"/>
        <v>2024</v>
      </c>
      <c r="E6887">
        <v>4505</v>
      </c>
      <c r="F6887">
        <v>91136</v>
      </c>
      <c r="G6887">
        <v>4.9400000000000004</v>
      </c>
      <c r="H6887" t="s">
        <v>10</v>
      </c>
      <c r="I6887" t="s">
        <v>11</v>
      </c>
    </row>
    <row r="6888" spans="1:9" hidden="1" x14ac:dyDescent="0.25">
      <c r="A6888" t="s">
        <v>17</v>
      </c>
      <c r="B6888" t="s">
        <v>79</v>
      </c>
      <c r="C6888">
        <v>202402</v>
      </c>
      <c r="D6888" t="str">
        <f t="shared" si="107"/>
        <v>2024</v>
      </c>
      <c r="E6888">
        <v>26041</v>
      </c>
      <c r="F6888">
        <v>91136</v>
      </c>
      <c r="G6888">
        <v>28.57</v>
      </c>
      <c r="H6888" t="s">
        <v>10</v>
      </c>
      <c r="I6888" t="s">
        <v>11</v>
      </c>
    </row>
    <row r="6889" spans="1:9" hidden="1" x14ac:dyDescent="0.25">
      <c r="A6889" t="s">
        <v>17</v>
      </c>
      <c r="B6889" t="s">
        <v>79</v>
      </c>
      <c r="C6889">
        <v>202403</v>
      </c>
      <c r="D6889" t="str">
        <f t="shared" si="107"/>
        <v>2024</v>
      </c>
      <c r="E6889">
        <v>10247</v>
      </c>
      <c r="F6889">
        <v>91136</v>
      </c>
      <c r="G6889">
        <v>11.24</v>
      </c>
      <c r="H6889" t="s">
        <v>10</v>
      </c>
      <c r="I6889" t="s">
        <v>11</v>
      </c>
    </row>
    <row r="6890" spans="1:9" hidden="1" x14ac:dyDescent="0.25">
      <c r="A6890" t="s">
        <v>17</v>
      </c>
      <c r="B6890" t="s">
        <v>176</v>
      </c>
      <c r="C6890">
        <v>201911</v>
      </c>
      <c r="D6890" t="str">
        <f t="shared" si="107"/>
        <v>2019</v>
      </c>
      <c r="E6890">
        <v>4</v>
      </c>
      <c r="F6890">
        <v>140222</v>
      </c>
      <c r="G6890">
        <v>0</v>
      </c>
      <c r="H6890" t="s">
        <v>10</v>
      </c>
      <c r="I6890" t="s">
        <v>11</v>
      </c>
    </row>
    <row r="6891" spans="1:9" hidden="1" x14ac:dyDescent="0.25">
      <c r="A6891" t="s">
        <v>17</v>
      </c>
      <c r="B6891" t="s">
        <v>176</v>
      </c>
      <c r="C6891">
        <v>201912</v>
      </c>
      <c r="D6891" t="str">
        <f t="shared" si="107"/>
        <v>2019</v>
      </c>
      <c r="E6891">
        <v>16</v>
      </c>
      <c r="F6891">
        <v>140222</v>
      </c>
      <c r="G6891">
        <v>0.01</v>
      </c>
      <c r="H6891" t="s">
        <v>10</v>
      </c>
      <c r="I6891" t="s">
        <v>11</v>
      </c>
    </row>
    <row r="6892" spans="1:9" hidden="1" x14ac:dyDescent="0.25">
      <c r="A6892" t="s">
        <v>17</v>
      </c>
      <c r="B6892" t="s">
        <v>176</v>
      </c>
      <c r="C6892">
        <v>202001</v>
      </c>
      <c r="D6892" t="str">
        <f t="shared" si="107"/>
        <v>2020</v>
      </c>
      <c r="E6892">
        <v>1</v>
      </c>
      <c r="F6892">
        <v>140222</v>
      </c>
      <c r="G6892">
        <v>0</v>
      </c>
      <c r="H6892" t="s">
        <v>10</v>
      </c>
      <c r="I6892" t="s">
        <v>11</v>
      </c>
    </row>
    <row r="6893" spans="1:9" hidden="1" x14ac:dyDescent="0.25">
      <c r="A6893" t="s">
        <v>17</v>
      </c>
      <c r="B6893" t="s">
        <v>176</v>
      </c>
      <c r="C6893">
        <v>202107</v>
      </c>
      <c r="D6893" t="str">
        <f t="shared" si="107"/>
        <v>2021</v>
      </c>
      <c r="E6893">
        <v>2</v>
      </c>
      <c r="F6893">
        <v>140222</v>
      </c>
      <c r="G6893">
        <v>0</v>
      </c>
      <c r="H6893" t="s">
        <v>10</v>
      </c>
      <c r="I6893" t="s">
        <v>11</v>
      </c>
    </row>
    <row r="6894" spans="1:9" hidden="1" x14ac:dyDescent="0.25">
      <c r="A6894" t="s">
        <v>17</v>
      </c>
      <c r="B6894" t="s">
        <v>176</v>
      </c>
      <c r="C6894">
        <v>202109</v>
      </c>
      <c r="D6894" t="str">
        <f t="shared" si="107"/>
        <v>2021</v>
      </c>
      <c r="E6894">
        <v>3</v>
      </c>
      <c r="F6894">
        <v>140222</v>
      </c>
      <c r="G6894">
        <v>0</v>
      </c>
      <c r="H6894" t="s">
        <v>10</v>
      </c>
      <c r="I6894" t="s">
        <v>11</v>
      </c>
    </row>
    <row r="6895" spans="1:9" hidden="1" x14ac:dyDescent="0.25">
      <c r="A6895" t="s">
        <v>17</v>
      </c>
      <c r="B6895" t="s">
        <v>176</v>
      </c>
      <c r="C6895">
        <v>202110</v>
      </c>
      <c r="D6895" t="str">
        <f t="shared" si="107"/>
        <v>2021</v>
      </c>
      <c r="E6895">
        <v>12</v>
      </c>
      <c r="F6895">
        <v>140222</v>
      </c>
      <c r="G6895">
        <v>0.01</v>
      </c>
      <c r="H6895" t="s">
        <v>10</v>
      </c>
      <c r="I6895" t="s">
        <v>11</v>
      </c>
    </row>
    <row r="6896" spans="1:9" hidden="1" x14ac:dyDescent="0.25">
      <c r="A6896" t="s">
        <v>17</v>
      </c>
      <c r="B6896" t="s">
        <v>176</v>
      </c>
      <c r="C6896">
        <v>202111</v>
      </c>
      <c r="D6896" t="str">
        <f t="shared" si="107"/>
        <v>2021</v>
      </c>
      <c r="E6896">
        <v>4</v>
      </c>
      <c r="F6896">
        <v>140222</v>
      </c>
      <c r="G6896">
        <v>0</v>
      </c>
      <c r="H6896" t="s">
        <v>10</v>
      </c>
      <c r="I6896" t="s">
        <v>11</v>
      </c>
    </row>
    <row r="6897" spans="1:9" hidden="1" x14ac:dyDescent="0.25">
      <c r="A6897" t="s">
        <v>17</v>
      </c>
      <c r="B6897" t="s">
        <v>176</v>
      </c>
      <c r="C6897">
        <v>202201</v>
      </c>
      <c r="D6897" t="str">
        <f t="shared" si="107"/>
        <v>2022</v>
      </c>
      <c r="E6897">
        <v>2</v>
      </c>
      <c r="F6897">
        <v>140222</v>
      </c>
      <c r="G6897">
        <v>0</v>
      </c>
      <c r="H6897" t="s">
        <v>10</v>
      </c>
      <c r="I6897" t="s">
        <v>11</v>
      </c>
    </row>
    <row r="6898" spans="1:9" hidden="1" x14ac:dyDescent="0.25">
      <c r="A6898" t="s">
        <v>17</v>
      </c>
      <c r="B6898" t="s">
        <v>176</v>
      </c>
      <c r="C6898">
        <v>202203</v>
      </c>
      <c r="D6898" t="str">
        <f t="shared" si="107"/>
        <v>2022</v>
      </c>
      <c r="E6898">
        <v>3</v>
      </c>
      <c r="F6898">
        <v>140222</v>
      </c>
      <c r="G6898">
        <v>0</v>
      </c>
      <c r="H6898" t="s">
        <v>10</v>
      </c>
      <c r="I6898" t="s">
        <v>11</v>
      </c>
    </row>
    <row r="6899" spans="1:9" hidden="1" x14ac:dyDescent="0.25">
      <c r="A6899" t="s">
        <v>17</v>
      </c>
      <c r="B6899" t="s">
        <v>176</v>
      </c>
      <c r="C6899">
        <v>202204</v>
      </c>
      <c r="D6899" t="str">
        <f t="shared" si="107"/>
        <v>2022</v>
      </c>
      <c r="E6899">
        <v>3</v>
      </c>
      <c r="F6899">
        <v>140222</v>
      </c>
      <c r="G6899">
        <v>0</v>
      </c>
      <c r="H6899" t="s">
        <v>10</v>
      </c>
      <c r="I6899" t="s">
        <v>11</v>
      </c>
    </row>
    <row r="6900" spans="1:9" hidden="1" x14ac:dyDescent="0.25">
      <c r="A6900" t="s">
        <v>17</v>
      </c>
      <c r="B6900" t="s">
        <v>176</v>
      </c>
      <c r="C6900">
        <v>202205</v>
      </c>
      <c r="D6900" t="str">
        <f t="shared" si="107"/>
        <v>2022</v>
      </c>
      <c r="E6900">
        <v>26</v>
      </c>
      <c r="F6900">
        <v>140222</v>
      </c>
      <c r="G6900">
        <v>0.02</v>
      </c>
      <c r="H6900" t="s">
        <v>10</v>
      </c>
      <c r="I6900" t="s">
        <v>11</v>
      </c>
    </row>
    <row r="6901" spans="1:9" hidden="1" x14ac:dyDescent="0.25">
      <c r="A6901" t="s">
        <v>17</v>
      </c>
      <c r="B6901" t="s">
        <v>176</v>
      </c>
      <c r="C6901">
        <v>202206</v>
      </c>
      <c r="D6901" t="str">
        <f t="shared" si="107"/>
        <v>2022</v>
      </c>
      <c r="E6901">
        <v>55</v>
      </c>
      <c r="F6901">
        <v>140222</v>
      </c>
      <c r="G6901">
        <v>0.04</v>
      </c>
      <c r="H6901" t="s">
        <v>10</v>
      </c>
      <c r="I6901" t="s">
        <v>11</v>
      </c>
    </row>
    <row r="6902" spans="1:9" hidden="1" x14ac:dyDescent="0.25">
      <c r="A6902" t="s">
        <v>17</v>
      </c>
      <c r="B6902" t="s">
        <v>176</v>
      </c>
      <c r="C6902">
        <v>202207</v>
      </c>
      <c r="D6902" t="str">
        <f t="shared" si="107"/>
        <v>2022</v>
      </c>
      <c r="E6902">
        <v>106</v>
      </c>
      <c r="F6902">
        <v>140222</v>
      </c>
      <c r="G6902">
        <v>0.08</v>
      </c>
      <c r="H6902" t="s">
        <v>10</v>
      </c>
      <c r="I6902" t="s">
        <v>11</v>
      </c>
    </row>
    <row r="6903" spans="1:9" hidden="1" x14ac:dyDescent="0.25">
      <c r="A6903" t="s">
        <v>17</v>
      </c>
      <c r="B6903" t="s">
        <v>176</v>
      </c>
      <c r="C6903">
        <v>202208</v>
      </c>
      <c r="D6903" t="str">
        <f t="shared" si="107"/>
        <v>2022</v>
      </c>
      <c r="E6903">
        <v>59</v>
      </c>
      <c r="F6903">
        <v>140222</v>
      </c>
      <c r="G6903">
        <v>0.04</v>
      </c>
      <c r="H6903" t="s">
        <v>10</v>
      </c>
      <c r="I6903" t="s">
        <v>11</v>
      </c>
    </row>
    <row r="6904" spans="1:9" hidden="1" x14ac:dyDescent="0.25">
      <c r="A6904" t="s">
        <v>17</v>
      </c>
      <c r="B6904" t="s">
        <v>176</v>
      </c>
      <c r="C6904">
        <v>202209</v>
      </c>
      <c r="D6904" t="str">
        <f t="shared" si="107"/>
        <v>2022</v>
      </c>
      <c r="E6904">
        <v>113</v>
      </c>
      <c r="F6904">
        <v>140222</v>
      </c>
      <c r="G6904">
        <v>0.08</v>
      </c>
      <c r="H6904" t="s">
        <v>10</v>
      </c>
      <c r="I6904" t="s">
        <v>11</v>
      </c>
    </row>
    <row r="6905" spans="1:9" hidden="1" x14ac:dyDescent="0.25">
      <c r="A6905" t="s">
        <v>17</v>
      </c>
      <c r="B6905" t="s">
        <v>176</v>
      </c>
      <c r="C6905">
        <v>202210</v>
      </c>
      <c r="D6905" t="str">
        <f t="shared" si="107"/>
        <v>2022</v>
      </c>
      <c r="E6905">
        <v>64</v>
      </c>
      <c r="F6905">
        <v>140222</v>
      </c>
      <c r="G6905">
        <v>0.05</v>
      </c>
      <c r="H6905" t="s">
        <v>10</v>
      </c>
      <c r="I6905" t="s">
        <v>11</v>
      </c>
    </row>
    <row r="6906" spans="1:9" hidden="1" x14ac:dyDescent="0.25">
      <c r="A6906" t="s">
        <v>17</v>
      </c>
      <c r="B6906" t="s">
        <v>176</v>
      </c>
      <c r="C6906">
        <v>202211</v>
      </c>
      <c r="D6906" t="str">
        <f t="shared" si="107"/>
        <v>2022</v>
      </c>
      <c r="E6906">
        <v>158</v>
      </c>
      <c r="F6906">
        <v>140222</v>
      </c>
      <c r="G6906">
        <v>0.11</v>
      </c>
      <c r="H6906" t="s">
        <v>10</v>
      </c>
      <c r="I6906" t="s">
        <v>11</v>
      </c>
    </row>
    <row r="6907" spans="1:9" hidden="1" x14ac:dyDescent="0.25">
      <c r="A6907" t="s">
        <v>17</v>
      </c>
      <c r="B6907" t="s">
        <v>176</v>
      </c>
      <c r="C6907">
        <v>202212</v>
      </c>
      <c r="D6907" t="str">
        <f t="shared" si="107"/>
        <v>2022</v>
      </c>
      <c r="E6907">
        <v>116</v>
      </c>
      <c r="F6907">
        <v>140222</v>
      </c>
      <c r="G6907">
        <v>0.08</v>
      </c>
      <c r="H6907" t="s">
        <v>10</v>
      </c>
      <c r="I6907" t="s">
        <v>11</v>
      </c>
    </row>
    <row r="6908" spans="1:9" hidden="1" x14ac:dyDescent="0.25">
      <c r="A6908" t="s">
        <v>17</v>
      </c>
      <c r="B6908" t="s">
        <v>176</v>
      </c>
      <c r="C6908">
        <v>202301</v>
      </c>
      <c r="D6908" t="str">
        <f t="shared" si="107"/>
        <v>2023</v>
      </c>
      <c r="E6908">
        <v>10468</v>
      </c>
      <c r="F6908">
        <v>140222</v>
      </c>
      <c r="G6908">
        <v>7.47</v>
      </c>
      <c r="H6908" t="s">
        <v>10</v>
      </c>
      <c r="I6908" t="s">
        <v>11</v>
      </c>
    </row>
    <row r="6909" spans="1:9" hidden="1" x14ac:dyDescent="0.25">
      <c r="A6909" t="s">
        <v>17</v>
      </c>
      <c r="B6909" t="s">
        <v>176</v>
      </c>
      <c r="C6909">
        <v>202302</v>
      </c>
      <c r="D6909" t="str">
        <f t="shared" si="107"/>
        <v>2023</v>
      </c>
      <c r="E6909">
        <v>10030</v>
      </c>
      <c r="F6909">
        <v>140222</v>
      </c>
      <c r="G6909">
        <v>7.15</v>
      </c>
      <c r="H6909" t="s">
        <v>10</v>
      </c>
      <c r="I6909" t="s">
        <v>11</v>
      </c>
    </row>
    <row r="6910" spans="1:9" hidden="1" x14ac:dyDescent="0.25">
      <c r="A6910" t="s">
        <v>17</v>
      </c>
      <c r="B6910" t="s">
        <v>176</v>
      </c>
      <c r="C6910">
        <v>202303</v>
      </c>
      <c r="D6910" t="str">
        <f t="shared" si="107"/>
        <v>2023</v>
      </c>
      <c r="E6910">
        <v>11723</v>
      </c>
      <c r="F6910">
        <v>140222</v>
      </c>
      <c r="G6910">
        <v>8.36</v>
      </c>
      <c r="H6910" t="s">
        <v>10</v>
      </c>
      <c r="I6910" t="s">
        <v>11</v>
      </c>
    </row>
    <row r="6911" spans="1:9" hidden="1" x14ac:dyDescent="0.25">
      <c r="A6911" t="s">
        <v>17</v>
      </c>
      <c r="B6911" t="s">
        <v>176</v>
      </c>
      <c r="C6911">
        <v>202304</v>
      </c>
      <c r="D6911" t="str">
        <f t="shared" si="107"/>
        <v>2023</v>
      </c>
      <c r="E6911">
        <v>9732</v>
      </c>
      <c r="F6911">
        <v>140222</v>
      </c>
      <c r="G6911">
        <v>6.94</v>
      </c>
      <c r="H6911" t="s">
        <v>10</v>
      </c>
      <c r="I6911" t="s">
        <v>11</v>
      </c>
    </row>
    <row r="6912" spans="1:9" hidden="1" x14ac:dyDescent="0.25">
      <c r="A6912" t="s">
        <v>17</v>
      </c>
      <c r="B6912" t="s">
        <v>176</v>
      </c>
      <c r="C6912">
        <v>202305</v>
      </c>
      <c r="D6912" t="str">
        <f t="shared" si="107"/>
        <v>2023</v>
      </c>
      <c r="E6912">
        <v>9724</v>
      </c>
      <c r="F6912">
        <v>140222</v>
      </c>
      <c r="G6912">
        <v>6.93</v>
      </c>
      <c r="H6912" t="s">
        <v>10</v>
      </c>
      <c r="I6912" t="s">
        <v>11</v>
      </c>
    </row>
    <row r="6913" spans="1:9" hidden="1" x14ac:dyDescent="0.25">
      <c r="A6913" t="s">
        <v>17</v>
      </c>
      <c r="B6913" t="s">
        <v>176</v>
      </c>
      <c r="C6913">
        <v>202306</v>
      </c>
      <c r="D6913" t="str">
        <f t="shared" si="107"/>
        <v>2023</v>
      </c>
      <c r="E6913">
        <v>9667</v>
      </c>
      <c r="F6913">
        <v>140222</v>
      </c>
      <c r="G6913">
        <v>6.89</v>
      </c>
      <c r="H6913" t="s">
        <v>10</v>
      </c>
      <c r="I6913" t="s">
        <v>11</v>
      </c>
    </row>
    <row r="6914" spans="1:9" hidden="1" x14ac:dyDescent="0.25">
      <c r="A6914" t="s">
        <v>17</v>
      </c>
      <c r="B6914" t="s">
        <v>176</v>
      </c>
      <c r="C6914">
        <v>202307</v>
      </c>
      <c r="D6914" t="str">
        <f t="shared" si="107"/>
        <v>2023</v>
      </c>
      <c r="E6914">
        <v>7534</v>
      </c>
      <c r="F6914">
        <v>140222</v>
      </c>
      <c r="G6914">
        <v>5.37</v>
      </c>
      <c r="H6914" t="s">
        <v>10</v>
      </c>
      <c r="I6914" t="s">
        <v>11</v>
      </c>
    </row>
    <row r="6915" spans="1:9" hidden="1" x14ac:dyDescent="0.25">
      <c r="A6915" t="s">
        <v>17</v>
      </c>
      <c r="B6915" t="s">
        <v>176</v>
      </c>
      <c r="C6915">
        <v>202308</v>
      </c>
      <c r="D6915" t="str">
        <f t="shared" ref="D6915:D6978" si="108">LEFT(C6915,4)</f>
        <v>2023</v>
      </c>
      <c r="E6915">
        <v>800</v>
      </c>
      <c r="F6915">
        <v>140222</v>
      </c>
      <c r="G6915">
        <v>0.56999999999999995</v>
      </c>
      <c r="H6915" t="s">
        <v>10</v>
      </c>
      <c r="I6915" t="s">
        <v>11</v>
      </c>
    </row>
    <row r="6916" spans="1:9" hidden="1" x14ac:dyDescent="0.25">
      <c r="A6916" t="s">
        <v>17</v>
      </c>
      <c r="B6916" t="s">
        <v>176</v>
      </c>
      <c r="C6916">
        <v>202309</v>
      </c>
      <c r="D6916" t="str">
        <f t="shared" si="108"/>
        <v>2023</v>
      </c>
      <c r="E6916">
        <v>1127</v>
      </c>
      <c r="F6916">
        <v>140222</v>
      </c>
      <c r="G6916">
        <v>0.8</v>
      </c>
      <c r="H6916" t="s">
        <v>10</v>
      </c>
      <c r="I6916" t="s">
        <v>11</v>
      </c>
    </row>
    <row r="6917" spans="1:9" hidden="1" x14ac:dyDescent="0.25">
      <c r="A6917" t="s">
        <v>17</v>
      </c>
      <c r="B6917" t="s">
        <v>176</v>
      </c>
      <c r="C6917">
        <v>202310</v>
      </c>
      <c r="D6917" t="str">
        <f t="shared" si="108"/>
        <v>2023</v>
      </c>
      <c r="E6917">
        <v>1065</v>
      </c>
      <c r="F6917">
        <v>140222</v>
      </c>
      <c r="G6917">
        <v>0.76</v>
      </c>
      <c r="H6917" t="s">
        <v>10</v>
      </c>
      <c r="I6917" t="s">
        <v>11</v>
      </c>
    </row>
    <row r="6918" spans="1:9" hidden="1" x14ac:dyDescent="0.25">
      <c r="A6918" t="s">
        <v>17</v>
      </c>
      <c r="B6918" t="s">
        <v>176</v>
      </c>
      <c r="C6918">
        <v>202311</v>
      </c>
      <c r="D6918" t="str">
        <f t="shared" si="108"/>
        <v>2023</v>
      </c>
      <c r="E6918">
        <v>2240</v>
      </c>
      <c r="F6918">
        <v>140222</v>
      </c>
      <c r="G6918">
        <v>1.6</v>
      </c>
      <c r="H6918" t="s">
        <v>10</v>
      </c>
      <c r="I6918" t="s">
        <v>11</v>
      </c>
    </row>
    <row r="6919" spans="1:9" hidden="1" x14ac:dyDescent="0.25">
      <c r="A6919" t="s">
        <v>17</v>
      </c>
      <c r="B6919" t="s">
        <v>176</v>
      </c>
      <c r="C6919">
        <v>202312</v>
      </c>
      <c r="D6919" t="str">
        <f t="shared" si="108"/>
        <v>2023</v>
      </c>
      <c r="E6919">
        <v>2326</v>
      </c>
      <c r="F6919">
        <v>140222</v>
      </c>
      <c r="G6919">
        <v>1.66</v>
      </c>
      <c r="H6919" t="s">
        <v>10</v>
      </c>
      <c r="I6919" t="s">
        <v>11</v>
      </c>
    </row>
    <row r="6920" spans="1:9" hidden="1" x14ac:dyDescent="0.25">
      <c r="A6920" t="s">
        <v>17</v>
      </c>
      <c r="B6920" t="s">
        <v>176</v>
      </c>
      <c r="C6920">
        <v>202401</v>
      </c>
      <c r="D6920" t="str">
        <f t="shared" si="108"/>
        <v>2024</v>
      </c>
      <c r="E6920">
        <v>6832</v>
      </c>
      <c r="F6920">
        <v>140222</v>
      </c>
      <c r="G6920">
        <v>4.87</v>
      </c>
      <c r="H6920" t="s">
        <v>10</v>
      </c>
      <c r="I6920" t="s">
        <v>11</v>
      </c>
    </row>
    <row r="6921" spans="1:9" hidden="1" x14ac:dyDescent="0.25">
      <c r="A6921" t="s">
        <v>17</v>
      </c>
      <c r="B6921" t="s">
        <v>176</v>
      </c>
      <c r="C6921">
        <v>202402</v>
      </c>
      <c r="D6921" t="str">
        <f t="shared" si="108"/>
        <v>2024</v>
      </c>
      <c r="E6921">
        <v>32242</v>
      </c>
      <c r="F6921">
        <v>140222</v>
      </c>
      <c r="G6921">
        <v>22.99</v>
      </c>
      <c r="H6921" t="s">
        <v>10</v>
      </c>
      <c r="I6921" t="s">
        <v>11</v>
      </c>
    </row>
    <row r="6922" spans="1:9" hidden="1" x14ac:dyDescent="0.25">
      <c r="A6922" t="s">
        <v>17</v>
      </c>
      <c r="B6922" t="s">
        <v>176</v>
      </c>
      <c r="C6922">
        <v>202403</v>
      </c>
      <c r="D6922" t="str">
        <f t="shared" si="108"/>
        <v>2024</v>
      </c>
      <c r="E6922">
        <v>23965</v>
      </c>
      <c r="F6922">
        <v>140222</v>
      </c>
      <c r="G6922">
        <v>17.09</v>
      </c>
      <c r="H6922" t="s">
        <v>10</v>
      </c>
      <c r="I6922" t="s">
        <v>11</v>
      </c>
    </row>
    <row r="6923" spans="1:9" hidden="1" x14ac:dyDescent="0.25">
      <c r="A6923" t="s">
        <v>17</v>
      </c>
      <c r="B6923" t="s">
        <v>73</v>
      </c>
      <c r="C6923">
        <v>201611</v>
      </c>
      <c r="D6923" t="str">
        <f t="shared" si="108"/>
        <v>2016</v>
      </c>
      <c r="E6923">
        <v>2</v>
      </c>
      <c r="F6923">
        <v>72429</v>
      </c>
      <c r="G6923">
        <v>0</v>
      </c>
      <c r="H6923" t="s">
        <v>10</v>
      </c>
      <c r="I6923" t="s">
        <v>11</v>
      </c>
    </row>
    <row r="6924" spans="1:9" hidden="1" x14ac:dyDescent="0.25">
      <c r="A6924" t="s">
        <v>17</v>
      </c>
      <c r="B6924" t="s">
        <v>73</v>
      </c>
      <c r="C6924">
        <v>201703</v>
      </c>
      <c r="D6924" t="str">
        <f t="shared" si="108"/>
        <v>2017</v>
      </c>
      <c r="E6924">
        <v>3</v>
      </c>
      <c r="F6924">
        <v>72429</v>
      </c>
      <c r="G6924">
        <v>0</v>
      </c>
      <c r="H6924" t="s">
        <v>10</v>
      </c>
      <c r="I6924" t="s">
        <v>11</v>
      </c>
    </row>
    <row r="6925" spans="1:9" hidden="1" x14ac:dyDescent="0.25">
      <c r="A6925" t="s">
        <v>17</v>
      </c>
      <c r="B6925" t="s">
        <v>73</v>
      </c>
      <c r="C6925">
        <v>201807</v>
      </c>
      <c r="D6925" t="str">
        <f t="shared" si="108"/>
        <v>2018</v>
      </c>
      <c r="E6925">
        <v>15</v>
      </c>
      <c r="F6925">
        <v>72429</v>
      </c>
      <c r="G6925">
        <v>0.02</v>
      </c>
      <c r="H6925" t="s">
        <v>10</v>
      </c>
      <c r="I6925" t="s">
        <v>11</v>
      </c>
    </row>
    <row r="6926" spans="1:9" hidden="1" x14ac:dyDescent="0.25">
      <c r="A6926" t="s">
        <v>17</v>
      </c>
      <c r="B6926" t="s">
        <v>73</v>
      </c>
      <c r="C6926">
        <v>201808</v>
      </c>
      <c r="D6926" t="str">
        <f t="shared" si="108"/>
        <v>2018</v>
      </c>
      <c r="E6926">
        <v>2</v>
      </c>
      <c r="F6926">
        <v>72429</v>
      </c>
      <c r="G6926">
        <v>0</v>
      </c>
      <c r="H6926" t="s">
        <v>10</v>
      </c>
      <c r="I6926" t="s">
        <v>11</v>
      </c>
    </row>
    <row r="6927" spans="1:9" hidden="1" x14ac:dyDescent="0.25">
      <c r="A6927" t="s">
        <v>17</v>
      </c>
      <c r="B6927" t="s">
        <v>73</v>
      </c>
      <c r="C6927">
        <v>201812</v>
      </c>
      <c r="D6927" t="str">
        <f t="shared" si="108"/>
        <v>2018</v>
      </c>
      <c r="E6927">
        <v>12</v>
      </c>
      <c r="F6927">
        <v>72429</v>
      </c>
      <c r="G6927">
        <v>0.02</v>
      </c>
      <c r="H6927" t="s">
        <v>10</v>
      </c>
      <c r="I6927" t="s">
        <v>11</v>
      </c>
    </row>
    <row r="6928" spans="1:9" hidden="1" x14ac:dyDescent="0.25">
      <c r="A6928" t="s">
        <v>17</v>
      </c>
      <c r="B6928" t="s">
        <v>73</v>
      </c>
      <c r="C6928">
        <v>201902</v>
      </c>
      <c r="D6928" t="str">
        <f t="shared" si="108"/>
        <v>2019</v>
      </c>
      <c r="E6928">
        <v>9</v>
      </c>
      <c r="F6928">
        <v>72429</v>
      </c>
      <c r="G6928">
        <v>0.01</v>
      </c>
      <c r="H6928" t="s">
        <v>10</v>
      </c>
      <c r="I6928" t="s">
        <v>11</v>
      </c>
    </row>
    <row r="6929" spans="1:9" hidden="1" x14ac:dyDescent="0.25">
      <c r="A6929" t="s">
        <v>17</v>
      </c>
      <c r="B6929" t="s">
        <v>73</v>
      </c>
      <c r="C6929">
        <v>202002</v>
      </c>
      <c r="D6929" t="str">
        <f t="shared" si="108"/>
        <v>2020</v>
      </c>
      <c r="E6929">
        <v>25</v>
      </c>
      <c r="F6929">
        <v>72429</v>
      </c>
      <c r="G6929">
        <v>0.03</v>
      </c>
      <c r="H6929" t="s">
        <v>10</v>
      </c>
      <c r="I6929" t="s">
        <v>11</v>
      </c>
    </row>
    <row r="6930" spans="1:9" hidden="1" x14ac:dyDescent="0.25">
      <c r="A6930" t="s">
        <v>17</v>
      </c>
      <c r="B6930" t="s">
        <v>73</v>
      </c>
      <c r="C6930">
        <v>202005</v>
      </c>
      <c r="D6930" t="str">
        <f t="shared" si="108"/>
        <v>2020</v>
      </c>
      <c r="E6930">
        <v>5</v>
      </c>
      <c r="F6930">
        <v>72429</v>
      </c>
      <c r="G6930">
        <v>0.01</v>
      </c>
      <c r="H6930" t="s">
        <v>10</v>
      </c>
      <c r="I6930" t="s">
        <v>11</v>
      </c>
    </row>
    <row r="6931" spans="1:9" hidden="1" x14ac:dyDescent="0.25">
      <c r="A6931" t="s">
        <v>17</v>
      </c>
      <c r="B6931" t="s">
        <v>73</v>
      </c>
      <c r="C6931">
        <v>202006</v>
      </c>
      <c r="D6931" t="str">
        <f t="shared" si="108"/>
        <v>2020</v>
      </c>
      <c r="E6931">
        <v>46</v>
      </c>
      <c r="F6931">
        <v>72429</v>
      </c>
      <c r="G6931">
        <v>0.06</v>
      </c>
      <c r="H6931" t="s">
        <v>10</v>
      </c>
      <c r="I6931" t="s">
        <v>11</v>
      </c>
    </row>
    <row r="6932" spans="1:9" hidden="1" x14ac:dyDescent="0.25">
      <c r="A6932" t="s">
        <v>17</v>
      </c>
      <c r="B6932" t="s">
        <v>73</v>
      </c>
      <c r="C6932">
        <v>202108</v>
      </c>
      <c r="D6932" t="str">
        <f t="shared" si="108"/>
        <v>2021</v>
      </c>
      <c r="E6932">
        <v>4</v>
      </c>
      <c r="F6932">
        <v>72429</v>
      </c>
      <c r="G6932">
        <v>0.01</v>
      </c>
      <c r="H6932" t="s">
        <v>10</v>
      </c>
      <c r="I6932" t="s">
        <v>11</v>
      </c>
    </row>
    <row r="6933" spans="1:9" hidden="1" x14ac:dyDescent="0.25">
      <c r="A6933" t="s">
        <v>17</v>
      </c>
      <c r="B6933" t="s">
        <v>73</v>
      </c>
      <c r="C6933">
        <v>202112</v>
      </c>
      <c r="D6933" t="str">
        <f t="shared" si="108"/>
        <v>2021</v>
      </c>
      <c r="E6933">
        <v>2</v>
      </c>
      <c r="F6933">
        <v>72429</v>
      </c>
      <c r="G6933">
        <v>0</v>
      </c>
      <c r="H6933" t="s">
        <v>10</v>
      </c>
      <c r="I6933" t="s">
        <v>11</v>
      </c>
    </row>
    <row r="6934" spans="1:9" hidden="1" x14ac:dyDescent="0.25">
      <c r="A6934" t="s">
        <v>17</v>
      </c>
      <c r="B6934" t="s">
        <v>73</v>
      </c>
      <c r="C6934">
        <v>202201</v>
      </c>
      <c r="D6934" t="str">
        <f t="shared" si="108"/>
        <v>2022</v>
      </c>
      <c r="E6934">
        <v>40</v>
      </c>
      <c r="F6934">
        <v>72429</v>
      </c>
      <c r="G6934">
        <v>0.06</v>
      </c>
      <c r="H6934" t="s">
        <v>10</v>
      </c>
      <c r="I6934" t="s">
        <v>11</v>
      </c>
    </row>
    <row r="6935" spans="1:9" hidden="1" x14ac:dyDescent="0.25">
      <c r="A6935" t="s">
        <v>17</v>
      </c>
      <c r="B6935" t="s">
        <v>73</v>
      </c>
      <c r="C6935">
        <v>202202</v>
      </c>
      <c r="D6935" t="str">
        <f t="shared" si="108"/>
        <v>2022</v>
      </c>
      <c r="E6935">
        <v>1</v>
      </c>
      <c r="F6935">
        <v>72429</v>
      </c>
      <c r="G6935">
        <v>0</v>
      </c>
      <c r="H6935" t="s">
        <v>10</v>
      </c>
      <c r="I6935" t="s">
        <v>11</v>
      </c>
    </row>
    <row r="6936" spans="1:9" hidden="1" x14ac:dyDescent="0.25">
      <c r="A6936" t="s">
        <v>17</v>
      </c>
      <c r="B6936" t="s">
        <v>73</v>
      </c>
      <c r="C6936">
        <v>202203</v>
      </c>
      <c r="D6936" t="str">
        <f t="shared" si="108"/>
        <v>2022</v>
      </c>
      <c r="E6936">
        <v>26</v>
      </c>
      <c r="F6936">
        <v>72429</v>
      </c>
      <c r="G6936">
        <v>0.04</v>
      </c>
      <c r="H6936" t="s">
        <v>10</v>
      </c>
      <c r="I6936" t="s">
        <v>11</v>
      </c>
    </row>
    <row r="6937" spans="1:9" hidden="1" x14ac:dyDescent="0.25">
      <c r="A6937" t="s">
        <v>17</v>
      </c>
      <c r="B6937" t="s">
        <v>73</v>
      </c>
      <c r="C6937">
        <v>202204</v>
      </c>
      <c r="D6937" t="str">
        <f t="shared" si="108"/>
        <v>2022</v>
      </c>
      <c r="E6937">
        <v>34</v>
      </c>
      <c r="F6937">
        <v>72429</v>
      </c>
      <c r="G6937">
        <v>0.05</v>
      </c>
      <c r="H6937" t="s">
        <v>10</v>
      </c>
      <c r="I6937" t="s">
        <v>11</v>
      </c>
    </row>
    <row r="6938" spans="1:9" hidden="1" x14ac:dyDescent="0.25">
      <c r="A6938" t="s">
        <v>17</v>
      </c>
      <c r="B6938" t="s">
        <v>73</v>
      </c>
      <c r="C6938">
        <v>202205</v>
      </c>
      <c r="D6938" t="str">
        <f t="shared" si="108"/>
        <v>2022</v>
      </c>
      <c r="E6938">
        <v>6</v>
      </c>
      <c r="F6938">
        <v>72429</v>
      </c>
      <c r="G6938">
        <v>0.01</v>
      </c>
      <c r="H6938" t="s">
        <v>10</v>
      </c>
      <c r="I6938" t="s">
        <v>11</v>
      </c>
    </row>
    <row r="6939" spans="1:9" hidden="1" x14ac:dyDescent="0.25">
      <c r="A6939" t="s">
        <v>17</v>
      </c>
      <c r="B6939" t="s">
        <v>73</v>
      </c>
      <c r="C6939">
        <v>202206</v>
      </c>
      <c r="D6939" t="str">
        <f t="shared" si="108"/>
        <v>2022</v>
      </c>
      <c r="E6939">
        <v>28</v>
      </c>
      <c r="F6939">
        <v>72429</v>
      </c>
      <c r="G6939">
        <v>0.04</v>
      </c>
      <c r="H6939" t="s">
        <v>10</v>
      </c>
      <c r="I6939" t="s">
        <v>11</v>
      </c>
    </row>
    <row r="6940" spans="1:9" hidden="1" x14ac:dyDescent="0.25">
      <c r="A6940" t="s">
        <v>17</v>
      </c>
      <c r="B6940" t="s">
        <v>73</v>
      </c>
      <c r="C6940">
        <v>202207</v>
      </c>
      <c r="D6940" t="str">
        <f t="shared" si="108"/>
        <v>2022</v>
      </c>
      <c r="E6940">
        <v>28</v>
      </c>
      <c r="F6940">
        <v>72429</v>
      </c>
      <c r="G6940">
        <v>0.04</v>
      </c>
      <c r="H6940" t="s">
        <v>10</v>
      </c>
      <c r="I6940" t="s">
        <v>11</v>
      </c>
    </row>
    <row r="6941" spans="1:9" hidden="1" x14ac:dyDescent="0.25">
      <c r="A6941" t="s">
        <v>17</v>
      </c>
      <c r="B6941" t="s">
        <v>73</v>
      </c>
      <c r="C6941">
        <v>202208</v>
      </c>
      <c r="D6941" t="str">
        <f t="shared" si="108"/>
        <v>2022</v>
      </c>
      <c r="E6941">
        <v>62</v>
      </c>
      <c r="F6941">
        <v>72429</v>
      </c>
      <c r="G6941">
        <v>0.09</v>
      </c>
      <c r="H6941" t="s">
        <v>10</v>
      </c>
      <c r="I6941" t="s">
        <v>11</v>
      </c>
    </row>
    <row r="6942" spans="1:9" hidden="1" x14ac:dyDescent="0.25">
      <c r="A6942" t="s">
        <v>17</v>
      </c>
      <c r="B6942" t="s">
        <v>73</v>
      </c>
      <c r="C6942">
        <v>202209</v>
      </c>
      <c r="D6942" t="str">
        <f t="shared" si="108"/>
        <v>2022</v>
      </c>
      <c r="E6942">
        <v>49</v>
      </c>
      <c r="F6942">
        <v>72429</v>
      </c>
      <c r="G6942">
        <v>7.0000000000000007E-2</v>
      </c>
      <c r="H6942" t="s">
        <v>10</v>
      </c>
      <c r="I6942" t="s">
        <v>11</v>
      </c>
    </row>
    <row r="6943" spans="1:9" hidden="1" x14ac:dyDescent="0.25">
      <c r="A6943" t="s">
        <v>17</v>
      </c>
      <c r="B6943" t="s">
        <v>73</v>
      </c>
      <c r="C6943">
        <v>202210</v>
      </c>
      <c r="D6943" t="str">
        <f t="shared" si="108"/>
        <v>2022</v>
      </c>
      <c r="E6943">
        <v>45</v>
      </c>
      <c r="F6943">
        <v>72429</v>
      </c>
      <c r="G6943">
        <v>0.06</v>
      </c>
      <c r="H6943" t="s">
        <v>10</v>
      </c>
      <c r="I6943" t="s">
        <v>11</v>
      </c>
    </row>
    <row r="6944" spans="1:9" hidden="1" x14ac:dyDescent="0.25">
      <c r="A6944" t="s">
        <v>17</v>
      </c>
      <c r="B6944" t="s">
        <v>73</v>
      </c>
      <c r="C6944">
        <v>202211</v>
      </c>
      <c r="D6944" t="str">
        <f t="shared" si="108"/>
        <v>2022</v>
      </c>
      <c r="E6944">
        <v>25</v>
      </c>
      <c r="F6944">
        <v>72429</v>
      </c>
      <c r="G6944">
        <v>0.03</v>
      </c>
      <c r="H6944" t="s">
        <v>10</v>
      </c>
      <c r="I6944" t="s">
        <v>11</v>
      </c>
    </row>
    <row r="6945" spans="1:9" hidden="1" x14ac:dyDescent="0.25">
      <c r="A6945" t="s">
        <v>17</v>
      </c>
      <c r="B6945" t="s">
        <v>73</v>
      </c>
      <c r="C6945">
        <v>202212</v>
      </c>
      <c r="D6945" t="str">
        <f t="shared" si="108"/>
        <v>2022</v>
      </c>
      <c r="E6945">
        <v>82</v>
      </c>
      <c r="F6945">
        <v>72429</v>
      </c>
      <c r="G6945">
        <v>0.11</v>
      </c>
      <c r="H6945" t="s">
        <v>10</v>
      </c>
      <c r="I6945" t="s">
        <v>11</v>
      </c>
    </row>
    <row r="6946" spans="1:9" hidden="1" x14ac:dyDescent="0.25">
      <c r="A6946" t="s">
        <v>17</v>
      </c>
      <c r="B6946" t="s">
        <v>73</v>
      </c>
      <c r="C6946">
        <v>202301</v>
      </c>
      <c r="D6946" t="str">
        <f t="shared" si="108"/>
        <v>2023</v>
      </c>
      <c r="E6946">
        <v>200</v>
      </c>
      <c r="F6946">
        <v>72429</v>
      </c>
      <c r="G6946">
        <v>0.28000000000000003</v>
      </c>
      <c r="H6946" t="s">
        <v>10</v>
      </c>
      <c r="I6946" t="s">
        <v>11</v>
      </c>
    </row>
    <row r="6947" spans="1:9" hidden="1" x14ac:dyDescent="0.25">
      <c r="A6947" t="s">
        <v>17</v>
      </c>
      <c r="B6947" t="s">
        <v>73</v>
      </c>
      <c r="C6947">
        <v>202302</v>
      </c>
      <c r="D6947" t="str">
        <f t="shared" si="108"/>
        <v>2023</v>
      </c>
      <c r="E6947">
        <v>233</v>
      </c>
      <c r="F6947">
        <v>72429</v>
      </c>
      <c r="G6947">
        <v>0.32</v>
      </c>
      <c r="H6947" t="s">
        <v>10</v>
      </c>
      <c r="I6947" t="s">
        <v>11</v>
      </c>
    </row>
    <row r="6948" spans="1:9" hidden="1" x14ac:dyDescent="0.25">
      <c r="A6948" t="s">
        <v>17</v>
      </c>
      <c r="B6948" t="s">
        <v>73</v>
      </c>
      <c r="C6948">
        <v>202303</v>
      </c>
      <c r="D6948" t="str">
        <f t="shared" si="108"/>
        <v>2023</v>
      </c>
      <c r="E6948">
        <v>250</v>
      </c>
      <c r="F6948">
        <v>72429</v>
      </c>
      <c r="G6948">
        <v>0.35</v>
      </c>
      <c r="H6948" t="s">
        <v>10</v>
      </c>
      <c r="I6948" t="s">
        <v>11</v>
      </c>
    </row>
    <row r="6949" spans="1:9" hidden="1" x14ac:dyDescent="0.25">
      <c r="A6949" t="s">
        <v>17</v>
      </c>
      <c r="B6949" t="s">
        <v>73</v>
      </c>
      <c r="C6949">
        <v>202304</v>
      </c>
      <c r="D6949" t="str">
        <f t="shared" si="108"/>
        <v>2023</v>
      </c>
      <c r="E6949">
        <v>253</v>
      </c>
      <c r="F6949">
        <v>72429</v>
      </c>
      <c r="G6949">
        <v>0.35</v>
      </c>
      <c r="H6949" t="s">
        <v>10</v>
      </c>
      <c r="I6949" t="s">
        <v>11</v>
      </c>
    </row>
    <row r="6950" spans="1:9" hidden="1" x14ac:dyDescent="0.25">
      <c r="A6950" t="s">
        <v>17</v>
      </c>
      <c r="B6950" t="s">
        <v>73</v>
      </c>
      <c r="C6950">
        <v>202305</v>
      </c>
      <c r="D6950" t="str">
        <f t="shared" si="108"/>
        <v>2023</v>
      </c>
      <c r="E6950">
        <v>379</v>
      </c>
      <c r="F6950">
        <v>72429</v>
      </c>
      <c r="G6950">
        <v>0.52</v>
      </c>
      <c r="H6950" t="s">
        <v>10</v>
      </c>
      <c r="I6950" t="s">
        <v>11</v>
      </c>
    </row>
    <row r="6951" spans="1:9" hidden="1" x14ac:dyDescent="0.25">
      <c r="A6951" t="s">
        <v>17</v>
      </c>
      <c r="B6951" t="s">
        <v>73</v>
      </c>
      <c r="C6951">
        <v>202306</v>
      </c>
      <c r="D6951" t="str">
        <f t="shared" si="108"/>
        <v>2023</v>
      </c>
      <c r="E6951">
        <v>364</v>
      </c>
      <c r="F6951">
        <v>72429</v>
      </c>
      <c r="G6951">
        <v>0.5</v>
      </c>
      <c r="H6951" t="s">
        <v>10</v>
      </c>
      <c r="I6951" t="s">
        <v>11</v>
      </c>
    </row>
    <row r="6952" spans="1:9" hidden="1" x14ac:dyDescent="0.25">
      <c r="A6952" t="s">
        <v>17</v>
      </c>
      <c r="B6952" t="s">
        <v>73</v>
      </c>
      <c r="C6952">
        <v>202307</v>
      </c>
      <c r="D6952" t="str">
        <f t="shared" si="108"/>
        <v>2023</v>
      </c>
      <c r="E6952">
        <v>410</v>
      </c>
      <c r="F6952">
        <v>72429</v>
      </c>
      <c r="G6952">
        <v>0.56999999999999995</v>
      </c>
      <c r="H6952" t="s">
        <v>10</v>
      </c>
      <c r="I6952" t="s">
        <v>11</v>
      </c>
    </row>
    <row r="6953" spans="1:9" hidden="1" x14ac:dyDescent="0.25">
      <c r="A6953" t="s">
        <v>17</v>
      </c>
      <c r="B6953" t="s">
        <v>73</v>
      </c>
      <c r="C6953">
        <v>202308</v>
      </c>
      <c r="D6953" t="str">
        <f t="shared" si="108"/>
        <v>2023</v>
      </c>
      <c r="E6953">
        <v>365</v>
      </c>
      <c r="F6953">
        <v>72429</v>
      </c>
      <c r="G6953">
        <v>0.5</v>
      </c>
      <c r="H6953" t="s">
        <v>10</v>
      </c>
      <c r="I6953" t="s">
        <v>11</v>
      </c>
    </row>
    <row r="6954" spans="1:9" hidden="1" x14ac:dyDescent="0.25">
      <c r="A6954" t="s">
        <v>17</v>
      </c>
      <c r="B6954" t="s">
        <v>73</v>
      </c>
      <c r="C6954">
        <v>202309</v>
      </c>
      <c r="D6954" t="str">
        <f t="shared" si="108"/>
        <v>2023</v>
      </c>
      <c r="E6954">
        <v>670</v>
      </c>
      <c r="F6954">
        <v>72429</v>
      </c>
      <c r="G6954">
        <v>0.93</v>
      </c>
      <c r="H6954" t="s">
        <v>10</v>
      </c>
      <c r="I6954" t="s">
        <v>11</v>
      </c>
    </row>
    <row r="6955" spans="1:9" hidden="1" x14ac:dyDescent="0.25">
      <c r="A6955" t="s">
        <v>17</v>
      </c>
      <c r="B6955" t="s">
        <v>73</v>
      </c>
      <c r="C6955">
        <v>202310</v>
      </c>
      <c r="D6955" t="str">
        <f t="shared" si="108"/>
        <v>2023</v>
      </c>
      <c r="E6955">
        <v>979</v>
      </c>
      <c r="F6955">
        <v>72429</v>
      </c>
      <c r="G6955">
        <v>1.35</v>
      </c>
      <c r="H6955" t="s">
        <v>10</v>
      </c>
      <c r="I6955" t="s">
        <v>11</v>
      </c>
    </row>
    <row r="6956" spans="1:9" hidden="1" x14ac:dyDescent="0.25">
      <c r="A6956" t="s">
        <v>17</v>
      </c>
      <c r="B6956" t="s">
        <v>73</v>
      </c>
      <c r="C6956">
        <v>202311</v>
      </c>
      <c r="D6956" t="str">
        <f t="shared" si="108"/>
        <v>2023</v>
      </c>
      <c r="E6956">
        <v>797</v>
      </c>
      <c r="F6956">
        <v>72429</v>
      </c>
      <c r="G6956">
        <v>1.1000000000000001</v>
      </c>
      <c r="H6956" t="s">
        <v>10</v>
      </c>
      <c r="I6956" t="s">
        <v>11</v>
      </c>
    </row>
    <row r="6957" spans="1:9" hidden="1" x14ac:dyDescent="0.25">
      <c r="A6957" t="s">
        <v>17</v>
      </c>
      <c r="B6957" t="s">
        <v>73</v>
      </c>
      <c r="C6957">
        <v>202312</v>
      </c>
      <c r="D6957" t="str">
        <f t="shared" si="108"/>
        <v>2023</v>
      </c>
      <c r="E6957">
        <v>841</v>
      </c>
      <c r="F6957">
        <v>72429</v>
      </c>
      <c r="G6957">
        <v>1.1599999999999999</v>
      </c>
      <c r="H6957" t="s">
        <v>10</v>
      </c>
      <c r="I6957" t="s">
        <v>11</v>
      </c>
    </row>
    <row r="6958" spans="1:9" hidden="1" x14ac:dyDescent="0.25">
      <c r="A6958" t="s">
        <v>17</v>
      </c>
      <c r="B6958" t="s">
        <v>73</v>
      </c>
      <c r="C6958">
        <v>202401</v>
      </c>
      <c r="D6958" t="str">
        <f t="shared" si="108"/>
        <v>2024</v>
      </c>
      <c r="E6958">
        <v>2124</v>
      </c>
      <c r="F6958">
        <v>72429</v>
      </c>
      <c r="G6958">
        <v>2.93</v>
      </c>
      <c r="H6958" t="s">
        <v>10</v>
      </c>
      <c r="I6958" t="s">
        <v>11</v>
      </c>
    </row>
    <row r="6959" spans="1:9" hidden="1" x14ac:dyDescent="0.25">
      <c r="A6959" t="s">
        <v>17</v>
      </c>
      <c r="B6959" t="s">
        <v>73</v>
      </c>
      <c r="C6959">
        <v>202402</v>
      </c>
      <c r="D6959" t="str">
        <f t="shared" si="108"/>
        <v>2024</v>
      </c>
      <c r="E6959">
        <v>2274</v>
      </c>
      <c r="F6959">
        <v>72429</v>
      </c>
      <c r="G6959">
        <v>3.14</v>
      </c>
      <c r="H6959" t="s">
        <v>10</v>
      </c>
      <c r="I6959" t="s">
        <v>11</v>
      </c>
    </row>
    <row r="6960" spans="1:9" hidden="1" x14ac:dyDescent="0.25">
      <c r="A6960" t="s">
        <v>17</v>
      </c>
      <c r="B6960" t="s">
        <v>73</v>
      </c>
      <c r="C6960">
        <v>202403</v>
      </c>
      <c r="D6960" t="str">
        <f t="shared" si="108"/>
        <v>2024</v>
      </c>
      <c r="E6960">
        <v>4265</v>
      </c>
      <c r="F6960">
        <v>72429</v>
      </c>
      <c r="G6960">
        <v>5.89</v>
      </c>
      <c r="H6960" t="s">
        <v>10</v>
      </c>
      <c r="I6960" t="s">
        <v>11</v>
      </c>
    </row>
    <row r="6961" spans="1:9" hidden="1" x14ac:dyDescent="0.25">
      <c r="A6961" t="s">
        <v>17</v>
      </c>
      <c r="B6961" t="s">
        <v>73</v>
      </c>
      <c r="C6961">
        <v>202404</v>
      </c>
      <c r="D6961" t="str">
        <f t="shared" si="108"/>
        <v>2024</v>
      </c>
      <c r="E6961">
        <v>34032</v>
      </c>
      <c r="F6961">
        <v>72429</v>
      </c>
      <c r="G6961">
        <v>46.99</v>
      </c>
      <c r="H6961" t="s">
        <v>10</v>
      </c>
      <c r="I6961" t="s">
        <v>11</v>
      </c>
    </row>
    <row r="6962" spans="1:9" hidden="1" x14ac:dyDescent="0.25">
      <c r="A6962" t="s">
        <v>17</v>
      </c>
      <c r="B6962" t="s">
        <v>73</v>
      </c>
      <c r="C6962">
        <v>202405</v>
      </c>
      <c r="D6962" t="str">
        <f t="shared" si="108"/>
        <v>2024</v>
      </c>
      <c r="E6962">
        <v>23442</v>
      </c>
      <c r="F6962">
        <v>72429</v>
      </c>
      <c r="G6962">
        <v>32.369999999999997</v>
      </c>
      <c r="H6962" t="s">
        <v>10</v>
      </c>
      <c r="I6962" t="s">
        <v>11</v>
      </c>
    </row>
    <row r="6963" spans="1:9" hidden="1" x14ac:dyDescent="0.25">
      <c r="A6963" t="s">
        <v>17</v>
      </c>
      <c r="B6963" t="s">
        <v>102</v>
      </c>
      <c r="C6963">
        <v>202201</v>
      </c>
      <c r="D6963" t="str">
        <f t="shared" si="108"/>
        <v>2022</v>
      </c>
      <c r="E6963">
        <v>1</v>
      </c>
      <c r="F6963">
        <v>71066</v>
      </c>
      <c r="G6963">
        <v>0</v>
      </c>
      <c r="H6963" t="s">
        <v>10</v>
      </c>
      <c r="I6963" t="s">
        <v>11</v>
      </c>
    </row>
    <row r="6964" spans="1:9" hidden="1" x14ac:dyDescent="0.25">
      <c r="A6964" t="s">
        <v>17</v>
      </c>
      <c r="B6964" t="s">
        <v>102</v>
      </c>
      <c r="C6964">
        <v>202203</v>
      </c>
      <c r="D6964" t="str">
        <f t="shared" si="108"/>
        <v>2022</v>
      </c>
      <c r="E6964">
        <v>1</v>
      </c>
      <c r="F6964">
        <v>71066</v>
      </c>
      <c r="G6964">
        <v>0</v>
      </c>
      <c r="H6964" t="s">
        <v>10</v>
      </c>
      <c r="I6964" t="s">
        <v>11</v>
      </c>
    </row>
    <row r="6965" spans="1:9" hidden="1" x14ac:dyDescent="0.25">
      <c r="A6965" t="s">
        <v>17</v>
      </c>
      <c r="B6965" t="s">
        <v>102</v>
      </c>
      <c r="C6965">
        <v>202204</v>
      </c>
      <c r="D6965" t="str">
        <f t="shared" si="108"/>
        <v>2022</v>
      </c>
      <c r="E6965">
        <v>1</v>
      </c>
      <c r="F6965">
        <v>71066</v>
      </c>
      <c r="G6965">
        <v>0</v>
      </c>
      <c r="H6965" t="s">
        <v>10</v>
      </c>
      <c r="I6965" t="s">
        <v>11</v>
      </c>
    </row>
    <row r="6966" spans="1:9" hidden="1" x14ac:dyDescent="0.25">
      <c r="A6966" t="s">
        <v>17</v>
      </c>
      <c r="B6966" t="s">
        <v>102</v>
      </c>
      <c r="C6966">
        <v>202205</v>
      </c>
      <c r="D6966" t="str">
        <f t="shared" si="108"/>
        <v>2022</v>
      </c>
      <c r="E6966">
        <v>1</v>
      </c>
      <c r="F6966">
        <v>71066</v>
      </c>
      <c r="G6966">
        <v>0</v>
      </c>
      <c r="H6966" t="s">
        <v>10</v>
      </c>
      <c r="I6966" t="s">
        <v>11</v>
      </c>
    </row>
    <row r="6967" spans="1:9" hidden="1" x14ac:dyDescent="0.25">
      <c r="A6967" t="s">
        <v>17</v>
      </c>
      <c r="B6967" t="s">
        <v>102</v>
      </c>
      <c r="C6967">
        <v>202206</v>
      </c>
      <c r="D6967" t="str">
        <f t="shared" si="108"/>
        <v>2022</v>
      </c>
      <c r="E6967">
        <v>21</v>
      </c>
      <c r="F6967">
        <v>71066</v>
      </c>
      <c r="G6967">
        <v>0.03</v>
      </c>
      <c r="H6967" t="s">
        <v>10</v>
      </c>
      <c r="I6967" t="s">
        <v>11</v>
      </c>
    </row>
    <row r="6968" spans="1:9" hidden="1" x14ac:dyDescent="0.25">
      <c r="A6968" t="s">
        <v>17</v>
      </c>
      <c r="B6968" t="s">
        <v>102</v>
      </c>
      <c r="C6968">
        <v>202207</v>
      </c>
      <c r="D6968" t="str">
        <f t="shared" si="108"/>
        <v>2022</v>
      </c>
      <c r="E6968">
        <v>6</v>
      </c>
      <c r="F6968">
        <v>71066</v>
      </c>
      <c r="G6968">
        <v>0.01</v>
      </c>
      <c r="H6968" t="s">
        <v>10</v>
      </c>
      <c r="I6968" t="s">
        <v>11</v>
      </c>
    </row>
    <row r="6969" spans="1:9" hidden="1" x14ac:dyDescent="0.25">
      <c r="A6969" t="s">
        <v>17</v>
      </c>
      <c r="B6969" t="s">
        <v>102</v>
      </c>
      <c r="C6969">
        <v>202208</v>
      </c>
      <c r="D6969" t="str">
        <f t="shared" si="108"/>
        <v>2022</v>
      </c>
      <c r="E6969">
        <v>2</v>
      </c>
      <c r="F6969">
        <v>71066</v>
      </c>
      <c r="G6969">
        <v>0</v>
      </c>
      <c r="H6969" t="s">
        <v>10</v>
      </c>
      <c r="I6969" t="s">
        <v>11</v>
      </c>
    </row>
    <row r="6970" spans="1:9" hidden="1" x14ac:dyDescent="0.25">
      <c r="A6970" t="s">
        <v>17</v>
      </c>
      <c r="B6970" t="s">
        <v>102</v>
      </c>
      <c r="C6970">
        <v>202209</v>
      </c>
      <c r="D6970" t="str">
        <f t="shared" si="108"/>
        <v>2022</v>
      </c>
      <c r="E6970">
        <v>11</v>
      </c>
      <c r="F6970">
        <v>71066</v>
      </c>
      <c r="G6970">
        <v>0.02</v>
      </c>
      <c r="H6970" t="s">
        <v>10</v>
      </c>
      <c r="I6970" t="s">
        <v>11</v>
      </c>
    </row>
    <row r="6971" spans="1:9" hidden="1" x14ac:dyDescent="0.25">
      <c r="A6971" t="s">
        <v>17</v>
      </c>
      <c r="B6971" t="s">
        <v>102</v>
      </c>
      <c r="C6971">
        <v>202210</v>
      </c>
      <c r="D6971" t="str">
        <f t="shared" si="108"/>
        <v>2022</v>
      </c>
      <c r="E6971">
        <v>113</v>
      </c>
      <c r="F6971">
        <v>71066</v>
      </c>
      <c r="G6971">
        <v>0.16</v>
      </c>
      <c r="H6971" t="s">
        <v>10</v>
      </c>
      <c r="I6971" t="s">
        <v>11</v>
      </c>
    </row>
    <row r="6972" spans="1:9" hidden="1" x14ac:dyDescent="0.25">
      <c r="A6972" t="s">
        <v>17</v>
      </c>
      <c r="B6972" t="s">
        <v>102</v>
      </c>
      <c r="C6972">
        <v>202211</v>
      </c>
      <c r="D6972" t="str">
        <f t="shared" si="108"/>
        <v>2022</v>
      </c>
      <c r="E6972">
        <v>43</v>
      </c>
      <c r="F6972">
        <v>71066</v>
      </c>
      <c r="G6972">
        <v>0.06</v>
      </c>
      <c r="H6972" t="s">
        <v>10</v>
      </c>
      <c r="I6972" t="s">
        <v>11</v>
      </c>
    </row>
    <row r="6973" spans="1:9" hidden="1" x14ac:dyDescent="0.25">
      <c r="A6973" t="s">
        <v>17</v>
      </c>
      <c r="B6973" t="s">
        <v>102</v>
      </c>
      <c r="C6973">
        <v>202212</v>
      </c>
      <c r="D6973" t="str">
        <f t="shared" si="108"/>
        <v>2022</v>
      </c>
      <c r="E6973">
        <v>63</v>
      </c>
      <c r="F6973">
        <v>71066</v>
      </c>
      <c r="G6973">
        <v>0.09</v>
      </c>
      <c r="H6973" t="s">
        <v>10</v>
      </c>
      <c r="I6973" t="s">
        <v>11</v>
      </c>
    </row>
    <row r="6974" spans="1:9" hidden="1" x14ac:dyDescent="0.25">
      <c r="A6974" t="s">
        <v>17</v>
      </c>
      <c r="B6974" t="s">
        <v>102</v>
      </c>
      <c r="C6974">
        <v>202301</v>
      </c>
      <c r="D6974" t="str">
        <f t="shared" si="108"/>
        <v>2023</v>
      </c>
      <c r="E6974">
        <v>130</v>
      </c>
      <c r="F6974">
        <v>71066</v>
      </c>
      <c r="G6974">
        <v>0.18</v>
      </c>
      <c r="H6974" t="s">
        <v>10</v>
      </c>
      <c r="I6974" t="s">
        <v>11</v>
      </c>
    </row>
    <row r="6975" spans="1:9" hidden="1" x14ac:dyDescent="0.25">
      <c r="A6975" t="s">
        <v>17</v>
      </c>
      <c r="B6975" t="s">
        <v>102</v>
      </c>
      <c r="C6975">
        <v>202302</v>
      </c>
      <c r="D6975" t="str">
        <f t="shared" si="108"/>
        <v>2023</v>
      </c>
      <c r="E6975">
        <v>101</v>
      </c>
      <c r="F6975">
        <v>71066</v>
      </c>
      <c r="G6975">
        <v>0.14000000000000001</v>
      </c>
      <c r="H6975" t="s">
        <v>10</v>
      </c>
      <c r="I6975" t="s">
        <v>11</v>
      </c>
    </row>
    <row r="6976" spans="1:9" hidden="1" x14ac:dyDescent="0.25">
      <c r="A6976" t="s">
        <v>17</v>
      </c>
      <c r="B6976" t="s">
        <v>102</v>
      </c>
      <c r="C6976">
        <v>202303</v>
      </c>
      <c r="D6976" t="str">
        <f t="shared" si="108"/>
        <v>2023</v>
      </c>
      <c r="E6976">
        <v>125</v>
      </c>
      <c r="F6976">
        <v>71066</v>
      </c>
      <c r="G6976">
        <v>0.18</v>
      </c>
      <c r="H6976" t="s">
        <v>10</v>
      </c>
      <c r="I6976" t="s">
        <v>11</v>
      </c>
    </row>
    <row r="6977" spans="1:9" hidden="1" x14ac:dyDescent="0.25">
      <c r="A6977" t="s">
        <v>17</v>
      </c>
      <c r="B6977" t="s">
        <v>102</v>
      </c>
      <c r="C6977">
        <v>202304</v>
      </c>
      <c r="D6977" t="str">
        <f t="shared" si="108"/>
        <v>2023</v>
      </c>
      <c r="E6977">
        <v>126</v>
      </c>
      <c r="F6977">
        <v>71066</v>
      </c>
      <c r="G6977">
        <v>0.18</v>
      </c>
      <c r="H6977" t="s">
        <v>10</v>
      </c>
      <c r="I6977" t="s">
        <v>11</v>
      </c>
    </row>
    <row r="6978" spans="1:9" hidden="1" x14ac:dyDescent="0.25">
      <c r="A6978" t="s">
        <v>17</v>
      </c>
      <c r="B6978" t="s">
        <v>102</v>
      </c>
      <c r="C6978">
        <v>202305</v>
      </c>
      <c r="D6978" t="str">
        <f t="shared" si="108"/>
        <v>2023</v>
      </c>
      <c r="E6978">
        <v>327</v>
      </c>
      <c r="F6978">
        <v>71066</v>
      </c>
      <c r="G6978">
        <v>0.46</v>
      </c>
      <c r="H6978" t="s">
        <v>10</v>
      </c>
      <c r="I6978" t="s">
        <v>11</v>
      </c>
    </row>
    <row r="6979" spans="1:9" hidden="1" x14ac:dyDescent="0.25">
      <c r="A6979" t="s">
        <v>17</v>
      </c>
      <c r="B6979" t="s">
        <v>102</v>
      </c>
      <c r="C6979">
        <v>202306</v>
      </c>
      <c r="D6979" t="str">
        <f t="shared" ref="D6979:D7042" si="109">LEFT(C6979,4)</f>
        <v>2023</v>
      </c>
      <c r="E6979">
        <v>329</v>
      </c>
      <c r="F6979">
        <v>71066</v>
      </c>
      <c r="G6979">
        <v>0.46</v>
      </c>
      <c r="H6979" t="s">
        <v>10</v>
      </c>
      <c r="I6979" t="s">
        <v>11</v>
      </c>
    </row>
    <row r="6980" spans="1:9" hidden="1" x14ac:dyDescent="0.25">
      <c r="A6980" t="s">
        <v>17</v>
      </c>
      <c r="B6980" t="s">
        <v>102</v>
      </c>
      <c r="C6980">
        <v>202307</v>
      </c>
      <c r="D6980" t="str">
        <f t="shared" si="109"/>
        <v>2023</v>
      </c>
      <c r="E6980">
        <v>399</v>
      </c>
      <c r="F6980">
        <v>71066</v>
      </c>
      <c r="G6980">
        <v>0.56000000000000005</v>
      </c>
      <c r="H6980" t="s">
        <v>10</v>
      </c>
      <c r="I6980" t="s">
        <v>11</v>
      </c>
    </row>
    <row r="6981" spans="1:9" hidden="1" x14ac:dyDescent="0.25">
      <c r="A6981" t="s">
        <v>17</v>
      </c>
      <c r="B6981" t="s">
        <v>102</v>
      </c>
      <c r="C6981">
        <v>202308</v>
      </c>
      <c r="D6981" t="str">
        <f t="shared" si="109"/>
        <v>2023</v>
      </c>
      <c r="E6981">
        <v>284</v>
      </c>
      <c r="F6981">
        <v>71066</v>
      </c>
      <c r="G6981">
        <v>0.4</v>
      </c>
      <c r="H6981" t="s">
        <v>10</v>
      </c>
      <c r="I6981" t="s">
        <v>11</v>
      </c>
    </row>
    <row r="6982" spans="1:9" hidden="1" x14ac:dyDescent="0.25">
      <c r="A6982" t="s">
        <v>17</v>
      </c>
      <c r="B6982" t="s">
        <v>102</v>
      </c>
      <c r="C6982">
        <v>202309</v>
      </c>
      <c r="D6982" t="str">
        <f t="shared" si="109"/>
        <v>2023</v>
      </c>
      <c r="E6982">
        <v>226</v>
      </c>
      <c r="F6982">
        <v>71066</v>
      </c>
      <c r="G6982">
        <v>0.32</v>
      </c>
      <c r="H6982" t="s">
        <v>10</v>
      </c>
      <c r="I6982" t="s">
        <v>11</v>
      </c>
    </row>
    <row r="6983" spans="1:9" hidden="1" x14ac:dyDescent="0.25">
      <c r="A6983" t="s">
        <v>17</v>
      </c>
      <c r="B6983" t="s">
        <v>102</v>
      </c>
      <c r="C6983">
        <v>202310</v>
      </c>
      <c r="D6983" t="str">
        <f t="shared" si="109"/>
        <v>2023</v>
      </c>
      <c r="E6983">
        <v>557</v>
      </c>
      <c r="F6983">
        <v>71066</v>
      </c>
      <c r="G6983">
        <v>0.78</v>
      </c>
      <c r="H6983" t="s">
        <v>10</v>
      </c>
      <c r="I6983" t="s">
        <v>11</v>
      </c>
    </row>
    <row r="6984" spans="1:9" hidden="1" x14ac:dyDescent="0.25">
      <c r="A6984" t="s">
        <v>17</v>
      </c>
      <c r="B6984" t="s">
        <v>102</v>
      </c>
      <c r="C6984">
        <v>202311</v>
      </c>
      <c r="D6984" t="str">
        <f t="shared" si="109"/>
        <v>2023</v>
      </c>
      <c r="E6984">
        <v>406</v>
      </c>
      <c r="F6984">
        <v>71066</v>
      </c>
      <c r="G6984">
        <v>0.56999999999999995</v>
      </c>
      <c r="H6984" t="s">
        <v>10</v>
      </c>
      <c r="I6984" t="s">
        <v>11</v>
      </c>
    </row>
    <row r="6985" spans="1:9" hidden="1" x14ac:dyDescent="0.25">
      <c r="A6985" t="s">
        <v>17</v>
      </c>
      <c r="B6985" t="s">
        <v>102</v>
      </c>
      <c r="C6985">
        <v>202312</v>
      </c>
      <c r="D6985" t="str">
        <f t="shared" si="109"/>
        <v>2023</v>
      </c>
      <c r="E6985">
        <v>540</v>
      </c>
      <c r="F6985">
        <v>71066</v>
      </c>
      <c r="G6985">
        <v>0.76</v>
      </c>
      <c r="H6985" t="s">
        <v>10</v>
      </c>
      <c r="I6985" t="s">
        <v>11</v>
      </c>
    </row>
    <row r="6986" spans="1:9" hidden="1" x14ac:dyDescent="0.25">
      <c r="A6986" t="s">
        <v>17</v>
      </c>
      <c r="B6986" t="s">
        <v>102</v>
      </c>
      <c r="C6986">
        <v>202401</v>
      </c>
      <c r="D6986" t="str">
        <f t="shared" si="109"/>
        <v>2024</v>
      </c>
      <c r="E6986">
        <v>1471</v>
      </c>
      <c r="F6986">
        <v>71066</v>
      </c>
      <c r="G6986">
        <v>2.0699999999999998</v>
      </c>
      <c r="H6986" t="s">
        <v>10</v>
      </c>
      <c r="I6986" t="s">
        <v>11</v>
      </c>
    </row>
    <row r="6987" spans="1:9" hidden="1" x14ac:dyDescent="0.25">
      <c r="A6987" t="s">
        <v>17</v>
      </c>
      <c r="B6987" t="s">
        <v>102</v>
      </c>
      <c r="C6987">
        <v>202402</v>
      </c>
      <c r="D6987" t="str">
        <f t="shared" si="109"/>
        <v>2024</v>
      </c>
      <c r="E6987">
        <v>1359</v>
      </c>
      <c r="F6987">
        <v>71066</v>
      </c>
      <c r="G6987">
        <v>1.91</v>
      </c>
      <c r="H6987" t="s">
        <v>10</v>
      </c>
      <c r="I6987" t="s">
        <v>11</v>
      </c>
    </row>
    <row r="6988" spans="1:9" hidden="1" x14ac:dyDescent="0.25">
      <c r="A6988" t="s">
        <v>17</v>
      </c>
      <c r="B6988" t="s">
        <v>102</v>
      </c>
      <c r="C6988">
        <v>202403</v>
      </c>
      <c r="D6988" t="str">
        <f t="shared" si="109"/>
        <v>2024</v>
      </c>
      <c r="E6988">
        <v>1546</v>
      </c>
      <c r="F6988">
        <v>71066</v>
      </c>
      <c r="G6988">
        <v>2.1800000000000002</v>
      </c>
      <c r="H6988" t="s">
        <v>10</v>
      </c>
      <c r="I6988" t="s">
        <v>11</v>
      </c>
    </row>
    <row r="6989" spans="1:9" hidden="1" x14ac:dyDescent="0.25">
      <c r="A6989" t="s">
        <v>17</v>
      </c>
      <c r="B6989" t="s">
        <v>102</v>
      </c>
      <c r="C6989">
        <v>202404</v>
      </c>
      <c r="D6989" t="str">
        <f t="shared" si="109"/>
        <v>2024</v>
      </c>
      <c r="E6989">
        <v>4656</v>
      </c>
      <c r="F6989">
        <v>71066</v>
      </c>
      <c r="G6989">
        <v>6.55</v>
      </c>
      <c r="H6989" t="s">
        <v>10</v>
      </c>
      <c r="I6989" t="s">
        <v>11</v>
      </c>
    </row>
    <row r="6990" spans="1:9" hidden="1" x14ac:dyDescent="0.25">
      <c r="A6990" t="s">
        <v>17</v>
      </c>
      <c r="B6990" t="s">
        <v>102</v>
      </c>
      <c r="C6990">
        <v>202405</v>
      </c>
      <c r="D6990" t="str">
        <f t="shared" si="109"/>
        <v>2024</v>
      </c>
      <c r="E6990">
        <v>36432</v>
      </c>
      <c r="F6990">
        <v>71066</v>
      </c>
      <c r="G6990">
        <v>51.27</v>
      </c>
      <c r="H6990" t="s">
        <v>10</v>
      </c>
      <c r="I6990" t="s">
        <v>11</v>
      </c>
    </row>
    <row r="6991" spans="1:9" hidden="1" x14ac:dyDescent="0.25">
      <c r="A6991" t="s">
        <v>17</v>
      </c>
      <c r="B6991" t="s">
        <v>102</v>
      </c>
      <c r="C6991">
        <v>202406</v>
      </c>
      <c r="D6991" t="str">
        <f t="shared" si="109"/>
        <v>2024</v>
      </c>
      <c r="E6991">
        <v>21789</v>
      </c>
      <c r="F6991">
        <v>71066</v>
      </c>
      <c r="G6991">
        <v>30.66</v>
      </c>
      <c r="H6991" t="s">
        <v>10</v>
      </c>
      <c r="I6991" t="s">
        <v>11</v>
      </c>
    </row>
    <row r="6992" spans="1:9" hidden="1" x14ac:dyDescent="0.25">
      <c r="A6992" t="s">
        <v>17</v>
      </c>
      <c r="B6992" t="s">
        <v>169</v>
      </c>
      <c r="C6992">
        <v>201806</v>
      </c>
      <c r="D6992" t="str">
        <f t="shared" si="109"/>
        <v>2018</v>
      </c>
      <c r="E6992">
        <v>1</v>
      </c>
      <c r="F6992">
        <v>83226</v>
      </c>
      <c r="G6992">
        <v>0</v>
      </c>
      <c r="H6992" t="s">
        <v>10</v>
      </c>
      <c r="I6992" t="s">
        <v>11</v>
      </c>
    </row>
    <row r="6993" spans="1:9" hidden="1" x14ac:dyDescent="0.25">
      <c r="A6993" t="s">
        <v>17</v>
      </c>
      <c r="B6993" t="s">
        <v>169</v>
      </c>
      <c r="C6993">
        <v>202009</v>
      </c>
      <c r="D6993" t="str">
        <f t="shared" si="109"/>
        <v>2020</v>
      </c>
      <c r="E6993">
        <v>4</v>
      </c>
      <c r="F6993">
        <v>83226</v>
      </c>
      <c r="G6993">
        <v>0</v>
      </c>
      <c r="H6993" t="s">
        <v>10</v>
      </c>
      <c r="I6993" t="s">
        <v>11</v>
      </c>
    </row>
    <row r="6994" spans="1:9" hidden="1" x14ac:dyDescent="0.25">
      <c r="A6994" t="s">
        <v>17</v>
      </c>
      <c r="B6994" t="s">
        <v>169</v>
      </c>
      <c r="C6994">
        <v>202010</v>
      </c>
      <c r="D6994" t="str">
        <f t="shared" si="109"/>
        <v>2020</v>
      </c>
      <c r="E6994">
        <v>4</v>
      </c>
      <c r="F6994">
        <v>83226</v>
      </c>
      <c r="G6994">
        <v>0</v>
      </c>
      <c r="H6994" t="s">
        <v>10</v>
      </c>
      <c r="I6994" t="s">
        <v>11</v>
      </c>
    </row>
    <row r="6995" spans="1:9" hidden="1" x14ac:dyDescent="0.25">
      <c r="A6995" t="s">
        <v>17</v>
      </c>
      <c r="B6995" t="s">
        <v>169</v>
      </c>
      <c r="C6995">
        <v>202106</v>
      </c>
      <c r="D6995" t="str">
        <f t="shared" si="109"/>
        <v>2021</v>
      </c>
      <c r="E6995">
        <v>1</v>
      </c>
      <c r="F6995">
        <v>83226</v>
      </c>
      <c r="G6995">
        <v>0</v>
      </c>
      <c r="H6995" t="s">
        <v>10</v>
      </c>
      <c r="I6995" t="s">
        <v>11</v>
      </c>
    </row>
    <row r="6996" spans="1:9" hidden="1" x14ac:dyDescent="0.25">
      <c r="A6996" t="s">
        <v>17</v>
      </c>
      <c r="B6996" t="s">
        <v>169</v>
      </c>
      <c r="C6996">
        <v>202108</v>
      </c>
      <c r="D6996" t="str">
        <f t="shared" si="109"/>
        <v>2021</v>
      </c>
      <c r="E6996">
        <v>3</v>
      </c>
      <c r="F6996">
        <v>83226</v>
      </c>
      <c r="G6996">
        <v>0</v>
      </c>
      <c r="H6996" t="s">
        <v>10</v>
      </c>
      <c r="I6996" t="s">
        <v>11</v>
      </c>
    </row>
    <row r="6997" spans="1:9" hidden="1" x14ac:dyDescent="0.25">
      <c r="A6997" t="s">
        <v>17</v>
      </c>
      <c r="B6997" t="s">
        <v>169</v>
      </c>
      <c r="C6997">
        <v>202111</v>
      </c>
      <c r="D6997" t="str">
        <f t="shared" si="109"/>
        <v>2021</v>
      </c>
      <c r="E6997">
        <v>4</v>
      </c>
      <c r="F6997">
        <v>83226</v>
      </c>
      <c r="G6997">
        <v>0</v>
      </c>
      <c r="H6997" t="s">
        <v>10</v>
      </c>
      <c r="I6997" t="s">
        <v>11</v>
      </c>
    </row>
    <row r="6998" spans="1:9" hidden="1" x14ac:dyDescent="0.25">
      <c r="A6998" t="s">
        <v>17</v>
      </c>
      <c r="B6998" t="s">
        <v>169</v>
      </c>
      <c r="C6998">
        <v>202112</v>
      </c>
      <c r="D6998" t="str">
        <f t="shared" si="109"/>
        <v>2021</v>
      </c>
      <c r="E6998">
        <v>8</v>
      </c>
      <c r="F6998">
        <v>83226</v>
      </c>
      <c r="G6998">
        <v>0.01</v>
      </c>
      <c r="H6998" t="s">
        <v>10</v>
      </c>
      <c r="I6998" t="s">
        <v>11</v>
      </c>
    </row>
    <row r="6999" spans="1:9" hidden="1" x14ac:dyDescent="0.25">
      <c r="A6999" t="s">
        <v>17</v>
      </c>
      <c r="B6999" t="s">
        <v>169</v>
      </c>
      <c r="C6999">
        <v>202201</v>
      </c>
      <c r="D6999" t="str">
        <f t="shared" si="109"/>
        <v>2022</v>
      </c>
      <c r="E6999">
        <v>21</v>
      </c>
      <c r="F6999">
        <v>83226</v>
      </c>
      <c r="G6999">
        <v>0.03</v>
      </c>
      <c r="H6999" t="s">
        <v>10</v>
      </c>
      <c r="I6999" t="s">
        <v>11</v>
      </c>
    </row>
    <row r="7000" spans="1:9" hidden="1" x14ac:dyDescent="0.25">
      <c r="A7000" t="s">
        <v>17</v>
      </c>
      <c r="B7000" t="s">
        <v>169</v>
      </c>
      <c r="C7000">
        <v>202203</v>
      </c>
      <c r="D7000" t="str">
        <f t="shared" si="109"/>
        <v>2022</v>
      </c>
      <c r="E7000">
        <v>3</v>
      </c>
      <c r="F7000">
        <v>83226</v>
      </c>
      <c r="G7000">
        <v>0</v>
      </c>
      <c r="H7000" t="s">
        <v>10</v>
      </c>
      <c r="I7000" t="s">
        <v>11</v>
      </c>
    </row>
    <row r="7001" spans="1:9" hidden="1" x14ac:dyDescent="0.25">
      <c r="A7001" t="s">
        <v>17</v>
      </c>
      <c r="B7001" t="s">
        <v>169</v>
      </c>
      <c r="C7001">
        <v>202206</v>
      </c>
      <c r="D7001" t="str">
        <f t="shared" si="109"/>
        <v>2022</v>
      </c>
      <c r="E7001">
        <v>31</v>
      </c>
      <c r="F7001">
        <v>83226</v>
      </c>
      <c r="G7001">
        <v>0.04</v>
      </c>
      <c r="H7001" t="s">
        <v>10</v>
      </c>
      <c r="I7001" t="s">
        <v>11</v>
      </c>
    </row>
    <row r="7002" spans="1:9" hidden="1" x14ac:dyDescent="0.25">
      <c r="A7002" t="s">
        <v>17</v>
      </c>
      <c r="B7002" t="s">
        <v>169</v>
      </c>
      <c r="C7002">
        <v>202207</v>
      </c>
      <c r="D7002" t="str">
        <f t="shared" si="109"/>
        <v>2022</v>
      </c>
      <c r="E7002">
        <v>35</v>
      </c>
      <c r="F7002">
        <v>83226</v>
      </c>
      <c r="G7002">
        <v>0.04</v>
      </c>
      <c r="H7002" t="s">
        <v>10</v>
      </c>
      <c r="I7002" t="s">
        <v>11</v>
      </c>
    </row>
    <row r="7003" spans="1:9" hidden="1" x14ac:dyDescent="0.25">
      <c r="A7003" t="s">
        <v>17</v>
      </c>
      <c r="B7003" t="s">
        <v>169</v>
      </c>
      <c r="C7003">
        <v>202208</v>
      </c>
      <c r="D7003" t="str">
        <f t="shared" si="109"/>
        <v>2022</v>
      </c>
      <c r="E7003">
        <v>13</v>
      </c>
      <c r="F7003">
        <v>83226</v>
      </c>
      <c r="G7003">
        <v>0.02</v>
      </c>
      <c r="H7003" t="s">
        <v>10</v>
      </c>
      <c r="I7003" t="s">
        <v>11</v>
      </c>
    </row>
    <row r="7004" spans="1:9" hidden="1" x14ac:dyDescent="0.25">
      <c r="A7004" t="s">
        <v>17</v>
      </c>
      <c r="B7004" t="s">
        <v>169</v>
      </c>
      <c r="C7004">
        <v>202209</v>
      </c>
      <c r="D7004" t="str">
        <f t="shared" si="109"/>
        <v>2022</v>
      </c>
      <c r="E7004">
        <v>21</v>
      </c>
      <c r="F7004">
        <v>83226</v>
      </c>
      <c r="G7004">
        <v>0.03</v>
      </c>
      <c r="H7004" t="s">
        <v>10</v>
      </c>
      <c r="I7004" t="s">
        <v>11</v>
      </c>
    </row>
    <row r="7005" spans="1:9" hidden="1" x14ac:dyDescent="0.25">
      <c r="A7005" t="s">
        <v>17</v>
      </c>
      <c r="B7005" t="s">
        <v>169</v>
      </c>
      <c r="C7005">
        <v>202210</v>
      </c>
      <c r="D7005" t="str">
        <f t="shared" si="109"/>
        <v>2022</v>
      </c>
      <c r="E7005">
        <v>54</v>
      </c>
      <c r="F7005">
        <v>83226</v>
      </c>
      <c r="G7005">
        <v>0.06</v>
      </c>
      <c r="H7005" t="s">
        <v>10</v>
      </c>
      <c r="I7005" t="s">
        <v>11</v>
      </c>
    </row>
    <row r="7006" spans="1:9" hidden="1" x14ac:dyDescent="0.25">
      <c r="A7006" t="s">
        <v>17</v>
      </c>
      <c r="B7006" t="s">
        <v>169</v>
      </c>
      <c r="C7006">
        <v>202211</v>
      </c>
      <c r="D7006" t="str">
        <f t="shared" si="109"/>
        <v>2022</v>
      </c>
      <c r="E7006">
        <v>23</v>
      </c>
      <c r="F7006">
        <v>83226</v>
      </c>
      <c r="G7006">
        <v>0.03</v>
      </c>
      <c r="H7006" t="s">
        <v>10</v>
      </c>
      <c r="I7006" t="s">
        <v>11</v>
      </c>
    </row>
    <row r="7007" spans="1:9" hidden="1" x14ac:dyDescent="0.25">
      <c r="A7007" t="s">
        <v>17</v>
      </c>
      <c r="B7007" t="s">
        <v>169</v>
      </c>
      <c r="C7007">
        <v>202212</v>
      </c>
      <c r="D7007" t="str">
        <f t="shared" si="109"/>
        <v>2022</v>
      </c>
      <c r="E7007">
        <v>17</v>
      </c>
      <c r="F7007">
        <v>83226</v>
      </c>
      <c r="G7007">
        <v>0.02</v>
      </c>
      <c r="H7007" t="s">
        <v>10</v>
      </c>
      <c r="I7007" t="s">
        <v>11</v>
      </c>
    </row>
    <row r="7008" spans="1:9" hidden="1" x14ac:dyDescent="0.25">
      <c r="A7008" t="s">
        <v>17</v>
      </c>
      <c r="B7008" t="s">
        <v>169</v>
      </c>
      <c r="C7008">
        <v>202301</v>
      </c>
      <c r="D7008" t="str">
        <f t="shared" si="109"/>
        <v>2023</v>
      </c>
      <c r="E7008">
        <v>207</v>
      </c>
      <c r="F7008">
        <v>83226</v>
      </c>
      <c r="G7008">
        <v>0.25</v>
      </c>
      <c r="H7008" t="s">
        <v>10</v>
      </c>
      <c r="I7008" t="s">
        <v>11</v>
      </c>
    </row>
    <row r="7009" spans="1:9" hidden="1" x14ac:dyDescent="0.25">
      <c r="A7009" t="s">
        <v>17</v>
      </c>
      <c r="B7009" t="s">
        <v>169</v>
      </c>
      <c r="C7009">
        <v>202302</v>
      </c>
      <c r="D7009" t="str">
        <f t="shared" si="109"/>
        <v>2023</v>
      </c>
      <c r="E7009">
        <v>208</v>
      </c>
      <c r="F7009">
        <v>83226</v>
      </c>
      <c r="G7009">
        <v>0.25</v>
      </c>
      <c r="H7009" t="s">
        <v>10</v>
      </c>
      <c r="I7009" t="s">
        <v>11</v>
      </c>
    </row>
    <row r="7010" spans="1:9" hidden="1" x14ac:dyDescent="0.25">
      <c r="A7010" t="s">
        <v>17</v>
      </c>
      <c r="B7010" t="s">
        <v>169</v>
      </c>
      <c r="C7010">
        <v>202303</v>
      </c>
      <c r="D7010" t="str">
        <f t="shared" si="109"/>
        <v>2023</v>
      </c>
      <c r="E7010">
        <v>157</v>
      </c>
      <c r="F7010">
        <v>83226</v>
      </c>
      <c r="G7010">
        <v>0.19</v>
      </c>
      <c r="H7010" t="s">
        <v>10</v>
      </c>
      <c r="I7010" t="s">
        <v>11</v>
      </c>
    </row>
    <row r="7011" spans="1:9" hidden="1" x14ac:dyDescent="0.25">
      <c r="A7011" t="s">
        <v>17</v>
      </c>
      <c r="B7011" t="s">
        <v>169</v>
      </c>
      <c r="C7011">
        <v>202304</v>
      </c>
      <c r="D7011" t="str">
        <f t="shared" si="109"/>
        <v>2023</v>
      </c>
      <c r="E7011">
        <v>198</v>
      </c>
      <c r="F7011">
        <v>83226</v>
      </c>
      <c r="G7011">
        <v>0.24</v>
      </c>
      <c r="H7011" t="s">
        <v>10</v>
      </c>
      <c r="I7011" t="s">
        <v>11</v>
      </c>
    </row>
    <row r="7012" spans="1:9" hidden="1" x14ac:dyDescent="0.25">
      <c r="A7012" t="s">
        <v>17</v>
      </c>
      <c r="B7012" t="s">
        <v>169</v>
      </c>
      <c r="C7012">
        <v>202305</v>
      </c>
      <c r="D7012" t="str">
        <f t="shared" si="109"/>
        <v>2023</v>
      </c>
      <c r="E7012">
        <v>288</v>
      </c>
      <c r="F7012">
        <v>83226</v>
      </c>
      <c r="G7012">
        <v>0.35</v>
      </c>
      <c r="H7012" t="s">
        <v>10</v>
      </c>
      <c r="I7012" t="s">
        <v>11</v>
      </c>
    </row>
    <row r="7013" spans="1:9" hidden="1" x14ac:dyDescent="0.25">
      <c r="A7013" t="s">
        <v>17</v>
      </c>
      <c r="B7013" t="s">
        <v>169</v>
      </c>
      <c r="C7013">
        <v>202306</v>
      </c>
      <c r="D7013" t="str">
        <f t="shared" si="109"/>
        <v>2023</v>
      </c>
      <c r="E7013">
        <v>333</v>
      </c>
      <c r="F7013">
        <v>83226</v>
      </c>
      <c r="G7013">
        <v>0.4</v>
      </c>
      <c r="H7013" t="s">
        <v>10</v>
      </c>
      <c r="I7013" t="s">
        <v>11</v>
      </c>
    </row>
    <row r="7014" spans="1:9" hidden="1" x14ac:dyDescent="0.25">
      <c r="A7014" t="s">
        <v>17</v>
      </c>
      <c r="B7014" t="s">
        <v>169</v>
      </c>
      <c r="C7014">
        <v>202307</v>
      </c>
      <c r="D7014" t="str">
        <f t="shared" si="109"/>
        <v>2023</v>
      </c>
      <c r="E7014">
        <v>417</v>
      </c>
      <c r="F7014">
        <v>83226</v>
      </c>
      <c r="G7014">
        <v>0.5</v>
      </c>
      <c r="H7014" t="s">
        <v>10</v>
      </c>
      <c r="I7014" t="s">
        <v>11</v>
      </c>
    </row>
    <row r="7015" spans="1:9" hidden="1" x14ac:dyDescent="0.25">
      <c r="A7015" t="s">
        <v>17</v>
      </c>
      <c r="B7015" t="s">
        <v>169</v>
      </c>
      <c r="C7015">
        <v>202308</v>
      </c>
      <c r="D7015" t="str">
        <f t="shared" si="109"/>
        <v>2023</v>
      </c>
      <c r="E7015">
        <v>753</v>
      </c>
      <c r="F7015">
        <v>83226</v>
      </c>
      <c r="G7015">
        <v>0.9</v>
      </c>
      <c r="H7015" t="s">
        <v>10</v>
      </c>
      <c r="I7015" t="s">
        <v>11</v>
      </c>
    </row>
    <row r="7016" spans="1:9" hidden="1" x14ac:dyDescent="0.25">
      <c r="A7016" t="s">
        <v>17</v>
      </c>
      <c r="B7016" t="s">
        <v>169</v>
      </c>
      <c r="C7016">
        <v>202309</v>
      </c>
      <c r="D7016" t="str">
        <f t="shared" si="109"/>
        <v>2023</v>
      </c>
      <c r="E7016">
        <v>581</v>
      </c>
      <c r="F7016">
        <v>83226</v>
      </c>
      <c r="G7016">
        <v>0.7</v>
      </c>
      <c r="H7016" t="s">
        <v>10</v>
      </c>
      <c r="I7016" t="s">
        <v>11</v>
      </c>
    </row>
    <row r="7017" spans="1:9" hidden="1" x14ac:dyDescent="0.25">
      <c r="A7017" t="s">
        <v>17</v>
      </c>
      <c r="B7017" t="s">
        <v>169</v>
      </c>
      <c r="C7017">
        <v>202310</v>
      </c>
      <c r="D7017" t="str">
        <f t="shared" si="109"/>
        <v>2023</v>
      </c>
      <c r="E7017">
        <v>1778</v>
      </c>
      <c r="F7017">
        <v>83226</v>
      </c>
      <c r="G7017">
        <v>2.14</v>
      </c>
      <c r="H7017" t="s">
        <v>10</v>
      </c>
      <c r="I7017" t="s">
        <v>11</v>
      </c>
    </row>
    <row r="7018" spans="1:9" hidden="1" x14ac:dyDescent="0.25">
      <c r="A7018" t="s">
        <v>17</v>
      </c>
      <c r="B7018" t="s">
        <v>169</v>
      </c>
      <c r="C7018">
        <v>202311</v>
      </c>
      <c r="D7018" t="str">
        <f t="shared" si="109"/>
        <v>2023</v>
      </c>
      <c r="E7018">
        <v>1541</v>
      </c>
      <c r="F7018">
        <v>83226</v>
      </c>
      <c r="G7018">
        <v>1.85</v>
      </c>
      <c r="H7018" t="s">
        <v>10</v>
      </c>
      <c r="I7018" t="s">
        <v>11</v>
      </c>
    </row>
    <row r="7019" spans="1:9" hidden="1" x14ac:dyDescent="0.25">
      <c r="A7019" t="s">
        <v>17</v>
      </c>
      <c r="B7019" t="s">
        <v>169</v>
      </c>
      <c r="C7019">
        <v>202312</v>
      </c>
      <c r="D7019" t="str">
        <f t="shared" si="109"/>
        <v>2023</v>
      </c>
      <c r="E7019">
        <v>1247</v>
      </c>
      <c r="F7019">
        <v>83226</v>
      </c>
      <c r="G7019">
        <v>1.5</v>
      </c>
      <c r="H7019" t="s">
        <v>10</v>
      </c>
      <c r="I7019" t="s">
        <v>11</v>
      </c>
    </row>
    <row r="7020" spans="1:9" hidden="1" x14ac:dyDescent="0.25">
      <c r="A7020" t="s">
        <v>17</v>
      </c>
      <c r="B7020" t="s">
        <v>169</v>
      </c>
      <c r="C7020">
        <v>202401</v>
      </c>
      <c r="D7020" t="str">
        <f t="shared" si="109"/>
        <v>2024</v>
      </c>
      <c r="E7020">
        <v>1678</v>
      </c>
      <c r="F7020">
        <v>83226</v>
      </c>
      <c r="G7020">
        <v>2.02</v>
      </c>
      <c r="H7020" t="s">
        <v>10</v>
      </c>
      <c r="I7020" t="s">
        <v>11</v>
      </c>
    </row>
    <row r="7021" spans="1:9" hidden="1" x14ac:dyDescent="0.25">
      <c r="A7021" t="s">
        <v>17</v>
      </c>
      <c r="B7021" t="s">
        <v>169</v>
      </c>
      <c r="C7021">
        <v>202402</v>
      </c>
      <c r="D7021" t="str">
        <f t="shared" si="109"/>
        <v>2024</v>
      </c>
      <c r="E7021">
        <v>1541</v>
      </c>
      <c r="F7021">
        <v>83226</v>
      </c>
      <c r="G7021">
        <v>1.85</v>
      </c>
      <c r="H7021" t="s">
        <v>10</v>
      </c>
      <c r="I7021" t="s">
        <v>11</v>
      </c>
    </row>
    <row r="7022" spans="1:9" hidden="1" x14ac:dyDescent="0.25">
      <c r="A7022" t="s">
        <v>17</v>
      </c>
      <c r="B7022" t="s">
        <v>169</v>
      </c>
      <c r="C7022">
        <v>202403</v>
      </c>
      <c r="D7022" t="str">
        <f t="shared" si="109"/>
        <v>2024</v>
      </c>
      <c r="E7022">
        <v>1761</v>
      </c>
      <c r="F7022">
        <v>83226</v>
      </c>
      <c r="G7022">
        <v>2.12</v>
      </c>
      <c r="H7022" t="s">
        <v>10</v>
      </c>
      <c r="I7022" t="s">
        <v>11</v>
      </c>
    </row>
    <row r="7023" spans="1:9" hidden="1" x14ac:dyDescent="0.25">
      <c r="A7023" t="s">
        <v>17</v>
      </c>
      <c r="B7023" t="s">
        <v>169</v>
      </c>
      <c r="C7023">
        <v>202404</v>
      </c>
      <c r="D7023" t="str">
        <f t="shared" si="109"/>
        <v>2024</v>
      </c>
      <c r="E7023">
        <v>2954</v>
      </c>
      <c r="F7023">
        <v>83226</v>
      </c>
      <c r="G7023">
        <v>3.55</v>
      </c>
      <c r="H7023" t="s">
        <v>10</v>
      </c>
      <c r="I7023" t="s">
        <v>11</v>
      </c>
    </row>
    <row r="7024" spans="1:9" hidden="1" x14ac:dyDescent="0.25">
      <c r="A7024" t="s">
        <v>17</v>
      </c>
      <c r="B7024" t="s">
        <v>169</v>
      </c>
      <c r="C7024">
        <v>202405</v>
      </c>
      <c r="D7024" t="str">
        <f t="shared" si="109"/>
        <v>2024</v>
      </c>
      <c r="E7024">
        <v>7318</v>
      </c>
      <c r="F7024">
        <v>83226</v>
      </c>
      <c r="G7024">
        <v>8.7899999999999991</v>
      </c>
      <c r="H7024" t="s">
        <v>10</v>
      </c>
      <c r="I7024" t="s">
        <v>11</v>
      </c>
    </row>
    <row r="7025" spans="1:9" hidden="1" x14ac:dyDescent="0.25">
      <c r="A7025" t="s">
        <v>17</v>
      </c>
      <c r="B7025" t="s">
        <v>169</v>
      </c>
      <c r="C7025">
        <v>202406</v>
      </c>
      <c r="D7025" t="str">
        <f t="shared" si="109"/>
        <v>2024</v>
      </c>
      <c r="E7025">
        <v>36779</v>
      </c>
      <c r="F7025">
        <v>83226</v>
      </c>
      <c r="G7025">
        <v>44.19</v>
      </c>
      <c r="H7025" t="s">
        <v>10</v>
      </c>
      <c r="I7025" t="s">
        <v>11</v>
      </c>
    </row>
    <row r="7026" spans="1:9" hidden="1" x14ac:dyDescent="0.25">
      <c r="A7026" t="s">
        <v>17</v>
      </c>
      <c r="B7026" t="s">
        <v>169</v>
      </c>
      <c r="C7026">
        <v>202407</v>
      </c>
      <c r="D7026" t="str">
        <f t="shared" si="109"/>
        <v>2024</v>
      </c>
      <c r="E7026">
        <v>23244</v>
      </c>
      <c r="F7026">
        <v>83226</v>
      </c>
      <c r="G7026">
        <v>27.93</v>
      </c>
      <c r="H7026" t="s">
        <v>10</v>
      </c>
      <c r="I7026" t="s">
        <v>11</v>
      </c>
    </row>
    <row r="7027" spans="1:9" hidden="1" x14ac:dyDescent="0.25">
      <c r="A7027" t="s">
        <v>17</v>
      </c>
      <c r="B7027" t="s">
        <v>143</v>
      </c>
      <c r="C7027">
        <v>201912</v>
      </c>
      <c r="D7027" t="str">
        <f t="shared" si="109"/>
        <v>2019</v>
      </c>
      <c r="E7027">
        <v>1</v>
      </c>
      <c r="F7027">
        <v>80826</v>
      </c>
      <c r="G7027">
        <v>0</v>
      </c>
      <c r="H7027" t="s">
        <v>10</v>
      </c>
      <c r="I7027" t="s">
        <v>11</v>
      </c>
    </row>
    <row r="7028" spans="1:9" hidden="1" x14ac:dyDescent="0.25">
      <c r="A7028" t="s">
        <v>17</v>
      </c>
      <c r="B7028" t="s">
        <v>143</v>
      </c>
      <c r="C7028">
        <v>202002</v>
      </c>
      <c r="D7028" t="str">
        <f t="shared" si="109"/>
        <v>2020</v>
      </c>
      <c r="E7028">
        <v>7</v>
      </c>
      <c r="F7028">
        <v>80826</v>
      </c>
      <c r="G7028">
        <v>0.01</v>
      </c>
      <c r="H7028" t="s">
        <v>10</v>
      </c>
      <c r="I7028" t="s">
        <v>11</v>
      </c>
    </row>
    <row r="7029" spans="1:9" hidden="1" x14ac:dyDescent="0.25">
      <c r="A7029" t="s">
        <v>17</v>
      </c>
      <c r="B7029" t="s">
        <v>143</v>
      </c>
      <c r="C7029">
        <v>202108</v>
      </c>
      <c r="D7029" t="str">
        <f t="shared" si="109"/>
        <v>2021</v>
      </c>
      <c r="E7029">
        <v>1</v>
      </c>
      <c r="F7029">
        <v>80826</v>
      </c>
      <c r="G7029">
        <v>0</v>
      </c>
      <c r="H7029" t="s">
        <v>10</v>
      </c>
      <c r="I7029" t="s">
        <v>11</v>
      </c>
    </row>
    <row r="7030" spans="1:9" hidden="1" x14ac:dyDescent="0.25">
      <c r="A7030" t="s">
        <v>17</v>
      </c>
      <c r="B7030" t="s">
        <v>143</v>
      </c>
      <c r="C7030">
        <v>202201</v>
      </c>
      <c r="D7030" t="str">
        <f t="shared" si="109"/>
        <v>2022</v>
      </c>
      <c r="E7030">
        <v>2</v>
      </c>
      <c r="F7030">
        <v>80826</v>
      </c>
      <c r="G7030">
        <v>0</v>
      </c>
      <c r="H7030" t="s">
        <v>10</v>
      </c>
      <c r="I7030" t="s">
        <v>11</v>
      </c>
    </row>
    <row r="7031" spans="1:9" hidden="1" x14ac:dyDescent="0.25">
      <c r="A7031" t="s">
        <v>17</v>
      </c>
      <c r="B7031" t="s">
        <v>143</v>
      </c>
      <c r="C7031">
        <v>202202</v>
      </c>
      <c r="D7031" t="str">
        <f t="shared" si="109"/>
        <v>2022</v>
      </c>
      <c r="E7031">
        <v>4</v>
      </c>
      <c r="F7031">
        <v>80826</v>
      </c>
      <c r="G7031">
        <v>0</v>
      </c>
      <c r="H7031" t="s">
        <v>10</v>
      </c>
      <c r="I7031" t="s">
        <v>11</v>
      </c>
    </row>
    <row r="7032" spans="1:9" hidden="1" x14ac:dyDescent="0.25">
      <c r="A7032" t="s">
        <v>17</v>
      </c>
      <c r="B7032" t="s">
        <v>143</v>
      </c>
      <c r="C7032">
        <v>202203</v>
      </c>
      <c r="D7032" t="str">
        <f t="shared" si="109"/>
        <v>2022</v>
      </c>
      <c r="E7032">
        <v>1</v>
      </c>
      <c r="F7032">
        <v>80826</v>
      </c>
      <c r="G7032">
        <v>0</v>
      </c>
      <c r="H7032" t="s">
        <v>10</v>
      </c>
      <c r="I7032" t="s">
        <v>11</v>
      </c>
    </row>
    <row r="7033" spans="1:9" hidden="1" x14ac:dyDescent="0.25">
      <c r="A7033" t="s">
        <v>17</v>
      </c>
      <c r="B7033" t="s">
        <v>143</v>
      </c>
      <c r="C7033">
        <v>202204</v>
      </c>
      <c r="D7033" t="str">
        <f t="shared" si="109"/>
        <v>2022</v>
      </c>
      <c r="E7033">
        <v>2</v>
      </c>
      <c r="F7033">
        <v>80826</v>
      </c>
      <c r="G7033">
        <v>0</v>
      </c>
      <c r="H7033" t="s">
        <v>10</v>
      </c>
      <c r="I7033" t="s">
        <v>11</v>
      </c>
    </row>
    <row r="7034" spans="1:9" hidden="1" x14ac:dyDescent="0.25">
      <c r="A7034" t="s">
        <v>17</v>
      </c>
      <c r="B7034" t="s">
        <v>143</v>
      </c>
      <c r="C7034">
        <v>202205</v>
      </c>
      <c r="D7034" t="str">
        <f t="shared" si="109"/>
        <v>2022</v>
      </c>
      <c r="E7034">
        <v>16</v>
      </c>
      <c r="F7034">
        <v>80826</v>
      </c>
      <c r="G7034">
        <v>0.02</v>
      </c>
      <c r="H7034" t="s">
        <v>10</v>
      </c>
      <c r="I7034" t="s">
        <v>11</v>
      </c>
    </row>
    <row r="7035" spans="1:9" hidden="1" x14ac:dyDescent="0.25">
      <c r="A7035" t="s">
        <v>17</v>
      </c>
      <c r="B7035" t="s">
        <v>143</v>
      </c>
      <c r="C7035">
        <v>202206</v>
      </c>
      <c r="D7035" t="str">
        <f t="shared" si="109"/>
        <v>2022</v>
      </c>
      <c r="E7035">
        <v>25</v>
      </c>
      <c r="F7035">
        <v>80826</v>
      </c>
      <c r="G7035">
        <v>0.03</v>
      </c>
      <c r="H7035" t="s">
        <v>10</v>
      </c>
      <c r="I7035" t="s">
        <v>11</v>
      </c>
    </row>
    <row r="7036" spans="1:9" hidden="1" x14ac:dyDescent="0.25">
      <c r="A7036" t="s">
        <v>17</v>
      </c>
      <c r="B7036" t="s">
        <v>143</v>
      </c>
      <c r="C7036">
        <v>202207</v>
      </c>
      <c r="D7036" t="str">
        <f t="shared" si="109"/>
        <v>2022</v>
      </c>
      <c r="E7036">
        <v>44</v>
      </c>
      <c r="F7036">
        <v>80826</v>
      </c>
      <c r="G7036">
        <v>0.05</v>
      </c>
      <c r="H7036" t="s">
        <v>10</v>
      </c>
      <c r="I7036" t="s">
        <v>11</v>
      </c>
    </row>
    <row r="7037" spans="1:9" hidden="1" x14ac:dyDescent="0.25">
      <c r="A7037" t="s">
        <v>17</v>
      </c>
      <c r="B7037" t="s">
        <v>143</v>
      </c>
      <c r="C7037">
        <v>202208</v>
      </c>
      <c r="D7037" t="str">
        <f t="shared" si="109"/>
        <v>2022</v>
      </c>
      <c r="E7037">
        <v>1</v>
      </c>
      <c r="F7037">
        <v>80826</v>
      </c>
      <c r="G7037">
        <v>0</v>
      </c>
      <c r="H7037" t="s">
        <v>10</v>
      </c>
      <c r="I7037" t="s">
        <v>11</v>
      </c>
    </row>
    <row r="7038" spans="1:9" hidden="1" x14ac:dyDescent="0.25">
      <c r="A7038" t="s">
        <v>17</v>
      </c>
      <c r="B7038" t="s">
        <v>143</v>
      </c>
      <c r="C7038">
        <v>202209</v>
      </c>
      <c r="D7038" t="str">
        <f t="shared" si="109"/>
        <v>2022</v>
      </c>
      <c r="E7038">
        <v>7</v>
      </c>
      <c r="F7038">
        <v>80826</v>
      </c>
      <c r="G7038">
        <v>0.01</v>
      </c>
      <c r="H7038" t="s">
        <v>10</v>
      </c>
      <c r="I7038" t="s">
        <v>11</v>
      </c>
    </row>
    <row r="7039" spans="1:9" hidden="1" x14ac:dyDescent="0.25">
      <c r="A7039" t="s">
        <v>17</v>
      </c>
      <c r="B7039" t="s">
        <v>143</v>
      </c>
      <c r="C7039">
        <v>202210</v>
      </c>
      <c r="D7039" t="str">
        <f t="shared" si="109"/>
        <v>2022</v>
      </c>
      <c r="E7039">
        <v>4</v>
      </c>
      <c r="F7039">
        <v>80826</v>
      </c>
      <c r="G7039">
        <v>0</v>
      </c>
      <c r="H7039" t="s">
        <v>10</v>
      </c>
      <c r="I7039" t="s">
        <v>11</v>
      </c>
    </row>
    <row r="7040" spans="1:9" hidden="1" x14ac:dyDescent="0.25">
      <c r="A7040" t="s">
        <v>17</v>
      </c>
      <c r="B7040" t="s">
        <v>143</v>
      </c>
      <c r="C7040">
        <v>202211</v>
      </c>
      <c r="D7040" t="str">
        <f t="shared" si="109"/>
        <v>2022</v>
      </c>
      <c r="E7040">
        <v>23</v>
      </c>
      <c r="F7040">
        <v>80826</v>
      </c>
      <c r="G7040">
        <v>0.03</v>
      </c>
      <c r="H7040" t="s">
        <v>10</v>
      </c>
      <c r="I7040" t="s">
        <v>11</v>
      </c>
    </row>
    <row r="7041" spans="1:9" hidden="1" x14ac:dyDescent="0.25">
      <c r="A7041" t="s">
        <v>17</v>
      </c>
      <c r="B7041" t="s">
        <v>143</v>
      </c>
      <c r="C7041">
        <v>202212</v>
      </c>
      <c r="D7041" t="str">
        <f t="shared" si="109"/>
        <v>2022</v>
      </c>
      <c r="E7041">
        <v>9</v>
      </c>
      <c r="F7041">
        <v>80826</v>
      </c>
      <c r="G7041">
        <v>0.01</v>
      </c>
      <c r="H7041" t="s">
        <v>10</v>
      </c>
      <c r="I7041" t="s">
        <v>11</v>
      </c>
    </row>
    <row r="7042" spans="1:9" hidden="1" x14ac:dyDescent="0.25">
      <c r="A7042" t="s">
        <v>17</v>
      </c>
      <c r="B7042" t="s">
        <v>143</v>
      </c>
      <c r="C7042">
        <v>202301</v>
      </c>
      <c r="D7042" t="str">
        <f t="shared" si="109"/>
        <v>2023</v>
      </c>
      <c r="E7042">
        <v>70</v>
      </c>
      <c r="F7042">
        <v>80826</v>
      </c>
      <c r="G7042">
        <v>0.09</v>
      </c>
      <c r="H7042" t="s">
        <v>10</v>
      </c>
      <c r="I7042" t="s">
        <v>11</v>
      </c>
    </row>
    <row r="7043" spans="1:9" hidden="1" x14ac:dyDescent="0.25">
      <c r="A7043" t="s">
        <v>17</v>
      </c>
      <c r="B7043" t="s">
        <v>143</v>
      </c>
      <c r="C7043">
        <v>202302</v>
      </c>
      <c r="D7043" t="str">
        <f t="shared" ref="D7043:D7106" si="110">LEFT(C7043,4)</f>
        <v>2023</v>
      </c>
      <c r="E7043">
        <v>72</v>
      </c>
      <c r="F7043">
        <v>80826</v>
      </c>
      <c r="G7043">
        <v>0.09</v>
      </c>
      <c r="H7043" t="s">
        <v>10</v>
      </c>
      <c r="I7043" t="s">
        <v>11</v>
      </c>
    </row>
    <row r="7044" spans="1:9" hidden="1" x14ac:dyDescent="0.25">
      <c r="A7044" t="s">
        <v>17</v>
      </c>
      <c r="B7044" t="s">
        <v>143</v>
      </c>
      <c r="C7044">
        <v>202303</v>
      </c>
      <c r="D7044" t="str">
        <f t="shared" si="110"/>
        <v>2023</v>
      </c>
      <c r="E7044">
        <v>95</v>
      </c>
      <c r="F7044">
        <v>80826</v>
      </c>
      <c r="G7044">
        <v>0.12</v>
      </c>
      <c r="H7044" t="s">
        <v>10</v>
      </c>
      <c r="I7044" t="s">
        <v>11</v>
      </c>
    </row>
    <row r="7045" spans="1:9" hidden="1" x14ac:dyDescent="0.25">
      <c r="A7045" t="s">
        <v>17</v>
      </c>
      <c r="B7045" t="s">
        <v>143</v>
      </c>
      <c r="C7045">
        <v>202304</v>
      </c>
      <c r="D7045" t="str">
        <f t="shared" si="110"/>
        <v>2023</v>
      </c>
      <c r="E7045">
        <v>168</v>
      </c>
      <c r="F7045">
        <v>80826</v>
      </c>
      <c r="G7045">
        <v>0.21</v>
      </c>
      <c r="H7045" t="s">
        <v>10</v>
      </c>
      <c r="I7045" t="s">
        <v>11</v>
      </c>
    </row>
    <row r="7046" spans="1:9" hidden="1" x14ac:dyDescent="0.25">
      <c r="A7046" t="s">
        <v>17</v>
      </c>
      <c r="B7046" t="s">
        <v>143</v>
      </c>
      <c r="C7046">
        <v>202305</v>
      </c>
      <c r="D7046" t="str">
        <f t="shared" si="110"/>
        <v>2023</v>
      </c>
      <c r="E7046">
        <v>156</v>
      </c>
      <c r="F7046">
        <v>80826</v>
      </c>
      <c r="G7046">
        <v>0.19</v>
      </c>
      <c r="H7046" t="s">
        <v>10</v>
      </c>
      <c r="I7046" t="s">
        <v>11</v>
      </c>
    </row>
    <row r="7047" spans="1:9" hidden="1" x14ac:dyDescent="0.25">
      <c r="A7047" t="s">
        <v>17</v>
      </c>
      <c r="B7047" t="s">
        <v>143</v>
      </c>
      <c r="C7047">
        <v>202306</v>
      </c>
      <c r="D7047" t="str">
        <f t="shared" si="110"/>
        <v>2023</v>
      </c>
      <c r="E7047">
        <v>168</v>
      </c>
      <c r="F7047">
        <v>80826</v>
      </c>
      <c r="G7047">
        <v>0.21</v>
      </c>
      <c r="H7047" t="s">
        <v>10</v>
      </c>
      <c r="I7047" t="s">
        <v>11</v>
      </c>
    </row>
    <row r="7048" spans="1:9" hidden="1" x14ac:dyDescent="0.25">
      <c r="A7048" t="s">
        <v>17</v>
      </c>
      <c r="B7048" t="s">
        <v>143</v>
      </c>
      <c r="C7048">
        <v>202307</v>
      </c>
      <c r="D7048" t="str">
        <f t="shared" si="110"/>
        <v>2023</v>
      </c>
      <c r="E7048">
        <v>349</v>
      </c>
      <c r="F7048">
        <v>80826</v>
      </c>
      <c r="G7048">
        <v>0.43</v>
      </c>
      <c r="H7048" t="s">
        <v>10</v>
      </c>
      <c r="I7048" t="s">
        <v>11</v>
      </c>
    </row>
    <row r="7049" spans="1:9" hidden="1" x14ac:dyDescent="0.25">
      <c r="A7049" t="s">
        <v>17</v>
      </c>
      <c r="B7049" t="s">
        <v>143</v>
      </c>
      <c r="C7049">
        <v>202308</v>
      </c>
      <c r="D7049" t="str">
        <f t="shared" si="110"/>
        <v>2023</v>
      </c>
      <c r="E7049">
        <v>476</v>
      </c>
      <c r="F7049">
        <v>80826</v>
      </c>
      <c r="G7049">
        <v>0.59</v>
      </c>
      <c r="H7049" t="s">
        <v>10</v>
      </c>
      <c r="I7049" t="s">
        <v>11</v>
      </c>
    </row>
    <row r="7050" spans="1:9" hidden="1" x14ac:dyDescent="0.25">
      <c r="A7050" t="s">
        <v>17</v>
      </c>
      <c r="B7050" t="s">
        <v>143</v>
      </c>
      <c r="C7050">
        <v>202309</v>
      </c>
      <c r="D7050" t="str">
        <f t="shared" si="110"/>
        <v>2023</v>
      </c>
      <c r="E7050">
        <v>618</v>
      </c>
      <c r="F7050">
        <v>80826</v>
      </c>
      <c r="G7050">
        <v>0.76</v>
      </c>
      <c r="H7050" t="s">
        <v>10</v>
      </c>
      <c r="I7050" t="s">
        <v>11</v>
      </c>
    </row>
    <row r="7051" spans="1:9" hidden="1" x14ac:dyDescent="0.25">
      <c r="A7051" t="s">
        <v>17</v>
      </c>
      <c r="B7051" t="s">
        <v>143</v>
      </c>
      <c r="C7051">
        <v>202310</v>
      </c>
      <c r="D7051" t="str">
        <f t="shared" si="110"/>
        <v>2023</v>
      </c>
      <c r="E7051">
        <v>728</v>
      </c>
      <c r="F7051">
        <v>80826</v>
      </c>
      <c r="G7051">
        <v>0.9</v>
      </c>
      <c r="H7051" t="s">
        <v>10</v>
      </c>
      <c r="I7051" t="s">
        <v>11</v>
      </c>
    </row>
    <row r="7052" spans="1:9" hidden="1" x14ac:dyDescent="0.25">
      <c r="A7052" t="s">
        <v>17</v>
      </c>
      <c r="B7052" t="s">
        <v>143</v>
      </c>
      <c r="C7052">
        <v>202311</v>
      </c>
      <c r="D7052" t="str">
        <f t="shared" si="110"/>
        <v>2023</v>
      </c>
      <c r="E7052">
        <v>887</v>
      </c>
      <c r="F7052">
        <v>80826</v>
      </c>
      <c r="G7052">
        <v>1.1000000000000001</v>
      </c>
      <c r="H7052" t="s">
        <v>10</v>
      </c>
      <c r="I7052" t="s">
        <v>11</v>
      </c>
    </row>
    <row r="7053" spans="1:9" hidden="1" x14ac:dyDescent="0.25">
      <c r="A7053" t="s">
        <v>17</v>
      </c>
      <c r="B7053" t="s">
        <v>143</v>
      </c>
      <c r="C7053">
        <v>202312</v>
      </c>
      <c r="D7053" t="str">
        <f t="shared" si="110"/>
        <v>2023</v>
      </c>
      <c r="E7053">
        <v>598</v>
      </c>
      <c r="F7053">
        <v>80826</v>
      </c>
      <c r="G7053">
        <v>0.74</v>
      </c>
      <c r="H7053" t="s">
        <v>10</v>
      </c>
      <c r="I7053" t="s">
        <v>11</v>
      </c>
    </row>
    <row r="7054" spans="1:9" hidden="1" x14ac:dyDescent="0.25">
      <c r="A7054" t="s">
        <v>17</v>
      </c>
      <c r="B7054" t="s">
        <v>143</v>
      </c>
      <c r="C7054">
        <v>202401</v>
      </c>
      <c r="D7054" t="str">
        <f t="shared" si="110"/>
        <v>2024</v>
      </c>
      <c r="E7054">
        <v>612</v>
      </c>
      <c r="F7054">
        <v>80826</v>
      </c>
      <c r="G7054">
        <v>0.76</v>
      </c>
      <c r="H7054" t="s">
        <v>10</v>
      </c>
      <c r="I7054" t="s">
        <v>11</v>
      </c>
    </row>
    <row r="7055" spans="1:9" hidden="1" x14ac:dyDescent="0.25">
      <c r="A7055" t="s">
        <v>17</v>
      </c>
      <c r="B7055" t="s">
        <v>143</v>
      </c>
      <c r="C7055">
        <v>202402</v>
      </c>
      <c r="D7055" t="str">
        <f t="shared" si="110"/>
        <v>2024</v>
      </c>
      <c r="E7055">
        <v>748</v>
      </c>
      <c r="F7055">
        <v>80826</v>
      </c>
      <c r="G7055">
        <v>0.93</v>
      </c>
      <c r="H7055" t="s">
        <v>10</v>
      </c>
      <c r="I7055" t="s">
        <v>11</v>
      </c>
    </row>
    <row r="7056" spans="1:9" hidden="1" x14ac:dyDescent="0.25">
      <c r="A7056" t="s">
        <v>17</v>
      </c>
      <c r="B7056" t="s">
        <v>143</v>
      </c>
      <c r="C7056">
        <v>202403</v>
      </c>
      <c r="D7056" t="str">
        <f t="shared" si="110"/>
        <v>2024</v>
      </c>
      <c r="E7056">
        <v>1012</v>
      </c>
      <c r="F7056">
        <v>80826</v>
      </c>
      <c r="G7056">
        <v>1.25</v>
      </c>
      <c r="H7056" t="s">
        <v>10</v>
      </c>
      <c r="I7056" t="s">
        <v>11</v>
      </c>
    </row>
    <row r="7057" spans="1:9" hidden="1" x14ac:dyDescent="0.25">
      <c r="A7057" t="s">
        <v>17</v>
      </c>
      <c r="B7057" t="s">
        <v>143</v>
      </c>
      <c r="C7057">
        <v>202404</v>
      </c>
      <c r="D7057" t="str">
        <f t="shared" si="110"/>
        <v>2024</v>
      </c>
      <c r="E7057">
        <v>1657</v>
      </c>
      <c r="F7057">
        <v>80826</v>
      </c>
      <c r="G7057">
        <v>2.0499999999999998</v>
      </c>
      <c r="H7057" t="s">
        <v>10</v>
      </c>
      <c r="I7057" t="s">
        <v>11</v>
      </c>
    </row>
    <row r="7058" spans="1:9" hidden="1" x14ac:dyDescent="0.25">
      <c r="A7058" t="s">
        <v>17</v>
      </c>
      <c r="B7058" t="s">
        <v>143</v>
      </c>
      <c r="C7058">
        <v>202405</v>
      </c>
      <c r="D7058" t="str">
        <f t="shared" si="110"/>
        <v>2024</v>
      </c>
      <c r="E7058">
        <v>2712</v>
      </c>
      <c r="F7058">
        <v>80826</v>
      </c>
      <c r="G7058">
        <v>3.36</v>
      </c>
      <c r="H7058" t="s">
        <v>10</v>
      </c>
      <c r="I7058" t="s">
        <v>11</v>
      </c>
    </row>
    <row r="7059" spans="1:9" hidden="1" x14ac:dyDescent="0.25">
      <c r="A7059" t="s">
        <v>17</v>
      </c>
      <c r="B7059" t="s">
        <v>143</v>
      </c>
      <c r="C7059">
        <v>202406</v>
      </c>
      <c r="D7059" t="str">
        <f t="shared" si="110"/>
        <v>2024</v>
      </c>
      <c r="E7059">
        <v>6533</v>
      </c>
      <c r="F7059">
        <v>80826</v>
      </c>
      <c r="G7059">
        <v>8.08</v>
      </c>
      <c r="H7059" t="s">
        <v>10</v>
      </c>
      <c r="I7059" t="s">
        <v>11</v>
      </c>
    </row>
    <row r="7060" spans="1:9" hidden="1" x14ac:dyDescent="0.25">
      <c r="A7060" t="s">
        <v>17</v>
      </c>
      <c r="B7060" t="s">
        <v>143</v>
      </c>
      <c r="C7060">
        <v>202407</v>
      </c>
      <c r="D7060" t="str">
        <f t="shared" si="110"/>
        <v>2024</v>
      </c>
      <c r="E7060">
        <v>36331</v>
      </c>
      <c r="F7060">
        <v>80826</v>
      </c>
      <c r="G7060">
        <v>44.95</v>
      </c>
      <c r="H7060" t="s">
        <v>10</v>
      </c>
      <c r="I7060" t="s">
        <v>11</v>
      </c>
    </row>
    <row r="7061" spans="1:9" hidden="1" x14ac:dyDescent="0.25">
      <c r="A7061" t="s">
        <v>17</v>
      </c>
      <c r="B7061" t="s">
        <v>143</v>
      </c>
      <c r="C7061">
        <v>202408</v>
      </c>
      <c r="D7061" t="str">
        <f t="shared" si="110"/>
        <v>2024</v>
      </c>
      <c r="E7061">
        <v>26689</v>
      </c>
      <c r="F7061">
        <v>80826</v>
      </c>
      <c r="G7061">
        <v>33.020000000000003</v>
      </c>
      <c r="H7061" t="s">
        <v>10</v>
      </c>
      <c r="I7061" t="s">
        <v>11</v>
      </c>
    </row>
    <row r="7062" spans="1:9" hidden="1" x14ac:dyDescent="0.25">
      <c r="A7062" t="s">
        <v>17</v>
      </c>
      <c r="B7062" t="s">
        <v>141</v>
      </c>
      <c r="C7062">
        <v>202101</v>
      </c>
      <c r="D7062" t="str">
        <f t="shared" si="110"/>
        <v>2021</v>
      </c>
      <c r="E7062">
        <v>38</v>
      </c>
      <c r="F7062">
        <v>65831</v>
      </c>
      <c r="G7062">
        <v>0.06</v>
      </c>
      <c r="H7062" t="s">
        <v>10</v>
      </c>
      <c r="I7062" t="s">
        <v>11</v>
      </c>
    </row>
    <row r="7063" spans="1:9" hidden="1" x14ac:dyDescent="0.25">
      <c r="A7063" t="s">
        <v>17</v>
      </c>
      <c r="B7063" t="s">
        <v>141</v>
      </c>
      <c r="C7063">
        <v>202204</v>
      </c>
      <c r="D7063" t="str">
        <f t="shared" si="110"/>
        <v>2022</v>
      </c>
      <c r="E7063">
        <v>13</v>
      </c>
      <c r="F7063">
        <v>65831</v>
      </c>
      <c r="G7063">
        <v>0.02</v>
      </c>
      <c r="H7063" t="s">
        <v>10</v>
      </c>
      <c r="I7063" t="s">
        <v>11</v>
      </c>
    </row>
    <row r="7064" spans="1:9" hidden="1" x14ac:dyDescent="0.25">
      <c r="A7064" t="s">
        <v>17</v>
      </c>
      <c r="B7064" t="s">
        <v>141</v>
      </c>
      <c r="C7064">
        <v>202206</v>
      </c>
      <c r="D7064" t="str">
        <f t="shared" si="110"/>
        <v>2022</v>
      </c>
      <c r="E7064">
        <v>2</v>
      </c>
      <c r="F7064">
        <v>65831</v>
      </c>
      <c r="G7064">
        <v>0</v>
      </c>
      <c r="H7064" t="s">
        <v>10</v>
      </c>
      <c r="I7064" t="s">
        <v>11</v>
      </c>
    </row>
    <row r="7065" spans="1:9" hidden="1" x14ac:dyDescent="0.25">
      <c r="A7065" t="s">
        <v>17</v>
      </c>
      <c r="B7065" t="s">
        <v>141</v>
      </c>
      <c r="C7065">
        <v>202207</v>
      </c>
      <c r="D7065" t="str">
        <f t="shared" si="110"/>
        <v>2022</v>
      </c>
      <c r="E7065">
        <v>1</v>
      </c>
      <c r="F7065">
        <v>65831</v>
      </c>
      <c r="G7065">
        <v>0</v>
      </c>
      <c r="H7065" t="s">
        <v>10</v>
      </c>
      <c r="I7065" t="s">
        <v>11</v>
      </c>
    </row>
    <row r="7066" spans="1:9" hidden="1" x14ac:dyDescent="0.25">
      <c r="A7066" t="s">
        <v>17</v>
      </c>
      <c r="B7066" t="s">
        <v>141</v>
      </c>
      <c r="C7066">
        <v>202208</v>
      </c>
      <c r="D7066" t="str">
        <f t="shared" si="110"/>
        <v>2022</v>
      </c>
      <c r="E7066">
        <v>3</v>
      </c>
      <c r="F7066">
        <v>65831</v>
      </c>
      <c r="G7066">
        <v>0</v>
      </c>
      <c r="H7066" t="s">
        <v>10</v>
      </c>
      <c r="I7066" t="s">
        <v>11</v>
      </c>
    </row>
    <row r="7067" spans="1:9" hidden="1" x14ac:dyDescent="0.25">
      <c r="A7067" t="s">
        <v>17</v>
      </c>
      <c r="B7067" t="s">
        <v>141</v>
      </c>
      <c r="C7067">
        <v>202209</v>
      </c>
      <c r="D7067" t="str">
        <f t="shared" si="110"/>
        <v>2022</v>
      </c>
      <c r="E7067">
        <v>13</v>
      </c>
      <c r="F7067">
        <v>65831</v>
      </c>
      <c r="G7067">
        <v>0.02</v>
      </c>
      <c r="H7067" t="s">
        <v>10</v>
      </c>
      <c r="I7067" t="s">
        <v>11</v>
      </c>
    </row>
    <row r="7068" spans="1:9" hidden="1" x14ac:dyDescent="0.25">
      <c r="A7068" t="s">
        <v>17</v>
      </c>
      <c r="B7068" t="s">
        <v>141</v>
      </c>
      <c r="C7068">
        <v>202210</v>
      </c>
      <c r="D7068" t="str">
        <f t="shared" si="110"/>
        <v>2022</v>
      </c>
      <c r="E7068">
        <v>5</v>
      </c>
      <c r="F7068">
        <v>65831</v>
      </c>
      <c r="G7068">
        <v>0.01</v>
      </c>
      <c r="H7068" t="s">
        <v>10</v>
      </c>
      <c r="I7068" t="s">
        <v>11</v>
      </c>
    </row>
    <row r="7069" spans="1:9" hidden="1" x14ac:dyDescent="0.25">
      <c r="A7069" t="s">
        <v>17</v>
      </c>
      <c r="B7069" t="s">
        <v>141</v>
      </c>
      <c r="C7069">
        <v>202211</v>
      </c>
      <c r="D7069" t="str">
        <f t="shared" si="110"/>
        <v>2022</v>
      </c>
      <c r="E7069">
        <v>4</v>
      </c>
      <c r="F7069">
        <v>65831</v>
      </c>
      <c r="G7069">
        <v>0.01</v>
      </c>
      <c r="H7069" t="s">
        <v>10</v>
      </c>
      <c r="I7069" t="s">
        <v>11</v>
      </c>
    </row>
    <row r="7070" spans="1:9" hidden="1" x14ac:dyDescent="0.25">
      <c r="A7070" t="s">
        <v>17</v>
      </c>
      <c r="B7070" t="s">
        <v>141</v>
      </c>
      <c r="C7070">
        <v>202212</v>
      </c>
      <c r="D7070" t="str">
        <f t="shared" si="110"/>
        <v>2022</v>
      </c>
      <c r="E7070">
        <v>90</v>
      </c>
      <c r="F7070">
        <v>65831</v>
      </c>
      <c r="G7070">
        <v>0.14000000000000001</v>
      </c>
      <c r="H7070" t="s">
        <v>10</v>
      </c>
      <c r="I7070" t="s">
        <v>11</v>
      </c>
    </row>
    <row r="7071" spans="1:9" hidden="1" x14ac:dyDescent="0.25">
      <c r="A7071" t="s">
        <v>17</v>
      </c>
      <c r="B7071" t="s">
        <v>141</v>
      </c>
      <c r="C7071">
        <v>202301</v>
      </c>
      <c r="D7071" t="str">
        <f t="shared" si="110"/>
        <v>2023</v>
      </c>
      <c r="E7071">
        <v>74</v>
      </c>
      <c r="F7071">
        <v>65831</v>
      </c>
      <c r="G7071">
        <v>0.11</v>
      </c>
      <c r="H7071" t="s">
        <v>10</v>
      </c>
      <c r="I7071" t="s">
        <v>11</v>
      </c>
    </row>
    <row r="7072" spans="1:9" hidden="1" x14ac:dyDescent="0.25">
      <c r="A7072" t="s">
        <v>17</v>
      </c>
      <c r="B7072" t="s">
        <v>141</v>
      </c>
      <c r="C7072">
        <v>202302</v>
      </c>
      <c r="D7072" t="str">
        <f t="shared" si="110"/>
        <v>2023</v>
      </c>
      <c r="E7072">
        <v>93</v>
      </c>
      <c r="F7072">
        <v>65831</v>
      </c>
      <c r="G7072">
        <v>0.14000000000000001</v>
      </c>
      <c r="H7072" t="s">
        <v>10</v>
      </c>
      <c r="I7072" t="s">
        <v>11</v>
      </c>
    </row>
    <row r="7073" spans="1:9" hidden="1" x14ac:dyDescent="0.25">
      <c r="A7073" t="s">
        <v>17</v>
      </c>
      <c r="B7073" t="s">
        <v>141</v>
      </c>
      <c r="C7073">
        <v>202303</v>
      </c>
      <c r="D7073" t="str">
        <f t="shared" si="110"/>
        <v>2023</v>
      </c>
      <c r="E7073">
        <v>127</v>
      </c>
      <c r="F7073">
        <v>65831</v>
      </c>
      <c r="G7073">
        <v>0.19</v>
      </c>
      <c r="H7073" t="s">
        <v>10</v>
      </c>
      <c r="I7073" t="s">
        <v>11</v>
      </c>
    </row>
    <row r="7074" spans="1:9" hidden="1" x14ac:dyDescent="0.25">
      <c r="A7074" t="s">
        <v>17</v>
      </c>
      <c r="B7074" t="s">
        <v>141</v>
      </c>
      <c r="C7074">
        <v>202304</v>
      </c>
      <c r="D7074" t="str">
        <f t="shared" si="110"/>
        <v>2023</v>
      </c>
      <c r="E7074">
        <v>184</v>
      </c>
      <c r="F7074">
        <v>65831</v>
      </c>
      <c r="G7074">
        <v>0.28000000000000003</v>
      </c>
      <c r="H7074" t="s">
        <v>10</v>
      </c>
      <c r="I7074" t="s">
        <v>11</v>
      </c>
    </row>
    <row r="7075" spans="1:9" hidden="1" x14ac:dyDescent="0.25">
      <c r="A7075" t="s">
        <v>17</v>
      </c>
      <c r="B7075" t="s">
        <v>141</v>
      </c>
      <c r="C7075">
        <v>202305</v>
      </c>
      <c r="D7075" t="str">
        <f t="shared" si="110"/>
        <v>2023</v>
      </c>
      <c r="E7075">
        <v>188</v>
      </c>
      <c r="F7075">
        <v>65831</v>
      </c>
      <c r="G7075">
        <v>0.28999999999999998</v>
      </c>
      <c r="H7075" t="s">
        <v>10</v>
      </c>
      <c r="I7075" t="s">
        <v>11</v>
      </c>
    </row>
    <row r="7076" spans="1:9" hidden="1" x14ac:dyDescent="0.25">
      <c r="A7076" t="s">
        <v>17</v>
      </c>
      <c r="B7076" t="s">
        <v>141</v>
      </c>
      <c r="C7076">
        <v>202306</v>
      </c>
      <c r="D7076" t="str">
        <f t="shared" si="110"/>
        <v>2023</v>
      </c>
      <c r="E7076">
        <v>236</v>
      </c>
      <c r="F7076">
        <v>65831</v>
      </c>
      <c r="G7076">
        <v>0.36</v>
      </c>
      <c r="H7076" t="s">
        <v>10</v>
      </c>
      <c r="I7076" t="s">
        <v>11</v>
      </c>
    </row>
    <row r="7077" spans="1:9" hidden="1" x14ac:dyDescent="0.25">
      <c r="A7077" t="s">
        <v>17</v>
      </c>
      <c r="B7077" t="s">
        <v>141</v>
      </c>
      <c r="C7077">
        <v>202307</v>
      </c>
      <c r="D7077" t="str">
        <f t="shared" si="110"/>
        <v>2023</v>
      </c>
      <c r="E7077">
        <v>238</v>
      </c>
      <c r="F7077">
        <v>65831</v>
      </c>
      <c r="G7077">
        <v>0.36</v>
      </c>
      <c r="H7077" t="s">
        <v>10</v>
      </c>
      <c r="I7077" t="s">
        <v>11</v>
      </c>
    </row>
    <row r="7078" spans="1:9" hidden="1" x14ac:dyDescent="0.25">
      <c r="A7078" t="s">
        <v>17</v>
      </c>
      <c r="B7078" t="s">
        <v>141</v>
      </c>
      <c r="C7078">
        <v>202308</v>
      </c>
      <c r="D7078" t="str">
        <f t="shared" si="110"/>
        <v>2023</v>
      </c>
      <c r="E7078">
        <v>276</v>
      </c>
      <c r="F7078">
        <v>65831</v>
      </c>
      <c r="G7078">
        <v>0.42</v>
      </c>
      <c r="H7078" t="s">
        <v>10</v>
      </c>
      <c r="I7078" t="s">
        <v>11</v>
      </c>
    </row>
    <row r="7079" spans="1:9" hidden="1" x14ac:dyDescent="0.25">
      <c r="A7079" t="s">
        <v>17</v>
      </c>
      <c r="B7079" t="s">
        <v>141</v>
      </c>
      <c r="C7079">
        <v>202309</v>
      </c>
      <c r="D7079" t="str">
        <f t="shared" si="110"/>
        <v>2023</v>
      </c>
      <c r="E7079">
        <v>457</v>
      </c>
      <c r="F7079">
        <v>65831</v>
      </c>
      <c r="G7079">
        <v>0.69</v>
      </c>
      <c r="H7079" t="s">
        <v>10</v>
      </c>
      <c r="I7079" t="s">
        <v>11</v>
      </c>
    </row>
    <row r="7080" spans="1:9" hidden="1" x14ac:dyDescent="0.25">
      <c r="A7080" t="s">
        <v>17</v>
      </c>
      <c r="B7080" t="s">
        <v>141</v>
      </c>
      <c r="C7080">
        <v>202310</v>
      </c>
      <c r="D7080" t="str">
        <f t="shared" si="110"/>
        <v>2023</v>
      </c>
      <c r="E7080">
        <v>595</v>
      </c>
      <c r="F7080">
        <v>65831</v>
      </c>
      <c r="G7080">
        <v>0.9</v>
      </c>
      <c r="H7080" t="s">
        <v>10</v>
      </c>
      <c r="I7080" t="s">
        <v>11</v>
      </c>
    </row>
    <row r="7081" spans="1:9" hidden="1" x14ac:dyDescent="0.25">
      <c r="A7081" t="s">
        <v>17</v>
      </c>
      <c r="B7081" t="s">
        <v>141</v>
      </c>
      <c r="C7081">
        <v>202311</v>
      </c>
      <c r="D7081" t="str">
        <f t="shared" si="110"/>
        <v>2023</v>
      </c>
      <c r="E7081">
        <v>430</v>
      </c>
      <c r="F7081">
        <v>65831</v>
      </c>
      <c r="G7081">
        <v>0.65</v>
      </c>
      <c r="H7081" t="s">
        <v>10</v>
      </c>
      <c r="I7081" t="s">
        <v>11</v>
      </c>
    </row>
    <row r="7082" spans="1:9" hidden="1" x14ac:dyDescent="0.25">
      <c r="A7082" t="s">
        <v>17</v>
      </c>
      <c r="B7082" t="s">
        <v>141</v>
      </c>
      <c r="C7082">
        <v>202312</v>
      </c>
      <c r="D7082" t="str">
        <f t="shared" si="110"/>
        <v>2023</v>
      </c>
      <c r="E7082">
        <v>483</v>
      </c>
      <c r="F7082">
        <v>65831</v>
      </c>
      <c r="G7082">
        <v>0.73</v>
      </c>
      <c r="H7082" t="s">
        <v>10</v>
      </c>
      <c r="I7082" t="s">
        <v>11</v>
      </c>
    </row>
    <row r="7083" spans="1:9" hidden="1" x14ac:dyDescent="0.25">
      <c r="A7083" t="s">
        <v>17</v>
      </c>
      <c r="B7083" t="s">
        <v>141</v>
      </c>
      <c r="C7083">
        <v>202401</v>
      </c>
      <c r="D7083" t="str">
        <f t="shared" si="110"/>
        <v>2024</v>
      </c>
      <c r="E7083">
        <v>444</v>
      </c>
      <c r="F7083">
        <v>65831</v>
      </c>
      <c r="G7083">
        <v>0.67</v>
      </c>
      <c r="H7083" t="s">
        <v>10</v>
      </c>
      <c r="I7083" t="s">
        <v>11</v>
      </c>
    </row>
    <row r="7084" spans="1:9" hidden="1" x14ac:dyDescent="0.25">
      <c r="A7084" t="s">
        <v>17</v>
      </c>
      <c r="B7084" t="s">
        <v>141</v>
      </c>
      <c r="C7084">
        <v>202402</v>
      </c>
      <c r="D7084" t="str">
        <f t="shared" si="110"/>
        <v>2024</v>
      </c>
      <c r="E7084">
        <v>640</v>
      </c>
      <c r="F7084">
        <v>65831</v>
      </c>
      <c r="G7084">
        <v>0.97</v>
      </c>
      <c r="H7084" t="s">
        <v>10</v>
      </c>
      <c r="I7084" t="s">
        <v>11</v>
      </c>
    </row>
    <row r="7085" spans="1:9" hidden="1" x14ac:dyDescent="0.25">
      <c r="A7085" t="s">
        <v>17</v>
      </c>
      <c r="B7085" t="s">
        <v>141</v>
      </c>
      <c r="C7085">
        <v>202403</v>
      </c>
      <c r="D7085" t="str">
        <f t="shared" si="110"/>
        <v>2024</v>
      </c>
      <c r="E7085">
        <v>809</v>
      </c>
      <c r="F7085">
        <v>65831</v>
      </c>
      <c r="G7085">
        <v>1.23</v>
      </c>
      <c r="H7085" t="s">
        <v>10</v>
      </c>
      <c r="I7085" t="s">
        <v>11</v>
      </c>
    </row>
    <row r="7086" spans="1:9" hidden="1" x14ac:dyDescent="0.25">
      <c r="A7086" t="s">
        <v>17</v>
      </c>
      <c r="B7086" t="s">
        <v>141</v>
      </c>
      <c r="C7086">
        <v>202404</v>
      </c>
      <c r="D7086" t="str">
        <f t="shared" si="110"/>
        <v>2024</v>
      </c>
      <c r="E7086">
        <v>956</v>
      </c>
      <c r="F7086">
        <v>65831</v>
      </c>
      <c r="G7086">
        <v>1.45</v>
      </c>
      <c r="H7086" t="s">
        <v>10</v>
      </c>
      <c r="I7086" t="s">
        <v>11</v>
      </c>
    </row>
    <row r="7087" spans="1:9" hidden="1" x14ac:dyDescent="0.25">
      <c r="A7087" t="s">
        <v>17</v>
      </c>
      <c r="B7087" t="s">
        <v>141</v>
      </c>
      <c r="C7087">
        <v>202405</v>
      </c>
      <c r="D7087" t="str">
        <f t="shared" si="110"/>
        <v>2024</v>
      </c>
      <c r="E7087">
        <v>1454</v>
      </c>
      <c r="F7087">
        <v>65831</v>
      </c>
      <c r="G7087">
        <v>2.21</v>
      </c>
      <c r="H7087" t="s">
        <v>10</v>
      </c>
      <c r="I7087" t="s">
        <v>11</v>
      </c>
    </row>
    <row r="7088" spans="1:9" hidden="1" x14ac:dyDescent="0.25">
      <c r="A7088" t="s">
        <v>17</v>
      </c>
      <c r="B7088" t="s">
        <v>141</v>
      </c>
      <c r="C7088">
        <v>202406</v>
      </c>
      <c r="D7088" t="str">
        <f t="shared" si="110"/>
        <v>2024</v>
      </c>
      <c r="E7088">
        <v>2713</v>
      </c>
      <c r="F7088">
        <v>65831</v>
      </c>
      <c r="G7088">
        <v>4.12</v>
      </c>
      <c r="H7088" t="s">
        <v>10</v>
      </c>
      <c r="I7088" t="s">
        <v>11</v>
      </c>
    </row>
    <row r="7089" spans="1:9" hidden="1" x14ac:dyDescent="0.25">
      <c r="A7089" t="s">
        <v>17</v>
      </c>
      <c r="B7089" t="s">
        <v>141</v>
      </c>
      <c r="C7089">
        <v>202407</v>
      </c>
      <c r="D7089" t="str">
        <f t="shared" si="110"/>
        <v>2024</v>
      </c>
      <c r="E7089">
        <v>5507</v>
      </c>
      <c r="F7089">
        <v>65831</v>
      </c>
      <c r="G7089">
        <v>8.3699999999999992</v>
      </c>
      <c r="H7089" t="s">
        <v>10</v>
      </c>
      <c r="I7089" t="s">
        <v>11</v>
      </c>
    </row>
    <row r="7090" spans="1:9" hidden="1" x14ac:dyDescent="0.25">
      <c r="A7090" t="s">
        <v>17</v>
      </c>
      <c r="B7090" t="s">
        <v>141</v>
      </c>
      <c r="C7090">
        <v>202408</v>
      </c>
      <c r="D7090" t="str">
        <f t="shared" si="110"/>
        <v>2024</v>
      </c>
      <c r="E7090">
        <v>32202</v>
      </c>
      <c r="F7090">
        <v>65831</v>
      </c>
      <c r="G7090">
        <v>48.92</v>
      </c>
      <c r="H7090" t="s">
        <v>10</v>
      </c>
      <c r="I7090" t="s">
        <v>11</v>
      </c>
    </row>
    <row r="7091" spans="1:9" hidden="1" x14ac:dyDescent="0.25">
      <c r="A7091" t="s">
        <v>17</v>
      </c>
      <c r="B7091" t="s">
        <v>141</v>
      </c>
      <c r="C7091">
        <v>202409</v>
      </c>
      <c r="D7091" t="str">
        <f t="shared" si="110"/>
        <v>2024</v>
      </c>
      <c r="E7091">
        <v>17556</v>
      </c>
      <c r="F7091">
        <v>65831</v>
      </c>
      <c r="G7091">
        <v>26.67</v>
      </c>
      <c r="H7091" t="s">
        <v>10</v>
      </c>
      <c r="I7091" t="s">
        <v>11</v>
      </c>
    </row>
    <row r="7092" spans="1:9" hidden="1" x14ac:dyDescent="0.25">
      <c r="A7092" t="s">
        <v>17</v>
      </c>
      <c r="B7092" t="s">
        <v>120</v>
      </c>
      <c r="C7092">
        <v>202006</v>
      </c>
      <c r="D7092" t="str">
        <f t="shared" si="110"/>
        <v>2020</v>
      </c>
      <c r="E7092">
        <v>24</v>
      </c>
      <c r="F7092">
        <v>83071</v>
      </c>
      <c r="G7092">
        <v>0.03</v>
      </c>
      <c r="H7092" t="s">
        <v>10</v>
      </c>
      <c r="I7092" t="s">
        <v>11</v>
      </c>
    </row>
    <row r="7093" spans="1:9" hidden="1" x14ac:dyDescent="0.25">
      <c r="A7093" t="s">
        <v>17</v>
      </c>
      <c r="B7093" t="s">
        <v>120</v>
      </c>
      <c r="C7093">
        <v>202111</v>
      </c>
      <c r="D7093" t="str">
        <f t="shared" si="110"/>
        <v>2021</v>
      </c>
      <c r="E7093">
        <v>2</v>
      </c>
      <c r="F7093">
        <v>83071</v>
      </c>
      <c r="G7093">
        <v>0</v>
      </c>
      <c r="H7093" t="s">
        <v>10</v>
      </c>
      <c r="I7093" t="s">
        <v>11</v>
      </c>
    </row>
    <row r="7094" spans="1:9" hidden="1" x14ac:dyDescent="0.25">
      <c r="A7094" t="s">
        <v>17</v>
      </c>
      <c r="B7094" t="s">
        <v>120</v>
      </c>
      <c r="C7094">
        <v>202201</v>
      </c>
      <c r="D7094" t="str">
        <f t="shared" si="110"/>
        <v>2022</v>
      </c>
      <c r="E7094">
        <v>3</v>
      </c>
      <c r="F7094">
        <v>83071</v>
      </c>
      <c r="G7094">
        <v>0</v>
      </c>
      <c r="H7094" t="s">
        <v>10</v>
      </c>
      <c r="I7094" t="s">
        <v>11</v>
      </c>
    </row>
    <row r="7095" spans="1:9" hidden="1" x14ac:dyDescent="0.25">
      <c r="A7095" t="s">
        <v>17</v>
      </c>
      <c r="B7095" t="s">
        <v>120</v>
      </c>
      <c r="C7095">
        <v>202205</v>
      </c>
      <c r="D7095" t="str">
        <f t="shared" si="110"/>
        <v>2022</v>
      </c>
      <c r="E7095">
        <v>5</v>
      </c>
      <c r="F7095">
        <v>83071</v>
      </c>
      <c r="G7095">
        <v>0.01</v>
      </c>
      <c r="H7095" t="s">
        <v>10</v>
      </c>
      <c r="I7095" t="s">
        <v>11</v>
      </c>
    </row>
    <row r="7096" spans="1:9" hidden="1" x14ac:dyDescent="0.25">
      <c r="A7096" t="s">
        <v>17</v>
      </c>
      <c r="B7096" t="s">
        <v>120</v>
      </c>
      <c r="C7096">
        <v>202206</v>
      </c>
      <c r="D7096" t="str">
        <f t="shared" si="110"/>
        <v>2022</v>
      </c>
      <c r="E7096">
        <v>2</v>
      </c>
      <c r="F7096">
        <v>83071</v>
      </c>
      <c r="G7096">
        <v>0</v>
      </c>
      <c r="H7096" t="s">
        <v>10</v>
      </c>
      <c r="I7096" t="s">
        <v>11</v>
      </c>
    </row>
    <row r="7097" spans="1:9" hidden="1" x14ac:dyDescent="0.25">
      <c r="A7097" t="s">
        <v>17</v>
      </c>
      <c r="B7097" t="s">
        <v>120</v>
      </c>
      <c r="C7097">
        <v>202207</v>
      </c>
      <c r="D7097" t="str">
        <f t="shared" si="110"/>
        <v>2022</v>
      </c>
      <c r="E7097">
        <v>8</v>
      </c>
      <c r="F7097">
        <v>83071</v>
      </c>
      <c r="G7097">
        <v>0.01</v>
      </c>
      <c r="H7097" t="s">
        <v>10</v>
      </c>
      <c r="I7097" t="s">
        <v>11</v>
      </c>
    </row>
    <row r="7098" spans="1:9" hidden="1" x14ac:dyDescent="0.25">
      <c r="A7098" t="s">
        <v>17</v>
      </c>
      <c r="B7098" t="s">
        <v>120</v>
      </c>
      <c r="C7098">
        <v>202208</v>
      </c>
      <c r="D7098" t="str">
        <f t="shared" si="110"/>
        <v>2022</v>
      </c>
      <c r="E7098">
        <v>1</v>
      </c>
      <c r="F7098">
        <v>83071</v>
      </c>
      <c r="G7098">
        <v>0</v>
      </c>
      <c r="H7098" t="s">
        <v>10</v>
      </c>
      <c r="I7098" t="s">
        <v>11</v>
      </c>
    </row>
    <row r="7099" spans="1:9" hidden="1" x14ac:dyDescent="0.25">
      <c r="A7099" t="s">
        <v>17</v>
      </c>
      <c r="B7099" t="s">
        <v>120</v>
      </c>
      <c r="C7099">
        <v>202209</v>
      </c>
      <c r="D7099" t="str">
        <f t="shared" si="110"/>
        <v>2022</v>
      </c>
      <c r="E7099">
        <v>8</v>
      </c>
      <c r="F7099">
        <v>83071</v>
      </c>
      <c r="G7099">
        <v>0.01</v>
      </c>
      <c r="H7099" t="s">
        <v>10</v>
      </c>
      <c r="I7099" t="s">
        <v>11</v>
      </c>
    </row>
    <row r="7100" spans="1:9" hidden="1" x14ac:dyDescent="0.25">
      <c r="A7100" t="s">
        <v>17</v>
      </c>
      <c r="B7100" t="s">
        <v>120</v>
      </c>
      <c r="C7100">
        <v>202210</v>
      </c>
      <c r="D7100" t="str">
        <f t="shared" si="110"/>
        <v>2022</v>
      </c>
      <c r="E7100">
        <v>31</v>
      </c>
      <c r="F7100">
        <v>83071</v>
      </c>
      <c r="G7100">
        <v>0.04</v>
      </c>
      <c r="H7100" t="s">
        <v>10</v>
      </c>
      <c r="I7100" t="s">
        <v>11</v>
      </c>
    </row>
    <row r="7101" spans="1:9" hidden="1" x14ac:dyDescent="0.25">
      <c r="A7101" t="s">
        <v>17</v>
      </c>
      <c r="B7101" t="s">
        <v>120</v>
      </c>
      <c r="C7101">
        <v>202211</v>
      </c>
      <c r="D7101" t="str">
        <f t="shared" si="110"/>
        <v>2022</v>
      </c>
      <c r="E7101">
        <v>20</v>
      </c>
      <c r="F7101">
        <v>83071</v>
      </c>
      <c r="G7101">
        <v>0.02</v>
      </c>
      <c r="H7101" t="s">
        <v>10</v>
      </c>
      <c r="I7101" t="s">
        <v>11</v>
      </c>
    </row>
    <row r="7102" spans="1:9" hidden="1" x14ac:dyDescent="0.25">
      <c r="A7102" t="s">
        <v>17</v>
      </c>
      <c r="B7102" t="s">
        <v>120</v>
      </c>
      <c r="C7102">
        <v>202212</v>
      </c>
      <c r="D7102" t="str">
        <f t="shared" si="110"/>
        <v>2022</v>
      </c>
      <c r="E7102">
        <v>31</v>
      </c>
      <c r="F7102">
        <v>83071</v>
      </c>
      <c r="G7102">
        <v>0.04</v>
      </c>
      <c r="H7102" t="s">
        <v>10</v>
      </c>
      <c r="I7102" t="s">
        <v>11</v>
      </c>
    </row>
    <row r="7103" spans="1:9" hidden="1" x14ac:dyDescent="0.25">
      <c r="A7103" t="s">
        <v>17</v>
      </c>
      <c r="B7103" t="s">
        <v>120</v>
      </c>
      <c r="C7103">
        <v>202301</v>
      </c>
      <c r="D7103" t="str">
        <f t="shared" si="110"/>
        <v>2023</v>
      </c>
      <c r="E7103">
        <v>75</v>
      </c>
      <c r="F7103">
        <v>83071</v>
      </c>
      <c r="G7103">
        <v>0.09</v>
      </c>
      <c r="H7103" t="s">
        <v>10</v>
      </c>
      <c r="I7103" t="s">
        <v>11</v>
      </c>
    </row>
    <row r="7104" spans="1:9" hidden="1" x14ac:dyDescent="0.25">
      <c r="A7104" t="s">
        <v>17</v>
      </c>
      <c r="B7104" t="s">
        <v>120</v>
      </c>
      <c r="C7104">
        <v>202302</v>
      </c>
      <c r="D7104" t="str">
        <f t="shared" si="110"/>
        <v>2023</v>
      </c>
      <c r="E7104">
        <v>105</v>
      </c>
      <c r="F7104">
        <v>83071</v>
      </c>
      <c r="G7104">
        <v>0.13</v>
      </c>
      <c r="H7104" t="s">
        <v>10</v>
      </c>
      <c r="I7104" t="s">
        <v>11</v>
      </c>
    </row>
    <row r="7105" spans="1:9" hidden="1" x14ac:dyDescent="0.25">
      <c r="A7105" t="s">
        <v>17</v>
      </c>
      <c r="B7105" t="s">
        <v>120</v>
      </c>
      <c r="C7105">
        <v>202303</v>
      </c>
      <c r="D7105" t="str">
        <f t="shared" si="110"/>
        <v>2023</v>
      </c>
      <c r="E7105">
        <v>103</v>
      </c>
      <c r="F7105">
        <v>83071</v>
      </c>
      <c r="G7105">
        <v>0.12</v>
      </c>
      <c r="H7105" t="s">
        <v>10</v>
      </c>
      <c r="I7105" t="s">
        <v>11</v>
      </c>
    </row>
    <row r="7106" spans="1:9" hidden="1" x14ac:dyDescent="0.25">
      <c r="A7106" t="s">
        <v>17</v>
      </c>
      <c r="B7106" t="s">
        <v>120</v>
      </c>
      <c r="C7106">
        <v>202304</v>
      </c>
      <c r="D7106" t="str">
        <f t="shared" si="110"/>
        <v>2023</v>
      </c>
      <c r="E7106">
        <v>147</v>
      </c>
      <c r="F7106">
        <v>83071</v>
      </c>
      <c r="G7106">
        <v>0.18</v>
      </c>
      <c r="H7106" t="s">
        <v>10</v>
      </c>
      <c r="I7106" t="s">
        <v>11</v>
      </c>
    </row>
    <row r="7107" spans="1:9" hidden="1" x14ac:dyDescent="0.25">
      <c r="A7107" t="s">
        <v>17</v>
      </c>
      <c r="B7107" t="s">
        <v>120</v>
      </c>
      <c r="C7107">
        <v>202305</v>
      </c>
      <c r="D7107" t="str">
        <f t="shared" ref="D7107:D7170" si="111">LEFT(C7107,4)</f>
        <v>2023</v>
      </c>
      <c r="E7107">
        <v>225</v>
      </c>
      <c r="F7107">
        <v>83071</v>
      </c>
      <c r="G7107">
        <v>0.27</v>
      </c>
      <c r="H7107" t="s">
        <v>10</v>
      </c>
      <c r="I7107" t="s">
        <v>11</v>
      </c>
    </row>
    <row r="7108" spans="1:9" hidden="1" x14ac:dyDescent="0.25">
      <c r="A7108" t="s">
        <v>17</v>
      </c>
      <c r="B7108" t="s">
        <v>120</v>
      </c>
      <c r="C7108">
        <v>202306</v>
      </c>
      <c r="D7108" t="str">
        <f t="shared" si="111"/>
        <v>2023</v>
      </c>
      <c r="E7108">
        <v>184</v>
      </c>
      <c r="F7108">
        <v>83071</v>
      </c>
      <c r="G7108">
        <v>0.22</v>
      </c>
      <c r="H7108" t="s">
        <v>10</v>
      </c>
      <c r="I7108" t="s">
        <v>11</v>
      </c>
    </row>
    <row r="7109" spans="1:9" hidden="1" x14ac:dyDescent="0.25">
      <c r="A7109" t="s">
        <v>17</v>
      </c>
      <c r="B7109" t="s">
        <v>120</v>
      </c>
      <c r="C7109">
        <v>202307</v>
      </c>
      <c r="D7109" t="str">
        <f t="shared" si="111"/>
        <v>2023</v>
      </c>
      <c r="E7109">
        <v>388</v>
      </c>
      <c r="F7109">
        <v>83071</v>
      </c>
      <c r="G7109">
        <v>0.47</v>
      </c>
      <c r="H7109" t="s">
        <v>10</v>
      </c>
      <c r="I7109" t="s">
        <v>11</v>
      </c>
    </row>
    <row r="7110" spans="1:9" hidden="1" x14ac:dyDescent="0.25">
      <c r="A7110" t="s">
        <v>17</v>
      </c>
      <c r="B7110" t="s">
        <v>120</v>
      </c>
      <c r="C7110">
        <v>202308</v>
      </c>
      <c r="D7110" t="str">
        <f t="shared" si="111"/>
        <v>2023</v>
      </c>
      <c r="E7110">
        <v>372</v>
      </c>
      <c r="F7110">
        <v>83071</v>
      </c>
      <c r="G7110">
        <v>0.45</v>
      </c>
      <c r="H7110" t="s">
        <v>10</v>
      </c>
      <c r="I7110" t="s">
        <v>11</v>
      </c>
    </row>
    <row r="7111" spans="1:9" hidden="1" x14ac:dyDescent="0.25">
      <c r="A7111" t="s">
        <v>17</v>
      </c>
      <c r="B7111" t="s">
        <v>120</v>
      </c>
      <c r="C7111">
        <v>202309</v>
      </c>
      <c r="D7111" t="str">
        <f t="shared" si="111"/>
        <v>2023</v>
      </c>
      <c r="E7111">
        <v>477</v>
      </c>
      <c r="F7111">
        <v>83071</v>
      </c>
      <c r="G7111">
        <v>0.56999999999999995</v>
      </c>
      <c r="H7111" t="s">
        <v>10</v>
      </c>
      <c r="I7111" t="s">
        <v>11</v>
      </c>
    </row>
    <row r="7112" spans="1:9" hidden="1" x14ac:dyDescent="0.25">
      <c r="A7112" t="s">
        <v>17</v>
      </c>
      <c r="B7112" t="s">
        <v>120</v>
      </c>
      <c r="C7112">
        <v>202310</v>
      </c>
      <c r="D7112" t="str">
        <f t="shared" si="111"/>
        <v>2023</v>
      </c>
      <c r="E7112">
        <v>525</v>
      </c>
      <c r="F7112">
        <v>83071</v>
      </c>
      <c r="G7112">
        <v>0.63</v>
      </c>
      <c r="H7112" t="s">
        <v>10</v>
      </c>
      <c r="I7112" t="s">
        <v>11</v>
      </c>
    </row>
    <row r="7113" spans="1:9" hidden="1" x14ac:dyDescent="0.25">
      <c r="A7113" t="s">
        <v>17</v>
      </c>
      <c r="B7113" t="s">
        <v>120</v>
      </c>
      <c r="C7113">
        <v>202311</v>
      </c>
      <c r="D7113" t="str">
        <f t="shared" si="111"/>
        <v>2023</v>
      </c>
      <c r="E7113">
        <v>281</v>
      </c>
      <c r="F7113">
        <v>83071</v>
      </c>
      <c r="G7113">
        <v>0.34</v>
      </c>
      <c r="H7113" t="s">
        <v>10</v>
      </c>
      <c r="I7113" t="s">
        <v>11</v>
      </c>
    </row>
    <row r="7114" spans="1:9" hidden="1" x14ac:dyDescent="0.25">
      <c r="A7114" t="s">
        <v>17</v>
      </c>
      <c r="B7114" t="s">
        <v>120</v>
      </c>
      <c r="C7114">
        <v>202312</v>
      </c>
      <c r="D7114" t="str">
        <f t="shared" si="111"/>
        <v>2023</v>
      </c>
      <c r="E7114">
        <v>379</v>
      </c>
      <c r="F7114">
        <v>83071</v>
      </c>
      <c r="G7114">
        <v>0.46</v>
      </c>
      <c r="H7114" t="s">
        <v>10</v>
      </c>
      <c r="I7114" t="s">
        <v>11</v>
      </c>
    </row>
    <row r="7115" spans="1:9" hidden="1" x14ac:dyDescent="0.25">
      <c r="A7115" t="s">
        <v>17</v>
      </c>
      <c r="B7115" t="s">
        <v>120</v>
      </c>
      <c r="C7115">
        <v>202401</v>
      </c>
      <c r="D7115" t="str">
        <f t="shared" si="111"/>
        <v>2024</v>
      </c>
      <c r="E7115">
        <v>464</v>
      </c>
      <c r="F7115">
        <v>83071</v>
      </c>
      <c r="G7115">
        <v>0.56000000000000005</v>
      </c>
      <c r="H7115" t="s">
        <v>10</v>
      </c>
      <c r="I7115" t="s">
        <v>11</v>
      </c>
    </row>
    <row r="7116" spans="1:9" hidden="1" x14ac:dyDescent="0.25">
      <c r="A7116" t="s">
        <v>17</v>
      </c>
      <c r="B7116" t="s">
        <v>120</v>
      </c>
      <c r="C7116">
        <v>202402</v>
      </c>
      <c r="D7116" t="str">
        <f t="shared" si="111"/>
        <v>2024</v>
      </c>
      <c r="E7116">
        <v>614</v>
      </c>
      <c r="F7116">
        <v>83071</v>
      </c>
      <c r="G7116">
        <v>0.74</v>
      </c>
      <c r="H7116" t="s">
        <v>10</v>
      </c>
      <c r="I7116" t="s">
        <v>11</v>
      </c>
    </row>
    <row r="7117" spans="1:9" hidden="1" x14ac:dyDescent="0.25">
      <c r="A7117" t="s">
        <v>17</v>
      </c>
      <c r="B7117" t="s">
        <v>120</v>
      </c>
      <c r="C7117">
        <v>202403</v>
      </c>
      <c r="D7117" t="str">
        <f t="shared" si="111"/>
        <v>2024</v>
      </c>
      <c r="E7117">
        <v>581</v>
      </c>
      <c r="F7117">
        <v>83071</v>
      </c>
      <c r="G7117">
        <v>0.7</v>
      </c>
      <c r="H7117" t="s">
        <v>10</v>
      </c>
      <c r="I7117" t="s">
        <v>11</v>
      </c>
    </row>
    <row r="7118" spans="1:9" hidden="1" x14ac:dyDescent="0.25">
      <c r="A7118" t="s">
        <v>17</v>
      </c>
      <c r="B7118" t="s">
        <v>120</v>
      </c>
      <c r="C7118">
        <v>202404</v>
      </c>
      <c r="D7118" t="str">
        <f t="shared" si="111"/>
        <v>2024</v>
      </c>
      <c r="E7118">
        <v>722</v>
      </c>
      <c r="F7118">
        <v>83071</v>
      </c>
      <c r="G7118">
        <v>0.87</v>
      </c>
      <c r="H7118" t="s">
        <v>10</v>
      </c>
      <c r="I7118" t="s">
        <v>11</v>
      </c>
    </row>
    <row r="7119" spans="1:9" hidden="1" x14ac:dyDescent="0.25">
      <c r="A7119" t="s">
        <v>17</v>
      </c>
      <c r="B7119" t="s">
        <v>120</v>
      </c>
      <c r="C7119">
        <v>202405</v>
      </c>
      <c r="D7119" t="str">
        <f t="shared" si="111"/>
        <v>2024</v>
      </c>
      <c r="E7119">
        <v>1076</v>
      </c>
      <c r="F7119">
        <v>83071</v>
      </c>
      <c r="G7119">
        <v>1.3</v>
      </c>
      <c r="H7119" t="s">
        <v>10</v>
      </c>
      <c r="I7119" t="s">
        <v>11</v>
      </c>
    </row>
    <row r="7120" spans="1:9" hidden="1" x14ac:dyDescent="0.25">
      <c r="A7120" t="s">
        <v>17</v>
      </c>
      <c r="B7120" t="s">
        <v>120</v>
      </c>
      <c r="C7120">
        <v>202406</v>
      </c>
      <c r="D7120" t="str">
        <f t="shared" si="111"/>
        <v>2024</v>
      </c>
      <c r="E7120">
        <v>1544</v>
      </c>
      <c r="F7120">
        <v>83071</v>
      </c>
      <c r="G7120">
        <v>1.86</v>
      </c>
      <c r="H7120" t="s">
        <v>10</v>
      </c>
      <c r="I7120" t="s">
        <v>11</v>
      </c>
    </row>
    <row r="7121" spans="1:9" hidden="1" x14ac:dyDescent="0.25">
      <c r="A7121" t="s">
        <v>17</v>
      </c>
      <c r="B7121" t="s">
        <v>120</v>
      </c>
      <c r="C7121">
        <v>202407</v>
      </c>
      <c r="D7121" t="str">
        <f t="shared" si="111"/>
        <v>2024</v>
      </c>
      <c r="E7121">
        <v>2714</v>
      </c>
      <c r="F7121">
        <v>83071</v>
      </c>
      <c r="G7121">
        <v>3.27</v>
      </c>
      <c r="H7121" t="s">
        <v>10</v>
      </c>
      <c r="I7121" t="s">
        <v>11</v>
      </c>
    </row>
    <row r="7122" spans="1:9" hidden="1" x14ac:dyDescent="0.25">
      <c r="A7122" t="s">
        <v>17</v>
      </c>
      <c r="B7122" t="s">
        <v>120</v>
      </c>
      <c r="C7122">
        <v>202408</v>
      </c>
      <c r="D7122" t="str">
        <f t="shared" si="111"/>
        <v>2024</v>
      </c>
      <c r="E7122">
        <v>6541</v>
      </c>
      <c r="F7122">
        <v>83071</v>
      </c>
      <c r="G7122">
        <v>7.87</v>
      </c>
      <c r="H7122" t="s">
        <v>10</v>
      </c>
      <c r="I7122" t="s">
        <v>11</v>
      </c>
    </row>
    <row r="7123" spans="1:9" hidden="1" x14ac:dyDescent="0.25">
      <c r="A7123" t="s">
        <v>17</v>
      </c>
      <c r="B7123" t="s">
        <v>120</v>
      </c>
      <c r="C7123">
        <v>202409</v>
      </c>
      <c r="D7123" t="str">
        <f t="shared" si="111"/>
        <v>2024</v>
      </c>
      <c r="E7123">
        <v>36063</v>
      </c>
      <c r="F7123">
        <v>83071</v>
      </c>
      <c r="G7123">
        <v>43.41</v>
      </c>
      <c r="H7123" t="s">
        <v>10</v>
      </c>
      <c r="I7123" t="s">
        <v>11</v>
      </c>
    </row>
    <row r="7124" spans="1:9" hidden="1" x14ac:dyDescent="0.25">
      <c r="A7124" t="s">
        <v>17</v>
      </c>
      <c r="B7124" t="s">
        <v>120</v>
      </c>
      <c r="C7124">
        <v>202410</v>
      </c>
      <c r="D7124" t="str">
        <f t="shared" si="111"/>
        <v>2024</v>
      </c>
      <c r="E7124">
        <v>29356</v>
      </c>
      <c r="F7124">
        <v>83071</v>
      </c>
      <c r="G7124">
        <v>35.340000000000003</v>
      </c>
      <c r="H7124" t="s">
        <v>10</v>
      </c>
      <c r="I7124" t="s">
        <v>11</v>
      </c>
    </row>
    <row r="7125" spans="1:9" hidden="1" x14ac:dyDescent="0.25">
      <c r="A7125" t="s">
        <v>17</v>
      </c>
      <c r="B7125" t="s">
        <v>136</v>
      </c>
      <c r="C7125">
        <v>202108</v>
      </c>
      <c r="D7125" t="str">
        <f t="shared" si="111"/>
        <v>2021</v>
      </c>
      <c r="E7125">
        <v>2</v>
      </c>
      <c r="F7125">
        <v>76702</v>
      </c>
      <c r="G7125">
        <v>0</v>
      </c>
      <c r="H7125" t="s">
        <v>10</v>
      </c>
      <c r="I7125" t="s">
        <v>11</v>
      </c>
    </row>
    <row r="7126" spans="1:9" hidden="1" x14ac:dyDescent="0.25">
      <c r="A7126" t="s">
        <v>17</v>
      </c>
      <c r="B7126" t="s">
        <v>136</v>
      </c>
      <c r="C7126">
        <v>202110</v>
      </c>
      <c r="D7126" t="str">
        <f t="shared" si="111"/>
        <v>2021</v>
      </c>
      <c r="E7126">
        <v>2</v>
      </c>
      <c r="F7126">
        <v>76702</v>
      </c>
      <c r="G7126">
        <v>0</v>
      </c>
      <c r="H7126" t="s">
        <v>10</v>
      </c>
      <c r="I7126" t="s">
        <v>11</v>
      </c>
    </row>
    <row r="7127" spans="1:9" hidden="1" x14ac:dyDescent="0.25">
      <c r="A7127" t="s">
        <v>17</v>
      </c>
      <c r="B7127" t="s">
        <v>136</v>
      </c>
      <c r="C7127">
        <v>202201</v>
      </c>
      <c r="D7127" t="str">
        <f t="shared" si="111"/>
        <v>2022</v>
      </c>
      <c r="E7127">
        <v>3</v>
      </c>
      <c r="F7127">
        <v>76702</v>
      </c>
      <c r="G7127">
        <v>0</v>
      </c>
      <c r="H7127" t="s">
        <v>10</v>
      </c>
      <c r="I7127" t="s">
        <v>11</v>
      </c>
    </row>
    <row r="7128" spans="1:9" hidden="1" x14ac:dyDescent="0.25">
      <c r="A7128" t="s">
        <v>17</v>
      </c>
      <c r="B7128" t="s">
        <v>136</v>
      </c>
      <c r="C7128">
        <v>202202</v>
      </c>
      <c r="D7128" t="str">
        <f t="shared" si="111"/>
        <v>2022</v>
      </c>
      <c r="E7128">
        <v>7</v>
      </c>
      <c r="F7128">
        <v>76702</v>
      </c>
      <c r="G7128">
        <v>0.01</v>
      </c>
      <c r="H7128" t="s">
        <v>10</v>
      </c>
      <c r="I7128" t="s">
        <v>11</v>
      </c>
    </row>
    <row r="7129" spans="1:9" hidden="1" x14ac:dyDescent="0.25">
      <c r="A7129" t="s">
        <v>17</v>
      </c>
      <c r="B7129" t="s">
        <v>136</v>
      </c>
      <c r="C7129">
        <v>202203</v>
      </c>
      <c r="D7129" t="str">
        <f t="shared" si="111"/>
        <v>2022</v>
      </c>
      <c r="E7129">
        <v>6</v>
      </c>
      <c r="F7129">
        <v>76702</v>
      </c>
      <c r="G7129">
        <v>0.01</v>
      </c>
      <c r="H7129" t="s">
        <v>10</v>
      </c>
      <c r="I7129" t="s">
        <v>11</v>
      </c>
    </row>
    <row r="7130" spans="1:9" hidden="1" x14ac:dyDescent="0.25">
      <c r="A7130" t="s">
        <v>17</v>
      </c>
      <c r="B7130" t="s">
        <v>136</v>
      </c>
      <c r="C7130">
        <v>202204</v>
      </c>
      <c r="D7130" t="str">
        <f t="shared" si="111"/>
        <v>2022</v>
      </c>
      <c r="E7130">
        <v>4</v>
      </c>
      <c r="F7130">
        <v>76702</v>
      </c>
      <c r="G7130">
        <v>0.01</v>
      </c>
      <c r="H7130" t="s">
        <v>10</v>
      </c>
      <c r="I7130" t="s">
        <v>11</v>
      </c>
    </row>
    <row r="7131" spans="1:9" hidden="1" x14ac:dyDescent="0.25">
      <c r="A7131" t="s">
        <v>17</v>
      </c>
      <c r="B7131" t="s">
        <v>136</v>
      </c>
      <c r="C7131">
        <v>202205</v>
      </c>
      <c r="D7131" t="str">
        <f t="shared" si="111"/>
        <v>2022</v>
      </c>
      <c r="E7131">
        <v>4</v>
      </c>
      <c r="F7131">
        <v>76702</v>
      </c>
      <c r="G7131">
        <v>0.01</v>
      </c>
      <c r="H7131" t="s">
        <v>10</v>
      </c>
      <c r="I7131" t="s">
        <v>11</v>
      </c>
    </row>
    <row r="7132" spans="1:9" hidden="1" x14ac:dyDescent="0.25">
      <c r="A7132" t="s">
        <v>17</v>
      </c>
      <c r="B7132" t="s">
        <v>136</v>
      </c>
      <c r="C7132">
        <v>202206</v>
      </c>
      <c r="D7132" t="str">
        <f t="shared" si="111"/>
        <v>2022</v>
      </c>
      <c r="E7132">
        <v>13</v>
      </c>
      <c r="F7132">
        <v>76702</v>
      </c>
      <c r="G7132">
        <v>0.02</v>
      </c>
      <c r="H7132" t="s">
        <v>10</v>
      </c>
      <c r="I7132" t="s">
        <v>11</v>
      </c>
    </row>
    <row r="7133" spans="1:9" hidden="1" x14ac:dyDescent="0.25">
      <c r="A7133" t="s">
        <v>17</v>
      </c>
      <c r="B7133" t="s">
        <v>136</v>
      </c>
      <c r="C7133">
        <v>202207</v>
      </c>
      <c r="D7133" t="str">
        <f t="shared" si="111"/>
        <v>2022</v>
      </c>
      <c r="E7133">
        <v>4</v>
      </c>
      <c r="F7133">
        <v>76702</v>
      </c>
      <c r="G7133">
        <v>0.01</v>
      </c>
      <c r="H7133" t="s">
        <v>10</v>
      </c>
      <c r="I7133" t="s">
        <v>11</v>
      </c>
    </row>
    <row r="7134" spans="1:9" hidden="1" x14ac:dyDescent="0.25">
      <c r="A7134" t="s">
        <v>17</v>
      </c>
      <c r="B7134" t="s">
        <v>136</v>
      </c>
      <c r="C7134">
        <v>202208</v>
      </c>
      <c r="D7134" t="str">
        <f t="shared" si="111"/>
        <v>2022</v>
      </c>
      <c r="E7134">
        <v>8</v>
      </c>
      <c r="F7134">
        <v>76702</v>
      </c>
      <c r="G7134">
        <v>0.01</v>
      </c>
      <c r="H7134" t="s">
        <v>10</v>
      </c>
      <c r="I7134" t="s">
        <v>11</v>
      </c>
    </row>
    <row r="7135" spans="1:9" hidden="1" x14ac:dyDescent="0.25">
      <c r="A7135" t="s">
        <v>17</v>
      </c>
      <c r="B7135" t="s">
        <v>136</v>
      </c>
      <c r="C7135">
        <v>202209</v>
      </c>
      <c r="D7135" t="str">
        <f t="shared" si="111"/>
        <v>2022</v>
      </c>
      <c r="E7135">
        <v>19</v>
      </c>
      <c r="F7135">
        <v>76702</v>
      </c>
      <c r="G7135">
        <v>0.02</v>
      </c>
      <c r="H7135" t="s">
        <v>10</v>
      </c>
      <c r="I7135" t="s">
        <v>11</v>
      </c>
    </row>
    <row r="7136" spans="1:9" hidden="1" x14ac:dyDescent="0.25">
      <c r="A7136" t="s">
        <v>17</v>
      </c>
      <c r="B7136" t="s">
        <v>136</v>
      </c>
      <c r="C7136">
        <v>202210</v>
      </c>
      <c r="D7136" t="str">
        <f t="shared" si="111"/>
        <v>2022</v>
      </c>
      <c r="E7136">
        <v>17</v>
      </c>
      <c r="F7136">
        <v>76702</v>
      </c>
      <c r="G7136">
        <v>0.02</v>
      </c>
      <c r="H7136" t="s">
        <v>10</v>
      </c>
      <c r="I7136" t="s">
        <v>11</v>
      </c>
    </row>
    <row r="7137" spans="1:9" hidden="1" x14ac:dyDescent="0.25">
      <c r="A7137" t="s">
        <v>17</v>
      </c>
      <c r="B7137" t="s">
        <v>136</v>
      </c>
      <c r="C7137">
        <v>202211</v>
      </c>
      <c r="D7137" t="str">
        <f t="shared" si="111"/>
        <v>2022</v>
      </c>
      <c r="E7137">
        <v>25</v>
      </c>
      <c r="F7137">
        <v>76702</v>
      </c>
      <c r="G7137">
        <v>0.03</v>
      </c>
      <c r="H7137" t="s">
        <v>10</v>
      </c>
      <c r="I7137" t="s">
        <v>11</v>
      </c>
    </row>
    <row r="7138" spans="1:9" hidden="1" x14ac:dyDescent="0.25">
      <c r="A7138" t="s">
        <v>17</v>
      </c>
      <c r="B7138" t="s">
        <v>136</v>
      </c>
      <c r="C7138">
        <v>202212</v>
      </c>
      <c r="D7138" t="str">
        <f t="shared" si="111"/>
        <v>2022</v>
      </c>
      <c r="E7138">
        <v>96</v>
      </c>
      <c r="F7138">
        <v>76702</v>
      </c>
      <c r="G7138">
        <v>0.13</v>
      </c>
      <c r="H7138" t="s">
        <v>10</v>
      </c>
      <c r="I7138" t="s">
        <v>11</v>
      </c>
    </row>
    <row r="7139" spans="1:9" hidden="1" x14ac:dyDescent="0.25">
      <c r="A7139" t="s">
        <v>17</v>
      </c>
      <c r="B7139" t="s">
        <v>136</v>
      </c>
      <c r="C7139">
        <v>202301</v>
      </c>
      <c r="D7139" t="str">
        <f t="shared" si="111"/>
        <v>2023</v>
      </c>
      <c r="E7139">
        <v>107</v>
      </c>
      <c r="F7139">
        <v>76702</v>
      </c>
      <c r="G7139">
        <v>0.14000000000000001</v>
      </c>
      <c r="H7139" t="s">
        <v>10</v>
      </c>
      <c r="I7139" t="s">
        <v>11</v>
      </c>
    </row>
    <row r="7140" spans="1:9" hidden="1" x14ac:dyDescent="0.25">
      <c r="A7140" t="s">
        <v>17</v>
      </c>
      <c r="B7140" t="s">
        <v>136</v>
      </c>
      <c r="C7140">
        <v>202302</v>
      </c>
      <c r="D7140" t="str">
        <f t="shared" si="111"/>
        <v>2023</v>
      </c>
      <c r="E7140">
        <v>93</v>
      </c>
      <c r="F7140">
        <v>76702</v>
      </c>
      <c r="G7140">
        <v>0.12</v>
      </c>
      <c r="H7140" t="s">
        <v>10</v>
      </c>
      <c r="I7140" t="s">
        <v>11</v>
      </c>
    </row>
    <row r="7141" spans="1:9" hidden="1" x14ac:dyDescent="0.25">
      <c r="A7141" t="s">
        <v>17</v>
      </c>
      <c r="B7141" t="s">
        <v>136</v>
      </c>
      <c r="C7141">
        <v>202303</v>
      </c>
      <c r="D7141" t="str">
        <f t="shared" si="111"/>
        <v>2023</v>
      </c>
      <c r="E7141">
        <v>122</v>
      </c>
      <c r="F7141">
        <v>76702</v>
      </c>
      <c r="G7141">
        <v>0.16</v>
      </c>
      <c r="H7141" t="s">
        <v>10</v>
      </c>
      <c r="I7141" t="s">
        <v>11</v>
      </c>
    </row>
    <row r="7142" spans="1:9" hidden="1" x14ac:dyDescent="0.25">
      <c r="A7142" t="s">
        <v>17</v>
      </c>
      <c r="B7142" t="s">
        <v>136</v>
      </c>
      <c r="C7142">
        <v>202304</v>
      </c>
      <c r="D7142" t="str">
        <f t="shared" si="111"/>
        <v>2023</v>
      </c>
      <c r="E7142">
        <v>107</v>
      </c>
      <c r="F7142">
        <v>76702</v>
      </c>
      <c r="G7142">
        <v>0.14000000000000001</v>
      </c>
      <c r="H7142" t="s">
        <v>10</v>
      </c>
      <c r="I7142" t="s">
        <v>11</v>
      </c>
    </row>
    <row r="7143" spans="1:9" hidden="1" x14ac:dyDescent="0.25">
      <c r="A7143" t="s">
        <v>17</v>
      </c>
      <c r="B7143" t="s">
        <v>136</v>
      </c>
      <c r="C7143">
        <v>202305</v>
      </c>
      <c r="D7143" t="str">
        <f t="shared" si="111"/>
        <v>2023</v>
      </c>
      <c r="E7143">
        <v>129</v>
      </c>
      <c r="F7143">
        <v>76702</v>
      </c>
      <c r="G7143">
        <v>0.17</v>
      </c>
      <c r="H7143" t="s">
        <v>10</v>
      </c>
      <c r="I7143" t="s">
        <v>11</v>
      </c>
    </row>
    <row r="7144" spans="1:9" hidden="1" x14ac:dyDescent="0.25">
      <c r="A7144" t="s">
        <v>17</v>
      </c>
      <c r="B7144" t="s">
        <v>136</v>
      </c>
      <c r="C7144">
        <v>202306</v>
      </c>
      <c r="D7144" t="str">
        <f t="shared" si="111"/>
        <v>2023</v>
      </c>
      <c r="E7144">
        <v>88</v>
      </c>
      <c r="F7144">
        <v>76702</v>
      </c>
      <c r="G7144">
        <v>0.11</v>
      </c>
      <c r="H7144" t="s">
        <v>10</v>
      </c>
      <c r="I7144" t="s">
        <v>11</v>
      </c>
    </row>
    <row r="7145" spans="1:9" hidden="1" x14ac:dyDescent="0.25">
      <c r="A7145" t="s">
        <v>17</v>
      </c>
      <c r="B7145" t="s">
        <v>136</v>
      </c>
      <c r="C7145">
        <v>202307</v>
      </c>
      <c r="D7145" t="str">
        <f t="shared" si="111"/>
        <v>2023</v>
      </c>
      <c r="E7145">
        <v>160</v>
      </c>
      <c r="F7145">
        <v>76702</v>
      </c>
      <c r="G7145">
        <v>0.21</v>
      </c>
      <c r="H7145" t="s">
        <v>10</v>
      </c>
      <c r="I7145" t="s">
        <v>11</v>
      </c>
    </row>
    <row r="7146" spans="1:9" hidden="1" x14ac:dyDescent="0.25">
      <c r="A7146" t="s">
        <v>17</v>
      </c>
      <c r="B7146" t="s">
        <v>136</v>
      </c>
      <c r="C7146">
        <v>202308</v>
      </c>
      <c r="D7146" t="str">
        <f t="shared" si="111"/>
        <v>2023</v>
      </c>
      <c r="E7146">
        <v>300</v>
      </c>
      <c r="F7146">
        <v>76702</v>
      </c>
      <c r="G7146">
        <v>0.39</v>
      </c>
      <c r="H7146" t="s">
        <v>10</v>
      </c>
      <c r="I7146" t="s">
        <v>11</v>
      </c>
    </row>
    <row r="7147" spans="1:9" hidden="1" x14ac:dyDescent="0.25">
      <c r="A7147" t="s">
        <v>17</v>
      </c>
      <c r="B7147" t="s">
        <v>136</v>
      </c>
      <c r="C7147">
        <v>202309</v>
      </c>
      <c r="D7147" t="str">
        <f t="shared" si="111"/>
        <v>2023</v>
      </c>
      <c r="E7147">
        <v>271</v>
      </c>
      <c r="F7147">
        <v>76702</v>
      </c>
      <c r="G7147">
        <v>0.35</v>
      </c>
      <c r="H7147" t="s">
        <v>10</v>
      </c>
      <c r="I7147" t="s">
        <v>11</v>
      </c>
    </row>
    <row r="7148" spans="1:9" hidden="1" x14ac:dyDescent="0.25">
      <c r="A7148" t="s">
        <v>17</v>
      </c>
      <c r="B7148" t="s">
        <v>136</v>
      </c>
      <c r="C7148">
        <v>202310</v>
      </c>
      <c r="D7148" t="str">
        <f t="shared" si="111"/>
        <v>2023</v>
      </c>
      <c r="E7148">
        <v>186</v>
      </c>
      <c r="F7148">
        <v>76702</v>
      </c>
      <c r="G7148">
        <v>0.24</v>
      </c>
      <c r="H7148" t="s">
        <v>10</v>
      </c>
      <c r="I7148" t="s">
        <v>11</v>
      </c>
    </row>
    <row r="7149" spans="1:9" hidden="1" x14ac:dyDescent="0.25">
      <c r="A7149" t="s">
        <v>17</v>
      </c>
      <c r="B7149" t="s">
        <v>136</v>
      </c>
      <c r="C7149">
        <v>202311</v>
      </c>
      <c r="D7149" t="str">
        <f t="shared" si="111"/>
        <v>2023</v>
      </c>
      <c r="E7149">
        <v>222</v>
      </c>
      <c r="F7149">
        <v>76702</v>
      </c>
      <c r="G7149">
        <v>0.28999999999999998</v>
      </c>
      <c r="H7149" t="s">
        <v>10</v>
      </c>
      <c r="I7149" t="s">
        <v>11</v>
      </c>
    </row>
    <row r="7150" spans="1:9" hidden="1" x14ac:dyDescent="0.25">
      <c r="A7150" t="s">
        <v>17</v>
      </c>
      <c r="B7150" t="s">
        <v>136</v>
      </c>
      <c r="C7150">
        <v>202312</v>
      </c>
      <c r="D7150" t="str">
        <f t="shared" si="111"/>
        <v>2023</v>
      </c>
      <c r="E7150">
        <v>246</v>
      </c>
      <c r="F7150">
        <v>76702</v>
      </c>
      <c r="G7150">
        <v>0.32</v>
      </c>
      <c r="H7150" t="s">
        <v>10</v>
      </c>
      <c r="I7150" t="s">
        <v>11</v>
      </c>
    </row>
    <row r="7151" spans="1:9" hidden="1" x14ac:dyDescent="0.25">
      <c r="A7151" t="s">
        <v>17</v>
      </c>
      <c r="B7151" t="s">
        <v>136</v>
      </c>
      <c r="C7151">
        <v>202401</v>
      </c>
      <c r="D7151" t="str">
        <f t="shared" si="111"/>
        <v>2024</v>
      </c>
      <c r="E7151">
        <v>355</v>
      </c>
      <c r="F7151">
        <v>76702</v>
      </c>
      <c r="G7151">
        <v>0.46</v>
      </c>
      <c r="H7151" t="s">
        <v>10</v>
      </c>
      <c r="I7151" t="s">
        <v>11</v>
      </c>
    </row>
    <row r="7152" spans="1:9" hidden="1" x14ac:dyDescent="0.25">
      <c r="A7152" t="s">
        <v>17</v>
      </c>
      <c r="B7152" t="s">
        <v>136</v>
      </c>
      <c r="C7152">
        <v>202402</v>
      </c>
      <c r="D7152" t="str">
        <f t="shared" si="111"/>
        <v>2024</v>
      </c>
      <c r="E7152">
        <v>665</v>
      </c>
      <c r="F7152">
        <v>76702</v>
      </c>
      <c r="G7152">
        <v>0.87</v>
      </c>
      <c r="H7152" t="s">
        <v>10</v>
      </c>
      <c r="I7152" t="s">
        <v>11</v>
      </c>
    </row>
    <row r="7153" spans="1:9" hidden="1" x14ac:dyDescent="0.25">
      <c r="A7153" t="s">
        <v>17</v>
      </c>
      <c r="B7153" t="s">
        <v>136</v>
      </c>
      <c r="C7153">
        <v>202403</v>
      </c>
      <c r="D7153" t="str">
        <f t="shared" si="111"/>
        <v>2024</v>
      </c>
      <c r="E7153">
        <v>401</v>
      </c>
      <c r="F7153">
        <v>76702</v>
      </c>
      <c r="G7153">
        <v>0.52</v>
      </c>
      <c r="H7153" t="s">
        <v>10</v>
      </c>
      <c r="I7153" t="s">
        <v>11</v>
      </c>
    </row>
    <row r="7154" spans="1:9" hidden="1" x14ac:dyDescent="0.25">
      <c r="A7154" t="s">
        <v>17</v>
      </c>
      <c r="B7154" t="s">
        <v>136</v>
      </c>
      <c r="C7154">
        <v>202404</v>
      </c>
      <c r="D7154" t="str">
        <f t="shared" si="111"/>
        <v>2024</v>
      </c>
      <c r="E7154">
        <v>699</v>
      </c>
      <c r="F7154">
        <v>76702</v>
      </c>
      <c r="G7154">
        <v>0.91</v>
      </c>
      <c r="H7154" t="s">
        <v>10</v>
      </c>
      <c r="I7154" t="s">
        <v>11</v>
      </c>
    </row>
    <row r="7155" spans="1:9" hidden="1" x14ac:dyDescent="0.25">
      <c r="A7155" t="s">
        <v>17</v>
      </c>
      <c r="B7155" t="s">
        <v>136</v>
      </c>
      <c r="C7155">
        <v>202405</v>
      </c>
      <c r="D7155" t="str">
        <f t="shared" si="111"/>
        <v>2024</v>
      </c>
      <c r="E7155">
        <v>819</v>
      </c>
      <c r="F7155">
        <v>76702</v>
      </c>
      <c r="G7155">
        <v>1.07</v>
      </c>
      <c r="H7155" t="s">
        <v>10</v>
      </c>
      <c r="I7155" t="s">
        <v>11</v>
      </c>
    </row>
    <row r="7156" spans="1:9" hidden="1" x14ac:dyDescent="0.25">
      <c r="A7156" t="s">
        <v>17</v>
      </c>
      <c r="B7156" t="s">
        <v>136</v>
      </c>
      <c r="C7156">
        <v>202406</v>
      </c>
      <c r="D7156" t="str">
        <f t="shared" si="111"/>
        <v>2024</v>
      </c>
      <c r="E7156">
        <v>1096</v>
      </c>
      <c r="F7156">
        <v>76702</v>
      </c>
      <c r="G7156">
        <v>1.43</v>
      </c>
      <c r="H7156" t="s">
        <v>10</v>
      </c>
      <c r="I7156" t="s">
        <v>11</v>
      </c>
    </row>
    <row r="7157" spans="1:9" hidden="1" x14ac:dyDescent="0.25">
      <c r="A7157" t="s">
        <v>17</v>
      </c>
      <c r="B7157" t="s">
        <v>136</v>
      </c>
      <c r="C7157">
        <v>202407</v>
      </c>
      <c r="D7157" t="str">
        <f t="shared" si="111"/>
        <v>2024</v>
      </c>
      <c r="E7157">
        <v>1304</v>
      </c>
      <c r="F7157">
        <v>76702</v>
      </c>
      <c r="G7157">
        <v>1.7</v>
      </c>
      <c r="H7157" t="s">
        <v>10</v>
      </c>
      <c r="I7157" t="s">
        <v>11</v>
      </c>
    </row>
    <row r="7158" spans="1:9" hidden="1" x14ac:dyDescent="0.25">
      <c r="A7158" t="s">
        <v>17</v>
      </c>
      <c r="B7158" t="s">
        <v>136</v>
      </c>
      <c r="C7158">
        <v>202408</v>
      </c>
      <c r="D7158" t="str">
        <f t="shared" si="111"/>
        <v>2024</v>
      </c>
      <c r="E7158">
        <v>2589</v>
      </c>
      <c r="F7158">
        <v>76702</v>
      </c>
      <c r="G7158">
        <v>3.38</v>
      </c>
      <c r="H7158" t="s">
        <v>10</v>
      </c>
      <c r="I7158" t="s">
        <v>11</v>
      </c>
    </row>
    <row r="7159" spans="1:9" hidden="1" x14ac:dyDescent="0.25">
      <c r="A7159" t="s">
        <v>17</v>
      </c>
      <c r="B7159" t="s">
        <v>136</v>
      </c>
      <c r="C7159">
        <v>202409</v>
      </c>
      <c r="D7159" t="str">
        <f t="shared" si="111"/>
        <v>2024</v>
      </c>
      <c r="E7159">
        <v>5291</v>
      </c>
      <c r="F7159">
        <v>76702</v>
      </c>
      <c r="G7159">
        <v>6.9</v>
      </c>
      <c r="H7159" t="s">
        <v>10</v>
      </c>
      <c r="I7159" t="s">
        <v>11</v>
      </c>
    </row>
    <row r="7160" spans="1:9" hidden="1" x14ac:dyDescent="0.25">
      <c r="A7160" t="s">
        <v>17</v>
      </c>
      <c r="B7160" t="s">
        <v>136</v>
      </c>
      <c r="C7160">
        <v>202410</v>
      </c>
      <c r="D7160" t="str">
        <f t="shared" si="111"/>
        <v>2024</v>
      </c>
      <c r="E7160">
        <v>35968</v>
      </c>
      <c r="F7160">
        <v>76702</v>
      </c>
      <c r="G7160">
        <v>46.89</v>
      </c>
      <c r="H7160" t="s">
        <v>10</v>
      </c>
      <c r="I7160" t="s">
        <v>11</v>
      </c>
    </row>
    <row r="7161" spans="1:9" hidden="1" x14ac:dyDescent="0.25">
      <c r="A7161" t="s">
        <v>17</v>
      </c>
      <c r="B7161" t="s">
        <v>136</v>
      </c>
      <c r="C7161">
        <v>202411</v>
      </c>
      <c r="D7161" t="str">
        <f t="shared" si="111"/>
        <v>2024</v>
      </c>
      <c r="E7161">
        <v>25274</v>
      </c>
      <c r="F7161">
        <v>76702</v>
      </c>
      <c r="G7161">
        <v>32.950000000000003</v>
      </c>
      <c r="H7161" t="s">
        <v>10</v>
      </c>
      <c r="I7161" t="s">
        <v>11</v>
      </c>
    </row>
    <row r="7162" spans="1:9" hidden="1" x14ac:dyDescent="0.25">
      <c r="A7162" t="s">
        <v>17</v>
      </c>
      <c r="B7162" t="s">
        <v>142</v>
      </c>
      <c r="C7162">
        <v>201712</v>
      </c>
      <c r="D7162" t="str">
        <f t="shared" si="111"/>
        <v>2017</v>
      </c>
      <c r="E7162">
        <v>2</v>
      </c>
      <c r="F7162">
        <v>70172</v>
      </c>
      <c r="G7162">
        <v>0</v>
      </c>
      <c r="H7162" t="s">
        <v>10</v>
      </c>
      <c r="I7162" t="s">
        <v>11</v>
      </c>
    </row>
    <row r="7163" spans="1:9" hidden="1" x14ac:dyDescent="0.25">
      <c r="A7163" t="s">
        <v>17</v>
      </c>
      <c r="B7163" t="s">
        <v>142</v>
      </c>
      <c r="C7163">
        <v>201801</v>
      </c>
      <c r="D7163" t="str">
        <f t="shared" si="111"/>
        <v>2018</v>
      </c>
      <c r="E7163">
        <v>65</v>
      </c>
      <c r="F7163">
        <v>70172</v>
      </c>
      <c r="G7163">
        <v>0.09</v>
      </c>
      <c r="H7163" t="s">
        <v>10</v>
      </c>
      <c r="I7163" t="s">
        <v>11</v>
      </c>
    </row>
    <row r="7164" spans="1:9" hidden="1" x14ac:dyDescent="0.25">
      <c r="A7164" t="s">
        <v>17</v>
      </c>
      <c r="B7164" t="s">
        <v>142</v>
      </c>
      <c r="C7164">
        <v>201802</v>
      </c>
      <c r="D7164" t="str">
        <f t="shared" si="111"/>
        <v>2018</v>
      </c>
      <c r="E7164">
        <v>10</v>
      </c>
      <c r="F7164">
        <v>70172</v>
      </c>
      <c r="G7164">
        <v>0.01</v>
      </c>
      <c r="H7164" t="s">
        <v>10</v>
      </c>
      <c r="I7164" t="s">
        <v>11</v>
      </c>
    </row>
    <row r="7165" spans="1:9" hidden="1" x14ac:dyDescent="0.25">
      <c r="A7165" t="s">
        <v>17</v>
      </c>
      <c r="B7165" t="s">
        <v>142</v>
      </c>
      <c r="C7165">
        <v>201803</v>
      </c>
      <c r="D7165" t="str">
        <f t="shared" si="111"/>
        <v>2018</v>
      </c>
      <c r="E7165">
        <v>12</v>
      </c>
      <c r="F7165">
        <v>70172</v>
      </c>
      <c r="G7165">
        <v>0.02</v>
      </c>
      <c r="H7165" t="s">
        <v>10</v>
      </c>
      <c r="I7165" t="s">
        <v>11</v>
      </c>
    </row>
    <row r="7166" spans="1:9" hidden="1" x14ac:dyDescent="0.25">
      <c r="A7166" t="s">
        <v>17</v>
      </c>
      <c r="B7166" t="s">
        <v>142</v>
      </c>
      <c r="C7166">
        <v>201804</v>
      </c>
      <c r="D7166" t="str">
        <f t="shared" si="111"/>
        <v>2018</v>
      </c>
      <c r="E7166">
        <v>26</v>
      </c>
      <c r="F7166">
        <v>70172</v>
      </c>
      <c r="G7166">
        <v>0.04</v>
      </c>
      <c r="H7166" t="s">
        <v>10</v>
      </c>
      <c r="I7166" t="s">
        <v>11</v>
      </c>
    </row>
    <row r="7167" spans="1:9" hidden="1" x14ac:dyDescent="0.25">
      <c r="A7167" t="s">
        <v>17</v>
      </c>
      <c r="B7167" t="s">
        <v>142</v>
      </c>
      <c r="C7167">
        <v>201805</v>
      </c>
      <c r="D7167" t="str">
        <f t="shared" si="111"/>
        <v>2018</v>
      </c>
      <c r="E7167">
        <v>13</v>
      </c>
      <c r="F7167">
        <v>70172</v>
      </c>
      <c r="G7167">
        <v>0.02</v>
      </c>
      <c r="H7167" t="s">
        <v>10</v>
      </c>
      <c r="I7167" t="s">
        <v>11</v>
      </c>
    </row>
    <row r="7168" spans="1:9" hidden="1" x14ac:dyDescent="0.25">
      <c r="A7168" t="s">
        <v>17</v>
      </c>
      <c r="B7168" t="s">
        <v>142</v>
      </c>
      <c r="C7168">
        <v>201806</v>
      </c>
      <c r="D7168" t="str">
        <f t="shared" si="111"/>
        <v>2018</v>
      </c>
      <c r="E7168">
        <v>42</v>
      </c>
      <c r="F7168">
        <v>70172</v>
      </c>
      <c r="G7168">
        <v>0.06</v>
      </c>
      <c r="H7168" t="s">
        <v>10</v>
      </c>
      <c r="I7168" t="s">
        <v>11</v>
      </c>
    </row>
    <row r="7169" spans="1:9" hidden="1" x14ac:dyDescent="0.25">
      <c r="A7169" t="s">
        <v>17</v>
      </c>
      <c r="B7169" t="s">
        <v>142</v>
      </c>
      <c r="C7169">
        <v>201807</v>
      </c>
      <c r="D7169" t="str">
        <f t="shared" si="111"/>
        <v>2018</v>
      </c>
      <c r="E7169">
        <v>77</v>
      </c>
      <c r="F7169">
        <v>70172</v>
      </c>
      <c r="G7169">
        <v>0.11</v>
      </c>
      <c r="H7169" t="s">
        <v>10</v>
      </c>
      <c r="I7169" t="s">
        <v>11</v>
      </c>
    </row>
    <row r="7170" spans="1:9" hidden="1" x14ac:dyDescent="0.25">
      <c r="A7170" t="s">
        <v>17</v>
      </c>
      <c r="B7170" t="s">
        <v>142</v>
      </c>
      <c r="C7170">
        <v>201808</v>
      </c>
      <c r="D7170" t="str">
        <f t="shared" si="111"/>
        <v>2018</v>
      </c>
      <c r="E7170">
        <v>361</v>
      </c>
      <c r="F7170">
        <v>70172</v>
      </c>
      <c r="G7170">
        <v>0.51</v>
      </c>
      <c r="H7170" t="s">
        <v>10</v>
      </c>
      <c r="I7170" t="s">
        <v>11</v>
      </c>
    </row>
    <row r="7171" spans="1:9" hidden="1" x14ac:dyDescent="0.25">
      <c r="A7171" t="s">
        <v>17</v>
      </c>
      <c r="B7171" t="s">
        <v>142</v>
      </c>
      <c r="C7171">
        <v>201809</v>
      </c>
      <c r="D7171" t="str">
        <f t="shared" ref="D7171:D7234" si="112">LEFT(C7171,4)</f>
        <v>2018</v>
      </c>
      <c r="E7171">
        <v>183</v>
      </c>
      <c r="F7171">
        <v>70172</v>
      </c>
      <c r="G7171">
        <v>0.26</v>
      </c>
      <c r="H7171" t="s">
        <v>10</v>
      </c>
      <c r="I7171" t="s">
        <v>11</v>
      </c>
    </row>
    <row r="7172" spans="1:9" hidden="1" x14ac:dyDescent="0.25">
      <c r="A7172" t="s">
        <v>17</v>
      </c>
      <c r="B7172" t="s">
        <v>142</v>
      </c>
      <c r="C7172">
        <v>201810</v>
      </c>
      <c r="D7172" t="str">
        <f t="shared" si="112"/>
        <v>2018</v>
      </c>
      <c r="E7172">
        <v>207</v>
      </c>
      <c r="F7172">
        <v>70172</v>
      </c>
      <c r="G7172">
        <v>0.28999999999999998</v>
      </c>
      <c r="H7172" t="s">
        <v>10</v>
      </c>
      <c r="I7172" t="s">
        <v>11</v>
      </c>
    </row>
    <row r="7173" spans="1:9" hidden="1" x14ac:dyDescent="0.25">
      <c r="A7173" t="s">
        <v>17</v>
      </c>
      <c r="B7173" t="s">
        <v>142</v>
      </c>
      <c r="C7173">
        <v>201811</v>
      </c>
      <c r="D7173" t="str">
        <f t="shared" si="112"/>
        <v>2018</v>
      </c>
      <c r="E7173">
        <v>118</v>
      </c>
      <c r="F7173">
        <v>70172</v>
      </c>
      <c r="G7173">
        <v>0.17</v>
      </c>
      <c r="H7173" t="s">
        <v>10</v>
      </c>
      <c r="I7173" t="s">
        <v>11</v>
      </c>
    </row>
    <row r="7174" spans="1:9" hidden="1" x14ac:dyDescent="0.25">
      <c r="A7174" t="s">
        <v>17</v>
      </c>
      <c r="B7174" t="s">
        <v>142</v>
      </c>
      <c r="C7174">
        <v>201812</v>
      </c>
      <c r="D7174" t="str">
        <f t="shared" si="112"/>
        <v>2018</v>
      </c>
      <c r="E7174">
        <v>60</v>
      </c>
      <c r="F7174">
        <v>70172</v>
      </c>
      <c r="G7174">
        <v>0.09</v>
      </c>
      <c r="H7174" t="s">
        <v>10</v>
      </c>
      <c r="I7174" t="s">
        <v>11</v>
      </c>
    </row>
    <row r="7175" spans="1:9" hidden="1" x14ac:dyDescent="0.25">
      <c r="A7175" t="s">
        <v>17</v>
      </c>
      <c r="B7175" t="s">
        <v>142</v>
      </c>
      <c r="C7175">
        <v>201901</v>
      </c>
      <c r="D7175" t="str">
        <f t="shared" si="112"/>
        <v>2019</v>
      </c>
      <c r="E7175">
        <v>25</v>
      </c>
      <c r="F7175">
        <v>70172</v>
      </c>
      <c r="G7175">
        <v>0.04</v>
      </c>
      <c r="H7175" t="s">
        <v>10</v>
      </c>
      <c r="I7175" t="s">
        <v>11</v>
      </c>
    </row>
    <row r="7176" spans="1:9" hidden="1" x14ac:dyDescent="0.25">
      <c r="A7176" t="s">
        <v>17</v>
      </c>
      <c r="B7176" t="s">
        <v>142</v>
      </c>
      <c r="C7176">
        <v>202003</v>
      </c>
      <c r="D7176" t="str">
        <f t="shared" si="112"/>
        <v>2020</v>
      </c>
      <c r="E7176">
        <v>19</v>
      </c>
      <c r="F7176">
        <v>70172</v>
      </c>
      <c r="G7176">
        <v>0.03</v>
      </c>
      <c r="H7176" t="s">
        <v>10</v>
      </c>
      <c r="I7176" t="s">
        <v>11</v>
      </c>
    </row>
    <row r="7177" spans="1:9" hidden="1" x14ac:dyDescent="0.25">
      <c r="A7177" t="s">
        <v>17</v>
      </c>
      <c r="B7177" t="s">
        <v>142</v>
      </c>
      <c r="C7177">
        <v>202203</v>
      </c>
      <c r="D7177" t="str">
        <f t="shared" si="112"/>
        <v>2022</v>
      </c>
      <c r="E7177">
        <v>1</v>
      </c>
      <c r="F7177">
        <v>70172</v>
      </c>
      <c r="G7177">
        <v>0</v>
      </c>
      <c r="H7177" t="s">
        <v>10</v>
      </c>
      <c r="I7177" t="s">
        <v>11</v>
      </c>
    </row>
    <row r="7178" spans="1:9" hidden="1" x14ac:dyDescent="0.25">
      <c r="A7178" t="s">
        <v>17</v>
      </c>
      <c r="B7178" t="s">
        <v>142</v>
      </c>
      <c r="C7178">
        <v>202205</v>
      </c>
      <c r="D7178" t="str">
        <f t="shared" si="112"/>
        <v>2022</v>
      </c>
      <c r="E7178">
        <v>3</v>
      </c>
      <c r="F7178">
        <v>70172</v>
      </c>
      <c r="G7178">
        <v>0</v>
      </c>
      <c r="H7178" t="s">
        <v>10</v>
      </c>
      <c r="I7178" t="s">
        <v>11</v>
      </c>
    </row>
    <row r="7179" spans="1:9" hidden="1" x14ac:dyDescent="0.25">
      <c r="A7179" t="s">
        <v>17</v>
      </c>
      <c r="B7179" t="s">
        <v>142</v>
      </c>
      <c r="C7179">
        <v>202206</v>
      </c>
      <c r="D7179" t="str">
        <f t="shared" si="112"/>
        <v>2022</v>
      </c>
      <c r="E7179">
        <v>4</v>
      </c>
      <c r="F7179">
        <v>70172</v>
      </c>
      <c r="G7179">
        <v>0.01</v>
      </c>
      <c r="H7179" t="s">
        <v>10</v>
      </c>
      <c r="I7179" t="s">
        <v>11</v>
      </c>
    </row>
    <row r="7180" spans="1:9" hidden="1" x14ac:dyDescent="0.25">
      <c r="A7180" t="s">
        <v>17</v>
      </c>
      <c r="B7180" t="s">
        <v>142</v>
      </c>
      <c r="C7180">
        <v>202207</v>
      </c>
      <c r="D7180" t="str">
        <f t="shared" si="112"/>
        <v>2022</v>
      </c>
      <c r="E7180">
        <v>7</v>
      </c>
      <c r="F7180">
        <v>70172</v>
      </c>
      <c r="G7180">
        <v>0.01</v>
      </c>
      <c r="H7180" t="s">
        <v>10</v>
      </c>
      <c r="I7180" t="s">
        <v>11</v>
      </c>
    </row>
    <row r="7181" spans="1:9" hidden="1" x14ac:dyDescent="0.25">
      <c r="A7181" t="s">
        <v>17</v>
      </c>
      <c r="B7181" t="s">
        <v>142</v>
      </c>
      <c r="C7181">
        <v>202208</v>
      </c>
      <c r="D7181" t="str">
        <f t="shared" si="112"/>
        <v>2022</v>
      </c>
      <c r="E7181">
        <v>5</v>
      </c>
      <c r="F7181">
        <v>70172</v>
      </c>
      <c r="G7181">
        <v>0.01</v>
      </c>
      <c r="H7181" t="s">
        <v>10</v>
      </c>
      <c r="I7181" t="s">
        <v>11</v>
      </c>
    </row>
    <row r="7182" spans="1:9" hidden="1" x14ac:dyDescent="0.25">
      <c r="A7182" t="s">
        <v>17</v>
      </c>
      <c r="B7182" t="s">
        <v>142</v>
      </c>
      <c r="C7182">
        <v>202210</v>
      </c>
      <c r="D7182" t="str">
        <f t="shared" si="112"/>
        <v>2022</v>
      </c>
      <c r="E7182">
        <v>13</v>
      </c>
      <c r="F7182">
        <v>70172</v>
      </c>
      <c r="G7182">
        <v>0.02</v>
      </c>
      <c r="H7182" t="s">
        <v>10</v>
      </c>
      <c r="I7182" t="s">
        <v>11</v>
      </c>
    </row>
    <row r="7183" spans="1:9" hidden="1" x14ac:dyDescent="0.25">
      <c r="A7183" t="s">
        <v>17</v>
      </c>
      <c r="B7183" t="s">
        <v>142</v>
      </c>
      <c r="C7183">
        <v>202211</v>
      </c>
      <c r="D7183" t="str">
        <f t="shared" si="112"/>
        <v>2022</v>
      </c>
      <c r="E7183">
        <v>26</v>
      </c>
      <c r="F7183">
        <v>70172</v>
      </c>
      <c r="G7183">
        <v>0.04</v>
      </c>
      <c r="H7183" t="s">
        <v>10</v>
      </c>
      <c r="I7183" t="s">
        <v>11</v>
      </c>
    </row>
    <row r="7184" spans="1:9" hidden="1" x14ac:dyDescent="0.25">
      <c r="A7184" t="s">
        <v>17</v>
      </c>
      <c r="B7184" t="s">
        <v>142</v>
      </c>
      <c r="C7184">
        <v>202212</v>
      </c>
      <c r="D7184" t="str">
        <f t="shared" si="112"/>
        <v>2022</v>
      </c>
      <c r="E7184">
        <v>3</v>
      </c>
      <c r="F7184">
        <v>70172</v>
      </c>
      <c r="G7184">
        <v>0</v>
      </c>
      <c r="H7184" t="s">
        <v>10</v>
      </c>
      <c r="I7184" t="s">
        <v>11</v>
      </c>
    </row>
    <row r="7185" spans="1:9" hidden="1" x14ac:dyDescent="0.25">
      <c r="A7185" t="s">
        <v>17</v>
      </c>
      <c r="B7185" t="s">
        <v>142</v>
      </c>
      <c r="C7185">
        <v>202301</v>
      </c>
      <c r="D7185" t="str">
        <f t="shared" si="112"/>
        <v>2023</v>
      </c>
      <c r="E7185">
        <v>91</v>
      </c>
      <c r="F7185">
        <v>70172</v>
      </c>
      <c r="G7185">
        <v>0.13</v>
      </c>
      <c r="H7185" t="s">
        <v>10</v>
      </c>
      <c r="I7185" t="s">
        <v>11</v>
      </c>
    </row>
    <row r="7186" spans="1:9" hidden="1" x14ac:dyDescent="0.25">
      <c r="A7186" t="s">
        <v>17</v>
      </c>
      <c r="B7186" t="s">
        <v>142</v>
      </c>
      <c r="C7186">
        <v>202302</v>
      </c>
      <c r="D7186" t="str">
        <f t="shared" si="112"/>
        <v>2023</v>
      </c>
      <c r="E7186">
        <v>51</v>
      </c>
      <c r="F7186">
        <v>70172</v>
      </c>
      <c r="G7186">
        <v>7.0000000000000007E-2</v>
      </c>
      <c r="H7186" t="s">
        <v>10</v>
      </c>
      <c r="I7186" t="s">
        <v>11</v>
      </c>
    </row>
    <row r="7187" spans="1:9" hidden="1" x14ac:dyDescent="0.25">
      <c r="A7187" t="s">
        <v>17</v>
      </c>
      <c r="B7187" t="s">
        <v>142</v>
      </c>
      <c r="C7187">
        <v>202303</v>
      </c>
      <c r="D7187" t="str">
        <f t="shared" si="112"/>
        <v>2023</v>
      </c>
      <c r="E7187">
        <v>57</v>
      </c>
      <c r="F7187">
        <v>70172</v>
      </c>
      <c r="G7187">
        <v>0.08</v>
      </c>
      <c r="H7187" t="s">
        <v>10</v>
      </c>
      <c r="I7187" t="s">
        <v>11</v>
      </c>
    </row>
    <row r="7188" spans="1:9" hidden="1" x14ac:dyDescent="0.25">
      <c r="A7188" t="s">
        <v>17</v>
      </c>
      <c r="B7188" t="s">
        <v>142</v>
      </c>
      <c r="C7188">
        <v>202304</v>
      </c>
      <c r="D7188" t="str">
        <f t="shared" si="112"/>
        <v>2023</v>
      </c>
      <c r="E7188">
        <v>85</v>
      </c>
      <c r="F7188">
        <v>70172</v>
      </c>
      <c r="G7188">
        <v>0.12</v>
      </c>
      <c r="H7188" t="s">
        <v>10</v>
      </c>
      <c r="I7188" t="s">
        <v>11</v>
      </c>
    </row>
    <row r="7189" spans="1:9" hidden="1" x14ac:dyDescent="0.25">
      <c r="A7189" t="s">
        <v>17</v>
      </c>
      <c r="B7189" t="s">
        <v>142</v>
      </c>
      <c r="C7189">
        <v>202305</v>
      </c>
      <c r="D7189" t="str">
        <f t="shared" si="112"/>
        <v>2023</v>
      </c>
      <c r="E7189">
        <v>137</v>
      </c>
      <c r="F7189">
        <v>70172</v>
      </c>
      <c r="G7189">
        <v>0.2</v>
      </c>
      <c r="H7189" t="s">
        <v>10</v>
      </c>
      <c r="I7189" t="s">
        <v>11</v>
      </c>
    </row>
    <row r="7190" spans="1:9" hidden="1" x14ac:dyDescent="0.25">
      <c r="A7190" t="s">
        <v>17</v>
      </c>
      <c r="B7190" t="s">
        <v>142</v>
      </c>
      <c r="C7190">
        <v>202306</v>
      </c>
      <c r="D7190" t="str">
        <f t="shared" si="112"/>
        <v>2023</v>
      </c>
      <c r="E7190">
        <v>156</v>
      </c>
      <c r="F7190">
        <v>70172</v>
      </c>
      <c r="G7190">
        <v>0.22</v>
      </c>
      <c r="H7190" t="s">
        <v>10</v>
      </c>
      <c r="I7190" t="s">
        <v>11</v>
      </c>
    </row>
    <row r="7191" spans="1:9" hidden="1" x14ac:dyDescent="0.25">
      <c r="A7191" t="s">
        <v>17</v>
      </c>
      <c r="B7191" t="s">
        <v>142</v>
      </c>
      <c r="C7191">
        <v>202307</v>
      </c>
      <c r="D7191" t="str">
        <f t="shared" si="112"/>
        <v>2023</v>
      </c>
      <c r="E7191">
        <v>201</v>
      </c>
      <c r="F7191">
        <v>70172</v>
      </c>
      <c r="G7191">
        <v>0.28999999999999998</v>
      </c>
      <c r="H7191" t="s">
        <v>10</v>
      </c>
      <c r="I7191" t="s">
        <v>11</v>
      </c>
    </row>
    <row r="7192" spans="1:9" hidden="1" x14ac:dyDescent="0.25">
      <c r="A7192" t="s">
        <v>17</v>
      </c>
      <c r="B7192" t="s">
        <v>142</v>
      </c>
      <c r="C7192">
        <v>202308</v>
      </c>
      <c r="D7192" t="str">
        <f t="shared" si="112"/>
        <v>2023</v>
      </c>
      <c r="E7192">
        <v>248</v>
      </c>
      <c r="F7192">
        <v>70172</v>
      </c>
      <c r="G7192">
        <v>0.35</v>
      </c>
      <c r="H7192" t="s">
        <v>10</v>
      </c>
      <c r="I7192" t="s">
        <v>11</v>
      </c>
    </row>
    <row r="7193" spans="1:9" hidden="1" x14ac:dyDescent="0.25">
      <c r="A7193" t="s">
        <v>17</v>
      </c>
      <c r="B7193" t="s">
        <v>142</v>
      </c>
      <c r="C7193">
        <v>202309</v>
      </c>
      <c r="D7193" t="str">
        <f t="shared" si="112"/>
        <v>2023</v>
      </c>
      <c r="E7193">
        <v>177</v>
      </c>
      <c r="F7193">
        <v>70172</v>
      </c>
      <c r="G7193">
        <v>0.25</v>
      </c>
      <c r="H7193" t="s">
        <v>10</v>
      </c>
      <c r="I7193" t="s">
        <v>11</v>
      </c>
    </row>
    <row r="7194" spans="1:9" hidden="1" x14ac:dyDescent="0.25">
      <c r="A7194" t="s">
        <v>17</v>
      </c>
      <c r="B7194" t="s">
        <v>142</v>
      </c>
      <c r="C7194">
        <v>202310</v>
      </c>
      <c r="D7194" t="str">
        <f t="shared" si="112"/>
        <v>2023</v>
      </c>
      <c r="E7194">
        <v>204</v>
      </c>
      <c r="F7194">
        <v>70172</v>
      </c>
      <c r="G7194">
        <v>0.28999999999999998</v>
      </c>
      <c r="H7194" t="s">
        <v>10</v>
      </c>
      <c r="I7194" t="s">
        <v>11</v>
      </c>
    </row>
    <row r="7195" spans="1:9" hidden="1" x14ac:dyDescent="0.25">
      <c r="A7195" t="s">
        <v>17</v>
      </c>
      <c r="B7195" t="s">
        <v>142</v>
      </c>
      <c r="C7195">
        <v>202311</v>
      </c>
      <c r="D7195" t="str">
        <f t="shared" si="112"/>
        <v>2023</v>
      </c>
      <c r="E7195">
        <v>228</v>
      </c>
      <c r="F7195">
        <v>70172</v>
      </c>
      <c r="G7195">
        <v>0.32</v>
      </c>
      <c r="H7195" t="s">
        <v>10</v>
      </c>
      <c r="I7195" t="s">
        <v>11</v>
      </c>
    </row>
    <row r="7196" spans="1:9" hidden="1" x14ac:dyDescent="0.25">
      <c r="A7196" t="s">
        <v>17</v>
      </c>
      <c r="B7196" t="s">
        <v>142</v>
      </c>
      <c r="C7196">
        <v>202312</v>
      </c>
      <c r="D7196" t="str">
        <f t="shared" si="112"/>
        <v>2023</v>
      </c>
      <c r="E7196">
        <v>215</v>
      </c>
      <c r="F7196">
        <v>70172</v>
      </c>
      <c r="G7196">
        <v>0.31</v>
      </c>
      <c r="H7196" t="s">
        <v>10</v>
      </c>
      <c r="I7196" t="s">
        <v>11</v>
      </c>
    </row>
    <row r="7197" spans="1:9" hidden="1" x14ac:dyDescent="0.25">
      <c r="A7197" t="s">
        <v>17</v>
      </c>
      <c r="B7197" t="s">
        <v>142</v>
      </c>
      <c r="C7197">
        <v>202401</v>
      </c>
      <c r="D7197" t="str">
        <f t="shared" si="112"/>
        <v>2024</v>
      </c>
      <c r="E7197">
        <v>815</v>
      </c>
      <c r="F7197">
        <v>70172</v>
      </c>
      <c r="G7197">
        <v>1.1599999999999999</v>
      </c>
      <c r="H7197" t="s">
        <v>10</v>
      </c>
      <c r="I7197" t="s">
        <v>11</v>
      </c>
    </row>
    <row r="7198" spans="1:9" hidden="1" x14ac:dyDescent="0.25">
      <c r="A7198" t="s">
        <v>17</v>
      </c>
      <c r="B7198" t="s">
        <v>142</v>
      </c>
      <c r="C7198">
        <v>202402</v>
      </c>
      <c r="D7198" t="str">
        <f t="shared" si="112"/>
        <v>2024</v>
      </c>
      <c r="E7198">
        <v>333</v>
      </c>
      <c r="F7198">
        <v>70172</v>
      </c>
      <c r="G7198">
        <v>0.47</v>
      </c>
      <c r="H7198" t="s">
        <v>10</v>
      </c>
      <c r="I7198" t="s">
        <v>11</v>
      </c>
    </row>
    <row r="7199" spans="1:9" hidden="1" x14ac:dyDescent="0.25">
      <c r="A7199" t="s">
        <v>17</v>
      </c>
      <c r="B7199" t="s">
        <v>142</v>
      </c>
      <c r="C7199">
        <v>202403</v>
      </c>
      <c r="D7199" t="str">
        <f t="shared" si="112"/>
        <v>2024</v>
      </c>
      <c r="E7199">
        <v>290</v>
      </c>
      <c r="F7199">
        <v>70172</v>
      </c>
      <c r="G7199">
        <v>0.41</v>
      </c>
      <c r="H7199" t="s">
        <v>10</v>
      </c>
      <c r="I7199" t="s">
        <v>11</v>
      </c>
    </row>
    <row r="7200" spans="1:9" hidden="1" x14ac:dyDescent="0.25">
      <c r="A7200" t="s">
        <v>17</v>
      </c>
      <c r="B7200" t="s">
        <v>142</v>
      </c>
      <c r="C7200">
        <v>202404</v>
      </c>
      <c r="D7200" t="str">
        <f t="shared" si="112"/>
        <v>2024</v>
      </c>
      <c r="E7200">
        <v>399</v>
      </c>
      <c r="F7200">
        <v>70172</v>
      </c>
      <c r="G7200">
        <v>0.56999999999999995</v>
      </c>
      <c r="H7200" t="s">
        <v>10</v>
      </c>
      <c r="I7200" t="s">
        <v>11</v>
      </c>
    </row>
    <row r="7201" spans="1:9" hidden="1" x14ac:dyDescent="0.25">
      <c r="A7201" t="s">
        <v>17</v>
      </c>
      <c r="B7201" t="s">
        <v>142</v>
      </c>
      <c r="C7201">
        <v>202405</v>
      </c>
      <c r="D7201" t="str">
        <f t="shared" si="112"/>
        <v>2024</v>
      </c>
      <c r="E7201">
        <v>442</v>
      </c>
      <c r="F7201">
        <v>70172</v>
      </c>
      <c r="G7201">
        <v>0.63</v>
      </c>
      <c r="H7201" t="s">
        <v>10</v>
      </c>
      <c r="I7201" t="s">
        <v>11</v>
      </c>
    </row>
    <row r="7202" spans="1:9" hidden="1" x14ac:dyDescent="0.25">
      <c r="A7202" t="s">
        <v>17</v>
      </c>
      <c r="B7202" t="s">
        <v>142</v>
      </c>
      <c r="C7202">
        <v>202406</v>
      </c>
      <c r="D7202" t="str">
        <f t="shared" si="112"/>
        <v>2024</v>
      </c>
      <c r="E7202">
        <v>611</v>
      </c>
      <c r="F7202">
        <v>70172</v>
      </c>
      <c r="G7202">
        <v>0.87</v>
      </c>
      <c r="H7202" t="s">
        <v>10</v>
      </c>
      <c r="I7202" t="s">
        <v>11</v>
      </c>
    </row>
    <row r="7203" spans="1:9" hidden="1" x14ac:dyDescent="0.25">
      <c r="A7203" t="s">
        <v>17</v>
      </c>
      <c r="B7203" t="s">
        <v>142</v>
      </c>
      <c r="C7203">
        <v>202407</v>
      </c>
      <c r="D7203" t="str">
        <f t="shared" si="112"/>
        <v>2024</v>
      </c>
      <c r="E7203">
        <v>713</v>
      </c>
      <c r="F7203">
        <v>70172</v>
      </c>
      <c r="G7203">
        <v>1.02</v>
      </c>
      <c r="H7203" t="s">
        <v>10</v>
      </c>
      <c r="I7203" t="s">
        <v>11</v>
      </c>
    </row>
    <row r="7204" spans="1:9" hidden="1" x14ac:dyDescent="0.25">
      <c r="A7204" t="s">
        <v>17</v>
      </c>
      <c r="B7204" t="s">
        <v>142</v>
      </c>
      <c r="C7204">
        <v>202408</v>
      </c>
      <c r="D7204" t="str">
        <f t="shared" si="112"/>
        <v>2024</v>
      </c>
      <c r="E7204">
        <v>1456</v>
      </c>
      <c r="F7204">
        <v>70172</v>
      </c>
      <c r="G7204">
        <v>2.0699999999999998</v>
      </c>
      <c r="H7204" t="s">
        <v>10</v>
      </c>
      <c r="I7204" t="s">
        <v>11</v>
      </c>
    </row>
    <row r="7205" spans="1:9" hidden="1" x14ac:dyDescent="0.25">
      <c r="A7205" t="s">
        <v>17</v>
      </c>
      <c r="B7205" t="s">
        <v>142</v>
      </c>
      <c r="C7205">
        <v>202409</v>
      </c>
      <c r="D7205" t="str">
        <f t="shared" si="112"/>
        <v>2024</v>
      </c>
      <c r="E7205">
        <v>2008</v>
      </c>
      <c r="F7205">
        <v>70172</v>
      </c>
      <c r="G7205">
        <v>2.86</v>
      </c>
      <c r="H7205" t="s">
        <v>10</v>
      </c>
      <c r="I7205" t="s">
        <v>11</v>
      </c>
    </row>
    <row r="7206" spans="1:9" hidden="1" x14ac:dyDescent="0.25">
      <c r="A7206" t="s">
        <v>17</v>
      </c>
      <c r="B7206" t="s">
        <v>142</v>
      </c>
      <c r="C7206">
        <v>202410</v>
      </c>
      <c r="D7206" t="str">
        <f t="shared" si="112"/>
        <v>2024</v>
      </c>
      <c r="E7206">
        <v>5563</v>
      </c>
      <c r="F7206">
        <v>70172</v>
      </c>
      <c r="G7206">
        <v>7.93</v>
      </c>
      <c r="H7206" t="s">
        <v>10</v>
      </c>
      <c r="I7206" t="s">
        <v>11</v>
      </c>
    </row>
    <row r="7207" spans="1:9" hidden="1" x14ac:dyDescent="0.25">
      <c r="A7207" t="s">
        <v>17</v>
      </c>
      <c r="B7207" t="s">
        <v>142</v>
      </c>
      <c r="C7207">
        <v>202411</v>
      </c>
      <c r="D7207" t="str">
        <f t="shared" si="112"/>
        <v>2024</v>
      </c>
      <c r="E7207">
        <v>28623</v>
      </c>
      <c r="F7207">
        <v>70172</v>
      </c>
      <c r="G7207">
        <v>40.79</v>
      </c>
      <c r="H7207" t="s">
        <v>10</v>
      </c>
      <c r="I7207" t="s">
        <v>11</v>
      </c>
    </row>
    <row r="7208" spans="1:9" hidden="1" x14ac:dyDescent="0.25">
      <c r="A7208" t="s">
        <v>17</v>
      </c>
      <c r="B7208" t="s">
        <v>142</v>
      </c>
      <c r="C7208">
        <v>202412</v>
      </c>
      <c r="D7208" t="str">
        <f t="shared" si="112"/>
        <v>2024</v>
      </c>
      <c r="E7208">
        <v>25787</v>
      </c>
      <c r="F7208">
        <v>70172</v>
      </c>
      <c r="G7208">
        <v>36.75</v>
      </c>
      <c r="H7208" t="s">
        <v>10</v>
      </c>
      <c r="I7208" t="s">
        <v>11</v>
      </c>
    </row>
    <row r="7209" spans="1:9" hidden="1" x14ac:dyDescent="0.25">
      <c r="A7209" t="s">
        <v>17</v>
      </c>
      <c r="B7209" t="s">
        <v>193</v>
      </c>
      <c r="C7209">
        <v>202107</v>
      </c>
      <c r="D7209" t="str">
        <f t="shared" si="112"/>
        <v>2021</v>
      </c>
      <c r="E7209">
        <v>1</v>
      </c>
      <c r="F7209">
        <v>70530</v>
      </c>
      <c r="G7209">
        <v>0</v>
      </c>
      <c r="H7209" t="s">
        <v>10</v>
      </c>
      <c r="I7209" t="s">
        <v>11</v>
      </c>
    </row>
    <row r="7210" spans="1:9" hidden="1" x14ac:dyDescent="0.25">
      <c r="A7210" t="s">
        <v>17</v>
      </c>
      <c r="B7210" t="s">
        <v>193</v>
      </c>
      <c r="C7210">
        <v>202108</v>
      </c>
      <c r="D7210" t="str">
        <f t="shared" si="112"/>
        <v>2021</v>
      </c>
      <c r="E7210">
        <v>1</v>
      </c>
      <c r="F7210">
        <v>70530</v>
      </c>
      <c r="G7210">
        <v>0</v>
      </c>
      <c r="H7210" t="s">
        <v>10</v>
      </c>
      <c r="I7210" t="s">
        <v>11</v>
      </c>
    </row>
    <row r="7211" spans="1:9" hidden="1" x14ac:dyDescent="0.25">
      <c r="A7211" t="s">
        <v>17</v>
      </c>
      <c r="B7211" t="s">
        <v>193</v>
      </c>
      <c r="C7211">
        <v>202201</v>
      </c>
      <c r="D7211" t="str">
        <f t="shared" si="112"/>
        <v>2022</v>
      </c>
      <c r="E7211">
        <v>1</v>
      </c>
      <c r="F7211">
        <v>70530</v>
      </c>
      <c r="G7211">
        <v>0</v>
      </c>
      <c r="H7211" t="s">
        <v>10</v>
      </c>
      <c r="I7211" t="s">
        <v>11</v>
      </c>
    </row>
    <row r="7212" spans="1:9" hidden="1" x14ac:dyDescent="0.25">
      <c r="A7212" t="s">
        <v>17</v>
      </c>
      <c r="B7212" t="s">
        <v>193</v>
      </c>
      <c r="C7212">
        <v>202204</v>
      </c>
      <c r="D7212" t="str">
        <f t="shared" si="112"/>
        <v>2022</v>
      </c>
      <c r="E7212">
        <v>1</v>
      </c>
      <c r="F7212">
        <v>70530</v>
      </c>
      <c r="G7212">
        <v>0</v>
      </c>
      <c r="H7212" t="s">
        <v>10</v>
      </c>
      <c r="I7212" t="s">
        <v>11</v>
      </c>
    </row>
    <row r="7213" spans="1:9" hidden="1" x14ac:dyDescent="0.25">
      <c r="A7213" t="s">
        <v>17</v>
      </c>
      <c r="B7213" t="s">
        <v>193</v>
      </c>
      <c r="C7213">
        <v>202207</v>
      </c>
      <c r="D7213" t="str">
        <f t="shared" si="112"/>
        <v>2022</v>
      </c>
      <c r="E7213">
        <v>10</v>
      </c>
      <c r="F7213">
        <v>70530</v>
      </c>
      <c r="G7213">
        <v>0.01</v>
      </c>
      <c r="H7213" t="s">
        <v>10</v>
      </c>
      <c r="I7213" t="s">
        <v>11</v>
      </c>
    </row>
    <row r="7214" spans="1:9" hidden="1" x14ac:dyDescent="0.25">
      <c r="A7214" t="s">
        <v>17</v>
      </c>
      <c r="B7214" t="s">
        <v>193</v>
      </c>
      <c r="C7214">
        <v>202208</v>
      </c>
      <c r="D7214" t="str">
        <f t="shared" si="112"/>
        <v>2022</v>
      </c>
      <c r="E7214">
        <v>1</v>
      </c>
      <c r="F7214">
        <v>70530</v>
      </c>
      <c r="G7214">
        <v>0</v>
      </c>
      <c r="H7214" t="s">
        <v>10</v>
      </c>
      <c r="I7214" t="s">
        <v>11</v>
      </c>
    </row>
    <row r="7215" spans="1:9" hidden="1" x14ac:dyDescent="0.25">
      <c r="A7215" t="s">
        <v>17</v>
      </c>
      <c r="B7215" t="s">
        <v>193</v>
      </c>
      <c r="C7215">
        <v>202210</v>
      </c>
      <c r="D7215" t="str">
        <f t="shared" si="112"/>
        <v>2022</v>
      </c>
      <c r="E7215">
        <v>5</v>
      </c>
      <c r="F7215">
        <v>70530</v>
      </c>
      <c r="G7215">
        <v>0.01</v>
      </c>
      <c r="H7215" t="s">
        <v>10</v>
      </c>
      <c r="I7215" t="s">
        <v>11</v>
      </c>
    </row>
    <row r="7216" spans="1:9" hidden="1" x14ac:dyDescent="0.25">
      <c r="A7216" t="s">
        <v>17</v>
      </c>
      <c r="B7216" t="s">
        <v>193</v>
      </c>
      <c r="C7216">
        <v>202211</v>
      </c>
      <c r="D7216" t="str">
        <f t="shared" si="112"/>
        <v>2022</v>
      </c>
      <c r="E7216">
        <v>2</v>
      </c>
      <c r="F7216">
        <v>70530</v>
      </c>
      <c r="G7216">
        <v>0</v>
      </c>
      <c r="H7216" t="s">
        <v>10</v>
      </c>
      <c r="I7216" t="s">
        <v>11</v>
      </c>
    </row>
    <row r="7217" spans="1:9" hidden="1" x14ac:dyDescent="0.25">
      <c r="A7217" t="s">
        <v>17</v>
      </c>
      <c r="B7217" t="s">
        <v>193</v>
      </c>
      <c r="C7217">
        <v>202212</v>
      </c>
      <c r="D7217" t="str">
        <f t="shared" si="112"/>
        <v>2022</v>
      </c>
      <c r="E7217">
        <v>5</v>
      </c>
      <c r="F7217">
        <v>70530</v>
      </c>
      <c r="G7217">
        <v>0.01</v>
      </c>
      <c r="H7217" t="s">
        <v>10</v>
      </c>
      <c r="I7217" t="s">
        <v>11</v>
      </c>
    </row>
    <row r="7218" spans="1:9" hidden="1" x14ac:dyDescent="0.25">
      <c r="A7218" t="s">
        <v>17</v>
      </c>
      <c r="B7218" t="s">
        <v>193</v>
      </c>
      <c r="C7218">
        <v>202301</v>
      </c>
      <c r="D7218" t="str">
        <f t="shared" si="112"/>
        <v>2023</v>
      </c>
      <c r="E7218">
        <v>17</v>
      </c>
      <c r="F7218">
        <v>70530</v>
      </c>
      <c r="G7218">
        <v>0.02</v>
      </c>
      <c r="H7218" t="s">
        <v>10</v>
      </c>
      <c r="I7218" t="s">
        <v>11</v>
      </c>
    </row>
    <row r="7219" spans="1:9" hidden="1" x14ac:dyDescent="0.25">
      <c r="A7219" t="s">
        <v>17</v>
      </c>
      <c r="B7219" t="s">
        <v>193</v>
      </c>
      <c r="C7219">
        <v>202302</v>
      </c>
      <c r="D7219" t="str">
        <f t="shared" si="112"/>
        <v>2023</v>
      </c>
      <c r="E7219">
        <v>9</v>
      </c>
      <c r="F7219">
        <v>70530</v>
      </c>
      <c r="G7219">
        <v>0.01</v>
      </c>
      <c r="H7219" t="s">
        <v>10</v>
      </c>
      <c r="I7219" t="s">
        <v>11</v>
      </c>
    </row>
    <row r="7220" spans="1:9" hidden="1" x14ac:dyDescent="0.25">
      <c r="A7220" t="s">
        <v>17</v>
      </c>
      <c r="B7220" t="s">
        <v>193</v>
      </c>
      <c r="C7220">
        <v>202303</v>
      </c>
      <c r="D7220" t="str">
        <f t="shared" si="112"/>
        <v>2023</v>
      </c>
      <c r="E7220">
        <v>114</v>
      </c>
      <c r="F7220">
        <v>70530</v>
      </c>
      <c r="G7220">
        <v>0.16</v>
      </c>
      <c r="H7220" t="s">
        <v>10</v>
      </c>
      <c r="I7220" t="s">
        <v>11</v>
      </c>
    </row>
    <row r="7221" spans="1:9" hidden="1" x14ac:dyDescent="0.25">
      <c r="A7221" t="s">
        <v>17</v>
      </c>
      <c r="B7221" t="s">
        <v>193</v>
      </c>
      <c r="C7221">
        <v>202304</v>
      </c>
      <c r="D7221" t="str">
        <f t="shared" si="112"/>
        <v>2023</v>
      </c>
      <c r="E7221">
        <v>57</v>
      </c>
      <c r="F7221">
        <v>70530</v>
      </c>
      <c r="G7221">
        <v>0.08</v>
      </c>
      <c r="H7221" t="s">
        <v>10</v>
      </c>
      <c r="I7221" t="s">
        <v>11</v>
      </c>
    </row>
    <row r="7222" spans="1:9" hidden="1" x14ac:dyDescent="0.25">
      <c r="A7222" t="s">
        <v>17</v>
      </c>
      <c r="B7222" t="s">
        <v>193</v>
      </c>
      <c r="C7222">
        <v>202305</v>
      </c>
      <c r="D7222" t="str">
        <f t="shared" si="112"/>
        <v>2023</v>
      </c>
      <c r="E7222">
        <v>139</v>
      </c>
      <c r="F7222">
        <v>70530</v>
      </c>
      <c r="G7222">
        <v>0.2</v>
      </c>
      <c r="H7222" t="s">
        <v>10</v>
      </c>
      <c r="I7222" t="s">
        <v>11</v>
      </c>
    </row>
    <row r="7223" spans="1:9" hidden="1" x14ac:dyDescent="0.25">
      <c r="A7223" t="s">
        <v>17</v>
      </c>
      <c r="B7223" t="s">
        <v>193</v>
      </c>
      <c r="C7223">
        <v>202306</v>
      </c>
      <c r="D7223" t="str">
        <f t="shared" si="112"/>
        <v>2023</v>
      </c>
      <c r="E7223">
        <v>75</v>
      </c>
      <c r="F7223">
        <v>70530</v>
      </c>
      <c r="G7223">
        <v>0.11</v>
      </c>
      <c r="H7223" t="s">
        <v>10</v>
      </c>
      <c r="I7223" t="s">
        <v>11</v>
      </c>
    </row>
    <row r="7224" spans="1:9" hidden="1" x14ac:dyDescent="0.25">
      <c r="A7224" t="s">
        <v>17</v>
      </c>
      <c r="B7224" t="s">
        <v>193</v>
      </c>
      <c r="C7224">
        <v>202307</v>
      </c>
      <c r="D7224" t="str">
        <f t="shared" si="112"/>
        <v>2023</v>
      </c>
      <c r="E7224">
        <v>58</v>
      </c>
      <c r="F7224">
        <v>70530</v>
      </c>
      <c r="G7224">
        <v>0.08</v>
      </c>
      <c r="H7224" t="s">
        <v>10</v>
      </c>
      <c r="I7224" t="s">
        <v>11</v>
      </c>
    </row>
    <row r="7225" spans="1:9" hidden="1" x14ac:dyDescent="0.25">
      <c r="A7225" t="s">
        <v>17</v>
      </c>
      <c r="B7225" t="s">
        <v>193</v>
      </c>
      <c r="C7225">
        <v>202308</v>
      </c>
      <c r="D7225" t="str">
        <f t="shared" si="112"/>
        <v>2023</v>
      </c>
      <c r="E7225">
        <v>195</v>
      </c>
      <c r="F7225">
        <v>70530</v>
      </c>
      <c r="G7225">
        <v>0.28000000000000003</v>
      </c>
      <c r="H7225" t="s">
        <v>10</v>
      </c>
      <c r="I7225" t="s">
        <v>11</v>
      </c>
    </row>
    <row r="7226" spans="1:9" hidden="1" x14ac:dyDescent="0.25">
      <c r="A7226" t="s">
        <v>17</v>
      </c>
      <c r="B7226" t="s">
        <v>193</v>
      </c>
      <c r="C7226">
        <v>202309</v>
      </c>
      <c r="D7226" t="str">
        <f t="shared" si="112"/>
        <v>2023</v>
      </c>
      <c r="E7226">
        <v>116</v>
      </c>
      <c r="F7226">
        <v>70530</v>
      </c>
      <c r="G7226">
        <v>0.16</v>
      </c>
      <c r="H7226" t="s">
        <v>10</v>
      </c>
      <c r="I7226" t="s">
        <v>11</v>
      </c>
    </row>
    <row r="7227" spans="1:9" hidden="1" x14ac:dyDescent="0.25">
      <c r="A7227" t="s">
        <v>17</v>
      </c>
      <c r="B7227" t="s">
        <v>193</v>
      </c>
      <c r="C7227">
        <v>202310</v>
      </c>
      <c r="D7227" t="str">
        <f t="shared" si="112"/>
        <v>2023</v>
      </c>
      <c r="E7227">
        <v>163</v>
      </c>
      <c r="F7227">
        <v>70530</v>
      </c>
      <c r="G7227">
        <v>0.23</v>
      </c>
      <c r="H7227" t="s">
        <v>10</v>
      </c>
      <c r="I7227" t="s">
        <v>11</v>
      </c>
    </row>
    <row r="7228" spans="1:9" hidden="1" x14ac:dyDescent="0.25">
      <c r="A7228" t="s">
        <v>17</v>
      </c>
      <c r="B7228" t="s">
        <v>193</v>
      </c>
      <c r="C7228">
        <v>202311</v>
      </c>
      <c r="D7228" t="str">
        <f t="shared" si="112"/>
        <v>2023</v>
      </c>
      <c r="E7228">
        <v>156</v>
      </c>
      <c r="F7228">
        <v>70530</v>
      </c>
      <c r="G7228">
        <v>0.22</v>
      </c>
      <c r="H7228" t="s">
        <v>10</v>
      </c>
      <c r="I7228" t="s">
        <v>11</v>
      </c>
    </row>
    <row r="7229" spans="1:9" hidden="1" x14ac:dyDescent="0.25">
      <c r="A7229" t="s">
        <v>17</v>
      </c>
      <c r="B7229" t="s">
        <v>193</v>
      </c>
      <c r="C7229">
        <v>202312</v>
      </c>
      <c r="D7229" t="str">
        <f t="shared" si="112"/>
        <v>2023</v>
      </c>
      <c r="E7229">
        <v>158</v>
      </c>
      <c r="F7229">
        <v>70530</v>
      </c>
      <c r="G7229">
        <v>0.22</v>
      </c>
      <c r="H7229" t="s">
        <v>10</v>
      </c>
      <c r="I7229" t="s">
        <v>11</v>
      </c>
    </row>
    <row r="7230" spans="1:9" hidden="1" x14ac:dyDescent="0.25">
      <c r="A7230" t="s">
        <v>17</v>
      </c>
      <c r="B7230" t="s">
        <v>193</v>
      </c>
      <c r="C7230">
        <v>202401</v>
      </c>
      <c r="D7230" t="str">
        <f t="shared" si="112"/>
        <v>2024</v>
      </c>
      <c r="E7230">
        <v>443</v>
      </c>
      <c r="F7230">
        <v>70530</v>
      </c>
      <c r="G7230">
        <v>0.63</v>
      </c>
      <c r="H7230" t="s">
        <v>10</v>
      </c>
      <c r="I7230" t="s">
        <v>11</v>
      </c>
    </row>
    <row r="7231" spans="1:9" hidden="1" x14ac:dyDescent="0.25">
      <c r="A7231" t="s">
        <v>17</v>
      </c>
      <c r="B7231" t="s">
        <v>193</v>
      </c>
      <c r="C7231">
        <v>202402</v>
      </c>
      <c r="D7231" t="str">
        <f t="shared" si="112"/>
        <v>2024</v>
      </c>
      <c r="E7231">
        <v>492</v>
      </c>
      <c r="F7231">
        <v>70530</v>
      </c>
      <c r="G7231">
        <v>0.7</v>
      </c>
      <c r="H7231" t="s">
        <v>10</v>
      </c>
      <c r="I7231" t="s">
        <v>11</v>
      </c>
    </row>
    <row r="7232" spans="1:9" hidden="1" x14ac:dyDescent="0.25">
      <c r="A7232" t="s">
        <v>17</v>
      </c>
      <c r="B7232" t="s">
        <v>193</v>
      </c>
      <c r="C7232">
        <v>202403</v>
      </c>
      <c r="D7232" t="str">
        <f t="shared" si="112"/>
        <v>2024</v>
      </c>
      <c r="E7232">
        <v>623</v>
      </c>
      <c r="F7232">
        <v>70530</v>
      </c>
      <c r="G7232">
        <v>0.88</v>
      </c>
      <c r="H7232" t="s">
        <v>10</v>
      </c>
      <c r="I7232" t="s">
        <v>11</v>
      </c>
    </row>
    <row r="7233" spans="1:9" hidden="1" x14ac:dyDescent="0.25">
      <c r="A7233" t="s">
        <v>17</v>
      </c>
      <c r="B7233" t="s">
        <v>193</v>
      </c>
      <c r="C7233">
        <v>202404</v>
      </c>
      <c r="D7233" t="str">
        <f t="shared" si="112"/>
        <v>2024</v>
      </c>
      <c r="E7233">
        <v>331</v>
      </c>
      <c r="F7233">
        <v>70530</v>
      </c>
      <c r="G7233">
        <v>0.47</v>
      </c>
      <c r="H7233" t="s">
        <v>10</v>
      </c>
      <c r="I7233" t="s">
        <v>11</v>
      </c>
    </row>
    <row r="7234" spans="1:9" hidden="1" x14ac:dyDescent="0.25">
      <c r="A7234" t="s">
        <v>17</v>
      </c>
      <c r="B7234" t="s">
        <v>193</v>
      </c>
      <c r="C7234">
        <v>202405</v>
      </c>
      <c r="D7234" t="str">
        <f t="shared" si="112"/>
        <v>2024</v>
      </c>
      <c r="E7234">
        <v>451</v>
      </c>
      <c r="F7234">
        <v>70530</v>
      </c>
      <c r="G7234">
        <v>0.64</v>
      </c>
      <c r="H7234" t="s">
        <v>10</v>
      </c>
      <c r="I7234" t="s">
        <v>11</v>
      </c>
    </row>
    <row r="7235" spans="1:9" hidden="1" x14ac:dyDescent="0.25">
      <c r="A7235" t="s">
        <v>17</v>
      </c>
      <c r="B7235" t="s">
        <v>193</v>
      </c>
      <c r="C7235">
        <v>202406</v>
      </c>
      <c r="D7235" t="str">
        <f t="shared" ref="D7235:D7298" si="113">LEFT(C7235,4)</f>
        <v>2024</v>
      </c>
      <c r="E7235">
        <v>689</v>
      </c>
      <c r="F7235">
        <v>70530</v>
      </c>
      <c r="G7235">
        <v>0.98</v>
      </c>
      <c r="H7235" t="s">
        <v>10</v>
      </c>
      <c r="I7235" t="s">
        <v>11</v>
      </c>
    </row>
    <row r="7236" spans="1:9" hidden="1" x14ac:dyDescent="0.25">
      <c r="A7236" t="s">
        <v>17</v>
      </c>
      <c r="B7236" t="s">
        <v>193</v>
      </c>
      <c r="C7236">
        <v>202407</v>
      </c>
      <c r="D7236" t="str">
        <f t="shared" si="113"/>
        <v>2024</v>
      </c>
      <c r="E7236">
        <v>794</v>
      </c>
      <c r="F7236">
        <v>70530</v>
      </c>
      <c r="G7236">
        <v>1.1299999999999999</v>
      </c>
      <c r="H7236" t="s">
        <v>10</v>
      </c>
      <c r="I7236" t="s">
        <v>11</v>
      </c>
    </row>
    <row r="7237" spans="1:9" hidden="1" x14ac:dyDescent="0.25">
      <c r="A7237" t="s">
        <v>17</v>
      </c>
      <c r="B7237" t="s">
        <v>193</v>
      </c>
      <c r="C7237">
        <v>202408</v>
      </c>
      <c r="D7237" t="str">
        <f t="shared" si="113"/>
        <v>2024</v>
      </c>
      <c r="E7237">
        <v>1265</v>
      </c>
      <c r="F7237">
        <v>70530</v>
      </c>
      <c r="G7237">
        <v>1.79</v>
      </c>
      <c r="H7237" t="s">
        <v>10</v>
      </c>
      <c r="I7237" t="s">
        <v>11</v>
      </c>
    </row>
    <row r="7238" spans="1:9" hidden="1" x14ac:dyDescent="0.25">
      <c r="A7238" t="s">
        <v>17</v>
      </c>
      <c r="B7238" t="s">
        <v>193</v>
      </c>
      <c r="C7238">
        <v>202409</v>
      </c>
      <c r="D7238" t="str">
        <f t="shared" si="113"/>
        <v>2024</v>
      </c>
      <c r="E7238">
        <v>1698</v>
      </c>
      <c r="F7238">
        <v>70530</v>
      </c>
      <c r="G7238">
        <v>2.41</v>
      </c>
      <c r="H7238" t="s">
        <v>10</v>
      </c>
      <c r="I7238" t="s">
        <v>11</v>
      </c>
    </row>
    <row r="7239" spans="1:9" hidden="1" x14ac:dyDescent="0.25">
      <c r="A7239" t="s">
        <v>17</v>
      </c>
      <c r="B7239" t="s">
        <v>193</v>
      </c>
      <c r="C7239">
        <v>202410</v>
      </c>
      <c r="D7239" t="str">
        <f t="shared" si="113"/>
        <v>2024</v>
      </c>
      <c r="E7239">
        <v>2655</v>
      </c>
      <c r="F7239">
        <v>70530</v>
      </c>
      <c r="G7239">
        <v>3.76</v>
      </c>
      <c r="H7239" t="s">
        <v>10</v>
      </c>
      <c r="I7239" t="s">
        <v>11</v>
      </c>
    </row>
    <row r="7240" spans="1:9" hidden="1" x14ac:dyDescent="0.25">
      <c r="A7240" t="s">
        <v>17</v>
      </c>
      <c r="B7240" t="s">
        <v>193</v>
      </c>
      <c r="C7240">
        <v>202411</v>
      </c>
      <c r="D7240" t="str">
        <f t="shared" si="113"/>
        <v>2024</v>
      </c>
      <c r="E7240">
        <v>5928</v>
      </c>
      <c r="F7240">
        <v>70530</v>
      </c>
      <c r="G7240">
        <v>8.4</v>
      </c>
      <c r="H7240" t="s">
        <v>10</v>
      </c>
      <c r="I7240" t="s">
        <v>11</v>
      </c>
    </row>
    <row r="7241" spans="1:9" hidden="1" x14ac:dyDescent="0.25">
      <c r="A7241" t="s">
        <v>17</v>
      </c>
      <c r="B7241" t="s">
        <v>193</v>
      </c>
      <c r="C7241">
        <v>202412</v>
      </c>
      <c r="D7241" t="str">
        <f t="shared" si="113"/>
        <v>2024</v>
      </c>
      <c r="E7241">
        <v>33349</v>
      </c>
      <c r="F7241">
        <v>70530</v>
      </c>
      <c r="G7241">
        <v>47.28</v>
      </c>
      <c r="H7241" t="s">
        <v>10</v>
      </c>
      <c r="I7241" t="s">
        <v>11</v>
      </c>
    </row>
    <row r="7242" spans="1:9" x14ac:dyDescent="0.25">
      <c r="A7242" t="s">
        <v>17</v>
      </c>
      <c r="B7242" t="s">
        <v>193</v>
      </c>
      <c r="C7242">
        <v>202501</v>
      </c>
      <c r="D7242" t="str">
        <f t="shared" si="113"/>
        <v>2025</v>
      </c>
      <c r="E7242">
        <v>20528</v>
      </c>
      <c r="F7242">
        <v>70530</v>
      </c>
      <c r="G7242">
        <v>29.11</v>
      </c>
      <c r="H7242" t="s">
        <v>10</v>
      </c>
      <c r="I7242" t="s">
        <v>11</v>
      </c>
    </row>
    <row r="7243" spans="1:9" hidden="1" x14ac:dyDescent="0.25">
      <c r="A7243" t="s">
        <v>17</v>
      </c>
      <c r="B7243" t="s">
        <v>53</v>
      </c>
      <c r="C7243">
        <v>201805</v>
      </c>
      <c r="D7243" t="str">
        <f t="shared" si="113"/>
        <v>2018</v>
      </c>
      <c r="E7243">
        <v>12</v>
      </c>
      <c r="F7243">
        <v>87584</v>
      </c>
      <c r="G7243">
        <v>0.01</v>
      </c>
      <c r="H7243" t="s">
        <v>10</v>
      </c>
      <c r="I7243" t="s">
        <v>11</v>
      </c>
    </row>
    <row r="7244" spans="1:9" hidden="1" x14ac:dyDescent="0.25">
      <c r="A7244" t="s">
        <v>17</v>
      </c>
      <c r="B7244" t="s">
        <v>53</v>
      </c>
      <c r="C7244">
        <v>201912</v>
      </c>
      <c r="D7244" t="str">
        <f t="shared" si="113"/>
        <v>2019</v>
      </c>
      <c r="E7244">
        <v>12</v>
      </c>
      <c r="F7244">
        <v>87584</v>
      </c>
      <c r="G7244">
        <v>0.01</v>
      </c>
      <c r="H7244" t="s">
        <v>10</v>
      </c>
      <c r="I7244" t="s">
        <v>11</v>
      </c>
    </row>
    <row r="7245" spans="1:9" hidden="1" x14ac:dyDescent="0.25">
      <c r="A7245" t="s">
        <v>17</v>
      </c>
      <c r="B7245" t="s">
        <v>53</v>
      </c>
      <c r="C7245">
        <v>202106</v>
      </c>
      <c r="D7245" t="str">
        <f t="shared" si="113"/>
        <v>2021</v>
      </c>
      <c r="E7245">
        <v>2</v>
      </c>
      <c r="F7245">
        <v>87584</v>
      </c>
      <c r="G7245">
        <v>0</v>
      </c>
      <c r="H7245" t="s">
        <v>10</v>
      </c>
      <c r="I7245" t="s">
        <v>11</v>
      </c>
    </row>
    <row r="7246" spans="1:9" hidden="1" x14ac:dyDescent="0.25">
      <c r="A7246" t="s">
        <v>17</v>
      </c>
      <c r="B7246" t="s">
        <v>53</v>
      </c>
      <c r="C7246">
        <v>202202</v>
      </c>
      <c r="D7246" t="str">
        <f t="shared" si="113"/>
        <v>2022</v>
      </c>
      <c r="E7246">
        <v>34</v>
      </c>
      <c r="F7246">
        <v>87584</v>
      </c>
      <c r="G7246">
        <v>0.04</v>
      </c>
      <c r="H7246" t="s">
        <v>10</v>
      </c>
      <c r="I7246" t="s">
        <v>11</v>
      </c>
    </row>
    <row r="7247" spans="1:9" hidden="1" x14ac:dyDescent="0.25">
      <c r="A7247" t="s">
        <v>17</v>
      </c>
      <c r="B7247" t="s">
        <v>53</v>
      </c>
      <c r="C7247">
        <v>202204</v>
      </c>
      <c r="D7247" t="str">
        <f t="shared" si="113"/>
        <v>2022</v>
      </c>
      <c r="E7247">
        <v>2</v>
      </c>
      <c r="F7247">
        <v>87584</v>
      </c>
      <c r="G7247">
        <v>0</v>
      </c>
      <c r="H7247" t="s">
        <v>10</v>
      </c>
      <c r="I7247" t="s">
        <v>11</v>
      </c>
    </row>
    <row r="7248" spans="1:9" hidden="1" x14ac:dyDescent="0.25">
      <c r="A7248" t="s">
        <v>17</v>
      </c>
      <c r="B7248" t="s">
        <v>53</v>
      </c>
      <c r="C7248">
        <v>202205</v>
      </c>
      <c r="D7248" t="str">
        <f t="shared" si="113"/>
        <v>2022</v>
      </c>
      <c r="E7248">
        <v>6</v>
      </c>
      <c r="F7248">
        <v>87584</v>
      </c>
      <c r="G7248">
        <v>0.01</v>
      </c>
      <c r="H7248" t="s">
        <v>10</v>
      </c>
      <c r="I7248" t="s">
        <v>11</v>
      </c>
    </row>
    <row r="7249" spans="1:9" hidden="1" x14ac:dyDescent="0.25">
      <c r="A7249" t="s">
        <v>17</v>
      </c>
      <c r="B7249" t="s">
        <v>53</v>
      </c>
      <c r="C7249">
        <v>202207</v>
      </c>
      <c r="D7249" t="str">
        <f t="shared" si="113"/>
        <v>2022</v>
      </c>
      <c r="E7249">
        <v>1</v>
      </c>
      <c r="F7249">
        <v>87584</v>
      </c>
      <c r="G7249">
        <v>0</v>
      </c>
      <c r="H7249" t="s">
        <v>10</v>
      </c>
      <c r="I7249" t="s">
        <v>11</v>
      </c>
    </row>
    <row r="7250" spans="1:9" hidden="1" x14ac:dyDescent="0.25">
      <c r="A7250" t="s">
        <v>17</v>
      </c>
      <c r="B7250" t="s">
        <v>53</v>
      </c>
      <c r="C7250">
        <v>202209</v>
      </c>
      <c r="D7250" t="str">
        <f t="shared" si="113"/>
        <v>2022</v>
      </c>
      <c r="E7250">
        <v>1</v>
      </c>
      <c r="F7250">
        <v>87584</v>
      </c>
      <c r="G7250">
        <v>0</v>
      </c>
      <c r="H7250" t="s">
        <v>10</v>
      </c>
      <c r="I7250" t="s">
        <v>11</v>
      </c>
    </row>
    <row r="7251" spans="1:9" hidden="1" x14ac:dyDescent="0.25">
      <c r="A7251" t="s">
        <v>17</v>
      </c>
      <c r="B7251" t="s">
        <v>53</v>
      </c>
      <c r="C7251">
        <v>202211</v>
      </c>
      <c r="D7251" t="str">
        <f t="shared" si="113"/>
        <v>2022</v>
      </c>
      <c r="E7251">
        <v>1</v>
      </c>
      <c r="F7251">
        <v>87584</v>
      </c>
      <c r="G7251">
        <v>0</v>
      </c>
      <c r="H7251" t="s">
        <v>10</v>
      </c>
      <c r="I7251" t="s">
        <v>11</v>
      </c>
    </row>
    <row r="7252" spans="1:9" hidden="1" x14ac:dyDescent="0.25">
      <c r="A7252" t="s">
        <v>17</v>
      </c>
      <c r="B7252" t="s">
        <v>53</v>
      </c>
      <c r="C7252">
        <v>202212</v>
      </c>
      <c r="D7252" t="str">
        <f t="shared" si="113"/>
        <v>2022</v>
      </c>
      <c r="E7252">
        <v>1</v>
      </c>
      <c r="F7252">
        <v>87584</v>
      </c>
      <c r="G7252">
        <v>0</v>
      </c>
      <c r="H7252" t="s">
        <v>10</v>
      </c>
      <c r="I7252" t="s">
        <v>11</v>
      </c>
    </row>
    <row r="7253" spans="1:9" hidden="1" x14ac:dyDescent="0.25">
      <c r="A7253" t="s">
        <v>17</v>
      </c>
      <c r="B7253" t="s">
        <v>53</v>
      </c>
      <c r="C7253">
        <v>202301</v>
      </c>
      <c r="D7253" t="str">
        <f t="shared" si="113"/>
        <v>2023</v>
      </c>
      <c r="E7253">
        <v>8</v>
      </c>
      <c r="F7253">
        <v>87584</v>
      </c>
      <c r="G7253">
        <v>0.01</v>
      </c>
      <c r="H7253" t="s">
        <v>10</v>
      </c>
      <c r="I7253" t="s">
        <v>11</v>
      </c>
    </row>
    <row r="7254" spans="1:9" hidden="1" x14ac:dyDescent="0.25">
      <c r="A7254" t="s">
        <v>17</v>
      </c>
      <c r="B7254" t="s">
        <v>53</v>
      </c>
      <c r="C7254">
        <v>202302</v>
      </c>
      <c r="D7254" t="str">
        <f t="shared" si="113"/>
        <v>2023</v>
      </c>
      <c r="E7254">
        <v>4</v>
      </c>
      <c r="F7254">
        <v>87584</v>
      </c>
      <c r="G7254">
        <v>0</v>
      </c>
      <c r="H7254" t="s">
        <v>10</v>
      </c>
      <c r="I7254" t="s">
        <v>11</v>
      </c>
    </row>
    <row r="7255" spans="1:9" hidden="1" x14ac:dyDescent="0.25">
      <c r="A7255" t="s">
        <v>17</v>
      </c>
      <c r="B7255" t="s">
        <v>53</v>
      </c>
      <c r="C7255">
        <v>202303</v>
      </c>
      <c r="D7255" t="str">
        <f t="shared" si="113"/>
        <v>2023</v>
      </c>
      <c r="E7255">
        <v>5</v>
      </c>
      <c r="F7255">
        <v>87584</v>
      </c>
      <c r="G7255">
        <v>0.01</v>
      </c>
      <c r="H7255" t="s">
        <v>10</v>
      </c>
      <c r="I7255" t="s">
        <v>11</v>
      </c>
    </row>
    <row r="7256" spans="1:9" hidden="1" x14ac:dyDescent="0.25">
      <c r="A7256" t="s">
        <v>17</v>
      </c>
      <c r="B7256" t="s">
        <v>53</v>
      </c>
      <c r="C7256">
        <v>202304</v>
      </c>
      <c r="D7256" t="str">
        <f t="shared" si="113"/>
        <v>2023</v>
      </c>
      <c r="E7256">
        <v>133</v>
      </c>
      <c r="F7256">
        <v>87584</v>
      </c>
      <c r="G7256">
        <v>0.15</v>
      </c>
      <c r="H7256" t="s">
        <v>10</v>
      </c>
      <c r="I7256" t="s">
        <v>11</v>
      </c>
    </row>
    <row r="7257" spans="1:9" hidden="1" x14ac:dyDescent="0.25">
      <c r="A7257" t="s">
        <v>17</v>
      </c>
      <c r="B7257" t="s">
        <v>53</v>
      </c>
      <c r="C7257">
        <v>202305</v>
      </c>
      <c r="D7257" t="str">
        <f t="shared" si="113"/>
        <v>2023</v>
      </c>
      <c r="E7257">
        <v>185</v>
      </c>
      <c r="F7257">
        <v>87584</v>
      </c>
      <c r="G7257">
        <v>0.21</v>
      </c>
      <c r="H7257" t="s">
        <v>10</v>
      </c>
      <c r="I7257" t="s">
        <v>11</v>
      </c>
    </row>
    <row r="7258" spans="1:9" hidden="1" x14ac:dyDescent="0.25">
      <c r="A7258" t="s">
        <v>17</v>
      </c>
      <c r="B7258" t="s">
        <v>53</v>
      </c>
      <c r="C7258">
        <v>202306</v>
      </c>
      <c r="D7258" t="str">
        <f t="shared" si="113"/>
        <v>2023</v>
      </c>
      <c r="E7258">
        <v>187</v>
      </c>
      <c r="F7258">
        <v>87584</v>
      </c>
      <c r="G7258">
        <v>0.21</v>
      </c>
      <c r="H7258" t="s">
        <v>10</v>
      </c>
      <c r="I7258" t="s">
        <v>11</v>
      </c>
    </row>
    <row r="7259" spans="1:9" hidden="1" x14ac:dyDescent="0.25">
      <c r="A7259" t="s">
        <v>17</v>
      </c>
      <c r="B7259" t="s">
        <v>53</v>
      </c>
      <c r="C7259">
        <v>202307</v>
      </c>
      <c r="D7259" t="str">
        <f t="shared" si="113"/>
        <v>2023</v>
      </c>
      <c r="E7259">
        <v>119</v>
      </c>
      <c r="F7259">
        <v>87584</v>
      </c>
      <c r="G7259">
        <v>0.14000000000000001</v>
      </c>
      <c r="H7259" t="s">
        <v>10</v>
      </c>
      <c r="I7259" t="s">
        <v>11</v>
      </c>
    </row>
    <row r="7260" spans="1:9" hidden="1" x14ac:dyDescent="0.25">
      <c r="A7260" t="s">
        <v>17</v>
      </c>
      <c r="B7260" t="s">
        <v>53</v>
      </c>
      <c r="C7260">
        <v>202308</v>
      </c>
      <c r="D7260" t="str">
        <f t="shared" si="113"/>
        <v>2023</v>
      </c>
      <c r="E7260">
        <v>213</v>
      </c>
      <c r="F7260">
        <v>87584</v>
      </c>
      <c r="G7260">
        <v>0.24</v>
      </c>
      <c r="H7260" t="s">
        <v>10</v>
      </c>
      <c r="I7260" t="s">
        <v>11</v>
      </c>
    </row>
    <row r="7261" spans="1:9" hidden="1" x14ac:dyDescent="0.25">
      <c r="A7261" t="s">
        <v>17</v>
      </c>
      <c r="B7261" t="s">
        <v>53</v>
      </c>
      <c r="C7261">
        <v>202309</v>
      </c>
      <c r="D7261" t="str">
        <f t="shared" si="113"/>
        <v>2023</v>
      </c>
      <c r="E7261">
        <v>247</v>
      </c>
      <c r="F7261">
        <v>87584</v>
      </c>
      <c r="G7261">
        <v>0.28000000000000003</v>
      </c>
      <c r="H7261" t="s">
        <v>10</v>
      </c>
      <c r="I7261" t="s">
        <v>11</v>
      </c>
    </row>
    <row r="7262" spans="1:9" hidden="1" x14ac:dyDescent="0.25">
      <c r="A7262" t="s">
        <v>17</v>
      </c>
      <c r="B7262" t="s">
        <v>53</v>
      </c>
      <c r="C7262">
        <v>202310</v>
      </c>
      <c r="D7262" t="str">
        <f t="shared" si="113"/>
        <v>2023</v>
      </c>
      <c r="E7262">
        <v>310</v>
      </c>
      <c r="F7262">
        <v>87584</v>
      </c>
      <c r="G7262">
        <v>0.35</v>
      </c>
      <c r="H7262" t="s">
        <v>10</v>
      </c>
      <c r="I7262" t="s">
        <v>11</v>
      </c>
    </row>
    <row r="7263" spans="1:9" hidden="1" x14ac:dyDescent="0.25">
      <c r="A7263" t="s">
        <v>17</v>
      </c>
      <c r="B7263" t="s">
        <v>53</v>
      </c>
      <c r="C7263">
        <v>202311</v>
      </c>
      <c r="D7263" t="str">
        <f t="shared" si="113"/>
        <v>2023</v>
      </c>
      <c r="E7263">
        <v>237</v>
      </c>
      <c r="F7263">
        <v>87584</v>
      </c>
      <c r="G7263">
        <v>0.27</v>
      </c>
      <c r="H7263" t="s">
        <v>10</v>
      </c>
      <c r="I7263" t="s">
        <v>11</v>
      </c>
    </row>
    <row r="7264" spans="1:9" hidden="1" x14ac:dyDescent="0.25">
      <c r="A7264" t="s">
        <v>17</v>
      </c>
      <c r="B7264" t="s">
        <v>53</v>
      </c>
      <c r="C7264">
        <v>202312</v>
      </c>
      <c r="D7264" t="str">
        <f t="shared" si="113"/>
        <v>2023</v>
      </c>
      <c r="E7264">
        <v>173</v>
      </c>
      <c r="F7264">
        <v>87584</v>
      </c>
      <c r="G7264">
        <v>0.2</v>
      </c>
      <c r="H7264" t="s">
        <v>10</v>
      </c>
      <c r="I7264" t="s">
        <v>11</v>
      </c>
    </row>
    <row r="7265" spans="1:9" hidden="1" x14ac:dyDescent="0.25">
      <c r="A7265" t="s">
        <v>17</v>
      </c>
      <c r="B7265" t="s">
        <v>53</v>
      </c>
      <c r="C7265">
        <v>202401</v>
      </c>
      <c r="D7265" t="str">
        <f t="shared" si="113"/>
        <v>2024</v>
      </c>
      <c r="E7265">
        <v>423</v>
      </c>
      <c r="F7265">
        <v>87584</v>
      </c>
      <c r="G7265">
        <v>0.48</v>
      </c>
      <c r="H7265" t="s">
        <v>10</v>
      </c>
      <c r="I7265" t="s">
        <v>11</v>
      </c>
    </row>
    <row r="7266" spans="1:9" hidden="1" x14ac:dyDescent="0.25">
      <c r="A7266" t="s">
        <v>17</v>
      </c>
      <c r="B7266" t="s">
        <v>53</v>
      </c>
      <c r="C7266">
        <v>202402</v>
      </c>
      <c r="D7266" t="str">
        <f t="shared" si="113"/>
        <v>2024</v>
      </c>
      <c r="E7266">
        <v>473</v>
      </c>
      <c r="F7266">
        <v>87584</v>
      </c>
      <c r="G7266">
        <v>0.54</v>
      </c>
      <c r="H7266" t="s">
        <v>10</v>
      </c>
      <c r="I7266" t="s">
        <v>11</v>
      </c>
    </row>
    <row r="7267" spans="1:9" hidden="1" x14ac:dyDescent="0.25">
      <c r="A7267" t="s">
        <v>17</v>
      </c>
      <c r="B7267" t="s">
        <v>53</v>
      </c>
      <c r="C7267">
        <v>202403</v>
      </c>
      <c r="D7267" t="str">
        <f t="shared" si="113"/>
        <v>2024</v>
      </c>
      <c r="E7267">
        <v>580</v>
      </c>
      <c r="F7267">
        <v>87584</v>
      </c>
      <c r="G7267">
        <v>0.66</v>
      </c>
      <c r="H7267" t="s">
        <v>10</v>
      </c>
      <c r="I7267" t="s">
        <v>11</v>
      </c>
    </row>
    <row r="7268" spans="1:9" hidden="1" x14ac:dyDescent="0.25">
      <c r="A7268" t="s">
        <v>17</v>
      </c>
      <c r="B7268" t="s">
        <v>53</v>
      </c>
      <c r="C7268">
        <v>202404</v>
      </c>
      <c r="D7268" t="str">
        <f t="shared" si="113"/>
        <v>2024</v>
      </c>
      <c r="E7268">
        <v>1477</v>
      </c>
      <c r="F7268">
        <v>87584</v>
      </c>
      <c r="G7268">
        <v>1.69</v>
      </c>
      <c r="H7268" t="s">
        <v>10</v>
      </c>
      <c r="I7268" t="s">
        <v>11</v>
      </c>
    </row>
    <row r="7269" spans="1:9" hidden="1" x14ac:dyDescent="0.25">
      <c r="A7269" t="s">
        <v>17</v>
      </c>
      <c r="B7269" t="s">
        <v>53</v>
      </c>
      <c r="C7269">
        <v>202405</v>
      </c>
      <c r="D7269" t="str">
        <f t="shared" si="113"/>
        <v>2024</v>
      </c>
      <c r="E7269">
        <v>1304</v>
      </c>
      <c r="F7269">
        <v>87584</v>
      </c>
      <c r="G7269">
        <v>1.49</v>
      </c>
      <c r="H7269" t="s">
        <v>10</v>
      </c>
      <c r="I7269" t="s">
        <v>11</v>
      </c>
    </row>
    <row r="7270" spans="1:9" hidden="1" x14ac:dyDescent="0.25">
      <c r="A7270" t="s">
        <v>17</v>
      </c>
      <c r="B7270" t="s">
        <v>53</v>
      </c>
      <c r="C7270">
        <v>202406</v>
      </c>
      <c r="D7270" t="str">
        <f t="shared" si="113"/>
        <v>2024</v>
      </c>
      <c r="E7270">
        <v>1173</v>
      </c>
      <c r="F7270">
        <v>87584</v>
      </c>
      <c r="G7270">
        <v>1.34</v>
      </c>
      <c r="H7270" t="s">
        <v>10</v>
      </c>
      <c r="I7270" t="s">
        <v>11</v>
      </c>
    </row>
    <row r="7271" spans="1:9" hidden="1" x14ac:dyDescent="0.25">
      <c r="A7271" t="s">
        <v>17</v>
      </c>
      <c r="B7271" t="s">
        <v>53</v>
      </c>
      <c r="C7271">
        <v>202407</v>
      </c>
      <c r="D7271" t="str">
        <f t="shared" si="113"/>
        <v>2024</v>
      </c>
      <c r="E7271">
        <v>1525</v>
      </c>
      <c r="F7271">
        <v>87584</v>
      </c>
      <c r="G7271">
        <v>1.74</v>
      </c>
      <c r="H7271" t="s">
        <v>10</v>
      </c>
      <c r="I7271" t="s">
        <v>11</v>
      </c>
    </row>
    <row r="7272" spans="1:9" hidden="1" x14ac:dyDescent="0.25">
      <c r="A7272" t="s">
        <v>17</v>
      </c>
      <c r="B7272" t="s">
        <v>53</v>
      </c>
      <c r="C7272">
        <v>202408</v>
      </c>
      <c r="D7272" t="str">
        <f t="shared" si="113"/>
        <v>2024</v>
      </c>
      <c r="E7272">
        <v>1479</v>
      </c>
      <c r="F7272">
        <v>87584</v>
      </c>
      <c r="G7272">
        <v>1.69</v>
      </c>
      <c r="H7272" t="s">
        <v>10</v>
      </c>
      <c r="I7272" t="s">
        <v>11</v>
      </c>
    </row>
    <row r="7273" spans="1:9" hidden="1" x14ac:dyDescent="0.25">
      <c r="A7273" t="s">
        <v>17</v>
      </c>
      <c r="B7273" t="s">
        <v>53</v>
      </c>
      <c r="C7273">
        <v>202409</v>
      </c>
      <c r="D7273" t="str">
        <f t="shared" si="113"/>
        <v>2024</v>
      </c>
      <c r="E7273">
        <v>1672</v>
      </c>
      <c r="F7273">
        <v>87584</v>
      </c>
      <c r="G7273">
        <v>1.91</v>
      </c>
      <c r="H7273" t="s">
        <v>10</v>
      </c>
      <c r="I7273" t="s">
        <v>11</v>
      </c>
    </row>
    <row r="7274" spans="1:9" hidden="1" x14ac:dyDescent="0.25">
      <c r="A7274" t="s">
        <v>17</v>
      </c>
      <c r="B7274" t="s">
        <v>53</v>
      </c>
      <c r="C7274">
        <v>202410</v>
      </c>
      <c r="D7274" t="str">
        <f t="shared" si="113"/>
        <v>2024</v>
      </c>
      <c r="E7274">
        <v>2437</v>
      </c>
      <c r="F7274">
        <v>87584</v>
      </c>
      <c r="G7274">
        <v>2.78</v>
      </c>
      <c r="H7274" t="s">
        <v>10</v>
      </c>
      <c r="I7274" t="s">
        <v>11</v>
      </c>
    </row>
    <row r="7275" spans="1:9" hidden="1" x14ac:dyDescent="0.25">
      <c r="A7275" t="s">
        <v>17</v>
      </c>
      <c r="B7275" t="s">
        <v>53</v>
      </c>
      <c r="C7275">
        <v>202411</v>
      </c>
      <c r="D7275" t="str">
        <f t="shared" si="113"/>
        <v>2024</v>
      </c>
      <c r="E7275">
        <v>2727</v>
      </c>
      <c r="F7275">
        <v>87584</v>
      </c>
      <c r="G7275">
        <v>3.11</v>
      </c>
      <c r="H7275" t="s">
        <v>10</v>
      </c>
      <c r="I7275" t="s">
        <v>11</v>
      </c>
    </row>
    <row r="7276" spans="1:9" hidden="1" x14ac:dyDescent="0.25">
      <c r="A7276" t="s">
        <v>17</v>
      </c>
      <c r="B7276" t="s">
        <v>53</v>
      </c>
      <c r="C7276">
        <v>202412</v>
      </c>
      <c r="D7276" t="str">
        <f t="shared" si="113"/>
        <v>2024</v>
      </c>
      <c r="E7276">
        <v>6672</v>
      </c>
      <c r="F7276">
        <v>87584</v>
      </c>
      <c r="G7276">
        <v>7.62</v>
      </c>
      <c r="H7276" t="s">
        <v>10</v>
      </c>
      <c r="I7276" t="s">
        <v>11</v>
      </c>
    </row>
    <row r="7277" spans="1:9" x14ac:dyDescent="0.25">
      <c r="A7277" t="s">
        <v>17</v>
      </c>
      <c r="B7277" t="s">
        <v>53</v>
      </c>
      <c r="C7277">
        <v>202501</v>
      </c>
      <c r="D7277" t="str">
        <f t="shared" si="113"/>
        <v>2025</v>
      </c>
      <c r="E7277">
        <v>44805</v>
      </c>
      <c r="F7277">
        <v>87584</v>
      </c>
      <c r="G7277">
        <v>51.16</v>
      </c>
      <c r="H7277" t="s">
        <v>10</v>
      </c>
      <c r="I7277" t="s">
        <v>11</v>
      </c>
    </row>
    <row r="7278" spans="1:9" x14ac:dyDescent="0.25">
      <c r="A7278" t="s">
        <v>17</v>
      </c>
      <c r="B7278" t="s">
        <v>53</v>
      </c>
      <c r="C7278">
        <v>202502</v>
      </c>
      <c r="D7278" t="str">
        <f t="shared" si="113"/>
        <v>2025</v>
      </c>
      <c r="E7278">
        <v>18944</v>
      </c>
      <c r="F7278">
        <v>87584</v>
      </c>
      <c r="G7278">
        <v>21.63</v>
      </c>
      <c r="H7278" t="s">
        <v>10</v>
      </c>
      <c r="I7278" t="s">
        <v>11</v>
      </c>
    </row>
    <row r="7279" spans="1:9" hidden="1" x14ac:dyDescent="0.25">
      <c r="A7279" t="s">
        <v>17</v>
      </c>
      <c r="B7279" t="s">
        <v>49</v>
      </c>
      <c r="C7279">
        <v>202102</v>
      </c>
      <c r="D7279" t="str">
        <f t="shared" si="113"/>
        <v>2021</v>
      </c>
      <c r="E7279">
        <v>6</v>
      </c>
      <c r="F7279">
        <v>84865</v>
      </c>
      <c r="G7279">
        <v>0.01</v>
      </c>
      <c r="H7279" t="s">
        <v>10</v>
      </c>
      <c r="I7279" t="s">
        <v>11</v>
      </c>
    </row>
    <row r="7280" spans="1:9" hidden="1" x14ac:dyDescent="0.25">
      <c r="A7280" t="s">
        <v>17</v>
      </c>
      <c r="B7280" t="s">
        <v>49</v>
      </c>
      <c r="C7280">
        <v>202103</v>
      </c>
      <c r="D7280" t="str">
        <f t="shared" si="113"/>
        <v>2021</v>
      </c>
      <c r="E7280">
        <v>1</v>
      </c>
      <c r="F7280">
        <v>84865</v>
      </c>
      <c r="G7280">
        <v>0</v>
      </c>
      <c r="H7280" t="s">
        <v>10</v>
      </c>
      <c r="I7280" t="s">
        <v>11</v>
      </c>
    </row>
    <row r="7281" spans="1:9" hidden="1" x14ac:dyDescent="0.25">
      <c r="A7281" t="s">
        <v>17</v>
      </c>
      <c r="B7281" t="s">
        <v>49</v>
      </c>
      <c r="C7281">
        <v>202105</v>
      </c>
      <c r="D7281" t="str">
        <f t="shared" si="113"/>
        <v>2021</v>
      </c>
      <c r="E7281">
        <v>1</v>
      </c>
      <c r="F7281">
        <v>84865</v>
      </c>
      <c r="G7281">
        <v>0</v>
      </c>
      <c r="H7281" t="s">
        <v>10</v>
      </c>
      <c r="I7281" t="s">
        <v>11</v>
      </c>
    </row>
    <row r="7282" spans="1:9" hidden="1" x14ac:dyDescent="0.25">
      <c r="A7282" t="s">
        <v>17</v>
      </c>
      <c r="B7282" t="s">
        <v>49</v>
      </c>
      <c r="C7282">
        <v>202106</v>
      </c>
      <c r="D7282" t="str">
        <f t="shared" si="113"/>
        <v>2021</v>
      </c>
      <c r="E7282">
        <v>3</v>
      </c>
      <c r="F7282">
        <v>84865</v>
      </c>
      <c r="G7282">
        <v>0</v>
      </c>
      <c r="H7282" t="s">
        <v>10</v>
      </c>
      <c r="I7282" t="s">
        <v>11</v>
      </c>
    </row>
    <row r="7283" spans="1:9" hidden="1" x14ac:dyDescent="0.25">
      <c r="A7283" t="s">
        <v>17</v>
      </c>
      <c r="B7283" t="s">
        <v>49</v>
      </c>
      <c r="C7283">
        <v>202203</v>
      </c>
      <c r="D7283" t="str">
        <f t="shared" si="113"/>
        <v>2022</v>
      </c>
      <c r="E7283">
        <v>1</v>
      </c>
      <c r="F7283">
        <v>84865</v>
      </c>
      <c r="G7283">
        <v>0</v>
      </c>
      <c r="H7283" t="s">
        <v>10</v>
      </c>
      <c r="I7283" t="s">
        <v>11</v>
      </c>
    </row>
    <row r="7284" spans="1:9" hidden="1" x14ac:dyDescent="0.25">
      <c r="A7284" t="s">
        <v>17</v>
      </c>
      <c r="B7284" t="s">
        <v>49</v>
      </c>
      <c r="C7284">
        <v>202208</v>
      </c>
      <c r="D7284" t="str">
        <f t="shared" si="113"/>
        <v>2022</v>
      </c>
      <c r="E7284">
        <v>5</v>
      </c>
      <c r="F7284">
        <v>84865</v>
      </c>
      <c r="G7284">
        <v>0.01</v>
      </c>
      <c r="H7284" t="s">
        <v>10</v>
      </c>
      <c r="I7284" t="s">
        <v>11</v>
      </c>
    </row>
    <row r="7285" spans="1:9" hidden="1" x14ac:dyDescent="0.25">
      <c r="A7285" t="s">
        <v>17</v>
      </c>
      <c r="B7285" t="s">
        <v>49</v>
      </c>
      <c r="C7285">
        <v>202301</v>
      </c>
      <c r="D7285" t="str">
        <f t="shared" si="113"/>
        <v>2023</v>
      </c>
      <c r="E7285">
        <v>12</v>
      </c>
      <c r="F7285">
        <v>84865</v>
      </c>
      <c r="G7285">
        <v>0.01</v>
      </c>
      <c r="H7285" t="s">
        <v>10</v>
      </c>
      <c r="I7285" t="s">
        <v>11</v>
      </c>
    </row>
    <row r="7286" spans="1:9" hidden="1" x14ac:dyDescent="0.25">
      <c r="A7286" t="s">
        <v>17</v>
      </c>
      <c r="B7286" t="s">
        <v>49</v>
      </c>
      <c r="C7286">
        <v>202302</v>
      </c>
      <c r="D7286" t="str">
        <f t="shared" si="113"/>
        <v>2023</v>
      </c>
      <c r="E7286">
        <v>4</v>
      </c>
      <c r="F7286">
        <v>84865</v>
      </c>
      <c r="G7286">
        <v>0</v>
      </c>
      <c r="H7286" t="s">
        <v>10</v>
      </c>
      <c r="I7286" t="s">
        <v>11</v>
      </c>
    </row>
    <row r="7287" spans="1:9" hidden="1" x14ac:dyDescent="0.25">
      <c r="A7287" t="s">
        <v>17</v>
      </c>
      <c r="B7287" t="s">
        <v>49</v>
      </c>
      <c r="C7287">
        <v>202303</v>
      </c>
      <c r="D7287" t="str">
        <f t="shared" si="113"/>
        <v>2023</v>
      </c>
      <c r="E7287">
        <v>28</v>
      </c>
      <c r="F7287">
        <v>84865</v>
      </c>
      <c r="G7287">
        <v>0.03</v>
      </c>
      <c r="H7287" t="s">
        <v>10</v>
      </c>
      <c r="I7287" t="s">
        <v>11</v>
      </c>
    </row>
    <row r="7288" spans="1:9" hidden="1" x14ac:dyDescent="0.25">
      <c r="A7288" t="s">
        <v>17</v>
      </c>
      <c r="B7288" t="s">
        <v>49</v>
      </c>
      <c r="C7288">
        <v>202304</v>
      </c>
      <c r="D7288" t="str">
        <f t="shared" si="113"/>
        <v>2023</v>
      </c>
      <c r="E7288">
        <v>69</v>
      </c>
      <c r="F7288">
        <v>84865</v>
      </c>
      <c r="G7288">
        <v>0.08</v>
      </c>
      <c r="H7288" t="s">
        <v>10</v>
      </c>
      <c r="I7288" t="s">
        <v>11</v>
      </c>
    </row>
    <row r="7289" spans="1:9" hidden="1" x14ac:dyDescent="0.25">
      <c r="A7289" t="s">
        <v>17</v>
      </c>
      <c r="B7289" t="s">
        <v>49</v>
      </c>
      <c r="C7289">
        <v>202305</v>
      </c>
      <c r="D7289" t="str">
        <f t="shared" si="113"/>
        <v>2023</v>
      </c>
      <c r="E7289">
        <v>112</v>
      </c>
      <c r="F7289">
        <v>84865</v>
      </c>
      <c r="G7289">
        <v>0.13</v>
      </c>
      <c r="H7289" t="s">
        <v>10</v>
      </c>
      <c r="I7289" t="s">
        <v>11</v>
      </c>
    </row>
    <row r="7290" spans="1:9" hidden="1" x14ac:dyDescent="0.25">
      <c r="A7290" t="s">
        <v>17</v>
      </c>
      <c r="B7290" t="s">
        <v>49</v>
      </c>
      <c r="C7290">
        <v>202306</v>
      </c>
      <c r="D7290" t="str">
        <f t="shared" si="113"/>
        <v>2023</v>
      </c>
      <c r="E7290">
        <v>74</v>
      </c>
      <c r="F7290">
        <v>84865</v>
      </c>
      <c r="G7290">
        <v>0.09</v>
      </c>
      <c r="H7290" t="s">
        <v>10</v>
      </c>
      <c r="I7290" t="s">
        <v>11</v>
      </c>
    </row>
    <row r="7291" spans="1:9" hidden="1" x14ac:dyDescent="0.25">
      <c r="A7291" t="s">
        <v>17</v>
      </c>
      <c r="B7291" t="s">
        <v>49</v>
      </c>
      <c r="C7291">
        <v>202307</v>
      </c>
      <c r="D7291" t="str">
        <f t="shared" si="113"/>
        <v>2023</v>
      </c>
      <c r="E7291">
        <v>158</v>
      </c>
      <c r="F7291">
        <v>84865</v>
      </c>
      <c r="G7291">
        <v>0.19</v>
      </c>
      <c r="H7291" t="s">
        <v>10</v>
      </c>
      <c r="I7291" t="s">
        <v>11</v>
      </c>
    </row>
    <row r="7292" spans="1:9" hidden="1" x14ac:dyDescent="0.25">
      <c r="A7292" t="s">
        <v>17</v>
      </c>
      <c r="B7292" t="s">
        <v>49</v>
      </c>
      <c r="C7292">
        <v>202308</v>
      </c>
      <c r="D7292" t="str">
        <f t="shared" si="113"/>
        <v>2023</v>
      </c>
      <c r="E7292">
        <v>294</v>
      </c>
      <c r="F7292">
        <v>84865</v>
      </c>
      <c r="G7292">
        <v>0.35</v>
      </c>
      <c r="H7292" t="s">
        <v>10</v>
      </c>
      <c r="I7292" t="s">
        <v>11</v>
      </c>
    </row>
    <row r="7293" spans="1:9" hidden="1" x14ac:dyDescent="0.25">
      <c r="A7293" t="s">
        <v>17</v>
      </c>
      <c r="B7293" t="s">
        <v>49</v>
      </c>
      <c r="C7293">
        <v>202309</v>
      </c>
      <c r="D7293" t="str">
        <f t="shared" si="113"/>
        <v>2023</v>
      </c>
      <c r="E7293">
        <v>146</v>
      </c>
      <c r="F7293">
        <v>84865</v>
      </c>
      <c r="G7293">
        <v>0.17</v>
      </c>
      <c r="H7293" t="s">
        <v>10</v>
      </c>
      <c r="I7293" t="s">
        <v>11</v>
      </c>
    </row>
    <row r="7294" spans="1:9" hidden="1" x14ac:dyDescent="0.25">
      <c r="A7294" t="s">
        <v>17</v>
      </c>
      <c r="B7294" t="s">
        <v>49</v>
      </c>
      <c r="C7294">
        <v>202310</v>
      </c>
      <c r="D7294" t="str">
        <f t="shared" si="113"/>
        <v>2023</v>
      </c>
      <c r="E7294">
        <v>162</v>
      </c>
      <c r="F7294">
        <v>84865</v>
      </c>
      <c r="G7294">
        <v>0.19</v>
      </c>
      <c r="H7294" t="s">
        <v>10</v>
      </c>
      <c r="I7294" t="s">
        <v>11</v>
      </c>
    </row>
    <row r="7295" spans="1:9" hidden="1" x14ac:dyDescent="0.25">
      <c r="A7295" t="s">
        <v>17</v>
      </c>
      <c r="B7295" t="s">
        <v>49</v>
      </c>
      <c r="C7295">
        <v>202311</v>
      </c>
      <c r="D7295" t="str">
        <f t="shared" si="113"/>
        <v>2023</v>
      </c>
      <c r="E7295">
        <v>176</v>
      </c>
      <c r="F7295">
        <v>84865</v>
      </c>
      <c r="G7295">
        <v>0.21</v>
      </c>
      <c r="H7295" t="s">
        <v>10</v>
      </c>
      <c r="I7295" t="s">
        <v>11</v>
      </c>
    </row>
    <row r="7296" spans="1:9" hidden="1" x14ac:dyDescent="0.25">
      <c r="A7296" t="s">
        <v>17</v>
      </c>
      <c r="B7296" t="s">
        <v>49</v>
      </c>
      <c r="C7296">
        <v>202312</v>
      </c>
      <c r="D7296" t="str">
        <f t="shared" si="113"/>
        <v>2023</v>
      </c>
      <c r="E7296">
        <v>306</v>
      </c>
      <c r="F7296">
        <v>84865</v>
      </c>
      <c r="G7296">
        <v>0.36</v>
      </c>
      <c r="H7296" t="s">
        <v>10</v>
      </c>
      <c r="I7296" t="s">
        <v>11</v>
      </c>
    </row>
    <row r="7297" spans="1:9" hidden="1" x14ac:dyDescent="0.25">
      <c r="A7297" t="s">
        <v>17</v>
      </c>
      <c r="B7297" t="s">
        <v>49</v>
      </c>
      <c r="C7297">
        <v>202401</v>
      </c>
      <c r="D7297" t="str">
        <f t="shared" si="113"/>
        <v>2024</v>
      </c>
      <c r="E7297">
        <v>189</v>
      </c>
      <c r="F7297">
        <v>84865</v>
      </c>
      <c r="G7297">
        <v>0.22</v>
      </c>
      <c r="H7297" t="s">
        <v>10</v>
      </c>
      <c r="I7297" t="s">
        <v>11</v>
      </c>
    </row>
    <row r="7298" spans="1:9" hidden="1" x14ac:dyDescent="0.25">
      <c r="A7298" t="s">
        <v>17</v>
      </c>
      <c r="B7298" t="s">
        <v>49</v>
      </c>
      <c r="C7298">
        <v>202402</v>
      </c>
      <c r="D7298" t="str">
        <f t="shared" si="113"/>
        <v>2024</v>
      </c>
      <c r="E7298">
        <v>249</v>
      </c>
      <c r="F7298">
        <v>84865</v>
      </c>
      <c r="G7298">
        <v>0.28999999999999998</v>
      </c>
      <c r="H7298" t="s">
        <v>10</v>
      </c>
      <c r="I7298" t="s">
        <v>11</v>
      </c>
    </row>
    <row r="7299" spans="1:9" hidden="1" x14ac:dyDescent="0.25">
      <c r="A7299" t="s">
        <v>17</v>
      </c>
      <c r="B7299" t="s">
        <v>49</v>
      </c>
      <c r="C7299">
        <v>202403</v>
      </c>
      <c r="D7299" t="str">
        <f t="shared" ref="D7299:D7362" si="114">LEFT(C7299,4)</f>
        <v>2024</v>
      </c>
      <c r="E7299">
        <v>416</v>
      </c>
      <c r="F7299">
        <v>84865</v>
      </c>
      <c r="G7299">
        <v>0.49</v>
      </c>
      <c r="H7299" t="s">
        <v>10</v>
      </c>
      <c r="I7299" t="s">
        <v>11</v>
      </c>
    </row>
    <row r="7300" spans="1:9" hidden="1" x14ac:dyDescent="0.25">
      <c r="A7300" t="s">
        <v>17</v>
      </c>
      <c r="B7300" t="s">
        <v>49</v>
      </c>
      <c r="C7300">
        <v>202404</v>
      </c>
      <c r="D7300" t="str">
        <f t="shared" si="114"/>
        <v>2024</v>
      </c>
      <c r="E7300">
        <v>426</v>
      </c>
      <c r="F7300">
        <v>84865</v>
      </c>
      <c r="G7300">
        <v>0.5</v>
      </c>
      <c r="H7300" t="s">
        <v>10</v>
      </c>
      <c r="I7300" t="s">
        <v>11</v>
      </c>
    </row>
    <row r="7301" spans="1:9" hidden="1" x14ac:dyDescent="0.25">
      <c r="A7301" t="s">
        <v>17</v>
      </c>
      <c r="B7301" t="s">
        <v>49</v>
      </c>
      <c r="C7301">
        <v>202405</v>
      </c>
      <c r="D7301" t="str">
        <f t="shared" si="114"/>
        <v>2024</v>
      </c>
      <c r="E7301">
        <v>459</v>
      </c>
      <c r="F7301">
        <v>84865</v>
      </c>
      <c r="G7301">
        <v>0.54</v>
      </c>
      <c r="H7301" t="s">
        <v>10</v>
      </c>
      <c r="I7301" t="s">
        <v>11</v>
      </c>
    </row>
    <row r="7302" spans="1:9" hidden="1" x14ac:dyDescent="0.25">
      <c r="A7302" t="s">
        <v>17</v>
      </c>
      <c r="B7302" t="s">
        <v>49</v>
      </c>
      <c r="C7302">
        <v>202406</v>
      </c>
      <c r="D7302" t="str">
        <f t="shared" si="114"/>
        <v>2024</v>
      </c>
      <c r="E7302">
        <v>649</v>
      </c>
      <c r="F7302">
        <v>84865</v>
      </c>
      <c r="G7302">
        <v>0.76</v>
      </c>
      <c r="H7302" t="s">
        <v>10</v>
      </c>
      <c r="I7302" t="s">
        <v>11</v>
      </c>
    </row>
    <row r="7303" spans="1:9" hidden="1" x14ac:dyDescent="0.25">
      <c r="A7303" t="s">
        <v>17</v>
      </c>
      <c r="B7303" t="s">
        <v>49</v>
      </c>
      <c r="C7303">
        <v>202407</v>
      </c>
      <c r="D7303" t="str">
        <f t="shared" si="114"/>
        <v>2024</v>
      </c>
      <c r="E7303">
        <v>651</v>
      </c>
      <c r="F7303">
        <v>84865</v>
      </c>
      <c r="G7303">
        <v>0.77</v>
      </c>
      <c r="H7303" t="s">
        <v>10</v>
      </c>
      <c r="I7303" t="s">
        <v>11</v>
      </c>
    </row>
    <row r="7304" spans="1:9" hidden="1" x14ac:dyDescent="0.25">
      <c r="A7304" t="s">
        <v>17</v>
      </c>
      <c r="B7304" t="s">
        <v>49</v>
      </c>
      <c r="C7304">
        <v>202408</v>
      </c>
      <c r="D7304" t="str">
        <f t="shared" si="114"/>
        <v>2024</v>
      </c>
      <c r="E7304">
        <v>878</v>
      </c>
      <c r="F7304">
        <v>84865</v>
      </c>
      <c r="G7304">
        <v>1.03</v>
      </c>
      <c r="H7304" t="s">
        <v>10</v>
      </c>
      <c r="I7304" t="s">
        <v>11</v>
      </c>
    </row>
    <row r="7305" spans="1:9" hidden="1" x14ac:dyDescent="0.25">
      <c r="A7305" t="s">
        <v>17</v>
      </c>
      <c r="B7305" t="s">
        <v>49</v>
      </c>
      <c r="C7305">
        <v>202409</v>
      </c>
      <c r="D7305" t="str">
        <f t="shared" si="114"/>
        <v>2024</v>
      </c>
      <c r="E7305">
        <v>1135</v>
      </c>
      <c r="F7305">
        <v>84865</v>
      </c>
      <c r="G7305">
        <v>1.34</v>
      </c>
      <c r="H7305" t="s">
        <v>10</v>
      </c>
      <c r="I7305" t="s">
        <v>11</v>
      </c>
    </row>
    <row r="7306" spans="1:9" hidden="1" x14ac:dyDescent="0.25">
      <c r="A7306" t="s">
        <v>17</v>
      </c>
      <c r="B7306" t="s">
        <v>49</v>
      </c>
      <c r="C7306">
        <v>202410</v>
      </c>
      <c r="D7306" t="str">
        <f t="shared" si="114"/>
        <v>2024</v>
      </c>
      <c r="E7306">
        <v>1142</v>
      </c>
      <c r="F7306">
        <v>84865</v>
      </c>
      <c r="G7306">
        <v>1.35</v>
      </c>
      <c r="H7306" t="s">
        <v>10</v>
      </c>
      <c r="I7306" t="s">
        <v>11</v>
      </c>
    </row>
    <row r="7307" spans="1:9" hidden="1" x14ac:dyDescent="0.25">
      <c r="A7307" t="s">
        <v>17</v>
      </c>
      <c r="B7307" t="s">
        <v>49</v>
      </c>
      <c r="C7307">
        <v>202411</v>
      </c>
      <c r="D7307" t="str">
        <f t="shared" si="114"/>
        <v>2024</v>
      </c>
      <c r="E7307">
        <v>2060</v>
      </c>
      <c r="F7307">
        <v>84865</v>
      </c>
      <c r="G7307">
        <v>2.4300000000000002</v>
      </c>
      <c r="H7307" t="s">
        <v>10</v>
      </c>
      <c r="I7307" t="s">
        <v>11</v>
      </c>
    </row>
    <row r="7308" spans="1:9" hidden="1" x14ac:dyDescent="0.25">
      <c r="A7308" t="s">
        <v>17</v>
      </c>
      <c r="B7308" t="s">
        <v>49</v>
      </c>
      <c r="C7308">
        <v>202412</v>
      </c>
      <c r="D7308" t="str">
        <f t="shared" si="114"/>
        <v>2024</v>
      </c>
      <c r="E7308">
        <v>3027</v>
      </c>
      <c r="F7308">
        <v>84865</v>
      </c>
      <c r="G7308">
        <v>3.57</v>
      </c>
      <c r="H7308" t="s">
        <v>10</v>
      </c>
      <c r="I7308" t="s">
        <v>11</v>
      </c>
    </row>
    <row r="7309" spans="1:9" x14ac:dyDescent="0.25">
      <c r="A7309" t="s">
        <v>17</v>
      </c>
      <c r="B7309" t="s">
        <v>49</v>
      </c>
      <c r="C7309">
        <v>202501</v>
      </c>
      <c r="D7309" t="str">
        <f t="shared" si="114"/>
        <v>2025</v>
      </c>
      <c r="E7309">
        <v>7150</v>
      </c>
      <c r="F7309">
        <v>84865</v>
      </c>
      <c r="G7309">
        <v>8.43</v>
      </c>
      <c r="H7309" t="s">
        <v>10</v>
      </c>
      <c r="I7309" t="s">
        <v>11</v>
      </c>
    </row>
    <row r="7310" spans="1:9" x14ac:dyDescent="0.25">
      <c r="A7310" t="s">
        <v>17</v>
      </c>
      <c r="B7310" t="s">
        <v>49</v>
      </c>
      <c r="C7310">
        <v>202502</v>
      </c>
      <c r="D7310" t="str">
        <f t="shared" si="114"/>
        <v>2025</v>
      </c>
      <c r="E7310">
        <v>37295</v>
      </c>
      <c r="F7310">
        <v>84865</v>
      </c>
      <c r="G7310">
        <v>43.95</v>
      </c>
      <c r="H7310" t="s">
        <v>10</v>
      </c>
      <c r="I7310" t="s">
        <v>11</v>
      </c>
    </row>
    <row r="7311" spans="1:9" x14ac:dyDescent="0.25">
      <c r="A7311" t="s">
        <v>17</v>
      </c>
      <c r="B7311" t="s">
        <v>49</v>
      </c>
      <c r="C7311">
        <v>202503</v>
      </c>
      <c r="D7311" t="str">
        <f t="shared" si="114"/>
        <v>2025</v>
      </c>
      <c r="E7311">
        <v>27581</v>
      </c>
      <c r="F7311">
        <v>84865</v>
      </c>
      <c r="G7311">
        <v>32.5</v>
      </c>
      <c r="H7311" t="s">
        <v>10</v>
      </c>
      <c r="I7311" t="s">
        <v>11</v>
      </c>
    </row>
    <row r="7312" spans="1:9" hidden="1" x14ac:dyDescent="0.25">
      <c r="A7312" t="s">
        <v>17</v>
      </c>
      <c r="B7312" t="s">
        <v>48</v>
      </c>
      <c r="C7312">
        <v>201903</v>
      </c>
      <c r="D7312" t="str">
        <f t="shared" si="114"/>
        <v>2019</v>
      </c>
      <c r="E7312">
        <v>11</v>
      </c>
      <c r="F7312">
        <v>75394</v>
      </c>
      <c r="G7312">
        <v>0.01</v>
      </c>
      <c r="H7312" t="s">
        <v>10</v>
      </c>
      <c r="I7312" t="s">
        <v>11</v>
      </c>
    </row>
    <row r="7313" spans="1:9" hidden="1" x14ac:dyDescent="0.25">
      <c r="A7313" t="s">
        <v>17</v>
      </c>
      <c r="B7313" t="s">
        <v>48</v>
      </c>
      <c r="C7313">
        <v>202301</v>
      </c>
      <c r="D7313" t="str">
        <f t="shared" si="114"/>
        <v>2023</v>
      </c>
      <c r="E7313">
        <v>1</v>
      </c>
      <c r="F7313">
        <v>75394</v>
      </c>
      <c r="G7313">
        <v>0</v>
      </c>
      <c r="H7313" t="s">
        <v>10</v>
      </c>
      <c r="I7313" t="s">
        <v>11</v>
      </c>
    </row>
    <row r="7314" spans="1:9" hidden="1" x14ac:dyDescent="0.25">
      <c r="A7314" t="s">
        <v>17</v>
      </c>
      <c r="B7314" t="s">
        <v>48</v>
      </c>
      <c r="C7314">
        <v>202302</v>
      </c>
      <c r="D7314" t="str">
        <f t="shared" si="114"/>
        <v>2023</v>
      </c>
      <c r="E7314">
        <v>4</v>
      </c>
      <c r="F7314">
        <v>75394</v>
      </c>
      <c r="G7314">
        <v>0.01</v>
      </c>
      <c r="H7314" t="s">
        <v>10</v>
      </c>
      <c r="I7314" t="s">
        <v>11</v>
      </c>
    </row>
    <row r="7315" spans="1:9" hidden="1" x14ac:dyDescent="0.25">
      <c r="A7315" t="s">
        <v>17</v>
      </c>
      <c r="B7315" t="s">
        <v>48</v>
      </c>
      <c r="C7315">
        <v>202303</v>
      </c>
      <c r="D7315" t="str">
        <f t="shared" si="114"/>
        <v>2023</v>
      </c>
      <c r="E7315">
        <v>1</v>
      </c>
      <c r="F7315">
        <v>75394</v>
      </c>
      <c r="G7315">
        <v>0</v>
      </c>
      <c r="H7315" t="s">
        <v>10</v>
      </c>
      <c r="I7315" t="s">
        <v>11</v>
      </c>
    </row>
    <row r="7316" spans="1:9" hidden="1" x14ac:dyDescent="0.25">
      <c r="A7316" t="s">
        <v>17</v>
      </c>
      <c r="B7316" t="s">
        <v>48</v>
      </c>
      <c r="C7316">
        <v>202304</v>
      </c>
      <c r="D7316" t="str">
        <f t="shared" si="114"/>
        <v>2023</v>
      </c>
      <c r="E7316">
        <v>17</v>
      </c>
      <c r="F7316">
        <v>75394</v>
      </c>
      <c r="G7316">
        <v>0.02</v>
      </c>
      <c r="H7316" t="s">
        <v>10</v>
      </c>
      <c r="I7316" t="s">
        <v>11</v>
      </c>
    </row>
    <row r="7317" spans="1:9" hidden="1" x14ac:dyDescent="0.25">
      <c r="A7317" t="s">
        <v>17</v>
      </c>
      <c r="B7317" t="s">
        <v>48</v>
      </c>
      <c r="C7317">
        <v>202305</v>
      </c>
      <c r="D7317" t="str">
        <f t="shared" si="114"/>
        <v>2023</v>
      </c>
      <c r="E7317">
        <v>11</v>
      </c>
      <c r="F7317">
        <v>75394</v>
      </c>
      <c r="G7317">
        <v>0.01</v>
      </c>
      <c r="H7317" t="s">
        <v>10</v>
      </c>
      <c r="I7317" t="s">
        <v>11</v>
      </c>
    </row>
    <row r="7318" spans="1:9" hidden="1" x14ac:dyDescent="0.25">
      <c r="A7318" t="s">
        <v>17</v>
      </c>
      <c r="B7318" t="s">
        <v>48</v>
      </c>
      <c r="C7318">
        <v>202306</v>
      </c>
      <c r="D7318" t="str">
        <f t="shared" si="114"/>
        <v>2023</v>
      </c>
      <c r="E7318">
        <v>32</v>
      </c>
      <c r="F7318">
        <v>75394</v>
      </c>
      <c r="G7318">
        <v>0.04</v>
      </c>
      <c r="H7318" t="s">
        <v>10</v>
      </c>
      <c r="I7318" t="s">
        <v>11</v>
      </c>
    </row>
    <row r="7319" spans="1:9" hidden="1" x14ac:dyDescent="0.25">
      <c r="A7319" t="s">
        <v>17</v>
      </c>
      <c r="B7319" t="s">
        <v>48</v>
      </c>
      <c r="C7319">
        <v>202307</v>
      </c>
      <c r="D7319" t="str">
        <f t="shared" si="114"/>
        <v>2023</v>
      </c>
      <c r="E7319">
        <v>48</v>
      </c>
      <c r="F7319">
        <v>75394</v>
      </c>
      <c r="G7319">
        <v>0.06</v>
      </c>
      <c r="H7319" t="s">
        <v>10</v>
      </c>
      <c r="I7319" t="s">
        <v>11</v>
      </c>
    </row>
    <row r="7320" spans="1:9" hidden="1" x14ac:dyDescent="0.25">
      <c r="A7320" t="s">
        <v>17</v>
      </c>
      <c r="B7320" t="s">
        <v>48</v>
      </c>
      <c r="C7320">
        <v>202308</v>
      </c>
      <c r="D7320" t="str">
        <f t="shared" si="114"/>
        <v>2023</v>
      </c>
      <c r="E7320">
        <v>49</v>
      </c>
      <c r="F7320">
        <v>75394</v>
      </c>
      <c r="G7320">
        <v>0.06</v>
      </c>
      <c r="H7320" t="s">
        <v>10</v>
      </c>
      <c r="I7320" t="s">
        <v>11</v>
      </c>
    </row>
    <row r="7321" spans="1:9" hidden="1" x14ac:dyDescent="0.25">
      <c r="A7321" t="s">
        <v>17</v>
      </c>
      <c r="B7321" t="s">
        <v>48</v>
      </c>
      <c r="C7321">
        <v>202309</v>
      </c>
      <c r="D7321" t="str">
        <f t="shared" si="114"/>
        <v>2023</v>
      </c>
      <c r="E7321">
        <v>38</v>
      </c>
      <c r="F7321">
        <v>75394</v>
      </c>
      <c r="G7321">
        <v>0.05</v>
      </c>
      <c r="H7321" t="s">
        <v>10</v>
      </c>
      <c r="I7321" t="s">
        <v>11</v>
      </c>
    </row>
    <row r="7322" spans="1:9" hidden="1" x14ac:dyDescent="0.25">
      <c r="A7322" t="s">
        <v>17</v>
      </c>
      <c r="B7322" t="s">
        <v>48</v>
      </c>
      <c r="C7322">
        <v>202310</v>
      </c>
      <c r="D7322" t="str">
        <f t="shared" si="114"/>
        <v>2023</v>
      </c>
      <c r="E7322">
        <v>68</v>
      </c>
      <c r="F7322">
        <v>75394</v>
      </c>
      <c r="G7322">
        <v>0.09</v>
      </c>
      <c r="H7322" t="s">
        <v>10</v>
      </c>
      <c r="I7322" t="s">
        <v>11</v>
      </c>
    </row>
    <row r="7323" spans="1:9" hidden="1" x14ac:dyDescent="0.25">
      <c r="A7323" t="s">
        <v>17</v>
      </c>
      <c r="B7323" t="s">
        <v>48</v>
      </c>
      <c r="C7323">
        <v>202311</v>
      </c>
      <c r="D7323" t="str">
        <f t="shared" si="114"/>
        <v>2023</v>
      </c>
      <c r="E7323">
        <v>86</v>
      </c>
      <c r="F7323">
        <v>75394</v>
      </c>
      <c r="G7323">
        <v>0.11</v>
      </c>
      <c r="H7323" t="s">
        <v>10</v>
      </c>
      <c r="I7323" t="s">
        <v>11</v>
      </c>
    </row>
    <row r="7324" spans="1:9" hidden="1" x14ac:dyDescent="0.25">
      <c r="A7324" t="s">
        <v>17</v>
      </c>
      <c r="B7324" t="s">
        <v>48</v>
      </c>
      <c r="C7324">
        <v>202312</v>
      </c>
      <c r="D7324" t="str">
        <f t="shared" si="114"/>
        <v>2023</v>
      </c>
      <c r="E7324">
        <v>105</v>
      </c>
      <c r="F7324">
        <v>75394</v>
      </c>
      <c r="G7324">
        <v>0.14000000000000001</v>
      </c>
      <c r="H7324" t="s">
        <v>10</v>
      </c>
      <c r="I7324" t="s">
        <v>11</v>
      </c>
    </row>
    <row r="7325" spans="1:9" hidden="1" x14ac:dyDescent="0.25">
      <c r="A7325" t="s">
        <v>17</v>
      </c>
      <c r="B7325" t="s">
        <v>48</v>
      </c>
      <c r="C7325">
        <v>202401</v>
      </c>
      <c r="D7325" t="str">
        <f t="shared" si="114"/>
        <v>2024</v>
      </c>
      <c r="E7325">
        <v>228</v>
      </c>
      <c r="F7325">
        <v>75394</v>
      </c>
      <c r="G7325">
        <v>0.3</v>
      </c>
      <c r="H7325" t="s">
        <v>10</v>
      </c>
      <c r="I7325" t="s">
        <v>11</v>
      </c>
    </row>
    <row r="7326" spans="1:9" hidden="1" x14ac:dyDescent="0.25">
      <c r="A7326" t="s">
        <v>17</v>
      </c>
      <c r="B7326" t="s">
        <v>48</v>
      </c>
      <c r="C7326">
        <v>202402</v>
      </c>
      <c r="D7326" t="str">
        <f t="shared" si="114"/>
        <v>2024</v>
      </c>
      <c r="E7326">
        <v>168</v>
      </c>
      <c r="F7326">
        <v>75394</v>
      </c>
      <c r="G7326">
        <v>0.22</v>
      </c>
      <c r="H7326" t="s">
        <v>10</v>
      </c>
      <c r="I7326" t="s">
        <v>11</v>
      </c>
    </row>
    <row r="7327" spans="1:9" hidden="1" x14ac:dyDescent="0.25">
      <c r="A7327" t="s">
        <v>17</v>
      </c>
      <c r="B7327" t="s">
        <v>48</v>
      </c>
      <c r="C7327">
        <v>202403</v>
      </c>
      <c r="D7327" t="str">
        <f t="shared" si="114"/>
        <v>2024</v>
      </c>
      <c r="E7327">
        <v>186</v>
      </c>
      <c r="F7327">
        <v>75394</v>
      </c>
      <c r="G7327">
        <v>0.25</v>
      </c>
      <c r="H7327" t="s">
        <v>10</v>
      </c>
      <c r="I7327" t="s">
        <v>11</v>
      </c>
    </row>
    <row r="7328" spans="1:9" hidden="1" x14ac:dyDescent="0.25">
      <c r="A7328" t="s">
        <v>17</v>
      </c>
      <c r="B7328" t="s">
        <v>48</v>
      </c>
      <c r="C7328">
        <v>202404</v>
      </c>
      <c r="D7328" t="str">
        <f t="shared" si="114"/>
        <v>2024</v>
      </c>
      <c r="E7328">
        <v>222</v>
      </c>
      <c r="F7328">
        <v>75394</v>
      </c>
      <c r="G7328">
        <v>0.28999999999999998</v>
      </c>
      <c r="H7328" t="s">
        <v>10</v>
      </c>
      <c r="I7328" t="s">
        <v>11</v>
      </c>
    </row>
    <row r="7329" spans="1:9" hidden="1" x14ac:dyDescent="0.25">
      <c r="A7329" t="s">
        <v>17</v>
      </c>
      <c r="B7329" t="s">
        <v>48</v>
      </c>
      <c r="C7329">
        <v>202405</v>
      </c>
      <c r="D7329" t="str">
        <f t="shared" si="114"/>
        <v>2024</v>
      </c>
      <c r="E7329">
        <v>459</v>
      </c>
      <c r="F7329">
        <v>75394</v>
      </c>
      <c r="G7329">
        <v>0.61</v>
      </c>
      <c r="H7329" t="s">
        <v>10</v>
      </c>
      <c r="I7329" t="s">
        <v>11</v>
      </c>
    </row>
    <row r="7330" spans="1:9" hidden="1" x14ac:dyDescent="0.25">
      <c r="A7330" t="s">
        <v>17</v>
      </c>
      <c r="B7330" t="s">
        <v>48</v>
      </c>
      <c r="C7330">
        <v>202406</v>
      </c>
      <c r="D7330" t="str">
        <f t="shared" si="114"/>
        <v>2024</v>
      </c>
      <c r="E7330">
        <v>1086</v>
      </c>
      <c r="F7330">
        <v>75394</v>
      </c>
      <c r="G7330">
        <v>1.44</v>
      </c>
      <c r="H7330" t="s">
        <v>10</v>
      </c>
      <c r="I7330" t="s">
        <v>11</v>
      </c>
    </row>
    <row r="7331" spans="1:9" hidden="1" x14ac:dyDescent="0.25">
      <c r="A7331" t="s">
        <v>17</v>
      </c>
      <c r="B7331" t="s">
        <v>48</v>
      </c>
      <c r="C7331">
        <v>202407</v>
      </c>
      <c r="D7331" t="str">
        <f t="shared" si="114"/>
        <v>2024</v>
      </c>
      <c r="E7331">
        <v>683</v>
      </c>
      <c r="F7331">
        <v>75394</v>
      </c>
      <c r="G7331">
        <v>0.91</v>
      </c>
      <c r="H7331" t="s">
        <v>10</v>
      </c>
      <c r="I7331" t="s">
        <v>11</v>
      </c>
    </row>
    <row r="7332" spans="1:9" hidden="1" x14ac:dyDescent="0.25">
      <c r="A7332" t="s">
        <v>17</v>
      </c>
      <c r="B7332" t="s">
        <v>48</v>
      </c>
      <c r="C7332">
        <v>202408</v>
      </c>
      <c r="D7332" t="str">
        <f t="shared" si="114"/>
        <v>2024</v>
      </c>
      <c r="E7332">
        <v>512</v>
      </c>
      <c r="F7332">
        <v>75394</v>
      </c>
      <c r="G7332">
        <v>0.68</v>
      </c>
      <c r="H7332" t="s">
        <v>10</v>
      </c>
      <c r="I7332" t="s">
        <v>11</v>
      </c>
    </row>
    <row r="7333" spans="1:9" hidden="1" x14ac:dyDescent="0.25">
      <c r="A7333" t="s">
        <v>17</v>
      </c>
      <c r="B7333" t="s">
        <v>48</v>
      </c>
      <c r="C7333">
        <v>202409</v>
      </c>
      <c r="D7333" t="str">
        <f t="shared" si="114"/>
        <v>2024</v>
      </c>
      <c r="E7333">
        <v>653</v>
      </c>
      <c r="F7333">
        <v>75394</v>
      </c>
      <c r="G7333">
        <v>0.87</v>
      </c>
      <c r="H7333" t="s">
        <v>10</v>
      </c>
      <c r="I7333" t="s">
        <v>11</v>
      </c>
    </row>
    <row r="7334" spans="1:9" hidden="1" x14ac:dyDescent="0.25">
      <c r="A7334" t="s">
        <v>17</v>
      </c>
      <c r="B7334" t="s">
        <v>48</v>
      </c>
      <c r="C7334">
        <v>202410</v>
      </c>
      <c r="D7334" t="str">
        <f t="shared" si="114"/>
        <v>2024</v>
      </c>
      <c r="E7334">
        <v>879</v>
      </c>
      <c r="F7334">
        <v>75394</v>
      </c>
      <c r="G7334">
        <v>1.17</v>
      </c>
      <c r="H7334" t="s">
        <v>10</v>
      </c>
      <c r="I7334" t="s">
        <v>11</v>
      </c>
    </row>
    <row r="7335" spans="1:9" hidden="1" x14ac:dyDescent="0.25">
      <c r="A7335" t="s">
        <v>17</v>
      </c>
      <c r="B7335" t="s">
        <v>48</v>
      </c>
      <c r="C7335">
        <v>202411</v>
      </c>
      <c r="D7335" t="str">
        <f t="shared" si="114"/>
        <v>2024</v>
      </c>
      <c r="E7335">
        <v>579</v>
      </c>
      <c r="F7335">
        <v>75394</v>
      </c>
      <c r="G7335">
        <v>0.77</v>
      </c>
      <c r="H7335" t="s">
        <v>10</v>
      </c>
      <c r="I7335" t="s">
        <v>11</v>
      </c>
    </row>
    <row r="7336" spans="1:9" hidden="1" x14ac:dyDescent="0.25">
      <c r="A7336" t="s">
        <v>17</v>
      </c>
      <c r="B7336" t="s">
        <v>48</v>
      </c>
      <c r="C7336">
        <v>202412</v>
      </c>
      <c r="D7336" t="str">
        <f t="shared" si="114"/>
        <v>2024</v>
      </c>
      <c r="E7336">
        <v>990</v>
      </c>
      <c r="F7336">
        <v>75394</v>
      </c>
      <c r="G7336">
        <v>1.31</v>
      </c>
      <c r="H7336" t="s">
        <v>10</v>
      </c>
      <c r="I7336" t="s">
        <v>11</v>
      </c>
    </row>
    <row r="7337" spans="1:9" x14ac:dyDescent="0.25">
      <c r="A7337" t="s">
        <v>17</v>
      </c>
      <c r="B7337" t="s">
        <v>48</v>
      </c>
      <c r="C7337">
        <v>202501</v>
      </c>
      <c r="D7337" t="str">
        <f t="shared" si="114"/>
        <v>2025</v>
      </c>
      <c r="E7337">
        <v>3480</v>
      </c>
      <c r="F7337">
        <v>75394</v>
      </c>
      <c r="G7337">
        <v>4.62</v>
      </c>
      <c r="H7337" t="s">
        <v>10</v>
      </c>
      <c r="I7337" t="s">
        <v>11</v>
      </c>
    </row>
    <row r="7338" spans="1:9" x14ac:dyDescent="0.25">
      <c r="A7338" t="s">
        <v>17</v>
      </c>
      <c r="B7338" t="s">
        <v>48</v>
      </c>
      <c r="C7338">
        <v>202502</v>
      </c>
      <c r="D7338" t="str">
        <f t="shared" si="114"/>
        <v>2025</v>
      </c>
      <c r="E7338">
        <v>6089</v>
      </c>
      <c r="F7338">
        <v>75394</v>
      </c>
      <c r="G7338">
        <v>8.08</v>
      </c>
      <c r="H7338" t="s">
        <v>10</v>
      </c>
      <c r="I7338" t="s">
        <v>11</v>
      </c>
    </row>
    <row r="7339" spans="1:9" x14ac:dyDescent="0.25">
      <c r="A7339" t="s">
        <v>17</v>
      </c>
      <c r="B7339" t="s">
        <v>48</v>
      </c>
      <c r="C7339">
        <v>202503</v>
      </c>
      <c r="D7339" t="str">
        <f t="shared" si="114"/>
        <v>2025</v>
      </c>
      <c r="E7339">
        <v>36178</v>
      </c>
      <c r="F7339">
        <v>75394</v>
      </c>
      <c r="G7339">
        <v>47.99</v>
      </c>
      <c r="H7339" t="s">
        <v>10</v>
      </c>
      <c r="I7339" t="s">
        <v>11</v>
      </c>
    </row>
    <row r="7340" spans="1:9" x14ac:dyDescent="0.25">
      <c r="A7340" t="s">
        <v>17</v>
      </c>
      <c r="B7340" t="s">
        <v>48</v>
      </c>
      <c r="C7340">
        <v>202504</v>
      </c>
      <c r="D7340" t="str">
        <f t="shared" si="114"/>
        <v>2025</v>
      </c>
      <c r="E7340">
        <v>22531</v>
      </c>
      <c r="F7340">
        <v>75394</v>
      </c>
      <c r="G7340">
        <v>29.88</v>
      </c>
      <c r="H7340" t="s">
        <v>10</v>
      </c>
      <c r="I7340" t="s">
        <v>11</v>
      </c>
    </row>
    <row r="7341" spans="1:9" hidden="1" x14ac:dyDescent="0.25">
      <c r="A7341" t="s">
        <v>17</v>
      </c>
      <c r="B7341" t="s">
        <v>188</v>
      </c>
      <c r="C7341">
        <v>202007</v>
      </c>
      <c r="D7341" t="str">
        <f t="shared" si="114"/>
        <v>2020</v>
      </c>
      <c r="E7341">
        <v>1</v>
      </c>
      <c r="F7341">
        <v>95628</v>
      </c>
      <c r="G7341">
        <v>0</v>
      </c>
      <c r="H7341" t="s">
        <v>10</v>
      </c>
      <c r="I7341" t="s">
        <v>11</v>
      </c>
    </row>
    <row r="7342" spans="1:9" hidden="1" x14ac:dyDescent="0.25">
      <c r="A7342" t="s">
        <v>17</v>
      </c>
      <c r="B7342" t="s">
        <v>188</v>
      </c>
      <c r="C7342">
        <v>202204</v>
      </c>
      <c r="D7342" t="str">
        <f t="shared" si="114"/>
        <v>2022</v>
      </c>
      <c r="E7342">
        <v>2</v>
      </c>
      <c r="F7342">
        <v>95628</v>
      </c>
      <c r="G7342">
        <v>0</v>
      </c>
      <c r="H7342" t="s">
        <v>10</v>
      </c>
      <c r="I7342" t="s">
        <v>11</v>
      </c>
    </row>
    <row r="7343" spans="1:9" hidden="1" x14ac:dyDescent="0.25">
      <c r="A7343" t="s">
        <v>17</v>
      </c>
      <c r="B7343" t="s">
        <v>188</v>
      </c>
      <c r="C7343">
        <v>202205</v>
      </c>
      <c r="D7343" t="str">
        <f t="shared" si="114"/>
        <v>2022</v>
      </c>
      <c r="E7343">
        <v>6</v>
      </c>
      <c r="F7343">
        <v>95628</v>
      </c>
      <c r="G7343">
        <v>0.01</v>
      </c>
      <c r="H7343" t="s">
        <v>10</v>
      </c>
      <c r="I7343" t="s">
        <v>11</v>
      </c>
    </row>
    <row r="7344" spans="1:9" hidden="1" x14ac:dyDescent="0.25">
      <c r="A7344" t="s">
        <v>17</v>
      </c>
      <c r="B7344" t="s">
        <v>188</v>
      </c>
      <c r="C7344">
        <v>202301</v>
      </c>
      <c r="D7344" t="str">
        <f t="shared" si="114"/>
        <v>2023</v>
      </c>
      <c r="E7344">
        <v>2</v>
      </c>
      <c r="F7344">
        <v>95628</v>
      </c>
      <c r="G7344">
        <v>0</v>
      </c>
      <c r="H7344" t="s">
        <v>10</v>
      </c>
      <c r="I7344" t="s">
        <v>11</v>
      </c>
    </row>
    <row r="7345" spans="1:9" hidden="1" x14ac:dyDescent="0.25">
      <c r="A7345" t="s">
        <v>17</v>
      </c>
      <c r="B7345" t="s">
        <v>188</v>
      </c>
      <c r="C7345">
        <v>202302</v>
      </c>
      <c r="D7345" t="str">
        <f t="shared" si="114"/>
        <v>2023</v>
      </c>
      <c r="E7345">
        <v>4</v>
      </c>
      <c r="F7345">
        <v>95628</v>
      </c>
      <c r="G7345">
        <v>0</v>
      </c>
      <c r="H7345" t="s">
        <v>10</v>
      </c>
      <c r="I7345" t="s">
        <v>11</v>
      </c>
    </row>
    <row r="7346" spans="1:9" hidden="1" x14ac:dyDescent="0.25">
      <c r="A7346" t="s">
        <v>17</v>
      </c>
      <c r="B7346" t="s">
        <v>188</v>
      </c>
      <c r="C7346">
        <v>202304</v>
      </c>
      <c r="D7346" t="str">
        <f t="shared" si="114"/>
        <v>2023</v>
      </c>
      <c r="E7346">
        <v>2</v>
      </c>
      <c r="F7346">
        <v>95628</v>
      </c>
      <c r="G7346">
        <v>0</v>
      </c>
      <c r="H7346" t="s">
        <v>10</v>
      </c>
      <c r="I7346" t="s">
        <v>11</v>
      </c>
    </row>
    <row r="7347" spans="1:9" hidden="1" x14ac:dyDescent="0.25">
      <c r="A7347" t="s">
        <v>17</v>
      </c>
      <c r="B7347" t="s">
        <v>188</v>
      </c>
      <c r="C7347">
        <v>202305</v>
      </c>
      <c r="D7347" t="str">
        <f t="shared" si="114"/>
        <v>2023</v>
      </c>
      <c r="E7347">
        <v>7</v>
      </c>
      <c r="F7347">
        <v>95628</v>
      </c>
      <c r="G7347">
        <v>0.01</v>
      </c>
      <c r="H7347" t="s">
        <v>10</v>
      </c>
      <c r="I7347" t="s">
        <v>11</v>
      </c>
    </row>
    <row r="7348" spans="1:9" hidden="1" x14ac:dyDescent="0.25">
      <c r="A7348" t="s">
        <v>17</v>
      </c>
      <c r="B7348" t="s">
        <v>188</v>
      </c>
      <c r="C7348">
        <v>202306</v>
      </c>
      <c r="D7348" t="str">
        <f t="shared" si="114"/>
        <v>2023</v>
      </c>
      <c r="E7348">
        <v>4</v>
      </c>
      <c r="F7348">
        <v>95628</v>
      </c>
      <c r="G7348">
        <v>0</v>
      </c>
      <c r="H7348" t="s">
        <v>10</v>
      </c>
      <c r="I7348" t="s">
        <v>11</v>
      </c>
    </row>
    <row r="7349" spans="1:9" hidden="1" x14ac:dyDescent="0.25">
      <c r="A7349" t="s">
        <v>17</v>
      </c>
      <c r="B7349" t="s">
        <v>188</v>
      </c>
      <c r="C7349">
        <v>202307</v>
      </c>
      <c r="D7349" t="str">
        <f t="shared" si="114"/>
        <v>2023</v>
      </c>
      <c r="E7349">
        <v>34</v>
      </c>
      <c r="F7349">
        <v>95628</v>
      </c>
      <c r="G7349">
        <v>0.04</v>
      </c>
      <c r="H7349" t="s">
        <v>10</v>
      </c>
      <c r="I7349" t="s">
        <v>11</v>
      </c>
    </row>
    <row r="7350" spans="1:9" hidden="1" x14ac:dyDescent="0.25">
      <c r="A7350" t="s">
        <v>17</v>
      </c>
      <c r="B7350" t="s">
        <v>188</v>
      </c>
      <c r="C7350">
        <v>202308</v>
      </c>
      <c r="D7350" t="str">
        <f t="shared" si="114"/>
        <v>2023</v>
      </c>
      <c r="E7350">
        <v>97</v>
      </c>
      <c r="F7350">
        <v>95628</v>
      </c>
      <c r="G7350">
        <v>0.1</v>
      </c>
      <c r="H7350" t="s">
        <v>10</v>
      </c>
      <c r="I7350" t="s">
        <v>11</v>
      </c>
    </row>
    <row r="7351" spans="1:9" hidden="1" x14ac:dyDescent="0.25">
      <c r="A7351" t="s">
        <v>17</v>
      </c>
      <c r="B7351" t="s">
        <v>188</v>
      </c>
      <c r="C7351">
        <v>202309</v>
      </c>
      <c r="D7351" t="str">
        <f t="shared" si="114"/>
        <v>2023</v>
      </c>
      <c r="E7351">
        <v>27</v>
      </c>
      <c r="F7351">
        <v>95628</v>
      </c>
      <c r="G7351">
        <v>0.03</v>
      </c>
      <c r="H7351" t="s">
        <v>10</v>
      </c>
      <c r="I7351" t="s">
        <v>11</v>
      </c>
    </row>
    <row r="7352" spans="1:9" hidden="1" x14ac:dyDescent="0.25">
      <c r="A7352" t="s">
        <v>17</v>
      </c>
      <c r="B7352" t="s">
        <v>188</v>
      </c>
      <c r="C7352">
        <v>202310</v>
      </c>
      <c r="D7352" t="str">
        <f t="shared" si="114"/>
        <v>2023</v>
      </c>
      <c r="E7352">
        <v>24</v>
      </c>
      <c r="F7352">
        <v>95628</v>
      </c>
      <c r="G7352">
        <v>0.03</v>
      </c>
      <c r="H7352" t="s">
        <v>10</v>
      </c>
      <c r="I7352" t="s">
        <v>11</v>
      </c>
    </row>
    <row r="7353" spans="1:9" hidden="1" x14ac:dyDescent="0.25">
      <c r="A7353" t="s">
        <v>17</v>
      </c>
      <c r="B7353" t="s">
        <v>188</v>
      </c>
      <c r="C7353">
        <v>202311</v>
      </c>
      <c r="D7353" t="str">
        <f t="shared" si="114"/>
        <v>2023</v>
      </c>
      <c r="E7353">
        <v>24</v>
      </c>
      <c r="F7353">
        <v>95628</v>
      </c>
      <c r="G7353">
        <v>0.03</v>
      </c>
      <c r="H7353" t="s">
        <v>10</v>
      </c>
      <c r="I7353" t="s">
        <v>11</v>
      </c>
    </row>
    <row r="7354" spans="1:9" hidden="1" x14ac:dyDescent="0.25">
      <c r="A7354" t="s">
        <v>17</v>
      </c>
      <c r="B7354" t="s">
        <v>188</v>
      </c>
      <c r="C7354">
        <v>202312</v>
      </c>
      <c r="D7354" t="str">
        <f t="shared" si="114"/>
        <v>2023</v>
      </c>
      <c r="E7354">
        <v>70</v>
      </c>
      <c r="F7354">
        <v>95628</v>
      </c>
      <c r="G7354">
        <v>7.0000000000000007E-2</v>
      </c>
      <c r="H7354" t="s">
        <v>10</v>
      </c>
      <c r="I7354" t="s">
        <v>11</v>
      </c>
    </row>
    <row r="7355" spans="1:9" hidden="1" x14ac:dyDescent="0.25">
      <c r="A7355" t="s">
        <v>17</v>
      </c>
      <c r="B7355" t="s">
        <v>188</v>
      </c>
      <c r="C7355">
        <v>202401</v>
      </c>
      <c r="D7355" t="str">
        <f t="shared" si="114"/>
        <v>2024</v>
      </c>
      <c r="E7355">
        <v>156</v>
      </c>
      <c r="F7355">
        <v>95628</v>
      </c>
      <c r="G7355">
        <v>0.16</v>
      </c>
      <c r="H7355" t="s">
        <v>10</v>
      </c>
      <c r="I7355" t="s">
        <v>11</v>
      </c>
    </row>
    <row r="7356" spans="1:9" hidden="1" x14ac:dyDescent="0.25">
      <c r="A7356" t="s">
        <v>17</v>
      </c>
      <c r="B7356" t="s">
        <v>188</v>
      </c>
      <c r="C7356">
        <v>202402</v>
      </c>
      <c r="D7356" t="str">
        <f t="shared" si="114"/>
        <v>2024</v>
      </c>
      <c r="E7356">
        <v>285</v>
      </c>
      <c r="F7356">
        <v>95628</v>
      </c>
      <c r="G7356">
        <v>0.3</v>
      </c>
      <c r="H7356" t="s">
        <v>10</v>
      </c>
      <c r="I7356" t="s">
        <v>11</v>
      </c>
    </row>
    <row r="7357" spans="1:9" hidden="1" x14ac:dyDescent="0.25">
      <c r="A7357" t="s">
        <v>17</v>
      </c>
      <c r="B7357" t="s">
        <v>188</v>
      </c>
      <c r="C7357">
        <v>202403</v>
      </c>
      <c r="D7357" t="str">
        <f t="shared" si="114"/>
        <v>2024</v>
      </c>
      <c r="E7357">
        <v>400</v>
      </c>
      <c r="F7357">
        <v>95628</v>
      </c>
      <c r="G7357">
        <v>0.42</v>
      </c>
      <c r="H7357" t="s">
        <v>10</v>
      </c>
      <c r="I7357" t="s">
        <v>11</v>
      </c>
    </row>
    <row r="7358" spans="1:9" hidden="1" x14ac:dyDescent="0.25">
      <c r="A7358" t="s">
        <v>17</v>
      </c>
      <c r="B7358" t="s">
        <v>188</v>
      </c>
      <c r="C7358">
        <v>202404</v>
      </c>
      <c r="D7358" t="str">
        <f t="shared" si="114"/>
        <v>2024</v>
      </c>
      <c r="E7358">
        <v>283</v>
      </c>
      <c r="F7358">
        <v>95628</v>
      </c>
      <c r="G7358">
        <v>0.3</v>
      </c>
      <c r="H7358" t="s">
        <v>10</v>
      </c>
      <c r="I7358" t="s">
        <v>11</v>
      </c>
    </row>
    <row r="7359" spans="1:9" hidden="1" x14ac:dyDescent="0.25">
      <c r="A7359" t="s">
        <v>17</v>
      </c>
      <c r="B7359" t="s">
        <v>188</v>
      </c>
      <c r="C7359">
        <v>202405</v>
      </c>
      <c r="D7359" t="str">
        <f t="shared" si="114"/>
        <v>2024</v>
      </c>
      <c r="E7359">
        <v>706</v>
      </c>
      <c r="F7359">
        <v>95628</v>
      </c>
      <c r="G7359">
        <v>0.74</v>
      </c>
      <c r="H7359" t="s">
        <v>10</v>
      </c>
      <c r="I7359" t="s">
        <v>11</v>
      </c>
    </row>
    <row r="7360" spans="1:9" hidden="1" x14ac:dyDescent="0.25">
      <c r="A7360" t="s">
        <v>17</v>
      </c>
      <c r="B7360" t="s">
        <v>188</v>
      </c>
      <c r="C7360">
        <v>202406</v>
      </c>
      <c r="D7360" t="str">
        <f t="shared" si="114"/>
        <v>2024</v>
      </c>
      <c r="E7360">
        <v>740</v>
      </c>
      <c r="F7360">
        <v>95628</v>
      </c>
      <c r="G7360">
        <v>0.77</v>
      </c>
      <c r="H7360" t="s">
        <v>10</v>
      </c>
      <c r="I7360" t="s">
        <v>11</v>
      </c>
    </row>
    <row r="7361" spans="1:9" hidden="1" x14ac:dyDescent="0.25">
      <c r="A7361" t="s">
        <v>17</v>
      </c>
      <c r="B7361" t="s">
        <v>188</v>
      </c>
      <c r="C7361">
        <v>202407</v>
      </c>
      <c r="D7361" t="str">
        <f t="shared" si="114"/>
        <v>2024</v>
      </c>
      <c r="E7361">
        <v>869</v>
      </c>
      <c r="F7361">
        <v>95628</v>
      </c>
      <c r="G7361">
        <v>0.91</v>
      </c>
      <c r="H7361" t="s">
        <v>10</v>
      </c>
      <c r="I7361" t="s">
        <v>11</v>
      </c>
    </row>
    <row r="7362" spans="1:9" hidden="1" x14ac:dyDescent="0.25">
      <c r="A7362" t="s">
        <v>17</v>
      </c>
      <c r="B7362" t="s">
        <v>188</v>
      </c>
      <c r="C7362">
        <v>202408</v>
      </c>
      <c r="D7362" t="str">
        <f t="shared" si="114"/>
        <v>2024</v>
      </c>
      <c r="E7362">
        <v>808</v>
      </c>
      <c r="F7362">
        <v>95628</v>
      </c>
      <c r="G7362">
        <v>0.84</v>
      </c>
      <c r="H7362" t="s">
        <v>10</v>
      </c>
      <c r="I7362" t="s">
        <v>11</v>
      </c>
    </row>
    <row r="7363" spans="1:9" hidden="1" x14ac:dyDescent="0.25">
      <c r="A7363" t="s">
        <v>17</v>
      </c>
      <c r="B7363" t="s">
        <v>188</v>
      </c>
      <c r="C7363">
        <v>202409</v>
      </c>
      <c r="D7363" t="str">
        <f t="shared" ref="D7363:D7426" si="115">LEFT(C7363,4)</f>
        <v>2024</v>
      </c>
      <c r="E7363">
        <v>584</v>
      </c>
      <c r="F7363">
        <v>95628</v>
      </c>
      <c r="G7363">
        <v>0.61</v>
      </c>
      <c r="H7363" t="s">
        <v>10</v>
      </c>
      <c r="I7363" t="s">
        <v>11</v>
      </c>
    </row>
    <row r="7364" spans="1:9" hidden="1" x14ac:dyDescent="0.25">
      <c r="A7364" t="s">
        <v>17</v>
      </c>
      <c r="B7364" t="s">
        <v>188</v>
      </c>
      <c r="C7364">
        <v>202410</v>
      </c>
      <c r="D7364" t="str">
        <f t="shared" si="115"/>
        <v>2024</v>
      </c>
      <c r="E7364">
        <v>1310</v>
      </c>
      <c r="F7364">
        <v>95628</v>
      </c>
      <c r="G7364">
        <v>1.37</v>
      </c>
      <c r="H7364" t="s">
        <v>10</v>
      </c>
      <c r="I7364" t="s">
        <v>11</v>
      </c>
    </row>
    <row r="7365" spans="1:9" hidden="1" x14ac:dyDescent="0.25">
      <c r="A7365" t="s">
        <v>17</v>
      </c>
      <c r="B7365" t="s">
        <v>188</v>
      </c>
      <c r="C7365">
        <v>202411</v>
      </c>
      <c r="D7365" t="str">
        <f t="shared" si="115"/>
        <v>2024</v>
      </c>
      <c r="E7365">
        <v>860</v>
      </c>
      <c r="F7365">
        <v>95628</v>
      </c>
      <c r="G7365">
        <v>0.9</v>
      </c>
      <c r="H7365" t="s">
        <v>10</v>
      </c>
      <c r="I7365" t="s">
        <v>11</v>
      </c>
    </row>
    <row r="7366" spans="1:9" hidden="1" x14ac:dyDescent="0.25">
      <c r="A7366" t="s">
        <v>17</v>
      </c>
      <c r="B7366" t="s">
        <v>188</v>
      </c>
      <c r="C7366">
        <v>202412</v>
      </c>
      <c r="D7366" t="str">
        <f t="shared" si="115"/>
        <v>2024</v>
      </c>
      <c r="E7366">
        <v>972</v>
      </c>
      <c r="F7366">
        <v>95628</v>
      </c>
      <c r="G7366">
        <v>1.02</v>
      </c>
      <c r="H7366" t="s">
        <v>10</v>
      </c>
      <c r="I7366" t="s">
        <v>11</v>
      </c>
    </row>
    <row r="7367" spans="1:9" x14ac:dyDescent="0.25">
      <c r="A7367" t="s">
        <v>17</v>
      </c>
      <c r="B7367" t="s">
        <v>188</v>
      </c>
      <c r="C7367">
        <v>202501</v>
      </c>
      <c r="D7367" t="str">
        <f t="shared" si="115"/>
        <v>2025</v>
      </c>
      <c r="E7367">
        <v>1578</v>
      </c>
      <c r="F7367">
        <v>95628</v>
      </c>
      <c r="G7367">
        <v>1.65</v>
      </c>
      <c r="H7367" t="s">
        <v>10</v>
      </c>
      <c r="I7367" t="s">
        <v>11</v>
      </c>
    </row>
    <row r="7368" spans="1:9" x14ac:dyDescent="0.25">
      <c r="A7368" t="s">
        <v>17</v>
      </c>
      <c r="B7368" t="s">
        <v>188</v>
      </c>
      <c r="C7368">
        <v>202502</v>
      </c>
      <c r="D7368" t="str">
        <f t="shared" si="115"/>
        <v>2025</v>
      </c>
      <c r="E7368">
        <v>2484</v>
      </c>
      <c r="F7368">
        <v>95628</v>
      </c>
      <c r="G7368">
        <v>2.6</v>
      </c>
      <c r="H7368" t="s">
        <v>10</v>
      </c>
      <c r="I7368" t="s">
        <v>11</v>
      </c>
    </row>
    <row r="7369" spans="1:9" x14ac:dyDescent="0.25">
      <c r="A7369" t="s">
        <v>17</v>
      </c>
      <c r="B7369" t="s">
        <v>188</v>
      </c>
      <c r="C7369">
        <v>202503</v>
      </c>
      <c r="D7369" t="str">
        <f t="shared" si="115"/>
        <v>2025</v>
      </c>
      <c r="E7369">
        <v>6380</v>
      </c>
      <c r="F7369">
        <v>95628</v>
      </c>
      <c r="G7369">
        <v>6.67</v>
      </c>
      <c r="H7369" t="s">
        <v>10</v>
      </c>
      <c r="I7369" t="s">
        <v>11</v>
      </c>
    </row>
    <row r="7370" spans="1:9" x14ac:dyDescent="0.25">
      <c r="A7370" t="s">
        <v>17</v>
      </c>
      <c r="B7370" t="s">
        <v>188</v>
      </c>
      <c r="C7370">
        <v>202504</v>
      </c>
      <c r="D7370" t="str">
        <f t="shared" si="115"/>
        <v>2025</v>
      </c>
      <c r="E7370">
        <v>46529</v>
      </c>
      <c r="F7370">
        <v>95628</v>
      </c>
      <c r="G7370">
        <v>48.66</v>
      </c>
      <c r="H7370" t="s">
        <v>10</v>
      </c>
      <c r="I7370" t="s">
        <v>11</v>
      </c>
    </row>
    <row r="7371" spans="1:9" x14ac:dyDescent="0.25">
      <c r="A7371" t="s">
        <v>17</v>
      </c>
      <c r="B7371" t="s">
        <v>188</v>
      </c>
      <c r="C7371">
        <v>202505</v>
      </c>
      <c r="D7371" t="str">
        <f t="shared" si="115"/>
        <v>2025</v>
      </c>
      <c r="E7371">
        <v>30380</v>
      </c>
      <c r="F7371">
        <v>95628</v>
      </c>
      <c r="G7371">
        <v>31.77</v>
      </c>
      <c r="H7371" t="s">
        <v>10</v>
      </c>
      <c r="I7371" t="s">
        <v>11</v>
      </c>
    </row>
    <row r="7372" spans="1:9" hidden="1" x14ac:dyDescent="0.25">
      <c r="A7372" t="s">
        <v>17</v>
      </c>
      <c r="B7372" t="s">
        <v>133</v>
      </c>
      <c r="C7372">
        <v>202103</v>
      </c>
      <c r="D7372" t="str">
        <f t="shared" si="115"/>
        <v>2021</v>
      </c>
      <c r="E7372">
        <v>1</v>
      </c>
      <c r="F7372">
        <v>79426</v>
      </c>
      <c r="G7372">
        <v>0</v>
      </c>
      <c r="H7372" t="s">
        <v>10</v>
      </c>
      <c r="I7372" t="s">
        <v>11</v>
      </c>
    </row>
    <row r="7373" spans="1:9" hidden="1" x14ac:dyDescent="0.25">
      <c r="A7373" t="s">
        <v>17</v>
      </c>
      <c r="B7373" t="s">
        <v>133</v>
      </c>
      <c r="C7373">
        <v>202201</v>
      </c>
      <c r="D7373" t="str">
        <f t="shared" si="115"/>
        <v>2022</v>
      </c>
      <c r="E7373">
        <v>12</v>
      </c>
      <c r="F7373">
        <v>79426</v>
      </c>
      <c r="G7373">
        <v>0.02</v>
      </c>
      <c r="H7373" t="s">
        <v>10</v>
      </c>
      <c r="I7373" t="s">
        <v>11</v>
      </c>
    </row>
    <row r="7374" spans="1:9" hidden="1" x14ac:dyDescent="0.25">
      <c r="A7374" t="s">
        <v>17</v>
      </c>
      <c r="B7374" t="s">
        <v>133</v>
      </c>
      <c r="C7374">
        <v>202202</v>
      </c>
      <c r="D7374" t="str">
        <f t="shared" si="115"/>
        <v>2022</v>
      </c>
      <c r="E7374">
        <v>13</v>
      </c>
      <c r="F7374">
        <v>79426</v>
      </c>
      <c r="G7374">
        <v>0.02</v>
      </c>
      <c r="H7374" t="s">
        <v>10</v>
      </c>
      <c r="I7374" t="s">
        <v>11</v>
      </c>
    </row>
    <row r="7375" spans="1:9" hidden="1" x14ac:dyDescent="0.25">
      <c r="A7375" t="s">
        <v>17</v>
      </c>
      <c r="B7375" t="s">
        <v>133</v>
      </c>
      <c r="C7375">
        <v>202204</v>
      </c>
      <c r="D7375" t="str">
        <f t="shared" si="115"/>
        <v>2022</v>
      </c>
      <c r="E7375">
        <v>3</v>
      </c>
      <c r="F7375">
        <v>79426</v>
      </c>
      <c r="G7375">
        <v>0</v>
      </c>
      <c r="H7375" t="s">
        <v>10</v>
      </c>
      <c r="I7375" t="s">
        <v>11</v>
      </c>
    </row>
    <row r="7376" spans="1:9" hidden="1" x14ac:dyDescent="0.25">
      <c r="A7376" t="s">
        <v>17</v>
      </c>
      <c r="B7376" t="s">
        <v>133</v>
      </c>
      <c r="C7376">
        <v>202205</v>
      </c>
      <c r="D7376" t="str">
        <f t="shared" si="115"/>
        <v>2022</v>
      </c>
      <c r="E7376">
        <v>4</v>
      </c>
      <c r="F7376">
        <v>79426</v>
      </c>
      <c r="G7376">
        <v>0.01</v>
      </c>
      <c r="H7376" t="s">
        <v>10</v>
      </c>
      <c r="I7376" t="s">
        <v>11</v>
      </c>
    </row>
    <row r="7377" spans="1:9" hidden="1" x14ac:dyDescent="0.25">
      <c r="A7377" t="s">
        <v>17</v>
      </c>
      <c r="B7377" t="s">
        <v>133</v>
      </c>
      <c r="C7377">
        <v>202206</v>
      </c>
      <c r="D7377" t="str">
        <f t="shared" si="115"/>
        <v>2022</v>
      </c>
      <c r="E7377">
        <v>1</v>
      </c>
      <c r="F7377">
        <v>79426</v>
      </c>
      <c r="G7377">
        <v>0</v>
      </c>
      <c r="H7377" t="s">
        <v>10</v>
      </c>
      <c r="I7377" t="s">
        <v>11</v>
      </c>
    </row>
    <row r="7378" spans="1:9" hidden="1" x14ac:dyDescent="0.25">
      <c r="A7378" t="s">
        <v>17</v>
      </c>
      <c r="B7378" t="s">
        <v>133</v>
      </c>
      <c r="C7378">
        <v>202207</v>
      </c>
      <c r="D7378" t="str">
        <f t="shared" si="115"/>
        <v>2022</v>
      </c>
      <c r="E7378">
        <v>2</v>
      </c>
      <c r="F7378">
        <v>79426</v>
      </c>
      <c r="G7378">
        <v>0</v>
      </c>
      <c r="H7378" t="s">
        <v>10</v>
      </c>
      <c r="I7378" t="s">
        <v>11</v>
      </c>
    </row>
    <row r="7379" spans="1:9" hidden="1" x14ac:dyDescent="0.25">
      <c r="A7379" t="s">
        <v>17</v>
      </c>
      <c r="B7379" t="s">
        <v>133</v>
      </c>
      <c r="C7379">
        <v>202208</v>
      </c>
      <c r="D7379" t="str">
        <f t="shared" si="115"/>
        <v>2022</v>
      </c>
      <c r="E7379">
        <v>17</v>
      </c>
      <c r="F7379">
        <v>79426</v>
      </c>
      <c r="G7379">
        <v>0.02</v>
      </c>
      <c r="H7379" t="s">
        <v>10</v>
      </c>
      <c r="I7379" t="s">
        <v>11</v>
      </c>
    </row>
    <row r="7380" spans="1:9" hidden="1" x14ac:dyDescent="0.25">
      <c r="A7380" t="s">
        <v>17</v>
      </c>
      <c r="B7380" t="s">
        <v>133</v>
      </c>
      <c r="C7380">
        <v>202209</v>
      </c>
      <c r="D7380" t="str">
        <f t="shared" si="115"/>
        <v>2022</v>
      </c>
      <c r="E7380">
        <v>4</v>
      </c>
      <c r="F7380">
        <v>79426</v>
      </c>
      <c r="G7380">
        <v>0.01</v>
      </c>
      <c r="H7380" t="s">
        <v>10</v>
      </c>
      <c r="I7380" t="s">
        <v>11</v>
      </c>
    </row>
    <row r="7381" spans="1:9" hidden="1" x14ac:dyDescent="0.25">
      <c r="A7381" t="s">
        <v>17</v>
      </c>
      <c r="B7381" t="s">
        <v>133</v>
      </c>
      <c r="C7381">
        <v>202210</v>
      </c>
      <c r="D7381" t="str">
        <f t="shared" si="115"/>
        <v>2022</v>
      </c>
      <c r="E7381">
        <v>12</v>
      </c>
      <c r="F7381">
        <v>79426</v>
      </c>
      <c r="G7381">
        <v>0.02</v>
      </c>
      <c r="H7381" t="s">
        <v>10</v>
      </c>
      <c r="I7381" t="s">
        <v>11</v>
      </c>
    </row>
    <row r="7382" spans="1:9" hidden="1" x14ac:dyDescent="0.25">
      <c r="A7382" t="s">
        <v>17</v>
      </c>
      <c r="B7382" t="s">
        <v>133</v>
      </c>
      <c r="C7382">
        <v>202211</v>
      </c>
      <c r="D7382" t="str">
        <f t="shared" si="115"/>
        <v>2022</v>
      </c>
      <c r="E7382">
        <v>21</v>
      </c>
      <c r="F7382">
        <v>79426</v>
      </c>
      <c r="G7382">
        <v>0.03</v>
      </c>
      <c r="H7382" t="s">
        <v>10</v>
      </c>
      <c r="I7382" t="s">
        <v>11</v>
      </c>
    </row>
    <row r="7383" spans="1:9" hidden="1" x14ac:dyDescent="0.25">
      <c r="A7383" t="s">
        <v>17</v>
      </c>
      <c r="B7383" t="s">
        <v>133</v>
      </c>
      <c r="C7383">
        <v>202212</v>
      </c>
      <c r="D7383" t="str">
        <f t="shared" si="115"/>
        <v>2022</v>
      </c>
      <c r="E7383">
        <v>34</v>
      </c>
      <c r="F7383">
        <v>79426</v>
      </c>
      <c r="G7383">
        <v>0.04</v>
      </c>
      <c r="H7383" t="s">
        <v>10</v>
      </c>
      <c r="I7383" t="s">
        <v>11</v>
      </c>
    </row>
    <row r="7384" spans="1:9" hidden="1" x14ac:dyDescent="0.25">
      <c r="A7384" t="s">
        <v>17</v>
      </c>
      <c r="B7384" t="s">
        <v>133</v>
      </c>
      <c r="C7384">
        <v>202301</v>
      </c>
      <c r="D7384" t="str">
        <f t="shared" si="115"/>
        <v>2023</v>
      </c>
      <c r="E7384">
        <v>1</v>
      </c>
      <c r="F7384">
        <v>79426</v>
      </c>
      <c r="G7384">
        <v>0</v>
      </c>
      <c r="H7384" t="s">
        <v>10</v>
      </c>
      <c r="I7384" t="s">
        <v>11</v>
      </c>
    </row>
    <row r="7385" spans="1:9" hidden="1" x14ac:dyDescent="0.25">
      <c r="A7385" t="s">
        <v>17</v>
      </c>
      <c r="B7385" t="s">
        <v>133</v>
      </c>
      <c r="C7385">
        <v>202302</v>
      </c>
      <c r="D7385" t="str">
        <f t="shared" si="115"/>
        <v>2023</v>
      </c>
      <c r="E7385">
        <v>9</v>
      </c>
      <c r="F7385">
        <v>79426</v>
      </c>
      <c r="G7385">
        <v>0.01</v>
      </c>
      <c r="H7385" t="s">
        <v>10</v>
      </c>
      <c r="I7385" t="s">
        <v>11</v>
      </c>
    </row>
    <row r="7386" spans="1:9" hidden="1" x14ac:dyDescent="0.25">
      <c r="A7386" t="s">
        <v>17</v>
      </c>
      <c r="B7386" t="s">
        <v>133</v>
      </c>
      <c r="C7386">
        <v>202303</v>
      </c>
      <c r="D7386" t="str">
        <f t="shared" si="115"/>
        <v>2023</v>
      </c>
      <c r="E7386">
        <v>17</v>
      </c>
      <c r="F7386">
        <v>79426</v>
      </c>
      <c r="G7386">
        <v>0.02</v>
      </c>
      <c r="H7386" t="s">
        <v>10</v>
      </c>
      <c r="I7386" t="s">
        <v>11</v>
      </c>
    </row>
    <row r="7387" spans="1:9" hidden="1" x14ac:dyDescent="0.25">
      <c r="A7387" t="s">
        <v>17</v>
      </c>
      <c r="B7387" t="s">
        <v>133</v>
      </c>
      <c r="C7387">
        <v>202304</v>
      </c>
      <c r="D7387" t="str">
        <f t="shared" si="115"/>
        <v>2023</v>
      </c>
      <c r="E7387">
        <v>14</v>
      </c>
      <c r="F7387">
        <v>79426</v>
      </c>
      <c r="G7387">
        <v>0.02</v>
      </c>
      <c r="H7387" t="s">
        <v>10</v>
      </c>
      <c r="I7387" t="s">
        <v>11</v>
      </c>
    </row>
    <row r="7388" spans="1:9" hidden="1" x14ac:dyDescent="0.25">
      <c r="A7388" t="s">
        <v>17</v>
      </c>
      <c r="B7388" t="s">
        <v>133</v>
      </c>
      <c r="C7388">
        <v>202305</v>
      </c>
      <c r="D7388" t="str">
        <f t="shared" si="115"/>
        <v>2023</v>
      </c>
      <c r="E7388">
        <v>9</v>
      </c>
      <c r="F7388">
        <v>79426</v>
      </c>
      <c r="G7388">
        <v>0.01</v>
      </c>
      <c r="H7388" t="s">
        <v>10</v>
      </c>
      <c r="I7388" t="s">
        <v>11</v>
      </c>
    </row>
    <row r="7389" spans="1:9" hidden="1" x14ac:dyDescent="0.25">
      <c r="A7389" t="s">
        <v>17</v>
      </c>
      <c r="B7389" t="s">
        <v>133</v>
      </c>
      <c r="C7389">
        <v>202306</v>
      </c>
      <c r="D7389" t="str">
        <f t="shared" si="115"/>
        <v>2023</v>
      </c>
      <c r="E7389">
        <v>26</v>
      </c>
      <c r="F7389">
        <v>79426</v>
      </c>
      <c r="G7389">
        <v>0.03</v>
      </c>
      <c r="H7389" t="s">
        <v>10</v>
      </c>
      <c r="I7389" t="s">
        <v>11</v>
      </c>
    </row>
    <row r="7390" spans="1:9" hidden="1" x14ac:dyDescent="0.25">
      <c r="A7390" t="s">
        <v>17</v>
      </c>
      <c r="B7390" t="s">
        <v>133</v>
      </c>
      <c r="C7390">
        <v>202307</v>
      </c>
      <c r="D7390" t="str">
        <f t="shared" si="115"/>
        <v>2023</v>
      </c>
      <c r="E7390">
        <v>27</v>
      </c>
      <c r="F7390">
        <v>79426</v>
      </c>
      <c r="G7390">
        <v>0.03</v>
      </c>
      <c r="H7390" t="s">
        <v>10</v>
      </c>
      <c r="I7390" t="s">
        <v>11</v>
      </c>
    </row>
    <row r="7391" spans="1:9" hidden="1" x14ac:dyDescent="0.25">
      <c r="A7391" t="s">
        <v>17</v>
      </c>
      <c r="B7391" t="s">
        <v>133</v>
      </c>
      <c r="C7391">
        <v>202308</v>
      </c>
      <c r="D7391" t="str">
        <f t="shared" si="115"/>
        <v>2023</v>
      </c>
      <c r="E7391">
        <v>34</v>
      </c>
      <c r="F7391">
        <v>79426</v>
      </c>
      <c r="G7391">
        <v>0.04</v>
      </c>
      <c r="H7391" t="s">
        <v>10</v>
      </c>
      <c r="I7391" t="s">
        <v>11</v>
      </c>
    </row>
    <row r="7392" spans="1:9" hidden="1" x14ac:dyDescent="0.25">
      <c r="A7392" t="s">
        <v>17</v>
      </c>
      <c r="B7392" t="s">
        <v>133</v>
      </c>
      <c r="C7392">
        <v>202309</v>
      </c>
      <c r="D7392" t="str">
        <f t="shared" si="115"/>
        <v>2023</v>
      </c>
      <c r="E7392">
        <v>5</v>
      </c>
      <c r="F7392">
        <v>79426</v>
      </c>
      <c r="G7392">
        <v>0.01</v>
      </c>
      <c r="H7392" t="s">
        <v>10</v>
      </c>
      <c r="I7392" t="s">
        <v>11</v>
      </c>
    </row>
    <row r="7393" spans="1:9" hidden="1" x14ac:dyDescent="0.25">
      <c r="A7393" t="s">
        <v>17</v>
      </c>
      <c r="B7393" t="s">
        <v>133</v>
      </c>
      <c r="C7393">
        <v>202310</v>
      </c>
      <c r="D7393" t="str">
        <f t="shared" si="115"/>
        <v>2023</v>
      </c>
      <c r="E7393">
        <v>69</v>
      </c>
      <c r="F7393">
        <v>79426</v>
      </c>
      <c r="G7393">
        <v>0.09</v>
      </c>
      <c r="H7393" t="s">
        <v>10</v>
      </c>
      <c r="I7393" t="s">
        <v>11</v>
      </c>
    </row>
    <row r="7394" spans="1:9" hidden="1" x14ac:dyDescent="0.25">
      <c r="A7394" t="s">
        <v>17</v>
      </c>
      <c r="B7394" t="s">
        <v>133</v>
      </c>
      <c r="C7394">
        <v>202311</v>
      </c>
      <c r="D7394" t="str">
        <f t="shared" si="115"/>
        <v>2023</v>
      </c>
      <c r="E7394">
        <v>33</v>
      </c>
      <c r="F7394">
        <v>79426</v>
      </c>
      <c r="G7394">
        <v>0.04</v>
      </c>
      <c r="H7394" t="s">
        <v>10</v>
      </c>
      <c r="I7394" t="s">
        <v>11</v>
      </c>
    </row>
    <row r="7395" spans="1:9" hidden="1" x14ac:dyDescent="0.25">
      <c r="A7395" t="s">
        <v>17</v>
      </c>
      <c r="B7395" t="s">
        <v>133</v>
      </c>
      <c r="C7395">
        <v>202312</v>
      </c>
      <c r="D7395" t="str">
        <f t="shared" si="115"/>
        <v>2023</v>
      </c>
      <c r="E7395">
        <v>75</v>
      </c>
      <c r="F7395">
        <v>79426</v>
      </c>
      <c r="G7395">
        <v>0.09</v>
      </c>
      <c r="H7395" t="s">
        <v>10</v>
      </c>
      <c r="I7395" t="s">
        <v>11</v>
      </c>
    </row>
    <row r="7396" spans="1:9" hidden="1" x14ac:dyDescent="0.25">
      <c r="A7396" t="s">
        <v>17</v>
      </c>
      <c r="B7396" t="s">
        <v>133</v>
      </c>
      <c r="C7396">
        <v>202401</v>
      </c>
      <c r="D7396" t="str">
        <f t="shared" si="115"/>
        <v>2024</v>
      </c>
      <c r="E7396">
        <v>113</v>
      </c>
      <c r="F7396">
        <v>79426</v>
      </c>
      <c r="G7396">
        <v>0.14000000000000001</v>
      </c>
      <c r="H7396" t="s">
        <v>10</v>
      </c>
      <c r="I7396" t="s">
        <v>11</v>
      </c>
    </row>
    <row r="7397" spans="1:9" hidden="1" x14ac:dyDescent="0.25">
      <c r="A7397" t="s">
        <v>17</v>
      </c>
      <c r="B7397" t="s">
        <v>133</v>
      </c>
      <c r="C7397">
        <v>202402</v>
      </c>
      <c r="D7397" t="str">
        <f t="shared" si="115"/>
        <v>2024</v>
      </c>
      <c r="E7397">
        <v>106</v>
      </c>
      <c r="F7397">
        <v>79426</v>
      </c>
      <c r="G7397">
        <v>0.13</v>
      </c>
      <c r="H7397" t="s">
        <v>10</v>
      </c>
      <c r="I7397" t="s">
        <v>11</v>
      </c>
    </row>
    <row r="7398" spans="1:9" hidden="1" x14ac:dyDescent="0.25">
      <c r="A7398" t="s">
        <v>17</v>
      </c>
      <c r="B7398" t="s">
        <v>133</v>
      </c>
      <c r="C7398">
        <v>202403</v>
      </c>
      <c r="D7398" t="str">
        <f t="shared" si="115"/>
        <v>2024</v>
      </c>
      <c r="E7398">
        <v>56</v>
      </c>
      <c r="F7398">
        <v>79426</v>
      </c>
      <c r="G7398">
        <v>7.0000000000000007E-2</v>
      </c>
      <c r="H7398" t="s">
        <v>10</v>
      </c>
      <c r="I7398" t="s">
        <v>11</v>
      </c>
    </row>
    <row r="7399" spans="1:9" hidden="1" x14ac:dyDescent="0.25">
      <c r="A7399" t="s">
        <v>17</v>
      </c>
      <c r="B7399" t="s">
        <v>133</v>
      </c>
      <c r="C7399">
        <v>202404</v>
      </c>
      <c r="D7399" t="str">
        <f t="shared" si="115"/>
        <v>2024</v>
      </c>
      <c r="E7399">
        <v>166</v>
      </c>
      <c r="F7399">
        <v>79426</v>
      </c>
      <c r="G7399">
        <v>0.21</v>
      </c>
      <c r="H7399" t="s">
        <v>10</v>
      </c>
      <c r="I7399" t="s">
        <v>11</v>
      </c>
    </row>
    <row r="7400" spans="1:9" hidden="1" x14ac:dyDescent="0.25">
      <c r="A7400" t="s">
        <v>17</v>
      </c>
      <c r="B7400" t="s">
        <v>133</v>
      </c>
      <c r="C7400">
        <v>202405</v>
      </c>
      <c r="D7400" t="str">
        <f t="shared" si="115"/>
        <v>2024</v>
      </c>
      <c r="E7400">
        <v>253</v>
      </c>
      <c r="F7400">
        <v>79426</v>
      </c>
      <c r="G7400">
        <v>0.32</v>
      </c>
      <c r="H7400" t="s">
        <v>10</v>
      </c>
      <c r="I7400" t="s">
        <v>11</v>
      </c>
    </row>
    <row r="7401" spans="1:9" hidden="1" x14ac:dyDescent="0.25">
      <c r="A7401" t="s">
        <v>17</v>
      </c>
      <c r="B7401" t="s">
        <v>133</v>
      </c>
      <c r="C7401">
        <v>202406</v>
      </c>
      <c r="D7401" t="str">
        <f t="shared" si="115"/>
        <v>2024</v>
      </c>
      <c r="E7401">
        <v>252</v>
      </c>
      <c r="F7401">
        <v>79426</v>
      </c>
      <c r="G7401">
        <v>0.32</v>
      </c>
      <c r="H7401" t="s">
        <v>10</v>
      </c>
      <c r="I7401" t="s">
        <v>11</v>
      </c>
    </row>
    <row r="7402" spans="1:9" hidden="1" x14ac:dyDescent="0.25">
      <c r="A7402" t="s">
        <v>17</v>
      </c>
      <c r="B7402" t="s">
        <v>133</v>
      </c>
      <c r="C7402">
        <v>202407</v>
      </c>
      <c r="D7402" t="str">
        <f t="shared" si="115"/>
        <v>2024</v>
      </c>
      <c r="E7402">
        <v>284</v>
      </c>
      <c r="F7402">
        <v>79426</v>
      </c>
      <c r="G7402">
        <v>0.36</v>
      </c>
      <c r="H7402" t="s">
        <v>10</v>
      </c>
      <c r="I7402" t="s">
        <v>11</v>
      </c>
    </row>
    <row r="7403" spans="1:9" hidden="1" x14ac:dyDescent="0.25">
      <c r="A7403" t="s">
        <v>17</v>
      </c>
      <c r="B7403" t="s">
        <v>133</v>
      </c>
      <c r="C7403">
        <v>202408</v>
      </c>
      <c r="D7403" t="str">
        <f t="shared" si="115"/>
        <v>2024</v>
      </c>
      <c r="E7403">
        <v>620</v>
      </c>
      <c r="F7403">
        <v>79426</v>
      </c>
      <c r="G7403">
        <v>0.78</v>
      </c>
      <c r="H7403" t="s">
        <v>10</v>
      </c>
      <c r="I7403" t="s">
        <v>11</v>
      </c>
    </row>
    <row r="7404" spans="1:9" hidden="1" x14ac:dyDescent="0.25">
      <c r="A7404" t="s">
        <v>17</v>
      </c>
      <c r="B7404" t="s">
        <v>133</v>
      </c>
      <c r="C7404">
        <v>202409</v>
      </c>
      <c r="D7404" t="str">
        <f t="shared" si="115"/>
        <v>2024</v>
      </c>
      <c r="E7404">
        <v>648</v>
      </c>
      <c r="F7404">
        <v>79426</v>
      </c>
      <c r="G7404">
        <v>0.82</v>
      </c>
      <c r="H7404" t="s">
        <v>10</v>
      </c>
      <c r="I7404" t="s">
        <v>11</v>
      </c>
    </row>
    <row r="7405" spans="1:9" hidden="1" x14ac:dyDescent="0.25">
      <c r="A7405" t="s">
        <v>17</v>
      </c>
      <c r="B7405" t="s">
        <v>133</v>
      </c>
      <c r="C7405">
        <v>202410</v>
      </c>
      <c r="D7405" t="str">
        <f t="shared" si="115"/>
        <v>2024</v>
      </c>
      <c r="E7405">
        <v>926</v>
      </c>
      <c r="F7405">
        <v>79426</v>
      </c>
      <c r="G7405">
        <v>1.17</v>
      </c>
      <c r="H7405" t="s">
        <v>10</v>
      </c>
      <c r="I7405" t="s">
        <v>11</v>
      </c>
    </row>
    <row r="7406" spans="1:9" hidden="1" x14ac:dyDescent="0.25">
      <c r="A7406" t="s">
        <v>17</v>
      </c>
      <c r="B7406" t="s">
        <v>133</v>
      </c>
      <c r="C7406">
        <v>202411</v>
      </c>
      <c r="D7406" t="str">
        <f t="shared" si="115"/>
        <v>2024</v>
      </c>
      <c r="E7406">
        <v>748</v>
      </c>
      <c r="F7406">
        <v>79426</v>
      </c>
      <c r="G7406">
        <v>0.94</v>
      </c>
      <c r="H7406" t="s">
        <v>10</v>
      </c>
      <c r="I7406" t="s">
        <v>11</v>
      </c>
    </row>
    <row r="7407" spans="1:9" hidden="1" x14ac:dyDescent="0.25">
      <c r="A7407" t="s">
        <v>17</v>
      </c>
      <c r="B7407" t="s">
        <v>133</v>
      </c>
      <c r="C7407">
        <v>202412</v>
      </c>
      <c r="D7407" t="str">
        <f t="shared" si="115"/>
        <v>2024</v>
      </c>
      <c r="E7407">
        <v>907</v>
      </c>
      <c r="F7407">
        <v>79426</v>
      </c>
      <c r="G7407">
        <v>1.1399999999999999</v>
      </c>
      <c r="H7407" t="s">
        <v>10</v>
      </c>
      <c r="I7407" t="s">
        <v>11</v>
      </c>
    </row>
    <row r="7408" spans="1:9" x14ac:dyDescent="0.25">
      <c r="A7408" t="s">
        <v>17</v>
      </c>
      <c r="B7408" t="s">
        <v>133</v>
      </c>
      <c r="C7408">
        <v>202501</v>
      </c>
      <c r="D7408" t="str">
        <f t="shared" si="115"/>
        <v>2025</v>
      </c>
      <c r="E7408">
        <v>1409</v>
      </c>
      <c r="F7408">
        <v>79426</v>
      </c>
      <c r="G7408">
        <v>1.77</v>
      </c>
      <c r="H7408" t="s">
        <v>10</v>
      </c>
      <c r="I7408" t="s">
        <v>11</v>
      </c>
    </row>
    <row r="7409" spans="1:9" x14ac:dyDescent="0.25">
      <c r="A7409" t="s">
        <v>17</v>
      </c>
      <c r="B7409" t="s">
        <v>133</v>
      </c>
      <c r="C7409">
        <v>202502</v>
      </c>
      <c r="D7409" t="str">
        <f t="shared" si="115"/>
        <v>2025</v>
      </c>
      <c r="E7409">
        <v>1314</v>
      </c>
      <c r="F7409">
        <v>79426</v>
      </c>
      <c r="G7409">
        <v>1.65</v>
      </c>
      <c r="H7409" t="s">
        <v>10</v>
      </c>
      <c r="I7409" t="s">
        <v>11</v>
      </c>
    </row>
    <row r="7410" spans="1:9" x14ac:dyDescent="0.25">
      <c r="A7410" t="s">
        <v>17</v>
      </c>
      <c r="B7410" t="s">
        <v>133</v>
      </c>
      <c r="C7410">
        <v>202503</v>
      </c>
      <c r="D7410" t="str">
        <f t="shared" si="115"/>
        <v>2025</v>
      </c>
      <c r="E7410">
        <v>2282</v>
      </c>
      <c r="F7410">
        <v>79426</v>
      </c>
      <c r="G7410">
        <v>2.87</v>
      </c>
      <c r="H7410" t="s">
        <v>10</v>
      </c>
      <c r="I7410" t="s">
        <v>11</v>
      </c>
    </row>
    <row r="7411" spans="1:9" x14ac:dyDescent="0.25">
      <c r="A7411" t="s">
        <v>17</v>
      </c>
      <c r="B7411" t="s">
        <v>133</v>
      </c>
      <c r="C7411">
        <v>202504</v>
      </c>
      <c r="D7411" t="str">
        <f t="shared" si="115"/>
        <v>2025</v>
      </c>
      <c r="E7411">
        <v>5729</v>
      </c>
      <c r="F7411">
        <v>79426</v>
      </c>
      <c r="G7411">
        <v>7.21</v>
      </c>
      <c r="H7411" t="s">
        <v>10</v>
      </c>
      <c r="I7411" t="s">
        <v>11</v>
      </c>
    </row>
    <row r="7412" spans="1:9" x14ac:dyDescent="0.25">
      <c r="A7412" t="s">
        <v>17</v>
      </c>
      <c r="B7412" t="s">
        <v>133</v>
      </c>
      <c r="C7412">
        <v>202505</v>
      </c>
      <c r="D7412" t="str">
        <f t="shared" si="115"/>
        <v>2025</v>
      </c>
      <c r="E7412">
        <v>35107</v>
      </c>
      <c r="F7412">
        <v>79426</v>
      </c>
      <c r="G7412">
        <v>44.2</v>
      </c>
      <c r="H7412" t="s">
        <v>10</v>
      </c>
      <c r="I7412" t="s">
        <v>11</v>
      </c>
    </row>
    <row r="7413" spans="1:9" x14ac:dyDescent="0.25">
      <c r="A7413" t="s">
        <v>17</v>
      </c>
      <c r="B7413" t="s">
        <v>133</v>
      </c>
      <c r="C7413">
        <v>202506</v>
      </c>
      <c r="D7413" t="str">
        <f t="shared" si="115"/>
        <v>2025</v>
      </c>
      <c r="E7413">
        <v>28063</v>
      </c>
      <c r="F7413">
        <v>79426</v>
      </c>
      <c r="G7413">
        <v>35.33</v>
      </c>
      <c r="H7413" t="s">
        <v>10</v>
      </c>
      <c r="I7413" t="s">
        <v>11</v>
      </c>
    </row>
    <row r="7414" spans="1:9" hidden="1" x14ac:dyDescent="0.25">
      <c r="A7414" t="s">
        <v>17</v>
      </c>
      <c r="B7414" t="s">
        <v>166</v>
      </c>
      <c r="C7414">
        <v>202301</v>
      </c>
      <c r="D7414" t="str">
        <f t="shared" si="115"/>
        <v>2023</v>
      </c>
      <c r="E7414">
        <v>5</v>
      </c>
      <c r="F7414">
        <v>75890</v>
      </c>
      <c r="G7414">
        <v>0.01</v>
      </c>
      <c r="H7414" t="s">
        <v>10</v>
      </c>
      <c r="I7414" t="s">
        <v>11</v>
      </c>
    </row>
    <row r="7415" spans="1:9" hidden="1" x14ac:dyDescent="0.25">
      <c r="A7415" t="s">
        <v>17</v>
      </c>
      <c r="B7415" t="s">
        <v>166</v>
      </c>
      <c r="C7415">
        <v>202302</v>
      </c>
      <c r="D7415" t="str">
        <f t="shared" si="115"/>
        <v>2023</v>
      </c>
      <c r="E7415">
        <v>2</v>
      </c>
      <c r="F7415">
        <v>75890</v>
      </c>
      <c r="G7415">
        <v>0</v>
      </c>
      <c r="H7415" t="s">
        <v>10</v>
      </c>
      <c r="I7415" t="s">
        <v>11</v>
      </c>
    </row>
    <row r="7416" spans="1:9" hidden="1" x14ac:dyDescent="0.25">
      <c r="A7416" t="s">
        <v>17</v>
      </c>
      <c r="B7416" t="s">
        <v>166</v>
      </c>
      <c r="C7416">
        <v>202304</v>
      </c>
      <c r="D7416" t="str">
        <f t="shared" si="115"/>
        <v>2023</v>
      </c>
      <c r="E7416">
        <v>18</v>
      </c>
      <c r="F7416">
        <v>75890</v>
      </c>
      <c r="G7416">
        <v>0.02</v>
      </c>
      <c r="H7416" t="s">
        <v>10</v>
      </c>
      <c r="I7416" t="s">
        <v>11</v>
      </c>
    </row>
    <row r="7417" spans="1:9" hidden="1" x14ac:dyDescent="0.25">
      <c r="A7417" t="s">
        <v>17</v>
      </c>
      <c r="B7417" t="s">
        <v>166</v>
      </c>
      <c r="C7417">
        <v>202305</v>
      </c>
      <c r="D7417" t="str">
        <f t="shared" si="115"/>
        <v>2023</v>
      </c>
      <c r="E7417">
        <v>11</v>
      </c>
      <c r="F7417">
        <v>75890</v>
      </c>
      <c r="G7417">
        <v>0.01</v>
      </c>
      <c r="H7417" t="s">
        <v>10</v>
      </c>
      <c r="I7417" t="s">
        <v>11</v>
      </c>
    </row>
    <row r="7418" spans="1:9" hidden="1" x14ac:dyDescent="0.25">
      <c r="A7418" t="s">
        <v>17</v>
      </c>
      <c r="B7418" t="s">
        <v>166</v>
      </c>
      <c r="C7418">
        <v>202306</v>
      </c>
      <c r="D7418" t="str">
        <f t="shared" si="115"/>
        <v>2023</v>
      </c>
      <c r="E7418">
        <v>27</v>
      </c>
      <c r="F7418">
        <v>75890</v>
      </c>
      <c r="G7418">
        <v>0.04</v>
      </c>
      <c r="H7418" t="s">
        <v>10</v>
      </c>
      <c r="I7418" t="s">
        <v>11</v>
      </c>
    </row>
    <row r="7419" spans="1:9" hidden="1" x14ac:dyDescent="0.25">
      <c r="A7419" t="s">
        <v>17</v>
      </c>
      <c r="B7419" t="s">
        <v>166</v>
      </c>
      <c r="C7419">
        <v>202307</v>
      </c>
      <c r="D7419" t="str">
        <f t="shared" si="115"/>
        <v>2023</v>
      </c>
      <c r="E7419">
        <v>41</v>
      </c>
      <c r="F7419">
        <v>75890</v>
      </c>
      <c r="G7419">
        <v>0.05</v>
      </c>
      <c r="H7419" t="s">
        <v>10</v>
      </c>
      <c r="I7419" t="s">
        <v>11</v>
      </c>
    </row>
    <row r="7420" spans="1:9" hidden="1" x14ac:dyDescent="0.25">
      <c r="A7420" t="s">
        <v>17</v>
      </c>
      <c r="B7420" t="s">
        <v>166</v>
      </c>
      <c r="C7420">
        <v>202308</v>
      </c>
      <c r="D7420" t="str">
        <f t="shared" si="115"/>
        <v>2023</v>
      </c>
      <c r="E7420">
        <v>27</v>
      </c>
      <c r="F7420">
        <v>75890</v>
      </c>
      <c r="G7420">
        <v>0.04</v>
      </c>
      <c r="H7420" t="s">
        <v>10</v>
      </c>
      <c r="I7420" t="s">
        <v>11</v>
      </c>
    </row>
    <row r="7421" spans="1:9" hidden="1" x14ac:dyDescent="0.25">
      <c r="A7421" t="s">
        <v>17</v>
      </c>
      <c r="B7421" t="s">
        <v>166</v>
      </c>
      <c r="C7421">
        <v>202309</v>
      </c>
      <c r="D7421" t="str">
        <f t="shared" si="115"/>
        <v>2023</v>
      </c>
      <c r="E7421">
        <v>54</v>
      </c>
      <c r="F7421">
        <v>75890</v>
      </c>
      <c r="G7421">
        <v>7.0000000000000007E-2</v>
      </c>
      <c r="H7421" t="s">
        <v>10</v>
      </c>
      <c r="I7421" t="s">
        <v>11</v>
      </c>
    </row>
    <row r="7422" spans="1:9" hidden="1" x14ac:dyDescent="0.25">
      <c r="A7422" t="s">
        <v>17</v>
      </c>
      <c r="B7422" t="s">
        <v>166</v>
      </c>
      <c r="C7422">
        <v>202310</v>
      </c>
      <c r="D7422" t="str">
        <f t="shared" si="115"/>
        <v>2023</v>
      </c>
      <c r="E7422">
        <v>29</v>
      </c>
      <c r="F7422">
        <v>75890</v>
      </c>
      <c r="G7422">
        <v>0.04</v>
      </c>
      <c r="H7422" t="s">
        <v>10</v>
      </c>
      <c r="I7422" t="s">
        <v>11</v>
      </c>
    </row>
    <row r="7423" spans="1:9" hidden="1" x14ac:dyDescent="0.25">
      <c r="A7423" t="s">
        <v>17</v>
      </c>
      <c r="B7423" t="s">
        <v>166</v>
      </c>
      <c r="C7423">
        <v>202311</v>
      </c>
      <c r="D7423" t="str">
        <f t="shared" si="115"/>
        <v>2023</v>
      </c>
      <c r="E7423">
        <v>26</v>
      </c>
      <c r="F7423">
        <v>75890</v>
      </c>
      <c r="G7423">
        <v>0.03</v>
      </c>
      <c r="H7423" t="s">
        <v>10</v>
      </c>
      <c r="I7423" t="s">
        <v>11</v>
      </c>
    </row>
    <row r="7424" spans="1:9" hidden="1" x14ac:dyDescent="0.25">
      <c r="A7424" t="s">
        <v>17</v>
      </c>
      <c r="B7424" t="s">
        <v>166</v>
      </c>
      <c r="C7424">
        <v>202312</v>
      </c>
      <c r="D7424" t="str">
        <f t="shared" si="115"/>
        <v>2023</v>
      </c>
      <c r="E7424">
        <v>29</v>
      </c>
      <c r="F7424">
        <v>75890</v>
      </c>
      <c r="G7424">
        <v>0.04</v>
      </c>
      <c r="H7424" t="s">
        <v>10</v>
      </c>
      <c r="I7424" t="s">
        <v>11</v>
      </c>
    </row>
    <row r="7425" spans="1:9" hidden="1" x14ac:dyDescent="0.25">
      <c r="A7425" t="s">
        <v>17</v>
      </c>
      <c r="B7425" t="s">
        <v>166</v>
      </c>
      <c r="C7425">
        <v>202401</v>
      </c>
      <c r="D7425" t="str">
        <f t="shared" si="115"/>
        <v>2024</v>
      </c>
      <c r="E7425">
        <v>38</v>
      </c>
      <c r="F7425">
        <v>75890</v>
      </c>
      <c r="G7425">
        <v>0.05</v>
      </c>
      <c r="H7425" t="s">
        <v>10</v>
      </c>
      <c r="I7425" t="s">
        <v>11</v>
      </c>
    </row>
    <row r="7426" spans="1:9" hidden="1" x14ac:dyDescent="0.25">
      <c r="A7426" t="s">
        <v>17</v>
      </c>
      <c r="B7426" t="s">
        <v>166</v>
      </c>
      <c r="C7426">
        <v>202402</v>
      </c>
      <c r="D7426" t="str">
        <f t="shared" si="115"/>
        <v>2024</v>
      </c>
      <c r="E7426">
        <v>24</v>
      </c>
      <c r="F7426">
        <v>75890</v>
      </c>
      <c r="G7426">
        <v>0.03</v>
      </c>
      <c r="H7426" t="s">
        <v>10</v>
      </c>
      <c r="I7426" t="s">
        <v>11</v>
      </c>
    </row>
    <row r="7427" spans="1:9" hidden="1" x14ac:dyDescent="0.25">
      <c r="A7427" t="s">
        <v>17</v>
      </c>
      <c r="B7427" t="s">
        <v>166</v>
      </c>
      <c r="C7427">
        <v>202403</v>
      </c>
      <c r="D7427" t="str">
        <f t="shared" ref="D7427:D7490" si="116">LEFT(C7427,4)</f>
        <v>2024</v>
      </c>
      <c r="E7427">
        <v>73</v>
      </c>
      <c r="F7427">
        <v>75890</v>
      </c>
      <c r="G7427">
        <v>0.1</v>
      </c>
      <c r="H7427" t="s">
        <v>10</v>
      </c>
      <c r="I7427" t="s">
        <v>11</v>
      </c>
    </row>
    <row r="7428" spans="1:9" hidden="1" x14ac:dyDescent="0.25">
      <c r="A7428" t="s">
        <v>17</v>
      </c>
      <c r="B7428" t="s">
        <v>166</v>
      </c>
      <c r="C7428">
        <v>202404</v>
      </c>
      <c r="D7428" t="str">
        <f t="shared" si="116"/>
        <v>2024</v>
      </c>
      <c r="E7428">
        <v>159</v>
      </c>
      <c r="F7428">
        <v>75890</v>
      </c>
      <c r="G7428">
        <v>0.21</v>
      </c>
      <c r="H7428" t="s">
        <v>10</v>
      </c>
      <c r="I7428" t="s">
        <v>11</v>
      </c>
    </row>
    <row r="7429" spans="1:9" hidden="1" x14ac:dyDescent="0.25">
      <c r="A7429" t="s">
        <v>17</v>
      </c>
      <c r="B7429" t="s">
        <v>166</v>
      </c>
      <c r="C7429">
        <v>202405</v>
      </c>
      <c r="D7429" t="str">
        <f t="shared" si="116"/>
        <v>2024</v>
      </c>
      <c r="E7429">
        <v>221</v>
      </c>
      <c r="F7429">
        <v>75890</v>
      </c>
      <c r="G7429">
        <v>0.28999999999999998</v>
      </c>
      <c r="H7429" t="s">
        <v>10</v>
      </c>
      <c r="I7429" t="s">
        <v>11</v>
      </c>
    </row>
    <row r="7430" spans="1:9" hidden="1" x14ac:dyDescent="0.25">
      <c r="A7430" t="s">
        <v>17</v>
      </c>
      <c r="B7430" t="s">
        <v>166</v>
      </c>
      <c r="C7430">
        <v>202406</v>
      </c>
      <c r="D7430" t="str">
        <f t="shared" si="116"/>
        <v>2024</v>
      </c>
      <c r="E7430">
        <v>208</v>
      </c>
      <c r="F7430">
        <v>75890</v>
      </c>
      <c r="G7430">
        <v>0.27</v>
      </c>
      <c r="H7430" t="s">
        <v>10</v>
      </c>
      <c r="I7430" t="s">
        <v>11</v>
      </c>
    </row>
    <row r="7431" spans="1:9" hidden="1" x14ac:dyDescent="0.25">
      <c r="A7431" t="s">
        <v>17</v>
      </c>
      <c r="B7431" t="s">
        <v>166</v>
      </c>
      <c r="C7431">
        <v>202407</v>
      </c>
      <c r="D7431" t="str">
        <f t="shared" si="116"/>
        <v>2024</v>
      </c>
      <c r="E7431">
        <v>274</v>
      </c>
      <c r="F7431">
        <v>75890</v>
      </c>
      <c r="G7431">
        <v>0.36</v>
      </c>
      <c r="H7431" t="s">
        <v>10</v>
      </c>
      <c r="I7431" t="s">
        <v>11</v>
      </c>
    </row>
    <row r="7432" spans="1:9" hidden="1" x14ac:dyDescent="0.25">
      <c r="A7432" t="s">
        <v>17</v>
      </c>
      <c r="B7432" t="s">
        <v>166</v>
      </c>
      <c r="C7432">
        <v>202408</v>
      </c>
      <c r="D7432" t="str">
        <f t="shared" si="116"/>
        <v>2024</v>
      </c>
      <c r="E7432">
        <v>364</v>
      </c>
      <c r="F7432">
        <v>75890</v>
      </c>
      <c r="G7432">
        <v>0.48</v>
      </c>
      <c r="H7432" t="s">
        <v>10</v>
      </c>
      <c r="I7432" t="s">
        <v>11</v>
      </c>
    </row>
    <row r="7433" spans="1:9" hidden="1" x14ac:dyDescent="0.25">
      <c r="A7433" t="s">
        <v>17</v>
      </c>
      <c r="B7433" t="s">
        <v>166</v>
      </c>
      <c r="C7433">
        <v>202409</v>
      </c>
      <c r="D7433" t="str">
        <f t="shared" si="116"/>
        <v>2024</v>
      </c>
      <c r="E7433">
        <v>439</v>
      </c>
      <c r="F7433">
        <v>75890</v>
      </c>
      <c r="G7433">
        <v>0.57999999999999996</v>
      </c>
      <c r="H7433" t="s">
        <v>10</v>
      </c>
      <c r="I7433" t="s">
        <v>11</v>
      </c>
    </row>
    <row r="7434" spans="1:9" hidden="1" x14ac:dyDescent="0.25">
      <c r="A7434" t="s">
        <v>17</v>
      </c>
      <c r="B7434" t="s">
        <v>166</v>
      </c>
      <c r="C7434">
        <v>202410</v>
      </c>
      <c r="D7434" t="str">
        <f t="shared" si="116"/>
        <v>2024</v>
      </c>
      <c r="E7434">
        <v>630</v>
      </c>
      <c r="F7434">
        <v>75890</v>
      </c>
      <c r="G7434">
        <v>0.83</v>
      </c>
      <c r="H7434" t="s">
        <v>10</v>
      </c>
      <c r="I7434" t="s">
        <v>11</v>
      </c>
    </row>
    <row r="7435" spans="1:9" hidden="1" x14ac:dyDescent="0.25">
      <c r="A7435" t="s">
        <v>17</v>
      </c>
      <c r="B7435" t="s">
        <v>166</v>
      </c>
      <c r="C7435">
        <v>202411</v>
      </c>
      <c r="D7435" t="str">
        <f t="shared" si="116"/>
        <v>2024</v>
      </c>
      <c r="E7435">
        <v>453</v>
      </c>
      <c r="F7435">
        <v>75890</v>
      </c>
      <c r="G7435">
        <v>0.6</v>
      </c>
      <c r="H7435" t="s">
        <v>10</v>
      </c>
      <c r="I7435" t="s">
        <v>11</v>
      </c>
    </row>
    <row r="7436" spans="1:9" hidden="1" x14ac:dyDescent="0.25">
      <c r="A7436" t="s">
        <v>17</v>
      </c>
      <c r="B7436" t="s">
        <v>166</v>
      </c>
      <c r="C7436">
        <v>202412</v>
      </c>
      <c r="D7436" t="str">
        <f t="shared" si="116"/>
        <v>2024</v>
      </c>
      <c r="E7436">
        <v>726</v>
      </c>
      <c r="F7436">
        <v>75890</v>
      </c>
      <c r="G7436">
        <v>0.96</v>
      </c>
      <c r="H7436" t="s">
        <v>10</v>
      </c>
      <c r="I7436" t="s">
        <v>11</v>
      </c>
    </row>
    <row r="7437" spans="1:9" x14ac:dyDescent="0.25">
      <c r="A7437" t="s">
        <v>17</v>
      </c>
      <c r="B7437" t="s">
        <v>166</v>
      </c>
      <c r="C7437">
        <v>202501</v>
      </c>
      <c r="D7437" t="str">
        <f t="shared" si="116"/>
        <v>2025</v>
      </c>
      <c r="E7437">
        <v>983</v>
      </c>
      <c r="F7437">
        <v>75890</v>
      </c>
      <c r="G7437">
        <v>1.3</v>
      </c>
      <c r="H7437" t="s">
        <v>10</v>
      </c>
      <c r="I7437" t="s">
        <v>11</v>
      </c>
    </row>
    <row r="7438" spans="1:9" x14ac:dyDescent="0.25">
      <c r="A7438" t="s">
        <v>17</v>
      </c>
      <c r="B7438" t="s">
        <v>166</v>
      </c>
      <c r="C7438">
        <v>202502</v>
      </c>
      <c r="D7438" t="str">
        <f t="shared" si="116"/>
        <v>2025</v>
      </c>
      <c r="E7438">
        <v>1146</v>
      </c>
      <c r="F7438">
        <v>75890</v>
      </c>
      <c r="G7438">
        <v>1.51</v>
      </c>
      <c r="H7438" t="s">
        <v>10</v>
      </c>
      <c r="I7438" t="s">
        <v>11</v>
      </c>
    </row>
    <row r="7439" spans="1:9" x14ac:dyDescent="0.25">
      <c r="A7439" t="s">
        <v>17</v>
      </c>
      <c r="B7439" t="s">
        <v>166</v>
      </c>
      <c r="C7439">
        <v>202503</v>
      </c>
      <c r="D7439" t="str">
        <f t="shared" si="116"/>
        <v>2025</v>
      </c>
      <c r="E7439">
        <v>1718</v>
      </c>
      <c r="F7439">
        <v>75890</v>
      </c>
      <c r="G7439">
        <v>2.2599999999999998</v>
      </c>
      <c r="H7439" t="s">
        <v>10</v>
      </c>
      <c r="I7439" t="s">
        <v>11</v>
      </c>
    </row>
    <row r="7440" spans="1:9" x14ac:dyDescent="0.25">
      <c r="A7440" t="s">
        <v>17</v>
      </c>
      <c r="B7440" t="s">
        <v>166</v>
      </c>
      <c r="C7440">
        <v>202504</v>
      </c>
      <c r="D7440" t="str">
        <f t="shared" si="116"/>
        <v>2025</v>
      </c>
      <c r="E7440">
        <v>2397</v>
      </c>
      <c r="F7440">
        <v>75890</v>
      </c>
      <c r="G7440">
        <v>3.16</v>
      </c>
      <c r="H7440" t="s">
        <v>10</v>
      </c>
      <c r="I7440" t="s">
        <v>11</v>
      </c>
    </row>
    <row r="7441" spans="1:9" x14ac:dyDescent="0.25">
      <c r="A7441" t="s">
        <v>17</v>
      </c>
      <c r="B7441" t="s">
        <v>166</v>
      </c>
      <c r="C7441">
        <v>202505</v>
      </c>
      <c r="D7441" t="str">
        <f t="shared" si="116"/>
        <v>2025</v>
      </c>
      <c r="E7441">
        <v>4551</v>
      </c>
      <c r="F7441">
        <v>75890</v>
      </c>
      <c r="G7441">
        <v>6</v>
      </c>
      <c r="H7441" t="s">
        <v>10</v>
      </c>
      <c r="I7441" t="s">
        <v>11</v>
      </c>
    </row>
    <row r="7442" spans="1:9" x14ac:dyDescent="0.25">
      <c r="A7442" t="s">
        <v>17</v>
      </c>
      <c r="B7442" t="s">
        <v>166</v>
      </c>
      <c r="C7442">
        <v>202506</v>
      </c>
      <c r="D7442" t="str">
        <f t="shared" si="116"/>
        <v>2025</v>
      </c>
      <c r="E7442">
        <v>33196</v>
      </c>
      <c r="F7442">
        <v>75890</v>
      </c>
      <c r="G7442">
        <v>43.74</v>
      </c>
      <c r="H7442" t="s">
        <v>10</v>
      </c>
      <c r="I7442" t="s">
        <v>11</v>
      </c>
    </row>
    <row r="7443" spans="1:9" x14ac:dyDescent="0.25">
      <c r="A7443" t="s">
        <v>17</v>
      </c>
      <c r="B7443" t="s">
        <v>166</v>
      </c>
      <c r="C7443">
        <v>202507</v>
      </c>
      <c r="D7443" t="str">
        <f t="shared" si="116"/>
        <v>2025</v>
      </c>
      <c r="E7443">
        <v>28021</v>
      </c>
      <c r="F7443">
        <v>75890</v>
      </c>
      <c r="G7443">
        <v>36.92</v>
      </c>
      <c r="H7443" t="s">
        <v>10</v>
      </c>
      <c r="I7443" t="s">
        <v>11</v>
      </c>
    </row>
    <row r="7444" spans="1:9" hidden="1" x14ac:dyDescent="0.25">
      <c r="A7444" t="s">
        <v>17</v>
      </c>
      <c r="B7444" t="s">
        <v>76</v>
      </c>
      <c r="C7444">
        <v>202209</v>
      </c>
      <c r="D7444" t="str">
        <f t="shared" si="116"/>
        <v>2022</v>
      </c>
      <c r="E7444">
        <v>4</v>
      </c>
      <c r="F7444">
        <v>76749</v>
      </c>
      <c r="G7444">
        <v>0.01</v>
      </c>
      <c r="H7444" t="s">
        <v>10</v>
      </c>
      <c r="I7444" t="s">
        <v>11</v>
      </c>
    </row>
    <row r="7445" spans="1:9" hidden="1" x14ac:dyDescent="0.25">
      <c r="A7445" t="s">
        <v>17</v>
      </c>
      <c r="B7445" t="s">
        <v>76</v>
      </c>
      <c r="C7445">
        <v>202211</v>
      </c>
      <c r="D7445" t="str">
        <f t="shared" si="116"/>
        <v>2022</v>
      </c>
      <c r="E7445">
        <v>1</v>
      </c>
      <c r="F7445">
        <v>76749</v>
      </c>
      <c r="G7445">
        <v>0</v>
      </c>
      <c r="H7445" t="s">
        <v>10</v>
      </c>
      <c r="I7445" t="s">
        <v>11</v>
      </c>
    </row>
    <row r="7446" spans="1:9" hidden="1" x14ac:dyDescent="0.25">
      <c r="A7446" t="s">
        <v>17</v>
      </c>
      <c r="B7446" t="s">
        <v>76</v>
      </c>
      <c r="C7446">
        <v>202212</v>
      </c>
      <c r="D7446" t="str">
        <f t="shared" si="116"/>
        <v>2022</v>
      </c>
      <c r="E7446">
        <v>3</v>
      </c>
      <c r="F7446">
        <v>76749</v>
      </c>
      <c r="G7446">
        <v>0</v>
      </c>
      <c r="H7446" t="s">
        <v>10</v>
      </c>
      <c r="I7446" t="s">
        <v>11</v>
      </c>
    </row>
    <row r="7447" spans="1:9" hidden="1" x14ac:dyDescent="0.25">
      <c r="A7447" t="s">
        <v>17</v>
      </c>
      <c r="B7447" t="s">
        <v>76</v>
      </c>
      <c r="C7447">
        <v>202303</v>
      </c>
      <c r="D7447" t="str">
        <f t="shared" si="116"/>
        <v>2023</v>
      </c>
      <c r="E7447">
        <v>34</v>
      </c>
      <c r="F7447">
        <v>76749</v>
      </c>
      <c r="G7447">
        <v>0.04</v>
      </c>
      <c r="H7447" t="s">
        <v>10</v>
      </c>
      <c r="I7447" t="s">
        <v>11</v>
      </c>
    </row>
    <row r="7448" spans="1:9" hidden="1" x14ac:dyDescent="0.25">
      <c r="A7448" t="s">
        <v>17</v>
      </c>
      <c r="B7448" t="s">
        <v>76</v>
      </c>
      <c r="C7448">
        <v>202306</v>
      </c>
      <c r="D7448" t="str">
        <f t="shared" si="116"/>
        <v>2023</v>
      </c>
      <c r="E7448">
        <v>1</v>
      </c>
      <c r="F7448">
        <v>76749</v>
      </c>
      <c r="G7448">
        <v>0</v>
      </c>
      <c r="H7448" t="s">
        <v>10</v>
      </c>
      <c r="I7448" t="s">
        <v>11</v>
      </c>
    </row>
    <row r="7449" spans="1:9" hidden="1" x14ac:dyDescent="0.25">
      <c r="A7449" t="s">
        <v>17</v>
      </c>
      <c r="B7449" t="s">
        <v>76</v>
      </c>
      <c r="C7449">
        <v>202308</v>
      </c>
      <c r="D7449" t="str">
        <f t="shared" si="116"/>
        <v>2023</v>
      </c>
      <c r="E7449">
        <v>9</v>
      </c>
      <c r="F7449">
        <v>76749</v>
      </c>
      <c r="G7449">
        <v>0.01</v>
      </c>
      <c r="H7449" t="s">
        <v>10</v>
      </c>
      <c r="I7449" t="s">
        <v>11</v>
      </c>
    </row>
    <row r="7450" spans="1:9" hidden="1" x14ac:dyDescent="0.25">
      <c r="A7450" t="s">
        <v>17</v>
      </c>
      <c r="B7450" t="s">
        <v>76</v>
      </c>
      <c r="C7450">
        <v>202309</v>
      </c>
      <c r="D7450" t="str">
        <f t="shared" si="116"/>
        <v>2023</v>
      </c>
      <c r="E7450">
        <v>1</v>
      </c>
      <c r="F7450">
        <v>76749</v>
      </c>
      <c r="G7450">
        <v>0</v>
      </c>
      <c r="H7450" t="s">
        <v>10</v>
      </c>
      <c r="I7450" t="s">
        <v>11</v>
      </c>
    </row>
    <row r="7451" spans="1:9" hidden="1" x14ac:dyDescent="0.25">
      <c r="A7451" t="s">
        <v>17</v>
      </c>
      <c r="B7451" t="s">
        <v>76</v>
      </c>
      <c r="C7451">
        <v>202310</v>
      </c>
      <c r="D7451" t="str">
        <f t="shared" si="116"/>
        <v>2023</v>
      </c>
      <c r="E7451">
        <v>34</v>
      </c>
      <c r="F7451">
        <v>76749</v>
      </c>
      <c r="G7451">
        <v>0.04</v>
      </c>
      <c r="H7451" t="s">
        <v>10</v>
      </c>
      <c r="I7451" t="s">
        <v>11</v>
      </c>
    </row>
    <row r="7452" spans="1:9" hidden="1" x14ac:dyDescent="0.25">
      <c r="A7452" t="s">
        <v>17</v>
      </c>
      <c r="B7452" t="s">
        <v>76</v>
      </c>
      <c r="C7452">
        <v>202312</v>
      </c>
      <c r="D7452" t="str">
        <f t="shared" si="116"/>
        <v>2023</v>
      </c>
      <c r="E7452">
        <v>3</v>
      </c>
      <c r="F7452">
        <v>76749</v>
      </c>
      <c r="G7452">
        <v>0</v>
      </c>
      <c r="H7452" t="s">
        <v>10</v>
      </c>
      <c r="I7452" t="s">
        <v>11</v>
      </c>
    </row>
    <row r="7453" spans="1:9" hidden="1" x14ac:dyDescent="0.25">
      <c r="A7453" t="s">
        <v>17</v>
      </c>
      <c r="B7453" t="s">
        <v>76</v>
      </c>
      <c r="C7453">
        <v>202401</v>
      </c>
      <c r="D7453" t="str">
        <f t="shared" si="116"/>
        <v>2024</v>
      </c>
      <c r="E7453">
        <v>126</v>
      </c>
      <c r="F7453">
        <v>76749</v>
      </c>
      <c r="G7453">
        <v>0.16</v>
      </c>
      <c r="H7453" t="s">
        <v>10</v>
      </c>
      <c r="I7453" t="s">
        <v>11</v>
      </c>
    </row>
    <row r="7454" spans="1:9" hidden="1" x14ac:dyDescent="0.25">
      <c r="A7454" t="s">
        <v>17</v>
      </c>
      <c r="B7454" t="s">
        <v>76</v>
      </c>
      <c r="C7454">
        <v>202402</v>
      </c>
      <c r="D7454" t="str">
        <f t="shared" si="116"/>
        <v>2024</v>
      </c>
      <c r="E7454">
        <v>122</v>
      </c>
      <c r="F7454">
        <v>76749</v>
      </c>
      <c r="G7454">
        <v>0.16</v>
      </c>
      <c r="H7454" t="s">
        <v>10</v>
      </c>
      <c r="I7454" t="s">
        <v>11</v>
      </c>
    </row>
    <row r="7455" spans="1:9" hidden="1" x14ac:dyDescent="0.25">
      <c r="A7455" t="s">
        <v>17</v>
      </c>
      <c r="B7455" t="s">
        <v>76</v>
      </c>
      <c r="C7455">
        <v>202403</v>
      </c>
      <c r="D7455" t="str">
        <f t="shared" si="116"/>
        <v>2024</v>
      </c>
      <c r="E7455">
        <v>141</v>
      </c>
      <c r="F7455">
        <v>76749</v>
      </c>
      <c r="G7455">
        <v>0.18</v>
      </c>
      <c r="H7455" t="s">
        <v>10</v>
      </c>
      <c r="I7455" t="s">
        <v>11</v>
      </c>
    </row>
    <row r="7456" spans="1:9" hidden="1" x14ac:dyDescent="0.25">
      <c r="A7456" t="s">
        <v>17</v>
      </c>
      <c r="B7456" t="s">
        <v>76</v>
      </c>
      <c r="C7456">
        <v>202404</v>
      </c>
      <c r="D7456" t="str">
        <f t="shared" si="116"/>
        <v>2024</v>
      </c>
      <c r="E7456">
        <v>170</v>
      </c>
      <c r="F7456">
        <v>76749</v>
      </c>
      <c r="G7456">
        <v>0.22</v>
      </c>
      <c r="H7456" t="s">
        <v>10</v>
      </c>
      <c r="I7456" t="s">
        <v>11</v>
      </c>
    </row>
    <row r="7457" spans="1:9" hidden="1" x14ac:dyDescent="0.25">
      <c r="A7457" t="s">
        <v>17</v>
      </c>
      <c r="B7457" t="s">
        <v>76</v>
      </c>
      <c r="C7457">
        <v>202405</v>
      </c>
      <c r="D7457" t="str">
        <f t="shared" si="116"/>
        <v>2024</v>
      </c>
      <c r="E7457">
        <v>246</v>
      </c>
      <c r="F7457">
        <v>76749</v>
      </c>
      <c r="G7457">
        <v>0.32</v>
      </c>
      <c r="H7457" t="s">
        <v>10</v>
      </c>
      <c r="I7457" t="s">
        <v>11</v>
      </c>
    </row>
    <row r="7458" spans="1:9" hidden="1" x14ac:dyDescent="0.25">
      <c r="A7458" t="s">
        <v>17</v>
      </c>
      <c r="B7458" t="s">
        <v>76</v>
      </c>
      <c r="C7458">
        <v>202406</v>
      </c>
      <c r="D7458" t="str">
        <f t="shared" si="116"/>
        <v>2024</v>
      </c>
      <c r="E7458">
        <v>453</v>
      </c>
      <c r="F7458">
        <v>76749</v>
      </c>
      <c r="G7458">
        <v>0.59</v>
      </c>
      <c r="H7458" t="s">
        <v>10</v>
      </c>
      <c r="I7458" t="s">
        <v>11</v>
      </c>
    </row>
    <row r="7459" spans="1:9" hidden="1" x14ac:dyDescent="0.25">
      <c r="A7459" t="s">
        <v>17</v>
      </c>
      <c r="B7459" t="s">
        <v>76</v>
      </c>
      <c r="C7459">
        <v>202407</v>
      </c>
      <c r="D7459" t="str">
        <f t="shared" si="116"/>
        <v>2024</v>
      </c>
      <c r="E7459">
        <v>355</v>
      </c>
      <c r="F7459">
        <v>76749</v>
      </c>
      <c r="G7459">
        <v>0.46</v>
      </c>
      <c r="H7459" t="s">
        <v>10</v>
      </c>
      <c r="I7459" t="s">
        <v>11</v>
      </c>
    </row>
    <row r="7460" spans="1:9" hidden="1" x14ac:dyDescent="0.25">
      <c r="A7460" t="s">
        <v>17</v>
      </c>
      <c r="B7460" t="s">
        <v>76</v>
      </c>
      <c r="C7460">
        <v>202408</v>
      </c>
      <c r="D7460" t="str">
        <f t="shared" si="116"/>
        <v>2024</v>
      </c>
      <c r="E7460">
        <v>378</v>
      </c>
      <c r="F7460">
        <v>76749</v>
      </c>
      <c r="G7460">
        <v>0.49</v>
      </c>
      <c r="H7460" t="s">
        <v>10</v>
      </c>
      <c r="I7460" t="s">
        <v>11</v>
      </c>
    </row>
    <row r="7461" spans="1:9" hidden="1" x14ac:dyDescent="0.25">
      <c r="A7461" t="s">
        <v>17</v>
      </c>
      <c r="B7461" t="s">
        <v>76</v>
      </c>
      <c r="C7461">
        <v>202409</v>
      </c>
      <c r="D7461" t="str">
        <f t="shared" si="116"/>
        <v>2024</v>
      </c>
      <c r="E7461">
        <v>351</v>
      </c>
      <c r="F7461">
        <v>76749</v>
      </c>
      <c r="G7461">
        <v>0.46</v>
      </c>
      <c r="H7461" t="s">
        <v>10</v>
      </c>
      <c r="I7461" t="s">
        <v>11</v>
      </c>
    </row>
    <row r="7462" spans="1:9" hidden="1" x14ac:dyDescent="0.25">
      <c r="A7462" t="s">
        <v>17</v>
      </c>
      <c r="B7462" t="s">
        <v>76</v>
      </c>
      <c r="C7462">
        <v>202410</v>
      </c>
      <c r="D7462" t="str">
        <f t="shared" si="116"/>
        <v>2024</v>
      </c>
      <c r="E7462">
        <v>484</v>
      </c>
      <c r="F7462">
        <v>76749</v>
      </c>
      <c r="G7462">
        <v>0.63</v>
      </c>
      <c r="H7462" t="s">
        <v>10</v>
      </c>
      <c r="I7462" t="s">
        <v>11</v>
      </c>
    </row>
    <row r="7463" spans="1:9" hidden="1" x14ac:dyDescent="0.25">
      <c r="A7463" t="s">
        <v>17</v>
      </c>
      <c r="B7463" t="s">
        <v>76</v>
      </c>
      <c r="C7463">
        <v>202411</v>
      </c>
      <c r="D7463" t="str">
        <f t="shared" si="116"/>
        <v>2024</v>
      </c>
      <c r="E7463">
        <v>748</v>
      </c>
      <c r="F7463">
        <v>76749</v>
      </c>
      <c r="G7463">
        <v>0.97</v>
      </c>
      <c r="H7463" t="s">
        <v>10</v>
      </c>
      <c r="I7463" t="s">
        <v>11</v>
      </c>
    </row>
    <row r="7464" spans="1:9" hidden="1" x14ac:dyDescent="0.25">
      <c r="A7464" t="s">
        <v>17</v>
      </c>
      <c r="B7464" t="s">
        <v>76</v>
      </c>
      <c r="C7464">
        <v>202412</v>
      </c>
      <c r="D7464" t="str">
        <f t="shared" si="116"/>
        <v>2024</v>
      </c>
      <c r="E7464">
        <v>1746</v>
      </c>
      <c r="F7464">
        <v>76749</v>
      </c>
      <c r="G7464">
        <v>2.27</v>
      </c>
      <c r="H7464" t="s">
        <v>10</v>
      </c>
      <c r="I7464" t="s">
        <v>11</v>
      </c>
    </row>
    <row r="7465" spans="1:9" x14ac:dyDescent="0.25">
      <c r="A7465" t="s">
        <v>17</v>
      </c>
      <c r="B7465" t="s">
        <v>76</v>
      </c>
      <c r="C7465">
        <v>202501</v>
      </c>
      <c r="D7465" t="str">
        <f t="shared" si="116"/>
        <v>2025</v>
      </c>
      <c r="E7465">
        <v>944</v>
      </c>
      <c r="F7465">
        <v>76749</v>
      </c>
      <c r="G7465">
        <v>1.23</v>
      </c>
      <c r="H7465" t="s">
        <v>10</v>
      </c>
      <c r="I7465" t="s">
        <v>11</v>
      </c>
    </row>
    <row r="7466" spans="1:9" x14ac:dyDescent="0.25">
      <c r="A7466" t="s">
        <v>17</v>
      </c>
      <c r="B7466" t="s">
        <v>76</v>
      </c>
      <c r="C7466">
        <v>202502</v>
      </c>
      <c r="D7466" t="str">
        <f t="shared" si="116"/>
        <v>2025</v>
      </c>
      <c r="E7466">
        <v>656</v>
      </c>
      <c r="F7466">
        <v>76749</v>
      </c>
      <c r="G7466">
        <v>0.85</v>
      </c>
      <c r="H7466" t="s">
        <v>10</v>
      </c>
      <c r="I7466" t="s">
        <v>11</v>
      </c>
    </row>
    <row r="7467" spans="1:9" x14ac:dyDescent="0.25">
      <c r="A7467" t="s">
        <v>17</v>
      </c>
      <c r="B7467" t="s">
        <v>76</v>
      </c>
      <c r="C7467">
        <v>202503</v>
      </c>
      <c r="D7467" t="str">
        <f t="shared" si="116"/>
        <v>2025</v>
      </c>
      <c r="E7467">
        <v>854</v>
      </c>
      <c r="F7467">
        <v>76749</v>
      </c>
      <c r="G7467">
        <v>1.1100000000000001</v>
      </c>
      <c r="H7467" t="s">
        <v>10</v>
      </c>
      <c r="I7467" t="s">
        <v>11</v>
      </c>
    </row>
    <row r="7468" spans="1:9" x14ac:dyDescent="0.25">
      <c r="A7468" t="s">
        <v>17</v>
      </c>
      <c r="B7468" t="s">
        <v>76</v>
      </c>
      <c r="C7468">
        <v>202504</v>
      </c>
      <c r="D7468" t="str">
        <f t="shared" si="116"/>
        <v>2025</v>
      </c>
      <c r="E7468">
        <v>1431</v>
      </c>
      <c r="F7468">
        <v>76749</v>
      </c>
      <c r="G7468">
        <v>1.86</v>
      </c>
      <c r="H7468" t="s">
        <v>10</v>
      </c>
      <c r="I7468" t="s">
        <v>11</v>
      </c>
    </row>
    <row r="7469" spans="1:9" x14ac:dyDescent="0.25">
      <c r="A7469" t="s">
        <v>17</v>
      </c>
      <c r="B7469" t="s">
        <v>76</v>
      </c>
      <c r="C7469">
        <v>202505</v>
      </c>
      <c r="D7469" t="str">
        <f t="shared" si="116"/>
        <v>2025</v>
      </c>
      <c r="E7469">
        <v>1640</v>
      </c>
      <c r="F7469">
        <v>76749</v>
      </c>
      <c r="G7469">
        <v>2.14</v>
      </c>
      <c r="H7469" t="s">
        <v>10</v>
      </c>
      <c r="I7469" t="s">
        <v>11</v>
      </c>
    </row>
    <row r="7470" spans="1:9" x14ac:dyDescent="0.25">
      <c r="A7470" t="s">
        <v>17</v>
      </c>
      <c r="B7470" t="s">
        <v>76</v>
      </c>
      <c r="C7470">
        <v>202506</v>
      </c>
      <c r="D7470" t="str">
        <f t="shared" si="116"/>
        <v>2025</v>
      </c>
      <c r="E7470">
        <v>4457</v>
      </c>
      <c r="F7470">
        <v>76749</v>
      </c>
      <c r="G7470">
        <v>5.81</v>
      </c>
      <c r="H7470" t="s">
        <v>10</v>
      </c>
      <c r="I7470" t="s">
        <v>11</v>
      </c>
    </row>
    <row r="7471" spans="1:9" x14ac:dyDescent="0.25">
      <c r="A7471" t="s">
        <v>17</v>
      </c>
      <c r="B7471" t="s">
        <v>76</v>
      </c>
      <c r="C7471">
        <v>202507</v>
      </c>
      <c r="D7471" t="str">
        <f t="shared" si="116"/>
        <v>2025</v>
      </c>
      <c r="E7471">
        <v>36973</v>
      </c>
      <c r="F7471">
        <v>76749</v>
      </c>
      <c r="G7471">
        <v>48.17</v>
      </c>
      <c r="H7471" t="s">
        <v>10</v>
      </c>
      <c r="I7471" t="s">
        <v>11</v>
      </c>
    </row>
    <row r="7472" spans="1:9" x14ac:dyDescent="0.25">
      <c r="A7472" t="s">
        <v>17</v>
      </c>
      <c r="B7472" t="s">
        <v>76</v>
      </c>
      <c r="C7472">
        <v>202508</v>
      </c>
      <c r="D7472" t="str">
        <f t="shared" si="116"/>
        <v>2025</v>
      </c>
      <c r="E7472">
        <v>24384</v>
      </c>
      <c r="F7472">
        <v>76749</v>
      </c>
      <c r="G7472">
        <v>31.77</v>
      </c>
      <c r="H7472" t="s">
        <v>10</v>
      </c>
      <c r="I7472" t="s">
        <v>11</v>
      </c>
    </row>
    <row r="7473" spans="1:9" hidden="1" x14ac:dyDescent="0.25">
      <c r="A7473" t="s">
        <v>17</v>
      </c>
      <c r="B7473" t="s">
        <v>41</v>
      </c>
      <c r="C7473">
        <v>202209</v>
      </c>
      <c r="D7473" t="str">
        <f t="shared" si="116"/>
        <v>2022</v>
      </c>
      <c r="E7473">
        <v>1</v>
      </c>
      <c r="F7473">
        <v>81747</v>
      </c>
      <c r="G7473">
        <v>0</v>
      </c>
      <c r="H7473" t="s">
        <v>10</v>
      </c>
      <c r="I7473" t="s">
        <v>11</v>
      </c>
    </row>
    <row r="7474" spans="1:9" hidden="1" x14ac:dyDescent="0.25">
      <c r="A7474" t="s">
        <v>17</v>
      </c>
      <c r="B7474" t="s">
        <v>41</v>
      </c>
      <c r="C7474">
        <v>202301</v>
      </c>
      <c r="D7474" t="str">
        <f t="shared" si="116"/>
        <v>2023</v>
      </c>
      <c r="E7474">
        <v>6</v>
      </c>
      <c r="F7474">
        <v>81747</v>
      </c>
      <c r="G7474">
        <v>0.01</v>
      </c>
      <c r="H7474" t="s">
        <v>10</v>
      </c>
      <c r="I7474" t="s">
        <v>11</v>
      </c>
    </row>
    <row r="7475" spans="1:9" hidden="1" x14ac:dyDescent="0.25">
      <c r="A7475" t="s">
        <v>17</v>
      </c>
      <c r="B7475" t="s">
        <v>41</v>
      </c>
      <c r="C7475">
        <v>202302</v>
      </c>
      <c r="D7475" t="str">
        <f t="shared" si="116"/>
        <v>2023</v>
      </c>
      <c r="E7475">
        <v>6</v>
      </c>
      <c r="F7475">
        <v>81747</v>
      </c>
      <c r="G7475">
        <v>0.01</v>
      </c>
      <c r="H7475" t="s">
        <v>10</v>
      </c>
      <c r="I7475" t="s">
        <v>11</v>
      </c>
    </row>
    <row r="7476" spans="1:9" hidden="1" x14ac:dyDescent="0.25">
      <c r="A7476" t="s">
        <v>17</v>
      </c>
      <c r="B7476" t="s">
        <v>41</v>
      </c>
      <c r="C7476">
        <v>202303</v>
      </c>
      <c r="D7476" t="str">
        <f t="shared" si="116"/>
        <v>2023</v>
      </c>
      <c r="E7476">
        <v>23</v>
      </c>
      <c r="F7476">
        <v>81747</v>
      </c>
      <c r="G7476">
        <v>0.03</v>
      </c>
      <c r="H7476" t="s">
        <v>10</v>
      </c>
      <c r="I7476" t="s">
        <v>11</v>
      </c>
    </row>
    <row r="7477" spans="1:9" hidden="1" x14ac:dyDescent="0.25">
      <c r="A7477" t="s">
        <v>17</v>
      </c>
      <c r="B7477" t="s">
        <v>41</v>
      </c>
      <c r="C7477">
        <v>202311</v>
      </c>
      <c r="D7477" t="str">
        <f t="shared" si="116"/>
        <v>2023</v>
      </c>
      <c r="E7477">
        <v>16</v>
      </c>
      <c r="F7477">
        <v>81747</v>
      </c>
      <c r="G7477">
        <v>0.02</v>
      </c>
      <c r="H7477" t="s">
        <v>10</v>
      </c>
      <c r="I7477" t="s">
        <v>11</v>
      </c>
    </row>
    <row r="7478" spans="1:9" hidden="1" x14ac:dyDescent="0.25">
      <c r="A7478" t="s">
        <v>17</v>
      </c>
      <c r="B7478" t="s">
        <v>41</v>
      </c>
      <c r="C7478">
        <v>202312</v>
      </c>
      <c r="D7478" t="str">
        <f t="shared" si="116"/>
        <v>2023</v>
      </c>
      <c r="E7478">
        <v>10</v>
      </c>
      <c r="F7478">
        <v>81747</v>
      </c>
      <c r="G7478">
        <v>0.01</v>
      </c>
      <c r="H7478" t="s">
        <v>10</v>
      </c>
      <c r="I7478" t="s">
        <v>11</v>
      </c>
    </row>
    <row r="7479" spans="1:9" hidden="1" x14ac:dyDescent="0.25">
      <c r="A7479" t="s">
        <v>17</v>
      </c>
      <c r="B7479" t="s">
        <v>41</v>
      </c>
      <c r="C7479">
        <v>202401</v>
      </c>
      <c r="D7479" t="str">
        <f t="shared" si="116"/>
        <v>2024</v>
      </c>
      <c r="E7479">
        <v>135</v>
      </c>
      <c r="F7479">
        <v>81747</v>
      </c>
      <c r="G7479">
        <v>0.17</v>
      </c>
      <c r="H7479" t="s">
        <v>10</v>
      </c>
      <c r="I7479" t="s">
        <v>11</v>
      </c>
    </row>
    <row r="7480" spans="1:9" hidden="1" x14ac:dyDescent="0.25">
      <c r="A7480" t="s">
        <v>17</v>
      </c>
      <c r="B7480" t="s">
        <v>41</v>
      </c>
      <c r="C7480">
        <v>202402</v>
      </c>
      <c r="D7480" t="str">
        <f t="shared" si="116"/>
        <v>2024</v>
      </c>
      <c r="E7480">
        <v>212</v>
      </c>
      <c r="F7480">
        <v>81747</v>
      </c>
      <c r="G7480">
        <v>0.26</v>
      </c>
      <c r="H7480" t="s">
        <v>10</v>
      </c>
      <c r="I7480" t="s">
        <v>11</v>
      </c>
    </row>
    <row r="7481" spans="1:9" hidden="1" x14ac:dyDescent="0.25">
      <c r="A7481" t="s">
        <v>17</v>
      </c>
      <c r="B7481" t="s">
        <v>41</v>
      </c>
      <c r="C7481">
        <v>202403</v>
      </c>
      <c r="D7481" t="str">
        <f t="shared" si="116"/>
        <v>2024</v>
      </c>
      <c r="E7481">
        <v>132</v>
      </c>
      <c r="F7481">
        <v>81747</v>
      </c>
      <c r="G7481">
        <v>0.16</v>
      </c>
      <c r="H7481" t="s">
        <v>10</v>
      </c>
      <c r="I7481" t="s">
        <v>11</v>
      </c>
    </row>
    <row r="7482" spans="1:9" hidden="1" x14ac:dyDescent="0.25">
      <c r="A7482" t="s">
        <v>17</v>
      </c>
      <c r="B7482" t="s">
        <v>41</v>
      </c>
      <c r="C7482">
        <v>202404</v>
      </c>
      <c r="D7482" t="str">
        <f t="shared" si="116"/>
        <v>2024</v>
      </c>
      <c r="E7482">
        <v>203</v>
      </c>
      <c r="F7482">
        <v>81747</v>
      </c>
      <c r="G7482">
        <v>0.25</v>
      </c>
      <c r="H7482" t="s">
        <v>10</v>
      </c>
      <c r="I7482" t="s">
        <v>11</v>
      </c>
    </row>
    <row r="7483" spans="1:9" hidden="1" x14ac:dyDescent="0.25">
      <c r="A7483" t="s">
        <v>17</v>
      </c>
      <c r="B7483" t="s">
        <v>41</v>
      </c>
      <c r="C7483">
        <v>202405</v>
      </c>
      <c r="D7483" t="str">
        <f t="shared" si="116"/>
        <v>2024</v>
      </c>
      <c r="E7483">
        <v>112</v>
      </c>
      <c r="F7483">
        <v>81747</v>
      </c>
      <c r="G7483">
        <v>0.14000000000000001</v>
      </c>
      <c r="H7483" t="s">
        <v>10</v>
      </c>
      <c r="I7483" t="s">
        <v>11</v>
      </c>
    </row>
    <row r="7484" spans="1:9" hidden="1" x14ac:dyDescent="0.25">
      <c r="A7484" t="s">
        <v>17</v>
      </c>
      <c r="B7484" t="s">
        <v>41</v>
      </c>
      <c r="C7484">
        <v>202406</v>
      </c>
      <c r="D7484" t="str">
        <f t="shared" si="116"/>
        <v>2024</v>
      </c>
      <c r="E7484">
        <v>207</v>
      </c>
      <c r="F7484">
        <v>81747</v>
      </c>
      <c r="G7484">
        <v>0.25</v>
      </c>
      <c r="H7484" t="s">
        <v>10</v>
      </c>
      <c r="I7484" t="s">
        <v>11</v>
      </c>
    </row>
    <row r="7485" spans="1:9" hidden="1" x14ac:dyDescent="0.25">
      <c r="A7485" t="s">
        <v>17</v>
      </c>
      <c r="B7485" t="s">
        <v>41</v>
      </c>
      <c r="C7485">
        <v>202407</v>
      </c>
      <c r="D7485" t="str">
        <f t="shared" si="116"/>
        <v>2024</v>
      </c>
      <c r="E7485">
        <v>303</v>
      </c>
      <c r="F7485">
        <v>81747</v>
      </c>
      <c r="G7485">
        <v>0.37</v>
      </c>
      <c r="H7485" t="s">
        <v>10</v>
      </c>
      <c r="I7485" t="s">
        <v>11</v>
      </c>
    </row>
    <row r="7486" spans="1:9" hidden="1" x14ac:dyDescent="0.25">
      <c r="A7486" t="s">
        <v>17</v>
      </c>
      <c r="B7486" t="s">
        <v>41</v>
      </c>
      <c r="C7486">
        <v>202408</v>
      </c>
      <c r="D7486" t="str">
        <f t="shared" si="116"/>
        <v>2024</v>
      </c>
      <c r="E7486">
        <v>298</v>
      </c>
      <c r="F7486">
        <v>81747</v>
      </c>
      <c r="G7486">
        <v>0.36</v>
      </c>
      <c r="H7486" t="s">
        <v>10</v>
      </c>
      <c r="I7486" t="s">
        <v>11</v>
      </c>
    </row>
    <row r="7487" spans="1:9" hidden="1" x14ac:dyDescent="0.25">
      <c r="A7487" t="s">
        <v>17</v>
      </c>
      <c r="B7487" t="s">
        <v>41</v>
      </c>
      <c r="C7487">
        <v>202409</v>
      </c>
      <c r="D7487" t="str">
        <f t="shared" si="116"/>
        <v>2024</v>
      </c>
      <c r="E7487">
        <v>254</v>
      </c>
      <c r="F7487">
        <v>81747</v>
      </c>
      <c r="G7487">
        <v>0.31</v>
      </c>
      <c r="H7487" t="s">
        <v>10</v>
      </c>
      <c r="I7487" t="s">
        <v>11</v>
      </c>
    </row>
    <row r="7488" spans="1:9" hidden="1" x14ac:dyDescent="0.25">
      <c r="A7488" t="s">
        <v>17</v>
      </c>
      <c r="B7488" t="s">
        <v>41</v>
      </c>
      <c r="C7488">
        <v>202410</v>
      </c>
      <c r="D7488" t="str">
        <f t="shared" si="116"/>
        <v>2024</v>
      </c>
      <c r="E7488">
        <v>791</v>
      </c>
      <c r="F7488">
        <v>81747</v>
      </c>
      <c r="G7488">
        <v>0.97</v>
      </c>
      <c r="H7488" t="s">
        <v>10</v>
      </c>
      <c r="I7488" t="s">
        <v>11</v>
      </c>
    </row>
    <row r="7489" spans="1:9" hidden="1" x14ac:dyDescent="0.25">
      <c r="A7489" t="s">
        <v>17</v>
      </c>
      <c r="B7489" t="s">
        <v>41</v>
      </c>
      <c r="C7489">
        <v>202411</v>
      </c>
      <c r="D7489" t="str">
        <f t="shared" si="116"/>
        <v>2024</v>
      </c>
      <c r="E7489">
        <v>617</v>
      </c>
      <c r="F7489">
        <v>81747</v>
      </c>
      <c r="G7489">
        <v>0.75</v>
      </c>
      <c r="H7489" t="s">
        <v>10</v>
      </c>
      <c r="I7489" t="s">
        <v>11</v>
      </c>
    </row>
    <row r="7490" spans="1:9" hidden="1" x14ac:dyDescent="0.25">
      <c r="A7490" t="s">
        <v>17</v>
      </c>
      <c r="B7490" t="s">
        <v>41</v>
      </c>
      <c r="C7490">
        <v>202412</v>
      </c>
      <c r="D7490" t="str">
        <f t="shared" si="116"/>
        <v>2024</v>
      </c>
      <c r="E7490">
        <v>1988</v>
      </c>
      <c r="F7490">
        <v>81747</v>
      </c>
      <c r="G7490">
        <v>2.4300000000000002</v>
      </c>
      <c r="H7490" t="s">
        <v>10</v>
      </c>
      <c r="I7490" t="s">
        <v>11</v>
      </c>
    </row>
    <row r="7491" spans="1:9" x14ac:dyDescent="0.25">
      <c r="A7491" t="s">
        <v>17</v>
      </c>
      <c r="B7491" t="s">
        <v>41</v>
      </c>
      <c r="C7491">
        <v>202501</v>
      </c>
      <c r="D7491" t="str">
        <f t="shared" ref="D7491:D7554" si="117">LEFT(C7491,4)</f>
        <v>2025</v>
      </c>
      <c r="E7491">
        <v>1167</v>
      </c>
      <c r="F7491">
        <v>81747</v>
      </c>
      <c r="G7491">
        <v>1.43</v>
      </c>
      <c r="H7491" t="s">
        <v>10</v>
      </c>
      <c r="I7491" t="s">
        <v>11</v>
      </c>
    </row>
    <row r="7492" spans="1:9" x14ac:dyDescent="0.25">
      <c r="A7492" t="s">
        <v>17</v>
      </c>
      <c r="B7492" t="s">
        <v>41</v>
      </c>
      <c r="C7492">
        <v>202502</v>
      </c>
      <c r="D7492" t="str">
        <f t="shared" si="117"/>
        <v>2025</v>
      </c>
      <c r="E7492">
        <v>1783</v>
      </c>
      <c r="F7492">
        <v>81747</v>
      </c>
      <c r="G7492">
        <v>2.1800000000000002</v>
      </c>
      <c r="H7492" t="s">
        <v>10</v>
      </c>
      <c r="I7492" t="s">
        <v>11</v>
      </c>
    </row>
    <row r="7493" spans="1:9" x14ac:dyDescent="0.25">
      <c r="A7493" t="s">
        <v>17</v>
      </c>
      <c r="B7493" t="s">
        <v>41</v>
      </c>
      <c r="C7493">
        <v>202503</v>
      </c>
      <c r="D7493" t="str">
        <f t="shared" si="117"/>
        <v>2025</v>
      </c>
      <c r="E7493">
        <v>1423</v>
      </c>
      <c r="F7493">
        <v>81747</v>
      </c>
      <c r="G7493">
        <v>1.74</v>
      </c>
      <c r="H7493" t="s">
        <v>10</v>
      </c>
      <c r="I7493" t="s">
        <v>11</v>
      </c>
    </row>
    <row r="7494" spans="1:9" x14ac:dyDescent="0.25">
      <c r="A7494" t="s">
        <v>17</v>
      </c>
      <c r="B7494" t="s">
        <v>41</v>
      </c>
      <c r="C7494">
        <v>202504</v>
      </c>
      <c r="D7494" t="str">
        <f t="shared" si="117"/>
        <v>2025</v>
      </c>
      <c r="E7494">
        <v>1546</v>
      </c>
      <c r="F7494">
        <v>81747</v>
      </c>
      <c r="G7494">
        <v>1.89</v>
      </c>
      <c r="H7494" t="s">
        <v>10</v>
      </c>
      <c r="I7494" t="s">
        <v>11</v>
      </c>
    </row>
    <row r="7495" spans="1:9" x14ac:dyDescent="0.25">
      <c r="A7495" t="s">
        <v>17</v>
      </c>
      <c r="B7495" t="s">
        <v>41</v>
      </c>
      <c r="C7495">
        <v>202505</v>
      </c>
      <c r="D7495" t="str">
        <f t="shared" si="117"/>
        <v>2025</v>
      </c>
      <c r="E7495">
        <v>1657</v>
      </c>
      <c r="F7495">
        <v>81747</v>
      </c>
      <c r="G7495">
        <v>2.0299999999999998</v>
      </c>
      <c r="H7495" t="s">
        <v>10</v>
      </c>
      <c r="I7495" t="s">
        <v>11</v>
      </c>
    </row>
    <row r="7496" spans="1:9" x14ac:dyDescent="0.25">
      <c r="A7496" t="s">
        <v>17</v>
      </c>
      <c r="B7496" t="s">
        <v>41</v>
      </c>
      <c r="C7496">
        <v>202506</v>
      </c>
      <c r="D7496" t="str">
        <f t="shared" si="117"/>
        <v>2025</v>
      </c>
      <c r="E7496">
        <v>2632</v>
      </c>
      <c r="F7496">
        <v>81747</v>
      </c>
      <c r="G7496">
        <v>3.22</v>
      </c>
      <c r="H7496" t="s">
        <v>10</v>
      </c>
      <c r="I7496" t="s">
        <v>11</v>
      </c>
    </row>
    <row r="7497" spans="1:9" x14ac:dyDescent="0.25">
      <c r="A7497" t="s">
        <v>17</v>
      </c>
      <c r="B7497" t="s">
        <v>41</v>
      </c>
      <c r="C7497">
        <v>202507</v>
      </c>
      <c r="D7497" t="str">
        <f t="shared" si="117"/>
        <v>2025</v>
      </c>
      <c r="E7497">
        <v>6647</v>
      </c>
      <c r="F7497">
        <v>81747</v>
      </c>
      <c r="G7497">
        <v>8.1300000000000008</v>
      </c>
      <c r="H7497" t="s">
        <v>10</v>
      </c>
      <c r="I7497" t="s">
        <v>11</v>
      </c>
    </row>
    <row r="7498" spans="1:9" x14ac:dyDescent="0.25">
      <c r="A7498" t="s">
        <v>17</v>
      </c>
      <c r="B7498" t="s">
        <v>41</v>
      </c>
      <c r="C7498">
        <v>202508</v>
      </c>
      <c r="D7498" t="str">
        <f t="shared" si="117"/>
        <v>2025</v>
      </c>
      <c r="E7498">
        <v>34026</v>
      </c>
      <c r="F7498">
        <v>81747</v>
      </c>
      <c r="G7498">
        <v>41.62</v>
      </c>
      <c r="H7498" t="s">
        <v>10</v>
      </c>
      <c r="I7498" t="s">
        <v>11</v>
      </c>
    </row>
    <row r="7499" spans="1:9" x14ac:dyDescent="0.25">
      <c r="A7499" t="s">
        <v>17</v>
      </c>
      <c r="B7499" t="s">
        <v>41</v>
      </c>
      <c r="C7499">
        <v>202509</v>
      </c>
      <c r="D7499" t="str">
        <f t="shared" si="117"/>
        <v>2025</v>
      </c>
      <c r="E7499">
        <v>25552</v>
      </c>
      <c r="F7499">
        <v>81747</v>
      </c>
      <c r="G7499">
        <v>31.26</v>
      </c>
      <c r="H7499" t="s">
        <v>10</v>
      </c>
      <c r="I7499" t="s">
        <v>11</v>
      </c>
    </row>
    <row r="7500" spans="1:9" hidden="1" x14ac:dyDescent="0.25">
      <c r="A7500" t="s">
        <v>17</v>
      </c>
      <c r="B7500" t="s">
        <v>92</v>
      </c>
      <c r="C7500">
        <v>202201</v>
      </c>
      <c r="D7500" t="str">
        <f t="shared" si="117"/>
        <v>2022</v>
      </c>
      <c r="E7500">
        <v>2</v>
      </c>
      <c r="F7500">
        <v>111109</v>
      </c>
      <c r="G7500">
        <v>0</v>
      </c>
      <c r="H7500" t="s">
        <v>10</v>
      </c>
      <c r="I7500" t="s">
        <v>11</v>
      </c>
    </row>
    <row r="7501" spans="1:9" hidden="1" x14ac:dyDescent="0.25">
      <c r="A7501" t="s">
        <v>17</v>
      </c>
      <c r="B7501" t="s">
        <v>92</v>
      </c>
      <c r="C7501">
        <v>202206</v>
      </c>
      <c r="D7501" t="str">
        <f t="shared" si="117"/>
        <v>2022</v>
      </c>
      <c r="E7501">
        <v>2</v>
      </c>
      <c r="F7501">
        <v>111109</v>
      </c>
      <c r="G7501">
        <v>0</v>
      </c>
      <c r="H7501" t="s">
        <v>10</v>
      </c>
      <c r="I7501" t="s">
        <v>11</v>
      </c>
    </row>
    <row r="7502" spans="1:9" hidden="1" x14ac:dyDescent="0.25">
      <c r="A7502" t="s">
        <v>17</v>
      </c>
      <c r="B7502" t="s">
        <v>92</v>
      </c>
      <c r="C7502">
        <v>202207</v>
      </c>
      <c r="D7502" t="str">
        <f t="shared" si="117"/>
        <v>2022</v>
      </c>
      <c r="E7502">
        <v>26</v>
      </c>
      <c r="F7502">
        <v>111109</v>
      </c>
      <c r="G7502">
        <v>0.02</v>
      </c>
      <c r="H7502" t="s">
        <v>10</v>
      </c>
      <c r="I7502" t="s">
        <v>11</v>
      </c>
    </row>
    <row r="7503" spans="1:9" hidden="1" x14ac:dyDescent="0.25">
      <c r="A7503" t="s">
        <v>17</v>
      </c>
      <c r="B7503" t="s">
        <v>92</v>
      </c>
      <c r="C7503">
        <v>202208</v>
      </c>
      <c r="D7503" t="str">
        <f t="shared" si="117"/>
        <v>2022</v>
      </c>
      <c r="E7503">
        <v>1</v>
      </c>
      <c r="F7503">
        <v>111109</v>
      </c>
      <c r="G7503">
        <v>0</v>
      </c>
      <c r="H7503" t="s">
        <v>10</v>
      </c>
      <c r="I7503" t="s">
        <v>11</v>
      </c>
    </row>
    <row r="7504" spans="1:9" hidden="1" x14ac:dyDescent="0.25">
      <c r="A7504" t="s">
        <v>17</v>
      </c>
      <c r="B7504" t="s">
        <v>92</v>
      </c>
      <c r="C7504">
        <v>202211</v>
      </c>
      <c r="D7504" t="str">
        <f t="shared" si="117"/>
        <v>2022</v>
      </c>
      <c r="E7504">
        <v>1</v>
      </c>
      <c r="F7504">
        <v>111109</v>
      </c>
      <c r="G7504">
        <v>0</v>
      </c>
      <c r="H7504" t="s">
        <v>10</v>
      </c>
      <c r="I7504" t="s">
        <v>11</v>
      </c>
    </row>
    <row r="7505" spans="1:9" hidden="1" x14ac:dyDescent="0.25">
      <c r="A7505" t="s">
        <v>17</v>
      </c>
      <c r="B7505" t="s">
        <v>92</v>
      </c>
      <c r="C7505">
        <v>202303</v>
      </c>
      <c r="D7505" t="str">
        <f t="shared" si="117"/>
        <v>2023</v>
      </c>
      <c r="E7505">
        <v>5</v>
      </c>
      <c r="F7505">
        <v>111109</v>
      </c>
      <c r="G7505">
        <v>0</v>
      </c>
      <c r="H7505" t="s">
        <v>10</v>
      </c>
      <c r="I7505" t="s">
        <v>11</v>
      </c>
    </row>
    <row r="7506" spans="1:9" hidden="1" x14ac:dyDescent="0.25">
      <c r="A7506" t="s">
        <v>17</v>
      </c>
      <c r="B7506" t="s">
        <v>92</v>
      </c>
      <c r="C7506">
        <v>202306</v>
      </c>
      <c r="D7506" t="str">
        <f t="shared" si="117"/>
        <v>2023</v>
      </c>
      <c r="E7506">
        <v>1</v>
      </c>
      <c r="F7506">
        <v>111109</v>
      </c>
      <c r="G7506">
        <v>0</v>
      </c>
      <c r="H7506" t="s">
        <v>10</v>
      </c>
      <c r="I7506" t="s">
        <v>11</v>
      </c>
    </row>
    <row r="7507" spans="1:9" hidden="1" x14ac:dyDescent="0.25">
      <c r="A7507" t="s">
        <v>17</v>
      </c>
      <c r="B7507" t="s">
        <v>92</v>
      </c>
      <c r="C7507">
        <v>202307</v>
      </c>
      <c r="D7507" t="str">
        <f t="shared" si="117"/>
        <v>2023</v>
      </c>
      <c r="E7507">
        <v>6</v>
      </c>
      <c r="F7507">
        <v>111109</v>
      </c>
      <c r="G7507">
        <v>0.01</v>
      </c>
      <c r="H7507" t="s">
        <v>10</v>
      </c>
      <c r="I7507" t="s">
        <v>11</v>
      </c>
    </row>
    <row r="7508" spans="1:9" hidden="1" x14ac:dyDescent="0.25">
      <c r="A7508" t="s">
        <v>17</v>
      </c>
      <c r="B7508" t="s">
        <v>92</v>
      </c>
      <c r="C7508">
        <v>202309</v>
      </c>
      <c r="D7508" t="str">
        <f t="shared" si="117"/>
        <v>2023</v>
      </c>
      <c r="E7508">
        <v>44</v>
      </c>
      <c r="F7508">
        <v>111109</v>
      </c>
      <c r="G7508">
        <v>0.04</v>
      </c>
      <c r="H7508" t="s">
        <v>10</v>
      </c>
      <c r="I7508" t="s">
        <v>11</v>
      </c>
    </row>
    <row r="7509" spans="1:9" hidden="1" x14ac:dyDescent="0.25">
      <c r="A7509" t="s">
        <v>17</v>
      </c>
      <c r="B7509" t="s">
        <v>92</v>
      </c>
      <c r="C7509">
        <v>202310</v>
      </c>
      <c r="D7509" t="str">
        <f t="shared" si="117"/>
        <v>2023</v>
      </c>
      <c r="E7509">
        <v>8</v>
      </c>
      <c r="F7509">
        <v>111109</v>
      </c>
      <c r="G7509">
        <v>0.01</v>
      </c>
      <c r="H7509" t="s">
        <v>10</v>
      </c>
      <c r="I7509" t="s">
        <v>11</v>
      </c>
    </row>
    <row r="7510" spans="1:9" hidden="1" x14ac:dyDescent="0.25">
      <c r="A7510" t="s">
        <v>17</v>
      </c>
      <c r="B7510" t="s">
        <v>92</v>
      </c>
      <c r="C7510">
        <v>202311</v>
      </c>
      <c r="D7510" t="str">
        <f t="shared" si="117"/>
        <v>2023</v>
      </c>
      <c r="E7510">
        <v>25</v>
      </c>
      <c r="F7510">
        <v>111109</v>
      </c>
      <c r="G7510">
        <v>0.02</v>
      </c>
      <c r="H7510" t="s">
        <v>10</v>
      </c>
      <c r="I7510" t="s">
        <v>11</v>
      </c>
    </row>
    <row r="7511" spans="1:9" hidden="1" x14ac:dyDescent="0.25">
      <c r="A7511" t="s">
        <v>17</v>
      </c>
      <c r="B7511" t="s">
        <v>92</v>
      </c>
      <c r="C7511">
        <v>202312</v>
      </c>
      <c r="D7511" t="str">
        <f t="shared" si="117"/>
        <v>2023</v>
      </c>
      <c r="E7511">
        <v>22</v>
      </c>
      <c r="F7511">
        <v>111109</v>
      </c>
      <c r="G7511">
        <v>0.02</v>
      </c>
      <c r="H7511" t="s">
        <v>10</v>
      </c>
      <c r="I7511" t="s">
        <v>11</v>
      </c>
    </row>
    <row r="7512" spans="1:9" hidden="1" x14ac:dyDescent="0.25">
      <c r="A7512" t="s">
        <v>17</v>
      </c>
      <c r="B7512" t="s">
        <v>92</v>
      </c>
      <c r="C7512">
        <v>202401</v>
      </c>
      <c r="D7512" t="str">
        <f t="shared" si="117"/>
        <v>2024</v>
      </c>
      <c r="E7512">
        <v>47</v>
      </c>
      <c r="F7512">
        <v>111109</v>
      </c>
      <c r="G7512">
        <v>0.04</v>
      </c>
      <c r="H7512" t="s">
        <v>10</v>
      </c>
      <c r="I7512" t="s">
        <v>11</v>
      </c>
    </row>
    <row r="7513" spans="1:9" hidden="1" x14ac:dyDescent="0.25">
      <c r="A7513" t="s">
        <v>17</v>
      </c>
      <c r="B7513" t="s">
        <v>92</v>
      </c>
      <c r="C7513">
        <v>202402</v>
      </c>
      <c r="D7513" t="str">
        <f t="shared" si="117"/>
        <v>2024</v>
      </c>
      <c r="E7513">
        <v>84</v>
      </c>
      <c r="F7513">
        <v>111109</v>
      </c>
      <c r="G7513">
        <v>0.08</v>
      </c>
      <c r="H7513" t="s">
        <v>10</v>
      </c>
      <c r="I7513" t="s">
        <v>11</v>
      </c>
    </row>
    <row r="7514" spans="1:9" hidden="1" x14ac:dyDescent="0.25">
      <c r="A7514" t="s">
        <v>17</v>
      </c>
      <c r="B7514" t="s">
        <v>92</v>
      </c>
      <c r="C7514">
        <v>202403</v>
      </c>
      <c r="D7514" t="str">
        <f t="shared" si="117"/>
        <v>2024</v>
      </c>
      <c r="E7514">
        <v>74</v>
      </c>
      <c r="F7514">
        <v>111109</v>
      </c>
      <c r="G7514">
        <v>7.0000000000000007E-2</v>
      </c>
      <c r="H7514" t="s">
        <v>10</v>
      </c>
      <c r="I7514" t="s">
        <v>11</v>
      </c>
    </row>
    <row r="7515" spans="1:9" hidden="1" x14ac:dyDescent="0.25">
      <c r="A7515" t="s">
        <v>17</v>
      </c>
      <c r="B7515" t="s">
        <v>92</v>
      </c>
      <c r="C7515">
        <v>202404</v>
      </c>
      <c r="D7515" t="str">
        <f t="shared" si="117"/>
        <v>2024</v>
      </c>
      <c r="E7515">
        <v>132</v>
      </c>
      <c r="F7515">
        <v>111109</v>
      </c>
      <c r="G7515">
        <v>0.12</v>
      </c>
      <c r="H7515" t="s">
        <v>10</v>
      </c>
      <c r="I7515" t="s">
        <v>11</v>
      </c>
    </row>
    <row r="7516" spans="1:9" hidden="1" x14ac:dyDescent="0.25">
      <c r="A7516" t="s">
        <v>17</v>
      </c>
      <c r="B7516" t="s">
        <v>92</v>
      </c>
      <c r="C7516">
        <v>202405</v>
      </c>
      <c r="D7516" t="str">
        <f t="shared" si="117"/>
        <v>2024</v>
      </c>
      <c r="E7516">
        <v>96</v>
      </c>
      <c r="F7516">
        <v>111109</v>
      </c>
      <c r="G7516">
        <v>0.09</v>
      </c>
      <c r="H7516" t="s">
        <v>10</v>
      </c>
      <c r="I7516" t="s">
        <v>11</v>
      </c>
    </row>
    <row r="7517" spans="1:9" hidden="1" x14ac:dyDescent="0.25">
      <c r="A7517" t="s">
        <v>17</v>
      </c>
      <c r="B7517" t="s">
        <v>92</v>
      </c>
      <c r="C7517">
        <v>202406</v>
      </c>
      <c r="D7517" t="str">
        <f t="shared" si="117"/>
        <v>2024</v>
      </c>
      <c r="E7517">
        <v>161</v>
      </c>
      <c r="F7517">
        <v>111109</v>
      </c>
      <c r="G7517">
        <v>0.14000000000000001</v>
      </c>
      <c r="H7517" t="s">
        <v>10</v>
      </c>
      <c r="I7517" t="s">
        <v>11</v>
      </c>
    </row>
    <row r="7518" spans="1:9" hidden="1" x14ac:dyDescent="0.25">
      <c r="A7518" t="s">
        <v>17</v>
      </c>
      <c r="B7518" t="s">
        <v>92</v>
      </c>
      <c r="C7518">
        <v>202407</v>
      </c>
      <c r="D7518" t="str">
        <f t="shared" si="117"/>
        <v>2024</v>
      </c>
      <c r="E7518">
        <v>307</v>
      </c>
      <c r="F7518">
        <v>111109</v>
      </c>
      <c r="G7518">
        <v>0.28000000000000003</v>
      </c>
      <c r="H7518" t="s">
        <v>10</v>
      </c>
      <c r="I7518" t="s">
        <v>11</v>
      </c>
    </row>
    <row r="7519" spans="1:9" hidden="1" x14ac:dyDescent="0.25">
      <c r="A7519" t="s">
        <v>17</v>
      </c>
      <c r="B7519" t="s">
        <v>92</v>
      </c>
      <c r="C7519">
        <v>202408</v>
      </c>
      <c r="D7519" t="str">
        <f t="shared" si="117"/>
        <v>2024</v>
      </c>
      <c r="E7519">
        <v>367</v>
      </c>
      <c r="F7519">
        <v>111109</v>
      </c>
      <c r="G7519">
        <v>0.33</v>
      </c>
      <c r="H7519" t="s">
        <v>10</v>
      </c>
      <c r="I7519" t="s">
        <v>11</v>
      </c>
    </row>
    <row r="7520" spans="1:9" hidden="1" x14ac:dyDescent="0.25">
      <c r="A7520" t="s">
        <v>17</v>
      </c>
      <c r="B7520" t="s">
        <v>92</v>
      </c>
      <c r="C7520">
        <v>202409</v>
      </c>
      <c r="D7520" t="str">
        <f t="shared" si="117"/>
        <v>2024</v>
      </c>
      <c r="E7520">
        <v>184</v>
      </c>
      <c r="F7520">
        <v>111109</v>
      </c>
      <c r="G7520">
        <v>0.17</v>
      </c>
      <c r="H7520" t="s">
        <v>10</v>
      </c>
      <c r="I7520" t="s">
        <v>11</v>
      </c>
    </row>
    <row r="7521" spans="1:9" hidden="1" x14ac:dyDescent="0.25">
      <c r="A7521" t="s">
        <v>17</v>
      </c>
      <c r="B7521" t="s">
        <v>92</v>
      </c>
      <c r="C7521">
        <v>202410</v>
      </c>
      <c r="D7521" t="str">
        <f t="shared" si="117"/>
        <v>2024</v>
      </c>
      <c r="E7521">
        <v>415</v>
      </c>
      <c r="F7521">
        <v>111109</v>
      </c>
      <c r="G7521">
        <v>0.37</v>
      </c>
      <c r="H7521" t="s">
        <v>10</v>
      </c>
      <c r="I7521" t="s">
        <v>11</v>
      </c>
    </row>
    <row r="7522" spans="1:9" hidden="1" x14ac:dyDescent="0.25">
      <c r="A7522" t="s">
        <v>17</v>
      </c>
      <c r="B7522" t="s">
        <v>92</v>
      </c>
      <c r="C7522">
        <v>202411</v>
      </c>
      <c r="D7522" t="str">
        <f t="shared" si="117"/>
        <v>2024</v>
      </c>
      <c r="E7522">
        <v>331</v>
      </c>
      <c r="F7522">
        <v>111109</v>
      </c>
      <c r="G7522">
        <v>0.3</v>
      </c>
      <c r="H7522" t="s">
        <v>10</v>
      </c>
      <c r="I7522" t="s">
        <v>11</v>
      </c>
    </row>
    <row r="7523" spans="1:9" hidden="1" x14ac:dyDescent="0.25">
      <c r="A7523" t="s">
        <v>17</v>
      </c>
      <c r="B7523" t="s">
        <v>92</v>
      </c>
      <c r="C7523">
        <v>202412</v>
      </c>
      <c r="D7523" t="str">
        <f t="shared" si="117"/>
        <v>2024</v>
      </c>
      <c r="E7523">
        <v>759</v>
      </c>
      <c r="F7523">
        <v>111109</v>
      </c>
      <c r="G7523">
        <v>0.68</v>
      </c>
      <c r="H7523" t="s">
        <v>10</v>
      </c>
      <c r="I7523" t="s">
        <v>11</v>
      </c>
    </row>
    <row r="7524" spans="1:9" x14ac:dyDescent="0.25">
      <c r="A7524" t="s">
        <v>17</v>
      </c>
      <c r="B7524" t="s">
        <v>92</v>
      </c>
      <c r="C7524">
        <v>202501</v>
      </c>
      <c r="D7524" t="str">
        <f t="shared" si="117"/>
        <v>2025</v>
      </c>
      <c r="E7524">
        <v>3333</v>
      </c>
      <c r="F7524">
        <v>111109</v>
      </c>
      <c r="G7524">
        <v>3</v>
      </c>
      <c r="H7524" t="s">
        <v>10</v>
      </c>
      <c r="I7524" t="s">
        <v>11</v>
      </c>
    </row>
    <row r="7525" spans="1:9" x14ac:dyDescent="0.25">
      <c r="A7525" t="s">
        <v>17</v>
      </c>
      <c r="B7525" t="s">
        <v>92</v>
      </c>
      <c r="C7525">
        <v>202502</v>
      </c>
      <c r="D7525" t="str">
        <f t="shared" si="117"/>
        <v>2025</v>
      </c>
      <c r="E7525">
        <v>2866</v>
      </c>
      <c r="F7525">
        <v>111109</v>
      </c>
      <c r="G7525">
        <v>2.58</v>
      </c>
      <c r="H7525" t="s">
        <v>10</v>
      </c>
      <c r="I7525" t="s">
        <v>11</v>
      </c>
    </row>
    <row r="7526" spans="1:9" x14ac:dyDescent="0.25">
      <c r="A7526" t="s">
        <v>17</v>
      </c>
      <c r="B7526" t="s">
        <v>92</v>
      </c>
      <c r="C7526">
        <v>202503</v>
      </c>
      <c r="D7526" t="str">
        <f t="shared" si="117"/>
        <v>2025</v>
      </c>
      <c r="E7526">
        <v>3590</v>
      </c>
      <c r="F7526">
        <v>111109</v>
      </c>
      <c r="G7526">
        <v>3.23</v>
      </c>
      <c r="H7526" t="s">
        <v>10</v>
      </c>
      <c r="I7526" t="s">
        <v>11</v>
      </c>
    </row>
    <row r="7527" spans="1:9" x14ac:dyDescent="0.25">
      <c r="A7527" t="s">
        <v>17</v>
      </c>
      <c r="B7527" t="s">
        <v>92</v>
      </c>
      <c r="C7527">
        <v>202504</v>
      </c>
      <c r="D7527" t="str">
        <f t="shared" si="117"/>
        <v>2025</v>
      </c>
      <c r="E7527">
        <v>3711</v>
      </c>
      <c r="F7527">
        <v>111109</v>
      </c>
      <c r="G7527">
        <v>3.34</v>
      </c>
      <c r="H7527" t="s">
        <v>10</v>
      </c>
      <c r="I7527" t="s">
        <v>11</v>
      </c>
    </row>
    <row r="7528" spans="1:9" x14ac:dyDescent="0.25">
      <c r="A7528" t="s">
        <v>17</v>
      </c>
      <c r="B7528" t="s">
        <v>92</v>
      </c>
      <c r="C7528">
        <v>202505</v>
      </c>
      <c r="D7528" t="str">
        <f t="shared" si="117"/>
        <v>2025</v>
      </c>
      <c r="E7528">
        <v>4166</v>
      </c>
      <c r="F7528">
        <v>111109</v>
      </c>
      <c r="G7528">
        <v>3.75</v>
      </c>
      <c r="H7528" t="s">
        <v>10</v>
      </c>
      <c r="I7528" t="s">
        <v>11</v>
      </c>
    </row>
    <row r="7529" spans="1:9" x14ac:dyDescent="0.25">
      <c r="A7529" t="s">
        <v>17</v>
      </c>
      <c r="B7529" t="s">
        <v>92</v>
      </c>
      <c r="C7529">
        <v>202506</v>
      </c>
      <c r="D7529" t="str">
        <f t="shared" si="117"/>
        <v>2025</v>
      </c>
      <c r="E7529">
        <v>4486</v>
      </c>
      <c r="F7529">
        <v>111109</v>
      </c>
      <c r="G7529">
        <v>4.04</v>
      </c>
      <c r="H7529" t="s">
        <v>10</v>
      </c>
      <c r="I7529" t="s">
        <v>11</v>
      </c>
    </row>
    <row r="7530" spans="1:9" x14ac:dyDescent="0.25">
      <c r="A7530" t="s">
        <v>17</v>
      </c>
      <c r="B7530" t="s">
        <v>92</v>
      </c>
      <c r="C7530">
        <v>202507</v>
      </c>
      <c r="D7530" t="str">
        <f t="shared" si="117"/>
        <v>2025</v>
      </c>
      <c r="E7530">
        <v>6768</v>
      </c>
      <c r="F7530">
        <v>111109</v>
      </c>
      <c r="G7530">
        <v>6.09</v>
      </c>
      <c r="H7530" t="s">
        <v>10</v>
      </c>
      <c r="I7530" t="s">
        <v>11</v>
      </c>
    </row>
    <row r="7531" spans="1:9" x14ac:dyDescent="0.25">
      <c r="A7531" t="s">
        <v>17</v>
      </c>
      <c r="B7531" t="s">
        <v>92</v>
      </c>
      <c r="C7531">
        <v>202508</v>
      </c>
      <c r="D7531" t="str">
        <f t="shared" si="117"/>
        <v>2025</v>
      </c>
      <c r="E7531">
        <v>11682</v>
      </c>
      <c r="F7531">
        <v>111109</v>
      </c>
      <c r="G7531">
        <v>10.51</v>
      </c>
      <c r="H7531" t="s">
        <v>10</v>
      </c>
      <c r="I7531" t="s">
        <v>11</v>
      </c>
    </row>
    <row r="7532" spans="1:9" x14ac:dyDescent="0.25">
      <c r="A7532" t="s">
        <v>17</v>
      </c>
      <c r="B7532" t="s">
        <v>92</v>
      </c>
      <c r="C7532">
        <v>202509</v>
      </c>
      <c r="D7532" t="str">
        <f t="shared" si="117"/>
        <v>2025</v>
      </c>
      <c r="E7532">
        <v>41144</v>
      </c>
      <c r="F7532">
        <v>111109</v>
      </c>
      <c r="G7532">
        <v>37.03</v>
      </c>
      <c r="H7532" t="s">
        <v>10</v>
      </c>
      <c r="I7532" t="s">
        <v>11</v>
      </c>
    </row>
    <row r="7533" spans="1:9" x14ac:dyDescent="0.25">
      <c r="A7533" t="s">
        <v>17</v>
      </c>
      <c r="B7533" t="s">
        <v>92</v>
      </c>
      <c r="C7533">
        <v>202510</v>
      </c>
      <c r="D7533" t="str">
        <f t="shared" si="117"/>
        <v>2025</v>
      </c>
      <c r="E7533">
        <v>26263</v>
      </c>
      <c r="F7533">
        <v>111109</v>
      </c>
      <c r="G7533">
        <v>23.64</v>
      </c>
      <c r="H7533" t="s">
        <v>10</v>
      </c>
      <c r="I7533" t="s">
        <v>11</v>
      </c>
    </row>
    <row r="7534" spans="1:9" hidden="1" x14ac:dyDescent="0.25">
      <c r="A7534" t="s">
        <v>17</v>
      </c>
      <c r="B7534" t="s">
        <v>116</v>
      </c>
      <c r="C7534">
        <v>202206</v>
      </c>
      <c r="D7534" t="str">
        <f t="shared" si="117"/>
        <v>2022</v>
      </c>
      <c r="E7534">
        <v>1</v>
      </c>
      <c r="F7534">
        <v>95855</v>
      </c>
      <c r="G7534">
        <v>0</v>
      </c>
      <c r="H7534" t="s">
        <v>10</v>
      </c>
      <c r="I7534" t="s">
        <v>11</v>
      </c>
    </row>
    <row r="7535" spans="1:9" hidden="1" x14ac:dyDescent="0.25">
      <c r="A7535" t="s">
        <v>17</v>
      </c>
      <c r="B7535" t="s">
        <v>116</v>
      </c>
      <c r="C7535">
        <v>202208</v>
      </c>
      <c r="D7535" t="str">
        <f t="shared" si="117"/>
        <v>2022</v>
      </c>
      <c r="E7535">
        <v>1</v>
      </c>
      <c r="F7535">
        <v>95855</v>
      </c>
      <c r="G7535">
        <v>0</v>
      </c>
      <c r="H7535" t="s">
        <v>10</v>
      </c>
      <c r="I7535" t="s">
        <v>11</v>
      </c>
    </row>
    <row r="7536" spans="1:9" hidden="1" x14ac:dyDescent="0.25">
      <c r="A7536" t="s">
        <v>17</v>
      </c>
      <c r="B7536" t="s">
        <v>116</v>
      </c>
      <c r="C7536">
        <v>202210</v>
      </c>
      <c r="D7536" t="str">
        <f t="shared" si="117"/>
        <v>2022</v>
      </c>
      <c r="E7536">
        <v>7</v>
      </c>
      <c r="F7536">
        <v>95855</v>
      </c>
      <c r="G7536">
        <v>0.01</v>
      </c>
      <c r="H7536" t="s">
        <v>10</v>
      </c>
      <c r="I7536" t="s">
        <v>11</v>
      </c>
    </row>
    <row r="7537" spans="1:9" hidden="1" x14ac:dyDescent="0.25">
      <c r="A7537" t="s">
        <v>17</v>
      </c>
      <c r="B7537" t="s">
        <v>116</v>
      </c>
      <c r="C7537">
        <v>202302</v>
      </c>
      <c r="D7537" t="str">
        <f t="shared" si="117"/>
        <v>2023</v>
      </c>
      <c r="E7537">
        <v>9</v>
      </c>
      <c r="F7537">
        <v>95855</v>
      </c>
      <c r="G7537">
        <v>0.01</v>
      </c>
      <c r="H7537" t="s">
        <v>10</v>
      </c>
      <c r="I7537" t="s">
        <v>11</v>
      </c>
    </row>
    <row r="7538" spans="1:9" hidden="1" x14ac:dyDescent="0.25">
      <c r="A7538" t="s">
        <v>17</v>
      </c>
      <c r="B7538" t="s">
        <v>116</v>
      </c>
      <c r="C7538">
        <v>202306</v>
      </c>
      <c r="D7538" t="str">
        <f t="shared" si="117"/>
        <v>2023</v>
      </c>
      <c r="E7538">
        <v>4</v>
      </c>
      <c r="F7538">
        <v>95855</v>
      </c>
      <c r="G7538">
        <v>0</v>
      </c>
      <c r="H7538" t="s">
        <v>10</v>
      </c>
      <c r="I7538" t="s">
        <v>11</v>
      </c>
    </row>
    <row r="7539" spans="1:9" hidden="1" x14ac:dyDescent="0.25">
      <c r="A7539" t="s">
        <v>17</v>
      </c>
      <c r="B7539" t="s">
        <v>116</v>
      </c>
      <c r="C7539">
        <v>202307</v>
      </c>
      <c r="D7539" t="str">
        <f t="shared" si="117"/>
        <v>2023</v>
      </c>
      <c r="E7539">
        <v>3</v>
      </c>
      <c r="F7539">
        <v>95855</v>
      </c>
      <c r="G7539">
        <v>0</v>
      </c>
      <c r="H7539" t="s">
        <v>10</v>
      </c>
      <c r="I7539" t="s">
        <v>11</v>
      </c>
    </row>
    <row r="7540" spans="1:9" hidden="1" x14ac:dyDescent="0.25">
      <c r="A7540" t="s">
        <v>17</v>
      </c>
      <c r="B7540" t="s">
        <v>116</v>
      </c>
      <c r="C7540">
        <v>202308</v>
      </c>
      <c r="D7540" t="str">
        <f t="shared" si="117"/>
        <v>2023</v>
      </c>
      <c r="E7540">
        <v>4</v>
      </c>
      <c r="F7540">
        <v>95855</v>
      </c>
      <c r="G7540">
        <v>0</v>
      </c>
      <c r="H7540" t="s">
        <v>10</v>
      </c>
      <c r="I7540" t="s">
        <v>11</v>
      </c>
    </row>
    <row r="7541" spans="1:9" hidden="1" x14ac:dyDescent="0.25">
      <c r="A7541" t="s">
        <v>17</v>
      </c>
      <c r="B7541" t="s">
        <v>116</v>
      </c>
      <c r="C7541">
        <v>202309</v>
      </c>
      <c r="D7541" t="str">
        <f t="shared" si="117"/>
        <v>2023</v>
      </c>
      <c r="E7541">
        <v>12</v>
      </c>
      <c r="F7541">
        <v>95855</v>
      </c>
      <c r="G7541">
        <v>0.01</v>
      </c>
      <c r="H7541" t="s">
        <v>10</v>
      </c>
      <c r="I7541" t="s">
        <v>11</v>
      </c>
    </row>
    <row r="7542" spans="1:9" hidden="1" x14ac:dyDescent="0.25">
      <c r="A7542" t="s">
        <v>17</v>
      </c>
      <c r="B7542" t="s">
        <v>116</v>
      </c>
      <c r="C7542">
        <v>202310</v>
      </c>
      <c r="D7542" t="str">
        <f t="shared" si="117"/>
        <v>2023</v>
      </c>
      <c r="E7542">
        <v>18</v>
      </c>
      <c r="F7542">
        <v>95855</v>
      </c>
      <c r="G7542">
        <v>0.02</v>
      </c>
      <c r="H7542" t="s">
        <v>10</v>
      </c>
      <c r="I7542" t="s">
        <v>11</v>
      </c>
    </row>
    <row r="7543" spans="1:9" hidden="1" x14ac:dyDescent="0.25">
      <c r="A7543" t="s">
        <v>17</v>
      </c>
      <c r="B7543" t="s">
        <v>116</v>
      </c>
      <c r="C7543">
        <v>202311</v>
      </c>
      <c r="D7543" t="str">
        <f t="shared" si="117"/>
        <v>2023</v>
      </c>
      <c r="E7543">
        <v>39</v>
      </c>
      <c r="F7543">
        <v>95855</v>
      </c>
      <c r="G7543">
        <v>0.04</v>
      </c>
      <c r="H7543" t="s">
        <v>10</v>
      </c>
      <c r="I7543" t="s">
        <v>11</v>
      </c>
    </row>
    <row r="7544" spans="1:9" hidden="1" x14ac:dyDescent="0.25">
      <c r="A7544" t="s">
        <v>17</v>
      </c>
      <c r="B7544" t="s">
        <v>116</v>
      </c>
      <c r="C7544">
        <v>202401</v>
      </c>
      <c r="D7544" t="str">
        <f t="shared" si="117"/>
        <v>2024</v>
      </c>
      <c r="E7544">
        <v>52</v>
      </c>
      <c r="F7544">
        <v>95855</v>
      </c>
      <c r="G7544">
        <v>0.05</v>
      </c>
      <c r="H7544" t="s">
        <v>10</v>
      </c>
      <c r="I7544" t="s">
        <v>11</v>
      </c>
    </row>
    <row r="7545" spans="1:9" hidden="1" x14ac:dyDescent="0.25">
      <c r="A7545" t="s">
        <v>17</v>
      </c>
      <c r="B7545" t="s">
        <v>116</v>
      </c>
      <c r="C7545">
        <v>202402</v>
      </c>
      <c r="D7545" t="str">
        <f t="shared" si="117"/>
        <v>2024</v>
      </c>
      <c r="E7545">
        <v>70</v>
      </c>
      <c r="F7545">
        <v>95855</v>
      </c>
      <c r="G7545">
        <v>7.0000000000000007E-2</v>
      </c>
      <c r="H7545" t="s">
        <v>10</v>
      </c>
      <c r="I7545" t="s">
        <v>11</v>
      </c>
    </row>
    <row r="7546" spans="1:9" hidden="1" x14ac:dyDescent="0.25">
      <c r="A7546" t="s">
        <v>17</v>
      </c>
      <c r="B7546" t="s">
        <v>116</v>
      </c>
      <c r="C7546">
        <v>202403</v>
      </c>
      <c r="D7546" t="str">
        <f t="shared" si="117"/>
        <v>2024</v>
      </c>
      <c r="E7546">
        <v>157</v>
      </c>
      <c r="F7546">
        <v>95855</v>
      </c>
      <c r="G7546">
        <v>0.16</v>
      </c>
      <c r="H7546" t="s">
        <v>10</v>
      </c>
      <c r="I7546" t="s">
        <v>11</v>
      </c>
    </row>
    <row r="7547" spans="1:9" hidden="1" x14ac:dyDescent="0.25">
      <c r="A7547" t="s">
        <v>17</v>
      </c>
      <c r="B7547" t="s">
        <v>116</v>
      </c>
      <c r="C7547">
        <v>202404</v>
      </c>
      <c r="D7547" t="str">
        <f t="shared" si="117"/>
        <v>2024</v>
      </c>
      <c r="E7547">
        <v>103</v>
      </c>
      <c r="F7547">
        <v>95855</v>
      </c>
      <c r="G7547">
        <v>0.11</v>
      </c>
      <c r="H7547" t="s">
        <v>10</v>
      </c>
      <c r="I7547" t="s">
        <v>11</v>
      </c>
    </row>
    <row r="7548" spans="1:9" hidden="1" x14ac:dyDescent="0.25">
      <c r="A7548" t="s">
        <v>17</v>
      </c>
      <c r="B7548" t="s">
        <v>116</v>
      </c>
      <c r="C7548">
        <v>202405</v>
      </c>
      <c r="D7548" t="str">
        <f t="shared" si="117"/>
        <v>2024</v>
      </c>
      <c r="E7548">
        <v>234</v>
      </c>
      <c r="F7548">
        <v>95855</v>
      </c>
      <c r="G7548">
        <v>0.24</v>
      </c>
      <c r="H7548" t="s">
        <v>10</v>
      </c>
      <c r="I7548" t="s">
        <v>11</v>
      </c>
    </row>
    <row r="7549" spans="1:9" hidden="1" x14ac:dyDescent="0.25">
      <c r="A7549" t="s">
        <v>17</v>
      </c>
      <c r="B7549" t="s">
        <v>116</v>
      </c>
      <c r="C7549">
        <v>202406</v>
      </c>
      <c r="D7549" t="str">
        <f t="shared" si="117"/>
        <v>2024</v>
      </c>
      <c r="E7549">
        <v>252</v>
      </c>
      <c r="F7549">
        <v>95855</v>
      </c>
      <c r="G7549">
        <v>0.26</v>
      </c>
      <c r="H7549" t="s">
        <v>10</v>
      </c>
      <c r="I7549" t="s">
        <v>11</v>
      </c>
    </row>
    <row r="7550" spans="1:9" hidden="1" x14ac:dyDescent="0.25">
      <c r="A7550" t="s">
        <v>17</v>
      </c>
      <c r="B7550" t="s">
        <v>116</v>
      </c>
      <c r="C7550">
        <v>202407</v>
      </c>
      <c r="D7550" t="str">
        <f t="shared" si="117"/>
        <v>2024</v>
      </c>
      <c r="E7550">
        <v>151</v>
      </c>
      <c r="F7550">
        <v>95855</v>
      </c>
      <c r="G7550">
        <v>0.16</v>
      </c>
      <c r="H7550" t="s">
        <v>10</v>
      </c>
      <c r="I7550" t="s">
        <v>11</v>
      </c>
    </row>
    <row r="7551" spans="1:9" hidden="1" x14ac:dyDescent="0.25">
      <c r="A7551" t="s">
        <v>17</v>
      </c>
      <c r="B7551" t="s">
        <v>116</v>
      </c>
      <c r="C7551">
        <v>202408</v>
      </c>
      <c r="D7551" t="str">
        <f t="shared" si="117"/>
        <v>2024</v>
      </c>
      <c r="E7551">
        <v>227</v>
      </c>
      <c r="F7551">
        <v>95855</v>
      </c>
      <c r="G7551">
        <v>0.24</v>
      </c>
      <c r="H7551" t="s">
        <v>10</v>
      </c>
      <c r="I7551" t="s">
        <v>11</v>
      </c>
    </row>
    <row r="7552" spans="1:9" hidden="1" x14ac:dyDescent="0.25">
      <c r="A7552" t="s">
        <v>17</v>
      </c>
      <c r="B7552" t="s">
        <v>116</v>
      </c>
      <c r="C7552">
        <v>202409</v>
      </c>
      <c r="D7552" t="str">
        <f t="shared" si="117"/>
        <v>2024</v>
      </c>
      <c r="E7552">
        <v>243</v>
      </c>
      <c r="F7552">
        <v>95855</v>
      </c>
      <c r="G7552">
        <v>0.25</v>
      </c>
      <c r="H7552" t="s">
        <v>10</v>
      </c>
      <c r="I7552" t="s">
        <v>11</v>
      </c>
    </row>
    <row r="7553" spans="1:9" hidden="1" x14ac:dyDescent="0.25">
      <c r="A7553" t="s">
        <v>17</v>
      </c>
      <c r="B7553" t="s">
        <v>116</v>
      </c>
      <c r="C7553">
        <v>202410</v>
      </c>
      <c r="D7553" t="str">
        <f t="shared" si="117"/>
        <v>2024</v>
      </c>
      <c r="E7553">
        <v>323</v>
      </c>
      <c r="F7553">
        <v>95855</v>
      </c>
      <c r="G7553">
        <v>0.34</v>
      </c>
      <c r="H7553" t="s">
        <v>10</v>
      </c>
      <c r="I7553" t="s">
        <v>11</v>
      </c>
    </row>
    <row r="7554" spans="1:9" hidden="1" x14ac:dyDescent="0.25">
      <c r="A7554" t="s">
        <v>17</v>
      </c>
      <c r="B7554" t="s">
        <v>116</v>
      </c>
      <c r="C7554">
        <v>202411</v>
      </c>
      <c r="D7554" t="str">
        <f t="shared" si="117"/>
        <v>2024</v>
      </c>
      <c r="E7554">
        <v>255</v>
      </c>
      <c r="F7554">
        <v>95855</v>
      </c>
      <c r="G7554">
        <v>0.27</v>
      </c>
      <c r="H7554" t="s">
        <v>10</v>
      </c>
      <c r="I7554" t="s">
        <v>11</v>
      </c>
    </row>
    <row r="7555" spans="1:9" hidden="1" x14ac:dyDescent="0.25">
      <c r="A7555" t="s">
        <v>17</v>
      </c>
      <c r="B7555" t="s">
        <v>116</v>
      </c>
      <c r="C7555">
        <v>202412</v>
      </c>
      <c r="D7555" t="str">
        <f t="shared" ref="D7555:D7618" si="118">LEFT(C7555,4)</f>
        <v>2024</v>
      </c>
      <c r="E7555">
        <v>319</v>
      </c>
      <c r="F7555">
        <v>95855</v>
      </c>
      <c r="G7555">
        <v>0.33</v>
      </c>
      <c r="H7555" t="s">
        <v>10</v>
      </c>
      <c r="I7555" t="s">
        <v>11</v>
      </c>
    </row>
    <row r="7556" spans="1:9" x14ac:dyDescent="0.25">
      <c r="A7556" t="s">
        <v>17</v>
      </c>
      <c r="B7556" t="s">
        <v>116</v>
      </c>
      <c r="C7556">
        <v>202501</v>
      </c>
      <c r="D7556" t="str">
        <f t="shared" si="118"/>
        <v>2025</v>
      </c>
      <c r="E7556">
        <v>380</v>
      </c>
      <c r="F7556">
        <v>95855</v>
      </c>
      <c r="G7556">
        <v>0.4</v>
      </c>
      <c r="H7556" t="s">
        <v>10</v>
      </c>
      <c r="I7556" t="s">
        <v>11</v>
      </c>
    </row>
    <row r="7557" spans="1:9" x14ac:dyDescent="0.25">
      <c r="A7557" t="s">
        <v>17</v>
      </c>
      <c r="B7557" t="s">
        <v>116</v>
      </c>
      <c r="C7557">
        <v>202502</v>
      </c>
      <c r="D7557" t="str">
        <f t="shared" si="118"/>
        <v>2025</v>
      </c>
      <c r="E7557">
        <v>389</v>
      </c>
      <c r="F7557">
        <v>95855</v>
      </c>
      <c r="G7557">
        <v>0.41</v>
      </c>
      <c r="H7557" t="s">
        <v>10</v>
      </c>
      <c r="I7557" t="s">
        <v>11</v>
      </c>
    </row>
    <row r="7558" spans="1:9" x14ac:dyDescent="0.25">
      <c r="A7558" t="s">
        <v>17</v>
      </c>
      <c r="B7558" t="s">
        <v>116</v>
      </c>
      <c r="C7558">
        <v>202503</v>
      </c>
      <c r="D7558" t="str">
        <f t="shared" si="118"/>
        <v>2025</v>
      </c>
      <c r="E7558">
        <v>648</v>
      </c>
      <c r="F7558">
        <v>95855</v>
      </c>
      <c r="G7558">
        <v>0.68</v>
      </c>
      <c r="H7558" t="s">
        <v>10</v>
      </c>
      <c r="I7558" t="s">
        <v>11</v>
      </c>
    </row>
    <row r="7559" spans="1:9" x14ac:dyDescent="0.25">
      <c r="A7559" t="s">
        <v>17</v>
      </c>
      <c r="B7559" t="s">
        <v>116</v>
      </c>
      <c r="C7559">
        <v>202504</v>
      </c>
      <c r="D7559" t="str">
        <f t="shared" si="118"/>
        <v>2025</v>
      </c>
      <c r="E7559">
        <v>1000</v>
      </c>
      <c r="F7559">
        <v>95855</v>
      </c>
      <c r="G7559">
        <v>1.04</v>
      </c>
      <c r="H7559" t="s">
        <v>10</v>
      </c>
      <c r="I7559" t="s">
        <v>11</v>
      </c>
    </row>
    <row r="7560" spans="1:9" x14ac:dyDescent="0.25">
      <c r="A7560" t="s">
        <v>17</v>
      </c>
      <c r="B7560" t="s">
        <v>116</v>
      </c>
      <c r="C7560">
        <v>202505</v>
      </c>
      <c r="D7560" t="str">
        <f t="shared" si="118"/>
        <v>2025</v>
      </c>
      <c r="E7560">
        <v>949</v>
      </c>
      <c r="F7560">
        <v>95855</v>
      </c>
      <c r="G7560">
        <v>0.99</v>
      </c>
      <c r="H7560" t="s">
        <v>10</v>
      </c>
      <c r="I7560" t="s">
        <v>11</v>
      </c>
    </row>
    <row r="7561" spans="1:9" x14ac:dyDescent="0.25">
      <c r="A7561" t="s">
        <v>17</v>
      </c>
      <c r="B7561" t="s">
        <v>116</v>
      </c>
      <c r="C7561">
        <v>202506</v>
      </c>
      <c r="D7561" t="str">
        <f t="shared" si="118"/>
        <v>2025</v>
      </c>
      <c r="E7561">
        <v>1253</v>
      </c>
      <c r="F7561">
        <v>95855</v>
      </c>
      <c r="G7561">
        <v>1.31</v>
      </c>
      <c r="H7561" t="s">
        <v>10</v>
      </c>
      <c r="I7561" t="s">
        <v>11</v>
      </c>
    </row>
    <row r="7562" spans="1:9" x14ac:dyDescent="0.25">
      <c r="A7562" t="s">
        <v>17</v>
      </c>
      <c r="B7562" t="s">
        <v>116</v>
      </c>
      <c r="C7562">
        <v>202507</v>
      </c>
      <c r="D7562" t="str">
        <f t="shared" si="118"/>
        <v>2025</v>
      </c>
      <c r="E7562">
        <v>2005</v>
      </c>
      <c r="F7562">
        <v>95855</v>
      </c>
      <c r="G7562">
        <v>2.09</v>
      </c>
      <c r="H7562" t="s">
        <v>10</v>
      </c>
      <c r="I7562" t="s">
        <v>11</v>
      </c>
    </row>
    <row r="7563" spans="1:9" x14ac:dyDescent="0.25">
      <c r="A7563" t="s">
        <v>17</v>
      </c>
      <c r="B7563" t="s">
        <v>116</v>
      </c>
      <c r="C7563">
        <v>202508</v>
      </c>
      <c r="D7563" t="str">
        <f t="shared" si="118"/>
        <v>2025</v>
      </c>
      <c r="E7563">
        <v>9088</v>
      </c>
      <c r="F7563">
        <v>95855</v>
      </c>
      <c r="G7563">
        <v>9.48</v>
      </c>
      <c r="H7563" t="s">
        <v>10</v>
      </c>
      <c r="I7563" t="s">
        <v>11</v>
      </c>
    </row>
    <row r="7564" spans="1:9" x14ac:dyDescent="0.25">
      <c r="A7564" t="s">
        <v>17</v>
      </c>
      <c r="B7564" t="s">
        <v>116</v>
      </c>
      <c r="C7564">
        <v>202509</v>
      </c>
      <c r="D7564" t="str">
        <f t="shared" si="118"/>
        <v>2025</v>
      </c>
      <c r="E7564">
        <v>5256</v>
      </c>
      <c r="F7564">
        <v>95855</v>
      </c>
      <c r="G7564">
        <v>5.48</v>
      </c>
      <c r="H7564" t="s">
        <v>10</v>
      </c>
      <c r="I7564" t="s">
        <v>11</v>
      </c>
    </row>
    <row r="7565" spans="1:9" x14ac:dyDescent="0.25">
      <c r="A7565" t="s">
        <v>17</v>
      </c>
      <c r="B7565" t="s">
        <v>116</v>
      </c>
      <c r="C7565">
        <v>202510</v>
      </c>
      <c r="D7565" t="str">
        <f t="shared" si="118"/>
        <v>2025</v>
      </c>
      <c r="E7565">
        <v>46165</v>
      </c>
      <c r="F7565">
        <v>95855</v>
      </c>
      <c r="G7565">
        <v>48.16</v>
      </c>
      <c r="H7565" t="s">
        <v>10</v>
      </c>
      <c r="I7565" t="s">
        <v>11</v>
      </c>
    </row>
    <row r="7566" spans="1:9" x14ac:dyDescent="0.25">
      <c r="A7566" t="s">
        <v>17</v>
      </c>
      <c r="B7566" t="s">
        <v>116</v>
      </c>
      <c r="C7566">
        <v>202511</v>
      </c>
      <c r="D7566" t="str">
        <f t="shared" si="118"/>
        <v>2025</v>
      </c>
      <c r="E7566">
        <v>26238</v>
      </c>
      <c r="F7566">
        <v>95855</v>
      </c>
      <c r="G7566">
        <v>27.37</v>
      </c>
      <c r="H7566" t="s">
        <v>10</v>
      </c>
      <c r="I7566" t="s">
        <v>11</v>
      </c>
    </row>
    <row r="7567" spans="1:9" hidden="1" x14ac:dyDescent="0.25">
      <c r="A7567" t="s">
        <v>17</v>
      </c>
      <c r="B7567" t="s">
        <v>119</v>
      </c>
      <c r="C7567">
        <v>202106</v>
      </c>
      <c r="D7567" t="str">
        <f t="shared" si="118"/>
        <v>2021</v>
      </c>
      <c r="E7567">
        <v>3</v>
      </c>
      <c r="F7567">
        <v>101801</v>
      </c>
      <c r="G7567">
        <v>0</v>
      </c>
      <c r="H7567" t="s">
        <v>10</v>
      </c>
      <c r="I7567" t="s">
        <v>11</v>
      </c>
    </row>
    <row r="7568" spans="1:9" hidden="1" x14ac:dyDescent="0.25">
      <c r="A7568" t="s">
        <v>17</v>
      </c>
      <c r="B7568" t="s">
        <v>119</v>
      </c>
      <c r="C7568">
        <v>202209</v>
      </c>
      <c r="D7568" t="str">
        <f t="shared" si="118"/>
        <v>2022</v>
      </c>
      <c r="E7568">
        <v>1</v>
      </c>
      <c r="F7568">
        <v>101801</v>
      </c>
      <c r="G7568">
        <v>0</v>
      </c>
      <c r="H7568" t="s">
        <v>10</v>
      </c>
      <c r="I7568" t="s">
        <v>11</v>
      </c>
    </row>
    <row r="7569" spans="1:9" hidden="1" x14ac:dyDescent="0.25">
      <c r="A7569" t="s">
        <v>17</v>
      </c>
      <c r="B7569" t="s">
        <v>119</v>
      </c>
      <c r="C7569">
        <v>202303</v>
      </c>
      <c r="D7569" t="str">
        <f t="shared" si="118"/>
        <v>2023</v>
      </c>
      <c r="E7569">
        <v>4</v>
      </c>
      <c r="F7569">
        <v>101801</v>
      </c>
      <c r="G7569">
        <v>0</v>
      </c>
      <c r="H7569" t="s">
        <v>10</v>
      </c>
      <c r="I7569" t="s">
        <v>11</v>
      </c>
    </row>
    <row r="7570" spans="1:9" hidden="1" x14ac:dyDescent="0.25">
      <c r="A7570" t="s">
        <v>17</v>
      </c>
      <c r="B7570" t="s">
        <v>119</v>
      </c>
      <c r="C7570">
        <v>202305</v>
      </c>
      <c r="D7570" t="str">
        <f t="shared" si="118"/>
        <v>2023</v>
      </c>
      <c r="E7570">
        <v>43</v>
      </c>
      <c r="F7570">
        <v>101801</v>
      </c>
      <c r="G7570">
        <v>0.04</v>
      </c>
      <c r="H7570" t="s">
        <v>10</v>
      </c>
      <c r="I7570" t="s">
        <v>11</v>
      </c>
    </row>
    <row r="7571" spans="1:9" hidden="1" x14ac:dyDescent="0.25">
      <c r="A7571" t="s">
        <v>17</v>
      </c>
      <c r="B7571" t="s">
        <v>119</v>
      </c>
      <c r="C7571">
        <v>202306</v>
      </c>
      <c r="D7571" t="str">
        <f t="shared" si="118"/>
        <v>2023</v>
      </c>
      <c r="E7571">
        <v>5</v>
      </c>
      <c r="F7571">
        <v>101801</v>
      </c>
      <c r="G7571">
        <v>0</v>
      </c>
      <c r="H7571" t="s">
        <v>10</v>
      </c>
      <c r="I7571" t="s">
        <v>11</v>
      </c>
    </row>
    <row r="7572" spans="1:9" hidden="1" x14ac:dyDescent="0.25">
      <c r="A7572" t="s">
        <v>17</v>
      </c>
      <c r="B7572" t="s">
        <v>119</v>
      </c>
      <c r="C7572">
        <v>202307</v>
      </c>
      <c r="D7572" t="str">
        <f t="shared" si="118"/>
        <v>2023</v>
      </c>
      <c r="E7572">
        <v>1</v>
      </c>
      <c r="F7572">
        <v>101801</v>
      </c>
      <c r="G7572">
        <v>0</v>
      </c>
      <c r="H7572" t="s">
        <v>10</v>
      </c>
      <c r="I7572" t="s">
        <v>11</v>
      </c>
    </row>
    <row r="7573" spans="1:9" hidden="1" x14ac:dyDescent="0.25">
      <c r="A7573" t="s">
        <v>17</v>
      </c>
      <c r="B7573" t="s">
        <v>119</v>
      </c>
      <c r="C7573">
        <v>202309</v>
      </c>
      <c r="D7573" t="str">
        <f t="shared" si="118"/>
        <v>2023</v>
      </c>
      <c r="E7573">
        <v>1</v>
      </c>
      <c r="F7573">
        <v>101801</v>
      </c>
      <c r="G7573">
        <v>0</v>
      </c>
      <c r="H7573" t="s">
        <v>10</v>
      </c>
      <c r="I7573" t="s">
        <v>11</v>
      </c>
    </row>
    <row r="7574" spans="1:9" hidden="1" x14ac:dyDescent="0.25">
      <c r="A7574" t="s">
        <v>17</v>
      </c>
      <c r="B7574" t="s">
        <v>119</v>
      </c>
      <c r="C7574">
        <v>202310</v>
      </c>
      <c r="D7574" t="str">
        <f t="shared" si="118"/>
        <v>2023</v>
      </c>
      <c r="E7574">
        <v>39</v>
      </c>
      <c r="F7574">
        <v>101801</v>
      </c>
      <c r="G7574">
        <v>0.04</v>
      </c>
      <c r="H7574" t="s">
        <v>10</v>
      </c>
      <c r="I7574" t="s">
        <v>11</v>
      </c>
    </row>
    <row r="7575" spans="1:9" hidden="1" x14ac:dyDescent="0.25">
      <c r="A7575" t="s">
        <v>17</v>
      </c>
      <c r="B7575" t="s">
        <v>119</v>
      </c>
      <c r="C7575">
        <v>202311</v>
      </c>
      <c r="D7575" t="str">
        <f t="shared" si="118"/>
        <v>2023</v>
      </c>
      <c r="E7575">
        <v>56</v>
      </c>
      <c r="F7575">
        <v>101801</v>
      </c>
      <c r="G7575">
        <v>0.06</v>
      </c>
      <c r="H7575" t="s">
        <v>10</v>
      </c>
      <c r="I7575" t="s">
        <v>11</v>
      </c>
    </row>
    <row r="7576" spans="1:9" hidden="1" x14ac:dyDescent="0.25">
      <c r="A7576" t="s">
        <v>17</v>
      </c>
      <c r="B7576" t="s">
        <v>119</v>
      </c>
      <c r="C7576">
        <v>202312</v>
      </c>
      <c r="D7576" t="str">
        <f t="shared" si="118"/>
        <v>2023</v>
      </c>
      <c r="E7576">
        <v>1</v>
      </c>
      <c r="F7576">
        <v>101801</v>
      </c>
      <c r="G7576">
        <v>0</v>
      </c>
      <c r="H7576" t="s">
        <v>10</v>
      </c>
      <c r="I7576" t="s">
        <v>11</v>
      </c>
    </row>
    <row r="7577" spans="1:9" hidden="1" x14ac:dyDescent="0.25">
      <c r="A7577" t="s">
        <v>17</v>
      </c>
      <c r="B7577" t="s">
        <v>119</v>
      </c>
      <c r="C7577">
        <v>202401</v>
      </c>
      <c r="D7577" t="str">
        <f t="shared" si="118"/>
        <v>2024</v>
      </c>
      <c r="E7577">
        <v>108</v>
      </c>
      <c r="F7577">
        <v>101801</v>
      </c>
      <c r="G7577">
        <v>0.11</v>
      </c>
      <c r="H7577" t="s">
        <v>10</v>
      </c>
      <c r="I7577" t="s">
        <v>11</v>
      </c>
    </row>
    <row r="7578" spans="1:9" hidden="1" x14ac:dyDescent="0.25">
      <c r="A7578" t="s">
        <v>17</v>
      </c>
      <c r="B7578" t="s">
        <v>119</v>
      </c>
      <c r="C7578">
        <v>202402</v>
      </c>
      <c r="D7578" t="str">
        <f t="shared" si="118"/>
        <v>2024</v>
      </c>
      <c r="E7578">
        <v>123</v>
      </c>
      <c r="F7578">
        <v>101801</v>
      </c>
      <c r="G7578">
        <v>0.12</v>
      </c>
      <c r="H7578" t="s">
        <v>10</v>
      </c>
      <c r="I7578" t="s">
        <v>11</v>
      </c>
    </row>
    <row r="7579" spans="1:9" hidden="1" x14ac:dyDescent="0.25">
      <c r="A7579" t="s">
        <v>17</v>
      </c>
      <c r="B7579" t="s">
        <v>119</v>
      </c>
      <c r="C7579">
        <v>202403</v>
      </c>
      <c r="D7579" t="str">
        <f t="shared" si="118"/>
        <v>2024</v>
      </c>
      <c r="E7579">
        <v>155</v>
      </c>
      <c r="F7579">
        <v>101801</v>
      </c>
      <c r="G7579">
        <v>0.15</v>
      </c>
      <c r="H7579" t="s">
        <v>10</v>
      </c>
      <c r="I7579" t="s">
        <v>11</v>
      </c>
    </row>
    <row r="7580" spans="1:9" hidden="1" x14ac:dyDescent="0.25">
      <c r="A7580" t="s">
        <v>17</v>
      </c>
      <c r="B7580" t="s">
        <v>119</v>
      </c>
      <c r="C7580">
        <v>202404</v>
      </c>
      <c r="D7580" t="str">
        <f t="shared" si="118"/>
        <v>2024</v>
      </c>
      <c r="E7580">
        <v>102</v>
      </c>
      <c r="F7580">
        <v>101801</v>
      </c>
      <c r="G7580">
        <v>0.1</v>
      </c>
      <c r="H7580" t="s">
        <v>10</v>
      </c>
      <c r="I7580" t="s">
        <v>11</v>
      </c>
    </row>
    <row r="7581" spans="1:9" hidden="1" x14ac:dyDescent="0.25">
      <c r="A7581" t="s">
        <v>17</v>
      </c>
      <c r="B7581" t="s">
        <v>119</v>
      </c>
      <c r="C7581">
        <v>202405</v>
      </c>
      <c r="D7581" t="str">
        <f t="shared" si="118"/>
        <v>2024</v>
      </c>
      <c r="E7581">
        <v>165</v>
      </c>
      <c r="F7581">
        <v>101801</v>
      </c>
      <c r="G7581">
        <v>0.16</v>
      </c>
      <c r="H7581" t="s">
        <v>10</v>
      </c>
      <c r="I7581" t="s">
        <v>11</v>
      </c>
    </row>
    <row r="7582" spans="1:9" hidden="1" x14ac:dyDescent="0.25">
      <c r="A7582" t="s">
        <v>17</v>
      </c>
      <c r="B7582" t="s">
        <v>119</v>
      </c>
      <c r="C7582">
        <v>202406</v>
      </c>
      <c r="D7582" t="str">
        <f t="shared" si="118"/>
        <v>2024</v>
      </c>
      <c r="E7582">
        <v>227</v>
      </c>
      <c r="F7582">
        <v>101801</v>
      </c>
      <c r="G7582">
        <v>0.22</v>
      </c>
      <c r="H7582" t="s">
        <v>10</v>
      </c>
      <c r="I7582" t="s">
        <v>11</v>
      </c>
    </row>
    <row r="7583" spans="1:9" hidden="1" x14ac:dyDescent="0.25">
      <c r="A7583" t="s">
        <v>17</v>
      </c>
      <c r="B7583" t="s">
        <v>119</v>
      </c>
      <c r="C7583">
        <v>202407</v>
      </c>
      <c r="D7583" t="str">
        <f t="shared" si="118"/>
        <v>2024</v>
      </c>
      <c r="E7583">
        <v>220</v>
      </c>
      <c r="F7583">
        <v>101801</v>
      </c>
      <c r="G7583">
        <v>0.22</v>
      </c>
      <c r="H7583" t="s">
        <v>10</v>
      </c>
      <c r="I7583" t="s">
        <v>11</v>
      </c>
    </row>
    <row r="7584" spans="1:9" hidden="1" x14ac:dyDescent="0.25">
      <c r="A7584" t="s">
        <v>17</v>
      </c>
      <c r="B7584" t="s">
        <v>119</v>
      </c>
      <c r="C7584">
        <v>202408</v>
      </c>
      <c r="D7584" t="str">
        <f t="shared" si="118"/>
        <v>2024</v>
      </c>
      <c r="E7584">
        <v>154</v>
      </c>
      <c r="F7584">
        <v>101801</v>
      </c>
      <c r="G7584">
        <v>0.15</v>
      </c>
      <c r="H7584" t="s">
        <v>10</v>
      </c>
      <c r="I7584" t="s">
        <v>11</v>
      </c>
    </row>
    <row r="7585" spans="1:9" hidden="1" x14ac:dyDescent="0.25">
      <c r="A7585" t="s">
        <v>17</v>
      </c>
      <c r="B7585" t="s">
        <v>119</v>
      </c>
      <c r="C7585">
        <v>202409</v>
      </c>
      <c r="D7585" t="str">
        <f t="shared" si="118"/>
        <v>2024</v>
      </c>
      <c r="E7585">
        <v>194</v>
      </c>
      <c r="F7585">
        <v>101801</v>
      </c>
      <c r="G7585">
        <v>0.19</v>
      </c>
      <c r="H7585" t="s">
        <v>10</v>
      </c>
      <c r="I7585" t="s">
        <v>11</v>
      </c>
    </row>
    <row r="7586" spans="1:9" hidden="1" x14ac:dyDescent="0.25">
      <c r="A7586" t="s">
        <v>17</v>
      </c>
      <c r="B7586" t="s">
        <v>119</v>
      </c>
      <c r="C7586">
        <v>202410</v>
      </c>
      <c r="D7586" t="str">
        <f t="shared" si="118"/>
        <v>2024</v>
      </c>
      <c r="E7586">
        <v>285</v>
      </c>
      <c r="F7586">
        <v>101801</v>
      </c>
      <c r="G7586">
        <v>0.28000000000000003</v>
      </c>
      <c r="H7586" t="s">
        <v>10</v>
      </c>
      <c r="I7586" t="s">
        <v>11</v>
      </c>
    </row>
    <row r="7587" spans="1:9" hidden="1" x14ac:dyDescent="0.25">
      <c r="A7587" t="s">
        <v>17</v>
      </c>
      <c r="B7587" t="s">
        <v>119</v>
      </c>
      <c r="C7587">
        <v>202411</v>
      </c>
      <c r="D7587" t="str">
        <f t="shared" si="118"/>
        <v>2024</v>
      </c>
      <c r="E7587">
        <v>266</v>
      </c>
      <c r="F7587">
        <v>101801</v>
      </c>
      <c r="G7587">
        <v>0.26</v>
      </c>
      <c r="H7587" t="s">
        <v>10</v>
      </c>
      <c r="I7587" t="s">
        <v>11</v>
      </c>
    </row>
    <row r="7588" spans="1:9" hidden="1" x14ac:dyDescent="0.25">
      <c r="A7588" t="s">
        <v>17</v>
      </c>
      <c r="B7588" t="s">
        <v>119</v>
      </c>
      <c r="C7588">
        <v>202412</v>
      </c>
      <c r="D7588" t="str">
        <f t="shared" si="118"/>
        <v>2024</v>
      </c>
      <c r="E7588">
        <v>291</v>
      </c>
      <c r="F7588">
        <v>101801</v>
      </c>
      <c r="G7588">
        <v>0.28999999999999998</v>
      </c>
      <c r="H7588" t="s">
        <v>10</v>
      </c>
      <c r="I7588" t="s">
        <v>11</v>
      </c>
    </row>
    <row r="7589" spans="1:9" x14ac:dyDescent="0.25">
      <c r="A7589" t="s">
        <v>17</v>
      </c>
      <c r="B7589" t="s">
        <v>119</v>
      </c>
      <c r="C7589">
        <v>202501</v>
      </c>
      <c r="D7589" t="str">
        <f t="shared" si="118"/>
        <v>2025</v>
      </c>
      <c r="E7589">
        <v>424</v>
      </c>
      <c r="F7589">
        <v>101801</v>
      </c>
      <c r="G7589">
        <v>0.42</v>
      </c>
      <c r="H7589" t="s">
        <v>10</v>
      </c>
      <c r="I7589" t="s">
        <v>11</v>
      </c>
    </row>
    <row r="7590" spans="1:9" x14ac:dyDescent="0.25">
      <c r="A7590" t="s">
        <v>17</v>
      </c>
      <c r="B7590" t="s">
        <v>119</v>
      </c>
      <c r="C7590">
        <v>202502</v>
      </c>
      <c r="D7590" t="str">
        <f t="shared" si="118"/>
        <v>2025</v>
      </c>
      <c r="E7590">
        <v>439</v>
      </c>
      <c r="F7590">
        <v>101801</v>
      </c>
      <c r="G7590">
        <v>0.43</v>
      </c>
      <c r="H7590" t="s">
        <v>10</v>
      </c>
      <c r="I7590" t="s">
        <v>11</v>
      </c>
    </row>
    <row r="7591" spans="1:9" x14ac:dyDescent="0.25">
      <c r="A7591" t="s">
        <v>17</v>
      </c>
      <c r="B7591" t="s">
        <v>119</v>
      </c>
      <c r="C7591">
        <v>202503</v>
      </c>
      <c r="D7591" t="str">
        <f t="shared" si="118"/>
        <v>2025</v>
      </c>
      <c r="E7591">
        <v>584</v>
      </c>
      <c r="F7591">
        <v>101801</v>
      </c>
      <c r="G7591">
        <v>0.56999999999999995</v>
      </c>
      <c r="H7591" t="s">
        <v>10</v>
      </c>
      <c r="I7591" t="s">
        <v>11</v>
      </c>
    </row>
    <row r="7592" spans="1:9" x14ac:dyDescent="0.25">
      <c r="A7592" t="s">
        <v>17</v>
      </c>
      <c r="B7592" t="s">
        <v>119</v>
      </c>
      <c r="C7592">
        <v>202504</v>
      </c>
      <c r="D7592" t="str">
        <f t="shared" si="118"/>
        <v>2025</v>
      </c>
      <c r="E7592">
        <v>1017</v>
      </c>
      <c r="F7592">
        <v>101801</v>
      </c>
      <c r="G7592">
        <v>1</v>
      </c>
      <c r="H7592" t="s">
        <v>10</v>
      </c>
      <c r="I7592" t="s">
        <v>11</v>
      </c>
    </row>
    <row r="7593" spans="1:9" x14ac:dyDescent="0.25">
      <c r="A7593" t="s">
        <v>17</v>
      </c>
      <c r="B7593" t="s">
        <v>119</v>
      </c>
      <c r="C7593">
        <v>202505</v>
      </c>
      <c r="D7593" t="str">
        <f t="shared" si="118"/>
        <v>2025</v>
      </c>
      <c r="E7593">
        <v>1047</v>
      </c>
      <c r="F7593">
        <v>101801</v>
      </c>
      <c r="G7593">
        <v>1.03</v>
      </c>
      <c r="H7593" t="s">
        <v>10</v>
      </c>
      <c r="I7593" t="s">
        <v>11</v>
      </c>
    </row>
    <row r="7594" spans="1:9" x14ac:dyDescent="0.25">
      <c r="A7594" t="s">
        <v>17</v>
      </c>
      <c r="B7594" t="s">
        <v>119</v>
      </c>
      <c r="C7594">
        <v>202506</v>
      </c>
      <c r="D7594" t="str">
        <f t="shared" si="118"/>
        <v>2025</v>
      </c>
      <c r="E7594">
        <v>1063</v>
      </c>
      <c r="F7594">
        <v>101801</v>
      </c>
      <c r="G7594">
        <v>1.04</v>
      </c>
      <c r="H7594" t="s">
        <v>10</v>
      </c>
      <c r="I7594" t="s">
        <v>11</v>
      </c>
    </row>
    <row r="7595" spans="1:9" x14ac:dyDescent="0.25">
      <c r="A7595" t="s">
        <v>17</v>
      </c>
      <c r="B7595" t="s">
        <v>119</v>
      </c>
      <c r="C7595">
        <v>202507</v>
      </c>
      <c r="D7595" t="str">
        <f t="shared" si="118"/>
        <v>2025</v>
      </c>
      <c r="E7595">
        <v>1650</v>
      </c>
      <c r="F7595">
        <v>101801</v>
      </c>
      <c r="G7595">
        <v>1.62</v>
      </c>
      <c r="H7595" t="s">
        <v>10</v>
      </c>
      <c r="I7595" t="s">
        <v>11</v>
      </c>
    </row>
    <row r="7596" spans="1:9" x14ac:dyDescent="0.25">
      <c r="A7596" t="s">
        <v>17</v>
      </c>
      <c r="B7596" t="s">
        <v>119</v>
      </c>
      <c r="C7596">
        <v>202508</v>
      </c>
      <c r="D7596" t="str">
        <f t="shared" si="118"/>
        <v>2025</v>
      </c>
      <c r="E7596">
        <v>2200</v>
      </c>
      <c r="F7596">
        <v>101801</v>
      </c>
      <c r="G7596">
        <v>2.16</v>
      </c>
      <c r="H7596" t="s">
        <v>10</v>
      </c>
      <c r="I7596" t="s">
        <v>11</v>
      </c>
    </row>
    <row r="7597" spans="1:9" x14ac:dyDescent="0.25">
      <c r="A7597" t="s">
        <v>17</v>
      </c>
      <c r="B7597" t="s">
        <v>119</v>
      </c>
      <c r="C7597">
        <v>202509</v>
      </c>
      <c r="D7597" t="str">
        <f t="shared" si="118"/>
        <v>2025</v>
      </c>
      <c r="E7597">
        <v>5527</v>
      </c>
      <c r="F7597">
        <v>101801</v>
      </c>
      <c r="G7597">
        <v>5.43</v>
      </c>
      <c r="H7597" t="s">
        <v>10</v>
      </c>
      <c r="I7597" t="s">
        <v>11</v>
      </c>
    </row>
    <row r="7598" spans="1:9" x14ac:dyDescent="0.25">
      <c r="A7598" t="s">
        <v>17</v>
      </c>
      <c r="B7598" t="s">
        <v>119</v>
      </c>
      <c r="C7598">
        <v>202510</v>
      </c>
      <c r="D7598" t="str">
        <f t="shared" si="118"/>
        <v>2025</v>
      </c>
      <c r="E7598">
        <v>11004</v>
      </c>
      <c r="F7598">
        <v>101801</v>
      </c>
      <c r="G7598">
        <v>10.81</v>
      </c>
      <c r="H7598" t="s">
        <v>10</v>
      </c>
      <c r="I7598" t="s">
        <v>11</v>
      </c>
    </row>
    <row r="7599" spans="1:9" x14ac:dyDescent="0.25">
      <c r="A7599" t="s">
        <v>17</v>
      </c>
      <c r="B7599" t="s">
        <v>119</v>
      </c>
      <c r="C7599">
        <v>202511</v>
      </c>
      <c r="D7599" t="str">
        <f t="shared" si="118"/>
        <v>2025</v>
      </c>
      <c r="E7599">
        <v>39686</v>
      </c>
      <c r="F7599">
        <v>101801</v>
      </c>
      <c r="G7599">
        <v>38.979999999999997</v>
      </c>
      <c r="H7599" t="s">
        <v>10</v>
      </c>
      <c r="I7599" t="s">
        <v>11</v>
      </c>
    </row>
    <row r="7600" spans="1:9" x14ac:dyDescent="0.25">
      <c r="A7600" t="s">
        <v>17</v>
      </c>
      <c r="B7600" t="s">
        <v>119</v>
      </c>
      <c r="C7600">
        <v>202512</v>
      </c>
      <c r="D7600" t="str">
        <f t="shared" si="118"/>
        <v>2025</v>
      </c>
      <c r="E7600">
        <v>34716</v>
      </c>
      <c r="F7600">
        <v>101801</v>
      </c>
      <c r="G7600">
        <v>34.1</v>
      </c>
      <c r="H7600" t="s">
        <v>10</v>
      </c>
      <c r="I7600" t="s">
        <v>11</v>
      </c>
    </row>
    <row r="7601" spans="1:9" hidden="1" x14ac:dyDescent="0.25">
      <c r="A7601" t="s">
        <v>17</v>
      </c>
      <c r="B7601" t="s">
        <v>28</v>
      </c>
      <c r="C7601">
        <v>202211</v>
      </c>
      <c r="D7601" t="str">
        <f t="shared" si="118"/>
        <v>2022</v>
      </c>
      <c r="E7601">
        <v>1</v>
      </c>
      <c r="F7601">
        <v>83784</v>
      </c>
      <c r="G7601">
        <v>0</v>
      </c>
      <c r="H7601" t="s">
        <v>10</v>
      </c>
      <c r="I7601" t="s">
        <v>11</v>
      </c>
    </row>
    <row r="7602" spans="1:9" hidden="1" x14ac:dyDescent="0.25">
      <c r="A7602" t="s">
        <v>17</v>
      </c>
      <c r="B7602" t="s">
        <v>28</v>
      </c>
      <c r="C7602">
        <v>202306</v>
      </c>
      <c r="D7602" t="str">
        <f t="shared" si="118"/>
        <v>2023</v>
      </c>
      <c r="E7602">
        <v>5</v>
      </c>
      <c r="F7602">
        <v>83784</v>
      </c>
      <c r="G7602">
        <v>0.01</v>
      </c>
      <c r="H7602" t="s">
        <v>10</v>
      </c>
      <c r="I7602" t="s">
        <v>11</v>
      </c>
    </row>
    <row r="7603" spans="1:9" hidden="1" x14ac:dyDescent="0.25">
      <c r="A7603" t="s">
        <v>17</v>
      </c>
      <c r="B7603" t="s">
        <v>28</v>
      </c>
      <c r="C7603">
        <v>202307</v>
      </c>
      <c r="D7603" t="str">
        <f t="shared" si="118"/>
        <v>2023</v>
      </c>
      <c r="E7603">
        <v>2</v>
      </c>
      <c r="F7603">
        <v>83784</v>
      </c>
      <c r="G7603">
        <v>0</v>
      </c>
      <c r="H7603" t="s">
        <v>10</v>
      </c>
      <c r="I7603" t="s">
        <v>11</v>
      </c>
    </row>
    <row r="7604" spans="1:9" hidden="1" x14ac:dyDescent="0.25">
      <c r="A7604" t="s">
        <v>17</v>
      </c>
      <c r="B7604" t="s">
        <v>28</v>
      </c>
      <c r="C7604">
        <v>202309</v>
      </c>
      <c r="D7604" t="str">
        <f t="shared" si="118"/>
        <v>2023</v>
      </c>
      <c r="E7604">
        <v>2</v>
      </c>
      <c r="F7604">
        <v>83784</v>
      </c>
      <c r="G7604">
        <v>0</v>
      </c>
      <c r="H7604" t="s">
        <v>10</v>
      </c>
      <c r="I7604" t="s">
        <v>11</v>
      </c>
    </row>
    <row r="7605" spans="1:9" hidden="1" x14ac:dyDescent="0.25">
      <c r="A7605" t="s">
        <v>17</v>
      </c>
      <c r="B7605" t="s">
        <v>28</v>
      </c>
      <c r="C7605">
        <v>202310</v>
      </c>
      <c r="D7605" t="str">
        <f t="shared" si="118"/>
        <v>2023</v>
      </c>
      <c r="E7605">
        <v>1</v>
      </c>
      <c r="F7605">
        <v>83784</v>
      </c>
      <c r="G7605">
        <v>0</v>
      </c>
      <c r="H7605" t="s">
        <v>10</v>
      </c>
      <c r="I7605" t="s">
        <v>11</v>
      </c>
    </row>
    <row r="7606" spans="1:9" hidden="1" x14ac:dyDescent="0.25">
      <c r="A7606" t="s">
        <v>17</v>
      </c>
      <c r="B7606" t="s">
        <v>28</v>
      </c>
      <c r="C7606">
        <v>202311</v>
      </c>
      <c r="D7606" t="str">
        <f t="shared" si="118"/>
        <v>2023</v>
      </c>
      <c r="E7606">
        <v>3</v>
      </c>
      <c r="F7606">
        <v>83784</v>
      </c>
      <c r="G7606">
        <v>0</v>
      </c>
      <c r="H7606" t="s">
        <v>10</v>
      </c>
      <c r="I7606" t="s">
        <v>11</v>
      </c>
    </row>
    <row r="7607" spans="1:9" hidden="1" x14ac:dyDescent="0.25">
      <c r="A7607" t="s">
        <v>17</v>
      </c>
      <c r="B7607" t="s">
        <v>28</v>
      </c>
      <c r="C7607">
        <v>202312</v>
      </c>
      <c r="D7607" t="str">
        <f t="shared" si="118"/>
        <v>2023</v>
      </c>
      <c r="E7607">
        <v>23</v>
      </c>
      <c r="F7607">
        <v>83784</v>
      </c>
      <c r="G7607">
        <v>0.03</v>
      </c>
      <c r="H7607" t="s">
        <v>10</v>
      </c>
      <c r="I7607" t="s">
        <v>11</v>
      </c>
    </row>
    <row r="7608" spans="1:9" hidden="1" x14ac:dyDescent="0.25">
      <c r="A7608" t="s">
        <v>17</v>
      </c>
      <c r="B7608" t="s">
        <v>28</v>
      </c>
      <c r="C7608">
        <v>202401</v>
      </c>
      <c r="D7608" t="str">
        <f t="shared" si="118"/>
        <v>2024</v>
      </c>
      <c r="E7608">
        <v>13</v>
      </c>
      <c r="F7608">
        <v>83784</v>
      </c>
      <c r="G7608">
        <v>0.02</v>
      </c>
      <c r="H7608" t="s">
        <v>10</v>
      </c>
      <c r="I7608" t="s">
        <v>11</v>
      </c>
    </row>
    <row r="7609" spans="1:9" hidden="1" x14ac:dyDescent="0.25">
      <c r="A7609" t="s">
        <v>17</v>
      </c>
      <c r="B7609" t="s">
        <v>28</v>
      </c>
      <c r="C7609">
        <v>202402</v>
      </c>
      <c r="D7609" t="str">
        <f t="shared" si="118"/>
        <v>2024</v>
      </c>
      <c r="E7609">
        <v>24</v>
      </c>
      <c r="F7609">
        <v>83784</v>
      </c>
      <c r="G7609">
        <v>0.03</v>
      </c>
      <c r="H7609" t="s">
        <v>10</v>
      </c>
      <c r="I7609" t="s">
        <v>11</v>
      </c>
    </row>
    <row r="7610" spans="1:9" hidden="1" x14ac:dyDescent="0.25">
      <c r="A7610" t="s">
        <v>17</v>
      </c>
      <c r="B7610" t="s">
        <v>28</v>
      </c>
      <c r="C7610">
        <v>202403</v>
      </c>
      <c r="D7610" t="str">
        <f t="shared" si="118"/>
        <v>2024</v>
      </c>
      <c r="E7610">
        <v>45</v>
      </c>
      <c r="F7610">
        <v>83784</v>
      </c>
      <c r="G7610">
        <v>0.05</v>
      </c>
      <c r="H7610" t="s">
        <v>10</v>
      </c>
      <c r="I7610" t="s">
        <v>11</v>
      </c>
    </row>
    <row r="7611" spans="1:9" hidden="1" x14ac:dyDescent="0.25">
      <c r="A7611" t="s">
        <v>17</v>
      </c>
      <c r="B7611" t="s">
        <v>28</v>
      </c>
      <c r="C7611">
        <v>202404</v>
      </c>
      <c r="D7611" t="str">
        <f t="shared" si="118"/>
        <v>2024</v>
      </c>
      <c r="E7611">
        <v>88</v>
      </c>
      <c r="F7611">
        <v>83784</v>
      </c>
      <c r="G7611">
        <v>0.11</v>
      </c>
      <c r="H7611" t="s">
        <v>10</v>
      </c>
      <c r="I7611" t="s">
        <v>11</v>
      </c>
    </row>
    <row r="7612" spans="1:9" hidden="1" x14ac:dyDescent="0.25">
      <c r="A7612" t="s">
        <v>17</v>
      </c>
      <c r="B7612" t="s">
        <v>28</v>
      </c>
      <c r="C7612">
        <v>202405</v>
      </c>
      <c r="D7612" t="str">
        <f t="shared" si="118"/>
        <v>2024</v>
      </c>
      <c r="E7612">
        <v>147</v>
      </c>
      <c r="F7612">
        <v>83784</v>
      </c>
      <c r="G7612">
        <v>0.18</v>
      </c>
      <c r="H7612" t="s">
        <v>10</v>
      </c>
      <c r="I7612" t="s">
        <v>11</v>
      </c>
    </row>
    <row r="7613" spans="1:9" hidden="1" x14ac:dyDescent="0.25">
      <c r="A7613" t="s">
        <v>17</v>
      </c>
      <c r="B7613" t="s">
        <v>28</v>
      </c>
      <c r="C7613">
        <v>202406</v>
      </c>
      <c r="D7613" t="str">
        <f t="shared" si="118"/>
        <v>2024</v>
      </c>
      <c r="E7613">
        <v>114</v>
      </c>
      <c r="F7613">
        <v>83784</v>
      </c>
      <c r="G7613">
        <v>0.14000000000000001</v>
      </c>
      <c r="H7613" t="s">
        <v>10</v>
      </c>
      <c r="I7613" t="s">
        <v>11</v>
      </c>
    </row>
    <row r="7614" spans="1:9" hidden="1" x14ac:dyDescent="0.25">
      <c r="A7614" t="s">
        <v>17</v>
      </c>
      <c r="B7614" t="s">
        <v>28</v>
      </c>
      <c r="C7614">
        <v>202407</v>
      </c>
      <c r="D7614" t="str">
        <f t="shared" si="118"/>
        <v>2024</v>
      </c>
      <c r="E7614">
        <v>104</v>
      </c>
      <c r="F7614">
        <v>83784</v>
      </c>
      <c r="G7614">
        <v>0.12</v>
      </c>
      <c r="H7614" t="s">
        <v>10</v>
      </c>
      <c r="I7614" t="s">
        <v>11</v>
      </c>
    </row>
    <row r="7615" spans="1:9" hidden="1" x14ac:dyDescent="0.25">
      <c r="A7615" t="s">
        <v>17</v>
      </c>
      <c r="B7615" t="s">
        <v>28</v>
      </c>
      <c r="C7615">
        <v>202408</v>
      </c>
      <c r="D7615" t="str">
        <f t="shared" si="118"/>
        <v>2024</v>
      </c>
      <c r="E7615">
        <v>193</v>
      </c>
      <c r="F7615">
        <v>83784</v>
      </c>
      <c r="G7615">
        <v>0.23</v>
      </c>
      <c r="H7615" t="s">
        <v>10</v>
      </c>
      <c r="I7615" t="s">
        <v>11</v>
      </c>
    </row>
    <row r="7616" spans="1:9" hidden="1" x14ac:dyDescent="0.25">
      <c r="A7616" t="s">
        <v>17</v>
      </c>
      <c r="B7616" t="s">
        <v>28</v>
      </c>
      <c r="C7616">
        <v>202409</v>
      </c>
      <c r="D7616" t="str">
        <f t="shared" si="118"/>
        <v>2024</v>
      </c>
      <c r="E7616">
        <v>162</v>
      </c>
      <c r="F7616">
        <v>83784</v>
      </c>
      <c r="G7616">
        <v>0.19</v>
      </c>
      <c r="H7616" t="s">
        <v>10</v>
      </c>
      <c r="I7616" t="s">
        <v>11</v>
      </c>
    </row>
    <row r="7617" spans="1:9" hidden="1" x14ac:dyDescent="0.25">
      <c r="A7617" t="s">
        <v>17</v>
      </c>
      <c r="B7617" t="s">
        <v>28</v>
      </c>
      <c r="C7617">
        <v>202410</v>
      </c>
      <c r="D7617" t="str">
        <f t="shared" si="118"/>
        <v>2024</v>
      </c>
      <c r="E7617">
        <v>142</v>
      </c>
      <c r="F7617">
        <v>83784</v>
      </c>
      <c r="G7617">
        <v>0.17</v>
      </c>
      <c r="H7617" t="s">
        <v>10</v>
      </c>
      <c r="I7617" t="s">
        <v>11</v>
      </c>
    </row>
    <row r="7618" spans="1:9" hidden="1" x14ac:dyDescent="0.25">
      <c r="A7618" t="s">
        <v>17</v>
      </c>
      <c r="B7618" t="s">
        <v>28</v>
      </c>
      <c r="C7618">
        <v>202411</v>
      </c>
      <c r="D7618" t="str">
        <f t="shared" si="118"/>
        <v>2024</v>
      </c>
      <c r="E7618">
        <v>193</v>
      </c>
      <c r="F7618">
        <v>83784</v>
      </c>
      <c r="G7618">
        <v>0.23</v>
      </c>
      <c r="H7618" t="s">
        <v>10</v>
      </c>
      <c r="I7618" t="s">
        <v>11</v>
      </c>
    </row>
    <row r="7619" spans="1:9" hidden="1" x14ac:dyDescent="0.25">
      <c r="A7619" t="s">
        <v>17</v>
      </c>
      <c r="B7619" t="s">
        <v>28</v>
      </c>
      <c r="C7619">
        <v>202412</v>
      </c>
      <c r="D7619" t="str">
        <f t="shared" ref="D7619:D7682" si="119">LEFT(C7619,4)</f>
        <v>2024</v>
      </c>
      <c r="E7619">
        <v>267</v>
      </c>
      <c r="F7619">
        <v>83784</v>
      </c>
      <c r="G7619">
        <v>0.32</v>
      </c>
      <c r="H7619" t="s">
        <v>10</v>
      </c>
      <c r="I7619" t="s">
        <v>11</v>
      </c>
    </row>
    <row r="7620" spans="1:9" x14ac:dyDescent="0.25">
      <c r="A7620" t="s">
        <v>17</v>
      </c>
      <c r="B7620" t="s">
        <v>28</v>
      </c>
      <c r="C7620">
        <v>202501</v>
      </c>
      <c r="D7620" t="str">
        <f t="shared" si="119"/>
        <v>2025</v>
      </c>
      <c r="E7620">
        <v>435</v>
      </c>
      <c r="F7620">
        <v>83784</v>
      </c>
      <c r="G7620">
        <v>0.52</v>
      </c>
      <c r="H7620" t="s">
        <v>10</v>
      </c>
      <c r="I7620" t="s">
        <v>11</v>
      </c>
    </row>
    <row r="7621" spans="1:9" x14ac:dyDescent="0.25">
      <c r="A7621" t="s">
        <v>17</v>
      </c>
      <c r="B7621" t="s">
        <v>28</v>
      </c>
      <c r="C7621">
        <v>202502</v>
      </c>
      <c r="D7621" t="str">
        <f t="shared" si="119"/>
        <v>2025</v>
      </c>
      <c r="E7621">
        <v>357</v>
      </c>
      <c r="F7621">
        <v>83784</v>
      </c>
      <c r="G7621">
        <v>0.43</v>
      </c>
      <c r="H7621" t="s">
        <v>10</v>
      </c>
      <c r="I7621" t="s">
        <v>11</v>
      </c>
    </row>
    <row r="7622" spans="1:9" x14ac:dyDescent="0.25">
      <c r="A7622" t="s">
        <v>17</v>
      </c>
      <c r="B7622" t="s">
        <v>28</v>
      </c>
      <c r="C7622">
        <v>202503</v>
      </c>
      <c r="D7622" t="str">
        <f t="shared" si="119"/>
        <v>2025</v>
      </c>
      <c r="E7622">
        <v>543</v>
      </c>
      <c r="F7622">
        <v>83784</v>
      </c>
      <c r="G7622">
        <v>0.65</v>
      </c>
      <c r="H7622" t="s">
        <v>10</v>
      </c>
      <c r="I7622" t="s">
        <v>11</v>
      </c>
    </row>
    <row r="7623" spans="1:9" x14ac:dyDescent="0.25">
      <c r="A7623" t="s">
        <v>17</v>
      </c>
      <c r="B7623" t="s">
        <v>28</v>
      </c>
      <c r="C7623">
        <v>202504</v>
      </c>
      <c r="D7623" t="str">
        <f t="shared" si="119"/>
        <v>2025</v>
      </c>
      <c r="E7623">
        <v>477</v>
      </c>
      <c r="F7623">
        <v>83784</v>
      </c>
      <c r="G7623">
        <v>0.56999999999999995</v>
      </c>
      <c r="H7623" t="s">
        <v>10</v>
      </c>
      <c r="I7623" t="s">
        <v>11</v>
      </c>
    </row>
    <row r="7624" spans="1:9" x14ac:dyDescent="0.25">
      <c r="A7624" t="s">
        <v>17</v>
      </c>
      <c r="B7624" t="s">
        <v>28</v>
      </c>
      <c r="C7624">
        <v>202505</v>
      </c>
      <c r="D7624" t="str">
        <f t="shared" si="119"/>
        <v>2025</v>
      </c>
      <c r="E7624">
        <v>703</v>
      </c>
      <c r="F7624">
        <v>83784</v>
      </c>
      <c r="G7624">
        <v>0.84</v>
      </c>
      <c r="H7624" t="s">
        <v>10</v>
      </c>
      <c r="I7624" t="s">
        <v>11</v>
      </c>
    </row>
    <row r="7625" spans="1:9" x14ac:dyDescent="0.25">
      <c r="A7625" t="s">
        <v>17</v>
      </c>
      <c r="B7625" t="s">
        <v>28</v>
      </c>
      <c r="C7625">
        <v>202506</v>
      </c>
      <c r="D7625" t="str">
        <f t="shared" si="119"/>
        <v>2025</v>
      </c>
      <c r="E7625">
        <v>923</v>
      </c>
      <c r="F7625">
        <v>83784</v>
      </c>
      <c r="G7625">
        <v>1.1000000000000001</v>
      </c>
      <c r="H7625" t="s">
        <v>10</v>
      </c>
      <c r="I7625" t="s">
        <v>11</v>
      </c>
    </row>
    <row r="7626" spans="1:9" x14ac:dyDescent="0.25">
      <c r="A7626" t="s">
        <v>17</v>
      </c>
      <c r="B7626" t="s">
        <v>28</v>
      </c>
      <c r="C7626">
        <v>202507</v>
      </c>
      <c r="D7626" t="str">
        <f t="shared" si="119"/>
        <v>2025</v>
      </c>
      <c r="E7626">
        <v>844</v>
      </c>
      <c r="F7626">
        <v>83784</v>
      </c>
      <c r="G7626">
        <v>1.01</v>
      </c>
      <c r="H7626" t="s">
        <v>10</v>
      </c>
      <c r="I7626" t="s">
        <v>11</v>
      </c>
    </row>
    <row r="7627" spans="1:9" x14ac:dyDescent="0.25">
      <c r="A7627" t="s">
        <v>17</v>
      </c>
      <c r="B7627" t="s">
        <v>28</v>
      </c>
      <c r="C7627">
        <v>202508</v>
      </c>
      <c r="D7627" t="str">
        <f t="shared" si="119"/>
        <v>2025</v>
      </c>
      <c r="E7627">
        <v>728</v>
      </c>
      <c r="F7627">
        <v>83784</v>
      </c>
      <c r="G7627">
        <v>0.87</v>
      </c>
      <c r="H7627" t="s">
        <v>10</v>
      </c>
      <c r="I7627" t="s">
        <v>11</v>
      </c>
    </row>
    <row r="7628" spans="1:9" x14ac:dyDescent="0.25">
      <c r="A7628" t="s">
        <v>17</v>
      </c>
      <c r="B7628" t="s">
        <v>28</v>
      </c>
      <c r="C7628">
        <v>202509</v>
      </c>
      <c r="D7628" t="str">
        <f t="shared" si="119"/>
        <v>2025</v>
      </c>
      <c r="E7628">
        <v>2090</v>
      </c>
      <c r="F7628">
        <v>83784</v>
      </c>
      <c r="G7628">
        <v>2.4900000000000002</v>
      </c>
      <c r="H7628" t="s">
        <v>10</v>
      </c>
      <c r="I7628" t="s">
        <v>11</v>
      </c>
    </row>
    <row r="7629" spans="1:9" x14ac:dyDescent="0.25">
      <c r="A7629" t="s">
        <v>17</v>
      </c>
      <c r="B7629" t="s">
        <v>28</v>
      </c>
      <c r="C7629">
        <v>202510</v>
      </c>
      <c r="D7629" t="str">
        <f t="shared" si="119"/>
        <v>2025</v>
      </c>
      <c r="E7629">
        <v>3077</v>
      </c>
      <c r="F7629">
        <v>83784</v>
      </c>
      <c r="G7629">
        <v>3.67</v>
      </c>
      <c r="H7629" t="s">
        <v>10</v>
      </c>
      <c r="I7629" t="s">
        <v>11</v>
      </c>
    </row>
    <row r="7630" spans="1:9" x14ac:dyDescent="0.25">
      <c r="A7630" t="s">
        <v>17</v>
      </c>
      <c r="B7630" t="s">
        <v>28</v>
      </c>
      <c r="C7630">
        <v>202511</v>
      </c>
      <c r="D7630" t="str">
        <f t="shared" si="119"/>
        <v>2025</v>
      </c>
      <c r="E7630">
        <v>5284</v>
      </c>
      <c r="F7630">
        <v>83784</v>
      </c>
      <c r="G7630">
        <v>6.31</v>
      </c>
      <c r="H7630" t="s">
        <v>10</v>
      </c>
      <c r="I7630" t="s">
        <v>11</v>
      </c>
    </row>
    <row r="7631" spans="1:9" x14ac:dyDescent="0.25">
      <c r="A7631" t="s">
        <v>17</v>
      </c>
      <c r="B7631" t="s">
        <v>28</v>
      </c>
      <c r="C7631">
        <v>202512</v>
      </c>
      <c r="D7631" t="str">
        <f t="shared" si="119"/>
        <v>2025</v>
      </c>
      <c r="E7631">
        <v>33494</v>
      </c>
      <c r="F7631">
        <v>83784</v>
      </c>
      <c r="G7631">
        <v>39.979999999999997</v>
      </c>
      <c r="H7631" t="s">
        <v>10</v>
      </c>
      <c r="I7631" t="s">
        <v>11</v>
      </c>
    </row>
    <row r="7632" spans="1:9" x14ac:dyDescent="0.25">
      <c r="A7632" t="s">
        <v>17</v>
      </c>
      <c r="B7632" t="s">
        <v>28</v>
      </c>
      <c r="C7632">
        <v>202601</v>
      </c>
      <c r="D7632" t="str">
        <f t="shared" si="119"/>
        <v>2026</v>
      </c>
      <c r="E7632">
        <v>33300</v>
      </c>
      <c r="F7632">
        <v>83784</v>
      </c>
      <c r="G7632">
        <v>39.75</v>
      </c>
      <c r="H7632" t="s">
        <v>10</v>
      </c>
      <c r="I7632" t="s">
        <v>11</v>
      </c>
    </row>
    <row r="7633" spans="1:9" hidden="1" x14ac:dyDescent="0.25">
      <c r="A7633" t="s">
        <v>17</v>
      </c>
      <c r="B7633" t="s">
        <v>47</v>
      </c>
      <c r="C7633">
        <v>202304</v>
      </c>
      <c r="D7633" t="str">
        <f t="shared" si="119"/>
        <v>2023</v>
      </c>
      <c r="E7633">
        <v>1</v>
      </c>
      <c r="F7633">
        <v>79405</v>
      </c>
      <c r="G7633">
        <v>0</v>
      </c>
      <c r="H7633" t="s">
        <v>10</v>
      </c>
      <c r="I7633" t="s">
        <v>11</v>
      </c>
    </row>
    <row r="7634" spans="1:9" hidden="1" x14ac:dyDescent="0.25">
      <c r="A7634" t="s">
        <v>17</v>
      </c>
      <c r="B7634" t="s">
        <v>47</v>
      </c>
      <c r="C7634">
        <v>202305</v>
      </c>
      <c r="D7634" t="str">
        <f t="shared" si="119"/>
        <v>2023</v>
      </c>
      <c r="E7634">
        <v>28</v>
      </c>
      <c r="F7634">
        <v>79405</v>
      </c>
      <c r="G7634">
        <v>0.04</v>
      </c>
      <c r="H7634" t="s">
        <v>10</v>
      </c>
      <c r="I7634" t="s">
        <v>11</v>
      </c>
    </row>
    <row r="7635" spans="1:9" hidden="1" x14ac:dyDescent="0.25">
      <c r="A7635" t="s">
        <v>17</v>
      </c>
      <c r="B7635" t="s">
        <v>47</v>
      </c>
      <c r="C7635">
        <v>202306</v>
      </c>
      <c r="D7635" t="str">
        <f t="shared" si="119"/>
        <v>2023</v>
      </c>
      <c r="E7635">
        <v>8</v>
      </c>
      <c r="F7635">
        <v>79405</v>
      </c>
      <c r="G7635">
        <v>0.01</v>
      </c>
      <c r="H7635" t="s">
        <v>10</v>
      </c>
      <c r="I7635" t="s">
        <v>11</v>
      </c>
    </row>
    <row r="7636" spans="1:9" hidden="1" x14ac:dyDescent="0.25">
      <c r="A7636" t="s">
        <v>17</v>
      </c>
      <c r="B7636" t="s">
        <v>47</v>
      </c>
      <c r="C7636">
        <v>202307</v>
      </c>
      <c r="D7636" t="str">
        <f t="shared" si="119"/>
        <v>2023</v>
      </c>
      <c r="E7636">
        <v>9</v>
      </c>
      <c r="F7636">
        <v>79405</v>
      </c>
      <c r="G7636">
        <v>0.01</v>
      </c>
      <c r="H7636" t="s">
        <v>10</v>
      </c>
      <c r="I7636" t="s">
        <v>11</v>
      </c>
    </row>
    <row r="7637" spans="1:9" hidden="1" x14ac:dyDescent="0.25">
      <c r="A7637" t="s">
        <v>17</v>
      </c>
      <c r="B7637" t="s">
        <v>47</v>
      </c>
      <c r="C7637">
        <v>202308</v>
      </c>
      <c r="D7637" t="str">
        <f t="shared" si="119"/>
        <v>2023</v>
      </c>
      <c r="E7637">
        <v>33</v>
      </c>
      <c r="F7637">
        <v>79405</v>
      </c>
      <c r="G7637">
        <v>0.04</v>
      </c>
      <c r="H7637" t="s">
        <v>10</v>
      </c>
      <c r="I7637" t="s">
        <v>11</v>
      </c>
    </row>
    <row r="7638" spans="1:9" hidden="1" x14ac:dyDescent="0.25">
      <c r="A7638" t="s">
        <v>17</v>
      </c>
      <c r="B7638" t="s">
        <v>47</v>
      </c>
      <c r="C7638">
        <v>202309</v>
      </c>
      <c r="D7638" t="str">
        <f t="shared" si="119"/>
        <v>2023</v>
      </c>
      <c r="E7638">
        <v>11</v>
      </c>
      <c r="F7638">
        <v>79405</v>
      </c>
      <c r="G7638">
        <v>0.01</v>
      </c>
      <c r="H7638" t="s">
        <v>10</v>
      </c>
      <c r="I7638" t="s">
        <v>11</v>
      </c>
    </row>
    <row r="7639" spans="1:9" hidden="1" x14ac:dyDescent="0.25">
      <c r="A7639" t="s">
        <v>17</v>
      </c>
      <c r="B7639" t="s">
        <v>47</v>
      </c>
      <c r="C7639">
        <v>202310</v>
      </c>
      <c r="D7639" t="str">
        <f t="shared" si="119"/>
        <v>2023</v>
      </c>
      <c r="E7639">
        <v>22</v>
      </c>
      <c r="F7639">
        <v>79405</v>
      </c>
      <c r="G7639">
        <v>0.03</v>
      </c>
      <c r="H7639" t="s">
        <v>10</v>
      </c>
      <c r="I7639" t="s">
        <v>11</v>
      </c>
    </row>
    <row r="7640" spans="1:9" hidden="1" x14ac:dyDescent="0.25">
      <c r="A7640" t="s">
        <v>17</v>
      </c>
      <c r="B7640" t="s">
        <v>47</v>
      </c>
      <c r="C7640">
        <v>202311</v>
      </c>
      <c r="D7640" t="str">
        <f t="shared" si="119"/>
        <v>2023</v>
      </c>
      <c r="E7640">
        <v>14</v>
      </c>
      <c r="F7640">
        <v>79405</v>
      </c>
      <c r="G7640">
        <v>0.02</v>
      </c>
      <c r="H7640" t="s">
        <v>10</v>
      </c>
      <c r="I7640" t="s">
        <v>11</v>
      </c>
    </row>
    <row r="7641" spans="1:9" hidden="1" x14ac:dyDescent="0.25">
      <c r="A7641" t="s">
        <v>17</v>
      </c>
      <c r="B7641" t="s">
        <v>47</v>
      </c>
      <c r="C7641">
        <v>202312</v>
      </c>
      <c r="D7641" t="str">
        <f t="shared" si="119"/>
        <v>2023</v>
      </c>
      <c r="E7641">
        <v>9</v>
      </c>
      <c r="F7641">
        <v>79405</v>
      </c>
      <c r="G7641">
        <v>0.01</v>
      </c>
      <c r="H7641" t="s">
        <v>10</v>
      </c>
      <c r="I7641" t="s">
        <v>11</v>
      </c>
    </row>
    <row r="7642" spans="1:9" hidden="1" x14ac:dyDescent="0.25">
      <c r="A7642" t="s">
        <v>17</v>
      </c>
      <c r="B7642" t="s">
        <v>47</v>
      </c>
      <c r="C7642">
        <v>202401</v>
      </c>
      <c r="D7642" t="str">
        <f t="shared" si="119"/>
        <v>2024</v>
      </c>
      <c r="E7642">
        <v>5</v>
      </c>
      <c r="F7642">
        <v>79405</v>
      </c>
      <c r="G7642">
        <v>0.01</v>
      </c>
      <c r="H7642" t="s">
        <v>10</v>
      </c>
      <c r="I7642" t="s">
        <v>11</v>
      </c>
    </row>
    <row r="7643" spans="1:9" hidden="1" x14ac:dyDescent="0.25">
      <c r="A7643" t="s">
        <v>17</v>
      </c>
      <c r="B7643" t="s">
        <v>47</v>
      </c>
      <c r="C7643">
        <v>202402</v>
      </c>
      <c r="D7643" t="str">
        <f t="shared" si="119"/>
        <v>2024</v>
      </c>
      <c r="E7643">
        <v>16</v>
      </c>
      <c r="F7643">
        <v>79405</v>
      </c>
      <c r="G7643">
        <v>0.02</v>
      </c>
      <c r="H7643" t="s">
        <v>10</v>
      </c>
      <c r="I7643" t="s">
        <v>11</v>
      </c>
    </row>
    <row r="7644" spans="1:9" hidden="1" x14ac:dyDescent="0.25">
      <c r="A7644" t="s">
        <v>17</v>
      </c>
      <c r="B7644" t="s">
        <v>47</v>
      </c>
      <c r="C7644">
        <v>202403</v>
      </c>
      <c r="D7644" t="str">
        <f t="shared" si="119"/>
        <v>2024</v>
      </c>
      <c r="E7644">
        <v>24</v>
      </c>
      <c r="F7644">
        <v>79405</v>
      </c>
      <c r="G7644">
        <v>0.03</v>
      </c>
      <c r="H7644" t="s">
        <v>10</v>
      </c>
      <c r="I7644" t="s">
        <v>11</v>
      </c>
    </row>
    <row r="7645" spans="1:9" hidden="1" x14ac:dyDescent="0.25">
      <c r="A7645" t="s">
        <v>17</v>
      </c>
      <c r="B7645" t="s">
        <v>47</v>
      </c>
      <c r="C7645">
        <v>202404</v>
      </c>
      <c r="D7645" t="str">
        <f t="shared" si="119"/>
        <v>2024</v>
      </c>
      <c r="E7645">
        <v>37</v>
      </c>
      <c r="F7645">
        <v>79405</v>
      </c>
      <c r="G7645">
        <v>0.05</v>
      </c>
      <c r="H7645" t="s">
        <v>10</v>
      </c>
      <c r="I7645" t="s">
        <v>11</v>
      </c>
    </row>
    <row r="7646" spans="1:9" hidden="1" x14ac:dyDescent="0.25">
      <c r="A7646" t="s">
        <v>17</v>
      </c>
      <c r="B7646" t="s">
        <v>47</v>
      </c>
      <c r="C7646">
        <v>202405</v>
      </c>
      <c r="D7646" t="str">
        <f t="shared" si="119"/>
        <v>2024</v>
      </c>
      <c r="E7646">
        <v>17</v>
      </c>
      <c r="F7646">
        <v>79405</v>
      </c>
      <c r="G7646">
        <v>0.02</v>
      </c>
      <c r="H7646" t="s">
        <v>10</v>
      </c>
      <c r="I7646" t="s">
        <v>11</v>
      </c>
    </row>
    <row r="7647" spans="1:9" hidden="1" x14ac:dyDescent="0.25">
      <c r="A7647" t="s">
        <v>17</v>
      </c>
      <c r="B7647" t="s">
        <v>47</v>
      </c>
      <c r="C7647">
        <v>202406</v>
      </c>
      <c r="D7647" t="str">
        <f t="shared" si="119"/>
        <v>2024</v>
      </c>
      <c r="E7647">
        <v>53</v>
      </c>
      <c r="F7647">
        <v>79405</v>
      </c>
      <c r="G7647">
        <v>7.0000000000000007E-2</v>
      </c>
      <c r="H7647" t="s">
        <v>10</v>
      </c>
      <c r="I7647" t="s">
        <v>11</v>
      </c>
    </row>
    <row r="7648" spans="1:9" hidden="1" x14ac:dyDescent="0.25">
      <c r="A7648" t="s">
        <v>17</v>
      </c>
      <c r="B7648" t="s">
        <v>47</v>
      </c>
      <c r="C7648">
        <v>202407</v>
      </c>
      <c r="D7648" t="str">
        <f t="shared" si="119"/>
        <v>2024</v>
      </c>
      <c r="E7648">
        <v>58</v>
      </c>
      <c r="F7648">
        <v>79405</v>
      </c>
      <c r="G7648">
        <v>7.0000000000000007E-2</v>
      </c>
      <c r="H7648" t="s">
        <v>10</v>
      </c>
      <c r="I7648" t="s">
        <v>11</v>
      </c>
    </row>
    <row r="7649" spans="1:9" hidden="1" x14ac:dyDescent="0.25">
      <c r="A7649" t="s">
        <v>17</v>
      </c>
      <c r="B7649" t="s">
        <v>47</v>
      </c>
      <c r="C7649">
        <v>202408</v>
      </c>
      <c r="D7649" t="str">
        <f t="shared" si="119"/>
        <v>2024</v>
      </c>
      <c r="E7649">
        <v>46</v>
      </c>
      <c r="F7649">
        <v>79405</v>
      </c>
      <c r="G7649">
        <v>0.06</v>
      </c>
      <c r="H7649" t="s">
        <v>10</v>
      </c>
      <c r="I7649" t="s">
        <v>11</v>
      </c>
    </row>
    <row r="7650" spans="1:9" hidden="1" x14ac:dyDescent="0.25">
      <c r="A7650" t="s">
        <v>17</v>
      </c>
      <c r="B7650" t="s">
        <v>47</v>
      </c>
      <c r="C7650">
        <v>202409</v>
      </c>
      <c r="D7650" t="str">
        <f t="shared" si="119"/>
        <v>2024</v>
      </c>
      <c r="E7650">
        <v>75</v>
      </c>
      <c r="F7650">
        <v>79405</v>
      </c>
      <c r="G7650">
        <v>0.09</v>
      </c>
      <c r="H7650" t="s">
        <v>10</v>
      </c>
      <c r="I7650" t="s">
        <v>11</v>
      </c>
    </row>
    <row r="7651" spans="1:9" hidden="1" x14ac:dyDescent="0.25">
      <c r="A7651" t="s">
        <v>17</v>
      </c>
      <c r="B7651" t="s">
        <v>47</v>
      </c>
      <c r="C7651">
        <v>202410</v>
      </c>
      <c r="D7651" t="str">
        <f t="shared" si="119"/>
        <v>2024</v>
      </c>
      <c r="E7651">
        <v>73</v>
      </c>
      <c r="F7651">
        <v>79405</v>
      </c>
      <c r="G7651">
        <v>0.09</v>
      </c>
      <c r="H7651" t="s">
        <v>10</v>
      </c>
      <c r="I7651" t="s">
        <v>11</v>
      </c>
    </row>
    <row r="7652" spans="1:9" hidden="1" x14ac:dyDescent="0.25">
      <c r="A7652" t="s">
        <v>17</v>
      </c>
      <c r="B7652" t="s">
        <v>47</v>
      </c>
      <c r="C7652">
        <v>202411</v>
      </c>
      <c r="D7652" t="str">
        <f t="shared" si="119"/>
        <v>2024</v>
      </c>
      <c r="E7652">
        <v>36</v>
      </c>
      <c r="F7652">
        <v>79405</v>
      </c>
      <c r="G7652">
        <v>0.05</v>
      </c>
      <c r="H7652" t="s">
        <v>10</v>
      </c>
      <c r="I7652" t="s">
        <v>11</v>
      </c>
    </row>
    <row r="7653" spans="1:9" hidden="1" x14ac:dyDescent="0.25">
      <c r="A7653" t="s">
        <v>17</v>
      </c>
      <c r="B7653" t="s">
        <v>47</v>
      </c>
      <c r="C7653">
        <v>202412</v>
      </c>
      <c r="D7653" t="str">
        <f t="shared" si="119"/>
        <v>2024</v>
      </c>
      <c r="E7653">
        <v>68</v>
      </c>
      <c r="F7653">
        <v>79405</v>
      </c>
      <c r="G7653">
        <v>0.09</v>
      </c>
      <c r="H7653" t="s">
        <v>10</v>
      </c>
      <c r="I7653" t="s">
        <v>11</v>
      </c>
    </row>
    <row r="7654" spans="1:9" x14ac:dyDescent="0.25">
      <c r="A7654" t="s">
        <v>17</v>
      </c>
      <c r="B7654" t="s">
        <v>47</v>
      </c>
      <c r="C7654">
        <v>202501</v>
      </c>
      <c r="D7654" t="str">
        <f t="shared" si="119"/>
        <v>2025</v>
      </c>
      <c r="E7654">
        <v>200</v>
      </c>
      <c r="F7654">
        <v>79405</v>
      </c>
      <c r="G7654">
        <v>0.25</v>
      </c>
      <c r="H7654" t="s">
        <v>10</v>
      </c>
      <c r="I7654" t="s">
        <v>11</v>
      </c>
    </row>
    <row r="7655" spans="1:9" x14ac:dyDescent="0.25">
      <c r="A7655" t="s">
        <v>17</v>
      </c>
      <c r="B7655" t="s">
        <v>47</v>
      </c>
      <c r="C7655">
        <v>202502</v>
      </c>
      <c r="D7655" t="str">
        <f t="shared" si="119"/>
        <v>2025</v>
      </c>
      <c r="E7655">
        <v>304</v>
      </c>
      <c r="F7655">
        <v>79405</v>
      </c>
      <c r="G7655">
        <v>0.38</v>
      </c>
      <c r="H7655" t="s">
        <v>10</v>
      </c>
      <c r="I7655" t="s">
        <v>11</v>
      </c>
    </row>
    <row r="7656" spans="1:9" x14ac:dyDescent="0.25">
      <c r="A7656" t="s">
        <v>17</v>
      </c>
      <c r="B7656" t="s">
        <v>47</v>
      </c>
      <c r="C7656">
        <v>202503</v>
      </c>
      <c r="D7656" t="str">
        <f t="shared" si="119"/>
        <v>2025</v>
      </c>
      <c r="E7656">
        <v>447</v>
      </c>
      <c r="F7656">
        <v>79405</v>
      </c>
      <c r="G7656">
        <v>0.56000000000000005</v>
      </c>
      <c r="H7656" t="s">
        <v>10</v>
      </c>
      <c r="I7656" t="s">
        <v>11</v>
      </c>
    </row>
    <row r="7657" spans="1:9" x14ac:dyDescent="0.25">
      <c r="A7657" t="s">
        <v>17</v>
      </c>
      <c r="B7657" t="s">
        <v>47</v>
      </c>
      <c r="C7657">
        <v>202504</v>
      </c>
      <c r="D7657" t="str">
        <f t="shared" si="119"/>
        <v>2025</v>
      </c>
      <c r="E7657">
        <v>322</v>
      </c>
      <c r="F7657">
        <v>79405</v>
      </c>
      <c r="G7657">
        <v>0.41</v>
      </c>
      <c r="H7657" t="s">
        <v>10</v>
      </c>
      <c r="I7657" t="s">
        <v>11</v>
      </c>
    </row>
    <row r="7658" spans="1:9" x14ac:dyDescent="0.25">
      <c r="A7658" t="s">
        <v>17</v>
      </c>
      <c r="B7658" t="s">
        <v>47</v>
      </c>
      <c r="C7658">
        <v>202505</v>
      </c>
      <c r="D7658" t="str">
        <f t="shared" si="119"/>
        <v>2025</v>
      </c>
      <c r="E7658">
        <v>445</v>
      </c>
      <c r="F7658">
        <v>79405</v>
      </c>
      <c r="G7658">
        <v>0.56000000000000005</v>
      </c>
      <c r="H7658" t="s">
        <v>10</v>
      </c>
      <c r="I7658" t="s">
        <v>11</v>
      </c>
    </row>
    <row r="7659" spans="1:9" x14ac:dyDescent="0.25">
      <c r="A7659" t="s">
        <v>17</v>
      </c>
      <c r="B7659" t="s">
        <v>47</v>
      </c>
      <c r="C7659">
        <v>202506</v>
      </c>
      <c r="D7659" t="str">
        <f t="shared" si="119"/>
        <v>2025</v>
      </c>
      <c r="E7659">
        <v>521</v>
      </c>
      <c r="F7659">
        <v>79405</v>
      </c>
      <c r="G7659">
        <v>0.66</v>
      </c>
      <c r="H7659" t="s">
        <v>10</v>
      </c>
      <c r="I7659" t="s">
        <v>11</v>
      </c>
    </row>
    <row r="7660" spans="1:9" x14ac:dyDescent="0.25">
      <c r="A7660" t="s">
        <v>17</v>
      </c>
      <c r="B7660" t="s">
        <v>47</v>
      </c>
      <c r="C7660">
        <v>202507</v>
      </c>
      <c r="D7660" t="str">
        <f t="shared" si="119"/>
        <v>2025</v>
      </c>
      <c r="E7660">
        <v>463</v>
      </c>
      <c r="F7660">
        <v>79405</v>
      </c>
      <c r="G7660">
        <v>0.57999999999999996</v>
      </c>
      <c r="H7660" t="s">
        <v>10</v>
      </c>
      <c r="I7660" t="s">
        <v>11</v>
      </c>
    </row>
    <row r="7661" spans="1:9" x14ac:dyDescent="0.25">
      <c r="A7661" t="s">
        <v>17</v>
      </c>
      <c r="B7661" t="s">
        <v>47</v>
      </c>
      <c r="C7661">
        <v>202508</v>
      </c>
      <c r="D7661" t="str">
        <f t="shared" si="119"/>
        <v>2025</v>
      </c>
      <c r="E7661">
        <v>452</v>
      </c>
      <c r="F7661">
        <v>79405</v>
      </c>
      <c r="G7661">
        <v>0.56999999999999995</v>
      </c>
      <c r="H7661" t="s">
        <v>10</v>
      </c>
      <c r="I7661" t="s">
        <v>11</v>
      </c>
    </row>
    <row r="7662" spans="1:9" x14ac:dyDescent="0.25">
      <c r="A7662" t="s">
        <v>17</v>
      </c>
      <c r="B7662" t="s">
        <v>47</v>
      </c>
      <c r="C7662">
        <v>202509</v>
      </c>
      <c r="D7662" t="str">
        <f t="shared" si="119"/>
        <v>2025</v>
      </c>
      <c r="E7662">
        <v>686</v>
      </c>
      <c r="F7662">
        <v>79405</v>
      </c>
      <c r="G7662">
        <v>0.86</v>
      </c>
      <c r="H7662" t="s">
        <v>10</v>
      </c>
      <c r="I7662" t="s">
        <v>11</v>
      </c>
    </row>
    <row r="7663" spans="1:9" x14ac:dyDescent="0.25">
      <c r="A7663" t="s">
        <v>17</v>
      </c>
      <c r="B7663" t="s">
        <v>47</v>
      </c>
      <c r="C7663">
        <v>202510</v>
      </c>
      <c r="D7663" t="str">
        <f t="shared" si="119"/>
        <v>2025</v>
      </c>
      <c r="E7663">
        <v>940</v>
      </c>
      <c r="F7663">
        <v>79405</v>
      </c>
      <c r="G7663">
        <v>1.18</v>
      </c>
      <c r="H7663" t="s">
        <v>10</v>
      </c>
      <c r="I7663" t="s">
        <v>11</v>
      </c>
    </row>
    <row r="7664" spans="1:9" x14ac:dyDescent="0.25">
      <c r="A7664" t="s">
        <v>17</v>
      </c>
      <c r="B7664" t="s">
        <v>47</v>
      </c>
      <c r="C7664">
        <v>202511</v>
      </c>
      <c r="D7664" t="str">
        <f t="shared" si="119"/>
        <v>2025</v>
      </c>
      <c r="E7664">
        <v>1123</v>
      </c>
      <c r="F7664">
        <v>79405</v>
      </c>
      <c r="G7664">
        <v>1.41</v>
      </c>
      <c r="H7664" t="s">
        <v>10</v>
      </c>
      <c r="I7664" t="s">
        <v>11</v>
      </c>
    </row>
    <row r="7665" spans="1:9" x14ac:dyDescent="0.25">
      <c r="A7665" t="s">
        <v>17</v>
      </c>
      <c r="B7665" t="s">
        <v>47</v>
      </c>
      <c r="C7665">
        <v>202512</v>
      </c>
      <c r="D7665" t="str">
        <f t="shared" si="119"/>
        <v>2025</v>
      </c>
      <c r="E7665">
        <v>4061</v>
      </c>
      <c r="F7665">
        <v>79405</v>
      </c>
      <c r="G7665">
        <v>5.1100000000000003</v>
      </c>
      <c r="H7665" t="s">
        <v>10</v>
      </c>
      <c r="I7665" t="s">
        <v>11</v>
      </c>
    </row>
    <row r="7666" spans="1:9" x14ac:dyDescent="0.25">
      <c r="A7666" t="s">
        <v>17</v>
      </c>
      <c r="B7666" t="s">
        <v>47</v>
      </c>
      <c r="C7666">
        <v>202601</v>
      </c>
      <c r="D7666" t="str">
        <f t="shared" si="119"/>
        <v>2026</v>
      </c>
      <c r="E7666">
        <v>42975</v>
      </c>
      <c r="F7666">
        <v>79405</v>
      </c>
      <c r="G7666">
        <v>54.12</v>
      </c>
      <c r="H7666" t="s">
        <v>10</v>
      </c>
      <c r="I7666" t="s">
        <v>11</v>
      </c>
    </row>
    <row r="7667" spans="1:9" x14ac:dyDescent="0.25">
      <c r="A7667" t="s">
        <v>17</v>
      </c>
      <c r="B7667" t="s">
        <v>47</v>
      </c>
      <c r="C7667">
        <v>202602</v>
      </c>
      <c r="D7667" t="str">
        <f t="shared" si="119"/>
        <v>2026</v>
      </c>
      <c r="E7667">
        <v>25823</v>
      </c>
      <c r="F7667">
        <v>79405</v>
      </c>
      <c r="G7667">
        <v>32.520000000000003</v>
      </c>
      <c r="H7667" t="s">
        <v>10</v>
      </c>
      <c r="I7667" t="s">
        <v>11</v>
      </c>
    </row>
    <row r="7668" spans="1:9" hidden="1" x14ac:dyDescent="0.25">
      <c r="A7668" t="s">
        <v>17</v>
      </c>
      <c r="B7668" t="s">
        <v>137</v>
      </c>
      <c r="C7668">
        <v>202112</v>
      </c>
      <c r="D7668" t="str">
        <f t="shared" si="119"/>
        <v>2021</v>
      </c>
      <c r="E7668">
        <v>2</v>
      </c>
      <c r="F7668">
        <v>134437</v>
      </c>
      <c r="G7668">
        <v>0</v>
      </c>
      <c r="H7668" t="s">
        <v>10</v>
      </c>
      <c r="I7668" t="s">
        <v>11</v>
      </c>
    </row>
    <row r="7669" spans="1:9" hidden="1" x14ac:dyDescent="0.25">
      <c r="A7669" t="s">
        <v>17</v>
      </c>
      <c r="B7669" t="s">
        <v>137</v>
      </c>
      <c r="C7669">
        <v>202206</v>
      </c>
      <c r="D7669" t="str">
        <f t="shared" si="119"/>
        <v>2022</v>
      </c>
      <c r="E7669">
        <v>2</v>
      </c>
      <c r="F7669">
        <v>134437</v>
      </c>
      <c r="G7669">
        <v>0</v>
      </c>
      <c r="H7669" t="s">
        <v>10</v>
      </c>
      <c r="I7669" t="s">
        <v>11</v>
      </c>
    </row>
    <row r="7670" spans="1:9" hidden="1" x14ac:dyDescent="0.25">
      <c r="A7670" t="s">
        <v>17</v>
      </c>
      <c r="B7670" t="s">
        <v>137</v>
      </c>
      <c r="C7670">
        <v>202210</v>
      </c>
      <c r="D7670" t="str">
        <f t="shared" si="119"/>
        <v>2022</v>
      </c>
      <c r="E7670">
        <v>2</v>
      </c>
      <c r="F7670">
        <v>134437</v>
      </c>
      <c r="G7670">
        <v>0</v>
      </c>
      <c r="H7670" t="s">
        <v>10</v>
      </c>
      <c r="I7670" t="s">
        <v>11</v>
      </c>
    </row>
    <row r="7671" spans="1:9" hidden="1" x14ac:dyDescent="0.25">
      <c r="A7671" t="s">
        <v>17</v>
      </c>
      <c r="B7671" t="s">
        <v>137</v>
      </c>
      <c r="C7671">
        <v>202212</v>
      </c>
      <c r="D7671" t="str">
        <f t="shared" si="119"/>
        <v>2022</v>
      </c>
      <c r="E7671">
        <v>2</v>
      </c>
      <c r="F7671">
        <v>134437</v>
      </c>
      <c r="G7671">
        <v>0</v>
      </c>
      <c r="H7671" t="s">
        <v>10</v>
      </c>
      <c r="I7671" t="s">
        <v>11</v>
      </c>
    </row>
    <row r="7672" spans="1:9" hidden="1" x14ac:dyDescent="0.25">
      <c r="A7672" t="s">
        <v>17</v>
      </c>
      <c r="B7672" t="s">
        <v>137</v>
      </c>
      <c r="C7672">
        <v>202307</v>
      </c>
      <c r="D7672" t="str">
        <f t="shared" si="119"/>
        <v>2023</v>
      </c>
      <c r="E7672">
        <v>4</v>
      </c>
      <c r="F7672">
        <v>134437</v>
      </c>
      <c r="G7672">
        <v>0</v>
      </c>
      <c r="H7672" t="s">
        <v>10</v>
      </c>
      <c r="I7672" t="s">
        <v>11</v>
      </c>
    </row>
    <row r="7673" spans="1:9" hidden="1" x14ac:dyDescent="0.25">
      <c r="A7673" t="s">
        <v>17</v>
      </c>
      <c r="B7673" t="s">
        <v>137</v>
      </c>
      <c r="C7673">
        <v>202309</v>
      </c>
      <c r="D7673" t="str">
        <f t="shared" si="119"/>
        <v>2023</v>
      </c>
      <c r="E7673">
        <v>1</v>
      </c>
      <c r="F7673">
        <v>134437</v>
      </c>
      <c r="G7673">
        <v>0</v>
      </c>
      <c r="H7673" t="s">
        <v>10</v>
      </c>
      <c r="I7673" t="s">
        <v>11</v>
      </c>
    </row>
    <row r="7674" spans="1:9" hidden="1" x14ac:dyDescent="0.25">
      <c r="A7674" t="s">
        <v>17</v>
      </c>
      <c r="B7674" t="s">
        <v>137</v>
      </c>
      <c r="C7674">
        <v>202310</v>
      </c>
      <c r="D7674" t="str">
        <f t="shared" si="119"/>
        <v>2023</v>
      </c>
      <c r="E7674">
        <v>26</v>
      </c>
      <c r="F7674">
        <v>134437</v>
      </c>
      <c r="G7674">
        <v>0.02</v>
      </c>
      <c r="H7674" t="s">
        <v>10</v>
      </c>
      <c r="I7674" t="s">
        <v>11</v>
      </c>
    </row>
    <row r="7675" spans="1:9" hidden="1" x14ac:dyDescent="0.25">
      <c r="A7675" t="s">
        <v>17</v>
      </c>
      <c r="B7675" t="s">
        <v>137</v>
      </c>
      <c r="C7675">
        <v>202312</v>
      </c>
      <c r="D7675" t="str">
        <f t="shared" si="119"/>
        <v>2023</v>
      </c>
      <c r="E7675">
        <v>2</v>
      </c>
      <c r="F7675">
        <v>134437</v>
      </c>
      <c r="G7675">
        <v>0</v>
      </c>
      <c r="H7675" t="s">
        <v>10</v>
      </c>
      <c r="I7675" t="s">
        <v>11</v>
      </c>
    </row>
    <row r="7676" spans="1:9" hidden="1" x14ac:dyDescent="0.25">
      <c r="A7676" t="s">
        <v>17</v>
      </c>
      <c r="B7676" t="s">
        <v>137</v>
      </c>
      <c r="C7676">
        <v>202401</v>
      </c>
      <c r="D7676" t="str">
        <f t="shared" si="119"/>
        <v>2024</v>
      </c>
      <c r="E7676">
        <v>25</v>
      </c>
      <c r="F7676">
        <v>134437</v>
      </c>
      <c r="G7676">
        <v>0.02</v>
      </c>
      <c r="H7676" t="s">
        <v>10</v>
      </c>
      <c r="I7676" t="s">
        <v>11</v>
      </c>
    </row>
    <row r="7677" spans="1:9" hidden="1" x14ac:dyDescent="0.25">
      <c r="A7677" t="s">
        <v>17</v>
      </c>
      <c r="B7677" t="s">
        <v>137</v>
      </c>
      <c r="C7677">
        <v>202402</v>
      </c>
      <c r="D7677" t="str">
        <f t="shared" si="119"/>
        <v>2024</v>
      </c>
      <c r="E7677">
        <v>26</v>
      </c>
      <c r="F7677">
        <v>134437</v>
      </c>
      <c r="G7677">
        <v>0.02</v>
      </c>
      <c r="H7677" t="s">
        <v>10</v>
      </c>
      <c r="I7677" t="s">
        <v>11</v>
      </c>
    </row>
    <row r="7678" spans="1:9" hidden="1" x14ac:dyDescent="0.25">
      <c r="A7678" t="s">
        <v>17</v>
      </c>
      <c r="B7678" t="s">
        <v>137</v>
      </c>
      <c r="C7678">
        <v>202403</v>
      </c>
      <c r="D7678" t="str">
        <f t="shared" si="119"/>
        <v>2024</v>
      </c>
      <c r="E7678">
        <v>2</v>
      </c>
      <c r="F7678">
        <v>134437</v>
      </c>
      <c r="G7678">
        <v>0</v>
      </c>
      <c r="H7678" t="s">
        <v>10</v>
      </c>
      <c r="I7678" t="s">
        <v>11</v>
      </c>
    </row>
    <row r="7679" spans="1:9" hidden="1" x14ac:dyDescent="0.25">
      <c r="A7679" t="s">
        <v>17</v>
      </c>
      <c r="B7679" t="s">
        <v>137</v>
      </c>
      <c r="C7679">
        <v>202404</v>
      </c>
      <c r="D7679" t="str">
        <f t="shared" si="119"/>
        <v>2024</v>
      </c>
      <c r="E7679">
        <v>25</v>
      </c>
      <c r="F7679">
        <v>134437</v>
      </c>
      <c r="G7679">
        <v>0.02</v>
      </c>
      <c r="H7679" t="s">
        <v>10</v>
      </c>
      <c r="I7679" t="s">
        <v>11</v>
      </c>
    </row>
    <row r="7680" spans="1:9" hidden="1" x14ac:dyDescent="0.25">
      <c r="A7680" t="s">
        <v>17</v>
      </c>
      <c r="B7680" t="s">
        <v>137</v>
      </c>
      <c r="C7680">
        <v>202405</v>
      </c>
      <c r="D7680" t="str">
        <f t="shared" si="119"/>
        <v>2024</v>
      </c>
      <c r="E7680">
        <v>40</v>
      </c>
      <c r="F7680">
        <v>134437</v>
      </c>
      <c r="G7680">
        <v>0.03</v>
      </c>
      <c r="H7680" t="s">
        <v>10</v>
      </c>
      <c r="I7680" t="s">
        <v>11</v>
      </c>
    </row>
    <row r="7681" spans="1:9" hidden="1" x14ac:dyDescent="0.25">
      <c r="A7681" t="s">
        <v>17</v>
      </c>
      <c r="B7681" t="s">
        <v>137</v>
      </c>
      <c r="C7681">
        <v>202406</v>
      </c>
      <c r="D7681" t="str">
        <f t="shared" si="119"/>
        <v>2024</v>
      </c>
      <c r="E7681">
        <v>104</v>
      </c>
      <c r="F7681">
        <v>134437</v>
      </c>
      <c r="G7681">
        <v>0.08</v>
      </c>
      <c r="H7681" t="s">
        <v>10</v>
      </c>
      <c r="I7681" t="s">
        <v>11</v>
      </c>
    </row>
    <row r="7682" spans="1:9" hidden="1" x14ac:dyDescent="0.25">
      <c r="A7682" t="s">
        <v>17</v>
      </c>
      <c r="B7682" t="s">
        <v>137</v>
      </c>
      <c r="C7682">
        <v>202407</v>
      </c>
      <c r="D7682" t="str">
        <f t="shared" si="119"/>
        <v>2024</v>
      </c>
      <c r="E7682">
        <v>69</v>
      </c>
      <c r="F7682">
        <v>134437</v>
      </c>
      <c r="G7682">
        <v>0.05</v>
      </c>
      <c r="H7682" t="s">
        <v>10</v>
      </c>
      <c r="I7682" t="s">
        <v>11</v>
      </c>
    </row>
    <row r="7683" spans="1:9" hidden="1" x14ac:dyDescent="0.25">
      <c r="A7683" t="s">
        <v>17</v>
      </c>
      <c r="B7683" t="s">
        <v>137</v>
      </c>
      <c r="C7683">
        <v>202408</v>
      </c>
      <c r="D7683" t="str">
        <f t="shared" ref="D7683:D7746" si="120">LEFT(C7683,4)</f>
        <v>2024</v>
      </c>
      <c r="E7683">
        <v>97</v>
      </c>
      <c r="F7683">
        <v>134437</v>
      </c>
      <c r="G7683">
        <v>7.0000000000000007E-2</v>
      </c>
      <c r="H7683" t="s">
        <v>10</v>
      </c>
      <c r="I7683" t="s">
        <v>11</v>
      </c>
    </row>
    <row r="7684" spans="1:9" hidden="1" x14ac:dyDescent="0.25">
      <c r="A7684" t="s">
        <v>17</v>
      </c>
      <c r="B7684" t="s">
        <v>137</v>
      </c>
      <c r="C7684">
        <v>202409</v>
      </c>
      <c r="D7684" t="str">
        <f t="shared" si="120"/>
        <v>2024</v>
      </c>
      <c r="E7684">
        <v>31</v>
      </c>
      <c r="F7684">
        <v>134437</v>
      </c>
      <c r="G7684">
        <v>0.02</v>
      </c>
      <c r="H7684" t="s">
        <v>10</v>
      </c>
      <c r="I7684" t="s">
        <v>11</v>
      </c>
    </row>
    <row r="7685" spans="1:9" hidden="1" x14ac:dyDescent="0.25">
      <c r="A7685" t="s">
        <v>17</v>
      </c>
      <c r="B7685" t="s">
        <v>137</v>
      </c>
      <c r="C7685">
        <v>202410</v>
      </c>
      <c r="D7685" t="str">
        <f t="shared" si="120"/>
        <v>2024</v>
      </c>
      <c r="E7685">
        <v>182</v>
      </c>
      <c r="F7685">
        <v>134437</v>
      </c>
      <c r="G7685">
        <v>0.14000000000000001</v>
      </c>
      <c r="H7685" t="s">
        <v>10</v>
      </c>
      <c r="I7685" t="s">
        <v>11</v>
      </c>
    </row>
    <row r="7686" spans="1:9" hidden="1" x14ac:dyDescent="0.25">
      <c r="A7686" t="s">
        <v>17</v>
      </c>
      <c r="B7686" t="s">
        <v>137</v>
      </c>
      <c r="C7686">
        <v>202411</v>
      </c>
      <c r="D7686" t="str">
        <f t="shared" si="120"/>
        <v>2024</v>
      </c>
      <c r="E7686">
        <v>86</v>
      </c>
      <c r="F7686">
        <v>134437</v>
      </c>
      <c r="G7686">
        <v>0.06</v>
      </c>
      <c r="H7686" t="s">
        <v>10</v>
      </c>
      <c r="I7686" t="s">
        <v>11</v>
      </c>
    </row>
    <row r="7687" spans="1:9" hidden="1" x14ac:dyDescent="0.25">
      <c r="A7687" t="s">
        <v>17</v>
      </c>
      <c r="B7687" t="s">
        <v>137</v>
      </c>
      <c r="C7687">
        <v>202412</v>
      </c>
      <c r="D7687" t="str">
        <f t="shared" si="120"/>
        <v>2024</v>
      </c>
      <c r="E7687">
        <v>184</v>
      </c>
      <c r="F7687">
        <v>134437</v>
      </c>
      <c r="G7687">
        <v>0.14000000000000001</v>
      </c>
      <c r="H7687" t="s">
        <v>10</v>
      </c>
      <c r="I7687" t="s">
        <v>11</v>
      </c>
    </row>
    <row r="7688" spans="1:9" x14ac:dyDescent="0.25">
      <c r="A7688" t="s">
        <v>17</v>
      </c>
      <c r="B7688" t="s">
        <v>137</v>
      </c>
      <c r="C7688">
        <v>202501</v>
      </c>
      <c r="D7688" t="str">
        <f t="shared" si="120"/>
        <v>2025</v>
      </c>
      <c r="E7688">
        <v>700</v>
      </c>
      <c r="F7688">
        <v>134437</v>
      </c>
      <c r="G7688">
        <v>0.52</v>
      </c>
      <c r="H7688" t="s">
        <v>10</v>
      </c>
      <c r="I7688" t="s">
        <v>11</v>
      </c>
    </row>
    <row r="7689" spans="1:9" x14ac:dyDescent="0.25">
      <c r="A7689" t="s">
        <v>17</v>
      </c>
      <c r="B7689" t="s">
        <v>137</v>
      </c>
      <c r="C7689">
        <v>202502</v>
      </c>
      <c r="D7689" t="str">
        <f t="shared" si="120"/>
        <v>2025</v>
      </c>
      <c r="E7689">
        <v>497</v>
      </c>
      <c r="F7689">
        <v>134437</v>
      </c>
      <c r="G7689">
        <v>0.37</v>
      </c>
      <c r="H7689" t="s">
        <v>10</v>
      </c>
      <c r="I7689" t="s">
        <v>11</v>
      </c>
    </row>
    <row r="7690" spans="1:9" x14ac:dyDescent="0.25">
      <c r="A7690" t="s">
        <v>17</v>
      </c>
      <c r="B7690" t="s">
        <v>137</v>
      </c>
      <c r="C7690">
        <v>202503</v>
      </c>
      <c r="D7690" t="str">
        <f t="shared" si="120"/>
        <v>2025</v>
      </c>
      <c r="E7690">
        <v>751</v>
      </c>
      <c r="F7690">
        <v>134437</v>
      </c>
      <c r="G7690">
        <v>0.56000000000000005</v>
      </c>
      <c r="H7690" t="s">
        <v>10</v>
      </c>
      <c r="I7690" t="s">
        <v>11</v>
      </c>
    </row>
    <row r="7691" spans="1:9" x14ac:dyDescent="0.25">
      <c r="A7691" t="s">
        <v>17</v>
      </c>
      <c r="B7691" t="s">
        <v>137</v>
      </c>
      <c r="C7691">
        <v>202504</v>
      </c>
      <c r="D7691" t="str">
        <f t="shared" si="120"/>
        <v>2025</v>
      </c>
      <c r="E7691">
        <v>721</v>
      </c>
      <c r="F7691">
        <v>134437</v>
      </c>
      <c r="G7691">
        <v>0.54</v>
      </c>
      <c r="H7691" t="s">
        <v>10</v>
      </c>
      <c r="I7691" t="s">
        <v>11</v>
      </c>
    </row>
    <row r="7692" spans="1:9" x14ac:dyDescent="0.25">
      <c r="A7692" t="s">
        <v>17</v>
      </c>
      <c r="B7692" t="s">
        <v>137</v>
      </c>
      <c r="C7692">
        <v>202505</v>
      </c>
      <c r="D7692" t="str">
        <f t="shared" si="120"/>
        <v>2025</v>
      </c>
      <c r="E7692">
        <v>819</v>
      </c>
      <c r="F7692">
        <v>134437</v>
      </c>
      <c r="G7692">
        <v>0.61</v>
      </c>
      <c r="H7692" t="s">
        <v>10</v>
      </c>
      <c r="I7692" t="s">
        <v>11</v>
      </c>
    </row>
    <row r="7693" spans="1:9" x14ac:dyDescent="0.25">
      <c r="A7693" t="s">
        <v>17</v>
      </c>
      <c r="B7693" t="s">
        <v>137</v>
      </c>
      <c r="C7693">
        <v>202506</v>
      </c>
      <c r="D7693" t="str">
        <f t="shared" si="120"/>
        <v>2025</v>
      </c>
      <c r="E7693">
        <v>846</v>
      </c>
      <c r="F7693">
        <v>134437</v>
      </c>
      <c r="G7693">
        <v>0.63</v>
      </c>
      <c r="H7693" t="s">
        <v>10</v>
      </c>
      <c r="I7693" t="s">
        <v>11</v>
      </c>
    </row>
    <row r="7694" spans="1:9" x14ac:dyDescent="0.25">
      <c r="A7694" t="s">
        <v>17</v>
      </c>
      <c r="B7694" t="s">
        <v>137</v>
      </c>
      <c r="C7694">
        <v>202507</v>
      </c>
      <c r="D7694" t="str">
        <f t="shared" si="120"/>
        <v>2025</v>
      </c>
      <c r="E7694">
        <v>924</v>
      </c>
      <c r="F7694">
        <v>134437</v>
      </c>
      <c r="G7694">
        <v>0.69</v>
      </c>
      <c r="H7694" t="s">
        <v>10</v>
      </c>
      <c r="I7694" t="s">
        <v>11</v>
      </c>
    </row>
    <row r="7695" spans="1:9" x14ac:dyDescent="0.25">
      <c r="A7695" t="s">
        <v>17</v>
      </c>
      <c r="B7695" t="s">
        <v>137</v>
      </c>
      <c r="C7695">
        <v>202508</v>
      </c>
      <c r="D7695" t="str">
        <f t="shared" si="120"/>
        <v>2025</v>
      </c>
      <c r="E7695">
        <v>679</v>
      </c>
      <c r="F7695">
        <v>134437</v>
      </c>
      <c r="G7695">
        <v>0.51</v>
      </c>
      <c r="H7695" t="s">
        <v>10</v>
      </c>
      <c r="I7695" t="s">
        <v>11</v>
      </c>
    </row>
    <row r="7696" spans="1:9" x14ac:dyDescent="0.25">
      <c r="A7696" t="s">
        <v>17</v>
      </c>
      <c r="B7696" t="s">
        <v>137</v>
      </c>
      <c r="C7696">
        <v>202509</v>
      </c>
      <c r="D7696" t="str">
        <f t="shared" si="120"/>
        <v>2025</v>
      </c>
      <c r="E7696">
        <v>1012</v>
      </c>
      <c r="F7696">
        <v>134437</v>
      </c>
      <c r="G7696">
        <v>0.75</v>
      </c>
      <c r="H7696" t="s">
        <v>10</v>
      </c>
      <c r="I7696" t="s">
        <v>11</v>
      </c>
    </row>
    <row r="7697" spans="1:9" x14ac:dyDescent="0.25">
      <c r="A7697" t="s">
        <v>17</v>
      </c>
      <c r="B7697" t="s">
        <v>137</v>
      </c>
      <c r="C7697">
        <v>202510</v>
      </c>
      <c r="D7697" t="str">
        <f t="shared" si="120"/>
        <v>2025</v>
      </c>
      <c r="E7697">
        <v>1435</v>
      </c>
      <c r="F7697">
        <v>134437</v>
      </c>
      <c r="G7697">
        <v>1.07</v>
      </c>
      <c r="H7697" t="s">
        <v>10</v>
      </c>
      <c r="I7697" t="s">
        <v>11</v>
      </c>
    </row>
    <row r="7698" spans="1:9" x14ac:dyDescent="0.25">
      <c r="A7698" t="s">
        <v>17</v>
      </c>
      <c r="B7698" t="s">
        <v>137</v>
      </c>
      <c r="C7698">
        <v>202511</v>
      </c>
      <c r="D7698" t="str">
        <f t="shared" si="120"/>
        <v>2025</v>
      </c>
      <c r="E7698">
        <v>1339</v>
      </c>
      <c r="F7698">
        <v>134437</v>
      </c>
      <c r="G7698">
        <v>1</v>
      </c>
      <c r="H7698" t="s">
        <v>10</v>
      </c>
      <c r="I7698" t="s">
        <v>11</v>
      </c>
    </row>
    <row r="7699" spans="1:9" x14ac:dyDescent="0.25">
      <c r="A7699" t="s">
        <v>17</v>
      </c>
      <c r="B7699" t="s">
        <v>137</v>
      </c>
      <c r="C7699">
        <v>202512</v>
      </c>
      <c r="D7699" t="str">
        <f t="shared" si="120"/>
        <v>2025</v>
      </c>
      <c r="E7699">
        <v>2691</v>
      </c>
      <c r="F7699">
        <v>134437</v>
      </c>
      <c r="G7699">
        <v>2</v>
      </c>
      <c r="H7699" t="s">
        <v>10</v>
      </c>
      <c r="I7699" t="s">
        <v>11</v>
      </c>
    </row>
    <row r="7700" spans="1:9" x14ac:dyDescent="0.25">
      <c r="A7700" t="s">
        <v>17</v>
      </c>
      <c r="B7700" t="s">
        <v>137</v>
      </c>
      <c r="C7700">
        <v>202601</v>
      </c>
      <c r="D7700" t="str">
        <f t="shared" si="120"/>
        <v>2026</v>
      </c>
      <c r="E7700">
        <v>14280</v>
      </c>
      <c r="F7700">
        <v>134437</v>
      </c>
      <c r="G7700">
        <v>10.62</v>
      </c>
      <c r="H7700" t="s">
        <v>10</v>
      </c>
      <c r="I7700" t="s">
        <v>11</v>
      </c>
    </row>
    <row r="7701" spans="1:9" x14ac:dyDescent="0.25">
      <c r="A7701" t="s">
        <v>17</v>
      </c>
      <c r="B7701" t="s">
        <v>137</v>
      </c>
      <c r="C7701">
        <v>202602</v>
      </c>
      <c r="D7701" t="str">
        <f t="shared" si="120"/>
        <v>2026</v>
      </c>
      <c r="E7701">
        <v>64662</v>
      </c>
      <c r="F7701">
        <v>134437</v>
      </c>
      <c r="G7701">
        <v>48.1</v>
      </c>
      <c r="H7701" t="s">
        <v>10</v>
      </c>
      <c r="I7701" t="s">
        <v>11</v>
      </c>
    </row>
    <row r="7702" spans="1:9" x14ac:dyDescent="0.25">
      <c r="A7702" t="s">
        <v>17</v>
      </c>
      <c r="B7702" t="s">
        <v>137</v>
      </c>
      <c r="C7702">
        <v>202603</v>
      </c>
      <c r="D7702" t="str">
        <f t="shared" si="120"/>
        <v>2026</v>
      </c>
      <c r="E7702">
        <v>42169</v>
      </c>
      <c r="F7702">
        <v>134437</v>
      </c>
      <c r="G7702">
        <v>31.37</v>
      </c>
      <c r="H7702" t="s">
        <v>10</v>
      </c>
      <c r="I7702" t="s">
        <v>11</v>
      </c>
    </row>
    <row r="7703" spans="1:9" hidden="1" x14ac:dyDescent="0.25">
      <c r="A7703" t="s">
        <v>17</v>
      </c>
      <c r="B7703" t="s">
        <v>207</v>
      </c>
      <c r="C7703">
        <v>202203</v>
      </c>
      <c r="D7703" t="str">
        <f t="shared" si="120"/>
        <v>2022</v>
      </c>
      <c r="E7703">
        <v>2</v>
      </c>
      <c r="F7703">
        <v>109955</v>
      </c>
      <c r="G7703">
        <v>0</v>
      </c>
      <c r="H7703" t="s">
        <v>10</v>
      </c>
      <c r="I7703" t="s">
        <v>11</v>
      </c>
    </row>
    <row r="7704" spans="1:9" hidden="1" x14ac:dyDescent="0.25">
      <c r="A7704" t="s">
        <v>17</v>
      </c>
      <c r="B7704" t="s">
        <v>207</v>
      </c>
      <c r="C7704">
        <v>202312</v>
      </c>
      <c r="D7704" t="str">
        <f t="shared" si="120"/>
        <v>2023</v>
      </c>
      <c r="E7704">
        <v>3</v>
      </c>
      <c r="F7704">
        <v>109955</v>
      </c>
      <c r="G7704">
        <v>0</v>
      </c>
      <c r="H7704" t="s">
        <v>10</v>
      </c>
      <c r="I7704" t="s">
        <v>11</v>
      </c>
    </row>
    <row r="7705" spans="1:9" hidden="1" x14ac:dyDescent="0.25">
      <c r="A7705" t="s">
        <v>17</v>
      </c>
      <c r="B7705" t="s">
        <v>207</v>
      </c>
      <c r="C7705">
        <v>202403</v>
      </c>
      <c r="D7705" t="str">
        <f t="shared" si="120"/>
        <v>2024</v>
      </c>
      <c r="E7705">
        <v>4</v>
      </c>
      <c r="F7705">
        <v>109955</v>
      </c>
      <c r="G7705">
        <v>0</v>
      </c>
      <c r="H7705" t="s">
        <v>10</v>
      </c>
      <c r="I7705" t="s">
        <v>11</v>
      </c>
    </row>
    <row r="7706" spans="1:9" hidden="1" x14ac:dyDescent="0.25">
      <c r="A7706" t="s">
        <v>17</v>
      </c>
      <c r="B7706" t="s">
        <v>207</v>
      </c>
      <c r="C7706">
        <v>202404</v>
      </c>
      <c r="D7706" t="str">
        <f t="shared" si="120"/>
        <v>2024</v>
      </c>
      <c r="E7706">
        <v>11</v>
      </c>
      <c r="F7706">
        <v>109955</v>
      </c>
      <c r="G7706">
        <v>0.01</v>
      </c>
      <c r="H7706" t="s">
        <v>10</v>
      </c>
      <c r="I7706" t="s">
        <v>11</v>
      </c>
    </row>
    <row r="7707" spans="1:9" hidden="1" x14ac:dyDescent="0.25">
      <c r="A7707" t="s">
        <v>17</v>
      </c>
      <c r="B7707" t="s">
        <v>207</v>
      </c>
      <c r="C7707">
        <v>202405</v>
      </c>
      <c r="D7707" t="str">
        <f t="shared" si="120"/>
        <v>2024</v>
      </c>
      <c r="E7707">
        <v>3</v>
      </c>
      <c r="F7707">
        <v>109955</v>
      </c>
      <c r="G7707">
        <v>0</v>
      </c>
      <c r="H7707" t="s">
        <v>10</v>
      </c>
      <c r="I7707" t="s">
        <v>11</v>
      </c>
    </row>
    <row r="7708" spans="1:9" hidden="1" x14ac:dyDescent="0.25">
      <c r="A7708" t="s">
        <v>17</v>
      </c>
      <c r="B7708" t="s">
        <v>207</v>
      </c>
      <c r="C7708">
        <v>202406</v>
      </c>
      <c r="D7708" t="str">
        <f t="shared" si="120"/>
        <v>2024</v>
      </c>
      <c r="E7708">
        <v>19</v>
      </c>
      <c r="F7708">
        <v>109955</v>
      </c>
      <c r="G7708">
        <v>0.02</v>
      </c>
      <c r="H7708" t="s">
        <v>10</v>
      </c>
      <c r="I7708" t="s">
        <v>11</v>
      </c>
    </row>
    <row r="7709" spans="1:9" hidden="1" x14ac:dyDescent="0.25">
      <c r="A7709" t="s">
        <v>17</v>
      </c>
      <c r="B7709" t="s">
        <v>207</v>
      </c>
      <c r="C7709">
        <v>202407</v>
      </c>
      <c r="D7709" t="str">
        <f t="shared" si="120"/>
        <v>2024</v>
      </c>
      <c r="E7709">
        <v>31</v>
      </c>
      <c r="F7709">
        <v>109955</v>
      </c>
      <c r="G7709">
        <v>0.03</v>
      </c>
      <c r="H7709" t="s">
        <v>10</v>
      </c>
      <c r="I7709" t="s">
        <v>11</v>
      </c>
    </row>
    <row r="7710" spans="1:9" hidden="1" x14ac:dyDescent="0.25">
      <c r="A7710" t="s">
        <v>17</v>
      </c>
      <c r="B7710" t="s">
        <v>207</v>
      </c>
      <c r="C7710">
        <v>202408</v>
      </c>
      <c r="D7710" t="str">
        <f t="shared" si="120"/>
        <v>2024</v>
      </c>
      <c r="E7710">
        <v>22</v>
      </c>
      <c r="F7710">
        <v>109955</v>
      </c>
      <c r="G7710">
        <v>0.02</v>
      </c>
      <c r="H7710" t="s">
        <v>10</v>
      </c>
      <c r="I7710" t="s">
        <v>11</v>
      </c>
    </row>
    <row r="7711" spans="1:9" hidden="1" x14ac:dyDescent="0.25">
      <c r="A7711" t="s">
        <v>17</v>
      </c>
      <c r="B7711" t="s">
        <v>207</v>
      </c>
      <c r="C7711">
        <v>202409</v>
      </c>
      <c r="D7711" t="str">
        <f t="shared" si="120"/>
        <v>2024</v>
      </c>
      <c r="E7711">
        <v>43</v>
      </c>
      <c r="F7711">
        <v>109955</v>
      </c>
      <c r="G7711">
        <v>0.04</v>
      </c>
      <c r="H7711" t="s">
        <v>10</v>
      </c>
      <c r="I7711" t="s">
        <v>11</v>
      </c>
    </row>
    <row r="7712" spans="1:9" hidden="1" x14ac:dyDescent="0.25">
      <c r="A7712" t="s">
        <v>17</v>
      </c>
      <c r="B7712" t="s">
        <v>207</v>
      </c>
      <c r="C7712">
        <v>202410</v>
      </c>
      <c r="D7712" t="str">
        <f t="shared" si="120"/>
        <v>2024</v>
      </c>
      <c r="E7712">
        <v>45</v>
      </c>
      <c r="F7712">
        <v>109955</v>
      </c>
      <c r="G7712">
        <v>0.04</v>
      </c>
      <c r="H7712" t="s">
        <v>10</v>
      </c>
      <c r="I7712" t="s">
        <v>11</v>
      </c>
    </row>
    <row r="7713" spans="1:9" hidden="1" x14ac:dyDescent="0.25">
      <c r="A7713" t="s">
        <v>17</v>
      </c>
      <c r="B7713" t="s">
        <v>207</v>
      </c>
      <c r="C7713">
        <v>202411</v>
      </c>
      <c r="D7713" t="str">
        <f t="shared" si="120"/>
        <v>2024</v>
      </c>
      <c r="E7713">
        <v>53</v>
      </c>
      <c r="F7713">
        <v>109955</v>
      </c>
      <c r="G7713">
        <v>0.05</v>
      </c>
      <c r="H7713" t="s">
        <v>10</v>
      </c>
      <c r="I7713" t="s">
        <v>11</v>
      </c>
    </row>
    <row r="7714" spans="1:9" hidden="1" x14ac:dyDescent="0.25">
      <c r="A7714" t="s">
        <v>17</v>
      </c>
      <c r="B7714" t="s">
        <v>207</v>
      </c>
      <c r="C7714">
        <v>202412</v>
      </c>
      <c r="D7714" t="str">
        <f t="shared" si="120"/>
        <v>2024</v>
      </c>
      <c r="E7714">
        <v>55</v>
      </c>
      <c r="F7714">
        <v>109955</v>
      </c>
      <c r="G7714">
        <v>0.05</v>
      </c>
      <c r="H7714" t="s">
        <v>10</v>
      </c>
      <c r="I7714" t="s">
        <v>11</v>
      </c>
    </row>
    <row r="7715" spans="1:9" x14ac:dyDescent="0.25">
      <c r="A7715" t="s">
        <v>17</v>
      </c>
      <c r="B7715" t="s">
        <v>207</v>
      </c>
      <c r="C7715">
        <v>202501</v>
      </c>
      <c r="D7715" t="str">
        <f t="shared" si="120"/>
        <v>2025</v>
      </c>
      <c r="E7715">
        <v>220</v>
      </c>
      <c r="F7715">
        <v>109955</v>
      </c>
      <c r="G7715">
        <v>0.2</v>
      </c>
      <c r="H7715" t="s">
        <v>10</v>
      </c>
      <c r="I7715" t="s">
        <v>11</v>
      </c>
    </row>
    <row r="7716" spans="1:9" x14ac:dyDescent="0.25">
      <c r="A7716" t="s">
        <v>17</v>
      </c>
      <c r="B7716" t="s">
        <v>207</v>
      </c>
      <c r="C7716">
        <v>202502</v>
      </c>
      <c r="D7716" t="str">
        <f t="shared" si="120"/>
        <v>2025</v>
      </c>
      <c r="E7716">
        <v>231</v>
      </c>
      <c r="F7716">
        <v>109955</v>
      </c>
      <c r="G7716">
        <v>0.21</v>
      </c>
      <c r="H7716" t="s">
        <v>10</v>
      </c>
      <c r="I7716" t="s">
        <v>11</v>
      </c>
    </row>
    <row r="7717" spans="1:9" x14ac:dyDescent="0.25">
      <c r="A7717" t="s">
        <v>17</v>
      </c>
      <c r="B7717" t="s">
        <v>207</v>
      </c>
      <c r="C7717">
        <v>202503</v>
      </c>
      <c r="D7717" t="str">
        <f t="shared" si="120"/>
        <v>2025</v>
      </c>
      <c r="E7717">
        <v>336</v>
      </c>
      <c r="F7717">
        <v>109955</v>
      </c>
      <c r="G7717">
        <v>0.31</v>
      </c>
      <c r="H7717" t="s">
        <v>10</v>
      </c>
      <c r="I7717" t="s">
        <v>11</v>
      </c>
    </row>
    <row r="7718" spans="1:9" x14ac:dyDescent="0.25">
      <c r="A7718" t="s">
        <v>17</v>
      </c>
      <c r="B7718" t="s">
        <v>207</v>
      </c>
      <c r="C7718">
        <v>202504</v>
      </c>
      <c r="D7718" t="str">
        <f t="shared" si="120"/>
        <v>2025</v>
      </c>
      <c r="E7718">
        <v>390</v>
      </c>
      <c r="F7718">
        <v>109955</v>
      </c>
      <c r="G7718">
        <v>0.35</v>
      </c>
      <c r="H7718" t="s">
        <v>10</v>
      </c>
      <c r="I7718" t="s">
        <v>11</v>
      </c>
    </row>
    <row r="7719" spans="1:9" x14ac:dyDescent="0.25">
      <c r="A7719" t="s">
        <v>17</v>
      </c>
      <c r="B7719" t="s">
        <v>207</v>
      </c>
      <c r="C7719">
        <v>202505</v>
      </c>
      <c r="D7719" t="str">
        <f t="shared" si="120"/>
        <v>2025</v>
      </c>
      <c r="E7719">
        <v>364</v>
      </c>
      <c r="F7719">
        <v>109955</v>
      </c>
      <c r="G7719">
        <v>0.33</v>
      </c>
      <c r="H7719" t="s">
        <v>10</v>
      </c>
      <c r="I7719" t="s">
        <v>11</v>
      </c>
    </row>
    <row r="7720" spans="1:9" x14ac:dyDescent="0.25">
      <c r="A7720" t="s">
        <v>17</v>
      </c>
      <c r="B7720" t="s">
        <v>207</v>
      </c>
      <c r="C7720">
        <v>202506</v>
      </c>
      <c r="D7720" t="str">
        <f t="shared" si="120"/>
        <v>2025</v>
      </c>
      <c r="E7720">
        <v>465</v>
      </c>
      <c r="F7720">
        <v>109955</v>
      </c>
      <c r="G7720">
        <v>0.42</v>
      </c>
      <c r="H7720" t="s">
        <v>10</v>
      </c>
      <c r="I7720" t="s">
        <v>11</v>
      </c>
    </row>
    <row r="7721" spans="1:9" x14ac:dyDescent="0.25">
      <c r="A7721" t="s">
        <v>17</v>
      </c>
      <c r="B7721" t="s">
        <v>207</v>
      </c>
      <c r="C7721">
        <v>202507</v>
      </c>
      <c r="D7721" t="str">
        <f t="shared" si="120"/>
        <v>2025</v>
      </c>
      <c r="E7721">
        <v>460</v>
      </c>
      <c r="F7721">
        <v>109955</v>
      </c>
      <c r="G7721">
        <v>0.42</v>
      </c>
      <c r="H7721" t="s">
        <v>10</v>
      </c>
      <c r="I7721" t="s">
        <v>11</v>
      </c>
    </row>
    <row r="7722" spans="1:9" x14ac:dyDescent="0.25">
      <c r="A7722" t="s">
        <v>17</v>
      </c>
      <c r="B7722" t="s">
        <v>207</v>
      </c>
      <c r="C7722">
        <v>202508</v>
      </c>
      <c r="D7722" t="str">
        <f t="shared" si="120"/>
        <v>2025</v>
      </c>
      <c r="E7722">
        <v>296</v>
      </c>
      <c r="F7722">
        <v>109955</v>
      </c>
      <c r="G7722">
        <v>0.27</v>
      </c>
      <c r="H7722" t="s">
        <v>10</v>
      </c>
      <c r="I7722" t="s">
        <v>11</v>
      </c>
    </row>
    <row r="7723" spans="1:9" x14ac:dyDescent="0.25">
      <c r="A7723" t="s">
        <v>17</v>
      </c>
      <c r="B7723" t="s">
        <v>207</v>
      </c>
      <c r="C7723">
        <v>202509</v>
      </c>
      <c r="D7723" t="str">
        <f t="shared" si="120"/>
        <v>2025</v>
      </c>
      <c r="E7723">
        <v>578</v>
      </c>
      <c r="F7723">
        <v>109955</v>
      </c>
      <c r="G7723">
        <v>0.53</v>
      </c>
      <c r="H7723" t="s">
        <v>10</v>
      </c>
      <c r="I7723" t="s">
        <v>11</v>
      </c>
    </row>
    <row r="7724" spans="1:9" x14ac:dyDescent="0.25">
      <c r="A7724" t="s">
        <v>17</v>
      </c>
      <c r="B7724" t="s">
        <v>207</v>
      </c>
      <c r="C7724">
        <v>202510</v>
      </c>
      <c r="D7724" t="str">
        <f t="shared" si="120"/>
        <v>2025</v>
      </c>
      <c r="E7724">
        <v>780</v>
      </c>
      <c r="F7724">
        <v>109955</v>
      </c>
      <c r="G7724">
        <v>0.71</v>
      </c>
      <c r="H7724" t="s">
        <v>10</v>
      </c>
      <c r="I7724" t="s">
        <v>11</v>
      </c>
    </row>
    <row r="7725" spans="1:9" x14ac:dyDescent="0.25">
      <c r="A7725" t="s">
        <v>17</v>
      </c>
      <c r="B7725" t="s">
        <v>207</v>
      </c>
      <c r="C7725">
        <v>202511</v>
      </c>
      <c r="D7725" t="str">
        <f t="shared" si="120"/>
        <v>2025</v>
      </c>
      <c r="E7725">
        <v>920</v>
      </c>
      <c r="F7725">
        <v>109955</v>
      </c>
      <c r="G7725">
        <v>0.84</v>
      </c>
      <c r="H7725" t="s">
        <v>10</v>
      </c>
      <c r="I7725" t="s">
        <v>11</v>
      </c>
    </row>
    <row r="7726" spans="1:9" x14ac:dyDescent="0.25">
      <c r="A7726" t="s">
        <v>17</v>
      </c>
      <c r="B7726" t="s">
        <v>207</v>
      </c>
      <c r="C7726">
        <v>202512</v>
      </c>
      <c r="D7726" t="str">
        <f t="shared" si="120"/>
        <v>2025</v>
      </c>
      <c r="E7726">
        <v>1587</v>
      </c>
      <c r="F7726">
        <v>109955</v>
      </c>
      <c r="G7726">
        <v>1.44</v>
      </c>
      <c r="H7726" t="s">
        <v>10</v>
      </c>
      <c r="I7726" t="s">
        <v>11</v>
      </c>
    </row>
    <row r="7727" spans="1:9" x14ac:dyDescent="0.25">
      <c r="A7727" t="s">
        <v>17</v>
      </c>
      <c r="B7727" t="s">
        <v>207</v>
      </c>
      <c r="C7727">
        <v>202601</v>
      </c>
      <c r="D7727" t="str">
        <f t="shared" si="120"/>
        <v>2026</v>
      </c>
      <c r="E7727">
        <v>3607</v>
      </c>
      <c r="F7727">
        <v>109955</v>
      </c>
      <c r="G7727">
        <v>3.28</v>
      </c>
      <c r="H7727" t="s">
        <v>10</v>
      </c>
      <c r="I7727" t="s">
        <v>11</v>
      </c>
    </row>
    <row r="7728" spans="1:9" x14ac:dyDescent="0.25">
      <c r="A7728" t="s">
        <v>17</v>
      </c>
      <c r="B7728" t="s">
        <v>207</v>
      </c>
      <c r="C7728">
        <v>202602</v>
      </c>
      <c r="D7728" t="str">
        <f t="shared" si="120"/>
        <v>2026</v>
      </c>
      <c r="E7728">
        <v>7160</v>
      </c>
      <c r="F7728">
        <v>109955</v>
      </c>
      <c r="G7728">
        <v>6.51</v>
      </c>
      <c r="H7728" t="s">
        <v>10</v>
      </c>
      <c r="I7728" t="s">
        <v>11</v>
      </c>
    </row>
    <row r="7729" spans="1:9" x14ac:dyDescent="0.25">
      <c r="A7729" t="s">
        <v>17</v>
      </c>
      <c r="B7729" t="s">
        <v>207</v>
      </c>
      <c r="C7729">
        <v>202603</v>
      </c>
      <c r="D7729" t="str">
        <f t="shared" si="120"/>
        <v>2026</v>
      </c>
      <c r="E7729">
        <v>55745</v>
      </c>
      <c r="F7729">
        <v>109955</v>
      </c>
      <c r="G7729">
        <v>50.7</v>
      </c>
      <c r="H7729" t="s">
        <v>10</v>
      </c>
      <c r="I7729" t="s">
        <v>11</v>
      </c>
    </row>
    <row r="7730" spans="1:9" x14ac:dyDescent="0.25">
      <c r="A7730" t="s">
        <v>17</v>
      </c>
      <c r="B7730" t="s">
        <v>207</v>
      </c>
      <c r="C7730">
        <v>202604</v>
      </c>
      <c r="D7730" t="str">
        <f t="shared" si="120"/>
        <v>2026</v>
      </c>
      <c r="E7730">
        <v>36525</v>
      </c>
      <c r="F7730">
        <v>109955</v>
      </c>
      <c r="G7730">
        <v>33.22</v>
      </c>
      <c r="H7730" t="s">
        <v>10</v>
      </c>
      <c r="I7730" t="s">
        <v>11</v>
      </c>
    </row>
    <row r="7731" spans="1:9" x14ac:dyDescent="0.25">
      <c r="A7731" t="s">
        <v>22</v>
      </c>
      <c r="B7731" t="s">
        <v>212</v>
      </c>
      <c r="C7731">
        <v>202501</v>
      </c>
      <c r="D7731" t="str">
        <f t="shared" si="120"/>
        <v>2025</v>
      </c>
      <c r="E7731">
        <v>270713</v>
      </c>
      <c r="F7731">
        <v>3202203</v>
      </c>
      <c r="G7731">
        <v>8.4499999999999993</v>
      </c>
      <c r="H7731" t="s">
        <v>10</v>
      </c>
      <c r="I7731" t="s">
        <v>11</v>
      </c>
    </row>
    <row r="7732" spans="1:9" x14ac:dyDescent="0.25">
      <c r="A7732" t="s">
        <v>22</v>
      </c>
      <c r="B7732" t="s">
        <v>212</v>
      </c>
      <c r="C7732">
        <v>202502</v>
      </c>
      <c r="D7732" t="str">
        <f t="shared" si="120"/>
        <v>2025</v>
      </c>
      <c r="E7732">
        <v>258805</v>
      </c>
      <c r="F7732">
        <v>3202203</v>
      </c>
      <c r="G7732">
        <v>8.08</v>
      </c>
      <c r="H7732" t="s">
        <v>10</v>
      </c>
      <c r="I7732" t="s">
        <v>11</v>
      </c>
    </row>
    <row r="7733" spans="1:9" x14ac:dyDescent="0.25">
      <c r="A7733" t="s">
        <v>22</v>
      </c>
      <c r="B7733" t="s">
        <v>212</v>
      </c>
      <c r="C7733">
        <v>202503</v>
      </c>
      <c r="D7733" t="str">
        <f t="shared" si="120"/>
        <v>2025</v>
      </c>
      <c r="E7733">
        <v>293516</v>
      </c>
      <c r="F7733">
        <v>3202203</v>
      </c>
      <c r="G7733">
        <v>9.17</v>
      </c>
      <c r="H7733" t="s">
        <v>10</v>
      </c>
      <c r="I7733" t="s">
        <v>11</v>
      </c>
    </row>
    <row r="7734" spans="1:9" x14ac:dyDescent="0.25">
      <c r="A7734" t="s">
        <v>22</v>
      </c>
      <c r="B7734" t="s">
        <v>212</v>
      </c>
      <c r="C7734">
        <v>202504</v>
      </c>
      <c r="D7734" t="str">
        <f t="shared" si="120"/>
        <v>2025</v>
      </c>
      <c r="E7734">
        <v>305743</v>
      </c>
      <c r="F7734">
        <v>3202203</v>
      </c>
      <c r="G7734">
        <v>9.5500000000000007</v>
      </c>
      <c r="H7734" t="s">
        <v>10</v>
      </c>
      <c r="I7734" t="s">
        <v>11</v>
      </c>
    </row>
    <row r="7735" spans="1:9" x14ac:dyDescent="0.25">
      <c r="A7735" t="s">
        <v>22</v>
      </c>
      <c r="B7735" t="s">
        <v>212</v>
      </c>
      <c r="C7735">
        <v>202505</v>
      </c>
      <c r="D7735" t="str">
        <f t="shared" si="120"/>
        <v>2025</v>
      </c>
      <c r="E7735">
        <v>291155</v>
      </c>
      <c r="F7735">
        <v>3202203</v>
      </c>
      <c r="G7735">
        <v>9.09</v>
      </c>
      <c r="H7735" t="s">
        <v>10</v>
      </c>
      <c r="I7735" t="s">
        <v>11</v>
      </c>
    </row>
    <row r="7736" spans="1:9" x14ac:dyDescent="0.25">
      <c r="A7736" t="s">
        <v>22</v>
      </c>
      <c r="B7736" t="s">
        <v>212</v>
      </c>
      <c r="C7736">
        <v>202506</v>
      </c>
      <c r="D7736" t="str">
        <f t="shared" si="120"/>
        <v>2025</v>
      </c>
      <c r="E7736">
        <v>277173</v>
      </c>
      <c r="F7736">
        <v>3202203</v>
      </c>
      <c r="G7736">
        <v>8.66</v>
      </c>
      <c r="H7736" t="s">
        <v>10</v>
      </c>
      <c r="I7736" t="s">
        <v>11</v>
      </c>
    </row>
    <row r="7737" spans="1:9" x14ac:dyDescent="0.25">
      <c r="A7737" t="s">
        <v>22</v>
      </c>
      <c r="B7737" t="s">
        <v>212</v>
      </c>
      <c r="C7737">
        <v>202507</v>
      </c>
      <c r="D7737" t="str">
        <f t="shared" si="120"/>
        <v>2025</v>
      </c>
      <c r="E7737">
        <v>256973</v>
      </c>
      <c r="F7737">
        <v>3202203</v>
      </c>
      <c r="G7737">
        <v>8.02</v>
      </c>
      <c r="H7737" t="s">
        <v>10</v>
      </c>
      <c r="I7737" t="s">
        <v>11</v>
      </c>
    </row>
    <row r="7738" spans="1:9" x14ac:dyDescent="0.25">
      <c r="A7738" t="s">
        <v>22</v>
      </c>
      <c r="B7738" t="s">
        <v>212</v>
      </c>
      <c r="C7738">
        <v>202508</v>
      </c>
      <c r="D7738" t="str">
        <f t="shared" si="120"/>
        <v>2025</v>
      </c>
      <c r="E7738">
        <v>242733</v>
      </c>
      <c r="F7738">
        <v>3202203</v>
      </c>
      <c r="G7738">
        <v>7.58</v>
      </c>
      <c r="H7738" t="s">
        <v>10</v>
      </c>
      <c r="I7738" t="s">
        <v>11</v>
      </c>
    </row>
    <row r="7739" spans="1:9" x14ac:dyDescent="0.25">
      <c r="A7739" t="s">
        <v>22</v>
      </c>
      <c r="B7739" t="s">
        <v>212</v>
      </c>
      <c r="C7739">
        <v>202509</v>
      </c>
      <c r="D7739" t="str">
        <f t="shared" si="120"/>
        <v>2025</v>
      </c>
      <c r="E7739">
        <v>250615</v>
      </c>
      <c r="F7739">
        <v>3202203</v>
      </c>
      <c r="G7739">
        <v>7.83</v>
      </c>
      <c r="H7739" t="s">
        <v>10</v>
      </c>
      <c r="I7739" t="s">
        <v>11</v>
      </c>
    </row>
    <row r="7740" spans="1:9" x14ac:dyDescent="0.25">
      <c r="A7740" t="s">
        <v>22</v>
      </c>
      <c r="B7740" t="s">
        <v>212</v>
      </c>
      <c r="C7740">
        <v>202510</v>
      </c>
      <c r="D7740" t="str">
        <f t="shared" si="120"/>
        <v>2025</v>
      </c>
      <c r="E7740">
        <v>280153</v>
      </c>
      <c r="F7740">
        <v>3202203</v>
      </c>
      <c r="G7740">
        <v>8.75</v>
      </c>
      <c r="H7740" t="s">
        <v>10</v>
      </c>
      <c r="I7740" t="s">
        <v>11</v>
      </c>
    </row>
    <row r="7741" spans="1:9" x14ac:dyDescent="0.25">
      <c r="A7741" t="s">
        <v>22</v>
      </c>
      <c r="B7741" t="s">
        <v>212</v>
      </c>
      <c r="C7741">
        <v>202511</v>
      </c>
      <c r="D7741" t="str">
        <f t="shared" si="120"/>
        <v>2025</v>
      </c>
      <c r="E7741">
        <v>234310</v>
      </c>
      <c r="F7741">
        <v>3202203</v>
      </c>
      <c r="G7741">
        <v>7.32</v>
      </c>
      <c r="H7741" t="s">
        <v>10</v>
      </c>
      <c r="I7741" t="s">
        <v>11</v>
      </c>
    </row>
    <row r="7742" spans="1:9" x14ac:dyDescent="0.25">
      <c r="A7742" t="s">
        <v>22</v>
      </c>
      <c r="B7742" t="s">
        <v>212</v>
      </c>
      <c r="C7742">
        <v>202512</v>
      </c>
      <c r="D7742" t="str">
        <f t="shared" si="120"/>
        <v>2025</v>
      </c>
      <c r="E7742">
        <v>240314</v>
      </c>
      <c r="F7742">
        <v>3202203</v>
      </c>
      <c r="G7742">
        <v>7.5</v>
      </c>
      <c r="H7742" t="s">
        <v>10</v>
      </c>
      <c r="I7742" t="s">
        <v>11</v>
      </c>
    </row>
    <row r="7743" spans="1:9" x14ac:dyDescent="0.25">
      <c r="A7743" t="s">
        <v>22</v>
      </c>
      <c r="B7743" t="s">
        <v>213</v>
      </c>
      <c r="C7743">
        <v>202601</v>
      </c>
      <c r="D7743" t="str">
        <f t="shared" si="120"/>
        <v>2026</v>
      </c>
      <c r="E7743">
        <v>181093</v>
      </c>
      <c r="F7743">
        <v>513368</v>
      </c>
      <c r="G7743">
        <v>35.28</v>
      </c>
      <c r="H7743" t="s">
        <v>10</v>
      </c>
      <c r="I7743" t="s">
        <v>11</v>
      </c>
    </row>
    <row r="7744" spans="1:9" x14ac:dyDescent="0.25">
      <c r="A7744" t="s">
        <v>22</v>
      </c>
      <c r="B7744" t="s">
        <v>213</v>
      </c>
      <c r="C7744">
        <v>202602</v>
      </c>
      <c r="D7744" t="str">
        <f t="shared" si="120"/>
        <v>2026</v>
      </c>
      <c r="E7744">
        <v>178486</v>
      </c>
      <c r="F7744">
        <v>513368</v>
      </c>
      <c r="G7744">
        <v>34.770000000000003</v>
      </c>
      <c r="H7744" t="s">
        <v>10</v>
      </c>
      <c r="I7744" t="s">
        <v>11</v>
      </c>
    </row>
    <row r="7745" spans="1:9" x14ac:dyDescent="0.25">
      <c r="A7745" t="s">
        <v>22</v>
      </c>
      <c r="B7745" t="s">
        <v>213</v>
      </c>
      <c r="C7745">
        <v>202603</v>
      </c>
      <c r="D7745" t="str">
        <f t="shared" si="120"/>
        <v>2026</v>
      </c>
      <c r="E7745">
        <v>153417</v>
      </c>
      <c r="F7745">
        <v>513368</v>
      </c>
      <c r="G7745">
        <v>29.88</v>
      </c>
      <c r="H7745" t="s">
        <v>10</v>
      </c>
      <c r="I7745" t="s">
        <v>11</v>
      </c>
    </row>
    <row r="7746" spans="1:9" x14ac:dyDescent="0.25">
      <c r="A7746" t="s">
        <v>22</v>
      </c>
      <c r="B7746" t="s">
        <v>213</v>
      </c>
      <c r="C7746">
        <v>202604</v>
      </c>
      <c r="D7746" t="str">
        <f t="shared" si="120"/>
        <v>2026</v>
      </c>
      <c r="E7746">
        <v>372</v>
      </c>
      <c r="F7746">
        <v>513368</v>
      </c>
      <c r="G7746">
        <v>7.0000000000000007E-2</v>
      </c>
      <c r="H7746" t="s">
        <v>10</v>
      </c>
      <c r="I7746" t="s">
        <v>11</v>
      </c>
    </row>
    <row r="7747" spans="1:9" x14ac:dyDescent="0.25">
      <c r="A7747" t="s">
        <v>22</v>
      </c>
      <c r="B7747" t="s">
        <v>23</v>
      </c>
      <c r="C7747">
        <v>202501</v>
      </c>
      <c r="D7747" t="str">
        <f t="shared" ref="D7747:D7810" si="121">LEFT(C7747,4)</f>
        <v>2025</v>
      </c>
      <c r="E7747">
        <v>255841</v>
      </c>
      <c r="F7747">
        <v>1737885</v>
      </c>
      <c r="G7747">
        <v>14.72</v>
      </c>
      <c r="H7747" t="s">
        <v>10</v>
      </c>
      <c r="I7747" t="s">
        <v>11</v>
      </c>
    </row>
    <row r="7748" spans="1:9" x14ac:dyDescent="0.25">
      <c r="A7748" t="s">
        <v>22</v>
      </c>
      <c r="B7748" t="s">
        <v>23</v>
      </c>
      <c r="C7748">
        <v>202502</v>
      </c>
      <c r="D7748" t="str">
        <f t="shared" si="121"/>
        <v>2025</v>
      </c>
      <c r="E7748">
        <v>244635</v>
      </c>
      <c r="F7748">
        <v>1737885</v>
      </c>
      <c r="G7748">
        <v>14.08</v>
      </c>
      <c r="H7748" t="s">
        <v>10</v>
      </c>
      <c r="I7748" t="s">
        <v>11</v>
      </c>
    </row>
    <row r="7749" spans="1:9" x14ac:dyDescent="0.25">
      <c r="A7749" t="s">
        <v>22</v>
      </c>
      <c r="B7749" t="s">
        <v>23</v>
      </c>
      <c r="C7749">
        <v>202503</v>
      </c>
      <c r="D7749" t="str">
        <f t="shared" si="121"/>
        <v>2025</v>
      </c>
      <c r="E7749">
        <v>276219</v>
      </c>
      <c r="F7749">
        <v>1737885</v>
      </c>
      <c r="G7749">
        <v>15.89</v>
      </c>
      <c r="H7749" t="s">
        <v>10</v>
      </c>
      <c r="I7749" t="s">
        <v>11</v>
      </c>
    </row>
    <row r="7750" spans="1:9" x14ac:dyDescent="0.25">
      <c r="A7750" t="s">
        <v>22</v>
      </c>
      <c r="B7750" t="s">
        <v>23</v>
      </c>
      <c r="C7750">
        <v>202504</v>
      </c>
      <c r="D7750" t="str">
        <f t="shared" si="121"/>
        <v>2025</v>
      </c>
      <c r="E7750">
        <v>285606</v>
      </c>
      <c r="F7750">
        <v>1737885</v>
      </c>
      <c r="G7750">
        <v>16.43</v>
      </c>
      <c r="H7750" t="s">
        <v>10</v>
      </c>
      <c r="I7750" t="s">
        <v>11</v>
      </c>
    </row>
    <row r="7751" spans="1:9" x14ac:dyDescent="0.25">
      <c r="A7751" t="s">
        <v>22</v>
      </c>
      <c r="B7751" t="s">
        <v>23</v>
      </c>
      <c r="C7751">
        <v>202505</v>
      </c>
      <c r="D7751" t="str">
        <f t="shared" si="121"/>
        <v>2025</v>
      </c>
      <c r="E7751">
        <v>266780</v>
      </c>
      <c r="F7751">
        <v>1737885</v>
      </c>
      <c r="G7751">
        <v>15.35</v>
      </c>
      <c r="H7751" t="s">
        <v>10</v>
      </c>
      <c r="I7751" t="s">
        <v>11</v>
      </c>
    </row>
    <row r="7752" spans="1:9" x14ac:dyDescent="0.25">
      <c r="A7752" t="s">
        <v>22</v>
      </c>
      <c r="B7752" t="s">
        <v>23</v>
      </c>
      <c r="C7752">
        <v>202506</v>
      </c>
      <c r="D7752" t="str">
        <f t="shared" si="121"/>
        <v>2025</v>
      </c>
      <c r="E7752">
        <v>247621</v>
      </c>
      <c r="F7752">
        <v>1737885</v>
      </c>
      <c r="G7752">
        <v>14.25</v>
      </c>
      <c r="H7752" t="s">
        <v>10</v>
      </c>
      <c r="I7752" t="s">
        <v>11</v>
      </c>
    </row>
    <row r="7753" spans="1:9" x14ac:dyDescent="0.25">
      <c r="A7753" t="s">
        <v>22</v>
      </c>
      <c r="B7753" t="s">
        <v>23</v>
      </c>
      <c r="C7753">
        <v>202507</v>
      </c>
      <c r="D7753" t="str">
        <f t="shared" si="121"/>
        <v>2025</v>
      </c>
      <c r="E7753">
        <v>156108</v>
      </c>
      <c r="F7753">
        <v>1737885</v>
      </c>
      <c r="G7753">
        <v>8.98</v>
      </c>
      <c r="H7753" t="s">
        <v>10</v>
      </c>
      <c r="I7753" t="s">
        <v>11</v>
      </c>
    </row>
    <row r="7754" spans="1:9" x14ac:dyDescent="0.25">
      <c r="A7754" t="s">
        <v>22</v>
      </c>
      <c r="B7754" t="s">
        <v>23</v>
      </c>
      <c r="C7754">
        <v>202508</v>
      </c>
      <c r="D7754" t="str">
        <f t="shared" si="121"/>
        <v>2025</v>
      </c>
      <c r="E7754">
        <v>5075</v>
      </c>
      <c r="F7754">
        <v>1737885</v>
      </c>
      <c r="G7754">
        <v>0.28999999999999998</v>
      </c>
      <c r="H7754" t="s">
        <v>10</v>
      </c>
      <c r="I7754" t="s">
        <v>11</v>
      </c>
    </row>
    <row r="7755" spans="1:9" x14ac:dyDescent="0.25">
      <c r="A7755" t="s">
        <v>22</v>
      </c>
      <c r="B7755" t="s">
        <v>100</v>
      </c>
      <c r="C7755">
        <v>202501</v>
      </c>
      <c r="D7755" t="str">
        <f t="shared" si="121"/>
        <v>2025</v>
      </c>
      <c r="E7755">
        <v>265688</v>
      </c>
      <c r="F7755">
        <v>2795359</v>
      </c>
      <c r="G7755">
        <v>9.5</v>
      </c>
      <c r="H7755" t="s">
        <v>10</v>
      </c>
      <c r="I7755" t="s">
        <v>11</v>
      </c>
    </row>
    <row r="7756" spans="1:9" x14ac:dyDescent="0.25">
      <c r="A7756" t="s">
        <v>22</v>
      </c>
      <c r="B7756" t="s">
        <v>100</v>
      </c>
      <c r="C7756">
        <v>202502</v>
      </c>
      <c r="D7756" t="str">
        <f t="shared" si="121"/>
        <v>2025</v>
      </c>
      <c r="E7756">
        <v>254666</v>
      </c>
      <c r="F7756">
        <v>2795359</v>
      </c>
      <c r="G7756">
        <v>9.11</v>
      </c>
      <c r="H7756" t="s">
        <v>10</v>
      </c>
      <c r="I7756" t="s">
        <v>11</v>
      </c>
    </row>
    <row r="7757" spans="1:9" x14ac:dyDescent="0.25">
      <c r="A7757" t="s">
        <v>22</v>
      </c>
      <c r="B7757" t="s">
        <v>100</v>
      </c>
      <c r="C7757">
        <v>202503</v>
      </c>
      <c r="D7757" t="str">
        <f t="shared" si="121"/>
        <v>2025</v>
      </c>
      <c r="E7757">
        <v>289018</v>
      </c>
      <c r="F7757">
        <v>2795359</v>
      </c>
      <c r="G7757">
        <v>10.34</v>
      </c>
      <c r="H7757" t="s">
        <v>10</v>
      </c>
      <c r="I7757" t="s">
        <v>11</v>
      </c>
    </row>
    <row r="7758" spans="1:9" x14ac:dyDescent="0.25">
      <c r="A7758" t="s">
        <v>22</v>
      </c>
      <c r="B7758" t="s">
        <v>100</v>
      </c>
      <c r="C7758">
        <v>202504</v>
      </c>
      <c r="D7758" t="str">
        <f t="shared" si="121"/>
        <v>2025</v>
      </c>
      <c r="E7758">
        <v>299203</v>
      </c>
      <c r="F7758">
        <v>2795359</v>
      </c>
      <c r="G7758">
        <v>10.7</v>
      </c>
      <c r="H7758" t="s">
        <v>10</v>
      </c>
      <c r="I7758" t="s">
        <v>11</v>
      </c>
    </row>
    <row r="7759" spans="1:9" x14ac:dyDescent="0.25">
      <c r="A7759" t="s">
        <v>22</v>
      </c>
      <c r="B7759" t="s">
        <v>100</v>
      </c>
      <c r="C7759">
        <v>202505</v>
      </c>
      <c r="D7759" t="str">
        <f t="shared" si="121"/>
        <v>2025</v>
      </c>
      <c r="E7759">
        <v>286425</v>
      </c>
      <c r="F7759">
        <v>2795359</v>
      </c>
      <c r="G7759">
        <v>10.25</v>
      </c>
      <c r="H7759" t="s">
        <v>10</v>
      </c>
      <c r="I7759" t="s">
        <v>11</v>
      </c>
    </row>
    <row r="7760" spans="1:9" x14ac:dyDescent="0.25">
      <c r="A7760" t="s">
        <v>22</v>
      </c>
      <c r="B7760" t="s">
        <v>100</v>
      </c>
      <c r="C7760">
        <v>202506</v>
      </c>
      <c r="D7760" t="str">
        <f t="shared" si="121"/>
        <v>2025</v>
      </c>
      <c r="E7760">
        <v>273076</v>
      </c>
      <c r="F7760">
        <v>2795359</v>
      </c>
      <c r="G7760">
        <v>9.77</v>
      </c>
      <c r="H7760" t="s">
        <v>10</v>
      </c>
      <c r="I7760" t="s">
        <v>11</v>
      </c>
    </row>
    <row r="7761" spans="1:9" x14ac:dyDescent="0.25">
      <c r="A7761" t="s">
        <v>22</v>
      </c>
      <c r="B7761" t="s">
        <v>100</v>
      </c>
      <c r="C7761">
        <v>202507</v>
      </c>
      <c r="D7761" t="str">
        <f t="shared" si="121"/>
        <v>2025</v>
      </c>
      <c r="E7761">
        <v>246885</v>
      </c>
      <c r="F7761">
        <v>2795359</v>
      </c>
      <c r="G7761">
        <v>8.83</v>
      </c>
      <c r="H7761" t="s">
        <v>10</v>
      </c>
      <c r="I7761" t="s">
        <v>11</v>
      </c>
    </row>
    <row r="7762" spans="1:9" x14ac:dyDescent="0.25">
      <c r="A7762" t="s">
        <v>22</v>
      </c>
      <c r="B7762" t="s">
        <v>100</v>
      </c>
      <c r="C7762">
        <v>202508</v>
      </c>
      <c r="D7762" t="str">
        <f t="shared" si="121"/>
        <v>2025</v>
      </c>
      <c r="E7762">
        <v>234654</v>
      </c>
      <c r="F7762">
        <v>2795359</v>
      </c>
      <c r="G7762">
        <v>8.39</v>
      </c>
      <c r="H7762" t="s">
        <v>10</v>
      </c>
      <c r="I7762" t="s">
        <v>11</v>
      </c>
    </row>
    <row r="7763" spans="1:9" x14ac:dyDescent="0.25">
      <c r="A7763" t="s">
        <v>22</v>
      </c>
      <c r="B7763" t="s">
        <v>100</v>
      </c>
      <c r="C7763">
        <v>202509</v>
      </c>
      <c r="D7763" t="str">
        <f t="shared" si="121"/>
        <v>2025</v>
      </c>
      <c r="E7763">
        <v>241003</v>
      </c>
      <c r="F7763">
        <v>2795359</v>
      </c>
      <c r="G7763">
        <v>8.6199999999999992</v>
      </c>
      <c r="H7763" t="s">
        <v>10</v>
      </c>
      <c r="I7763" t="s">
        <v>11</v>
      </c>
    </row>
    <row r="7764" spans="1:9" x14ac:dyDescent="0.25">
      <c r="A7764" t="s">
        <v>22</v>
      </c>
      <c r="B7764" t="s">
        <v>100</v>
      </c>
      <c r="C7764">
        <v>202510</v>
      </c>
      <c r="D7764" t="str">
        <f t="shared" si="121"/>
        <v>2025</v>
      </c>
      <c r="E7764">
        <v>259113</v>
      </c>
      <c r="F7764">
        <v>2795359</v>
      </c>
      <c r="G7764">
        <v>9.27</v>
      </c>
      <c r="H7764" t="s">
        <v>10</v>
      </c>
      <c r="I7764" t="s">
        <v>11</v>
      </c>
    </row>
    <row r="7765" spans="1:9" x14ac:dyDescent="0.25">
      <c r="A7765" t="s">
        <v>22</v>
      </c>
      <c r="B7765" t="s">
        <v>100</v>
      </c>
      <c r="C7765">
        <v>202511</v>
      </c>
      <c r="D7765" t="str">
        <f t="shared" si="121"/>
        <v>2025</v>
      </c>
      <c r="E7765">
        <v>144082</v>
      </c>
      <c r="F7765">
        <v>2795359</v>
      </c>
      <c r="G7765">
        <v>5.15</v>
      </c>
      <c r="H7765" t="s">
        <v>10</v>
      </c>
      <c r="I7765" t="s">
        <v>11</v>
      </c>
    </row>
    <row r="7766" spans="1:9" x14ac:dyDescent="0.25">
      <c r="A7766" t="s">
        <v>22</v>
      </c>
      <c r="B7766" t="s">
        <v>100</v>
      </c>
      <c r="C7766">
        <v>202512</v>
      </c>
      <c r="D7766" t="str">
        <f t="shared" si="121"/>
        <v>2025</v>
      </c>
      <c r="E7766">
        <v>1546</v>
      </c>
      <c r="F7766">
        <v>2795359</v>
      </c>
      <c r="G7766">
        <v>0.06</v>
      </c>
      <c r="H7766" t="s">
        <v>10</v>
      </c>
      <c r="I7766" t="s">
        <v>11</v>
      </c>
    </row>
    <row r="7767" spans="1:9" x14ac:dyDescent="0.25">
      <c r="A7767" t="s">
        <v>22</v>
      </c>
      <c r="B7767" t="s">
        <v>220</v>
      </c>
      <c r="C7767">
        <v>202501</v>
      </c>
      <c r="D7767" t="str">
        <f t="shared" si="121"/>
        <v>2025</v>
      </c>
      <c r="E7767">
        <v>271698</v>
      </c>
      <c r="F7767">
        <v>3154391</v>
      </c>
      <c r="G7767">
        <v>8.61</v>
      </c>
      <c r="H7767" t="s">
        <v>10</v>
      </c>
      <c r="I7767" t="s">
        <v>11</v>
      </c>
    </row>
    <row r="7768" spans="1:9" x14ac:dyDescent="0.25">
      <c r="A7768" t="s">
        <v>22</v>
      </c>
      <c r="B7768" t="s">
        <v>220</v>
      </c>
      <c r="C7768">
        <v>202502</v>
      </c>
      <c r="D7768" t="str">
        <f t="shared" si="121"/>
        <v>2025</v>
      </c>
      <c r="E7768">
        <v>259756</v>
      </c>
      <c r="F7768">
        <v>3154391</v>
      </c>
      <c r="G7768">
        <v>8.23</v>
      </c>
      <c r="H7768" t="s">
        <v>10</v>
      </c>
      <c r="I7768" t="s">
        <v>11</v>
      </c>
    </row>
    <row r="7769" spans="1:9" x14ac:dyDescent="0.25">
      <c r="A7769" t="s">
        <v>22</v>
      </c>
      <c r="B7769" t="s">
        <v>220</v>
      </c>
      <c r="C7769">
        <v>202503</v>
      </c>
      <c r="D7769" t="str">
        <f t="shared" si="121"/>
        <v>2025</v>
      </c>
      <c r="E7769">
        <v>290942</v>
      </c>
      <c r="F7769">
        <v>3154391</v>
      </c>
      <c r="G7769">
        <v>9.2200000000000006</v>
      </c>
      <c r="H7769" t="s">
        <v>10</v>
      </c>
      <c r="I7769" t="s">
        <v>11</v>
      </c>
    </row>
    <row r="7770" spans="1:9" x14ac:dyDescent="0.25">
      <c r="A7770" t="s">
        <v>22</v>
      </c>
      <c r="B7770" t="s">
        <v>220</v>
      </c>
      <c r="C7770">
        <v>202504</v>
      </c>
      <c r="D7770" t="str">
        <f t="shared" si="121"/>
        <v>2025</v>
      </c>
      <c r="E7770">
        <v>299937</v>
      </c>
      <c r="F7770">
        <v>3154391</v>
      </c>
      <c r="G7770">
        <v>9.51</v>
      </c>
      <c r="H7770" t="s">
        <v>10</v>
      </c>
      <c r="I7770" t="s">
        <v>11</v>
      </c>
    </row>
    <row r="7771" spans="1:9" x14ac:dyDescent="0.25">
      <c r="A7771" t="s">
        <v>22</v>
      </c>
      <c r="B7771" t="s">
        <v>220</v>
      </c>
      <c r="C7771">
        <v>202505</v>
      </c>
      <c r="D7771" t="str">
        <f t="shared" si="121"/>
        <v>2025</v>
      </c>
      <c r="E7771">
        <v>287107</v>
      </c>
      <c r="F7771">
        <v>3154391</v>
      </c>
      <c r="G7771">
        <v>9.1</v>
      </c>
      <c r="H7771" t="s">
        <v>10</v>
      </c>
      <c r="I7771" t="s">
        <v>11</v>
      </c>
    </row>
    <row r="7772" spans="1:9" x14ac:dyDescent="0.25">
      <c r="A7772" t="s">
        <v>22</v>
      </c>
      <c r="B7772" t="s">
        <v>220</v>
      </c>
      <c r="C7772">
        <v>202506</v>
      </c>
      <c r="D7772" t="str">
        <f t="shared" si="121"/>
        <v>2025</v>
      </c>
      <c r="E7772">
        <v>273639</v>
      </c>
      <c r="F7772">
        <v>3154391</v>
      </c>
      <c r="G7772">
        <v>8.67</v>
      </c>
      <c r="H7772" t="s">
        <v>10</v>
      </c>
      <c r="I7772" t="s">
        <v>11</v>
      </c>
    </row>
    <row r="7773" spans="1:9" x14ac:dyDescent="0.25">
      <c r="A7773" t="s">
        <v>22</v>
      </c>
      <c r="B7773" t="s">
        <v>220</v>
      </c>
      <c r="C7773">
        <v>202507</v>
      </c>
      <c r="D7773" t="str">
        <f t="shared" si="121"/>
        <v>2025</v>
      </c>
      <c r="E7773">
        <v>250606</v>
      </c>
      <c r="F7773">
        <v>3154391</v>
      </c>
      <c r="G7773">
        <v>7.94</v>
      </c>
      <c r="H7773" t="s">
        <v>10</v>
      </c>
      <c r="I7773" t="s">
        <v>11</v>
      </c>
    </row>
    <row r="7774" spans="1:9" x14ac:dyDescent="0.25">
      <c r="A7774" t="s">
        <v>22</v>
      </c>
      <c r="B7774" t="s">
        <v>220</v>
      </c>
      <c r="C7774">
        <v>202508</v>
      </c>
      <c r="D7774" t="str">
        <f t="shared" si="121"/>
        <v>2025</v>
      </c>
      <c r="E7774">
        <v>238348</v>
      </c>
      <c r="F7774">
        <v>3154391</v>
      </c>
      <c r="G7774">
        <v>7.56</v>
      </c>
      <c r="H7774" t="s">
        <v>10</v>
      </c>
      <c r="I7774" t="s">
        <v>11</v>
      </c>
    </row>
    <row r="7775" spans="1:9" x14ac:dyDescent="0.25">
      <c r="A7775" t="s">
        <v>22</v>
      </c>
      <c r="B7775" t="s">
        <v>220</v>
      </c>
      <c r="C7775">
        <v>202509</v>
      </c>
      <c r="D7775" t="str">
        <f t="shared" si="121"/>
        <v>2025</v>
      </c>
      <c r="E7775">
        <v>247019</v>
      </c>
      <c r="F7775">
        <v>3154391</v>
      </c>
      <c r="G7775">
        <v>7.83</v>
      </c>
      <c r="H7775" t="s">
        <v>10</v>
      </c>
      <c r="I7775" t="s">
        <v>11</v>
      </c>
    </row>
    <row r="7776" spans="1:9" x14ac:dyDescent="0.25">
      <c r="A7776" t="s">
        <v>22</v>
      </c>
      <c r="B7776" t="s">
        <v>220</v>
      </c>
      <c r="C7776">
        <v>202510</v>
      </c>
      <c r="D7776" t="str">
        <f t="shared" si="121"/>
        <v>2025</v>
      </c>
      <c r="E7776">
        <v>272773</v>
      </c>
      <c r="F7776">
        <v>3154391</v>
      </c>
      <c r="G7776">
        <v>8.65</v>
      </c>
      <c r="H7776" t="s">
        <v>10</v>
      </c>
      <c r="I7776" t="s">
        <v>11</v>
      </c>
    </row>
    <row r="7777" spans="1:9" x14ac:dyDescent="0.25">
      <c r="A7777" t="s">
        <v>22</v>
      </c>
      <c r="B7777" t="s">
        <v>220</v>
      </c>
      <c r="C7777">
        <v>202511</v>
      </c>
      <c r="D7777" t="str">
        <f t="shared" si="121"/>
        <v>2025</v>
      </c>
      <c r="E7777">
        <v>229065</v>
      </c>
      <c r="F7777">
        <v>3154391</v>
      </c>
      <c r="G7777">
        <v>7.26</v>
      </c>
      <c r="H7777" t="s">
        <v>10</v>
      </c>
      <c r="I7777" t="s">
        <v>11</v>
      </c>
    </row>
    <row r="7778" spans="1:9" x14ac:dyDescent="0.25">
      <c r="A7778" t="s">
        <v>22</v>
      </c>
      <c r="B7778" t="s">
        <v>220</v>
      </c>
      <c r="C7778">
        <v>202512</v>
      </c>
      <c r="D7778" t="str">
        <f t="shared" si="121"/>
        <v>2025</v>
      </c>
      <c r="E7778">
        <v>233501</v>
      </c>
      <c r="F7778">
        <v>3154391</v>
      </c>
      <c r="G7778">
        <v>7.4</v>
      </c>
      <c r="H7778" t="s">
        <v>10</v>
      </c>
      <c r="I7778" t="s">
        <v>11</v>
      </c>
    </row>
    <row r="7779" spans="1:9" x14ac:dyDescent="0.25">
      <c r="A7779" t="s">
        <v>22</v>
      </c>
      <c r="B7779" t="s">
        <v>237</v>
      </c>
      <c r="C7779">
        <v>202601</v>
      </c>
      <c r="D7779" t="str">
        <f t="shared" si="121"/>
        <v>2026</v>
      </c>
      <c r="E7779">
        <v>106750</v>
      </c>
      <c r="F7779">
        <v>107125</v>
      </c>
      <c r="G7779">
        <v>99.65</v>
      </c>
      <c r="H7779" t="s">
        <v>10</v>
      </c>
      <c r="I7779" t="s">
        <v>11</v>
      </c>
    </row>
    <row r="7780" spans="1:9" x14ac:dyDescent="0.25">
      <c r="A7780" t="s">
        <v>22</v>
      </c>
      <c r="B7780" t="s">
        <v>237</v>
      </c>
      <c r="C7780">
        <v>202602</v>
      </c>
      <c r="D7780" t="str">
        <f t="shared" si="121"/>
        <v>2026</v>
      </c>
      <c r="E7780">
        <v>375</v>
      </c>
      <c r="F7780">
        <v>107125</v>
      </c>
      <c r="G7780">
        <v>0.35</v>
      </c>
      <c r="H7780" t="s">
        <v>10</v>
      </c>
      <c r="I7780" t="s">
        <v>11</v>
      </c>
    </row>
    <row r="7781" spans="1:9" x14ac:dyDescent="0.25">
      <c r="A7781" t="s">
        <v>22</v>
      </c>
      <c r="B7781" t="s">
        <v>42</v>
      </c>
      <c r="C7781">
        <v>202501</v>
      </c>
      <c r="D7781" t="str">
        <f t="shared" si="121"/>
        <v>2025</v>
      </c>
      <c r="E7781">
        <v>265332</v>
      </c>
      <c r="F7781">
        <v>3038098</v>
      </c>
      <c r="G7781">
        <v>8.73</v>
      </c>
      <c r="H7781" t="s">
        <v>10</v>
      </c>
      <c r="I7781" t="s">
        <v>11</v>
      </c>
    </row>
    <row r="7782" spans="1:9" x14ac:dyDescent="0.25">
      <c r="A7782" t="s">
        <v>22</v>
      </c>
      <c r="B7782" t="s">
        <v>42</v>
      </c>
      <c r="C7782">
        <v>202502</v>
      </c>
      <c r="D7782" t="str">
        <f t="shared" si="121"/>
        <v>2025</v>
      </c>
      <c r="E7782">
        <v>254460</v>
      </c>
      <c r="F7782">
        <v>3038098</v>
      </c>
      <c r="G7782">
        <v>8.3800000000000008</v>
      </c>
      <c r="H7782" t="s">
        <v>10</v>
      </c>
      <c r="I7782" t="s">
        <v>11</v>
      </c>
    </row>
    <row r="7783" spans="1:9" x14ac:dyDescent="0.25">
      <c r="A7783" t="s">
        <v>22</v>
      </c>
      <c r="B7783" t="s">
        <v>42</v>
      </c>
      <c r="C7783">
        <v>202503</v>
      </c>
      <c r="D7783" t="str">
        <f t="shared" si="121"/>
        <v>2025</v>
      </c>
      <c r="E7783">
        <v>288832</v>
      </c>
      <c r="F7783">
        <v>3038098</v>
      </c>
      <c r="G7783">
        <v>9.51</v>
      </c>
      <c r="H7783" t="s">
        <v>10</v>
      </c>
      <c r="I7783" t="s">
        <v>11</v>
      </c>
    </row>
    <row r="7784" spans="1:9" x14ac:dyDescent="0.25">
      <c r="A7784" t="s">
        <v>22</v>
      </c>
      <c r="B7784" t="s">
        <v>42</v>
      </c>
      <c r="C7784">
        <v>202504</v>
      </c>
      <c r="D7784" t="str">
        <f t="shared" si="121"/>
        <v>2025</v>
      </c>
      <c r="E7784">
        <v>299048</v>
      </c>
      <c r="F7784">
        <v>3038098</v>
      </c>
      <c r="G7784">
        <v>9.84</v>
      </c>
      <c r="H7784" t="s">
        <v>10</v>
      </c>
      <c r="I7784" t="s">
        <v>11</v>
      </c>
    </row>
    <row r="7785" spans="1:9" x14ac:dyDescent="0.25">
      <c r="A7785" t="s">
        <v>22</v>
      </c>
      <c r="B7785" t="s">
        <v>42</v>
      </c>
      <c r="C7785">
        <v>202505</v>
      </c>
      <c r="D7785" t="str">
        <f t="shared" si="121"/>
        <v>2025</v>
      </c>
      <c r="E7785">
        <v>286455</v>
      </c>
      <c r="F7785">
        <v>3038098</v>
      </c>
      <c r="G7785">
        <v>9.43</v>
      </c>
      <c r="H7785" t="s">
        <v>10</v>
      </c>
      <c r="I7785" t="s">
        <v>11</v>
      </c>
    </row>
    <row r="7786" spans="1:9" x14ac:dyDescent="0.25">
      <c r="A7786" t="s">
        <v>22</v>
      </c>
      <c r="B7786" t="s">
        <v>42</v>
      </c>
      <c r="C7786">
        <v>202506</v>
      </c>
      <c r="D7786" t="str">
        <f t="shared" si="121"/>
        <v>2025</v>
      </c>
      <c r="E7786">
        <v>273151</v>
      </c>
      <c r="F7786">
        <v>3038098</v>
      </c>
      <c r="G7786">
        <v>8.99</v>
      </c>
      <c r="H7786" t="s">
        <v>10</v>
      </c>
      <c r="I7786" t="s">
        <v>11</v>
      </c>
    </row>
    <row r="7787" spans="1:9" x14ac:dyDescent="0.25">
      <c r="A7787" t="s">
        <v>22</v>
      </c>
      <c r="B7787" t="s">
        <v>42</v>
      </c>
      <c r="C7787">
        <v>202507</v>
      </c>
      <c r="D7787" t="str">
        <f t="shared" si="121"/>
        <v>2025</v>
      </c>
      <c r="E7787">
        <v>247005</v>
      </c>
      <c r="F7787">
        <v>3038098</v>
      </c>
      <c r="G7787">
        <v>8.1300000000000008</v>
      </c>
      <c r="H7787" t="s">
        <v>10</v>
      </c>
      <c r="I7787" t="s">
        <v>11</v>
      </c>
    </row>
    <row r="7788" spans="1:9" x14ac:dyDescent="0.25">
      <c r="A7788" t="s">
        <v>22</v>
      </c>
      <c r="B7788" t="s">
        <v>42</v>
      </c>
      <c r="C7788">
        <v>202508</v>
      </c>
      <c r="D7788" t="str">
        <f t="shared" si="121"/>
        <v>2025</v>
      </c>
      <c r="E7788">
        <v>235090</v>
      </c>
      <c r="F7788">
        <v>3038098</v>
      </c>
      <c r="G7788">
        <v>7.74</v>
      </c>
      <c r="H7788" t="s">
        <v>10</v>
      </c>
      <c r="I7788" t="s">
        <v>11</v>
      </c>
    </row>
    <row r="7789" spans="1:9" x14ac:dyDescent="0.25">
      <c r="A7789" t="s">
        <v>22</v>
      </c>
      <c r="B7789" t="s">
        <v>42</v>
      </c>
      <c r="C7789">
        <v>202509</v>
      </c>
      <c r="D7789" t="str">
        <f t="shared" si="121"/>
        <v>2025</v>
      </c>
      <c r="E7789">
        <v>242632</v>
      </c>
      <c r="F7789">
        <v>3038098</v>
      </c>
      <c r="G7789">
        <v>7.99</v>
      </c>
      <c r="H7789" t="s">
        <v>10</v>
      </c>
      <c r="I7789" t="s">
        <v>11</v>
      </c>
    </row>
    <row r="7790" spans="1:9" x14ac:dyDescent="0.25">
      <c r="A7790" t="s">
        <v>22</v>
      </c>
      <c r="B7790" t="s">
        <v>42</v>
      </c>
      <c r="C7790">
        <v>202510</v>
      </c>
      <c r="D7790" t="str">
        <f t="shared" si="121"/>
        <v>2025</v>
      </c>
      <c r="E7790">
        <v>267316</v>
      </c>
      <c r="F7790">
        <v>3038098</v>
      </c>
      <c r="G7790">
        <v>8.8000000000000007</v>
      </c>
      <c r="H7790" t="s">
        <v>10</v>
      </c>
      <c r="I7790" t="s">
        <v>11</v>
      </c>
    </row>
    <row r="7791" spans="1:9" x14ac:dyDescent="0.25">
      <c r="A7791" t="s">
        <v>22</v>
      </c>
      <c r="B7791" t="s">
        <v>42</v>
      </c>
      <c r="C7791">
        <v>202511</v>
      </c>
      <c r="D7791" t="str">
        <f t="shared" si="121"/>
        <v>2025</v>
      </c>
      <c r="E7791">
        <v>218916</v>
      </c>
      <c r="F7791">
        <v>3038098</v>
      </c>
      <c r="G7791">
        <v>7.21</v>
      </c>
      <c r="H7791" t="s">
        <v>10</v>
      </c>
      <c r="I7791" t="s">
        <v>11</v>
      </c>
    </row>
    <row r="7792" spans="1:9" x14ac:dyDescent="0.25">
      <c r="A7792" t="s">
        <v>22</v>
      </c>
      <c r="B7792" t="s">
        <v>42</v>
      </c>
      <c r="C7792">
        <v>202512</v>
      </c>
      <c r="D7792" t="str">
        <f t="shared" si="121"/>
        <v>2025</v>
      </c>
      <c r="E7792">
        <v>159861</v>
      </c>
      <c r="F7792">
        <v>3038098</v>
      </c>
      <c r="G7792">
        <v>5.26</v>
      </c>
      <c r="H7792" t="s">
        <v>10</v>
      </c>
      <c r="I7792" t="s">
        <v>11</v>
      </c>
    </row>
    <row r="7793" spans="1:9" x14ac:dyDescent="0.25">
      <c r="A7793" t="s">
        <v>22</v>
      </c>
      <c r="B7793" t="s">
        <v>235</v>
      </c>
      <c r="C7793">
        <v>202601</v>
      </c>
      <c r="D7793" t="str">
        <f t="shared" si="121"/>
        <v>2026</v>
      </c>
      <c r="E7793">
        <v>187</v>
      </c>
      <c r="F7793">
        <v>187</v>
      </c>
      <c r="G7793">
        <v>100</v>
      </c>
      <c r="H7793" t="s">
        <v>10</v>
      </c>
      <c r="I7793" t="s">
        <v>11</v>
      </c>
    </row>
    <row r="7794" spans="1:9" x14ac:dyDescent="0.25">
      <c r="A7794" t="s">
        <v>22</v>
      </c>
      <c r="B7794" t="s">
        <v>196</v>
      </c>
      <c r="C7794">
        <v>202501</v>
      </c>
      <c r="D7794" t="str">
        <f t="shared" si="121"/>
        <v>2025</v>
      </c>
      <c r="E7794">
        <v>242574</v>
      </c>
      <c r="F7794">
        <v>1422219</v>
      </c>
      <c r="G7794">
        <v>17.059999999999999</v>
      </c>
      <c r="H7794" t="s">
        <v>10</v>
      </c>
      <c r="I7794" t="s">
        <v>11</v>
      </c>
    </row>
    <row r="7795" spans="1:9" x14ac:dyDescent="0.25">
      <c r="A7795" t="s">
        <v>22</v>
      </c>
      <c r="B7795" t="s">
        <v>196</v>
      </c>
      <c r="C7795">
        <v>202502</v>
      </c>
      <c r="D7795" t="str">
        <f t="shared" si="121"/>
        <v>2025</v>
      </c>
      <c r="E7795">
        <v>231418</v>
      </c>
      <c r="F7795">
        <v>1422219</v>
      </c>
      <c r="G7795">
        <v>16.27</v>
      </c>
      <c r="H7795" t="s">
        <v>10</v>
      </c>
      <c r="I7795" t="s">
        <v>11</v>
      </c>
    </row>
    <row r="7796" spans="1:9" x14ac:dyDescent="0.25">
      <c r="A7796" t="s">
        <v>22</v>
      </c>
      <c r="B7796" t="s">
        <v>196</v>
      </c>
      <c r="C7796">
        <v>202503</v>
      </c>
      <c r="D7796" t="str">
        <f t="shared" si="121"/>
        <v>2025</v>
      </c>
      <c r="E7796">
        <v>260631</v>
      </c>
      <c r="F7796">
        <v>1422219</v>
      </c>
      <c r="G7796">
        <v>18.329999999999998</v>
      </c>
      <c r="H7796" t="s">
        <v>10</v>
      </c>
      <c r="I7796" t="s">
        <v>11</v>
      </c>
    </row>
    <row r="7797" spans="1:9" x14ac:dyDescent="0.25">
      <c r="A7797" t="s">
        <v>22</v>
      </c>
      <c r="B7797" t="s">
        <v>196</v>
      </c>
      <c r="C7797">
        <v>202504</v>
      </c>
      <c r="D7797" t="str">
        <f t="shared" si="121"/>
        <v>2025</v>
      </c>
      <c r="E7797">
        <v>262496</v>
      </c>
      <c r="F7797">
        <v>1422219</v>
      </c>
      <c r="G7797">
        <v>18.46</v>
      </c>
      <c r="H7797" t="s">
        <v>10</v>
      </c>
      <c r="I7797" t="s">
        <v>11</v>
      </c>
    </row>
    <row r="7798" spans="1:9" x14ac:dyDescent="0.25">
      <c r="A7798" t="s">
        <v>22</v>
      </c>
      <c r="B7798" t="s">
        <v>196</v>
      </c>
      <c r="C7798">
        <v>202505</v>
      </c>
      <c r="D7798" t="str">
        <f t="shared" si="121"/>
        <v>2025</v>
      </c>
      <c r="E7798">
        <v>246322</v>
      </c>
      <c r="F7798">
        <v>1422219</v>
      </c>
      <c r="G7798">
        <v>17.32</v>
      </c>
      <c r="H7798" t="s">
        <v>10</v>
      </c>
      <c r="I7798" t="s">
        <v>11</v>
      </c>
    </row>
    <row r="7799" spans="1:9" x14ac:dyDescent="0.25">
      <c r="A7799" t="s">
        <v>22</v>
      </c>
      <c r="B7799" t="s">
        <v>196</v>
      </c>
      <c r="C7799">
        <v>202506</v>
      </c>
      <c r="D7799" t="str">
        <f t="shared" si="121"/>
        <v>2025</v>
      </c>
      <c r="E7799">
        <v>169192</v>
      </c>
      <c r="F7799">
        <v>1422219</v>
      </c>
      <c r="G7799">
        <v>11.9</v>
      </c>
      <c r="H7799" t="s">
        <v>10</v>
      </c>
      <c r="I7799" t="s">
        <v>11</v>
      </c>
    </row>
    <row r="7800" spans="1:9" x14ac:dyDescent="0.25">
      <c r="A7800" t="s">
        <v>22</v>
      </c>
      <c r="B7800" t="s">
        <v>196</v>
      </c>
      <c r="C7800">
        <v>202507</v>
      </c>
      <c r="D7800" t="str">
        <f t="shared" si="121"/>
        <v>2025</v>
      </c>
      <c r="E7800">
        <v>9586</v>
      </c>
      <c r="F7800">
        <v>1422219</v>
      </c>
      <c r="G7800">
        <v>0.67</v>
      </c>
      <c r="H7800" t="s">
        <v>10</v>
      </c>
      <c r="I7800" t="s">
        <v>11</v>
      </c>
    </row>
    <row r="7801" spans="1:9" x14ac:dyDescent="0.25">
      <c r="A7801" t="s">
        <v>22</v>
      </c>
      <c r="B7801" t="s">
        <v>208</v>
      </c>
      <c r="C7801">
        <v>202501</v>
      </c>
      <c r="D7801" t="str">
        <f t="shared" si="121"/>
        <v>2025</v>
      </c>
      <c r="E7801">
        <v>234587</v>
      </c>
      <c r="F7801">
        <v>1100977</v>
      </c>
      <c r="G7801">
        <v>21.31</v>
      </c>
      <c r="H7801" t="s">
        <v>10</v>
      </c>
      <c r="I7801" t="s">
        <v>11</v>
      </c>
    </row>
    <row r="7802" spans="1:9" x14ac:dyDescent="0.25">
      <c r="A7802" t="s">
        <v>22</v>
      </c>
      <c r="B7802" t="s">
        <v>208</v>
      </c>
      <c r="C7802">
        <v>202502</v>
      </c>
      <c r="D7802" t="str">
        <f t="shared" si="121"/>
        <v>2025</v>
      </c>
      <c r="E7802">
        <v>223285</v>
      </c>
      <c r="F7802">
        <v>1100977</v>
      </c>
      <c r="G7802">
        <v>20.28</v>
      </c>
      <c r="H7802" t="s">
        <v>10</v>
      </c>
      <c r="I7802" t="s">
        <v>11</v>
      </c>
    </row>
    <row r="7803" spans="1:9" x14ac:dyDescent="0.25">
      <c r="A7803" t="s">
        <v>22</v>
      </c>
      <c r="B7803" t="s">
        <v>208</v>
      </c>
      <c r="C7803">
        <v>202503</v>
      </c>
      <c r="D7803" t="str">
        <f t="shared" si="121"/>
        <v>2025</v>
      </c>
      <c r="E7803">
        <v>243573</v>
      </c>
      <c r="F7803">
        <v>1100977</v>
      </c>
      <c r="G7803">
        <v>22.12</v>
      </c>
      <c r="H7803" t="s">
        <v>10</v>
      </c>
      <c r="I7803" t="s">
        <v>11</v>
      </c>
    </row>
    <row r="7804" spans="1:9" x14ac:dyDescent="0.25">
      <c r="A7804" t="s">
        <v>22</v>
      </c>
      <c r="B7804" t="s">
        <v>208</v>
      </c>
      <c r="C7804">
        <v>202504</v>
      </c>
      <c r="D7804" t="str">
        <f t="shared" si="121"/>
        <v>2025</v>
      </c>
      <c r="E7804">
        <v>246715</v>
      </c>
      <c r="F7804">
        <v>1100977</v>
      </c>
      <c r="G7804">
        <v>22.41</v>
      </c>
      <c r="H7804" t="s">
        <v>10</v>
      </c>
      <c r="I7804" t="s">
        <v>11</v>
      </c>
    </row>
    <row r="7805" spans="1:9" x14ac:dyDescent="0.25">
      <c r="A7805" t="s">
        <v>22</v>
      </c>
      <c r="B7805" t="s">
        <v>208</v>
      </c>
      <c r="C7805">
        <v>202505</v>
      </c>
      <c r="D7805" t="str">
        <f t="shared" si="121"/>
        <v>2025</v>
      </c>
      <c r="E7805">
        <v>147126</v>
      </c>
      <c r="F7805">
        <v>1100977</v>
      </c>
      <c r="G7805">
        <v>13.36</v>
      </c>
      <c r="H7805" t="s">
        <v>10</v>
      </c>
      <c r="I7805" t="s">
        <v>11</v>
      </c>
    </row>
    <row r="7806" spans="1:9" x14ac:dyDescent="0.25">
      <c r="A7806" t="s">
        <v>22</v>
      </c>
      <c r="B7806" t="s">
        <v>208</v>
      </c>
      <c r="C7806">
        <v>202506</v>
      </c>
      <c r="D7806" t="str">
        <f t="shared" si="121"/>
        <v>2025</v>
      </c>
      <c r="E7806">
        <v>5691</v>
      </c>
      <c r="F7806">
        <v>1100977</v>
      </c>
      <c r="G7806">
        <v>0.52</v>
      </c>
      <c r="H7806" t="s">
        <v>10</v>
      </c>
      <c r="I7806" t="s">
        <v>11</v>
      </c>
    </row>
    <row r="7807" spans="1:9" x14ac:dyDescent="0.25">
      <c r="A7807" t="s">
        <v>22</v>
      </c>
      <c r="B7807" t="s">
        <v>202</v>
      </c>
      <c r="C7807">
        <v>202501</v>
      </c>
      <c r="D7807" t="str">
        <f t="shared" si="121"/>
        <v>2025</v>
      </c>
      <c r="E7807">
        <v>272004</v>
      </c>
      <c r="F7807">
        <v>3187201</v>
      </c>
      <c r="G7807">
        <v>8.5299999999999994</v>
      </c>
      <c r="H7807" t="s">
        <v>10</v>
      </c>
      <c r="I7807" t="s">
        <v>11</v>
      </c>
    </row>
    <row r="7808" spans="1:9" x14ac:dyDescent="0.25">
      <c r="A7808" t="s">
        <v>22</v>
      </c>
      <c r="B7808" t="s">
        <v>202</v>
      </c>
      <c r="C7808">
        <v>202502</v>
      </c>
      <c r="D7808" t="str">
        <f t="shared" si="121"/>
        <v>2025</v>
      </c>
      <c r="E7808">
        <v>259996</v>
      </c>
      <c r="F7808">
        <v>3187201</v>
      </c>
      <c r="G7808">
        <v>8.16</v>
      </c>
      <c r="H7808" t="s">
        <v>10</v>
      </c>
      <c r="I7808" t="s">
        <v>11</v>
      </c>
    </row>
    <row r="7809" spans="1:9" x14ac:dyDescent="0.25">
      <c r="A7809" t="s">
        <v>22</v>
      </c>
      <c r="B7809" t="s">
        <v>202</v>
      </c>
      <c r="C7809">
        <v>202503</v>
      </c>
      <c r="D7809" t="str">
        <f t="shared" si="121"/>
        <v>2025</v>
      </c>
      <c r="E7809">
        <v>294691</v>
      </c>
      <c r="F7809">
        <v>3187201</v>
      </c>
      <c r="G7809">
        <v>9.25</v>
      </c>
      <c r="H7809" t="s">
        <v>10</v>
      </c>
      <c r="I7809" t="s">
        <v>11</v>
      </c>
    </row>
    <row r="7810" spans="1:9" x14ac:dyDescent="0.25">
      <c r="A7810" t="s">
        <v>22</v>
      </c>
      <c r="B7810" t="s">
        <v>202</v>
      </c>
      <c r="C7810">
        <v>202504</v>
      </c>
      <c r="D7810" t="str">
        <f t="shared" si="121"/>
        <v>2025</v>
      </c>
      <c r="E7810">
        <v>306997</v>
      </c>
      <c r="F7810">
        <v>3187201</v>
      </c>
      <c r="G7810">
        <v>9.6300000000000008</v>
      </c>
      <c r="H7810" t="s">
        <v>10</v>
      </c>
      <c r="I7810" t="s">
        <v>11</v>
      </c>
    </row>
    <row r="7811" spans="1:9" x14ac:dyDescent="0.25">
      <c r="A7811" t="s">
        <v>22</v>
      </c>
      <c r="B7811" t="s">
        <v>202</v>
      </c>
      <c r="C7811">
        <v>202505</v>
      </c>
      <c r="D7811" t="str">
        <f t="shared" ref="D7811:D7874" si="122">LEFT(C7811,4)</f>
        <v>2025</v>
      </c>
      <c r="E7811">
        <v>292568</v>
      </c>
      <c r="F7811">
        <v>3187201</v>
      </c>
      <c r="G7811">
        <v>9.18</v>
      </c>
      <c r="H7811" t="s">
        <v>10</v>
      </c>
      <c r="I7811" t="s">
        <v>11</v>
      </c>
    </row>
    <row r="7812" spans="1:9" x14ac:dyDescent="0.25">
      <c r="A7812" t="s">
        <v>22</v>
      </c>
      <c r="B7812" t="s">
        <v>202</v>
      </c>
      <c r="C7812">
        <v>202506</v>
      </c>
      <c r="D7812" t="str">
        <f t="shared" si="122"/>
        <v>2025</v>
      </c>
      <c r="E7812">
        <v>278205</v>
      </c>
      <c r="F7812">
        <v>3187201</v>
      </c>
      <c r="G7812">
        <v>8.73</v>
      </c>
      <c r="H7812" t="s">
        <v>10</v>
      </c>
      <c r="I7812" t="s">
        <v>11</v>
      </c>
    </row>
    <row r="7813" spans="1:9" x14ac:dyDescent="0.25">
      <c r="A7813" t="s">
        <v>22</v>
      </c>
      <c r="B7813" t="s">
        <v>202</v>
      </c>
      <c r="C7813">
        <v>202507</v>
      </c>
      <c r="D7813" t="str">
        <f t="shared" si="122"/>
        <v>2025</v>
      </c>
      <c r="E7813">
        <v>252776</v>
      </c>
      <c r="F7813">
        <v>3187201</v>
      </c>
      <c r="G7813">
        <v>7.93</v>
      </c>
      <c r="H7813" t="s">
        <v>10</v>
      </c>
      <c r="I7813" t="s">
        <v>11</v>
      </c>
    </row>
    <row r="7814" spans="1:9" x14ac:dyDescent="0.25">
      <c r="A7814" t="s">
        <v>22</v>
      </c>
      <c r="B7814" t="s">
        <v>202</v>
      </c>
      <c r="C7814">
        <v>202508</v>
      </c>
      <c r="D7814" t="str">
        <f t="shared" si="122"/>
        <v>2025</v>
      </c>
      <c r="E7814">
        <v>238496</v>
      </c>
      <c r="F7814">
        <v>3187201</v>
      </c>
      <c r="G7814">
        <v>7.48</v>
      </c>
      <c r="H7814" t="s">
        <v>10</v>
      </c>
      <c r="I7814" t="s">
        <v>11</v>
      </c>
    </row>
    <row r="7815" spans="1:9" x14ac:dyDescent="0.25">
      <c r="A7815" t="s">
        <v>22</v>
      </c>
      <c r="B7815" t="s">
        <v>202</v>
      </c>
      <c r="C7815">
        <v>202509</v>
      </c>
      <c r="D7815" t="str">
        <f t="shared" si="122"/>
        <v>2025</v>
      </c>
      <c r="E7815">
        <v>247187</v>
      </c>
      <c r="F7815">
        <v>3187201</v>
      </c>
      <c r="G7815">
        <v>7.76</v>
      </c>
      <c r="H7815" t="s">
        <v>10</v>
      </c>
      <c r="I7815" t="s">
        <v>11</v>
      </c>
    </row>
    <row r="7816" spans="1:9" x14ac:dyDescent="0.25">
      <c r="A7816" t="s">
        <v>22</v>
      </c>
      <c r="B7816" t="s">
        <v>202</v>
      </c>
      <c r="C7816">
        <v>202510</v>
      </c>
      <c r="D7816" t="str">
        <f t="shared" si="122"/>
        <v>2025</v>
      </c>
      <c r="E7816">
        <v>273491</v>
      </c>
      <c r="F7816">
        <v>3187201</v>
      </c>
      <c r="G7816">
        <v>8.58</v>
      </c>
      <c r="H7816" t="s">
        <v>10</v>
      </c>
      <c r="I7816" t="s">
        <v>11</v>
      </c>
    </row>
    <row r="7817" spans="1:9" x14ac:dyDescent="0.25">
      <c r="A7817" t="s">
        <v>22</v>
      </c>
      <c r="B7817" t="s">
        <v>202</v>
      </c>
      <c r="C7817">
        <v>202511</v>
      </c>
      <c r="D7817" t="str">
        <f t="shared" si="122"/>
        <v>2025</v>
      </c>
      <c r="E7817">
        <v>230735</v>
      </c>
      <c r="F7817">
        <v>3187201</v>
      </c>
      <c r="G7817">
        <v>7.24</v>
      </c>
      <c r="H7817" t="s">
        <v>10</v>
      </c>
      <c r="I7817" t="s">
        <v>11</v>
      </c>
    </row>
    <row r="7818" spans="1:9" x14ac:dyDescent="0.25">
      <c r="A7818" t="s">
        <v>22</v>
      </c>
      <c r="B7818" t="s">
        <v>202</v>
      </c>
      <c r="C7818">
        <v>202512</v>
      </c>
      <c r="D7818" t="str">
        <f t="shared" si="122"/>
        <v>2025</v>
      </c>
      <c r="E7818">
        <v>240055</v>
      </c>
      <c r="F7818">
        <v>3187201</v>
      </c>
      <c r="G7818">
        <v>7.53</v>
      </c>
      <c r="H7818" t="s">
        <v>10</v>
      </c>
      <c r="I7818" t="s">
        <v>11</v>
      </c>
    </row>
    <row r="7819" spans="1:9" x14ac:dyDescent="0.25">
      <c r="A7819" t="s">
        <v>22</v>
      </c>
      <c r="B7819" t="s">
        <v>209</v>
      </c>
      <c r="C7819">
        <v>202601</v>
      </c>
      <c r="D7819" t="str">
        <f t="shared" si="122"/>
        <v>2026</v>
      </c>
      <c r="E7819">
        <v>177711</v>
      </c>
      <c r="F7819">
        <v>292824</v>
      </c>
      <c r="G7819">
        <v>60.69</v>
      </c>
      <c r="H7819" t="s">
        <v>10</v>
      </c>
      <c r="I7819" t="s">
        <v>11</v>
      </c>
    </row>
    <row r="7820" spans="1:9" x14ac:dyDescent="0.25">
      <c r="A7820" t="s">
        <v>22</v>
      </c>
      <c r="B7820" t="s">
        <v>209</v>
      </c>
      <c r="C7820">
        <v>202602</v>
      </c>
      <c r="D7820" t="str">
        <f t="shared" si="122"/>
        <v>2026</v>
      </c>
      <c r="E7820">
        <v>114497</v>
      </c>
      <c r="F7820">
        <v>292824</v>
      </c>
      <c r="G7820">
        <v>39.1</v>
      </c>
      <c r="H7820" t="s">
        <v>10</v>
      </c>
      <c r="I7820" t="s">
        <v>11</v>
      </c>
    </row>
    <row r="7821" spans="1:9" x14ac:dyDescent="0.25">
      <c r="A7821" t="s">
        <v>22</v>
      </c>
      <c r="B7821" t="s">
        <v>209</v>
      </c>
      <c r="C7821">
        <v>202603</v>
      </c>
      <c r="D7821" t="str">
        <f t="shared" si="122"/>
        <v>2026</v>
      </c>
      <c r="E7821">
        <v>616</v>
      </c>
      <c r="F7821">
        <v>292824</v>
      </c>
      <c r="G7821">
        <v>0.21</v>
      </c>
      <c r="H7821" t="s">
        <v>10</v>
      </c>
      <c r="I7821" t="s">
        <v>11</v>
      </c>
    </row>
    <row r="7822" spans="1:9" x14ac:dyDescent="0.25">
      <c r="A7822" t="s">
        <v>22</v>
      </c>
      <c r="B7822" t="s">
        <v>204</v>
      </c>
      <c r="C7822">
        <v>202501</v>
      </c>
      <c r="D7822" t="str">
        <f t="shared" si="122"/>
        <v>2025</v>
      </c>
      <c r="E7822">
        <v>265553</v>
      </c>
      <c r="F7822">
        <v>2526478</v>
      </c>
      <c r="G7822">
        <v>10.51</v>
      </c>
      <c r="H7822" t="s">
        <v>10</v>
      </c>
      <c r="I7822" t="s">
        <v>11</v>
      </c>
    </row>
    <row r="7823" spans="1:9" x14ac:dyDescent="0.25">
      <c r="A7823" t="s">
        <v>22</v>
      </c>
      <c r="B7823" t="s">
        <v>204</v>
      </c>
      <c r="C7823">
        <v>202502</v>
      </c>
      <c r="D7823" t="str">
        <f t="shared" si="122"/>
        <v>2025</v>
      </c>
      <c r="E7823">
        <v>254488</v>
      </c>
      <c r="F7823">
        <v>2526478</v>
      </c>
      <c r="G7823">
        <v>10.07</v>
      </c>
      <c r="H7823" t="s">
        <v>10</v>
      </c>
      <c r="I7823" t="s">
        <v>11</v>
      </c>
    </row>
    <row r="7824" spans="1:9" x14ac:dyDescent="0.25">
      <c r="A7824" t="s">
        <v>22</v>
      </c>
      <c r="B7824" t="s">
        <v>204</v>
      </c>
      <c r="C7824">
        <v>202503</v>
      </c>
      <c r="D7824" t="str">
        <f t="shared" si="122"/>
        <v>2025</v>
      </c>
      <c r="E7824">
        <v>288935</v>
      </c>
      <c r="F7824">
        <v>2526478</v>
      </c>
      <c r="G7824">
        <v>11.44</v>
      </c>
      <c r="H7824" t="s">
        <v>10</v>
      </c>
      <c r="I7824" t="s">
        <v>11</v>
      </c>
    </row>
    <row r="7825" spans="1:9" x14ac:dyDescent="0.25">
      <c r="A7825" t="s">
        <v>22</v>
      </c>
      <c r="B7825" t="s">
        <v>204</v>
      </c>
      <c r="C7825">
        <v>202504</v>
      </c>
      <c r="D7825" t="str">
        <f t="shared" si="122"/>
        <v>2025</v>
      </c>
      <c r="E7825">
        <v>299060</v>
      </c>
      <c r="F7825">
        <v>2526478</v>
      </c>
      <c r="G7825">
        <v>11.84</v>
      </c>
      <c r="H7825" t="s">
        <v>10</v>
      </c>
      <c r="I7825" t="s">
        <v>11</v>
      </c>
    </row>
    <row r="7826" spans="1:9" x14ac:dyDescent="0.25">
      <c r="A7826" t="s">
        <v>22</v>
      </c>
      <c r="B7826" t="s">
        <v>204</v>
      </c>
      <c r="C7826">
        <v>202505</v>
      </c>
      <c r="D7826" t="str">
        <f t="shared" si="122"/>
        <v>2025</v>
      </c>
      <c r="E7826">
        <v>286299</v>
      </c>
      <c r="F7826">
        <v>2526478</v>
      </c>
      <c r="G7826">
        <v>11.33</v>
      </c>
      <c r="H7826" t="s">
        <v>10</v>
      </c>
      <c r="I7826" t="s">
        <v>11</v>
      </c>
    </row>
    <row r="7827" spans="1:9" x14ac:dyDescent="0.25">
      <c r="A7827" t="s">
        <v>22</v>
      </c>
      <c r="B7827" t="s">
        <v>204</v>
      </c>
      <c r="C7827">
        <v>202506</v>
      </c>
      <c r="D7827" t="str">
        <f t="shared" si="122"/>
        <v>2025</v>
      </c>
      <c r="E7827">
        <v>272858</v>
      </c>
      <c r="F7827">
        <v>2526478</v>
      </c>
      <c r="G7827">
        <v>10.8</v>
      </c>
      <c r="H7827" t="s">
        <v>10</v>
      </c>
      <c r="I7827" t="s">
        <v>11</v>
      </c>
    </row>
    <row r="7828" spans="1:9" x14ac:dyDescent="0.25">
      <c r="A7828" t="s">
        <v>22</v>
      </c>
      <c r="B7828" t="s">
        <v>204</v>
      </c>
      <c r="C7828">
        <v>202507</v>
      </c>
      <c r="D7828" t="str">
        <f t="shared" si="122"/>
        <v>2025</v>
      </c>
      <c r="E7828">
        <v>246359</v>
      </c>
      <c r="F7828">
        <v>2526478</v>
      </c>
      <c r="G7828">
        <v>9.75</v>
      </c>
      <c r="H7828" t="s">
        <v>10</v>
      </c>
      <c r="I7828" t="s">
        <v>11</v>
      </c>
    </row>
    <row r="7829" spans="1:9" x14ac:dyDescent="0.25">
      <c r="A7829" t="s">
        <v>22</v>
      </c>
      <c r="B7829" t="s">
        <v>204</v>
      </c>
      <c r="C7829">
        <v>202508</v>
      </c>
      <c r="D7829" t="str">
        <f t="shared" si="122"/>
        <v>2025</v>
      </c>
      <c r="E7829">
        <v>229397</v>
      </c>
      <c r="F7829">
        <v>2526478</v>
      </c>
      <c r="G7829">
        <v>9.08</v>
      </c>
      <c r="H7829" t="s">
        <v>10</v>
      </c>
      <c r="I7829" t="s">
        <v>11</v>
      </c>
    </row>
    <row r="7830" spans="1:9" x14ac:dyDescent="0.25">
      <c r="A7830" t="s">
        <v>22</v>
      </c>
      <c r="B7830" t="s">
        <v>204</v>
      </c>
      <c r="C7830">
        <v>202509</v>
      </c>
      <c r="D7830" t="str">
        <f t="shared" si="122"/>
        <v>2025</v>
      </c>
      <c r="E7830">
        <v>234936</v>
      </c>
      <c r="F7830">
        <v>2526478</v>
      </c>
      <c r="G7830">
        <v>9.3000000000000007</v>
      </c>
      <c r="H7830" t="s">
        <v>10</v>
      </c>
      <c r="I7830" t="s">
        <v>11</v>
      </c>
    </row>
    <row r="7831" spans="1:9" x14ac:dyDescent="0.25">
      <c r="A7831" t="s">
        <v>22</v>
      </c>
      <c r="B7831" t="s">
        <v>204</v>
      </c>
      <c r="C7831">
        <v>202510</v>
      </c>
      <c r="D7831" t="str">
        <f t="shared" si="122"/>
        <v>2025</v>
      </c>
      <c r="E7831">
        <v>144271</v>
      </c>
      <c r="F7831">
        <v>2526478</v>
      </c>
      <c r="G7831">
        <v>5.71</v>
      </c>
      <c r="H7831" t="s">
        <v>10</v>
      </c>
      <c r="I7831" t="s">
        <v>11</v>
      </c>
    </row>
    <row r="7832" spans="1:9" x14ac:dyDescent="0.25">
      <c r="A7832" t="s">
        <v>22</v>
      </c>
      <c r="B7832" t="s">
        <v>204</v>
      </c>
      <c r="C7832">
        <v>202511</v>
      </c>
      <c r="D7832" t="str">
        <f t="shared" si="122"/>
        <v>2025</v>
      </c>
      <c r="E7832">
        <v>4322</v>
      </c>
      <c r="F7832">
        <v>2526478</v>
      </c>
      <c r="G7832">
        <v>0.17</v>
      </c>
      <c r="H7832" t="s">
        <v>10</v>
      </c>
      <c r="I7832" t="s">
        <v>11</v>
      </c>
    </row>
    <row r="7833" spans="1:9" x14ac:dyDescent="0.25">
      <c r="A7833" t="s">
        <v>22</v>
      </c>
      <c r="B7833" t="s">
        <v>199</v>
      </c>
      <c r="C7833">
        <v>202501</v>
      </c>
      <c r="D7833" t="str">
        <f t="shared" si="122"/>
        <v>2025</v>
      </c>
      <c r="E7833">
        <v>265351</v>
      </c>
      <c r="F7833">
        <v>2301328</v>
      </c>
      <c r="G7833">
        <v>11.53</v>
      </c>
      <c r="H7833" t="s">
        <v>10</v>
      </c>
      <c r="I7833" t="s">
        <v>11</v>
      </c>
    </row>
    <row r="7834" spans="1:9" x14ac:dyDescent="0.25">
      <c r="A7834" t="s">
        <v>22</v>
      </c>
      <c r="B7834" t="s">
        <v>199</v>
      </c>
      <c r="C7834">
        <v>202502</v>
      </c>
      <c r="D7834" t="str">
        <f t="shared" si="122"/>
        <v>2025</v>
      </c>
      <c r="E7834">
        <v>254423</v>
      </c>
      <c r="F7834">
        <v>2301328</v>
      </c>
      <c r="G7834">
        <v>11.06</v>
      </c>
      <c r="H7834" t="s">
        <v>10</v>
      </c>
      <c r="I7834" t="s">
        <v>11</v>
      </c>
    </row>
    <row r="7835" spans="1:9" x14ac:dyDescent="0.25">
      <c r="A7835" t="s">
        <v>22</v>
      </c>
      <c r="B7835" t="s">
        <v>199</v>
      </c>
      <c r="C7835">
        <v>202503</v>
      </c>
      <c r="D7835" t="str">
        <f t="shared" si="122"/>
        <v>2025</v>
      </c>
      <c r="E7835">
        <v>288815</v>
      </c>
      <c r="F7835">
        <v>2301328</v>
      </c>
      <c r="G7835">
        <v>12.55</v>
      </c>
      <c r="H7835" t="s">
        <v>10</v>
      </c>
      <c r="I7835" t="s">
        <v>11</v>
      </c>
    </row>
    <row r="7836" spans="1:9" x14ac:dyDescent="0.25">
      <c r="A7836" t="s">
        <v>22</v>
      </c>
      <c r="B7836" t="s">
        <v>199</v>
      </c>
      <c r="C7836">
        <v>202504</v>
      </c>
      <c r="D7836" t="str">
        <f t="shared" si="122"/>
        <v>2025</v>
      </c>
      <c r="E7836">
        <v>298915</v>
      </c>
      <c r="F7836">
        <v>2301328</v>
      </c>
      <c r="G7836">
        <v>12.99</v>
      </c>
      <c r="H7836" t="s">
        <v>10</v>
      </c>
      <c r="I7836" t="s">
        <v>11</v>
      </c>
    </row>
    <row r="7837" spans="1:9" x14ac:dyDescent="0.25">
      <c r="A7837" t="s">
        <v>22</v>
      </c>
      <c r="B7837" t="s">
        <v>199</v>
      </c>
      <c r="C7837">
        <v>202505</v>
      </c>
      <c r="D7837" t="str">
        <f t="shared" si="122"/>
        <v>2025</v>
      </c>
      <c r="E7837">
        <v>285989</v>
      </c>
      <c r="F7837">
        <v>2301328</v>
      </c>
      <c r="G7837">
        <v>12.43</v>
      </c>
      <c r="H7837" t="s">
        <v>10</v>
      </c>
      <c r="I7837" t="s">
        <v>11</v>
      </c>
    </row>
    <row r="7838" spans="1:9" x14ac:dyDescent="0.25">
      <c r="A7838" t="s">
        <v>22</v>
      </c>
      <c r="B7838" t="s">
        <v>199</v>
      </c>
      <c r="C7838">
        <v>202506</v>
      </c>
      <c r="D7838" t="str">
        <f t="shared" si="122"/>
        <v>2025</v>
      </c>
      <c r="E7838">
        <v>272337</v>
      </c>
      <c r="F7838">
        <v>2301328</v>
      </c>
      <c r="G7838">
        <v>11.83</v>
      </c>
      <c r="H7838" t="s">
        <v>10</v>
      </c>
      <c r="I7838" t="s">
        <v>11</v>
      </c>
    </row>
    <row r="7839" spans="1:9" x14ac:dyDescent="0.25">
      <c r="A7839" t="s">
        <v>22</v>
      </c>
      <c r="B7839" t="s">
        <v>199</v>
      </c>
      <c r="C7839">
        <v>202507</v>
      </c>
      <c r="D7839" t="str">
        <f t="shared" si="122"/>
        <v>2025</v>
      </c>
      <c r="E7839">
        <v>240687</v>
      </c>
      <c r="F7839">
        <v>2301328</v>
      </c>
      <c r="G7839">
        <v>10.46</v>
      </c>
      <c r="H7839" t="s">
        <v>10</v>
      </c>
      <c r="I7839" t="s">
        <v>11</v>
      </c>
    </row>
    <row r="7840" spans="1:9" x14ac:dyDescent="0.25">
      <c r="A7840" t="s">
        <v>22</v>
      </c>
      <c r="B7840" t="s">
        <v>199</v>
      </c>
      <c r="C7840">
        <v>202508</v>
      </c>
      <c r="D7840" t="str">
        <f t="shared" si="122"/>
        <v>2025</v>
      </c>
      <c r="E7840">
        <v>224147</v>
      </c>
      <c r="F7840">
        <v>2301328</v>
      </c>
      <c r="G7840">
        <v>9.74</v>
      </c>
      <c r="H7840" t="s">
        <v>10</v>
      </c>
      <c r="I7840" t="s">
        <v>11</v>
      </c>
    </row>
    <row r="7841" spans="1:9" x14ac:dyDescent="0.25">
      <c r="A7841" t="s">
        <v>22</v>
      </c>
      <c r="B7841" t="s">
        <v>199</v>
      </c>
      <c r="C7841">
        <v>202509</v>
      </c>
      <c r="D7841" t="str">
        <f t="shared" si="122"/>
        <v>2025</v>
      </c>
      <c r="E7841">
        <v>161909</v>
      </c>
      <c r="F7841">
        <v>2301328</v>
      </c>
      <c r="G7841">
        <v>7.04</v>
      </c>
      <c r="H7841" t="s">
        <v>10</v>
      </c>
      <c r="I7841" t="s">
        <v>11</v>
      </c>
    </row>
    <row r="7842" spans="1:9" x14ac:dyDescent="0.25">
      <c r="A7842" t="s">
        <v>22</v>
      </c>
      <c r="B7842" t="s">
        <v>199</v>
      </c>
      <c r="C7842">
        <v>202510</v>
      </c>
      <c r="D7842" t="str">
        <f t="shared" si="122"/>
        <v>2025</v>
      </c>
      <c r="E7842">
        <v>8755</v>
      </c>
      <c r="F7842">
        <v>2301328</v>
      </c>
      <c r="G7842">
        <v>0.38</v>
      </c>
      <c r="H7842" t="s">
        <v>10</v>
      </c>
      <c r="I7842" t="s">
        <v>11</v>
      </c>
    </row>
    <row r="7843" spans="1:9" hidden="1" x14ac:dyDescent="0.25">
      <c r="A7843" t="s">
        <v>22</v>
      </c>
      <c r="B7843" t="s">
        <v>153</v>
      </c>
      <c r="C7843">
        <v>202401</v>
      </c>
      <c r="D7843" t="str">
        <f t="shared" si="122"/>
        <v>2024</v>
      </c>
      <c r="E7843">
        <v>229486</v>
      </c>
      <c r="F7843">
        <v>2897157</v>
      </c>
      <c r="G7843">
        <v>7.92</v>
      </c>
      <c r="H7843" t="s">
        <v>10</v>
      </c>
      <c r="I7843" t="s">
        <v>11</v>
      </c>
    </row>
    <row r="7844" spans="1:9" hidden="1" x14ac:dyDescent="0.25">
      <c r="A7844" t="s">
        <v>22</v>
      </c>
      <c r="B7844" t="s">
        <v>153</v>
      </c>
      <c r="C7844">
        <v>202402</v>
      </c>
      <c r="D7844" t="str">
        <f t="shared" si="122"/>
        <v>2024</v>
      </c>
      <c r="E7844">
        <v>224390</v>
      </c>
      <c r="F7844">
        <v>2897157</v>
      </c>
      <c r="G7844">
        <v>7.75</v>
      </c>
      <c r="H7844" t="s">
        <v>10</v>
      </c>
      <c r="I7844" t="s">
        <v>11</v>
      </c>
    </row>
    <row r="7845" spans="1:9" hidden="1" x14ac:dyDescent="0.25">
      <c r="A7845" t="s">
        <v>22</v>
      </c>
      <c r="B7845" t="s">
        <v>153</v>
      </c>
      <c r="C7845">
        <v>202403</v>
      </c>
      <c r="D7845" t="str">
        <f t="shared" si="122"/>
        <v>2024</v>
      </c>
      <c r="E7845">
        <v>229886</v>
      </c>
      <c r="F7845">
        <v>2897157</v>
      </c>
      <c r="G7845">
        <v>7.93</v>
      </c>
      <c r="H7845" t="s">
        <v>10</v>
      </c>
      <c r="I7845" t="s">
        <v>11</v>
      </c>
    </row>
    <row r="7846" spans="1:9" hidden="1" x14ac:dyDescent="0.25">
      <c r="A7846" t="s">
        <v>22</v>
      </c>
      <c r="B7846" t="s">
        <v>153</v>
      </c>
      <c r="C7846">
        <v>202404</v>
      </c>
      <c r="D7846" t="str">
        <f t="shared" si="122"/>
        <v>2024</v>
      </c>
      <c r="E7846">
        <v>249757</v>
      </c>
      <c r="F7846">
        <v>2897157</v>
      </c>
      <c r="G7846">
        <v>8.6199999999999992</v>
      </c>
      <c r="H7846" t="s">
        <v>10</v>
      </c>
      <c r="I7846" t="s">
        <v>11</v>
      </c>
    </row>
    <row r="7847" spans="1:9" hidden="1" x14ac:dyDescent="0.25">
      <c r="A7847" t="s">
        <v>22</v>
      </c>
      <c r="B7847" t="s">
        <v>153</v>
      </c>
      <c r="C7847">
        <v>202405</v>
      </c>
      <c r="D7847" t="str">
        <f t="shared" si="122"/>
        <v>2024</v>
      </c>
      <c r="E7847">
        <v>233403</v>
      </c>
      <c r="F7847">
        <v>2897157</v>
      </c>
      <c r="G7847">
        <v>8.06</v>
      </c>
      <c r="H7847" t="s">
        <v>10</v>
      </c>
      <c r="I7847" t="s">
        <v>11</v>
      </c>
    </row>
    <row r="7848" spans="1:9" hidden="1" x14ac:dyDescent="0.25">
      <c r="A7848" t="s">
        <v>22</v>
      </c>
      <c r="B7848" t="s">
        <v>153</v>
      </c>
      <c r="C7848">
        <v>202406</v>
      </c>
      <c r="D7848" t="str">
        <f t="shared" si="122"/>
        <v>2024</v>
      </c>
      <c r="E7848">
        <v>211008</v>
      </c>
      <c r="F7848">
        <v>2897157</v>
      </c>
      <c r="G7848">
        <v>7.28</v>
      </c>
      <c r="H7848" t="s">
        <v>10</v>
      </c>
      <c r="I7848" t="s">
        <v>11</v>
      </c>
    </row>
    <row r="7849" spans="1:9" hidden="1" x14ac:dyDescent="0.25">
      <c r="A7849" t="s">
        <v>22</v>
      </c>
      <c r="B7849" t="s">
        <v>153</v>
      </c>
      <c r="C7849">
        <v>202407</v>
      </c>
      <c r="D7849" t="str">
        <f t="shared" si="122"/>
        <v>2024</v>
      </c>
      <c r="E7849">
        <v>264012</v>
      </c>
      <c r="F7849">
        <v>2897157</v>
      </c>
      <c r="G7849">
        <v>9.11</v>
      </c>
      <c r="H7849" t="s">
        <v>10</v>
      </c>
      <c r="I7849" t="s">
        <v>11</v>
      </c>
    </row>
    <row r="7850" spans="1:9" hidden="1" x14ac:dyDescent="0.25">
      <c r="A7850" t="s">
        <v>22</v>
      </c>
      <c r="B7850" t="s">
        <v>153</v>
      </c>
      <c r="C7850">
        <v>202408</v>
      </c>
      <c r="D7850" t="str">
        <f t="shared" si="122"/>
        <v>2024</v>
      </c>
      <c r="E7850">
        <v>256938</v>
      </c>
      <c r="F7850">
        <v>2897157</v>
      </c>
      <c r="G7850">
        <v>8.8699999999999992</v>
      </c>
      <c r="H7850" t="s">
        <v>10</v>
      </c>
      <c r="I7850" t="s">
        <v>11</v>
      </c>
    </row>
    <row r="7851" spans="1:9" hidden="1" x14ac:dyDescent="0.25">
      <c r="A7851" t="s">
        <v>22</v>
      </c>
      <c r="B7851" t="s">
        <v>153</v>
      </c>
      <c r="C7851">
        <v>202409</v>
      </c>
      <c r="D7851" t="str">
        <f t="shared" si="122"/>
        <v>2024</v>
      </c>
      <c r="E7851">
        <v>243859</v>
      </c>
      <c r="F7851">
        <v>2897157</v>
      </c>
      <c r="G7851">
        <v>8.42</v>
      </c>
      <c r="H7851" t="s">
        <v>10</v>
      </c>
      <c r="I7851" t="s">
        <v>11</v>
      </c>
    </row>
    <row r="7852" spans="1:9" hidden="1" x14ac:dyDescent="0.25">
      <c r="A7852" t="s">
        <v>22</v>
      </c>
      <c r="B7852" t="s">
        <v>153</v>
      </c>
      <c r="C7852">
        <v>202410</v>
      </c>
      <c r="D7852" t="str">
        <f t="shared" si="122"/>
        <v>2024</v>
      </c>
      <c r="E7852">
        <v>277727</v>
      </c>
      <c r="F7852">
        <v>2897157</v>
      </c>
      <c r="G7852">
        <v>9.59</v>
      </c>
      <c r="H7852" t="s">
        <v>10</v>
      </c>
      <c r="I7852" t="s">
        <v>11</v>
      </c>
    </row>
    <row r="7853" spans="1:9" hidden="1" x14ac:dyDescent="0.25">
      <c r="A7853" t="s">
        <v>22</v>
      </c>
      <c r="B7853" t="s">
        <v>153</v>
      </c>
      <c r="C7853">
        <v>202411</v>
      </c>
      <c r="D7853" t="str">
        <f t="shared" si="122"/>
        <v>2024</v>
      </c>
      <c r="E7853">
        <v>236945</v>
      </c>
      <c r="F7853">
        <v>2897157</v>
      </c>
      <c r="G7853">
        <v>8.18</v>
      </c>
      <c r="H7853" t="s">
        <v>10</v>
      </c>
      <c r="I7853" t="s">
        <v>11</v>
      </c>
    </row>
    <row r="7854" spans="1:9" hidden="1" x14ac:dyDescent="0.25">
      <c r="A7854" t="s">
        <v>22</v>
      </c>
      <c r="B7854" t="s">
        <v>153</v>
      </c>
      <c r="C7854">
        <v>202412</v>
      </c>
      <c r="D7854" t="str">
        <f t="shared" si="122"/>
        <v>2024</v>
      </c>
      <c r="E7854">
        <v>239746</v>
      </c>
      <c r="F7854">
        <v>2897157</v>
      </c>
      <c r="G7854">
        <v>8.2799999999999994</v>
      </c>
      <c r="H7854" t="s">
        <v>10</v>
      </c>
      <c r="I7854" t="s">
        <v>11</v>
      </c>
    </row>
    <row r="7855" spans="1:9" x14ac:dyDescent="0.25">
      <c r="A7855" t="s">
        <v>22</v>
      </c>
      <c r="B7855" t="s">
        <v>224</v>
      </c>
      <c r="C7855">
        <v>202501</v>
      </c>
      <c r="D7855" t="str">
        <f t="shared" si="122"/>
        <v>2025</v>
      </c>
      <c r="E7855">
        <v>260730</v>
      </c>
      <c r="F7855">
        <v>2034901</v>
      </c>
      <c r="G7855">
        <v>12.81</v>
      </c>
      <c r="H7855" t="s">
        <v>10</v>
      </c>
      <c r="I7855" t="s">
        <v>11</v>
      </c>
    </row>
    <row r="7856" spans="1:9" x14ac:dyDescent="0.25">
      <c r="A7856" t="s">
        <v>22</v>
      </c>
      <c r="B7856" t="s">
        <v>224</v>
      </c>
      <c r="C7856">
        <v>202502</v>
      </c>
      <c r="D7856" t="str">
        <f t="shared" si="122"/>
        <v>2025</v>
      </c>
      <c r="E7856">
        <v>250236</v>
      </c>
      <c r="F7856">
        <v>2034901</v>
      </c>
      <c r="G7856">
        <v>12.3</v>
      </c>
      <c r="H7856" t="s">
        <v>10</v>
      </c>
      <c r="I7856" t="s">
        <v>11</v>
      </c>
    </row>
    <row r="7857" spans="1:9" x14ac:dyDescent="0.25">
      <c r="A7857" t="s">
        <v>22</v>
      </c>
      <c r="B7857" t="s">
        <v>224</v>
      </c>
      <c r="C7857">
        <v>202503</v>
      </c>
      <c r="D7857" t="str">
        <f t="shared" si="122"/>
        <v>2025</v>
      </c>
      <c r="E7857">
        <v>283297</v>
      </c>
      <c r="F7857">
        <v>2034901</v>
      </c>
      <c r="G7857">
        <v>13.92</v>
      </c>
      <c r="H7857" t="s">
        <v>10</v>
      </c>
      <c r="I7857" t="s">
        <v>11</v>
      </c>
    </row>
    <row r="7858" spans="1:9" x14ac:dyDescent="0.25">
      <c r="A7858" t="s">
        <v>22</v>
      </c>
      <c r="B7858" t="s">
        <v>224</v>
      </c>
      <c r="C7858">
        <v>202504</v>
      </c>
      <c r="D7858" t="str">
        <f t="shared" si="122"/>
        <v>2025</v>
      </c>
      <c r="E7858">
        <v>293530</v>
      </c>
      <c r="F7858">
        <v>2034901</v>
      </c>
      <c r="G7858">
        <v>14.42</v>
      </c>
      <c r="H7858" t="s">
        <v>10</v>
      </c>
      <c r="I7858" t="s">
        <v>11</v>
      </c>
    </row>
    <row r="7859" spans="1:9" x14ac:dyDescent="0.25">
      <c r="A7859" t="s">
        <v>22</v>
      </c>
      <c r="B7859" t="s">
        <v>224</v>
      </c>
      <c r="C7859">
        <v>202505</v>
      </c>
      <c r="D7859" t="str">
        <f t="shared" si="122"/>
        <v>2025</v>
      </c>
      <c r="E7859">
        <v>280450</v>
      </c>
      <c r="F7859">
        <v>2034901</v>
      </c>
      <c r="G7859">
        <v>13.78</v>
      </c>
      <c r="H7859" t="s">
        <v>10</v>
      </c>
      <c r="I7859" t="s">
        <v>11</v>
      </c>
    </row>
    <row r="7860" spans="1:9" x14ac:dyDescent="0.25">
      <c r="A7860" t="s">
        <v>22</v>
      </c>
      <c r="B7860" t="s">
        <v>224</v>
      </c>
      <c r="C7860">
        <v>202506</v>
      </c>
      <c r="D7860" t="str">
        <f t="shared" si="122"/>
        <v>2025</v>
      </c>
      <c r="E7860">
        <v>261793</v>
      </c>
      <c r="F7860">
        <v>2034901</v>
      </c>
      <c r="G7860">
        <v>12.87</v>
      </c>
      <c r="H7860" t="s">
        <v>10</v>
      </c>
      <c r="I7860" t="s">
        <v>11</v>
      </c>
    </row>
    <row r="7861" spans="1:9" x14ac:dyDescent="0.25">
      <c r="A7861" t="s">
        <v>22</v>
      </c>
      <c r="B7861" t="s">
        <v>224</v>
      </c>
      <c r="C7861">
        <v>202507</v>
      </c>
      <c r="D7861" t="str">
        <f t="shared" si="122"/>
        <v>2025</v>
      </c>
      <c r="E7861">
        <v>235453</v>
      </c>
      <c r="F7861">
        <v>2034901</v>
      </c>
      <c r="G7861">
        <v>11.57</v>
      </c>
      <c r="H7861" t="s">
        <v>10</v>
      </c>
      <c r="I7861" t="s">
        <v>11</v>
      </c>
    </row>
    <row r="7862" spans="1:9" x14ac:dyDescent="0.25">
      <c r="A7862" t="s">
        <v>22</v>
      </c>
      <c r="B7862" t="s">
        <v>224</v>
      </c>
      <c r="C7862">
        <v>202508</v>
      </c>
      <c r="D7862" t="str">
        <f t="shared" si="122"/>
        <v>2025</v>
      </c>
      <c r="E7862">
        <v>163594</v>
      </c>
      <c r="F7862">
        <v>2034901</v>
      </c>
      <c r="G7862">
        <v>8.0399999999999991</v>
      </c>
      <c r="H7862" t="s">
        <v>10</v>
      </c>
      <c r="I7862" t="s">
        <v>11</v>
      </c>
    </row>
    <row r="7863" spans="1:9" x14ac:dyDescent="0.25">
      <c r="A7863" t="s">
        <v>22</v>
      </c>
      <c r="B7863" t="s">
        <v>224</v>
      </c>
      <c r="C7863">
        <v>202509</v>
      </c>
      <c r="D7863" t="str">
        <f t="shared" si="122"/>
        <v>2025</v>
      </c>
      <c r="E7863">
        <v>5818</v>
      </c>
      <c r="F7863">
        <v>2034901</v>
      </c>
      <c r="G7863">
        <v>0.28999999999999998</v>
      </c>
      <c r="H7863" t="s">
        <v>10</v>
      </c>
      <c r="I7863" t="s">
        <v>11</v>
      </c>
    </row>
    <row r="7864" spans="1:9" x14ac:dyDescent="0.25">
      <c r="A7864" t="s">
        <v>22</v>
      </c>
      <c r="B7864" t="s">
        <v>225</v>
      </c>
      <c r="C7864">
        <v>202501</v>
      </c>
      <c r="D7864" t="str">
        <f t="shared" si="122"/>
        <v>2025</v>
      </c>
      <c r="E7864">
        <v>96644</v>
      </c>
      <c r="F7864">
        <v>1166257</v>
      </c>
      <c r="G7864">
        <v>8.2899999999999991</v>
      </c>
      <c r="H7864" t="s">
        <v>10</v>
      </c>
      <c r="I7864" t="s">
        <v>11</v>
      </c>
    </row>
    <row r="7865" spans="1:9" x14ac:dyDescent="0.25">
      <c r="A7865" t="s">
        <v>22</v>
      </c>
      <c r="B7865" t="s">
        <v>225</v>
      </c>
      <c r="C7865">
        <v>202502</v>
      </c>
      <c r="D7865" t="str">
        <f t="shared" si="122"/>
        <v>2025</v>
      </c>
      <c r="E7865">
        <v>86195</v>
      </c>
      <c r="F7865">
        <v>1166257</v>
      </c>
      <c r="G7865">
        <v>7.39</v>
      </c>
      <c r="H7865" t="s">
        <v>10</v>
      </c>
      <c r="I7865" t="s">
        <v>11</v>
      </c>
    </row>
    <row r="7866" spans="1:9" x14ac:dyDescent="0.25">
      <c r="A7866" t="s">
        <v>22</v>
      </c>
      <c r="B7866" t="s">
        <v>225</v>
      </c>
      <c r="C7866">
        <v>202503</v>
      </c>
      <c r="D7866" t="str">
        <f t="shared" si="122"/>
        <v>2025</v>
      </c>
      <c r="E7866">
        <v>99563</v>
      </c>
      <c r="F7866">
        <v>1166257</v>
      </c>
      <c r="G7866">
        <v>8.5399999999999991</v>
      </c>
      <c r="H7866" t="s">
        <v>10</v>
      </c>
      <c r="I7866" t="s">
        <v>11</v>
      </c>
    </row>
    <row r="7867" spans="1:9" x14ac:dyDescent="0.25">
      <c r="A7867" t="s">
        <v>22</v>
      </c>
      <c r="B7867" t="s">
        <v>225</v>
      </c>
      <c r="C7867">
        <v>202504</v>
      </c>
      <c r="D7867" t="str">
        <f t="shared" si="122"/>
        <v>2025</v>
      </c>
      <c r="E7867">
        <v>103077</v>
      </c>
      <c r="F7867">
        <v>1166257</v>
      </c>
      <c r="G7867">
        <v>8.84</v>
      </c>
      <c r="H7867" t="s">
        <v>10</v>
      </c>
      <c r="I7867" t="s">
        <v>11</v>
      </c>
    </row>
    <row r="7868" spans="1:9" x14ac:dyDescent="0.25">
      <c r="A7868" t="s">
        <v>22</v>
      </c>
      <c r="B7868" t="s">
        <v>225</v>
      </c>
      <c r="C7868">
        <v>202505</v>
      </c>
      <c r="D7868" t="str">
        <f t="shared" si="122"/>
        <v>2025</v>
      </c>
      <c r="E7868">
        <v>98915</v>
      </c>
      <c r="F7868">
        <v>1166257</v>
      </c>
      <c r="G7868">
        <v>8.48</v>
      </c>
      <c r="H7868" t="s">
        <v>10</v>
      </c>
      <c r="I7868" t="s">
        <v>11</v>
      </c>
    </row>
    <row r="7869" spans="1:9" x14ac:dyDescent="0.25">
      <c r="A7869" t="s">
        <v>22</v>
      </c>
      <c r="B7869" t="s">
        <v>225</v>
      </c>
      <c r="C7869">
        <v>202506</v>
      </c>
      <c r="D7869" t="str">
        <f t="shared" si="122"/>
        <v>2025</v>
      </c>
      <c r="E7869">
        <v>94555</v>
      </c>
      <c r="F7869">
        <v>1166257</v>
      </c>
      <c r="G7869">
        <v>8.11</v>
      </c>
      <c r="H7869" t="s">
        <v>10</v>
      </c>
      <c r="I7869" t="s">
        <v>11</v>
      </c>
    </row>
    <row r="7870" spans="1:9" x14ac:dyDescent="0.25">
      <c r="A7870" t="s">
        <v>22</v>
      </c>
      <c r="B7870" t="s">
        <v>225</v>
      </c>
      <c r="C7870">
        <v>202507</v>
      </c>
      <c r="D7870" t="str">
        <f t="shared" si="122"/>
        <v>2025</v>
      </c>
      <c r="E7870">
        <v>100900</v>
      </c>
      <c r="F7870">
        <v>1166257</v>
      </c>
      <c r="G7870">
        <v>8.65</v>
      </c>
      <c r="H7870" t="s">
        <v>10</v>
      </c>
      <c r="I7870" t="s">
        <v>11</v>
      </c>
    </row>
    <row r="7871" spans="1:9" x14ac:dyDescent="0.25">
      <c r="A7871" t="s">
        <v>22</v>
      </c>
      <c r="B7871" t="s">
        <v>225</v>
      </c>
      <c r="C7871">
        <v>202508</v>
      </c>
      <c r="D7871" t="str">
        <f t="shared" si="122"/>
        <v>2025</v>
      </c>
      <c r="E7871">
        <v>94631</v>
      </c>
      <c r="F7871">
        <v>1166257</v>
      </c>
      <c r="G7871">
        <v>8.11</v>
      </c>
      <c r="H7871" t="s">
        <v>10</v>
      </c>
      <c r="I7871" t="s">
        <v>11</v>
      </c>
    </row>
    <row r="7872" spans="1:9" x14ac:dyDescent="0.25">
      <c r="A7872" t="s">
        <v>22</v>
      </c>
      <c r="B7872" t="s">
        <v>225</v>
      </c>
      <c r="C7872">
        <v>202509</v>
      </c>
      <c r="D7872" t="str">
        <f t="shared" si="122"/>
        <v>2025</v>
      </c>
      <c r="E7872">
        <v>97229</v>
      </c>
      <c r="F7872">
        <v>1166257</v>
      </c>
      <c r="G7872">
        <v>8.34</v>
      </c>
      <c r="H7872" t="s">
        <v>10</v>
      </c>
      <c r="I7872" t="s">
        <v>11</v>
      </c>
    </row>
    <row r="7873" spans="1:9" x14ac:dyDescent="0.25">
      <c r="A7873" t="s">
        <v>22</v>
      </c>
      <c r="B7873" t="s">
        <v>225</v>
      </c>
      <c r="C7873">
        <v>202510</v>
      </c>
      <c r="D7873" t="str">
        <f t="shared" si="122"/>
        <v>2025</v>
      </c>
      <c r="E7873">
        <v>105844</v>
      </c>
      <c r="F7873">
        <v>1166257</v>
      </c>
      <c r="G7873">
        <v>9.08</v>
      </c>
      <c r="H7873" t="s">
        <v>10</v>
      </c>
      <c r="I7873" t="s">
        <v>11</v>
      </c>
    </row>
    <row r="7874" spans="1:9" x14ac:dyDescent="0.25">
      <c r="A7874" t="s">
        <v>22</v>
      </c>
      <c r="B7874" t="s">
        <v>225</v>
      </c>
      <c r="C7874">
        <v>202511</v>
      </c>
      <c r="D7874" t="str">
        <f t="shared" si="122"/>
        <v>2025</v>
      </c>
      <c r="E7874">
        <v>90133</v>
      </c>
      <c r="F7874">
        <v>1166257</v>
      </c>
      <c r="G7874">
        <v>7.73</v>
      </c>
      <c r="H7874" t="s">
        <v>10</v>
      </c>
      <c r="I7874" t="s">
        <v>11</v>
      </c>
    </row>
    <row r="7875" spans="1:9" x14ac:dyDescent="0.25">
      <c r="A7875" t="s">
        <v>22</v>
      </c>
      <c r="B7875" t="s">
        <v>225</v>
      </c>
      <c r="C7875">
        <v>202512</v>
      </c>
      <c r="D7875" t="str">
        <f t="shared" ref="D7875:D7938" si="123">LEFT(C7875,4)</f>
        <v>2025</v>
      </c>
      <c r="E7875">
        <v>98571</v>
      </c>
      <c r="F7875">
        <v>1166257</v>
      </c>
      <c r="G7875">
        <v>8.4499999999999993</v>
      </c>
      <c r="H7875" t="s">
        <v>10</v>
      </c>
      <c r="I7875" t="s">
        <v>11</v>
      </c>
    </row>
    <row r="7876" spans="1:9" x14ac:dyDescent="0.25">
      <c r="A7876" t="s">
        <v>22</v>
      </c>
      <c r="B7876" t="s">
        <v>219</v>
      </c>
      <c r="C7876">
        <v>202601</v>
      </c>
      <c r="D7876" t="str">
        <f t="shared" si="123"/>
        <v>2026</v>
      </c>
      <c r="E7876">
        <v>71369</v>
      </c>
      <c r="F7876">
        <v>195216</v>
      </c>
      <c r="G7876">
        <v>36.56</v>
      </c>
      <c r="H7876" t="s">
        <v>10</v>
      </c>
      <c r="I7876" t="s">
        <v>11</v>
      </c>
    </row>
    <row r="7877" spans="1:9" x14ac:dyDescent="0.25">
      <c r="A7877" t="s">
        <v>22</v>
      </c>
      <c r="B7877" t="s">
        <v>219</v>
      </c>
      <c r="C7877">
        <v>202602</v>
      </c>
      <c r="D7877" t="str">
        <f t="shared" si="123"/>
        <v>2026</v>
      </c>
      <c r="E7877">
        <v>69139</v>
      </c>
      <c r="F7877">
        <v>195216</v>
      </c>
      <c r="G7877">
        <v>35.42</v>
      </c>
      <c r="H7877" t="s">
        <v>10</v>
      </c>
      <c r="I7877" t="s">
        <v>11</v>
      </c>
    </row>
    <row r="7878" spans="1:9" x14ac:dyDescent="0.25">
      <c r="A7878" t="s">
        <v>22</v>
      </c>
      <c r="B7878" t="s">
        <v>219</v>
      </c>
      <c r="C7878">
        <v>202603</v>
      </c>
      <c r="D7878" t="str">
        <f t="shared" si="123"/>
        <v>2026</v>
      </c>
      <c r="E7878">
        <v>54468</v>
      </c>
      <c r="F7878">
        <v>195216</v>
      </c>
      <c r="G7878">
        <v>27.9</v>
      </c>
      <c r="H7878" t="s">
        <v>10</v>
      </c>
      <c r="I7878" t="s">
        <v>11</v>
      </c>
    </row>
    <row r="7879" spans="1:9" x14ac:dyDescent="0.25">
      <c r="A7879" t="s">
        <v>22</v>
      </c>
      <c r="B7879" t="s">
        <v>219</v>
      </c>
      <c r="C7879">
        <v>202604</v>
      </c>
      <c r="D7879" t="str">
        <f t="shared" si="123"/>
        <v>2026</v>
      </c>
      <c r="E7879">
        <v>240</v>
      </c>
      <c r="F7879">
        <v>195216</v>
      </c>
      <c r="G7879">
        <v>0.12</v>
      </c>
      <c r="H7879" t="s">
        <v>10</v>
      </c>
      <c r="I7879" t="s">
        <v>11</v>
      </c>
    </row>
    <row r="7880" spans="1:9" x14ac:dyDescent="0.25">
      <c r="A7880" t="s">
        <v>22</v>
      </c>
      <c r="B7880" t="s">
        <v>229</v>
      </c>
      <c r="C7880">
        <v>202501</v>
      </c>
      <c r="D7880" t="str">
        <f t="shared" si="123"/>
        <v>2025</v>
      </c>
      <c r="E7880">
        <v>92702</v>
      </c>
      <c r="F7880">
        <v>606039</v>
      </c>
      <c r="G7880">
        <v>15.3</v>
      </c>
      <c r="H7880" t="s">
        <v>10</v>
      </c>
      <c r="I7880" t="s">
        <v>11</v>
      </c>
    </row>
    <row r="7881" spans="1:9" x14ac:dyDescent="0.25">
      <c r="A7881" t="s">
        <v>22</v>
      </c>
      <c r="B7881" t="s">
        <v>229</v>
      </c>
      <c r="C7881">
        <v>202502</v>
      </c>
      <c r="D7881" t="str">
        <f t="shared" si="123"/>
        <v>2025</v>
      </c>
      <c r="E7881">
        <v>82651</v>
      </c>
      <c r="F7881">
        <v>606039</v>
      </c>
      <c r="G7881">
        <v>13.64</v>
      </c>
      <c r="H7881" t="s">
        <v>10</v>
      </c>
      <c r="I7881" t="s">
        <v>11</v>
      </c>
    </row>
    <row r="7882" spans="1:9" x14ac:dyDescent="0.25">
      <c r="A7882" t="s">
        <v>22</v>
      </c>
      <c r="B7882" t="s">
        <v>229</v>
      </c>
      <c r="C7882">
        <v>202503</v>
      </c>
      <c r="D7882" t="str">
        <f t="shared" si="123"/>
        <v>2025</v>
      </c>
      <c r="E7882">
        <v>95140</v>
      </c>
      <c r="F7882">
        <v>606039</v>
      </c>
      <c r="G7882">
        <v>15.7</v>
      </c>
      <c r="H7882" t="s">
        <v>10</v>
      </c>
      <c r="I7882" t="s">
        <v>11</v>
      </c>
    </row>
    <row r="7883" spans="1:9" x14ac:dyDescent="0.25">
      <c r="A7883" t="s">
        <v>22</v>
      </c>
      <c r="B7883" t="s">
        <v>229</v>
      </c>
      <c r="C7883">
        <v>202504</v>
      </c>
      <c r="D7883" t="str">
        <f t="shared" si="123"/>
        <v>2025</v>
      </c>
      <c r="E7883">
        <v>97500</v>
      </c>
      <c r="F7883">
        <v>606039</v>
      </c>
      <c r="G7883">
        <v>16.09</v>
      </c>
      <c r="H7883" t="s">
        <v>10</v>
      </c>
      <c r="I7883" t="s">
        <v>11</v>
      </c>
    </row>
    <row r="7884" spans="1:9" x14ac:dyDescent="0.25">
      <c r="A7884" t="s">
        <v>22</v>
      </c>
      <c r="B7884" t="s">
        <v>229</v>
      </c>
      <c r="C7884">
        <v>202505</v>
      </c>
      <c r="D7884" t="str">
        <f t="shared" si="123"/>
        <v>2025</v>
      </c>
      <c r="E7884">
        <v>92234</v>
      </c>
      <c r="F7884">
        <v>606039</v>
      </c>
      <c r="G7884">
        <v>15.22</v>
      </c>
      <c r="H7884" t="s">
        <v>10</v>
      </c>
      <c r="I7884" t="s">
        <v>11</v>
      </c>
    </row>
    <row r="7885" spans="1:9" x14ac:dyDescent="0.25">
      <c r="A7885" t="s">
        <v>22</v>
      </c>
      <c r="B7885" t="s">
        <v>229</v>
      </c>
      <c r="C7885">
        <v>202506</v>
      </c>
      <c r="D7885" t="str">
        <f t="shared" si="123"/>
        <v>2025</v>
      </c>
      <c r="E7885">
        <v>86796</v>
      </c>
      <c r="F7885">
        <v>606039</v>
      </c>
      <c r="G7885">
        <v>14.32</v>
      </c>
      <c r="H7885" t="s">
        <v>10</v>
      </c>
      <c r="I7885" t="s">
        <v>11</v>
      </c>
    </row>
    <row r="7886" spans="1:9" x14ac:dyDescent="0.25">
      <c r="A7886" t="s">
        <v>22</v>
      </c>
      <c r="B7886" t="s">
        <v>229</v>
      </c>
      <c r="C7886">
        <v>202507</v>
      </c>
      <c r="D7886" t="str">
        <f t="shared" si="123"/>
        <v>2025</v>
      </c>
      <c r="E7886">
        <v>57983</v>
      </c>
      <c r="F7886">
        <v>606039</v>
      </c>
      <c r="G7886">
        <v>9.57</v>
      </c>
      <c r="H7886" t="s">
        <v>10</v>
      </c>
      <c r="I7886" t="s">
        <v>11</v>
      </c>
    </row>
    <row r="7887" spans="1:9" x14ac:dyDescent="0.25">
      <c r="A7887" t="s">
        <v>22</v>
      </c>
      <c r="B7887" t="s">
        <v>229</v>
      </c>
      <c r="C7887">
        <v>202508</v>
      </c>
      <c r="D7887" t="str">
        <f t="shared" si="123"/>
        <v>2025</v>
      </c>
      <c r="E7887">
        <v>1033</v>
      </c>
      <c r="F7887">
        <v>606039</v>
      </c>
      <c r="G7887">
        <v>0.17</v>
      </c>
      <c r="H7887" t="s">
        <v>10</v>
      </c>
      <c r="I7887" t="s">
        <v>11</v>
      </c>
    </row>
    <row r="7888" spans="1:9" x14ac:dyDescent="0.25">
      <c r="A7888" t="s">
        <v>22</v>
      </c>
      <c r="B7888" t="s">
        <v>217</v>
      </c>
      <c r="C7888">
        <v>202501</v>
      </c>
      <c r="D7888" t="str">
        <f t="shared" si="123"/>
        <v>2025</v>
      </c>
      <c r="E7888">
        <v>93715</v>
      </c>
      <c r="F7888">
        <v>995875</v>
      </c>
      <c r="G7888">
        <v>9.41</v>
      </c>
      <c r="H7888" t="s">
        <v>10</v>
      </c>
      <c r="I7888" t="s">
        <v>11</v>
      </c>
    </row>
    <row r="7889" spans="1:9" x14ac:dyDescent="0.25">
      <c r="A7889" t="s">
        <v>22</v>
      </c>
      <c r="B7889" t="s">
        <v>217</v>
      </c>
      <c r="C7889">
        <v>202502</v>
      </c>
      <c r="D7889" t="str">
        <f t="shared" si="123"/>
        <v>2025</v>
      </c>
      <c r="E7889">
        <v>83881</v>
      </c>
      <c r="F7889">
        <v>995875</v>
      </c>
      <c r="G7889">
        <v>8.42</v>
      </c>
      <c r="H7889" t="s">
        <v>10</v>
      </c>
      <c r="I7889" t="s">
        <v>11</v>
      </c>
    </row>
    <row r="7890" spans="1:9" x14ac:dyDescent="0.25">
      <c r="A7890" t="s">
        <v>22</v>
      </c>
      <c r="B7890" t="s">
        <v>217</v>
      </c>
      <c r="C7890">
        <v>202503</v>
      </c>
      <c r="D7890" t="str">
        <f t="shared" si="123"/>
        <v>2025</v>
      </c>
      <c r="E7890">
        <v>96947</v>
      </c>
      <c r="F7890">
        <v>995875</v>
      </c>
      <c r="G7890">
        <v>9.73</v>
      </c>
      <c r="H7890" t="s">
        <v>10</v>
      </c>
      <c r="I7890" t="s">
        <v>11</v>
      </c>
    </row>
    <row r="7891" spans="1:9" x14ac:dyDescent="0.25">
      <c r="A7891" t="s">
        <v>22</v>
      </c>
      <c r="B7891" t="s">
        <v>217</v>
      </c>
      <c r="C7891">
        <v>202504</v>
      </c>
      <c r="D7891" t="str">
        <f t="shared" si="123"/>
        <v>2025</v>
      </c>
      <c r="E7891">
        <v>99511</v>
      </c>
      <c r="F7891">
        <v>995875</v>
      </c>
      <c r="G7891">
        <v>9.99</v>
      </c>
      <c r="H7891" t="s">
        <v>10</v>
      </c>
      <c r="I7891" t="s">
        <v>11</v>
      </c>
    </row>
    <row r="7892" spans="1:9" x14ac:dyDescent="0.25">
      <c r="A7892" t="s">
        <v>22</v>
      </c>
      <c r="B7892" t="s">
        <v>217</v>
      </c>
      <c r="C7892">
        <v>202505</v>
      </c>
      <c r="D7892" t="str">
        <f t="shared" si="123"/>
        <v>2025</v>
      </c>
      <c r="E7892">
        <v>96031</v>
      </c>
      <c r="F7892">
        <v>995875</v>
      </c>
      <c r="G7892">
        <v>9.64</v>
      </c>
      <c r="H7892" t="s">
        <v>10</v>
      </c>
      <c r="I7892" t="s">
        <v>11</v>
      </c>
    </row>
    <row r="7893" spans="1:9" x14ac:dyDescent="0.25">
      <c r="A7893" t="s">
        <v>22</v>
      </c>
      <c r="B7893" t="s">
        <v>217</v>
      </c>
      <c r="C7893">
        <v>202506</v>
      </c>
      <c r="D7893" t="str">
        <f t="shared" si="123"/>
        <v>2025</v>
      </c>
      <c r="E7893">
        <v>92114</v>
      </c>
      <c r="F7893">
        <v>995875</v>
      </c>
      <c r="G7893">
        <v>9.25</v>
      </c>
      <c r="H7893" t="s">
        <v>10</v>
      </c>
      <c r="I7893" t="s">
        <v>11</v>
      </c>
    </row>
    <row r="7894" spans="1:9" x14ac:dyDescent="0.25">
      <c r="A7894" t="s">
        <v>22</v>
      </c>
      <c r="B7894" t="s">
        <v>217</v>
      </c>
      <c r="C7894">
        <v>202507</v>
      </c>
      <c r="D7894" t="str">
        <f t="shared" si="123"/>
        <v>2025</v>
      </c>
      <c r="E7894">
        <v>96125</v>
      </c>
      <c r="F7894">
        <v>995875</v>
      </c>
      <c r="G7894">
        <v>9.65</v>
      </c>
      <c r="H7894" t="s">
        <v>10</v>
      </c>
      <c r="I7894" t="s">
        <v>11</v>
      </c>
    </row>
    <row r="7895" spans="1:9" x14ac:dyDescent="0.25">
      <c r="A7895" t="s">
        <v>22</v>
      </c>
      <c r="B7895" t="s">
        <v>217</v>
      </c>
      <c r="C7895">
        <v>202508</v>
      </c>
      <c r="D7895" t="str">
        <f t="shared" si="123"/>
        <v>2025</v>
      </c>
      <c r="E7895">
        <v>90926</v>
      </c>
      <c r="F7895">
        <v>995875</v>
      </c>
      <c r="G7895">
        <v>9.1300000000000008</v>
      </c>
      <c r="H7895" t="s">
        <v>10</v>
      </c>
      <c r="I7895" t="s">
        <v>11</v>
      </c>
    </row>
    <row r="7896" spans="1:9" x14ac:dyDescent="0.25">
      <c r="A7896" t="s">
        <v>22</v>
      </c>
      <c r="B7896" t="s">
        <v>217</v>
      </c>
      <c r="C7896">
        <v>202509</v>
      </c>
      <c r="D7896" t="str">
        <f t="shared" si="123"/>
        <v>2025</v>
      </c>
      <c r="E7896">
        <v>92722</v>
      </c>
      <c r="F7896">
        <v>995875</v>
      </c>
      <c r="G7896">
        <v>9.31</v>
      </c>
      <c r="H7896" t="s">
        <v>10</v>
      </c>
      <c r="I7896" t="s">
        <v>11</v>
      </c>
    </row>
    <row r="7897" spans="1:9" x14ac:dyDescent="0.25">
      <c r="A7897" t="s">
        <v>22</v>
      </c>
      <c r="B7897" t="s">
        <v>217</v>
      </c>
      <c r="C7897">
        <v>202510</v>
      </c>
      <c r="D7897" t="str">
        <f t="shared" si="123"/>
        <v>2025</v>
      </c>
      <c r="E7897">
        <v>96269</v>
      </c>
      <c r="F7897">
        <v>995875</v>
      </c>
      <c r="G7897">
        <v>9.67</v>
      </c>
      <c r="H7897" t="s">
        <v>10</v>
      </c>
      <c r="I7897" t="s">
        <v>11</v>
      </c>
    </row>
    <row r="7898" spans="1:9" x14ac:dyDescent="0.25">
      <c r="A7898" t="s">
        <v>22</v>
      </c>
      <c r="B7898" t="s">
        <v>217</v>
      </c>
      <c r="C7898">
        <v>202511</v>
      </c>
      <c r="D7898" t="str">
        <f t="shared" si="123"/>
        <v>2025</v>
      </c>
      <c r="E7898">
        <v>56139</v>
      </c>
      <c r="F7898">
        <v>995875</v>
      </c>
      <c r="G7898">
        <v>5.64</v>
      </c>
      <c r="H7898" t="s">
        <v>10</v>
      </c>
      <c r="I7898" t="s">
        <v>11</v>
      </c>
    </row>
    <row r="7899" spans="1:9" x14ac:dyDescent="0.25">
      <c r="A7899" t="s">
        <v>22</v>
      </c>
      <c r="B7899" t="s">
        <v>217</v>
      </c>
      <c r="C7899">
        <v>202512</v>
      </c>
      <c r="D7899" t="str">
        <f t="shared" si="123"/>
        <v>2025</v>
      </c>
      <c r="E7899">
        <v>1495</v>
      </c>
      <c r="F7899">
        <v>995875</v>
      </c>
      <c r="G7899">
        <v>0.15</v>
      </c>
      <c r="H7899" t="s">
        <v>10</v>
      </c>
      <c r="I7899" t="s">
        <v>11</v>
      </c>
    </row>
    <row r="7900" spans="1:9" x14ac:dyDescent="0.25">
      <c r="A7900" t="s">
        <v>22</v>
      </c>
      <c r="B7900" t="s">
        <v>226</v>
      </c>
      <c r="C7900">
        <v>202501</v>
      </c>
      <c r="D7900" t="str">
        <f t="shared" si="123"/>
        <v>2025</v>
      </c>
      <c r="E7900">
        <v>96142</v>
      </c>
      <c r="F7900">
        <v>1133318</v>
      </c>
      <c r="G7900">
        <v>8.48</v>
      </c>
      <c r="H7900" t="s">
        <v>10</v>
      </c>
      <c r="I7900" t="s">
        <v>11</v>
      </c>
    </row>
    <row r="7901" spans="1:9" x14ac:dyDescent="0.25">
      <c r="A7901" t="s">
        <v>22</v>
      </c>
      <c r="B7901" t="s">
        <v>226</v>
      </c>
      <c r="C7901">
        <v>202502</v>
      </c>
      <c r="D7901" t="str">
        <f t="shared" si="123"/>
        <v>2025</v>
      </c>
      <c r="E7901">
        <v>85614</v>
      </c>
      <c r="F7901">
        <v>1133318</v>
      </c>
      <c r="G7901">
        <v>7.55</v>
      </c>
      <c r="H7901" t="s">
        <v>10</v>
      </c>
      <c r="I7901" t="s">
        <v>11</v>
      </c>
    </row>
    <row r="7902" spans="1:9" x14ac:dyDescent="0.25">
      <c r="A7902" t="s">
        <v>22</v>
      </c>
      <c r="B7902" t="s">
        <v>226</v>
      </c>
      <c r="C7902">
        <v>202503</v>
      </c>
      <c r="D7902" t="str">
        <f t="shared" si="123"/>
        <v>2025</v>
      </c>
      <c r="E7902">
        <v>97548</v>
      </c>
      <c r="F7902">
        <v>1133318</v>
      </c>
      <c r="G7902">
        <v>8.61</v>
      </c>
      <c r="H7902" t="s">
        <v>10</v>
      </c>
      <c r="I7902" t="s">
        <v>11</v>
      </c>
    </row>
    <row r="7903" spans="1:9" x14ac:dyDescent="0.25">
      <c r="A7903" t="s">
        <v>22</v>
      </c>
      <c r="B7903" t="s">
        <v>226</v>
      </c>
      <c r="C7903">
        <v>202504</v>
      </c>
      <c r="D7903" t="str">
        <f t="shared" si="123"/>
        <v>2025</v>
      </c>
      <c r="E7903">
        <v>99578</v>
      </c>
      <c r="F7903">
        <v>1133318</v>
      </c>
      <c r="G7903">
        <v>8.7899999999999991</v>
      </c>
      <c r="H7903" t="s">
        <v>10</v>
      </c>
      <c r="I7903" t="s">
        <v>11</v>
      </c>
    </row>
    <row r="7904" spans="1:9" x14ac:dyDescent="0.25">
      <c r="A7904" t="s">
        <v>22</v>
      </c>
      <c r="B7904" t="s">
        <v>226</v>
      </c>
      <c r="C7904">
        <v>202505</v>
      </c>
      <c r="D7904" t="str">
        <f t="shared" si="123"/>
        <v>2025</v>
      </c>
      <c r="E7904">
        <v>96086</v>
      </c>
      <c r="F7904">
        <v>1133318</v>
      </c>
      <c r="G7904">
        <v>8.48</v>
      </c>
      <c r="H7904" t="s">
        <v>10</v>
      </c>
      <c r="I7904" t="s">
        <v>11</v>
      </c>
    </row>
    <row r="7905" spans="1:9" x14ac:dyDescent="0.25">
      <c r="A7905" t="s">
        <v>22</v>
      </c>
      <c r="B7905" t="s">
        <v>226</v>
      </c>
      <c r="C7905">
        <v>202506</v>
      </c>
      <c r="D7905" t="str">
        <f t="shared" si="123"/>
        <v>2025</v>
      </c>
      <c r="E7905">
        <v>92173</v>
      </c>
      <c r="F7905">
        <v>1133318</v>
      </c>
      <c r="G7905">
        <v>8.1300000000000008</v>
      </c>
      <c r="H7905" t="s">
        <v>10</v>
      </c>
      <c r="I7905" t="s">
        <v>11</v>
      </c>
    </row>
    <row r="7906" spans="1:9" x14ac:dyDescent="0.25">
      <c r="A7906" t="s">
        <v>22</v>
      </c>
      <c r="B7906" t="s">
        <v>226</v>
      </c>
      <c r="C7906">
        <v>202507</v>
      </c>
      <c r="D7906" t="str">
        <f t="shared" si="123"/>
        <v>2025</v>
      </c>
      <c r="E7906">
        <v>97297</v>
      </c>
      <c r="F7906">
        <v>1133318</v>
      </c>
      <c r="G7906">
        <v>8.59</v>
      </c>
      <c r="H7906" t="s">
        <v>10</v>
      </c>
      <c r="I7906" t="s">
        <v>11</v>
      </c>
    </row>
    <row r="7907" spans="1:9" x14ac:dyDescent="0.25">
      <c r="A7907" t="s">
        <v>22</v>
      </c>
      <c r="B7907" t="s">
        <v>226</v>
      </c>
      <c r="C7907">
        <v>202508</v>
      </c>
      <c r="D7907" t="str">
        <f t="shared" si="123"/>
        <v>2025</v>
      </c>
      <c r="E7907">
        <v>92027</v>
      </c>
      <c r="F7907">
        <v>1133318</v>
      </c>
      <c r="G7907">
        <v>8.1199999999999992</v>
      </c>
      <c r="H7907" t="s">
        <v>10</v>
      </c>
      <c r="I7907" t="s">
        <v>11</v>
      </c>
    </row>
    <row r="7908" spans="1:9" x14ac:dyDescent="0.25">
      <c r="A7908" t="s">
        <v>22</v>
      </c>
      <c r="B7908" t="s">
        <v>226</v>
      </c>
      <c r="C7908">
        <v>202509</v>
      </c>
      <c r="D7908" t="str">
        <f t="shared" si="123"/>
        <v>2025</v>
      </c>
      <c r="E7908">
        <v>94357</v>
      </c>
      <c r="F7908">
        <v>1133318</v>
      </c>
      <c r="G7908">
        <v>8.33</v>
      </c>
      <c r="H7908" t="s">
        <v>10</v>
      </c>
      <c r="I7908" t="s">
        <v>11</v>
      </c>
    </row>
    <row r="7909" spans="1:9" x14ac:dyDescent="0.25">
      <c r="A7909" t="s">
        <v>22</v>
      </c>
      <c r="B7909" t="s">
        <v>226</v>
      </c>
      <c r="C7909">
        <v>202510</v>
      </c>
      <c r="D7909" t="str">
        <f t="shared" si="123"/>
        <v>2025</v>
      </c>
      <c r="E7909">
        <v>101526</v>
      </c>
      <c r="F7909">
        <v>1133318</v>
      </c>
      <c r="G7909">
        <v>8.9600000000000009</v>
      </c>
      <c r="H7909" t="s">
        <v>10</v>
      </c>
      <c r="I7909" t="s">
        <v>11</v>
      </c>
    </row>
    <row r="7910" spans="1:9" x14ac:dyDescent="0.25">
      <c r="A7910" t="s">
        <v>22</v>
      </c>
      <c r="B7910" t="s">
        <v>226</v>
      </c>
      <c r="C7910">
        <v>202511</v>
      </c>
      <c r="D7910" t="str">
        <f t="shared" si="123"/>
        <v>2025</v>
      </c>
      <c r="E7910">
        <v>86858</v>
      </c>
      <c r="F7910">
        <v>1133318</v>
      </c>
      <c r="G7910">
        <v>7.66</v>
      </c>
      <c r="H7910" t="s">
        <v>10</v>
      </c>
      <c r="I7910" t="s">
        <v>11</v>
      </c>
    </row>
    <row r="7911" spans="1:9" x14ac:dyDescent="0.25">
      <c r="A7911" t="s">
        <v>22</v>
      </c>
      <c r="B7911" t="s">
        <v>226</v>
      </c>
      <c r="C7911">
        <v>202512</v>
      </c>
      <c r="D7911" t="str">
        <f t="shared" si="123"/>
        <v>2025</v>
      </c>
      <c r="E7911">
        <v>94112</v>
      </c>
      <c r="F7911">
        <v>1133318</v>
      </c>
      <c r="G7911">
        <v>8.3000000000000007</v>
      </c>
      <c r="H7911" t="s">
        <v>10</v>
      </c>
      <c r="I7911" t="s">
        <v>11</v>
      </c>
    </row>
    <row r="7912" spans="1:9" x14ac:dyDescent="0.25">
      <c r="A7912" t="s">
        <v>22</v>
      </c>
      <c r="B7912" t="s">
        <v>232</v>
      </c>
      <c r="C7912">
        <v>202601</v>
      </c>
      <c r="D7912" t="str">
        <f t="shared" si="123"/>
        <v>2026</v>
      </c>
      <c r="E7912">
        <v>39668</v>
      </c>
      <c r="F7912">
        <v>39779</v>
      </c>
      <c r="G7912">
        <v>99.72</v>
      </c>
      <c r="H7912" t="s">
        <v>10</v>
      </c>
      <c r="I7912" t="s">
        <v>11</v>
      </c>
    </row>
    <row r="7913" spans="1:9" x14ac:dyDescent="0.25">
      <c r="A7913" t="s">
        <v>22</v>
      </c>
      <c r="B7913" t="s">
        <v>232</v>
      </c>
      <c r="C7913">
        <v>202602</v>
      </c>
      <c r="D7913" t="str">
        <f t="shared" si="123"/>
        <v>2026</v>
      </c>
      <c r="E7913">
        <v>111</v>
      </c>
      <c r="F7913">
        <v>39779</v>
      </c>
      <c r="G7913">
        <v>0.28000000000000003</v>
      </c>
      <c r="H7913" t="s">
        <v>10</v>
      </c>
      <c r="I7913" t="s">
        <v>11</v>
      </c>
    </row>
    <row r="7914" spans="1:9" x14ac:dyDescent="0.25">
      <c r="A7914" t="s">
        <v>22</v>
      </c>
      <c r="B7914" t="s">
        <v>201</v>
      </c>
      <c r="C7914">
        <v>202501</v>
      </c>
      <c r="D7914" t="str">
        <f t="shared" si="123"/>
        <v>2025</v>
      </c>
      <c r="E7914">
        <v>93762</v>
      </c>
      <c r="F7914">
        <v>1091885</v>
      </c>
      <c r="G7914">
        <v>8.59</v>
      </c>
      <c r="H7914" t="s">
        <v>10</v>
      </c>
      <c r="I7914" t="s">
        <v>11</v>
      </c>
    </row>
    <row r="7915" spans="1:9" x14ac:dyDescent="0.25">
      <c r="A7915" t="s">
        <v>22</v>
      </c>
      <c r="B7915" t="s">
        <v>201</v>
      </c>
      <c r="C7915">
        <v>202502</v>
      </c>
      <c r="D7915" t="str">
        <f t="shared" si="123"/>
        <v>2025</v>
      </c>
      <c r="E7915">
        <v>83943</v>
      </c>
      <c r="F7915">
        <v>1091885</v>
      </c>
      <c r="G7915">
        <v>7.69</v>
      </c>
      <c r="H7915" t="s">
        <v>10</v>
      </c>
      <c r="I7915" t="s">
        <v>11</v>
      </c>
    </row>
    <row r="7916" spans="1:9" x14ac:dyDescent="0.25">
      <c r="A7916" t="s">
        <v>22</v>
      </c>
      <c r="B7916" t="s">
        <v>201</v>
      </c>
      <c r="C7916">
        <v>202503</v>
      </c>
      <c r="D7916" t="str">
        <f t="shared" si="123"/>
        <v>2025</v>
      </c>
      <c r="E7916">
        <v>97042</v>
      </c>
      <c r="F7916">
        <v>1091885</v>
      </c>
      <c r="G7916">
        <v>8.89</v>
      </c>
      <c r="H7916" t="s">
        <v>10</v>
      </c>
      <c r="I7916" t="s">
        <v>11</v>
      </c>
    </row>
    <row r="7917" spans="1:9" x14ac:dyDescent="0.25">
      <c r="A7917" t="s">
        <v>22</v>
      </c>
      <c r="B7917" t="s">
        <v>201</v>
      </c>
      <c r="C7917">
        <v>202504</v>
      </c>
      <c r="D7917" t="str">
        <f t="shared" si="123"/>
        <v>2025</v>
      </c>
      <c r="E7917">
        <v>99558</v>
      </c>
      <c r="F7917">
        <v>1091885</v>
      </c>
      <c r="G7917">
        <v>9.1199999999999992</v>
      </c>
      <c r="H7917" t="s">
        <v>10</v>
      </c>
      <c r="I7917" t="s">
        <v>11</v>
      </c>
    </row>
    <row r="7918" spans="1:9" x14ac:dyDescent="0.25">
      <c r="A7918" t="s">
        <v>22</v>
      </c>
      <c r="B7918" t="s">
        <v>201</v>
      </c>
      <c r="C7918">
        <v>202505</v>
      </c>
      <c r="D7918" t="str">
        <f t="shared" si="123"/>
        <v>2025</v>
      </c>
      <c r="E7918">
        <v>96085</v>
      </c>
      <c r="F7918">
        <v>1091885</v>
      </c>
      <c r="G7918">
        <v>8.8000000000000007</v>
      </c>
      <c r="H7918" t="s">
        <v>10</v>
      </c>
      <c r="I7918" t="s">
        <v>11</v>
      </c>
    </row>
    <row r="7919" spans="1:9" x14ac:dyDescent="0.25">
      <c r="A7919" t="s">
        <v>22</v>
      </c>
      <c r="B7919" t="s">
        <v>201</v>
      </c>
      <c r="C7919">
        <v>202506</v>
      </c>
      <c r="D7919" t="str">
        <f t="shared" si="123"/>
        <v>2025</v>
      </c>
      <c r="E7919">
        <v>92184</v>
      </c>
      <c r="F7919">
        <v>1091885</v>
      </c>
      <c r="G7919">
        <v>8.44</v>
      </c>
      <c r="H7919" t="s">
        <v>10</v>
      </c>
      <c r="I7919" t="s">
        <v>11</v>
      </c>
    </row>
    <row r="7920" spans="1:9" x14ac:dyDescent="0.25">
      <c r="A7920" t="s">
        <v>22</v>
      </c>
      <c r="B7920" t="s">
        <v>201</v>
      </c>
      <c r="C7920">
        <v>202507</v>
      </c>
      <c r="D7920" t="str">
        <f t="shared" si="123"/>
        <v>2025</v>
      </c>
      <c r="E7920">
        <v>96305</v>
      </c>
      <c r="F7920">
        <v>1091885</v>
      </c>
      <c r="G7920">
        <v>8.82</v>
      </c>
      <c r="H7920" t="s">
        <v>10</v>
      </c>
      <c r="I7920" t="s">
        <v>11</v>
      </c>
    </row>
    <row r="7921" spans="1:9" x14ac:dyDescent="0.25">
      <c r="A7921" t="s">
        <v>22</v>
      </c>
      <c r="B7921" t="s">
        <v>201</v>
      </c>
      <c r="C7921">
        <v>202508</v>
      </c>
      <c r="D7921" t="str">
        <f t="shared" si="123"/>
        <v>2025</v>
      </c>
      <c r="E7921">
        <v>91164</v>
      </c>
      <c r="F7921">
        <v>1091885</v>
      </c>
      <c r="G7921">
        <v>8.35</v>
      </c>
      <c r="H7921" t="s">
        <v>10</v>
      </c>
      <c r="I7921" t="s">
        <v>11</v>
      </c>
    </row>
    <row r="7922" spans="1:9" x14ac:dyDescent="0.25">
      <c r="A7922" t="s">
        <v>22</v>
      </c>
      <c r="B7922" t="s">
        <v>201</v>
      </c>
      <c r="C7922">
        <v>202509</v>
      </c>
      <c r="D7922" t="str">
        <f t="shared" si="123"/>
        <v>2025</v>
      </c>
      <c r="E7922">
        <v>93479</v>
      </c>
      <c r="F7922">
        <v>1091885</v>
      </c>
      <c r="G7922">
        <v>8.56</v>
      </c>
      <c r="H7922" t="s">
        <v>10</v>
      </c>
      <c r="I7922" t="s">
        <v>11</v>
      </c>
    </row>
    <row r="7923" spans="1:9" x14ac:dyDescent="0.25">
      <c r="A7923" t="s">
        <v>22</v>
      </c>
      <c r="B7923" t="s">
        <v>201</v>
      </c>
      <c r="C7923">
        <v>202510</v>
      </c>
      <c r="D7923" t="str">
        <f t="shared" si="123"/>
        <v>2025</v>
      </c>
      <c r="E7923">
        <v>100465</v>
      </c>
      <c r="F7923">
        <v>1091885</v>
      </c>
      <c r="G7923">
        <v>9.1999999999999993</v>
      </c>
      <c r="H7923" t="s">
        <v>10</v>
      </c>
      <c r="I7923" t="s">
        <v>11</v>
      </c>
    </row>
    <row r="7924" spans="1:9" x14ac:dyDescent="0.25">
      <c r="A7924" t="s">
        <v>22</v>
      </c>
      <c r="B7924" t="s">
        <v>201</v>
      </c>
      <c r="C7924">
        <v>202511</v>
      </c>
      <c r="D7924" t="str">
        <f t="shared" si="123"/>
        <v>2025</v>
      </c>
      <c r="E7924">
        <v>84179</v>
      </c>
      <c r="F7924">
        <v>1091885</v>
      </c>
      <c r="G7924">
        <v>7.71</v>
      </c>
      <c r="H7924" t="s">
        <v>10</v>
      </c>
      <c r="I7924" t="s">
        <v>11</v>
      </c>
    </row>
    <row r="7925" spans="1:9" x14ac:dyDescent="0.25">
      <c r="A7925" t="s">
        <v>22</v>
      </c>
      <c r="B7925" t="s">
        <v>201</v>
      </c>
      <c r="C7925">
        <v>202512</v>
      </c>
      <c r="D7925" t="str">
        <f t="shared" si="123"/>
        <v>2025</v>
      </c>
      <c r="E7925">
        <v>63719</v>
      </c>
      <c r="F7925">
        <v>1091885</v>
      </c>
      <c r="G7925">
        <v>5.84</v>
      </c>
      <c r="H7925" t="s">
        <v>10</v>
      </c>
      <c r="I7925" t="s">
        <v>11</v>
      </c>
    </row>
    <row r="7926" spans="1:9" x14ac:dyDescent="0.25">
      <c r="A7926" t="s">
        <v>22</v>
      </c>
      <c r="B7926" t="s">
        <v>236</v>
      </c>
      <c r="C7926">
        <v>202601</v>
      </c>
      <c r="D7926" t="str">
        <f t="shared" si="123"/>
        <v>2026</v>
      </c>
      <c r="E7926">
        <v>111</v>
      </c>
      <c r="F7926">
        <v>111</v>
      </c>
      <c r="G7926">
        <v>100</v>
      </c>
      <c r="H7926" t="s">
        <v>10</v>
      </c>
      <c r="I7926" t="s">
        <v>11</v>
      </c>
    </row>
    <row r="7927" spans="1:9" x14ac:dyDescent="0.25">
      <c r="A7927" t="s">
        <v>22</v>
      </c>
      <c r="B7927" t="s">
        <v>71</v>
      </c>
      <c r="C7927">
        <v>202501</v>
      </c>
      <c r="D7927" t="str">
        <f t="shared" si="123"/>
        <v>2025</v>
      </c>
      <c r="E7927">
        <v>92718</v>
      </c>
      <c r="F7927">
        <v>514042</v>
      </c>
      <c r="G7927">
        <v>18.04</v>
      </c>
      <c r="H7927" t="s">
        <v>10</v>
      </c>
      <c r="I7927" t="s">
        <v>11</v>
      </c>
    </row>
    <row r="7928" spans="1:9" x14ac:dyDescent="0.25">
      <c r="A7928" t="s">
        <v>22</v>
      </c>
      <c r="B7928" t="s">
        <v>71</v>
      </c>
      <c r="C7928">
        <v>202502</v>
      </c>
      <c r="D7928" t="str">
        <f t="shared" si="123"/>
        <v>2025</v>
      </c>
      <c r="E7928">
        <v>81834</v>
      </c>
      <c r="F7928">
        <v>514042</v>
      </c>
      <c r="G7928">
        <v>15.92</v>
      </c>
      <c r="H7928" t="s">
        <v>10</v>
      </c>
      <c r="I7928" t="s">
        <v>11</v>
      </c>
    </row>
    <row r="7929" spans="1:9" x14ac:dyDescent="0.25">
      <c r="A7929" t="s">
        <v>22</v>
      </c>
      <c r="B7929" t="s">
        <v>71</v>
      </c>
      <c r="C7929">
        <v>202503</v>
      </c>
      <c r="D7929" t="str">
        <f t="shared" si="123"/>
        <v>2025</v>
      </c>
      <c r="E7929">
        <v>93921</v>
      </c>
      <c r="F7929">
        <v>514042</v>
      </c>
      <c r="G7929">
        <v>18.27</v>
      </c>
      <c r="H7929" t="s">
        <v>10</v>
      </c>
      <c r="I7929" t="s">
        <v>11</v>
      </c>
    </row>
    <row r="7930" spans="1:9" x14ac:dyDescent="0.25">
      <c r="A7930" t="s">
        <v>22</v>
      </c>
      <c r="B7930" t="s">
        <v>71</v>
      </c>
      <c r="C7930">
        <v>202504</v>
      </c>
      <c r="D7930" t="str">
        <f t="shared" si="123"/>
        <v>2025</v>
      </c>
      <c r="E7930">
        <v>94118</v>
      </c>
      <c r="F7930">
        <v>514042</v>
      </c>
      <c r="G7930">
        <v>18.309999999999999</v>
      </c>
      <c r="H7930" t="s">
        <v>10</v>
      </c>
      <c r="I7930" t="s">
        <v>11</v>
      </c>
    </row>
    <row r="7931" spans="1:9" x14ac:dyDescent="0.25">
      <c r="A7931" t="s">
        <v>22</v>
      </c>
      <c r="B7931" t="s">
        <v>71</v>
      </c>
      <c r="C7931">
        <v>202505</v>
      </c>
      <c r="D7931" t="str">
        <f t="shared" si="123"/>
        <v>2025</v>
      </c>
      <c r="E7931">
        <v>89035</v>
      </c>
      <c r="F7931">
        <v>514042</v>
      </c>
      <c r="G7931">
        <v>17.32</v>
      </c>
      <c r="H7931" t="s">
        <v>10</v>
      </c>
      <c r="I7931" t="s">
        <v>11</v>
      </c>
    </row>
    <row r="7932" spans="1:9" x14ac:dyDescent="0.25">
      <c r="A7932" t="s">
        <v>22</v>
      </c>
      <c r="B7932" t="s">
        <v>71</v>
      </c>
      <c r="C7932">
        <v>202506</v>
      </c>
      <c r="D7932" t="str">
        <f t="shared" si="123"/>
        <v>2025</v>
      </c>
      <c r="E7932">
        <v>60415</v>
      </c>
      <c r="F7932">
        <v>514042</v>
      </c>
      <c r="G7932">
        <v>11.75</v>
      </c>
      <c r="H7932" t="s">
        <v>10</v>
      </c>
      <c r="I7932" t="s">
        <v>11</v>
      </c>
    </row>
    <row r="7933" spans="1:9" x14ac:dyDescent="0.25">
      <c r="A7933" t="s">
        <v>22</v>
      </c>
      <c r="B7933" t="s">
        <v>71</v>
      </c>
      <c r="C7933">
        <v>202507</v>
      </c>
      <c r="D7933" t="str">
        <f t="shared" si="123"/>
        <v>2025</v>
      </c>
      <c r="E7933">
        <v>2001</v>
      </c>
      <c r="F7933">
        <v>514042</v>
      </c>
      <c r="G7933">
        <v>0.39</v>
      </c>
      <c r="H7933" t="s">
        <v>10</v>
      </c>
      <c r="I7933" t="s">
        <v>11</v>
      </c>
    </row>
    <row r="7934" spans="1:9" x14ac:dyDescent="0.25">
      <c r="A7934" t="s">
        <v>22</v>
      </c>
      <c r="B7934" t="s">
        <v>223</v>
      </c>
      <c r="C7934">
        <v>202501</v>
      </c>
      <c r="D7934" t="str">
        <f t="shared" si="123"/>
        <v>2025</v>
      </c>
      <c r="E7934">
        <v>92378</v>
      </c>
      <c r="F7934">
        <v>414583</v>
      </c>
      <c r="G7934">
        <v>22.28</v>
      </c>
      <c r="H7934" t="s">
        <v>10</v>
      </c>
      <c r="I7934" t="s">
        <v>11</v>
      </c>
    </row>
    <row r="7935" spans="1:9" x14ac:dyDescent="0.25">
      <c r="A7935" t="s">
        <v>22</v>
      </c>
      <c r="B7935" t="s">
        <v>223</v>
      </c>
      <c r="C7935">
        <v>202502</v>
      </c>
      <c r="D7935" t="str">
        <f t="shared" si="123"/>
        <v>2025</v>
      </c>
      <c r="E7935">
        <v>81136</v>
      </c>
      <c r="F7935">
        <v>414583</v>
      </c>
      <c r="G7935">
        <v>19.57</v>
      </c>
      <c r="H7935" t="s">
        <v>10</v>
      </c>
      <c r="I7935" t="s">
        <v>11</v>
      </c>
    </row>
    <row r="7936" spans="1:9" x14ac:dyDescent="0.25">
      <c r="A7936" t="s">
        <v>22</v>
      </c>
      <c r="B7936" t="s">
        <v>223</v>
      </c>
      <c r="C7936">
        <v>202503</v>
      </c>
      <c r="D7936" t="str">
        <f t="shared" si="123"/>
        <v>2025</v>
      </c>
      <c r="E7936">
        <v>91984</v>
      </c>
      <c r="F7936">
        <v>414583</v>
      </c>
      <c r="G7936">
        <v>22.19</v>
      </c>
      <c r="H7936" t="s">
        <v>10</v>
      </c>
      <c r="I7936" t="s">
        <v>11</v>
      </c>
    </row>
    <row r="7937" spans="1:9" x14ac:dyDescent="0.25">
      <c r="A7937" t="s">
        <v>22</v>
      </c>
      <c r="B7937" t="s">
        <v>223</v>
      </c>
      <c r="C7937">
        <v>202504</v>
      </c>
      <c r="D7937" t="str">
        <f t="shared" si="123"/>
        <v>2025</v>
      </c>
      <c r="E7937">
        <v>91306</v>
      </c>
      <c r="F7937">
        <v>414583</v>
      </c>
      <c r="G7937">
        <v>22.02</v>
      </c>
      <c r="H7937" t="s">
        <v>10</v>
      </c>
      <c r="I7937" t="s">
        <v>11</v>
      </c>
    </row>
    <row r="7938" spans="1:9" x14ac:dyDescent="0.25">
      <c r="A7938" t="s">
        <v>22</v>
      </c>
      <c r="B7938" t="s">
        <v>223</v>
      </c>
      <c r="C7938">
        <v>202505</v>
      </c>
      <c r="D7938" t="str">
        <f t="shared" si="123"/>
        <v>2025</v>
      </c>
      <c r="E7938">
        <v>56645</v>
      </c>
      <c r="F7938">
        <v>414583</v>
      </c>
      <c r="G7938">
        <v>13.66</v>
      </c>
      <c r="H7938" t="s">
        <v>10</v>
      </c>
      <c r="I7938" t="s">
        <v>11</v>
      </c>
    </row>
    <row r="7939" spans="1:9" x14ac:dyDescent="0.25">
      <c r="A7939" t="s">
        <v>22</v>
      </c>
      <c r="B7939" t="s">
        <v>223</v>
      </c>
      <c r="C7939">
        <v>202506</v>
      </c>
      <c r="D7939" t="str">
        <f t="shared" ref="D7939:D8002" si="124">LEFT(C7939,4)</f>
        <v>2025</v>
      </c>
      <c r="E7939">
        <v>1134</v>
      </c>
      <c r="F7939">
        <v>414583</v>
      </c>
      <c r="G7939">
        <v>0.27</v>
      </c>
      <c r="H7939" t="s">
        <v>10</v>
      </c>
      <c r="I7939" t="s">
        <v>11</v>
      </c>
    </row>
    <row r="7940" spans="1:9" x14ac:dyDescent="0.25">
      <c r="A7940" t="s">
        <v>22</v>
      </c>
      <c r="B7940" t="s">
        <v>200</v>
      </c>
      <c r="C7940">
        <v>202501</v>
      </c>
      <c r="D7940" t="str">
        <f t="shared" si="124"/>
        <v>2025</v>
      </c>
      <c r="E7940">
        <v>96410</v>
      </c>
      <c r="F7940">
        <v>1148702</v>
      </c>
      <c r="G7940">
        <v>8.39</v>
      </c>
      <c r="H7940" t="s">
        <v>10</v>
      </c>
      <c r="I7940" t="s">
        <v>11</v>
      </c>
    </row>
    <row r="7941" spans="1:9" x14ac:dyDescent="0.25">
      <c r="A7941" t="s">
        <v>22</v>
      </c>
      <c r="B7941" t="s">
        <v>200</v>
      </c>
      <c r="C7941">
        <v>202502</v>
      </c>
      <c r="D7941" t="str">
        <f t="shared" si="124"/>
        <v>2025</v>
      </c>
      <c r="E7941">
        <v>85800</v>
      </c>
      <c r="F7941">
        <v>1148702</v>
      </c>
      <c r="G7941">
        <v>7.47</v>
      </c>
      <c r="H7941" t="s">
        <v>10</v>
      </c>
      <c r="I7941" t="s">
        <v>11</v>
      </c>
    </row>
    <row r="7942" spans="1:9" x14ac:dyDescent="0.25">
      <c r="A7942" t="s">
        <v>22</v>
      </c>
      <c r="B7942" t="s">
        <v>200</v>
      </c>
      <c r="C7942">
        <v>202503</v>
      </c>
      <c r="D7942" t="str">
        <f t="shared" si="124"/>
        <v>2025</v>
      </c>
      <c r="E7942">
        <v>99164</v>
      </c>
      <c r="F7942">
        <v>1148702</v>
      </c>
      <c r="G7942">
        <v>8.6300000000000008</v>
      </c>
      <c r="H7942" t="s">
        <v>10</v>
      </c>
      <c r="I7942" t="s">
        <v>11</v>
      </c>
    </row>
    <row r="7943" spans="1:9" x14ac:dyDescent="0.25">
      <c r="A7943" t="s">
        <v>22</v>
      </c>
      <c r="B7943" t="s">
        <v>200</v>
      </c>
      <c r="C7943">
        <v>202504</v>
      </c>
      <c r="D7943" t="str">
        <f t="shared" si="124"/>
        <v>2025</v>
      </c>
      <c r="E7943">
        <v>102522</v>
      </c>
      <c r="F7943">
        <v>1148702</v>
      </c>
      <c r="G7943">
        <v>8.93</v>
      </c>
      <c r="H7943" t="s">
        <v>10</v>
      </c>
      <c r="I7943" t="s">
        <v>11</v>
      </c>
    </row>
    <row r="7944" spans="1:9" x14ac:dyDescent="0.25">
      <c r="A7944" t="s">
        <v>22</v>
      </c>
      <c r="B7944" t="s">
        <v>200</v>
      </c>
      <c r="C7944">
        <v>202505</v>
      </c>
      <c r="D7944" t="str">
        <f t="shared" si="124"/>
        <v>2025</v>
      </c>
      <c r="E7944">
        <v>98352</v>
      </c>
      <c r="F7944">
        <v>1148702</v>
      </c>
      <c r="G7944">
        <v>8.56</v>
      </c>
      <c r="H7944" t="s">
        <v>10</v>
      </c>
      <c r="I7944" t="s">
        <v>11</v>
      </c>
    </row>
    <row r="7945" spans="1:9" x14ac:dyDescent="0.25">
      <c r="A7945" t="s">
        <v>22</v>
      </c>
      <c r="B7945" t="s">
        <v>200</v>
      </c>
      <c r="C7945">
        <v>202506</v>
      </c>
      <c r="D7945" t="str">
        <f t="shared" si="124"/>
        <v>2025</v>
      </c>
      <c r="E7945">
        <v>94072</v>
      </c>
      <c r="F7945">
        <v>1148702</v>
      </c>
      <c r="G7945">
        <v>8.19</v>
      </c>
      <c r="H7945" t="s">
        <v>10</v>
      </c>
      <c r="I7945" t="s">
        <v>11</v>
      </c>
    </row>
    <row r="7946" spans="1:9" x14ac:dyDescent="0.25">
      <c r="A7946" t="s">
        <v>22</v>
      </c>
      <c r="B7946" t="s">
        <v>200</v>
      </c>
      <c r="C7946">
        <v>202507</v>
      </c>
      <c r="D7946" t="str">
        <f t="shared" si="124"/>
        <v>2025</v>
      </c>
      <c r="E7946">
        <v>98275</v>
      </c>
      <c r="F7946">
        <v>1148702</v>
      </c>
      <c r="G7946">
        <v>8.56</v>
      </c>
      <c r="H7946" t="s">
        <v>10</v>
      </c>
      <c r="I7946" t="s">
        <v>11</v>
      </c>
    </row>
    <row r="7947" spans="1:9" x14ac:dyDescent="0.25">
      <c r="A7947" t="s">
        <v>22</v>
      </c>
      <c r="B7947" t="s">
        <v>200</v>
      </c>
      <c r="C7947">
        <v>202508</v>
      </c>
      <c r="D7947" t="str">
        <f t="shared" si="124"/>
        <v>2025</v>
      </c>
      <c r="E7947">
        <v>92227</v>
      </c>
      <c r="F7947">
        <v>1148702</v>
      </c>
      <c r="G7947">
        <v>8.0299999999999994</v>
      </c>
      <c r="H7947" t="s">
        <v>10</v>
      </c>
      <c r="I7947" t="s">
        <v>11</v>
      </c>
    </row>
    <row r="7948" spans="1:9" x14ac:dyDescent="0.25">
      <c r="A7948" t="s">
        <v>22</v>
      </c>
      <c r="B7948" t="s">
        <v>200</v>
      </c>
      <c r="C7948">
        <v>202509</v>
      </c>
      <c r="D7948" t="str">
        <f t="shared" si="124"/>
        <v>2025</v>
      </c>
      <c r="E7948">
        <v>94633</v>
      </c>
      <c r="F7948">
        <v>1148702</v>
      </c>
      <c r="G7948">
        <v>8.24</v>
      </c>
      <c r="H7948" t="s">
        <v>10</v>
      </c>
      <c r="I7948" t="s">
        <v>11</v>
      </c>
    </row>
    <row r="7949" spans="1:9" x14ac:dyDescent="0.25">
      <c r="A7949" t="s">
        <v>22</v>
      </c>
      <c r="B7949" t="s">
        <v>200</v>
      </c>
      <c r="C7949">
        <v>202510</v>
      </c>
      <c r="D7949" t="str">
        <f t="shared" si="124"/>
        <v>2025</v>
      </c>
      <c r="E7949">
        <v>102046</v>
      </c>
      <c r="F7949">
        <v>1148702</v>
      </c>
      <c r="G7949">
        <v>8.8800000000000008</v>
      </c>
      <c r="H7949" t="s">
        <v>10</v>
      </c>
      <c r="I7949" t="s">
        <v>11</v>
      </c>
    </row>
    <row r="7950" spans="1:9" x14ac:dyDescent="0.25">
      <c r="A7950" t="s">
        <v>22</v>
      </c>
      <c r="B7950" t="s">
        <v>200</v>
      </c>
      <c r="C7950">
        <v>202511</v>
      </c>
      <c r="D7950" t="str">
        <f t="shared" si="124"/>
        <v>2025</v>
      </c>
      <c r="E7950">
        <v>87637</v>
      </c>
      <c r="F7950">
        <v>1148702</v>
      </c>
      <c r="G7950">
        <v>7.63</v>
      </c>
      <c r="H7950" t="s">
        <v>10</v>
      </c>
      <c r="I7950" t="s">
        <v>11</v>
      </c>
    </row>
    <row r="7951" spans="1:9" x14ac:dyDescent="0.25">
      <c r="A7951" t="s">
        <v>22</v>
      </c>
      <c r="B7951" t="s">
        <v>200</v>
      </c>
      <c r="C7951">
        <v>202512</v>
      </c>
      <c r="D7951" t="str">
        <f t="shared" si="124"/>
        <v>2025</v>
      </c>
      <c r="E7951">
        <v>97564</v>
      </c>
      <c r="F7951">
        <v>1148702</v>
      </c>
      <c r="G7951">
        <v>8.49</v>
      </c>
      <c r="H7951" t="s">
        <v>10</v>
      </c>
      <c r="I7951" t="s">
        <v>11</v>
      </c>
    </row>
    <row r="7952" spans="1:9" x14ac:dyDescent="0.25">
      <c r="A7952" t="s">
        <v>22</v>
      </c>
      <c r="B7952" t="s">
        <v>231</v>
      </c>
      <c r="C7952">
        <v>202601</v>
      </c>
      <c r="D7952" t="str">
        <f t="shared" si="124"/>
        <v>2026</v>
      </c>
      <c r="E7952">
        <v>68796</v>
      </c>
      <c r="F7952">
        <v>112544</v>
      </c>
      <c r="G7952">
        <v>61.13</v>
      </c>
      <c r="H7952" t="s">
        <v>10</v>
      </c>
      <c r="I7952" t="s">
        <v>11</v>
      </c>
    </row>
    <row r="7953" spans="1:9" x14ac:dyDescent="0.25">
      <c r="A7953" t="s">
        <v>22</v>
      </c>
      <c r="B7953" t="s">
        <v>231</v>
      </c>
      <c r="C7953">
        <v>202602</v>
      </c>
      <c r="D7953" t="str">
        <f t="shared" si="124"/>
        <v>2026</v>
      </c>
      <c r="E7953">
        <v>43629</v>
      </c>
      <c r="F7953">
        <v>112544</v>
      </c>
      <c r="G7953">
        <v>38.770000000000003</v>
      </c>
      <c r="H7953" t="s">
        <v>10</v>
      </c>
      <c r="I7953" t="s">
        <v>11</v>
      </c>
    </row>
    <row r="7954" spans="1:9" x14ac:dyDescent="0.25">
      <c r="A7954" t="s">
        <v>22</v>
      </c>
      <c r="B7954" t="s">
        <v>231</v>
      </c>
      <c r="C7954">
        <v>202603</v>
      </c>
      <c r="D7954" t="str">
        <f t="shared" si="124"/>
        <v>2026</v>
      </c>
      <c r="E7954">
        <v>119</v>
      </c>
      <c r="F7954">
        <v>112544</v>
      </c>
      <c r="G7954">
        <v>0.11</v>
      </c>
      <c r="H7954" t="s">
        <v>10</v>
      </c>
      <c r="I7954" t="s">
        <v>11</v>
      </c>
    </row>
    <row r="7955" spans="1:9" x14ac:dyDescent="0.25">
      <c r="A7955" t="s">
        <v>22</v>
      </c>
      <c r="B7955" t="s">
        <v>112</v>
      </c>
      <c r="C7955">
        <v>202501</v>
      </c>
      <c r="D7955" t="str">
        <f t="shared" si="124"/>
        <v>2025</v>
      </c>
      <c r="E7955">
        <v>93681</v>
      </c>
      <c r="F7955">
        <v>891322</v>
      </c>
      <c r="G7955">
        <v>10.51</v>
      </c>
      <c r="H7955" t="s">
        <v>10</v>
      </c>
      <c r="I7955" t="s">
        <v>11</v>
      </c>
    </row>
    <row r="7956" spans="1:9" x14ac:dyDescent="0.25">
      <c r="A7956" t="s">
        <v>22</v>
      </c>
      <c r="B7956" t="s">
        <v>112</v>
      </c>
      <c r="C7956">
        <v>202502</v>
      </c>
      <c r="D7956" t="str">
        <f t="shared" si="124"/>
        <v>2025</v>
      </c>
      <c r="E7956">
        <v>83818</v>
      </c>
      <c r="F7956">
        <v>891322</v>
      </c>
      <c r="G7956">
        <v>9.4</v>
      </c>
      <c r="H7956" t="s">
        <v>10</v>
      </c>
      <c r="I7956" t="s">
        <v>11</v>
      </c>
    </row>
    <row r="7957" spans="1:9" x14ac:dyDescent="0.25">
      <c r="A7957" t="s">
        <v>22</v>
      </c>
      <c r="B7957" t="s">
        <v>112</v>
      </c>
      <c r="C7957">
        <v>202503</v>
      </c>
      <c r="D7957" t="str">
        <f t="shared" si="124"/>
        <v>2025</v>
      </c>
      <c r="E7957">
        <v>96831</v>
      </c>
      <c r="F7957">
        <v>891322</v>
      </c>
      <c r="G7957">
        <v>10.86</v>
      </c>
      <c r="H7957" t="s">
        <v>10</v>
      </c>
      <c r="I7957" t="s">
        <v>11</v>
      </c>
    </row>
    <row r="7958" spans="1:9" x14ac:dyDescent="0.25">
      <c r="A7958" t="s">
        <v>22</v>
      </c>
      <c r="B7958" t="s">
        <v>112</v>
      </c>
      <c r="C7958">
        <v>202504</v>
      </c>
      <c r="D7958" t="str">
        <f t="shared" si="124"/>
        <v>2025</v>
      </c>
      <c r="E7958">
        <v>99415</v>
      </c>
      <c r="F7958">
        <v>891322</v>
      </c>
      <c r="G7958">
        <v>11.15</v>
      </c>
      <c r="H7958" t="s">
        <v>10</v>
      </c>
      <c r="I7958" t="s">
        <v>11</v>
      </c>
    </row>
    <row r="7959" spans="1:9" x14ac:dyDescent="0.25">
      <c r="A7959" t="s">
        <v>22</v>
      </c>
      <c r="B7959" t="s">
        <v>112</v>
      </c>
      <c r="C7959">
        <v>202505</v>
      </c>
      <c r="D7959" t="str">
        <f t="shared" si="124"/>
        <v>2025</v>
      </c>
      <c r="E7959">
        <v>95940</v>
      </c>
      <c r="F7959">
        <v>891322</v>
      </c>
      <c r="G7959">
        <v>10.76</v>
      </c>
      <c r="H7959" t="s">
        <v>10</v>
      </c>
      <c r="I7959" t="s">
        <v>11</v>
      </c>
    </row>
    <row r="7960" spans="1:9" x14ac:dyDescent="0.25">
      <c r="A7960" t="s">
        <v>22</v>
      </c>
      <c r="B7960" t="s">
        <v>112</v>
      </c>
      <c r="C7960">
        <v>202506</v>
      </c>
      <c r="D7960" t="str">
        <f t="shared" si="124"/>
        <v>2025</v>
      </c>
      <c r="E7960">
        <v>91952</v>
      </c>
      <c r="F7960">
        <v>891322</v>
      </c>
      <c r="G7960">
        <v>10.32</v>
      </c>
      <c r="H7960" t="s">
        <v>10</v>
      </c>
      <c r="I7960" t="s">
        <v>11</v>
      </c>
    </row>
    <row r="7961" spans="1:9" x14ac:dyDescent="0.25">
      <c r="A7961" t="s">
        <v>22</v>
      </c>
      <c r="B7961" t="s">
        <v>112</v>
      </c>
      <c r="C7961">
        <v>202507</v>
      </c>
      <c r="D7961" t="str">
        <f t="shared" si="124"/>
        <v>2025</v>
      </c>
      <c r="E7961">
        <v>95817</v>
      </c>
      <c r="F7961">
        <v>891322</v>
      </c>
      <c r="G7961">
        <v>10.75</v>
      </c>
      <c r="H7961" t="s">
        <v>10</v>
      </c>
      <c r="I7961" t="s">
        <v>11</v>
      </c>
    </row>
    <row r="7962" spans="1:9" x14ac:dyDescent="0.25">
      <c r="A7962" t="s">
        <v>22</v>
      </c>
      <c r="B7962" t="s">
        <v>112</v>
      </c>
      <c r="C7962">
        <v>202508</v>
      </c>
      <c r="D7962" t="str">
        <f t="shared" si="124"/>
        <v>2025</v>
      </c>
      <c r="E7962">
        <v>89081</v>
      </c>
      <c r="F7962">
        <v>891322</v>
      </c>
      <c r="G7962">
        <v>9.99</v>
      </c>
      <c r="H7962" t="s">
        <v>10</v>
      </c>
      <c r="I7962" t="s">
        <v>11</v>
      </c>
    </row>
    <row r="7963" spans="1:9" x14ac:dyDescent="0.25">
      <c r="A7963" t="s">
        <v>22</v>
      </c>
      <c r="B7963" t="s">
        <v>112</v>
      </c>
      <c r="C7963">
        <v>202509</v>
      </c>
      <c r="D7963" t="str">
        <f t="shared" si="124"/>
        <v>2025</v>
      </c>
      <c r="E7963">
        <v>89780</v>
      </c>
      <c r="F7963">
        <v>891322</v>
      </c>
      <c r="G7963">
        <v>10.07</v>
      </c>
      <c r="H7963" t="s">
        <v>10</v>
      </c>
      <c r="I7963" t="s">
        <v>11</v>
      </c>
    </row>
    <row r="7964" spans="1:9" x14ac:dyDescent="0.25">
      <c r="A7964" t="s">
        <v>22</v>
      </c>
      <c r="B7964" t="s">
        <v>112</v>
      </c>
      <c r="C7964">
        <v>202510</v>
      </c>
      <c r="D7964" t="str">
        <f t="shared" si="124"/>
        <v>2025</v>
      </c>
      <c r="E7964">
        <v>54032</v>
      </c>
      <c r="F7964">
        <v>891322</v>
      </c>
      <c r="G7964">
        <v>6.06</v>
      </c>
      <c r="H7964" t="s">
        <v>10</v>
      </c>
      <c r="I7964" t="s">
        <v>11</v>
      </c>
    </row>
    <row r="7965" spans="1:9" x14ac:dyDescent="0.25">
      <c r="A7965" t="s">
        <v>22</v>
      </c>
      <c r="B7965" t="s">
        <v>112</v>
      </c>
      <c r="C7965">
        <v>202511</v>
      </c>
      <c r="D7965" t="str">
        <f t="shared" si="124"/>
        <v>2025</v>
      </c>
      <c r="E7965">
        <v>975</v>
      </c>
      <c r="F7965">
        <v>891322</v>
      </c>
      <c r="G7965">
        <v>0.11</v>
      </c>
      <c r="H7965" t="s">
        <v>10</v>
      </c>
      <c r="I7965" t="s">
        <v>11</v>
      </c>
    </row>
    <row r="7966" spans="1:9" x14ac:dyDescent="0.25">
      <c r="A7966" t="s">
        <v>22</v>
      </c>
      <c r="B7966" t="s">
        <v>227</v>
      </c>
      <c r="C7966">
        <v>202501</v>
      </c>
      <c r="D7966" t="str">
        <f t="shared" si="124"/>
        <v>2025</v>
      </c>
      <c r="E7966">
        <v>93583</v>
      </c>
      <c r="F7966">
        <v>804385</v>
      </c>
      <c r="G7966">
        <v>11.63</v>
      </c>
      <c r="H7966" t="s">
        <v>10</v>
      </c>
      <c r="I7966" t="s">
        <v>11</v>
      </c>
    </row>
    <row r="7967" spans="1:9" x14ac:dyDescent="0.25">
      <c r="A7967" t="s">
        <v>22</v>
      </c>
      <c r="B7967" t="s">
        <v>227</v>
      </c>
      <c r="C7967">
        <v>202502</v>
      </c>
      <c r="D7967" t="str">
        <f t="shared" si="124"/>
        <v>2025</v>
      </c>
      <c r="E7967">
        <v>83752</v>
      </c>
      <c r="F7967">
        <v>804385</v>
      </c>
      <c r="G7967">
        <v>10.41</v>
      </c>
      <c r="H7967" t="s">
        <v>10</v>
      </c>
      <c r="I7967" t="s">
        <v>11</v>
      </c>
    </row>
    <row r="7968" spans="1:9" x14ac:dyDescent="0.25">
      <c r="A7968" t="s">
        <v>22</v>
      </c>
      <c r="B7968" t="s">
        <v>227</v>
      </c>
      <c r="C7968">
        <v>202503</v>
      </c>
      <c r="D7968" t="str">
        <f t="shared" si="124"/>
        <v>2025</v>
      </c>
      <c r="E7968">
        <v>96743</v>
      </c>
      <c r="F7968">
        <v>804385</v>
      </c>
      <c r="G7968">
        <v>12.03</v>
      </c>
      <c r="H7968" t="s">
        <v>10</v>
      </c>
      <c r="I7968" t="s">
        <v>11</v>
      </c>
    </row>
    <row r="7969" spans="1:9" x14ac:dyDescent="0.25">
      <c r="A7969" t="s">
        <v>22</v>
      </c>
      <c r="B7969" t="s">
        <v>227</v>
      </c>
      <c r="C7969">
        <v>202504</v>
      </c>
      <c r="D7969" t="str">
        <f t="shared" si="124"/>
        <v>2025</v>
      </c>
      <c r="E7969">
        <v>99331</v>
      </c>
      <c r="F7969">
        <v>804385</v>
      </c>
      <c r="G7969">
        <v>12.35</v>
      </c>
      <c r="H7969" t="s">
        <v>10</v>
      </c>
      <c r="I7969" t="s">
        <v>11</v>
      </c>
    </row>
    <row r="7970" spans="1:9" x14ac:dyDescent="0.25">
      <c r="A7970" t="s">
        <v>22</v>
      </c>
      <c r="B7970" t="s">
        <v>227</v>
      </c>
      <c r="C7970">
        <v>202505</v>
      </c>
      <c r="D7970" t="str">
        <f t="shared" si="124"/>
        <v>2025</v>
      </c>
      <c r="E7970">
        <v>95852</v>
      </c>
      <c r="F7970">
        <v>804385</v>
      </c>
      <c r="G7970">
        <v>11.92</v>
      </c>
      <c r="H7970" t="s">
        <v>10</v>
      </c>
      <c r="I7970" t="s">
        <v>11</v>
      </c>
    </row>
    <row r="7971" spans="1:9" x14ac:dyDescent="0.25">
      <c r="A7971" t="s">
        <v>22</v>
      </c>
      <c r="B7971" t="s">
        <v>227</v>
      </c>
      <c r="C7971">
        <v>202506</v>
      </c>
      <c r="D7971" t="str">
        <f t="shared" si="124"/>
        <v>2025</v>
      </c>
      <c r="E7971">
        <v>91772</v>
      </c>
      <c r="F7971">
        <v>804385</v>
      </c>
      <c r="G7971">
        <v>11.41</v>
      </c>
      <c r="H7971" t="s">
        <v>10</v>
      </c>
      <c r="I7971" t="s">
        <v>11</v>
      </c>
    </row>
    <row r="7972" spans="1:9" x14ac:dyDescent="0.25">
      <c r="A7972" t="s">
        <v>22</v>
      </c>
      <c r="B7972" t="s">
        <v>227</v>
      </c>
      <c r="C7972">
        <v>202507</v>
      </c>
      <c r="D7972" t="str">
        <f t="shared" si="124"/>
        <v>2025</v>
      </c>
      <c r="E7972">
        <v>93993</v>
      </c>
      <c r="F7972">
        <v>804385</v>
      </c>
      <c r="G7972">
        <v>11.69</v>
      </c>
      <c r="H7972" t="s">
        <v>10</v>
      </c>
      <c r="I7972" t="s">
        <v>11</v>
      </c>
    </row>
    <row r="7973" spans="1:9" x14ac:dyDescent="0.25">
      <c r="A7973" t="s">
        <v>22</v>
      </c>
      <c r="B7973" t="s">
        <v>227</v>
      </c>
      <c r="C7973">
        <v>202508</v>
      </c>
      <c r="D7973" t="str">
        <f t="shared" si="124"/>
        <v>2025</v>
      </c>
      <c r="E7973">
        <v>86293</v>
      </c>
      <c r="F7973">
        <v>804385</v>
      </c>
      <c r="G7973">
        <v>10.73</v>
      </c>
      <c r="H7973" t="s">
        <v>10</v>
      </c>
      <c r="I7973" t="s">
        <v>11</v>
      </c>
    </row>
    <row r="7974" spans="1:9" x14ac:dyDescent="0.25">
      <c r="A7974" t="s">
        <v>22</v>
      </c>
      <c r="B7974" t="s">
        <v>227</v>
      </c>
      <c r="C7974">
        <v>202509</v>
      </c>
      <c r="D7974" t="str">
        <f t="shared" si="124"/>
        <v>2025</v>
      </c>
      <c r="E7974">
        <v>61025</v>
      </c>
      <c r="F7974">
        <v>804385</v>
      </c>
      <c r="G7974">
        <v>7.59</v>
      </c>
      <c r="H7974" t="s">
        <v>10</v>
      </c>
      <c r="I7974" t="s">
        <v>11</v>
      </c>
    </row>
    <row r="7975" spans="1:9" x14ac:dyDescent="0.25">
      <c r="A7975" t="s">
        <v>22</v>
      </c>
      <c r="B7975" t="s">
        <v>227</v>
      </c>
      <c r="C7975">
        <v>202510</v>
      </c>
      <c r="D7975" t="str">
        <f t="shared" si="124"/>
        <v>2025</v>
      </c>
      <c r="E7975">
        <v>2041</v>
      </c>
      <c r="F7975">
        <v>804385</v>
      </c>
      <c r="G7975">
        <v>0.25</v>
      </c>
      <c r="H7975" t="s">
        <v>10</v>
      </c>
      <c r="I7975" t="s">
        <v>11</v>
      </c>
    </row>
    <row r="7976" spans="1:9" x14ac:dyDescent="0.25">
      <c r="A7976" t="s">
        <v>22</v>
      </c>
      <c r="B7976" t="s">
        <v>230</v>
      </c>
      <c r="C7976">
        <v>202501</v>
      </c>
      <c r="D7976" t="str">
        <f t="shared" si="124"/>
        <v>2025</v>
      </c>
      <c r="E7976">
        <v>93504</v>
      </c>
      <c r="F7976">
        <v>711678</v>
      </c>
      <c r="G7976">
        <v>13.14</v>
      </c>
      <c r="H7976" t="s">
        <v>10</v>
      </c>
      <c r="I7976" t="s">
        <v>11</v>
      </c>
    </row>
    <row r="7977" spans="1:9" x14ac:dyDescent="0.25">
      <c r="A7977" t="s">
        <v>22</v>
      </c>
      <c r="B7977" t="s">
        <v>230</v>
      </c>
      <c r="C7977">
        <v>202502</v>
      </c>
      <c r="D7977" t="str">
        <f t="shared" si="124"/>
        <v>2025</v>
      </c>
      <c r="E7977">
        <v>83623</v>
      </c>
      <c r="F7977">
        <v>711678</v>
      </c>
      <c r="G7977">
        <v>11.75</v>
      </c>
      <c r="H7977" t="s">
        <v>10</v>
      </c>
      <c r="I7977" t="s">
        <v>11</v>
      </c>
    </row>
    <row r="7978" spans="1:9" x14ac:dyDescent="0.25">
      <c r="A7978" t="s">
        <v>22</v>
      </c>
      <c r="B7978" t="s">
        <v>230</v>
      </c>
      <c r="C7978">
        <v>202503</v>
      </c>
      <c r="D7978" t="str">
        <f t="shared" si="124"/>
        <v>2025</v>
      </c>
      <c r="E7978">
        <v>96605</v>
      </c>
      <c r="F7978">
        <v>711678</v>
      </c>
      <c r="G7978">
        <v>13.57</v>
      </c>
      <c r="H7978" t="s">
        <v>10</v>
      </c>
      <c r="I7978" t="s">
        <v>11</v>
      </c>
    </row>
    <row r="7979" spans="1:9" x14ac:dyDescent="0.25">
      <c r="A7979" t="s">
        <v>22</v>
      </c>
      <c r="B7979" t="s">
        <v>230</v>
      </c>
      <c r="C7979">
        <v>202504</v>
      </c>
      <c r="D7979" t="str">
        <f t="shared" si="124"/>
        <v>2025</v>
      </c>
      <c r="E7979">
        <v>99177</v>
      </c>
      <c r="F7979">
        <v>711678</v>
      </c>
      <c r="G7979">
        <v>13.94</v>
      </c>
      <c r="H7979" t="s">
        <v>10</v>
      </c>
      <c r="I7979" t="s">
        <v>11</v>
      </c>
    </row>
    <row r="7980" spans="1:9" x14ac:dyDescent="0.25">
      <c r="A7980" t="s">
        <v>22</v>
      </c>
      <c r="B7980" t="s">
        <v>230</v>
      </c>
      <c r="C7980">
        <v>202505</v>
      </c>
      <c r="D7980" t="str">
        <f t="shared" si="124"/>
        <v>2025</v>
      </c>
      <c r="E7980">
        <v>95562</v>
      </c>
      <c r="F7980">
        <v>711678</v>
      </c>
      <c r="G7980">
        <v>13.43</v>
      </c>
      <c r="H7980" t="s">
        <v>10</v>
      </c>
      <c r="I7980" t="s">
        <v>11</v>
      </c>
    </row>
    <row r="7981" spans="1:9" x14ac:dyDescent="0.25">
      <c r="A7981" t="s">
        <v>22</v>
      </c>
      <c r="B7981" t="s">
        <v>230</v>
      </c>
      <c r="C7981">
        <v>202506</v>
      </c>
      <c r="D7981" t="str">
        <f t="shared" si="124"/>
        <v>2025</v>
      </c>
      <c r="E7981">
        <v>90099</v>
      </c>
      <c r="F7981">
        <v>711678</v>
      </c>
      <c r="G7981">
        <v>12.66</v>
      </c>
      <c r="H7981" t="s">
        <v>10</v>
      </c>
      <c r="I7981" t="s">
        <v>11</v>
      </c>
    </row>
    <row r="7982" spans="1:9" x14ac:dyDescent="0.25">
      <c r="A7982" t="s">
        <v>22</v>
      </c>
      <c r="B7982" t="s">
        <v>230</v>
      </c>
      <c r="C7982">
        <v>202507</v>
      </c>
      <c r="D7982" t="str">
        <f t="shared" si="124"/>
        <v>2025</v>
      </c>
      <c r="E7982">
        <v>91550</v>
      </c>
      <c r="F7982">
        <v>711678</v>
      </c>
      <c r="G7982">
        <v>12.86</v>
      </c>
      <c r="H7982" t="s">
        <v>10</v>
      </c>
      <c r="I7982" t="s">
        <v>11</v>
      </c>
    </row>
    <row r="7983" spans="1:9" x14ac:dyDescent="0.25">
      <c r="A7983" t="s">
        <v>22</v>
      </c>
      <c r="B7983" t="s">
        <v>230</v>
      </c>
      <c r="C7983">
        <v>202508</v>
      </c>
      <c r="D7983" t="str">
        <f t="shared" si="124"/>
        <v>2025</v>
      </c>
      <c r="E7983">
        <v>60340</v>
      </c>
      <c r="F7983">
        <v>711678</v>
      </c>
      <c r="G7983">
        <v>8.48</v>
      </c>
      <c r="H7983" t="s">
        <v>10</v>
      </c>
      <c r="I7983" t="s">
        <v>11</v>
      </c>
    </row>
    <row r="7984" spans="1:9" x14ac:dyDescent="0.25">
      <c r="A7984" t="s">
        <v>22</v>
      </c>
      <c r="B7984" t="s">
        <v>230</v>
      </c>
      <c r="C7984">
        <v>202509</v>
      </c>
      <c r="D7984" t="str">
        <f t="shared" si="124"/>
        <v>2025</v>
      </c>
      <c r="E7984">
        <v>1218</v>
      </c>
      <c r="F7984">
        <v>711678</v>
      </c>
      <c r="G7984">
        <v>0.17</v>
      </c>
      <c r="H7984" t="s">
        <v>10</v>
      </c>
      <c r="I7984" t="s">
        <v>11</v>
      </c>
    </row>
    <row r="7985" spans="1:9" x14ac:dyDescent="0.25">
      <c r="A7985" t="s">
        <v>22</v>
      </c>
      <c r="B7985" t="s">
        <v>151</v>
      </c>
      <c r="C7985">
        <v>202501</v>
      </c>
      <c r="D7985" t="str">
        <f t="shared" si="124"/>
        <v>2025</v>
      </c>
      <c r="E7985">
        <v>65450</v>
      </c>
      <c r="F7985">
        <v>742079</v>
      </c>
      <c r="G7985">
        <v>8.82</v>
      </c>
      <c r="H7985" t="s">
        <v>10</v>
      </c>
      <c r="I7985" t="s">
        <v>11</v>
      </c>
    </row>
    <row r="7986" spans="1:9" x14ac:dyDescent="0.25">
      <c r="A7986" t="s">
        <v>22</v>
      </c>
      <c r="B7986" t="s">
        <v>151</v>
      </c>
      <c r="C7986">
        <v>202502</v>
      </c>
      <c r="D7986" t="str">
        <f t="shared" si="124"/>
        <v>2025</v>
      </c>
      <c r="E7986">
        <v>56705</v>
      </c>
      <c r="F7986">
        <v>742079</v>
      </c>
      <c r="G7986">
        <v>7.64</v>
      </c>
      <c r="H7986" t="s">
        <v>10</v>
      </c>
      <c r="I7986" t="s">
        <v>11</v>
      </c>
    </row>
    <row r="7987" spans="1:9" x14ac:dyDescent="0.25">
      <c r="A7987" t="s">
        <v>22</v>
      </c>
      <c r="B7987" t="s">
        <v>151</v>
      </c>
      <c r="C7987">
        <v>202503</v>
      </c>
      <c r="D7987" t="str">
        <f t="shared" si="124"/>
        <v>2025</v>
      </c>
      <c r="E7987">
        <v>65424</v>
      </c>
      <c r="F7987">
        <v>742079</v>
      </c>
      <c r="G7987">
        <v>8.82</v>
      </c>
      <c r="H7987" t="s">
        <v>10</v>
      </c>
      <c r="I7987" t="s">
        <v>11</v>
      </c>
    </row>
    <row r="7988" spans="1:9" x14ac:dyDescent="0.25">
      <c r="A7988" t="s">
        <v>22</v>
      </c>
      <c r="B7988" t="s">
        <v>151</v>
      </c>
      <c r="C7988">
        <v>202504</v>
      </c>
      <c r="D7988" t="str">
        <f t="shared" si="124"/>
        <v>2025</v>
      </c>
      <c r="E7988">
        <v>67414</v>
      </c>
      <c r="F7988">
        <v>742079</v>
      </c>
      <c r="G7988">
        <v>9.08</v>
      </c>
      <c r="H7988" t="s">
        <v>10</v>
      </c>
      <c r="I7988" t="s">
        <v>11</v>
      </c>
    </row>
    <row r="7989" spans="1:9" x14ac:dyDescent="0.25">
      <c r="A7989" t="s">
        <v>22</v>
      </c>
      <c r="B7989" t="s">
        <v>151</v>
      </c>
      <c r="C7989">
        <v>202505</v>
      </c>
      <c r="D7989" t="str">
        <f t="shared" si="124"/>
        <v>2025</v>
      </c>
      <c r="E7989">
        <v>62702</v>
      </c>
      <c r="F7989">
        <v>742079</v>
      </c>
      <c r="G7989">
        <v>8.4499999999999993</v>
      </c>
      <c r="H7989" t="s">
        <v>10</v>
      </c>
      <c r="I7989" t="s">
        <v>11</v>
      </c>
    </row>
    <row r="7990" spans="1:9" x14ac:dyDescent="0.25">
      <c r="A7990" t="s">
        <v>22</v>
      </c>
      <c r="B7990" t="s">
        <v>151</v>
      </c>
      <c r="C7990">
        <v>202506</v>
      </c>
      <c r="D7990" t="str">
        <f t="shared" si="124"/>
        <v>2025</v>
      </c>
      <c r="E7990">
        <v>61968</v>
      </c>
      <c r="F7990">
        <v>742079</v>
      </c>
      <c r="G7990">
        <v>8.35</v>
      </c>
      <c r="H7990" t="s">
        <v>10</v>
      </c>
      <c r="I7990" t="s">
        <v>11</v>
      </c>
    </row>
    <row r="7991" spans="1:9" x14ac:dyDescent="0.25">
      <c r="A7991" t="s">
        <v>22</v>
      </c>
      <c r="B7991" t="s">
        <v>151</v>
      </c>
      <c r="C7991">
        <v>202507</v>
      </c>
      <c r="D7991" t="str">
        <f t="shared" si="124"/>
        <v>2025</v>
      </c>
      <c r="E7991">
        <v>65932</v>
      </c>
      <c r="F7991">
        <v>742079</v>
      </c>
      <c r="G7991">
        <v>8.8800000000000008</v>
      </c>
      <c r="H7991" t="s">
        <v>10</v>
      </c>
      <c r="I7991" t="s">
        <v>11</v>
      </c>
    </row>
    <row r="7992" spans="1:9" x14ac:dyDescent="0.25">
      <c r="A7992" t="s">
        <v>22</v>
      </c>
      <c r="B7992" t="s">
        <v>151</v>
      </c>
      <c r="C7992">
        <v>202508</v>
      </c>
      <c r="D7992" t="str">
        <f t="shared" si="124"/>
        <v>2025</v>
      </c>
      <c r="E7992">
        <v>57962</v>
      </c>
      <c r="F7992">
        <v>742079</v>
      </c>
      <c r="G7992">
        <v>7.81</v>
      </c>
      <c r="H7992" t="s">
        <v>10</v>
      </c>
      <c r="I7992" t="s">
        <v>11</v>
      </c>
    </row>
    <row r="7993" spans="1:9" x14ac:dyDescent="0.25">
      <c r="A7993" t="s">
        <v>22</v>
      </c>
      <c r="B7993" t="s">
        <v>151</v>
      </c>
      <c r="C7993">
        <v>202509</v>
      </c>
      <c r="D7993" t="str">
        <f t="shared" si="124"/>
        <v>2025</v>
      </c>
      <c r="E7993">
        <v>59780</v>
      </c>
      <c r="F7993">
        <v>742079</v>
      </c>
      <c r="G7993">
        <v>8.06</v>
      </c>
      <c r="H7993" t="s">
        <v>10</v>
      </c>
      <c r="I7993" t="s">
        <v>11</v>
      </c>
    </row>
    <row r="7994" spans="1:9" x14ac:dyDescent="0.25">
      <c r="A7994" t="s">
        <v>22</v>
      </c>
      <c r="B7994" t="s">
        <v>151</v>
      </c>
      <c r="C7994">
        <v>202510</v>
      </c>
      <c r="D7994" t="str">
        <f t="shared" si="124"/>
        <v>2025</v>
      </c>
      <c r="E7994">
        <v>65217</v>
      </c>
      <c r="F7994">
        <v>742079</v>
      </c>
      <c r="G7994">
        <v>8.7899999999999991</v>
      </c>
      <c r="H7994" t="s">
        <v>10</v>
      </c>
      <c r="I7994" t="s">
        <v>11</v>
      </c>
    </row>
    <row r="7995" spans="1:9" x14ac:dyDescent="0.25">
      <c r="A7995" t="s">
        <v>22</v>
      </c>
      <c r="B7995" t="s">
        <v>151</v>
      </c>
      <c r="C7995">
        <v>202511</v>
      </c>
      <c r="D7995" t="str">
        <f t="shared" si="124"/>
        <v>2025</v>
      </c>
      <c r="E7995">
        <v>54503</v>
      </c>
      <c r="F7995">
        <v>742079</v>
      </c>
      <c r="G7995">
        <v>7.34</v>
      </c>
      <c r="H7995" t="s">
        <v>10</v>
      </c>
      <c r="I7995" t="s">
        <v>11</v>
      </c>
    </row>
    <row r="7996" spans="1:9" x14ac:dyDescent="0.25">
      <c r="A7996" t="s">
        <v>22</v>
      </c>
      <c r="B7996" t="s">
        <v>151</v>
      </c>
      <c r="C7996">
        <v>202512</v>
      </c>
      <c r="D7996" t="str">
        <f t="shared" si="124"/>
        <v>2025</v>
      </c>
      <c r="E7996">
        <v>59022</v>
      </c>
      <c r="F7996">
        <v>742079</v>
      </c>
      <c r="G7996">
        <v>7.95</v>
      </c>
      <c r="H7996" t="s">
        <v>10</v>
      </c>
      <c r="I7996" t="s">
        <v>11</v>
      </c>
    </row>
    <row r="7997" spans="1:9" x14ac:dyDescent="0.25">
      <c r="A7997" t="s">
        <v>22</v>
      </c>
      <c r="B7997" t="s">
        <v>234</v>
      </c>
      <c r="C7997">
        <v>202601</v>
      </c>
      <c r="D7997" t="str">
        <f t="shared" si="124"/>
        <v>2026</v>
      </c>
      <c r="E7997">
        <v>54573</v>
      </c>
      <c r="F7997">
        <v>156053</v>
      </c>
      <c r="G7997">
        <v>34.97</v>
      </c>
      <c r="H7997" t="s">
        <v>10</v>
      </c>
      <c r="I7997" t="s">
        <v>11</v>
      </c>
    </row>
    <row r="7998" spans="1:9" x14ac:dyDescent="0.25">
      <c r="A7998" t="s">
        <v>22</v>
      </c>
      <c r="B7998" t="s">
        <v>234</v>
      </c>
      <c r="C7998">
        <v>202602</v>
      </c>
      <c r="D7998" t="str">
        <f t="shared" si="124"/>
        <v>2026</v>
      </c>
      <c r="E7998">
        <v>54833</v>
      </c>
      <c r="F7998">
        <v>156053</v>
      </c>
      <c r="G7998">
        <v>35.14</v>
      </c>
      <c r="H7998" t="s">
        <v>10</v>
      </c>
      <c r="I7998" t="s">
        <v>11</v>
      </c>
    </row>
    <row r="7999" spans="1:9" x14ac:dyDescent="0.25">
      <c r="A7999" t="s">
        <v>22</v>
      </c>
      <c r="B7999" t="s">
        <v>234</v>
      </c>
      <c r="C7999">
        <v>202603</v>
      </c>
      <c r="D7999" t="str">
        <f t="shared" si="124"/>
        <v>2026</v>
      </c>
      <c r="E7999">
        <v>46455</v>
      </c>
      <c r="F7999">
        <v>156053</v>
      </c>
      <c r="G7999">
        <v>29.77</v>
      </c>
      <c r="H7999" t="s">
        <v>10</v>
      </c>
      <c r="I7999" t="s">
        <v>11</v>
      </c>
    </row>
    <row r="8000" spans="1:9" x14ac:dyDescent="0.25">
      <c r="A8000" t="s">
        <v>22</v>
      </c>
      <c r="B8000" t="s">
        <v>234</v>
      </c>
      <c r="C8000">
        <v>202604</v>
      </c>
      <c r="D8000" t="str">
        <f t="shared" si="124"/>
        <v>2026</v>
      </c>
      <c r="E8000">
        <v>192</v>
      </c>
      <c r="F8000">
        <v>156053</v>
      </c>
      <c r="G8000">
        <v>0.12</v>
      </c>
      <c r="H8000" t="s">
        <v>10</v>
      </c>
      <c r="I8000" t="s">
        <v>11</v>
      </c>
    </row>
    <row r="8001" spans="1:9" x14ac:dyDescent="0.25">
      <c r="A8001" t="s">
        <v>22</v>
      </c>
      <c r="B8001" t="s">
        <v>195</v>
      </c>
      <c r="C8001">
        <v>202501</v>
      </c>
      <c r="D8001" t="str">
        <f t="shared" si="124"/>
        <v>2025</v>
      </c>
      <c r="E8001">
        <v>62231</v>
      </c>
      <c r="F8001">
        <v>391321</v>
      </c>
      <c r="G8001">
        <v>15.9</v>
      </c>
      <c r="H8001" t="s">
        <v>10</v>
      </c>
      <c r="I8001" t="s">
        <v>11</v>
      </c>
    </row>
    <row r="8002" spans="1:9" x14ac:dyDescent="0.25">
      <c r="A8002" t="s">
        <v>22</v>
      </c>
      <c r="B8002" t="s">
        <v>195</v>
      </c>
      <c r="C8002">
        <v>202502</v>
      </c>
      <c r="D8002" t="str">
        <f t="shared" si="124"/>
        <v>2025</v>
      </c>
      <c r="E8002">
        <v>53887</v>
      </c>
      <c r="F8002">
        <v>391321</v>
      </c>
      <c r="G8002">
        <v>13.77</v>
      </c>
      <c r="H8002" t="s">
        <v>10</v>
      </c>
      <c r="I8002" t="s">
        <v>11</v>
      </c>
    </row>
    <row r="8003" spans="1:9" x14ac:dyDescent="0.25">
      <c r="A8003" t="s">
        <v>22</v>
      </c>
      <c r="B8003" t="s">
        <v>195</v>
      </c>
      <c r="C8003">
        <v>202503</v>
      </c>
      <c r="D8003" t="str">
        <f t="shared" ref="D8003:D8066" si="125">LEFT(C8003,4)</f>
        <v>2025</v>
      </c>
      <c r="E8003">
        <v>61918</v>
      </c>
      <c r="F8003">
        <v>391321</v>
      </c>
      <c r="G8003">
        <v>15.82</v>
      </c>
      <c r="H8003" t="s">
        <v>10</v>
      </c>
      <c r="I8003" t="s">
        <v>11</v>
      </c>
    </row>
    <row r="8004" spans="1:9" x14ac:dyDescent="0.25">
      <c r="A8004" t="s">
        <v>22</v>
      </c>
      <c r="B8004" t="s">
        <v>195</v>
      </c>
      <c r="C8004">
        <v>202504</v>
      </c>
      <c r="D8004" t="str">
        <f t="shared" si="125"/>
        <v>2025</v>
      </c>
      <c r="E8004">
        <v>63070</v>
      </c>
      <c r="F8004">
        <v>391321</v>
      </c>
      <c r="G8004">
        <v>16.12</v>
      </c>
      <c r="H8004" t="s">
        <v>10</v>
      </c>
      <c r="I8004" t="s">
        <v>11</v>
      </c>
    </row>
    <row r="8005" spans="1:9" x14ac:dyDescent="0.25">
      <c r="A8005" t="s">
        <v>22</v>
      </c>
      <c r="B8005" t="s">
        <v>195</v>
      </c>
      <c r="C8005">
        <v>202505</v>
      </c>
      <c r="D8005" t="str">
        <f t="shared" si="125"/>
        <v>2025</v>
      </c>
      <c r="E8005">
        <v>57724</v>
      </c>
      <c r="F8005">
        <v>391321</v>
      </c>
      <c r="G8005">
        <v>14.75</v>
      </c>
      <c r="H8005" t="s">
        <v>10</v>
      </c>
      <c r="I8005" t="s">
        <v>11</v>
      </c>
    </row>
    <row r="8006" spans="1:9" x14ac:dyDescent="0.25">
      <c r="A8006" t="s">
        <v>22</v>
      </c>
      <c r="B8006" t="s">
        <v>195</v>
      </c>
      <c r="C8006">
        <v>202506</v>
      </c>
      <c r="D8006" t="str">
        <f t="shared" si="125"/>
        <v>2025</v>
      </c>
      <c r="E8006">
        <v>54044</v>
      </c>
      <c r="F8006">
        <v>391321</v>
      </c>
      <c r="G8006">
        <v>13.81</v>
      </c>
      <c r="H8006" t="s">
        <v>10</v>
      </c>
      <c r="I8006" t="s">
        <v>11</v>
      </c>
    </row>
    <row r="8007" spans="1:9" x14ac:dyDescent="0.25">
      <c r="A8007" t="s">
        <v>22</v>
      </c>
      <c r="B8007" t="s">
        <v>195</v>
      </c>
      <c r="C8007">
        <v>202507</v>
      </c>
      <c r="D8007" t="str">
        <f t="shared" si="125"/>
        <v>2025</v>
      </c>
      <c r="E8007">
        <v>37792</v>
      </c>
      <c r="F8007">
        <v>391321</v>
      </c>
      <c r="G8007">
        <v>9.66</v>
      </c>
      <c r="H8007" t="s">
        <v>10</v>
      </c>
      <c r="I8007" t="s">
        <v>11</v>
      </c>
    </row>
    <row r="8008" spans="1:9" x14ac:dyDescent="0.25">
      <c r="A8008" t="s">
        <v>22</v>
      </c>
      <c r="B8008" t="s">
        <v>195</v>
      </c>
      <c r="C8008">
        <v>202508</v>
      </c>
      <c r="D8008" t="str">
        <f t="shared" si="125"/>
        <v>2025</v>
      </c>
      <c r="E8008">
        <v>655</v>
      </c>
      <c r="F8008">
        <v>391321</v>
      </c>
      <c r="G8008">
        <v>0.17</v>
      </c>
      <c r="H8008" t="s">
        <v>10</v>
      </c>
      <c r="I8008" t="s">
        <v>11</v>
      </c>
    </row>
    <row r="8009" spans="1:9" x14ac:dyDescent="0.25">
      <c r="A8009" t="s">
        <v>22</v>
      </c>
      <c r="B8009" t="s">
        <v>218</v>
      </c>
      <c r="C8009">
        <v>202501</v>
      </c>
      <c r="D8009" t="str">
        <f t="shared" si="125"/>
        <v>2025</v>
      </c>
      <c r="E8009">
        <v>63013</v>
      </c>
      <c r="F8009">
        <v>627259</v>
      </c>
      <c r="G8009">
        <v>10.050000000000001</v>
      </c>
      <c r="H8009" t="s">
        <v>10</v>
      </c>
      <c r="I8009" t="s">
        <v>11</v>
      </c>
    </row>
    <row r="8010" spans="1:9" x14ac:dyDescent="0.25">
      <c r="A8010" t="s">
        <v>22</v>
      </c>
      <c r="B8010" t="s">
        <v>218</v>
      </c>
      <c r="C8010">
        <v>202502</v>
      </c>
      <c r="D8010" t="str">
        <f t="shared" si="125"/>
        <v>2025</v>
      </c>
      <c r="E8010">
        <v>54814</v>
      </c>
      <c r="F8010">
        <v>627259</v>
      </c>
      <c r="G8010">
        <v>8.74</v>
      </c>
      <c r="H8010" t="s">
        <v>10</v>
      </c>
      <c r="I8010" t="s">
        <v>11</v>
      </c>
    </row>
    <row r="8011" spans="1:9" x14ac:dyDescent="0.25">
      <c r="A8011" t="s">
        <v>22</v>
      </c>
      <c r="B8011" t="s">
        <v>218</v>
      </c>
      <c r="C8011">
        <v>202503</v>
      </c>
      <c r="D8011" t="str">
        <f t="shared" si="125"/>
        <v>2025</v>
      </c>
      <c r="E8011">
        <v>63207</v>
      </c>
      <c r="F8011">
        <v>627259</v>
      </c>
      <c r="G8011">
        <v>10.08</v>
      </c>
      <c r="H8011" t="s">
        <v>10</v>
      </c>
      <c r="I8011" t="s">
        <v>11</v>
      </c>
    </row>
    <row r="8012" spans="1:9" x14ac:dyDescent="0.25">
      <c r="A8012" t="s">
        <v>22</v>
      </c>
      <c r="B8012" t="s">
        <v>218</v>
      </c>
      <c r="C8012">
        <v>202504</v>
      </c>
      <c r="D8012" t="str">
        <f t="shared" si="125"/>
        <v>2025</v>
      </c>
      <c r="E8012">
        <v>64547</v>
      </c>
      <c r="F8012">
        <v>627259</v>
      </c>
      <c r="G8012">
        <v>10.29</v>
      </c>
      <c r="H8012" t="s">
        <v>10</v>
      </c>
      <c r="I8012" t="s">
        <v>11</v>
      </c>
    </row>
    <row r="8013" spans="1:9" x14ac:dyDescent="0.25">
      <c r="A8013" t="s">
        <v>22</v>
      </c>
      <c r="B8013" t="s">
        <v>218</v>
      </c>
      <c r="C8013">
        <v>202505</v>
      </c>
      <c r="D8013" t="str">
        <f t="shared" si="125"/>
        <v>2025</v>
      </c>
      <c r="E8013">
        <v>60543</v>
      </c>
      <c r="F8013">
        <v>627259</v>
      </c>
      <c r="G8013">
        <v>9.65</v>
      </c>
      <c r="H8013" t="s">
        <v>10</v>
      </c>
      <c r="I8013" t="s">
        <v>11</v>
      </c>
    </row>
    <row r="8014" spans="1:9" x14ac:dyDescent="0.25">
      <c r="A8014" t="s">
        <v>22</v>
      </c>
      <c r="B8014" t="s">
        <v>218</v>
      </c>
      <c r="C8014">
        <v>202506</v>
      </c>
      <c r="D8014" t="str">
        <f t="shared" si="125"/>
        <v>2025</v>
      </c>
      <c r="E8014">
        <v>59679</v>
      </c>
      <c r="F8014">
        <v>627259</v>
      </c>
      <c r="G8014">
        <v>9.51</v>
      </c>
      <c r="H8014" t="s">
        <v>10</v>
      </c>
      <c r="I8014" t="s">
        <v>11</v>
      </c>
    </row>
    <row r="8015" spans="1:9" x14ac:dyDescent="0.25">
      <c r="A8015" t="s">
        <v>22</v>
      </c>
      <c r="B8015" t="s">
        <v>218</v>
      </c>
      <c r="C8015">
        <v>202507</v>
      </c>
      <c r="D8015" t="str">
        <f t="shared" si="125"/>
        <v>2025</v>
      </c>
      <c r="E8015">
        <v>61396</v>
      </c>
      <c r="F8015">
        <v>627259</v>
      </c>
      <c r="G8015">
        <v>9.7899999999999991</v>
      </c>
      <c r="H8015" t="s">
        <v>10</v>
      </c>
      <c r="I8015" t="s">
        <v>11</v>
      </c>
    </row>
    <row r="8016" spans="1:9" x14ac:dyDescent="0.25">
      <c r="A8016" t="s">
        <v>22</v>
      </c>
      <c r="B8016" t="s">
        <v>218</v>
      </c>
      <c r="C8016">
        <v>202508</v>
      </c>
      <c r="D8016" t="str">
        <f t="shared" si="125"/>
        <v>2025</v>
      </c>
      <c r="E8016">
        <v>53214</v>
      </c>
      <c r="F8016">
        <v>627259</v>
      </c>
      <c r="G8016">
        <v>8.48</v>
      </c>
      <c r="H8016" t="s">
        <v>10</v>
      </c>
      <c r="I8016" t="s">
        <v>11</v>
      </c>
    </row>
    <row r="8017" spans="1:9" x14ac:dyDescent="0.25">
      <c r="A8017" t="s">
        <v>22</v>
      </c>
      <c r="B8017" t="s">
        <v>218</v>
      </c>
      <c r="C8017">
        <v>202509</v>
      </c>
      <c r="D8017" t="str">
        <f t="shared" si="125"/>
        <v>2025</v>
      </c>
      <c r="E8017">
        <v>54907</v>
      </c>
      <c r="F8017">
        <v>627259</v>
      </c>
      <c r="G8017">
        <v>8.75</v>
      </c>
      <c r="H8017" t="s">
        <v>10</v>
      </c>
      <c r="I8017" t="s">
        <v>11</v>
      </c>
    </row>
    <row r="8018" spans="1:9" x14ac:dyDescent="0.25">
      <c r="A8018" t="s">
        <v>22</v>
      </c>
      <c r="B8018" t="s">
        <v>218</v>
      </c>
      <c r="C8018">
        <v>202510</v>
      </c>
      <c r="D8018" t="str">
        <f t="shared" si="125"/>
        <v>2025</v>
      </c>
      <c r="E8018">
        <v>58113</v>
      </c>
      <c r="F8018">
        <v>627259</v>
      </c>
      <c r="G8018">
        <v>9.26</v>
      </c>
      <c r="H8018" t="s">
        <v>10</v>
      </c>
      <c r="I8018" t="s">
        <v>11</v>
      </c>
    </row>
    <row r="8019" spans="1:9" x14ac:dyDescent="0.25">
      <c r="A8019" t="s">
        <v>22</v>
      </c>
      <c r="B8019" t="s">
        <v>218</v>
      </c>
      <c r="C8019">
        <v>202511</v>
      </c>
      <c r="D8019" t="str">
        <f t="shared" si="125"/>
        <v>2025</v>
      </c>
      <c r="E8019">
        <v>33531</v>
      </c>
      <c r="F8019">
        <v>627259</v>
      </c>
      <c r="G8019">
        <v>5.35</v>
      </c>
      <c r="H8019" t="s">
        <v>10</v>
      </c>
      <c r="I8019" t="s">
        <v>11</v>
      </c>
    </row>
    <row r="8020" spans="1:9" x14ac:dyDescent="0.25">
      <c r="A8020" t="s">
        <v>22</v>
      </c>
      <c r="B8020" t="s">
        <v>218</v>
      </c>
      <c r="C8020">
        <v>202512</v>
      </c>
      <c r="D8020" t="str">
        <f t="shared" si="125"/>
        <v>2025</v>
      </c>
      <c r="E8020">
        <v>295</v>
      </c>
      <c r="F8020">
        <v>627259</v>
      </c>
      <c r="G8020">
        <v>0.05</v>
      </c>
      <c r="H8020" t="s">
        <v>10</v>
      </c>
      <c r="I8020" t="s">
        <v>11</v>
      </c>
    </row>
    <row r="8021" spans="1:9" x14ac:dyDescent="0.25">
      <c r="A8021" t="s">
        <v>22</v>
      </c>
      <c r="B8021" t="s">
        <v>148</v>
      </c>
      <c r="C8021">
        <v>202501</v>
      </c>
      <c r="D8021" t="str">
        <f t="shared" si="125"/>
        <v>2025</v>
      </c>
      <c r="E8021">
        <v>64762</v>
      </c>
      <c r="F8021">
        <v>715182</v>
      </c>
      <c r="G8021">
        <v>9.06</v>
      </c>
      <c r="H8021" t="s">
        <v>10</v>
      </c>
      <c r="I8021" t="s">
        <v>11</v>
      </c>
    </row>
    <row r="8022" spans="1:9" x14ac:dyDescent="0.25">
      <c r="A8022" t="s">
        <v>22</v>
      </c>
      <c r="B8022" t="s">
        <v>148</v>
      </c>
      <c r="C8022">
        <v>202502</v>
      </c>
      <c r="D8022" t="str">
        <f t="shared" si="125"/>
        <v>2025</v>
      </c>
      <c r="E8022">
        <v>56003</v>
      </c>
      <c r="F8022">
        <v>715182</v>
      </c>
      <c r="G8022">
        <v>7.83</v>
      </c>
      <c r="H8022" t="s">
        <v>10</v>
      </c>
      <c r="I8022" t="s">
        <v>11</v>
      </c>
    </row>
    <row r="8023" spans="1:9" x14ac:dyDescent="0.25">
      <c r="A8023" t="s">
        <v>22</v>
      </c>
      <c r="B8023" t="s">
        <v>148</v>
      </c>
      <c r="C8023">
        <v>202503</v>
      </c>
      <c r="D8023" t="str">
        <f t="shared" si="125"/>
        <v>2025</v>
      </c>
      <c r="E8023">
        <v>63551</v>
      </c>
      <c r="F8023">
        <v>715182</v>
      </c>
      <c r="G8023">
        <v>8.89</v>
      </c>
      <c r="H8023" t="s">
        <v>10</v>
      </c>
      <c r="I8023" t="s">
        <v>11</v>
      </c>
    </row>
    <row r="8024" spans="1:9" x14ac:dyDescent="0.25">
      <c r="A8024" t="s">
        <v>22</v>
      </c>
      <c r="B8024" t="s">
        <v>148</v>
      </c>
      <c r="C8024">
        <v>202504</v>
      </c>
      <c r="D8024" t="str">
        <f t="shared" si="125"/>
        <v>2025</v>
      </c>
      <c r="E8024">
        <v>64515</v>
      </c>
      <c r="F8024">
        <v>715182</v>
      </c>
      <c r="G8024">
        <v>9.02</v>
      </c>
      <c r="H8024" t="s">
        <v>10</v>
      </c>
      <c r="I8024" t="s">
        <v>11</v>
      </c>
    </row>
    <row r="8025" spans="1:9" x14ac:dyDescent="0.25">
      <c r="A8025" t="s">
        <v>22</v>
      </c>
      <c r="B8025" t="s">
        <v>148</v>
      </c>
      <c r="C8025">
        <v>202505</v>
      </c>
      <c r="D8025" t="str">
        <f t="shared" si="125"/>
        <v>2025</v>
      </c>
      <c r="E8025">
        <v>60566</v>
      </c>
      <c r="F8025">
        <v>715182</v>
      </c>
      <c r="G8025">
        <v>8.4700000000000006</v>
      </c>
      <c r="H8025" t="s">
        <v>10</v>
      </c>
      <c r="I8025" t="s">
        <v>11</v>
      </c>
    </row>
    <row r="8026" spans="1:9" x14ac:dyDescent="0.25">
      <c r="A8026" t="s">
        <v>22</v>
      </c>
      <c r="B8026" t="s">
        <v>148</v>
      </c>
      <c r="C8026">
        <v>202506</v>
      </c>
      <c r="D8026" t="str">
        <f t="shared" si="125"/>
        <v>2025</v>
      </c>
      <c r="E8026">
        <v>60073</v>
      </c>
      <c r="F8026">
        <v>715182</v>
      </c>
      <c r="G8026">
        <v>8.4</v>
      </c>
      <c r="H8026" t="s">
        <v>10</v>
      </c>
      <c r="I8026" t="s">
        <v>11</v>
      </c>
    </row>
    <row r="8027" spans="1:9" x14ac:dyDescent="0.25">
      <c r="A8027" t="s">
        <v>22</v>
      </c>
      <c r="B8027" t="s">
        <v>148</v>
      </c>
      <c r="C8027">
        <v>202507</v>
      </c>
      <c r="D8027" t="str">
        <f t="shared" si="125"/>
        <v>2025</v>
      </c>
      <c r="E8027">
        <v>62857</v>
      </c>
      <c r="F8027">
        <v>715182</v>
      </c>
      <c r="G8027">
        <v>8.7899999999999991</v>
      </c>
      <c r="H8027" t="s">
        <v>10</v>
      </c>
      <c r="I8027" t="s">
        <v>11</v>
      </c>
    </row>
    <row r="8028" spans="1:9" x14ac:dyDescent="0.25">
      <c r="A8028" t="s">
        <v>22</v>
      </c>
      <c r="B8028" t="s">
        <v>148</v>
      </c>
      <c r="C8028">
        <v>202508</v>
      </c>
      <c r="D8028" t="str">
        <f t="shared" si="125"/>
        <v>2025</v>
      </c>
      <c r="E8028">
        <v>55238</v>
      </c>
      <c r="F8028">
        <v>715182</v>
      </c>
      <c r="G8028">
        <v>7.72</v>
      </c>
      <c r="H8028" t="s">
        <v>10</v>
      </c>
      <c r="I8028" t="s">
        <v>11</v>
      </c>
    </row>
    <row r="8029" spans="1:9" x14ac:dyDescent="0.25">
      <c r="A8029" t="s">
        <v>22</v>
      </c>
      <c r="B8029" t="s">
        <v>148</v>
      </c>
      <c r="C8029">
        <v>202509</v>
      </c>
      <c r="D8029" t="str">
        <f t="shared" si="125"/>
        <v>2025</v>
      </c>
      <c r="E8029">
        <v>57097</v>
      </c>
      <c r="F8029">
        <v>715182</v>
      </c>
      <c r="G8029">
        <v>7.98</v>
      </c>
      <c r="H8029" t="s">
        <v>10</v>
      </c>
      <c r="I8029" t="s">
        <v>11</v>
      </c>
    </row>
    <row r="8030" spans="1:9" x14ac:dyDescent="0.25">
      <c r="A8030" t="s">
        <v>22</v>
      </c>
      <c r="B8030" t="s">
        <v>148</v>
      </c>
      <c r="C8030">
        <v>202510</v>
      </c>
      <c r="D8030" t="str">
        <f t="shared" si="125"/>
        <v>2025</v>
      </c>
      <c r="E8030">
        <v>61622</v>
      </c>
      <c r="F8030">
        <v>715182</v>
      </c>
      <c r="G8030">
        <v>8.6199999999999992</v>
      </c>
      <c r="H8030" t="s">
        <v>10</v>
      </c>
      <c r="I8030" t="s">
        <v>11</v>
      </c>
    </row>
    <row r="8031" spans="1:9" x14ac:dyDescent="0.25">
      <c r="A8031" t="s">
        <v>22</v>
      </c>
      <c r="B8031" t="s">
        <v>148</v>
      </c>
      <c r="C8031">
        <v>202511</v>
      </c>
      <c r="D8031" t="str">
        <f t="shared" si="125"/>
        <v>2025</v>
      </c>
      <c r="E8031">
        <v>52298</v>
      </c>
      <c r="F8031">
        <v>715182</v>
      </c>
      <c r="G8031">
        <v>7.31</v>
      </c>
      <c r="H8031" t="s">
        <v>10</v>
      </c>
      <c r="I8031" t="s">
        <v>11</v>
      </c>
    </row>
    <row r="8032" spans="1:9" x14ac:dyDescent="0.25">
      <c r="A8032" t="s">
        <v>22</v>
      </c>
      <c r="B8032" t="s">
        <v>148</v>
      </c>
      <c r="C8032">
        <v>202512</v>
      </c>
      <c r="D8032" t="str">
        <f t="shared" si="125"/>
        <v>2025</v>
      </c>
      <c r="E8032">
        <v>56600</v>
      </c>
      <c r="F8032">
        <v>715182</v>
      </c>
      <c r="G8032">
        <v>7.91</v>
      </c>
      <c r="H8032" t="s">
        <v>10</v>
      </c>
      <c r="I8032" t="s">
        <v>11</v>
      </c>
    </row>
    <row r="8033" spans="1:9" x14ac:dyDescent="0.25">
      <c r="A8033" t="s">
        <v>22</v>
      </c>
      <c r="B8033" t="s">
        <v>203</v>
      </c>
      <c r="C8033">
        <v>202601</v>
      </c>
      <c r="D8033" t="str">
        <f t="shared" si="125"/>
        <v>2026</v>
      </c>
      <c r="E8033">
        <v>31235</v>
      </c>
      <c r="F8033">
        <v>31453</v>
      </c>
      <c r="G8033">
        <v>99.31</v>
      </c>
      <c r="H8033" t="s">
        <v>10</v>
      </c>
      <c r="I8033" t="s">
        <v>11</v>
      </c>
    </row>
    <row r="8034" spans="1:9" x14ac:dyDescent="0.25">
      <c r="A8034" t="s">
        <v>22</v>
      </c>
      <c r="B8034" t="s">
        <v>203</v>
      </c>
      <c r="C8034">
        <v>202602</v>
      </c>
      <c r="D8034" t="str">
        <f t="shared" si="125"/>
        <v>2026</v>
      </c>
      <c r="E8034">
        <v>218</v>
      </c>
      <c r="F8034">
        <v>31453</v>
      </c>
      <c r="G8034">
        <v>0.69</v>
      </c>
      <c r="H8034" t="s">
        <v>10</v>
      </c>
      <c r="I8034" t="s">
        <v>11</v>
      </c>
    </row>
    <row r="8035" spans="1:9" x14ac:dyDescent="0.25">
      <c r="A8035" t="s">
        <v>22</v>
      </c>
      <c r="B8035" t="s">
        <v>222</v>
      </c>
      <c r="C8035">
        <v>202501</v>
      </c>
      <c r="D8035" t="str">
        <f t="shared" si="125"/>
        <v>2025</v>
      </c>
      <c r="E8035">
        <v>63021</v>
      </c>
      <c r="F8035">
        <v>688266</v>
      </c>
      <c r="G8035">
        <v>9.16</v>
      </c>
      <c r="H8035" t="s">
        <v>10</v>
      </c>
      <c r="I8035" t="s">
        <v>11</v>
      </c>
    </row>
    <row r="8036" spans="1:9" x14ac:dyDescent="0.25">
      <c r="A8036" t="s">
        <v>22</v>
      </c>
      <c r="B8036" t="s">
        <v>222</v>
      </c>
      <c r="C8036">
        <v>202502</v>
      </c>
      <c r="D8036" t="str">
        <f t="shared" si="125"/>
        <v>2025</v>
      </c>
      <c r="E8036">
        <v>54827</v>
      </c>
      <c r="F8036">
        <v>688266</v>
      </c>
      <c r="G8036">
        <v>7.97</v>
      </c>
      <c r="H8036" t="s">
        <v>10</v>
      </c>
      <c r="I8036" t="s">
        <v>11</v>
      </c>
    </row>
    <row r="8037" spans="1:9" x14ac:dyDescent="0.25">
      <c r="A8037" t="s">
        <v>22</v>
      </c>
      <c r="B8037" t="s">
        <v>222</v>
      </c>
      <c r="C8037">
        <v>202503</v>
      </c>
      <c r="D8037" t="str">
        <f t="shared" si="125"/>
        <v>2025</v>
      </c>
      <c r="E8037">
        <v>63246</v>
      </c>
      <c r="F8037">
        <v>688266</v>
      </c>
      <c r="G8037">
        <v>9.19</v>
      </c>
      <c r="H8037" t="s">
        <v>10</v>
      </c>
      <c r="I8037" t="s">
        <v>11</v>
      </c>
    </row>
    <row r="8038" spans="1:9" x14ac:dyDescent="0.25">
      <c r="A8038" t="s">
        <v>22</v>
      </c>
      <c r="B8038" t="s">
        <v>222</v>
      </c>
      <c r="C8038">
        <v>202504</v>
      </c>
      <c r="D8038" t="str">
        <f t="shared" si="125"/>
        <v>2025</v>
      </c>
      <c r="E8038">
        <v>64585</v>
      </c>
      <c r="F8038">
        <v>688266</v>
      </c>
      <c r="G8038">
        <v>9.3800000000000008</v>
      </c>
      <c r="H8038" t="s">
        <v>10</v>
      </c>
      <c r="I8038" t="s">
        <v>11</v>
      </c>
    </row>
    <row r="8039" spans="1:9" x14ac:dyDescent="0.25">
      <c r="A8039" t="s">
        <v>22</v>
      </c>
      <c r="B8039" t="s">
        <v>222</v>
      </c>
      <c r="C8039">
        <v>202505</v>
      </c>
      <c r="D8039" t="str">
        <f t="shared" si="125"/>
        <v>2025</v>
      </c>
      <c r="E8039">
        <v>60577</v>
      </c>
      <c r="F8039">
        <v>688266</v>
      </c>
      <c r="G8039">
        <v>8.8000000000000007</v>
      </c>
      <c r="H8039" t="s">
        <v>10</v>
      </c>
      <c r="I8039" t="s">
        <v>11</v>
      </c>
    </row>
    <row r="8040" spans="1:9" x14ac:dyDescent="0.25">
      <c r="A8040" t="s">
        <v>22</v>
      </c>
      <c r="B8040" t="s">
        <v>222</v>
      </c>
      <c r="C8040">
        <v>202506</v>
      </c>
      <c r="D8040" t="str">
        <f t="shared" si="125"/>
        <v>2025</v>
      </c>
      <c r="E8040">
        <v>59882</v>
      </c>
      <c r="F8040">
        <v>688266</v>
      </c>
      <c r="G8040">
        <v>8.6999999999999993</v>
      </c>
      <c r="H8040" t="s">
        <v>10</v>
      </c>
      <c r="I8040" t="s">
        <v>11</v>
      </c>
    </row>
    <row r="8041" spans="1:9" x14ac:dyDescent="0.25">
      <c r="A8041" t="s">
        <v>22</v>
      </c>
      <c r="B8041" t="s">
        <v>222</v>
      </c>
      <c r="C8041">
        <v>202507</v>
      </c>
      <c r="D8041" t="str">
        <f t="shared" si="125"/>
        <v>2025</v>
      </c>
      <c r="E8041">
        <v>61796</v>
      </c>
      <c r="F8041">
        <v>688266</v>
      </c>
      <c r="G8041">
        <v>8.98</v>
      </c>
      <c r="H8041" t="s">
        <v>10</v>
      </c>
      <c r="I8041" t="s">
        <v>11</v>
      </c>
    </row>
    <row r="8042" spans="1:9" x14ac:dyDescent="0.25">
      <c r="A8042" t="s">
        <v>22</v>
      </c>
      <c r="B8042" t="s">
        <v>222</v>
      </c>
      <c r="C8042">
        <v>202508</v>
      </c>
      <c r="D8042" t="str">
        <f t="shared" si="125"/>
        <v>2025</v>
      </c>
      <c r="E8042">
        <v>54000</v>
      </c>
      <c r="F8042">
        <v>688266</v>
      </c>
      <c r="G8042">
        <v>7.85</v>
      </c>
      <c r="H8042" t="s">
        <v>10</v>
      </c>
      <c r="I8042" t="s">
        <v>11</v>
      </c>
    </row>
    <row r="8043" spans="1:9" x14ac:dyDescent="0.25">
      <c r="A8043" t="s">
        <v>22</v>
      </c>
      <c r="B8043" t="s">
        <v>222</v>
      </c>
      <c r="C8043">
        <v>202509</v>
      </c>
      <c r="D8043" t="str">
        <f t="shared" si="125"/>
        <v>2025</v>
      </c>
      <c r="E8043">
        <v>55884</v>
      </c>
      <c r="F8043">
        <v>688266</v>
      </c>
      <c r="G8043">
        <v>8.1199999999999992</v>
      </c>
      <c r="H8043" t="s">
        <v>10</v>
      </c>
      <c r="I8043" t="s">
        <v>11</v>
      </c>
    </row>
    <row r="8044" spans="1:9" x14ac:dyDescent="0.25">
      <c r="A8044" t="s">
        <v>22</v>
      </c>
      <c r="B8044" t="s">
        <v>222</v>
      </c>
      <c r="C8044">
        <v>202510</v>
      </c>
      <c r="D8044" t="str">
        <f t="shared" si="125"/>
        <v>2025</v>
      </c>
      <c r="E8044">
        <v>60416</v>
      </c>
      <c r="F8044">
        <v>688266</v>
      </c>
      <c r="G8044">
        <v>8.7799999999999994</v>
      </c>
      <c r="H8044" t="s">
        <v>10</v>
      </c>
      <c r="I8044" t="s">
        <v>11</v>
      </c>
    </row>
    <row r="8045" spans="1:9" x14ac:dyDescent="0.25">
      <c r="A8045" t="s">
        <v>22</v>
      </c>
      <c r="B8045" t="s">
        <v>222</v>
      </c>
      <c r="C8045">
        <v>202511</v>
      </c>
      <c r="D8045" t="str">
        <f t="shared" si="125"/>
        <v>2025</v>
      </c>
      <c r="E8045">
        <v>50364</v>
      </c>
      <c r="F8045">
        <v>688266</v>
      </c>
      <c r="G8045">
        <v>7.32</v>
      </c>
      <c r="H8045" t="s">
        <v>10</v>
      </c>
      <c r="I8045" t="s">
        <v>11</v>
      </c>
    </row>
    <row r="8046" spans="1:9" x14ac:dyDescent="0.25">
      <c r="A8046" t="s">
        <v>22</v>
      </c>
      <c r="B8046" t="s">
        <v>222</v>
      </c>
      <c r="C8046">
        <v>202512</v>
      </c>
      <c r="D8046" t="str">
        <f t="shared" si="125"/>
        <v>2025</v>
      </c>
      <c r="E8046">
        <v>39668</v>
      </c>
      <c r="F8046">
        <v>688266</v>
      </c>
      <c r="G8046">
        <v>5.76</v>
      </c>
      <c r="H8046" t="s">
        <v>10</v>
      </c>
      <c r="I8046" t="s">
        <v>11</v>
      </c>
    </row>
    <row r="8047" spans="1:9" x14ac:dyDescent="0.25">
      <c r="A8047" t="s">
        <v>22</v>
      </c>
      <c r="B8047" t="s">
        <v>233</v>
      </c>
      <c r="C8047">
        <v>202601</v>
      </c>
      <c r="D8047" t="str">
        <f t="shared" si="125"/>
        <v>2026</v>
      </c>
      <c r="E8047">
        <v>32</v>
      </c>
      <c r="F8047">
        <v>32</v>
      </c>
      <c r="G8047">
        <v>100</v>
      </c>
      <c r="H8047" t="s">
        <v>10</v>
      </c>
      <c r="I8047" t="s">
        <v>11</v>
      </c>
    </row>
    <row r="8048" spans="1:9" x14ac:dyDescent="0.25">
      <c r="A8048" t="s">
        <v>22</v>
      </c>
      <c r="B8048" t="s">
        <v>216</v>
      </c>
      <c r="C8048">
        <v>202501</v>
      </c>
      <c r="D8048" t="str">
        <f t="shared" si="125"/>
        <v>2025</v>
      </c>
      <c r="E8048">
        <v>60982</v>
      </c>
      <c r="F8048">
        <v>329221</v>
      </c>
      <c r="G8048">
        <v>18.52</v>
      </c>
      <c r="H8048" t="s">
        <v>10</v>
      </c>
      <c r="I8048" t="s">
        <v>11</v>
      </c>
    </row>
    <row r="8049" spans="1:9" x14ac:dyDescent="0.25">
      <c r="A8049" t="s">
        <v>22</v>
      </c>
      <c r="B8049" t="s">
        <v>216</v>
      </c>
      <c r="C8049">
        <v>202502</v>
      </c>
      <c r="D8049" t="str">
        <f t="shared" si="125"/>
        <v>2025</v>
      </c>
      <c r="E8049">
        <v>52845</v>
      </c>
      <c r="F8049">
        <v>329221</v>
      </c>
      <c r="G8049">
        <v>16.05</v>
      </c>
      <c r="H8049" t="s">
        <v>10</v>
      </c>
      <c r="I8049" t="s">
        <v>11</v>
      </c>
    </row>
    <row r="8050" spans="1:9" x14ac:dyDescent="0.25">
      <c r="A8050" t="s">
        <v>22</v>
      </c>
      <c r="B8050" t="s">
        <v>216</v>
      </c>
      <c r="C8050">
        <v>202503</v>
      </c>
      <c r="D8050" t="str">
        <f t="shared" si="125"/>
        <v>2025</v>
      </c>
      <c r="E8050">
        <v>60559</v>
      </c>
      <c r="F8050">
        <v>329221</v>
      </c>
      <c r="G8050">
        <v>18.39</v>
      </c>
      <c r="H8050" t="s">
        <v>10</v>
      </c>
      <c r="I8050" t="s">
        <v>11</v>
      </c>
    </row>
    <row r="8051" spans="1:9" x14ac:dyDescent="0.25">
      <c r="A8051" t="s">
        <v>22</v>
      </c>
      <c r="B8051" t="s">
        <v>216</v>
      </c>
      <c r="C8051">
        <v>202504</v>
      </c>
      <c r="D8051" t="str">
        <f t="shared" si="125"/>
        <v>2025</v>
      </c>
      <c r="E8051">
        <v>60702</v>
      </c>
      <c r="F8051">
        <v>329221</v>
      </c>
      <c r="G8051">
        <v>18.440000000000001</v>
      </c>
      <c r="H8051" t="s">
        <v>10</v>
      </c>
      <c r="I8051" t="s">
        <v>11</v>
      </c>
    </row>
    <row r="8052" spans="1:9" x14ac:dyDescent="0.25">
      <c r="A8052" t="s">
        <v>22</v>
      </c>
      <c r="B8052" t="s">
        <v>216</v>
      </c>
      <c r="C8052">
        <v>202505</v>
      </c>
      <c r="D8052" t="str">
        <f t="shared" si="125"/>
        <v>2025</v>
      </c>
      <c r="E8052">
        <v>55582</v>
      </c>
      <c r="F8052">
        <v>329221</v>
      </c>
      <c r="G8052">
        <v>16.88</v>
      </c>
      <c r="H8052" t="s">
        <v>10</v>
      </c>
      <c r="I8052" t="s">
        <v>11</v>
      </c>
    </row>
    <row r="8053" spans="1:9" x14ac:dyDescent="0.25">
      <c r="A8053" t="s">
        <v>22</v>
      </c>
      <c r="B8053" t="s">
        <v>216</v>
      </c>
      <c r="C8053">
        <v>202506</v>
      </c>
      <c r="D8053" t="str">
        <f t="shared" si="125"/>
        <v>2025</v>
      </c>
      <c r="E8053">
        <v>37213</v>
      </c>
      <c r="F8053">
        <v>329221</v>
      </c>
      <c r="G8053">
        <v>11.3</v>
      </c>
      <c r="H8053" t="s">
        <v>10</v>
      </c>
      <c r="I8053" t="s">
        <v>11</v>
      </c>
    </row>
    <row r="8054" spans="1:9" x14ac:dyDescent="0.25">
      <c r="A8054" t="s">
        <v>22</v>
      </c>
      <c r="B8054" t="s">
        <v>216</v>
      </c>
      <c r="C8054">
        <v>202507</v>
      </c>
      <c r="D8054" t="str">
        <f t="shared" si="125"/>
        <v>2025</v>
      </c>
      <c r="E8054">
        <v>1338</v>
      </c>
      <c r="F8054">
        <v>329221</v>
      </c>
      <c r="G8054">
        <v>0.41</v>
      </c>
      <c r="H8054" t="s">
        <v>10</v>
      </c>
      <c r="I8054" t="s">
        <v>11</v>
      </c>
    </row>
    <row r="8055" spans="1:9" x14ac:dyDescent="0.25">
      <c r="A8055" t="s">
        <v>22</v>
      </c>
      <c r="B8055" t="s">
        <v>228</v>
      </c>
      <c r="C8055">
        <v>202501</v>
      </c>
      <c r="D8055" t="str">
        <f t="shared" si="125"/>
        <v>2025</v>
      </c>
      <c r="E8055">
        <v>60785</v>
      </c>
      <c r="F8055">
        <v>267926</v>
      </c>
      <c r="G8055">
        <v>22.69</v>
      </c>
      <c r="H8055" t="s">
        <v>10</v>
      </c>
      <c r="I8055" t="s">
        <v>11</v>
      </c>
    </row>
    <row r="8056" spans="1:9" x14ac:dyDescent="0.25">
      <c r="A8056" t="s">
        <v>22</v>
      </c>
      <c r="B8056" t="s">
        <v>228</v>
      </c>
      <c r="C8056">
        <v>202502</v>
      </c>
      <c r="D8056" t="str">
        <f t="shared" si="125"/>
        <v>2025</v>
      </c>
      <c r="E8056">
        <v>52667</v>
      </c>
      <c r="F8056">
        <v>267926</v>
      </c>
      <c r="G8056">
        <v>19.66</v>
      </c>
      <c r="H8056" t="s">
        <v>10</v>
      </c>
      <c r="I8056" t="s">
        <v>11</v>
      </c>
    </row>
    <row r="8057" spans="1:9" x14ac:dyDescent="0.25">
      <c r="A8057" t="s">
        <v>22</v>
      </c>
      <c r="B8057" t="s">
        <v>228</v>
      </c>
      <c r="C8057">
        <v>202503</v>
      </c>
      <c r="D8057" t="str">
        <f t="shared" si="125"/>
        <v>2025</v>
      </c>
      <c r="E8057">
        <v>59466</v>
      </c>
      <c r="F8057">
        <v>267926</v>
      </c>
      <c r="G8057">
        <v>22.19</v>
      </c>
      <c r="H8057" t="s">
        <v>10</v>
      </c>
      <c r="I8057" t="s">
        <v>11</v>
      </c>
    </row>
    <row r="8058" spans="1:9" x14ac:dyDescent="0.25">
      <c r="A8058" t="s">
        <v>22</v>
      </c>
      <c r="B8058" t="s">
        <v>228</v>
      </c>
      <c r="C8058">
        <v>202504</v>
      </c>
      <c r="D8058" t="str">
        <f t="shared" si="125"/>
        <v>2025</v>
      </c>
      <c r="E8058">
        <v>59441</v>
      </c>
      <c r="F8058">
        <v>267926</v>
      </c>
      <c r="G8058">
        <v>22.19</v>
      </c>
      <c r="H8058" t="s">
        <v>10</v>
      </c>
      <c r="I8058" t="s">
        <v>11</v>
      </c>
    </row>
    <row r="8059" spans="1:9" x14ac:dyDescent="0.25">
      <c r="A8059" t="s">
        <v>22</v>
      </c>
      <c r="B8059" t="s">
        <v>228</v>
      </c>
      <c r="C8059">
        <v>202505</v>
      </c>
      <c r="D8059" t="str">
        <f t="shared" si="125"/>
        <v>2025</v>
      </c>
      <c r="E8059">
        <v>34927</v>
      </c>
      <c r="F8059">
        <v>267926</v>
      </c>
      <c r="G8059">
        <v>13.04</v>
      </c>
      <c r="H8059" t="s">
        <v>10</v>
      </c>
      <c r="I8059" t="s">
        <v>11</v>
      </c>
    </row>
    <row r="8060" spans="1:9" x14ac:dyDescent="0.25">
      <c r="A8060" t="s">
        <v>22</v>
      </c>
      <c r="B8060" t="s">
        <v>228</v>
      </c>
      <c r="C8060">
        <v>202506</v>
      </c>
      <c r="D8060" t="str">
        <f t="shared" si="125"/>
        <v>2025</v>
      </c>
      <c r="E8060">
        <v>640</v>
      </c>
      <c r="F8060">
        <v>267926</v>
      </c>
      <c r="G8060">
        <v>0.24</v>
      </c>
      <c r="H8060" t="s">
        <v>10</v>
      </c>
      <c r="I8060" t="s">
        <v>11</v>
      </c>
    </row>
    <row r="8061" spans="1:9" x14ac:dyDescent="0.25">
      <c r="A8061" t="s">
        <v>22</v>
      </c>
      <c r="B8061" t="s">
        <v>211</v>
      </c>
      <c r="C8061">
        <v>202501</v>
      </c>
      <c r="D8061" t="str">
        <f t="shared" si="125"/>
        <v>2025</v>
      </c>
      <c r="E8061">
        <v>64959</v>
      </c>
      <c r="F8061">
        <v>726677</v>
      </c>
      <c r="G8061">
        <v>8.94</v>
      </c>
      <c r="H8061" t="s">
        <v>10</v>
      </c>
      <c r="I8061" t="s">
        <v>11</v>
      </c>
    </row>
    <row r="8062" spans="1:9" x14ac:dyDescent="0.25">
      <c r="A8062" t="s">
        <v>22</v>
      </c>
      <c r="B8062" t="s">
        <v>211</v>
      </c>
      <c r="C8062">
        <v>202502</v>
      </c>
      <c r="D8062" t="str">
        <f t="shared" si="125"/>
        <v>2025</v>
      </c>
      <c r="E8062">
        <v>56267</v>
      </c>
      <c r="F8062">
        <v>726677</v>
      </c>
      <c r="G8062">
        <v>7.74</v>
      </c>
      <c r="H8062" t="s">
        <v>10</v>
      </c>
      <c r="I8062" t="s">
        <v>11</v>
      </c>
    </row>
    <row r="8063" spans="1:9" x14ac:dyDescent="0.25">
      <c r="A8063" t="s">
        <v>22</v>
      </c>
      <c r="B8063" t="s">
        <v>211</v>
      </c>
      <c r="C8063">
        <v>202503</v>
      </c>
      <c r="D8063" t="str">
        <f t="shared" si="125"/>
        <v>2025</v>
      </c>
      <c r="E8063">
        <v>64876</v>
      </c>
      <c r="F8063">
        <v>726677</v>
      </c>
      <c r="G8063">
        <v>8.93</v>
      </c>
      <c r="H8063" t="s">
        <v>10</v>
      </c>
      <c r="I8063" t="s">
        <v>11</v>
      </c>
    </row>
    <row r="8064" spans="1:9" x14ac:dyDescent="0.25">
      <c r="A8064" t="s">
        <v>22</v>
      </c>
      <c r="B8064" t="s">
        <v>211</v>
      </c>
      <c r="C8064">
        <v>202504</v>
      </c>
      <c r="D8064" t="str">
        <f t="shared" si="125"/>
        <v>2025</v>
      </c>
      <c r="E8064">
        <v>66794</v>
      </c>
      <c r="F8064">
        <v>726677</v>
      </c>
      <c r="G8064">
        <v>9.19</v>
      </c>
      <c r="H8064" t="s">
        <v>10</v>
      </c>
      <c r="I8064" t="s">
        <v>11</v>
      </c>
    </row>
    <row r="8065" spans="1:9" x14ac:dyDescent="0.25">
      <c r="A8065" t="s">
        <v>22</v>
      </c>
      <c r="B8065" t="s">
        <v>211</v>
      </c>
      <c r="C8065">
        <v>202505</v>
      </c>
      <c r="D8065" t="str">
        <f t="shared" si="125"/>
        <v>2025</v>
      </c>
      <c r="E8065">
        <v>62218</v>
      </c>
      <c r="F8065">
        <v>726677</v>
      </c>
      <c r="G8065">
        <v>8.56</v>
      </c>
      <c r="H8065" t="s">
        <v>10</v>
      </c>
      <c r="I8065" t="s">
        <v>11</v>
      </c>
    </row>
    <row r="8066" spans="1:9" x14ac:dyDescent="0.25">
      <c r="A8066" t="s">
        <v>22</v>
      </c>
      <c r="B8066" t="s">
        <v>211</v>
      </c>
      <c r="C8066">
        <v>202506</v>
      </c>
      <c r="D8066" t="str">
        <f t="shared" si="125"/>
        <v>2025</v>
      </c>
      <c r="E8066">
        <v>61401</v>
      </c>
      <c r="F8066">
        <v>726677</v>
      </c>
      <c r="G8066">
        <v>8.4499999999999993</v>
      </c>
      <c r="H8066" t="s">
        <v>10</v>
      </c>
      <c r="I8066" t="s">
        <v>11</v>
      </c>
    </row>
    <row r="8067" spans="1:9" x14ac:dyDescent="0.25">
      <c r="A8067" t="s">
        <v>22</v>
      </c>
      <c r="B8067" t="s">
        <v>211</v>
      </c>
      <c r="C8067">
        <v>202507</v>
      </c>
      <c r="D8067" t="str">
        <f t="shared" ref="D8067:D8105" si="126">LEFT(C8067,4)</f>
        <v>2025</v>
      </c>
      <c r="E8067">
        <v>63786</v>
      </c>
      <c r="F8067">
        <v>726677</v>
      </c>
      <c r="G8067">
        <v>8.7799999999999994</v>
      </c>
      <c r="H8067" t="s">
        <v>10</v>
      </c>
      <c r="I8067" t="s">
        <v>11</v>
      </c>
    </row>
    <row r="8068" spans="1:9" x14ac:dyDescent="0.25">
      <c r="A8068" t="s">
        <v>22</v>
      </c>
      <c r="B8068" t="s">
        <v>211</v>
      </c>
      <c r="C8068">
        <v>202508</v>
      </c>
      <c r="D8068" t="str">
        <f t="shared" si="126"/>
        <v>2025</v>
      </c>
      <c r="E8068">
        <v>55758</v>
      </c>
      <c r="F8068">
        <v>726677</v>
      </c>
      <c r="G8068">
        <v>7.67</v>
      </c>
      <c r="H8068" t="s">
        <v>10</v>
      </c>
      <c r="I8068" t="s">
        <v>11</v>
      </c>
    </row>
    <row r="8069" spans="1:9" x14ac:dyDescent="0.25">
      <c r="A8069" t="s">
        <v>22</v>
      </c>
      <c r="B8069" t="s">
        <v>211</v>
      </c>
      <c r="C8069">
        <v>202509</v>
      </c>
      <c r="D8069" t="str">
        <f t="shared" si="126"/>
        <v>2025</v>
      </c>
      <c r="E8069">
        <v>57709</v>
      </c>
      <c r="F8069">
        <v>726677</v>
      </c>
      <c r="G8069">
        <v>7.94</v>
      </c>
      <c r="H8069" t="s">
        <v>10</v>
      </c>
      <c r="I8069" t="s">
        <v>11</v>
      </c>
    </row>
    <row r="8070" spans="1:9" x14ac:dyDescent="0.25">
      <c r="A8070" t="s">
        <v>22</v>
      </c>
      <c r="B8070" t="s">
        <v>211</v>
      </c>
      <c r="C8070">
        <v>202510</v>
      </c>
      <c r="D8070" t="str">
        <f t="shared" si="126"/>
        <v>2025</v>
      </c>
      <c r="E8070">
        <v>62076</v>
      </c>
      <c r="F8070">
        <v>726677</v>
      </c>
      <c r="G8070">
        <v>8.5399999999999991</v>
      </c>
      <c r="H8070" t="s">
        <v>10</v>
      </c>
      <c r="I8070" t="s">
        <v>11</v>
      </c>
    </row>
    <row r="8071" spans="1:9" x14ac:dyDescent="0.25">
      <c r="A8071" t="s">
        <v>22</v>
      </c>
      <c r="B8071" t="s">
        <v>211</v>
      </c>
      <c r="C8071">
        <v>202511</v>
      </c>
      <c r="D8071" t="str">
        <f t="shared" si="126"/>
        <v>2025</v>
      </c>
      <c r="E8071">
        <v>52696</v>
      </c>
      <c r="F8071">
        <v>726677</v>
      </c>
      <c r="G8071">
        <v>7.25</v>
      </c>
      <c r="H8071" t="s">
        <v>10</v>
      </c>
      <c r="I8071" t="s">
        <v>11</v>
      </c>
    </row>
    <row r="8072" spans="1:9" x14ac:dyDescent="0.25">
      <c r="A8072" t="s">
        <v>22</v>
      </c>
      <c r="B8072" t="s">
        <v>211</v>
      </c>
      <c r="C8072">
        <v>202512</v>
      </c>
      <c r="D8072" t="str">
        <f t="shared" si="126"/>
        <v>2025</v>
      </c>
      <c r="E8072">
        <v>58137</v>
      </c>
      <c r="F8072">
        <v>726677</v>
      </c>
      <c r="G8072">
        <v>8</v>
      </c>
      <c r="H8072" t="s">
        <v>10</v>
      </c>
      <c r="I8072" t="s">
        <v>11</v>
      </c>
    </row>
    <row r="8073" spans="1:9" x14ac:dyDescent="0.25">
      <c r="A8073" t="s">
        <v>22</v>
      </c>
      <c r="B8073" t="s">
        <v>184</v>
      </c>
      <c r="C8073">
        <v>202601</v>
      </c>
      <c r="D8073" t="str">
        <f t="shared" si="126"/>
        <v>2026</v>
      </c>
      <c r="E8073">
        <v>52738</v>
      </c>
      <c r="F8073">
        <v>88132</v>
      </c>
      <c r="G8073">
        <v>59.84</v>
      </c>
      <c r="H8073" t="s">
        <v>10</v>
      </c>
      <c r="I8073" t="s">
        <v>11</v>
      </c>
    </row>
    <row r="8074" spans="1:9" x14ac:dyDescent="0.25">
      <c r="A8074" t="s">
        <v>22</v>
      </c>
      <c r="B8074" t="s">
        <v>184</v>
      </c>
      <c r="C8074">
        <v>202602</v>
      </c>
      <c r="D8074" t="str">
        <f t="shared" si="126"/>
        <v>2026</v>
      </c>
      <c r="E8074">
        <v>35135</v>
      </c>
      <c r="F8074">
        <v>88132</v>
      </c>
      <c r="G8074">
        <v>39.869999999999997</v>
      </c>
      <c r="H8074" t="s">
        <v>10</v>
      </c>
      <c r="I8074" t="s">
        <v>11</v>
      </c>
    </row>
    <row r="8075" spans="1:9" x14ac:dyDescent="0.25">
      <c r="A8075" t="s">
        <v>22</v>
      </c>
      <c r="B8075" t="s">
        <v>184</v>
      </c>
      <c r="C8075">
        <v>202603</v>
      </c>
      <c r="D8075" t="str">
        <f t="shared" si="126"/>
        <v>2026</v>
      </c>
      <c r="E8075">
        <v>259</v>
      </c>
      <c r="F8075">
        <v>88132</v>
      </c>
      <c r="G8075">
        <v>0.28999999999999998</v>
      </c>
      <c r="H8075" t="s">
        <v>10</v>
      </c>
      <c r="I8075" t="s">
        <v>11</v>
      </c>
    </row>
    <row r="8076" spans="1:9" x14ac:dyDescent="0.25">
      <c r="A8076" t="s">
        <v>22</v>
      </c>
      <c r="B8076" t="s">
        <v>155</v>
      </c>
      <c r="C8076">
        <v>202501</v>
      </c>
      <c r="D8076" t="str">
        <f t="shared" si="126"/>
        <v>2025</v>
      </c>
      <c r="E8076">
        <v>62969</v>
      </c>
      <c r="F8076">
        <v>561827</v>
      </c>
      <c r="G8076">
        <v>11.21</v>
      </c>
      <c r="H8076" t="s">
        <v>10</v>
      </c>
      <c r="I8076" t="s">
        <v>11</v>
      </c>
    </row>
    <row r="8077" spans="1:9" x14ac:dyDescent="0.25">
      <c r="A8077" t="s">
        <v>22</v>
      </c>
      <c r="B8077" t="s">
        <v>155</v>
      </c>
      <c r="C8077">
        <v>202502</v>
      </c>
      <c r="D8077" t="str">
        <f t="shared" si="126"/>
        <v>2025</v>
      </c>
      <c r="E8077">
        <v>54790</v>
      </c>
      <c r="F8077">
        <v>561827</v>
      </c>
      <c r="G8077">
        <v>9.75</v>
      </c>
      <c r="H8077" t="s">
        <v>10</v>
      </c>
      <c r="I8077" t="s">
        <v>11</v>
      </c>
    </row>
    <row r="8078" spans="1:9" x14ac:dyDescent="0.25">
      <c r="A8078" t="s">
        <v>22</v>
      </c>
      <c r="B8078" t="s">
        <v>155</v>
      </c>
      <c r="C8078">
        <v>202503</v>
      </c>
      <c r="D8078" t="str">
        <f t="shared" si="126"/>
        <v>2025</v>
      </c>
      <c r="E8078">
        <v>63178</v>
      </c>
      <c r="F8078">
        <v>561827</v>
      </c>
      <c r="G8078">
        <v>11.25</v>
      </c>
      <c r="H8078" t="s">
        <v>10</v>
      </c>
      <c r="I8078" t="s">
        <v>11</v>
      </c>
    </row>
    <row r="8079" spans="1:9" x14ac:dyDescent="0.25">
      <c r="A8079" t="s">
        <v>22</v>
      </c>
      <c r="B8079" t="s">
        <v>155</v>
      </c>
      <c r="C8079">
        <v>202504</v>
      </c>
      <c r="D8079" t="str">
        <f t="shared" si="126"/>
        <v>2025</v>
      </c>
      <c r="E8079">
        <v>64522</v>
      </c>
      <c r="F8079">
        <v>561827</v>
      </c>
      <c r="G8079">
        <v>11.48</v>
      </c>
      <c r="H8079" t="s">
        <v>10</v>
      </c>
      <c r="I8079" t="s">
        <v>11</v>
      </c>
    </row>
    <row r="8080" spans="1:9" x14ac:dyDescent="0.25">
      <c r="A8080" t="s">
        <v>22</v>
      </c>
      <c r="B8080" t="s">
        <v>155</v>
      </c>
      <c r="C8080">
        <v>202505</v>
      </c>
      <c r="D8080" t="str">
        <f t="shared" si="126"/>
        <v>2025</v>
      </c>
      <c r="E8080">
        <v>60467</v>
      </c>
      <c r="F8080">
        <v>561827</v>
      </c>
      <c r="G8080">
        <v>10.76</v>
      </c>
      <c r="H8080" t="s">
        <v>10</v>
      </c>
      <c r="I8080" t="s">
        <v>11</v>
      </c>
    </row>
    <row r="8081" spans="1:9" x14ac:dyDescent="0.25">
      <c r="A8081" t="s">
        <v>22</v>
      </c>
      <c r="B8081" t="s">
        <v>155</v>
      </c>
      <c r="C8081">
        <v>202506</v>
      </c>
      <c r="D8081" t="str">
        <f t="shared" si="126"/>
        <v>2025</v>
      </c>
      <c r="E8081">
        <v>59395</v>
      </c>
      <c r="F8081">
        <v>561827</v>
      </c>
      <c r="G8081">
        <v>10.57</v>
      </c>
      <c r="H8081" t="s">
        <v>10</v>
      </c>
      <c r="I8081" t="s">
        <v>11</v>
      </c>
    </row>
    <row r="8082" spans="1:9" x14ac:dyDescent="0.25">
      <c r="A8082" t="s">
        <v>22</v>
      </c>
      <c r="B8082" t="s">
        <v>155</v>
      </c>
      <c r="C8082">
        <v>202507</v>
      </c>
      <c r="D8082" t="str">
        <f t="shared" si="126"/>
        <v>2025</v>
      </c>
      <c r="E8082">
        <v>60592</v>
      </c>
      <c r="F8082">
        <v>561827</v>
      </c>
      <c r="G8082">
        <v>10.78</v>
      </c>
      <c r="H8082" t="s">
        <v>10</v>
      </c>
      <c r="I8082" t="s">
        <v>11</v>
      </c>
    </row>
    <row r="8083" spans="1:9" x14ac:dyDescent="0.25">
      <c r="A8083" t="s">
        <v>22</v>
      </c>
      <c r="B8083" t="s">
        <v>155</v>
      </c>
      <c r="C8083">
        <v>202508</v>
      </c>
      <c r="D8083" t="str">
        <f t="shared" si="126"/>
        <v>2025</v>
      </c>
      <c r="E8083">
        <v>51332</v>
      </c>
      <c r="F8083">
        <v>561827</v>
      </c>
      <c r="G8083">
        <v>9.14</v>
      </c>
      <c r="H8083" t="s">
        <v>10</v>
      </c>
      <c r="I8083" t="s">
        <v>11</v>
      </c>
    </row>
    <row r="8084" spans="1:9" x14ac:dyDescent="0.25">
      <c r="A8084" t="s">
        <v>22</v>
      </c>
      <c r="B8084" t="s">
        <v>155</v>
      </c>
      <c r="C8084">
        <v>202509</v>
      </c>
      <c r="D8084" t="str">
        <f t="shared" si="126"/>
        <v>2025</v>
      </c>
      <c r="E8084">
        <v>52459</v>
      </c>
      <c r="F8084">
        <v>561827</v>
      </c>
      <c r="G8084">
        <v>9.34</v>
      </c>
      <c r="H8084" t="s">
        <v>10</v>
      </c>
      <c r="I8084" t="s">
        <v>11</v>
      </c>
    </row>
    <row r="8085" spans="1:9" x14ac:dyDescent="0.25">
      <c r="A8085" t="s">
        <v>22</v>
      </c>
      <c r="B8085" t="s">
        <v>155</v>
      </c>
      <c r="C8085">
        <v>202510</v>
      </c>
      <c r="D8085" t="str">
        <f t="shared" si="126"/>
        <v>2025</v>
      </c>
      <c r="E8085">
        <v>31639</v>
      </c>
      <c r="F8085">
        <v>561827</v>
      </c>
      <c r="G8085">
        <v>5.63</v>
      </c>
      <c r="H8085" t="s">
        <v>10</v>
      </c>
      <c r="I8085" t="s">
        <v>11</v>
      </c>
    </row>
    <row r="8086" spans="1:9" x14ac:dyDescent="0.25">
      <c r="A8086" t="s">
        <v>22</v>
      </c>
      <c r="B8086" t="s">
        <v>155</v>
      </c>
      <c r="C8086">
        <v>202511</v>
      </c>
      <c r="D8086" t="str">
        <f t="shared" si="126"/>
        <v>2025</v>
      </c>
      <c r="E8086">
        <v>484</v>
      </c>
      <c r="F8086">
        <v>561827</v>
      </c>
      <c r="G8086">
        <v>0.09</v>
      </c>
      <c r="H8086" t="s">
        <v>10</v>
      </c>
      <c r="I8086" t="s">
        <v>11</v>
      </c>
    </row>
    <row r="8087" spans="1:9" x14ac:dyDescent="0.25">
      <c r="A8087" t="s">
        <v>22</v>
      </c>
      <c r="B8087" t="s">
        <v>75</v>
      </c>
      <c r="C8087">
        <v>202501</v>
      </c>
      <c r="D8087" t="str">
        <f t="shared" si="126"/>
        <v>2025</v>
      </c>
      <c r="E8087">
        <v>62997</v>
      </c>
      <c r="F8087">
        <v>509248</v>
      </c>
      <c r="G8087">
        <v>12.37</v>
      </c>
      <c r="H8087" t="s">
        <v>10</v>
      </c>
      <c r="I8087" t="s">
        <v>11</v>
      </c>
    </row>
    <row r="8088" spans="1:9" x14ac:dyDescent="0.25">
      <c r="A8088" t="s">
        <v>22</v>
      </c>
      <c r="B8088" t="s">
        <v>75</v>
      </c>
      <c r="C8088">
        <v>202502</v>
      </c>
      <c r="D8088" t="str">
        <f t="shared" si="126"/>
        <v>2025</v>
      </c>
      <c r="E8088">
        <v>54822</v>
      </c>
      <c r="F8088">
        <v>509248</v>
      </c>
      <c r="G8088">
        <v>10.77</v>
      </c>
      <c r="H8088" t="s">
        <v>10</v>
      </c>
      <c r="I8088" t="s">
        <v>11</v>
      </c>
    </row>
    <row r="8089" spans="1:9" x14ac:dyDescent="0.25">
      <c r="A8089" t="s">
        <v>22</v>
      </c>
      <c r="B8089" t="s">
        <v>75</v>
      </c>
      <c r="C8089">
        <v>202503</v>
      </c>
      <c r="D8089" t="str">
        <f t="shared" si="126"/>
        <v>2025</v>
      </c>
      <c r="E8089">
        <v>63195</v>
      </c>
      <c r="F8089">
        <v>509248</v>
      </c>
      <c r="G8089">
        <v>12.41</v>
      </c>
      <c r="H8089" t="s">
        <v>10</v>
      </c>
      <c r="I8089" t="s">
        <v>11</v>
      </c>
    </row>
    <row r="8090" spans="1:9" x14ac:dyDescent="0.25">
      <c r="A8090" t="s">
        <v>22</v>
      </c>
      <c r="B8090" t="s">
        <v>75</v>
      </c>
      <c r="C8090">
        <v>202504</v>
      </c>
      <c r="D8090" t="str">
        <f t="shared" si="126"/>
        <v>2025</v>
      </c>
      <c r="E8090">
        <v>64469</v>
      </c>
      <c r="F8090">
        <v>509248</v>
      </c>
      <c r="G8090">
        <v>12.66</v>
      </c>
      <c r="H8090" t="s">
        <v>10</v>
      </c>
      <c r="I8090" t="s">
        <v>11</v>
      </c>
    </row>
    <row r="8091" spans="1:9" x14ac:dyDescent="0.25">
      <c r="A8091" t="s">
        <v>22</v>
      </c>
      <c r="B8091" t="s">
        <v>75</v>
      </c>
      <c r="C8091">
        <v>202505</v>
      </c>
      <c r="D8091" t="str">
        <f t="shared" si="126"/>
        <v>2025</v>
      </c>
      <c r="E8091">
        <v>60414</v>
      </c>
      <c r="F8091">
        <v>509248</v>
      </c>
      <c r="G8091">
        <v>11.86</v>
      </c>
      <c r="H8091" t="s">
        <v>10</v>
      </c>
      <c r="I8091" t="s">
        <v>11</v>
      </c>
    </row>
    <row r="8092" spans="1:9" x14ac:dyDescent="0.25">
      <c r="A8092" t="s">
        <v>22</v>
      </c>
      <c r="B8092" t="s">
        <v>75</v>
      </c>
      <c r="C8092">
        <v>202506</v>
      </c>
      <c r="D8092" t="str">
        <f t="shared" si="126"/>
        <v>2025</v>
      </c>
      <c r="E8092">
        <v>59189</v>
      </c>
      <c r="F8092">
        <v>509248</v>
      </c>
      <c r="G8092">
        <v>11.62</v>
      </c>
      <c r="H8092" t="s">
        <v>10</v>
      </c>
      <c r="I8092" t="s">
        <v>11</v>
      </c>
    </row>
    <row r="8093" spans="1:9" x14ac:dyDescent="0.25">
      <c r="A8093" t="s">
        <v>22</v>
      </c>
      <c r="B8093" t="s">
        <v>75</v>
      </c>
      <c r="C8093">
        <v>202507</v>
      </c>
      <c r="D8093" t="str">
        <f t="shared" si="126"/>
        <v>2025</v>
      </c>
      <c r="E8093">
        <v>59460</v>
      </c>
      <c r="F8093">
        <v>509248</v>
      </c>
      <c r="G8093">
        <v>11.68</v>
      </c>
      <c r="H8093" t="s">
        <v>10</v>
      </c>
      <c r="I8093" t="s">
        <v>11</v>
      </c>
    </row>
    <row r="8094" spans="1:9" x14ac:dyDescent="0.25">
      <c r="A8094" t="s">
        <v>22</v>
      </c>
      <c r="B8094" t="s">
        <v>75</v>
      </c>
      <c r="C8094">
        <v>202508</v>
      </c>
      <c r="D8094" t="str">
        <f t="shared" si="126"/>
        <v>2025</v>
      </c>
      <c r="E8094">
        <v>49234</v>
      </c>
      <c r="F8094">
        <v>509248</v>
      </c>
      <c r="G8094">
        <v>9.67</v>
      </c>
      <c r="H8094" t="s">
        <v>10</v>
      </c>
      <c r="I8094" t="s">
        <v>11</v>
      </c>
    </row>
    <row r="8095" spans="1:9" x14ac:dyDescent="0.25">
      <c r="A8095" t="s">
        <v>22</v>
      </c>
      <c r="B8095" t="s">
        <v>75</v>
      </c>
      <c r="C8095">
        <v>202509</v>
      </c>
      <c r="D8095" t="str">
        <f t="shared" si="126"/>
        <v>2025</v>
      </c>
      <c r="E8095">
        <v>34258</v>
      </c>
      <c r="F8095">
        <v>509248</v>
      </c>
      <c r="G8095">
        <v>6.73</v>
      </c>
      <c r="H8095" t="s">
        <v>10</v>
      </c>
      <c r="I8095" t="s">
        <v>11</v>
      </c>
    </row>
    <row r="8096" spans="1:9" x14ac:dyDescent="0.25">
      <c r="A8096" t="s">
        <v>22</v>
      </c>
      <c r="B8096" t="s">
        <v>75</v>
      </c>
      <c r="C8096">
        <v>202510</v>
      </c>
      <c r="D8096" t="str">
        <f t="shared" si="126"/>
        <v>2025</v>
      </c>
      <c r="E8096">
        <v>1210</v>
      </c>
      <c r="F8096">
        <v>509248</v>
      </c>
      <c r="G8096">
        <v>0.24</v>
      </c>
      <c r="H8096" t="s">
        <v>10</v>
      </c>
      <c r="I8096" t="s">
        <v>11</v>
      </c>
    </row>
    <row r="8097" spans="1:9" x14ac:dyDescent="0.25">
      <c r="A8097" t="s">
        <v>22</v>
      </c>
      <c r="B8097" t="s">
        <v>107</v>
      </c>
      <c r="C8097">
        <v>202501</v>
      </c>
      <c r="D8097" t="str">
        <f t="shared" si="126"/>
        <v>2025</v>
      </c>
      <c r="E8097">
        <v>62927</v>
      </c>
      <c r="F8097">
        <v>454939</v>
      </c>
      <c r="G8097">
        <v>13.83</v>
      </c>
      <c r="H8097" t="s">
        <v>10</v>
      </c>
      <c r="I8097" t="s">
        <v>11</v>
      </c>
    </row>
    <row r="8098" spans="1:9" x14ac:dyDescent="0.25">
      <c r="A8098" t="s">
        <v>22</v>
      </c>
      <c r="B8098" t="s">
        <v>107</v>
      </c>
      <c r="C8098">
        <v>202502</v>
      </c>
      <c r="D8098" t="str">
        <f t="shared" si="126"/>
        <v>2025</v>
      </c>
      <c r="E8098">
        <v>54784</v>
      </c>
      <c r="F8098">
        <v>454939</v>
      </c>
      <c r="G8098">
        <v>12.04</v>
      </c>
      <c r="H8098" t="s">
        <v>10</v>
      </c>
      <c r="I8098" t="s">
        <v>11</v>
      </c>
    </row>
    <row r="8099" spans="1:9" x14ac:dyDescent="0.25">
      <c r="A8099" t="s">
        <v>22</v>
      </c>
      <c r="B8099" t="s">
        <v>107</v>
      </c>
      <c r="C8099">
        <v>202503</v>
      </c>
      <c r="D8099" t="str">
        <f t="shared" si="126"/>
        <v>2025</v>
      </c>
      <c r="E8099">
        <v>63125</v>
      </c>
      <c r="F8099">
        <v>454939</v>
      </c>
      <c r="G8099">
        <v>13.88</v>
      </c>
      <c r="H8099" t="s">
        <v>10</v>
      </c>
      <c r="I8099" t="s">
        <v>11</v>
      </c>
    </row>
    <row r="8100" spans="1:9" x14ac:dyDescent="0.25">
      <c r="A8100" t="s">
        <v>22</v>
      </c>
      <c r="B8100" t="s">
        <v>107</v>
      </c>
      <c r="C8100">
        <v>202504</v>
      </c>
      <c r="D8100" t="str">
        <f t="shared" si="126"/>
        <v>2025</v>
      </c>
      <c r="E8100">
        <v>64372</v>
      </c>
      <c r="F8100">
        <v>454939</v>
      </c>
      <c r="G8100">
        <v>14.15</v>
      </c>
      <c r="H8100" t="s">
        <v>10</v>
      </c>
      <c r="I8100" t="s">
        <v>11</v>
      </c>
    </row>
    <row r="8101" spans="1:9" x14ac:dyDescent="0.25">
      <c r="A8101" t="s">
        <v>22</v>
      </c>
      <c r="B8101" t="s">
        <v>107</v>
      </c>
      <c r="C8101">
        <v>202505</v>
      </c>
      <c r="D8101" t="str">
        <f t="shared" si="126"/>
        <v>2025</v>
      </c>
      <c r="E8101">
        <v>60169</v>
      </c>
      <c r="F8101">
        <v>454939</v>
      </c>
      <c r="G8101">
        <v>13.23</v>
      </c>
      <c r="H8101" t="s">
        <v>10</v>
      </c>
      <c r="I8101" t="s">
        <v>11</v>
      </c>
    </row>
    <row r="8102" spans="1:9" x14ac:dyDescent="0.25">
      <c r="A8102" t="s">
        <v>22</v>
      </c>
      <c r="B8102" t="s">
        <v>107</v>
      </c>
      <c r="C8102">
        <v>202506</v>
      </c>
      <c r="D8102" t="str">
        <f t="shared" si="126"/>
        <v>2025</v>
      </c>
      <c r="E8102">
        <v>57280</v>
      </c>
      <c r="F8102">
        <v>454939</v>
      </c>
      <c r="G8102">
        <v>12.59</v>
      </c>
      <c r="H8102" t="s">
        <v>10</v>
      </c>
      <c r="I8102" t="s">
        <v>11</v>
      </c>
    </row>
    <row r="8103" spans="1:9" x14ac:dyDescent="0.25">
      <c r="A8103" t="s">
        <v>22</v>
      </c>
      <c r="B8103" t="s">
        <v>107</v>
      </c>
      <c r="C8103">
        <v>202507</v>
      </c>
      <c r="D8103" t="str">
        <f t="shared" si="126"/>
        <v>2025</v>
      </c>
      <c r="E8103">
        <v>57744</v>
      </c>
      <c r="F8103">
        <v>454939</v>
      </c>
      <c r="G8103">
        <v>12.69</v>
      </c>
      <c r="H8103" t="s">
        <v>10</v>
      </c>
      <c r="I8103" t="s">
        <v>11</v>
      </c>
    </row>
    <row r="8104" spans="1:9" x14ac:dyDescent="0.25">
      <c r="A8104" t="s">
        <v>22</v>
      </c>
      <c r="B8104" t="s">
        <v>107</v>
      </c>
      <c r="C8104">
        <v>202508</v>
      </c>
      <c r="D8104" t="str">
        <f t="shared" si="126"/>
        <v>2025</v>
      </c>
      <c r="E8104">
        <v>33832</v>
      </c>
      <c r="F8104">
        <v>454939</v>
      </c>
      <c r="G8104">
        <v>7.44</v>
      </c>
      <c r="H8104" t="s">
        <v>10</v>
      </c>
      <c r="I8104" t="s">
        <v>11</v>
      </c>
    </row>
    <row r="8105" spans="1:9" x14ac:dyDescent="0.25">
      <c r="A8105" t="s">
        <v>22</v>
      </c>
      <c r="B8105" t="s">
        <v>107</v>
      </c>
      <c r="C8105">
        <v>202509</v>
      </c>
      <c r="D8105" t="str">
        <f t="shared" si="126"/>
        <v>2025</v>
      </c>
      <c r="E8105">
        <v>706</v>
      </c>
      <c r="F8105">
        <v>454939</v>
      </c>
      <c r="G8105">
        <v>0.16</v>
      </c>
      <c r="H8105" t="s">
        <v>10</v>
      </c>
      <c r="I8105" t="s">
        <v>11</v>
      </c>
    </row>
  </sheetData>
  <autoFilter ref="A1:I8105" xr:uid="{714289E8-A9E9-4B13-AED7-981C04DE7A5F}">
    <filterColumn colId="3">
      <filters>
        <filter val="2025"/>
        <filter val="2026"/>
      </filters>
    </filterColumn>
  </autoFilter>
  <sortState xmlns:xlrd2="http://schemas.microsoft.com/office/spreadsheetml/2017/richdata2" ref="A2:I8105">
    <sortCondition ref="A2:A8105"/>
    <sortCondition ref="B2:B8105"/>
    <sortCondition ref="C2:C810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43F5-801F-4E9A-8429-8C6BF235A394}">
  <dimension ref="A1:A29"/>
  <sheetViews>
    <sheetView workbookViewId="0">
      <selection activeCell="M12" sqref="M12"/>
    </sheetView>
  </sheetViews>
  <sheetFormatPr defaultRowHeight="15" x14ac:dyDescent="0.25"/>
  <sheetData>
    <row r="1" spans="1:1" x14ac:dyDescent="0.25">
      <c r="A1" s="1" t="s">
        <v>244</v>
      </c>
    </row>
    <row r="2" spans="1:1" x14ac:dyDescent="0.25">
      <c r="A2" s="1" t="s">
        <v>245</v>
      </c>
    </row>
    <row r="3" spans="1:1" x14ac:dyDescent="0.25">
      <c r="A3" s="1" t="s">
        <v>246</v>
      </c>
    </row>
    <row r="4" spans="1:1" x14ac:dyDescent="0.25">
      <c r="A4" s="1" t="s">
        <v>238</v>
      </c>
    </row>
    <row r="5" spans="1:1" x14ac:dyDescent="0.25">
      <c r="A5" s="2"/>
    </row>
    <row r="6" spans="1:1" x14ac:dyDescent="0.25">
      <c r="A6" s="1" t="s">
        <v>239</v>
      </c>
    </row>
    <row r="7" spans="1:1" x14ac:dyDescent="0.25">
      <c r="A7" s="1" t="s">
        <v>247</v>
      </c>
    </row>
    <row r="8" spans="1:1" x14ac:dyDescent="0.25">
      <c r="A8" s="2"/>
    </row>
    <row r="9" spans="1:1" x14ac:dyDescent="0.25">
      <c r="A9" s="1" t="s">
        <v>240</v>
      </c>
    </row>
    <row r="10" spans="1:1" x14ac:dyDescent="0.25">
      <c r="A10" s="1" t="s">
        <v>248</v>
      </c>
    </row>
    <row r="11" spans="1:1" x14ac:dyDescent="0.25">
      <c r="A11" s="1" t="s">
        <v>249</v>
      </c>
    </row>
    <row r="12" spans="1:1" x14ac:dyDescent="0.25">
      <c r="A12" s="1" t="s">
        <v>238</v>
      </c>
    </row>
    <row r="13" spans="1:1" x14ac:dyDescent="0.25">
      <c r="A13" s="2"/>
    </row>
    <row r="14" spans="1:1" x14ac:dyDescent="0.25">
      <c r="A14" s="1" t="s">
        <v>241</v>
      </c>
    </row>
    <row r="15" spans="1:1" x14ac:dyDescent="0.25">
      <c r="A15" s="1" t="s">
        <v>250</v>
      </c>
    </row>
    <row r="16" spans="1:1" x14ac:dyDescent="0.25">
      <c r="A16" s="1" t="s">
        <v>251</v>
      </c>
    </row>
    <row r="17" spans="1:1" x14ac:dyDescent="0.25">
      <c r="A17" s="1" t="s">
        <v>238</v>
      </c>
    </row>
    <row r="18" spans="1:1" x14ac:dyDescent="0.25">
      <c r="A18" s="2"/>
    </row>
    <row r="19" spans="1:1" x14ac:dyDescent="0.25">
      <c r="A19" s="1" t="s">
        <v>242</v>
      </c>
    </row>
    <row r="20" spans="1:1" x14ac:dyDescent="0.25">
      <c r="A20" s="1" t="s">
        <v>252</v>
      </c>
    </row>
    <row r="21" spans="1:1" x14ac:dyDescent="0.25">
      <c r="A21" s="1" t="s">
        <v>243</v>
      </c>
    </row>
    <row r="22" spans="1:1" x14ac:dyDescent="0.25">
      <c r="A22" s="1" t="s">
        <v>253</v>
      </c>
    </row>
    <row r="23" spans="1:1" x14ac:dyDescent="0.25">
      <c r="A23" s="1" t="s">
        <v>254</v>
      </c>
    </row>
    <row r="24" spans="1:1" x14ac:dyDescent="0.25">
      <c r="A24" s="1" t="s">
        <v>238</v>
      </c>
    </row>
    <row r="25" spans="1:1" x14ac:dyDescent="0.25">
      <c r="A25" s="1" t="s">
        <v>255</v>
      </c>
    </row>
    <row r="26" spans="1:1" x14ac:dyDescent="0.25">
      <c r="A26" s="1" t="s">
        <v>256</v>
      </c>
    </row>
    <row r="27" spans="1:1" x14ac:dyDescent="0.25">
      <c r="A27" s="1" t="s">
        <v>257</v>
      </c>
    </row>
    <row r="28" spans="1:1" x14ac:dyDescent="0.25">
      <c r="A28" s="2"/>
    </row>
    <row r="29" spans="1:1" x14ac:dyDescent="0.25">
      <c r="A29" s="1" t="s">
        <v>258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76934a-eb4a-495f-8608-5efe266912ff}" enabled="0" method="" siteId="{d676934a-eb4a-495f-8608-5efe266912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Analysis</vt:lpstr>
      <vt:lpstr>Sheet2</vt:lpstr>
      <vt:lpstr>Counts</vt:lpstr>
      <vt:lpstr>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Oldfather, Jennifer</dc:creator>
  <cp:lastModifiedBy>Samir Rawat</cp:lastModifiedBy>
  <dcterms:created xsi:type="dcterms:W3CDTF">2026-06-17T23:13:24Z</dcterms:created>
  <dcterms:modified xsi:type="dcterms:W3CDTF">2026-06-17T23:56:51Z</dcterms:modified>
</cp:coreProperties>
</file>