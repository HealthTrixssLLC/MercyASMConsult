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11"/>
  <workbookPr defaultThemeVersion="124226"/>
  <mc:AlternateContent xmlns:mc="http://schemas.openxmlformats.org/markup-compatibility/2006">
    <mc:Choice Requires="x15">
      <x15ac:absPath xmlns:x15ac="http://schemas.microsoft.com/office/spreadsheetml/2010/11/ac" url="\\smb.waunas22f.hcscint.net\gcsdata\Risk Adjustment Encounter Group\OnBoardingProviders\"/>
    </mc:Choice>
  </mc:AlternateContent>
  <xr:revisionPtr revIDLastSave="6" documentId="13_ncr:1_{7AC7C431-2709-48DC-9C27-5BC3273869B8}" xr6:coauthVersionLast="47" xr6:coauthVersionMax="47" xr10:uidLastSave="{D9682D4A-7577-46E1-97F2-E9280F6832F6}"/>
  <bookViews>
    <workbookView xWindow="-120" yWindow="-120" windowWidth="20730" windowHeight="11160" firstSheet="3" activeTab="3" xr2:uid="{00000000-000D-0000-FFFF-FFFF00000000}"/>
  </bookViews>
  <sheets>
    <sheet name="File Format" sheetId="12" r:id="rId1"/>
    <sheet name="File Names" sheetId="17" r:id="rId2"/>
    <sheet name="HDR Record" sheetId="13" r:id="rId3"/>
    <sheet name="CR Record" sheetId="14" r:id="rId4"/>
    <sheet name="DGS Record" sheetId="15" r:id="rId5"/>
    <sheet name="TLR Record" sheetId="16"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4" l="1"/>
  <c r="B6" i="14" s="1"/>
  <c r="B7" i="14" s="1"/>
  <c r="B8" i="14" l="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6" i="13"/>
  <c r="B7" i="13" s="1"/>
  <c r="B8" i="13" s="1"/>
  <c r="B9" i="13" s="1"/>
  <c r="B10" i="13" s="1"/>
  <c r="B11" i="13" s="1"/>
  <c r="B12" i="13" s="1"/>
  <c r="B13" i="13" s="1"/>
  <c r="B14" i="13" s="1"/>
  <c r="B15" i="13" s="1"/>
  <c r="B16" i="13" s="1"/>
  <c r="B17" i="13" s="1"/>
  <c r="B5" i="15"/>
  <c r="B6" i="15" s="1"/>
  <c r="B7" i="15" s="1"/>
  <c r="B8" i="15" s="1"/>
  <c r="F7" i="15" s="1"/>
  <c r="B5" i="16"/>
  <c r="B34" i="14" l="1"/>
  <c r="B35" i="14" s="1"/>
  <c r="B36" i="14" s="1"/>
  <c r="B37" i="14" s="1"/>
  <c r="F8" i="15"/>
  <c r="B9" i="15"/>
  <c r="B10" i="15" l="1"/>
  <c r="F10" i="15"/>
  <c r="B11" i="15" l="1"/>
  <c r="F9" i="15"/>
  <c r="B12" i="15" l="1"/>
  <c r="F12" i="15"/>
  <c r="F11" i="15" l="1"/>
  <c r="B13" i="15"/>
  <c r="B14" i="15" l="1"/>
  <c r="F14" i="15"/>
  <c r="B15" i="15" l="1"/>
  <c r="F13" i="15"/>
  <c r="B16" i="15" l="1"/>
  <c r="F16" i="15"/>
  <c r="B17" i="15" l="1"/>
  <c r="F15" i="15"/>
  <c r="B18" i="15" l="1"/>
  <c r="F18" i="15"/>
  <c r="B19" i="15" l="1"/>
  <c r="F17" i="15"/>
  <c r="B20" i="15" l="1"/>
  <c r="F20" i="15"/>
  <c r="F19" i="15" l="1"/>
  <c r="B21" i="15"/>
  <c r="B22" i="15" l="1"/>
  <c r="F22" i="15"/>
  <c r="B23" i="15" l="1"/>
  <c r="F21" i="15"/>
  <c r="B24" i="15" l="1"/>
  <c r="F24" i="15"/>
  <c r="B25" i="15" l="1"/>
  <c r="F23" i="15"/>
  <c r="B26" i="15" l="1"/>
  <c r="F26" i="15"/>
  <c r="B27" i="15" l="1"/>
  <c r="F25" i="15"/>
  <c r="B28" i="15" l="1"/>
  <c r="F28" i="15"/>
  <c r="F27" i="15" l="1"/>
  <c r="B29" i="15"/>
  <c r="B30" i="15" l="1"/>
  <c r="F30" i="15"/>
  <c r="B31" i="15" l="1"/>
  <c r="F29" i="15"/>
  <c r="B32" i="15" l="1"/>
  <c r="F32" i="15"/>
  <c r="B33" i="15" l="1"/>
  <c r="F31" i="15"/>
  <c r="B34" i="15" l="1"/>
  <c r="F34" i="15"/>
  <c r="B35" i="15" l="1"/>
  <c r="F33" i="15"/>
  <c r="B36" i="15" l="1"/>
  <c r="F36" i="15"/>
  <c r="F35" i="15" l="1"/>
  <c r="B37" i="15"/>
  <c r="B38" i="15" l="1"/>
  <c r="F38" i="15"/>
  <c r="B39" i="15" l="1"/>
  <c r="F37" i="15"/>
  <c r="B40" i="15" l="1"/>
  <c r="F40" i="15"/>
  <c r="B41" i="15" l="1"/>
  <c r="F39" i="15"/>
  <c r="B42" i="15" l="1"/>
  <c r="F42" i="15"/>
  <c r="B43" i="15" l="1"/>
  <c r="F41" i="15"/>
  <c r="B44" i="15" l="1"/>
  <c r="F44" i="15"/>
  <c r="F43" i="15" l="1"/>
  <c r="B45" i="15"/>
  <c r="B46" i="15" l="1"/>
  <c r="F46" i="15"/>
  <c r="B47" i="15" l="1"/>
  <c r="F45" i="15"/>
  <c r="B48" i="15" l="1"/>
  <c r="F48" i="15"/>
  <c r="B49" i="15" l="1"/>
  <c r="F47" i="15"/>
  <c r="B50" i="15" l="1"/>
  <c r="F50" i="15"/>
  <c r="B51" i="15" l="1"/>
  <c r="F49" i="15"/>
  <c r="B52" i="15" l="1"/>
  <c r="F52" i="15"/>
  <c r="F51" i="15" l="1"/>
  <c r="B53" i="15"/>
  <c r="B54" i="15" l="1"/>
  <c r="F53" i="15" s="1"/>
  <c r="F5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tc={1BF0847C-D492-4BA7-A502-13FE98F9A7C7}</author>
  </authors>
  <commentList>
    <comment ref="C1" authorId="0" shapeId="0" xr:uid="{1BF0847C-D492-4BA7-A502-13FE98F9A7C7}">
      <text>
        <t xml:space="preserve">[Threaded comment]
Your version of Excel allows you to read this threaded comment; however, any edits to it will get removed if the file is opened in a newer version of Excel. Learn more: https://go.microsoft.com/fwlink/?linkid=870924
Comment:
    @Reed, Linda A </t>
      </text>
    </comment>
  </commentList>
</comments>
</file>

<file path=xl/sharedStrings.xml><?xml version="1.0" encoding="utf-8"?>
<sst xmlns="http://schemas.openxmlformats.org/spreadsheetml/2006/main" count="407" uniqueCount="201">
  <si>
    <t>File Format</t>
  </si>
  <si>
    <t>File Contents</t>
  </si>
  <si>
    <t>PayerPlanType</t>
  </si>
  <si>
    <t>File must contain only one Plan Type (MAOcare, MMPcare, or MMPcaid) .</t>
  </si>
  <si>
    <t>ChartReview_Claim_Type</t>
  </si>
  <si>
    <t>File must contain only one ChartReview/Claim Type (INST or PROF).</t>
  </si>
  <si>
    <t>ChartReview_Claim_Loop</t>
  </si>
  <si>
    <t>Each ChartReview_Claim_Loop will either Add or Delete the Diagnostic Codes contained in the loop.</t>
  </si>
  <si>
    <t>File Organization</t>
  </si>
  <si>
    <t>Occurs</t>
  </si>
  <si>
    <t>Description</t>
  </si>
  <si>
    <t>HDR</t>
  </si>
  <si>
    <t>One HDR record per file</t>
  </si>
  <si>
    <t>Many</t>
  </si>
  <si>
    <t>Each ChartReview_Claim_Loop is composed of 2 records: CR and DGS</t>
  </si>
  <si>
    <t>CR</t>
  </si>
  <si>
    <t>One CR record per ChartReview/Claim</t>
  </si>
  <si>
    <t>DGS</t>
  </si>
  <si>
    <t>One DGS record per ChartReview/Claim</t>
  </si>
  <si>
    <t>TLR</t>
  </si>
  <si>
    <t>One TLR record per file</t>
  </si>
  <si>
    <t>Record Organization</t>
  </si>
  <si>
    <t>Each record starts with a RecordIdentifier literal, contains field values seperated by a Delimiter, and ends with a Terminator.</t>
  </si>
  <si>
    <t>Record Identifiers</t>
  </si>
  <si>
    <t>HDR, CR, DGS, and TLR.</t>
  </si>
  <si>
    <t>Record Field Delimiters</t>
  </si>
  <si>
    <t>The first one byte delimiter after the Header Record Initiator ("HDR") sets the delimiter in use for all Records in the file. 
The delimiter chosen cannot appear in any field data.
The delimiter is required after the Record Identifier and between (infixed) all fields.
Only the first occurrence is shown in the Record layouts, but the delimiter must appear between every field used or not used.
Record can terminate after last required field.</t>
  </si>
  <si>
    <t>Record Terminator</t>
  </si>
  <si>
    <t>Windows End-Of-Line   &lt;CrLf&gt;    CarrigeReturnLineFeed (x'0D0A') 
Unix End-Of-Line            &lt;Lf&gt;        LineFeed (x'0A')</t>
  </si>
  <si>
    <t>Examples:</t>
  </si>
  <si>
    <t>HDR*AAAA*BBBB*CCCC&lt;CrLf&gt;
HDR|AAAA|BBBB|CCCC&lt;CrLf&gt;</t>
  </si>
  <si>
    <r>
      <t xml:space="preserve">To ensure the file gets correctly sent to and processed by Wipro and CMS, the file name needs to follow the below naming conventions.
</t>
    </r>
    <r>
      <rPr>
        <b/>
        <sz val="11"/>
        <color theme="1"/>
        <rFont val="Calibri"/>
        <family val="2"/>
        <scheme val="minor"/>
      </rPr>
      <t>Test Files</t>
    </r>
    <r>
      <rPr>
        <sz val="11"/>
        <color theme="1"/>
        <rFont val="Calibri"/>
        <family val="2"/>
        <scheme val="minor"/>
      </rPr>
      <t xml:space="preserve">
Example: HCSC.</t>
    </r>
    <r>
      <rPr>
        <b/>
        <sz val="11"/>
        <color rgb="FFFF0000"/>
        <rFont val="Calibri"/>
        <family val="2"/>
        <scheme val="minor"/>
      </rPr>
      <t>QA</t>
    </r>
    <r>
      <rPr>
        <sz val="11"/>
        <color theme="1"/>
        <rFont val="Calibri"/>
        <family val="2"/>
        <scheme val="minor"/>
      </rPr>
      <t xml:space="preserve">.MAO.WIP9999.IPAGROUP.P.CARE.YYYYMMDDHHMMSS.TXT
o REGION: </t>
    </r>
    <r>
      <rPr>
        <b/>
        <sz val="11"/>
        <color rgb="FFFF0000"/>
        <rFont val="Calibri"/>
        <family val="2"/>
        <scheme val="minor"/>
      </rPr>
      <t>QA</t>
    </r>
    <r>
      <rPr>
        <sz val="11"/>
        <color theme="1"/>
        <rFont val="Calibri"/>
        <family val="2"/>
        <scheme val="minor"/>
      </rPr>
      <t xml:space="preserve"> or PROD
o LOB: Medicare = </t>
    </r>
    <r>
      <rPr>
        <b/>
        <sz val="11"/>
        <color rgb="FFFF0000"/>
        <rFont val="Calibri"/>
        <family val="2"/>
        <scheme val="minor"/>
      </rPr>
      <t>MAO</t>
    </r>
    <r>
      <rPr>
        <sz val="11"/>
        <color theme="1"/>
        <rFont val="Calibri"/>
        <family val="2"/>
        <scheme val="minor"/>
      </rPr>
      <t xml:space="preserve">; Medicaid-Medicaid Plan = MMP
o WipID: This will be provided by HCSC </t>
    </r>
    <r>
      <rPr>
        <b/>
        <sz val="11"/>
        <color rgb="FFFF0000"/>
        <rFont val="Calibri"/>
        <family val="2"/>
        <scheme val="minor"/>
      </rPr>
      <t>(WIPXXXX)</t>
    </r>
    <r>
      <rPr>
        <sz val="11"/>
        <color theme="1"/>
        <rFont val="Calibri"/>
        <family val="2"/>
        <scheme val="minor"/>
      </rPr>
      <t xml:space="preserve">
o FileType: Professional = P; </t>
    </r>
    <r>
      <rPr>
        <b/>
        <sz val="11"/>
        <color rgb="FFFF0000"/>
        <rFont val="Calibri"/>
        <family val="2"/>
        <scheme val="minor"/>
      </rPr>
      <t>Institutional = I</t>
    </r>
    <r>
      <rPr>
        <sz val="11"/>
        <color theme="1"/>
        <rFont val="Calibri"/>
        <family val="2"/>
        <scheme val="minor"/>
      </rPr>
      <t xml:space="preserve">; DME = E
o Datetime Stamp: Y = Year, M = Month, D = Day, H = Hour, M = Minute, S = Second
</t>
    </r>
    <r>
      <rPr>
        <b/>
        <sz val="11"/>
        <color theme="1"/>
        <rFont val="Calibri"/>
        <family val="2"/>
        <scheme val="minor"/>
      </rPr>
      <t>Production Files</t>
    </r>
    <r>
      <rPr>
        <sz val="11"/>
        <color theme="1"/>
        <rFont val="Calibri"/>
        <family val="2"/>
        <scheme val="minor"/>
      </rPr>
      <t xml:space="preserve">
Example: HCSC.PROD.MAO.WIP9999.IPAGROUP.I.CARE.YYYYMMDDHHMMSS.TXT
o REGION: QA or PROD
o LOB: Medicare = MAO; Medicaid-Medicaid Plan = MMP
o WipID: This will be provided by HCSC
o FileType: Professional = P; Institutional = I; DME = E
o Datetime Stamp: Y = Year, M = Month, D = Day, H = Hour, M = Minute, S = Second</t>
    </r>
  </si>
  <si>
    <t>Header (HDR) Record</t>
  </si>
  <si>
    <t>Field Name</t>
  </si>
  <si>
    <t>Field
Number</t>
  </si>
  <si>
    <t>Maximum
Length</t>
  </si>
  <si>
    <t>EDPS
R/O</t>
  </si>
  <si>
    <t>Values</t>
  </si>
  <si>
    <t>RecordInitiator</t>
  </si>
  <si>
    <t>Required</t>
  </si>
  <si>
    <t>Header Record (HDR)</t>
  </si>
  <si>
    <t>FieldDelimiter</t>
  </si>
  <si>
    <t>Field Delimiter. Only first occurrence illustrated.
Also must be used between all fields.</t>
  </si>
  <si>
    <t>"*", "|", "~", or ","</t>
  </si>
  <si>
    <t>FileType</t>
  </si>
  <si>
    <t>Chart Review / Claim File Type</t>
  </si>
  <si>
    <t>INST</t>
  </si>
  <si>
    <t>Chart Review / Claim Plan Type</t>
  </si>
  <si>
    <r>
      <rPr>
        <b/>
        <sz val="10"/>
        <color rgb="FFFF0000"/>
        <rFont val="Calibri"/>
        <family val="2"/>
        <scheme val="minor"/>
      </rPr>
      <t>MAOcare</t>
    </r>
    <r>
      <rPr>
        <sz val="10"/>
        <color theme="1"/>
        <rFont val="Calibri"/>
        <family val="2"/>
        <scheme val="minor"/>
      </rPr>
      <t>, MMPcare, or MMPcaid</t>
    </r>
  </si>
  <si>
    <t>FormatVersion</t>
  </si>
  <si>
    <t>Version of this format</t>
  </si>
  <si>
    <t>1.0</t>
  </si>
  <si>
    <t>TestOrProdIndicator</t>
  </si>
  <si>
    <t>Test or Prod indicator</t>
  </si>
  <si>
    <t>"T" or "P"</t>
  </si>
  <si>
    <t>FileDate</t>
  </si>
  <si>
    <t>Date File was created</t>
  </si>
  <si>
    <t>CCYYMMDD format</t>
  </si>
  <si>
    <t>WiproCustomerId</t>
  </si>
  <si>
    <t>WIPRO Customer ID</t>
  </si>
  <si>
    <t>HCF0324</t>
  </si>
  <si>
    <t>PayerSubmitterId</t>
  </si>
  <si>
    <t>Payer ID (CMS Payer/Submitter ID)</t>
  </si>
  <si>
    <t>ENC0001</t>
  </si>
  <si>
    <t>PayerPlanName</t>
  </si>
  <si>
    <t>Payer Name</t>
  </si>
  <si>
    <t>Health Care Service Corp (HCSC)</t>
  </si>
  <si>
    <t>PayerPlanAddress</t>
  </si>
  <si>
    <t>Payer Address</t>
  </si>
  <si>
    <t>300 E Randolph St</t>
  </si>
  <si>
    <t>PayerPlanCity</t>
  </si>
  <si>
    <t>Payer City</t>
  </si>
  <si>
    <t>Chicago</t>
  </si>
  <si>
    <t>PayerPlanState</t>
  </si>
  <si>
    <t>Payer State</t>
  </si>
  <si>
    <t>IL</t>
  </si>
  <si>
    <t>PayerPlanZipCode</t>
  </si>
  <si>
    <t>Payer Zipcode</t>
  </si>
  <si>
    <t>VendorId</t>
  </si>
  <si>
    <t>Optional</t>
  </si>
  <si>
    <t>Vendor Id / Vendor Name</t>
  </si>
  <si>
    <t>Chart Review (CR) Record</t>
  </si>
  <si>
    <t>EDPS Chart Review
WIPRO Default</t>
  </si>
  <si>
    <t>RecordId</t>
  </si>
  <si>
    <t>Chart Review (CR)</t>
  </si>
  <si>
    <t xml:space="preserve">CR records within a file should never be repeated (where different Dx codes appear on different DGS records). </t>
  </si>
  <si>
    <t>PlanId</t>
  </si>
  <si>
    <t>Plan ID</t>
  </si>
  <si>
    <t>H Plan ID</t>
  </si>
  <si>
    <t>ChartReviewId</t>
  </si>
  <si>
    <t>Chart Review Id</t>
  </si>
  <si>
    <t>Customer Provided. TMG prescribed Prefixes shared separately.
Claim IDs can never be reused, all Claim IDs have to be unique from file to file, and within files.</t>
  </si>
  <si>
    <t>CMS_ICN</t>
  </si>
  <si>
    <t>CMS ICN (InternalControlNumber).
Required for Chart Review Replace (FrequencyCode 7) and Delete/Void (FrequencyCode 8).</t>
  </si>
  <si>
    <t>ChartReviewReferenceId</t>
  </si>
  <si>
    <t>If CMS_ICN is not available ChartReviewReferenceId is required for Chart Review Replace (FrequencyCode 7) and Delete/Void (FrequencyCode 8).</t>
  </si>
  <si>
    <t>FrequencyCode</t>
  </si>
  <si>
    <t xml:space="preserve">1 (Original), 7 (Replace), 8 (Delete/Void) </t>
  </si>
  <si>
    <t>1, 7, or 8</t>
  </si>
  <si>
    <t>ProviderTaxonomyCode</t>
  </si>
  <si>
    <t>NotUsed</t>
  </si>
  <si>
    <t>Serving/Attending Provider Taxonomy Code</t>
  </si>
  <si>
    <t>MemberHICN</t>
  </si>
  <si>
    <t>MemberDOB</t>
  </si>
  <si>
    <t>ServiceStartDate</t>
  </si>
  <si>
    <t>ServiceEndDate</t>
  </si>
  <si>
    <t>FacilityTypeCode_TypeOfBillCode</t>
  </si>
  <si>
    <t>Conditional</t>
  </si>
  <si>
    <t>Required for Chart Review if PatientType not provided.</t>
  </si>
  <si>
    <t>11 Inpatient
13 Outpatient</t>
  </si>
  <si>
    <t>BillingProviderNPI</t>
  </si>
  <si>
    <t>BillingProviderTaxId</t>
  </si>
  <si>
    <t>BillingProviderLastName</t>
  </si>
  <si>
    <t>BillingProviderAddress</t>
  </si>
  <si>
    <t>BillingProviderCity</t>
  </si>
  <si>
    <t>BillingProviderState</t>
  </si>
  <si>
    <t>BillingProviderZipCode</t>
  </si>
  <si>
    <t>MemberId</t>
  </si>
  <si>
    <t>MemberLastname</t>
  </si>
  <si>
    <t>MemberFirstName</t>
  </si>
  <si>
    <t>MemberAddress</t>
  </si>
  <si>
    <t>MemberCity</t>
  </si>
  <si>
    <t>MemberState</t>
  </si>
  <si>
    <t>MemberZip</t>
  </si>
  <si>
    <t>MemberGender</t>
  </si>
  <si>
    <t>ProductOrServiceQualifier</t>
  </si>
  <si>
    <t>HC</t>
  </si>
  <si>
    <t>ProcedureCode</t>
  </si>
  <si>
    <t>G0439</t>
  </si>
  <si>
    <t>PatientType</t>
  </si>
  <si>
    <t>Required for Chart Review if 
RevenureCode or FacilityTypeCode not provided.</t>
  </si>
  <si>
    <t>In (Inpatient) or Out (Outpatient)</t>
  </si>
  <si>
    <t>RevenueCode</t>
  </si>
  <si>
    <t>Required for Chart Review if PatientType not provided.
If PatientType="In" then "0920" else "0500"</t>
  </si>
  <si>
    <t>0920 Inpatient
0500 Outpatient</t>
  </si>
  <si>
    <t>AdmitType</t>
  </si>
  <si>
    <t>AdmitSource</t>
  </si>
  <si>
    <t>PatientStatus</t>
  </si>
  <si>
    <t>01</t>
  </si>
  <si>
    <t>Diagnosis (DGS) Record</t>
  </si>
  <si>
    <t>RAPS
R/O</t>
  </si>
  <si>
    <t>Notes</t>
  </si>
  <si>
    <t>Diagnosis Codes (DGS)</t>
  </si>
  <si>
    <t>All diagnosis codes that map to 1 header record should be contained on one DGS record immediately following the CR record.</t>
  </si>
  <si>
    <t>DiagnosisCodeType_1</t>
  </si>
  <si>
    <t>ICD Code version</t>
  </si>
  <si>
    <t>9 or 10</t>
  </si>
  <si>
    <t>DiagnosisCode_1</t>
  </si>
  <si>
    <t>Diagnosis Code</t>
  </si>
  <si>
    <t>DiagnosisCodeType_2</t>
  </si>
  <si>
    <t>DiagnosisCode_2</t>
  </si>
  <si>
    <t>DiagnosisCodeType_3</t>
  </si>
  <si>
    <t>DiagnosisCode_3</t>
  </si>
  <si>
    <t>DiagnosisCodeType_4</t>
  </si>
  <si>
    <t>DiagnosisCode_4</t>
  </si>
  <si>
    <t>DiagnosisCodeType_5</t>
  </si>
  <si>
    <t>DiagnosisCode_5</t>
  </si>
  <si>
    <t>DiagnosisCodeType_6</t>
  </si>
  <si>
    <t>DiagnosisCode_6</t>
  </si>
  <si>
    <t>DiagnosisCodeType_7</t>
  </si>
  <si>
    <t>DiagnosisCode_7</t>
  </si>
  <si>
    <t>DiagnosisCodeType_8</t>
  </si>
  <si>
    <t>DiagnosisCode_8</t>
  </si>
  <si>
    <t>DiagnosisCodeType_9</t>
  </si>
  <si>
    <t>DiagnosisCode_9</t>
  </si>
  <si>
    <t>DiagnosisCodeType_10</t>
  </si>
  <si>
    <t>DiagnosisCode_10</t>
  </si>
  <si>
    <t>DiagnosisCodeType_11</t>
  </si>
  <si>
    <t>DiagnosisCode_11</t>
  </si>
  <si>
    <t>DiagnosisCodeType_12</t>
  </si>
  <si>
    <t>DiagnosisCode_12</t>
  </si>
  <si>
    <t>DiagnosisCodeType_13</t>
  </si>
  <si>
    <t>DiagnosisCode_13</t>
  </si>
  <si>
    <t>DiagnosisCodeType_14</t>
  </si>
  <si>
    <t>DiagnosisCode_14</t>
  </si>
  <si>
    <t>DiagnosisCodeType_15</t>
  </si>
  <si>
    <t>DiagnosisCode_15</t>
  </si>
  <si>
    <t>DiagnosisCodeType_16</t>
  </si>
  <si>
    <t>DiagnosisCode_16</t>
  </si>
  <si>
    <t>DiagnosisCodeType_17</t>
  </si>
  <si>
    <t>DiagnosisCode_17</t>
  </si>
  <si>
    <t>DiagnosisCodeType_18</t>
  </si>
  <si>
    <t>DiagnosisCode_18</t>
  </si>
  <si>
    <t>DiagnosisCodeType_19</t>
  </si>
  <si>
    <t>DiagnosisCode_19</t>
  </si>
  <si>
    <t>DiagnosisCodeType_20</t>
  </si>
  <si>
    <t>DiagnosisCode_20</t>
  </si>
  <si>
    <t>DiagnosisCodeType_21</t>
  </si>
  <si>
    <t>DiagnosisCode_21</t>
  </si>
  <si>
    <t>DiagnosisCodeType_22</t>
  </si>
  <si>
    <t>DiagnosisCode_22</t>
  </si>
  <si>
    <t>DiagnosisCodeType_23</t>
  </si>
  <si>
    <t>DiagnosisCode_23</t>
  </si>
  <si>
    <t>DiagnosisCodeType_24</t>
  </si>
  <si>
    <t>DiagnosisCode_24</t>
  </si>
  <si>
    <t>DiagnosisCodeType_25</t>
  </si>
  <si>
    <t>DiagnosisCode_25</t>
  </si>
  <si>
    <t>Trailer (TLR) Record</t>
  </si>
  <si>
    <t>File Trailer Record (TLR)</t>
  </si>
  <si>
    <t>ChartReview_Claim_Count</t>
  </si>
  <si>
    <t>ChartReview_Claim_Loop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</si>
</sst>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sz val="10"/>
      <name val="Arial"/>
      <family val="2"/>
    </font>
    <font>
      <b/>
      <sz val="18"/>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8000000000000007"/>
      <color theme="10"/>
      <name val="Calibri"/>
      <family val="2"/>
    </font>
    <font>
      <b/>
      <sz val="14"/>
      <color theme="1"/>
      <name val="Calibri"/>
      <family val="2"/>
      <scheme val="minor"/>
    </font>
    <font>
      <sz val="10"/>
      <color indexed="8"/>
      <name val="Calibri"/>
      <family val="2"/>
    </font>
    <font>
      <sz val="10"/>
      <color theme="1"/>
      <name val="Calibri"/>
      <family val="2"/>
      <scheme val="minor"/>
    </font>
    <font>
      <b/>
      <sz val="10"/>
      <color theme="1"/>
      <name val="Calibri"/>
      <family val="2"/>
      <scheme val="minor"/>
    </font>
    <font>
      <b/>
      <sz val="10"/>
      <color rgb="FFFF0000"/>
      <name val="Calibri"/>
      <family val="2"/>
      <scheme val="minor"/>
    </font>
    <font>
      <b/>
      <sz val="11"/>
      <color rgb="FFFF0000"/>
      <name val="Calibri"/>
      <family val="2"/>
      <scheme val="minor"/>
    </font>
  </fonts>
  <fills count="3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s>
  <cellStyleXfs count="46">
    <xf numFmtId="0" fontId="0" fillId="0" borderId="0"/>
    <xf numFmtId="0" fontId="2" fillId="0" borderId="0"/>
    <xf numFmtId="0" fontId="2" fillId="0" borderId="0"/>
    <xf numFmtId="0" fontId="5" fillId="0" borderId="0" applyNumberFormat="0" applyFill="0" applyBorder="0" applyAlignment="0" applyProtection="0"/>
    <xf numFmtId="0" fontId="6" fillId="0" borderId="10" applyNumberFormat="0" applyFill="0" applyAlignment="0" applyProtection="0"/>
    <xf numFmtId="0" fontId="7" fillId="0" borderId="11" applyNumberFormat="0" applyFill="0" applyAlignment="0" applyProtection="0"/>
    <xf numFmtId="0" fontId="8" fillId="0" borderId="12"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13" applyNumberFormat="0" applyAlignment="0" applyProtection="0"/>
    <xf numFmtId="0" fontId="13" fillId="8" borderId="14" applyNumberFormat="0" applyAlignment="0" applyProtection="0"/>
    <xf numFmtId="0" fontId="14" fillId="8" borderId="13" applyNumberFormat="0" applyAlignment="0" applyProtection="0"/>
    <xf numFmtId="0" fontId="15" fillId="0" borderId="15" applyNumberFormat="0" applyFill="0" applyAlignment="0" applyProtection="0"/>
    <xf numFmtId="0" fontId="16" fillId="9" borderId="16" applyNumberFormat="0" applyAlignment="0" applyProtection="0"/>
    <xf numFmtId="0" fontId="17" fillId="0" borderId="0" applyNumberFormat="0" applyFill="0" applyBorder="0" applyAlignment="0" applyProtection="0"/>
    <xf numFmtId="0" fontId="4" fillId="10" borderId="17" applyNumberFormat="0" applyFont="0" applyAlignment="0" applyProtection="0"/>
    <xf numFmtId="0" fontId="18" fillId="0" borderId="0" applyNumberFormat="0" applyFill="0" applyBorder="0" applyAlignment="0" applyProtection="0"/>
    <xf numFmtId="0" fontId="1" fillId="0" borderId="18" applyNumberFormat="0" applyFill="0" applyAlignment="0" applyProtection="0"/>
    <xf numFmtId="0" fontId="19"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9" fillId="34" borderId="0" applyNumberFormat="0" applyBorder="0" applyAlignment="0" applyProtection="0"/>
    <xf numFmtId="0" fontId="2" fillId="0" borderId="0"/>
    <xf numFmtId="0" fontId="20" fillId="0" borderId="0" applyNumberFormat="0" applyFill="0" applyBorder="0" applyAlignment="0" applyProtection="0">
      <alignment vertical="top"/>
      <protection locked="0"/>
    </xf>
  </cellStyleXfs>
  <cellXfs count="110">
    <xf numFmtId="0" fontId="0" fillId="0" borderId="0" xfId="0"/>
    <xf numFmtId="0" fontId="0" fillId="0" borderId="8" xfId="0" applyBorder="1" applyAlignment="1">
      <alignment horizontal="center"/>
    </xf>
    <xf numFmtId="0" fontId="0" fillId="0" borderId="0" xfId="0" applyAlignment="1">
      <alignment horizontal="center"/>
    </xf>
    <xf numFmtId="0" fontId="3" fillId="0" borderId="0" xfId="0" applyFont="1" applyAlignment="1">
      <alignment vertical="center"/>
    </xf>
    <xf numFmtId="0" fontId="0" fillId="0" borderId="0" xfId="0" applyAlignment="1">
      <alignment horizontal="left"/>
    </xf>
    <xf numFmtId="0" fontId="0" fillId="0" borderId="1" xfId="0" applyBorder="1" applyAlignment="1">
      <alignment horizontal="center"/>
    </xf>
    <xf numFmtId="0" fontId="0" fillId="0" borderId="20" xfId="0" applyBorder="1" applyAlignment="1">
      <alignment horizontal="center"/>
    </xf>
    <xf numFmtId="0" fontId="1" fillId="0" borderId="21" xfId="0" applyFont="1" applyBorder="1" applyAlignment="1">
      <alignment vertical="center" wrapText="1"/>
    </xf>
    <xf numFmtId="0" fontId="0" fillId="0" borderId="0" xfId="0" applyAlignment="1">
      <alignment horizontal="left" indent="1"/>
    </xf>
    <xf numFmtId="0" fontId="1" fillId="0" borderId="27" xfId="0" applyFont="1" applyBorder="1" applyAlignment="1">
      <alignment horizontal="center"/>
    </xf>
    <xf numFmtId="0" fontId="1" fillId="0" borderId="21" xfId="0" applyFont="1" applyBorder="1"/>
    <xf numFmtId="0" fontId="0" fillId="0" borderId="0" xfId="0" applyAlignment="1">
      <alignment vertical="center"/>
    </xf>
    <xf numFmtId="0" fontId="1" fillId="0" borderId="21" xfId="0" applyFont="1" applyBorder="1" applyAlignment="1">
      <alignment vertical="center"/>
    </xf>
    <xf numFmtId="0" fontId="1" fillId="0" borderId="0" xfId="0" applyFont="1"/>
    <xf numFmtId="0" fontId="1" fillId="0" borderId="22" xfId="0" applyFont="1" applyBorder="1" applyAlignment="1">
      <alignment horizontal="left" vertical="center" wrapText="1" indent="1"/>
    </xf>
    <xf numFmtId="0" fontId="1" fillId="0" borderId="5" xfId="0" applyFont="1" applyBorder="1" applyAlignment="1">
      <alignment horizontal="left" vertical="center" wrapText="1" indent="2"/>
    </xf>
    <xf numFmtId="0" fontId="1" fillId="0" borderId="5" xfId="0" applyFont="1" applyBorder="1" applyAlignment="1">
      <alignment horizontal="left" vertical="center" wrapText="1" indent="3"/>
    </xf>
    <xf numFmtId="0" fontId="1" fillId="0" borderId="5" xfId="0" applyFont="1" applyBorder="1" applyAlignment="1">
      <alignment horizontal="left" indent="3"/>
    </xf>
    <xf numFmtId="0" fontId="1" fillId="0" borderId="7" xfId="0" applyFont="1" applyBorder="1" applyAlignment="1">
      <alignment horizontal="left" indent="1"/>
    </xf>
    <xf numFmtId="0" fontId="1" fillId="0" borderId="22" xfId="0" applyFont="1" applyBorder="1" applyAlignment="1">
      <alignment horizontal="left"/>
    </xf>
    <xf numFmtId="0" fontId="1" fillId="0" borderId="5" xfId="0" applyFont="1" applyBorder="1" applyAlignment="1">
      <alignment vertical="center" wrapText="1"/>
    </xf>
    <xf numFmtId="0" fontId="1" fillId="0" borderId="7" xfId="0" applyFont="1" applyBorder="1" applyAlignment="1">
      <alignment horizontal="left" vertical="center"/>
    </xf>
    <xf numFmtId="0" fontId="1" fillId="0" borderId="22" xfId="0" applyFont="1" applyBorder="1"/>
    <xf numFmtId="0" fontId="1" fillId="0" borderId="5" xfId="0" applyFont="1" applyBorder="1"/>
    <xf numFmtId="0" fontId="1" fillId="0" borderId="7" xfId="0" applyFont="1" applyBorder="1"/>
    <xf numFmtId="0" fontId="0" fillId="0" borderId="0" xfId="0" applyAlignment="1">
      <alignment horizontal="left" vertical="center"/>
    </xf>
    <xf numFmtId="0" fontId="22" fillId="0" borderId="0" xfId="0" applyFont="1" applyAlignment="1">
      <alignment horizontal="left"/>
    </xf>
    <xf numFmtId="0" fontId="23" fillId="0" borderId="2" xfId="0" applyFont="1" applyBorder="1"/>
    <xf numFmtId="0" fontId="23" fillId="3" borderId="3" xfId="0" applyFont="1" applyFill="1" applyBorder="1"/>
    <xf numFmtId="0" fontId="23" fillId="0" borderId="3" xfId="0" applyFont="1" applyBorder="1" applyAlignment="1">
      <alignment horizontal="center"/>
    </xf>
    <xf numFmtId="0" fontId="23" fillId="0" borderId="3" xfId="0" applyFont="1" applyBorder="1"/>
    <xf numFmtId="0" fontId="23" fillId="0" borderId="3" xfId="0" applyFont="1" applyBorder="1" applyAlignment="1">
      <alignment horizontal="left"/>
    </xf>
    <xf numFmtId="0" fontId="23" fillId="0" borderId="5" xfId="0" applyFont="1" applyBorder="1"/>
    <xf numFmtId="0" fontId="23" fillId="3" borderId="1" xfId="0" applyFont="1" applyFill="1" applyBorder="1"/>
    <xf numFmtId="0" fontId="23" fillId="0" borderId="1" xfId="0" applyFont="1" applyBorder="1" applyAlignment="1">
      <alignment horizontal="center"/>
    </xf>
    <xf numFmtId="0" fontId="23" fillId="0" borderId="1" xfId="0" applyFont="1" applyBorder="1"/>
    <xf numFmtId="0" fontId="23" fillId="0" borderId="1" xfId="0" applyFont="1" applyBorder="1" applyAlignment="1">
      <alignment horizontal="left"/>
    </xf>
    <xf numFmtId="0" fontId="23" fillId="0" borderId="7" xfId="0" applyFont="1" applyBorder="1"/>
    <xf numFmtId="0" fontId="23" fillId="0" borderId="8" xfId="0" applyFont="1" applyBorder="1" applyAlignment="1">
      <alignment horizontal="center"/>
    </xf>
    <xf numFmtId="0" fontId="23" fillId="0" borderId="8" xfId="0" applyFont="1" applyBorder="1"/>
    <xf numFmtId="0" fontId="24" fillId="2" borderId="21" xfId="0" applyFont="1" applyFill="1" applyBorder="1" applyAlignment="1">
      <alignment horizontal="center" wrapText="1"/>
    </xf>
    <xf numFmtId="0" fontId="24" fillId="2" borderId="27" xfId="0" applyFont="1" applyFill="1" applyBorder="1" applyAlignment="1">
      <alignment horizontal="center" wrapText="1"/>
    </xf>
    <xf numFmtId="0" fontId="24" fillId="2" borderId="27" xfId="0" applyFont="1" applyFill="1" applyBorder="1" applyAlignment="1">
      <alignment horizontal="center"/>
    </xf>
    <xf numFmtId="0" fontId="23" fillId="0" borderId="1" xfId="0" applyFont="1" applyBorder="1" applyAlignment="1">
      <alignment wrapText="1"/>
    </xf>
    <xf numFmtId="0" fontId="23" fillId="0" borderId="29" xfId="0" applyFont="1" applyBorder="1" applyAlignment="1">
      <alignment horizontal="center"/>
    </xf>
    <xf numFmtId="0" fontId="23" fillId="0" borderId="19" xfId="0" applyFont="1" applyBorder="1" applyAlignment="1">
      <alignment horizontal="center"/>
    </xf>
    <xf numFmtId="0" fontId="23" fillId="3" borderId="9" xfId="0" applyFont="1" applyFill="1" applyBorder="1"/>
    <xf numFmtId="0" fontId="24" fillId="2" borderId="34" xfId="0" applyFont="1" applyFill="1" applyBorder="1" applyAlignment="1">
      <alignment horizontal="center" wrapText="1"/>
    </xf>
    <xf numFmtId="0" fontId="24" fillId="2" borderId="29" xfId="0" applyFont="1" applyFill="1" applyBorder="1" applyAlignment="1">
      <alignment horizontal="center" wrapText="1"/>
    </xf>
    <xf numFmtId="0" fontId="24" fillId="2" borderId="29" xfId="0" applyFont="1" applyFill="1" applyBorder="1" applyAlignment="1">
      <alignment horizontal="center"/>
    </xf>
    <xf numFmtId="0" fontId="24" fillId="2" borderId="35" xfId="0" applyFont="1" applyFill="1" applyBorder="1" applyAlignment="1">
      <alignment horizontal="center" wrapText="1"/>
    </xf>
    <xf numFmtId="0" fontId="23" fillId="0" borderId="1" xfId="0" applyFont="1" applyBorder="1" applyAlignment="1">
      <alignment horizontal="center" wrapText="1"/>
    </xf>
    <xf numFmtId="0" fontId="23" fillId="0" borderId="7" xfId="0" applyFont="1" applyBorder="1" applyAlignment="1">
      <alignment horizontal="left"/>
    </xf>
    <xf numFmtId="0" fontId="23" fillId="0" borderId="5" xfId="0" applyFont="1" applyBorder="1" applyAlignment="1">
      <alignment horizontal="left"/>
    </xf>
    <xf numFmtId="0" fontId="23" fillId="0" borderId="34" xfId="0" applyFont="1" applyBorder="1"/>
    <xf numFmtId="0" fontId="23" fillId="0" borderId="29" xfId="0" applyFont="1" applyBorder="1"/>
    <xf numFmtId="0" fontId="23" fillId="0" borderId="2" xfId="0" applyFont="1" applyBorder="1" applyAlignment="1">
      <alignment horizontal="left"/>
    </xf>
    <xf numFmtId="0" fontId="23" fillId="0" borderId="36" xfId="0" applyFont="1" applyBorder="1" applyAlignment="1">
      <alignment horizontal="left"/>
    </xf>
    <xf numFmtId="0" fontId="23" fillId="0" borderId="19" xfId="0" applyFont="1" applyBorder="1" applyAlignment="1">
      <alignment horizontal="left"/>
    </xf>
    <xf numFmtId="0" fontId="23" fillId="0" borderId="22" xfId="0" applyFont="1" applyBorder="1" applyAlignment="1">
      <alignment horizontal="left"/>
    </xf>
    <xf numFmtId="0" fontId="23" fillId="0" borderId="20" xfId="0" applyFont="1" applyBorder="1" applyAlignment="1">
      <alignment horizontal="center"/>
    </xf>
    <xf numFmtId="0" fontId="23" fillId="0" borderId="1" xfId="0" applyFont="1" applyBorder="1" applyAlignment="1">
      <alignment horizontal="left" wrapText="1"/>
    </xf>
    <xf numFmtId="0" fontId="23" fillId="0" borderId="1" xfId="0" quotePrefix="1" applyFont="1" applyBorder="1" applyAlignment="1">
      <alignment horizontal="center" wrapText="1"/>
    </xf>
    <xf numFmtId="0" fontId="23" fillId="0" borderId="8" xfId="0" quotePrefix="1" applyFont="1" applyBorder="1" applyAlignment="1">
      <alignment horizontal="center"/>
    </xf>
    <xf numFmtId="0" fontId="23" fillId="0" borderId="36" xfId="0" applyFont="1" applyBorder="1"/>
    <xf numFmtId="0" fontId="23" fillId="0" borderId="19" xfId="0" applyFont="1" applyBorder="1"/>
    <xf numFmtId="0" fontId="23" fillId="0" borderId="3" xfId="0" applyFont="1" applyBorder="1" applyAlignment="1">
      <alignment wrapText="1"/>
    </xf>
    <xf numFmtId="0" fontId="23" fillId="0" borderId="6" xfId="0" applyFont="1" applyBorder="1" applyAlignment="1">
      <alignment horizontal="left"/>
    </xf>
    <xf numFmtId="0" fontId="24" fillId="2" borderId="28" xfId="0" applyFont="1" applyFill="1" applyBorder="1" applyAlignment="1">
      <alignment horizontal="center" wrapText="1"/>
    </xf>
    <xf numFmtId="0" fontId="23" fillId="0" borderId="35" xfId="0" applyFont="1" applyBorder="1" applyAlignment="1">
      <alignment horizontal="left"/>
    </xf>
    <xf numFmtId="0" fontId="23" fillId="0" borderId="4" xfId="0" applyFont="1" applyBorder="1" applyAlignment="1">
      <alignment horizontal="left"/>
    </xf>
    <xf numFmtId="0" fontId="23" fillId="0" borderId="9" xfId="0" applyFont="1" applyBorder="1" applyAlignment="1">
      <alignment horizontal="left"/>
    </xf>
    <xf numFmtId="0" fontId="23" fillId="0" borderId="37" xfId="0" applyFont="1" applyBorder="1" applyAlignment="1">
      <alignment horizontal="left"/>
    </xf>
    <xf numFmtId="0" fontId="23" fillId="0" borderId="23" xfId="0" applyFont="1" applyBorder="1" applyAlignment="1">
      <alignment horizontal="left"/>
    </xf>
    <xf numFmtId="0" fontId="23" fillId="0" borderId="9" xfId="0" applyFont="1" applyBorder="1" applyAlignment="1">
      <alignment horizontal="center"/>
    </xf>
    <xf numFmtId="0" fontId="23" fillId="0" borderId="6" xfId="0" quotePrefix="1" applyFont="1" applyBorder="1" applyAlignment="1">
      <alignment horizontal="left"/>
    </xf>
    <xf numFmtId="0" fontId="0" fillId="0" borderId="0" xfId="0" applyAlignment="1">
      <alignment wrapText="1"/>
    </xf>
    <xf numFmtId="0" fontId="24" fillId="2" borderId="39" xfId="0" applyFont="1" applyFill="1" applyBorder="1" applyAlignment="1">
      <alignment horizontal="center" wrapText="1"/>
    </xf>
    <xf numFmtId="0" fontId="24" fillId="2" borderId="38" xfId="0" applyFont="1" applyFill="1" applyBorder="1" applyAlignment="1">
      <alignment horizontal="center" wrapText="1"/>
    </xf>
    <xf numFmtId="0" fontId="23" fillId="0" borderId="1" xfId="0" applyFont="1" applyBorder="1" applyAlignment="1">
      <alignment horizontal="left" vertical="top" wrapText="1"/>
    </xf>
    <xf numFmtId="0" fontId="23" fillId="0" borderId="38" xfId="0" applyFont="1" applyBorder="1" applyAlignment="1">
      <alignment horizontal="left" wrapText="1"/>
    </xf>
    <xf numFmtId="0" fontId="0" fillId="0" borderId="20" xfId="0" applyBorder="1" applyAlignment="1">
      <alignment wrapText="1"/>
    </xf>
    <xf numFmtId="0" fontId="25" fillId="0" borderId="6" xfId="0" applyFont="1" applyBorder="1" applyAlignment="1">
      <alignment horizontal="left"/>
    </xf>
    <xf numFmtId="0" fontId="0" fillId="0" borderId="1" xfId="0" applyBorder="1" applyAlignment="1">
      <alignment horizontal="left" wrapText="1"/>
    </xf>
    <xf numFmtId="0" fontId="0" fillId="0" borderId="1" xfId="0" applyBorder="1" applyAlignment="1">
      <alignment horizontal="left"/>
    </xf>
    <xf numFmtId="0" fontId="0" fillId="0" borderId="6" xfId="0" applyBorder="1" applyAlignment="1">
      <alignment horizontal="left"/>
    </xf>
    <xf numFmtId="0" fontId="0" fillId="0" borderId="8" xfId="0" applyBorder="1" applyAlignment="1">
      <alignment horizontal="left" wrapText="1"/>
    </xf>
    <xf numFmtId="0" fontId="0" fillId="0" borderId="8" xfId="0" applyBorder="1" applyAlignment="1">
      <alignment horizontal="left"/>
    </xf>
    <xf numFmtId="0" fontId="0" fillId="0" borderId="9" xfId="0" applyBorder="1" applyAlignment="1">
      <alignment horizontal="left"/>
    </xf>
    <xf numFmtId="0" fontId="1" fillId="0" borderId="27" xfId="0" applyFont="1" applyBorder="1" applyAlignment="1">
      <alignment horizontal="left"/>
    </xf>
    <xf numFmtId="0" fontId="1" fillId="0" borderId="28" xfId="0" applyFont="1"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0" xfId="0" applyBorder="1" applyAlignment="1">
      <alignment vertical="center"/>
    </xf>
    <xf numFmtId="0" fontId="0" fillId="0" borderId="23" xfId="0" applyBorder="1" applyAlignment="1">
      <alignmen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vertical="center"/>
    </xf>
    <xf numFmtId="0" fontId="0" fillId="0" borderId="9" xfId="0" applyBorder="1" applyAlignment="1">
      <alignment vertical="center"/>
    </xf>
    <xf numFmtId="0" fontId="21" fillId="2" borderId="33" xfId="0" applyFont="1" applyFill="1" applyBorder="1" applyAlignment="1">
      <alignment horizontal="left" vertical="center" wrapText="1"/>
    </xf>
    <xf numFmtId="0" fontId="21" fillId="2" borderId="31" xfId="0" applyFont="1" applyFill="1" applyBorder="1" applyAlignment="1">
      <alignment horizontal="left" vertical="center" wrapText="1"/>
    </xf>
    <xf numFmtId="0" fontId="21" fillId="2" borderId="32" xfId="0" applyFont="1" applyFill="1" applyBorder="1" applyAlignment="1">
      <alignment horizontal="left" vertical="center" wrapText="1"/>
    </xf>
    <xf numFmtId="0" fontId="0" fillId="0" borderId="30" xfId="0" applyBorder="1" applyAlignment="1"/>
    <xf numFmtId="0" fontId="0" fillId="0" borderId="31" xfId="0" applyBorder="1" applyAlignment="1"/>
    <xf numFmtId="0" fontId="0" fillId="0" borderId="32" xfId="0" applyBorder="1" applyAlignment="1"/>
    <xf numFmtId="0" fontId="0" fillId="0" borderId="27" xfId="0" applyBorder="1" applyAlignment="1"/>
    <xf numFmtId="0" fontId="0" fillId="0" borderId="28" xfId="0" applyBorder="1" applyAlignment="1"/>
    <xf numFmtId="0" fontId="0" fillId="0" borderId="20" xfId="0" applyBorder="1" applyAlignment="1"/>
    <xf numFmtId="0" fontId="0" fillId="0" borderId="23" xfId="0" applyBorder="1" applyAlignment="1"/>
  </cellXfs>
  <cellStyles count="46">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2" xfId="45" xr:uid="{00000000-0005-0000-0000-000021000000}"/>
    <cellStyle name="Input" xfId="11" builtinId="20" customBuiltin="1"/>
    <cellStyle name="Linked Cell" xfId="14" builtinId="24" customBuiltin="1"/>
    <cellStyle name="Neutral" xfId="10" builtinId="28" customBuiltin="1"/>
    <cellStyle name="Normal" xfId="0" builtinId="0"/>
    <cellStyle name="Normal 2" xfId="1" xr:uid="{00000000-0005-0000-0000-000026000000}"/>
    <cellStyle name="Normal 2 3" xfId="44" xr:uid="{00000000-0005-0000-0000-000027000000}"/>
    <cellStyle name="Normal 3" xfId="2" xr:uid="{00000000-0005-0000-0000-000028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eed, Linda A" id="{117E6D4A-1F85-4603-A49B-8B104B1D0C18}" userId="lareed3@mercy.net" providerId="PeoplePicker"/>
  <person displayName="Peterson, Aaron L" id="{5062DC3E-2C1B-4115-A0F2-51EFA4D81742}" userId="S::alpeter2@mercy.net::b120b4e7-bbd6-4f04-bc7c-947b9e9b1b4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2-06-30T15:15:36.64" personId="{5062DC3E-2C1B-4115-A0F2-51EFA4D81742}" id="{1BF0847C-D492-4BA7-A502-13FE98F9A7C7}">
    <text xml:space="preserve">@Reed, Linda A </text>
    <mentions>
      <mention mentionpersonId="{117E6D4A-1F85-4603-A49B-8B104B1D0C18}" mentionId="{6C5A9DCD-CA82-4003-B4A1-F867D423D5C6}" startIndex="0" length="14"/>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G28"/>
  <sheetViews>
    <sheetView topLeftCell="A15" zoomScaleNormal="100" workbookViewId="0">
      <selection activeCell="C11" sqref="C11:G11"/>
    </sheetView>
  </sheetViews>
  <sheetFormatPr defaultColWidth="9.140625" defaultRowHeight="15"/>
  <cols>
    <col min="1" max="1" width="29.28515625" style="2" customWidth="1"/>
    <col min="2" max="4" width="10.7109375" style="2" customWidth="1"/>
    <col min="5" max="5" width="50.28515625" customWidth="1"/>
    <col min="6" max="6" width="29.28515625" customWidth="1"/>
  </cols>
  <sheetData>
    <row r="1" spans="1:7" ht="23.25">
      <c r="A1" s="3" t="s">
        <v>0</v>
      </c>
      <c r="B1"/>
      <c r="C1"/>
      <c r="D1"/>
    </row>
    <row r="2" spans="1:7" ht="15.75" thickBot="1">
      <c r="A2" s="11"/>
      <c r="B2"/>
      <c r="C2"/>
      <c r="D2"/>
    </row>
    <row r="3" spans="1:7" ht="15.75" thickBot="1">
      <c r="A3" s="12" t="s">
        <v>1</v>
      </c>
      <c r="B3" s="103"/>
      <c r="C3" s="104"/>
      <c r="D3" s="104"/>
      <c r="E3" s="104"/>
      <c r="F3" s="104"/>
      <c r="G3" s="105"/>
    </row>
    <row r="4" spans="1:7">
      <c r="A4" s="22" t="s">
        <v>2</v>
      </c>
      <c r="B4" s="94" t="s">
        <v>3</v>
      </c>
      <c r="C4" s="94"/>
      <c r="D4" s="94"/>
      <c r="E4" s="94"/>
      <c r="F4" s="94"/>
      <c r="G4" s="95"/>
    </row>
    <row r="5" spans="1:7">
      <c r="A5" s="23" t="s">
        <v>4</v>
      </c>
      <c r="B5" s="96" t="s">
        <v>5</v>
      </c>
      <c r="C5" s="96"/>
      <c r="D5" s="96"/>
      <c r="E5" s="96"/>
      <c r="F5" s="96"/>
      <c r="G5" s="97"/>
    </row>
    <row r="6" spans="1:7" ht="15.75" thickBot="1">
      <c r="A6" s="24" t="s">
        <v>6</v>
      </c>
      <c r="B6" s="98" t="s">
        <v>7</v>
      </c>
      <c r="C6" s="98"/>
      <c r="D6" s="98"/>
      <c r="E6" s="98"/>
      <c r="F6" s="98"/>
      <c r="G6" s="99"/>
    </row>
    <row r="7" spans="1:7" ht="15.75" thickBot="1">
      <c r="A7" s="11"/>
      <c r="B7"/>
      <c r="C7"/>
      <c r="D7"/>
    </row>
    <row r="8" spans="1:7" ht="15.75" thickBot="1">
      <c r="A8" s="7" t="s">
        <v>8</v>
      </c>
      <c r="B8" s="9" t="s">
        <v>9</v>
      </c>
      <c r="C8" s="89" t="s">
        <v>10</v>
      </c>
      <c r="D8" s="89"/>
      <c r="E8" s="89"/>
      <c r="F8" s="89"/>
      <c r="G8" s="90"/>
    </row>
    <row r="9" spans="1:7">
      <c r="A9" s="14" t="s">
        <v>11</v>
      </c>
      <c r="B9" s="6">
        <v>1</v>
      </c>
      <c r="C9" s="91" t="s">
        <v>12</v>
      </c>
      <c r="D9" s="92"/>
      <c r="E9" s="92"/>
      <c r="F9" s="92"/>
      <c r="G9" s="93"/>
    </row>
    <row r="10" spans="1:7">
      <c r="A10" s="15" t="s">
        <v>6</v>
      </c>
      <c r="B10" s="5" t="s">
        <v>13</v>
      </c>
      <c r="C10" s="84" t="s">
        <v>14</v>
      </c>
      <c r="D10" s="84"/>
      <c r="E10" s="84"/>
      <c r="F10" s="84"/>
      <c r="G10" s="85"/>
    </row>
    <row r="11" spans="1:7">
      <c r="A11" s="16" t="s">
        <v>15</v>
      </c>
      <c r="B11" s="5">
        <v>1</v>
      </c>
      <c r="C11" s="84" t="s">
        <v>16</v>
      </c>
      <c r="D11" s="84"/>
      <c r="E11" s="84"/>
      <c r="F11" s="84"/>
      <c r="G11" s="85"/>
    </row>
    <row r="12" spans="1:7">
      <c r="A12" s="17" t="s">
        <v>17</v>
      </c>
      <c r="B12" s="5">
        <v>1</v>
      </c>
      <c r="C12" s="84" t="s">
        <v>18</v>
      </c>
      <c r="D12" s="84"/>
      <c r="E12" s="84"/>
      <c r="F12" s="84"/>
      <c r="G12" s="85"/>
    </row>
    <row r="13" spans="1:7" ht="15.75" thickBot="1">
      <c r="A13" s="18" t="s">
        <v>19</v>
      </c>
      <c r="B13" s="1">
        <v>1</v>
      </c>
      <c r="C13" s="87" t="s">
        <v>20</v>
      </c>
      <c r="D13" s="87"/>
      <c r="E13" s="87"/>
      <c r="F13" s="87"/>
      <c r="G13" s="88"/>
    </row>
    <row r="14" spans="1:7" ht="15.75" thickBot="1">
      <c r="A14" s="8"/>
      <c r="C14" s="4"/>
      <c r="D14" s="4"/>
      <c r="E14" s="4"/>
      <c r="F14" s="4"/>
      <c r="G14" s="4"/>
    </row>
    <row r="15" spans="1:7" ht="15.75" thickBot="1">
      <c r="A15" s="10" t="s">
        <v>21</v>
      </c>
      <c r="B15" s="106" t="s">
        <v>22</v>
      </c>
      <c r="C15" s="106"/>
      <c r="D15" s="106"/>
      <c r="E15" s="106"/>
      <c r="F15" s="106"/>
      <c r="G15" s="107"/>
    </row>
    <row r="16" spans="1:7">
      <c r="A16" s="19" t="s">
        <v>23</v>
      </c>
      <c r="B16" s="108" t="s">
        <v>24</v>
      </c>
      <c r="C16" s="108"/>
      <c r="D16" s="108"/>
      <c r="E16" s="108"/>
      <c r="F16" s="108"/>
      <c r="G16" s="109"/>
    </row>
    <row r="17" spans="1:7" ht="57.6" customHeight="1">
      <c r="A17" s="20" t="s">
        <v>25</v>
      </c>
      <c r="B17" s="83" t="s">
        <v>26</v>
      </c>
      <c r="C17" s="84"/>
      <c r="D17" s="84"/>
      <c r="E17" s="84"/>
      <c r="F17" s="84"/>
      <c r="G17" s="85"/>
    </row>
    <row r="18" spans="1:7" ht="28.9" customHeight="1">
      <c r="A18" s="20" t="s">
        <v>27</v>
      </c>
      <c r="B18" s="83" t="s">
        <v>28</v>
      </c>
      <c r="C18" s="84"/>
      <c r="D18" s="84"/>
      <c r="E18" s="84"/>
      <c r="F18" s="84"/>
      <c r="G18" s="85"/>
    </row>
    <row r="19" spans="1:7" ht="29.45" customHeight="1" thickBot="1">
      <c r="A19" s="21" t="s">
        <v>29</v>
      </c>
      <c r="B19" s="86" t="s">
        <v>30</v>
      </c>
      <c r="C19" s="87"/>
      <c r="D19" s="87"/>
      <c r="E19" s="87"/>
      <c r="F19" s="87"/>
      <c r="G19" s="88"/>
    </row>
    <row r="21" spans="1:7">
      <c r="A21" s="13"/>
    </row>
    <row r="22" spans="1:7">
      <c r="A22"/>
    </row>
    <row r="23" spans="1:7">
      <c r="A23"/>
    </row>
    <row r="24" spans="1:7">
      <c r="A24"/>
    </row>
    <row r="25" spans="1:7">
      <c r="A25"/>
    </row>
    <row r="26" spans="1:7">
      <c r="A26"/>
    </row>
    <row r="27" spans="1:7">
      <c r="A27"/>
    </row>
    <row r="28" spans="1:7">
      <c r="A28"/>
    </row>
  </sheetData>
  <mergeCells count="15">
    <mergeCell ref="B4:G4"/>
    <mergeCell ref="B5:G5"/>
    <mergeCell ref="B6:G6"/>
    <mergeCell ref="B3:G3"/>
    <mergeCell ref="B16:G16"/>
    <mergeCell ref="B17:G17"/>
    <mergeCell ref="B18:G18"/>
    <mergeCell ref="B19:G19"/>
    <mergeCell ref="B15:G15"/>
    <mergeCell ref="C8:G8"/>
    <mergeCell ref="C10:G10"/>
    <mergeCell ref="C11:G11"/>
    <mergeCell ref="C12:G12"/>
    <mergeCell ref="C13:G13"/>
    <mergeCell ref="C9:G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7194-C8EA-4BF5-95D0-6FDC1FF9CBD2}">
  <dimension ref="A1:C1"/>
  <sheetViews>
    <sheetView topLeftCell="A62" workbookViewId="0">
      <selection activeCell="B6" sqref="B6"/>
    </sheetView>
  </sheetViews>
  <sheetFormatPr defaultRowHeight="15"/>
  <cols>
    <col min="1" max="1" width="134.85546875" customWidth="1"/>
  </cols>
  <sheetData>
    <row r="1" spans="1:3" ht="270">
      <c r="A1" s="76" t="s">
        <v>31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election activeCell="I11" sqref="I11"/>
    </sheetView>
  </sheetViews>
  <sheetFormatPr defaultColWidth="8.85546875" defaultRowHeight="15"/>
  <cols>
    <col min="1" max="1" width="29.28515625" customWidth="1"/>
    <col min="2" max="2" width="7.42578125" bestFit="1" customWidth="1"/>
    <col min="3" max="3" width="9" bestFit="1" customWidth="1"/>
    <col min="4" max="4" width="7.85546875" bestFit="1" customWidth="1"/>
    <col min="5" max="5" width="50.28515625" customWidth="1"/>
    <col min="6" max="6" width="29.28515625" customWidth="1"/>
  </cols>
  <sheetData>
    <row r="1" spans="1:6" ht="24.6" customHeight="1" thickBot="1">
      <c r="A1" s="100" t="s">
        <v>32</v>
      </c>
      <c r="B1" s="101"/>
      <c r="C1" s="101"/>
      <c r="D1" s="101"/>
      <c r="E1" s="101"/>
      <c r="F1" s="102"/>
    </row>
    <row r="2" spans="1:6" ht="15.75" thickBot="1"/>
    <row r="3" spans="1:6" ht="39.75" thickBot="1">
      <c r="A3" s="47" t="s">
        <v>33</v>
      </c>
      <c r="B3" s="48" t="s">
        <v>34</v>
      </c>
      <c r="C3" s="48" t="s">
        <v>35</v>
      </c>
      <c r="D3" s="48" t="s">
        <v>36</v>
      </c>
      <c r="E3" s="49" t="s">
        <v>10</v>
      </c>
      <c r="F3" s="50" t="s">
        <v>37</v>
      </c>
    </row>
    <row r="4" spans="1:6">
      <c r="A4" s="27" t="s">
        <v>38</v>
      </c>
      <c r="B4" s="29">
        <v>1</v>
      </c>
      <c r="C4" s="29">
        <v>3</v>
      </c>
      <c r="D4" s="29" t="s">
        <v>39</v>
      </c>
      <c r="E4" s="30" t="s">
        <v>40</v>
      </c>
      <c r="F4" s="70" t="s">
        <v>11</v>
      </c>
    </row>
    <row r="5" spans="1:6" ht="26.25">
      <c r="A5" s="32" t="s">
        <v>41</v>
      </c>
      <c r="B5" s="33"/>
      <c r="C5" s="34">
        <v>1</v>
      </c>
      <c r="D5" s="34" t="s">
        <v>39</v>
      </c>
      <c r="E5" s="43" t="s">
        <v>42</v>
      </c>
      <c r="F5" s="67" t="s">
        <v>43</v>
      </c>
    </row>
    <row r="6" spans="1:6">
      <c r="A6" s="32" t="s">
        <v>44</v>
      </c>
      <c r="B6" s="34">
        <f>B4+1</f>
        <v>2</v>
      </c>
      <c r="C6" s="34">
        <v>4</v>
      </c>
      <c r="D6" s="34" t="s">
        <v>39</v>
      </c>
      <c r="E6" s="35" t="s">
        <v>45</v>
      </c>
      <c r="F6" s="67" t="s">
        <v>46</v>
      </c>
    </row>
    <row r="7" spans="1:6">
      <c r="A7" s="32" t="s">
        <v>2</v>
      </c>
      <c r="B7" s="34">
        <f>B6+1</f>
        <v>3</v>
      </c>
      <c r="C7" s="34">
        <v>7</v>
      </c>
      <c r="D7" s="34" t="s">
        <v>39</v>
      </c>
      <c r="E7" s="35" t="s">
        <v>47</v>
      </c>
      <c r="F7" s="67" t="s">
        <v>48</v>
      </c>
    </row>
    <row r="8" spans="1:6">
      <c r="A8" s="32" t="s">
        <v>49</v>
      </c>
      <c r="B8" s="34">
        <f t="shared" ref="B8:B17" si="0">B7+1</f>
        <v>4</v>
      </c>
      <c r="C8" s="34">
        <v>3</v>
      </c>
      <c r="D8" s="34" t="s">
        <v>39</v>
      </c>
      <c r="E8" s="35" t="s">
        <v>50</v>
      </c>
      <c r="F8" s="75" t="s">
        <v>51</v>
      </c>
    </row>
    <row r="9" spans="1:6">
      <c r="A9" s="32" t="s">
        <v>52</v>
      </c>
      <c r="B9" s="34">
        <f t="shared" si="0"/>
        <v>5</v>
      </c>
      <c r="C9" s="34">
        <v>1</v>
      </c>
      <c r="D9" s="34" t="s">
        <v>39</v>
      </c>
      <c r="E9" s="35" t="s">
        <v>53</v>
      </c>
      <c r="F9" s="75" t="s">
        <v>54</v>
      </c>
    </row>
    <row r="10" spans="1:6">
      <c r="A10" s="32" t="s">
        <v>55</v>
      </c>
      <c r="B10" s="34">
        <f t="shared" si="0"/>
        <v>6</v>
      </c>
      <c r="C10" s="34">
        <v>8</v>
      </c>
      <c r="D10" s="34" t="s">
        <v>39</v>
      </c>
      <c r="E10" s="35" t="s">
        <v>56</v>
      </c>
      <c r="F10" s="67" t="s">
        <v>57</v>
      </c>
    </row>
    <row r="11" spans="1:6">
      <c r="A11" s="32" t="s">
        <v>58</v>
      </c>
      <c r="B11" s="34">
        <f t="shared" si="0"/>
        <v>7</v>
      </c>
      <c r="C11" s="34">
        <v>20</v>
      </c>
      <c r="D11" s="34" t="s">
        <v>39</v>
      </c>
      <c r="E11" s="35" t="s">
        <v>59</v>
      </c>
      <c r="F11" s="82" t="s">
        <v>60</v>
      </c>
    </row>
    <row r="12" spans="1:6">
      <c r="A12" s="32" t="s">
        <v>61</v>
      </c>
      <c r="B12" s="34">
        <f t="shared" si="0"/>
        <v>8</v>
      </c>
      <c r="C12" s="34">
        <v>55</v>
      </c>
      <c r="D12" s="34" t="s">
        <v>39</v>
      </c>
      <c r="E12" s="35" t="s">
        <v>62</v>
      </c>
      <c r="F12" s="82" t="s">
        <v>63</v>
      </c>
    </row>
    <row r="13" spans="1:6">
      <c r="A13" s="32" t="s">
        <v>64</v>
      </c>
      <c r="B13" s="34">
        <f t="shared" si="0"/>
        <v>9</v>
      </c>
      <c r="C13" s="34">
        <v>60</v>
      </c>
      <c r="D13" s="34" t="s">
        <v>39</v>
      </c>
      <c r="E13" s="35" t="s">
        <v>65</v>
      </c>
      <c r="F13" s="82" t="s">
        <v>66</v>
      </c>
    </row>
    <row r="14" spans="1:6">
      <c r="A14" s="32" t="s">
        <v>67</v>
      </c>
      <c r="B14" s="34">
        <f t="shared" si="0"/>
        <v>10</v>
      </c>
      <c r="C14" s="34">
        <v>55</v>
      </c>
      <c r="D14" s="34" t="s">
        <v>39</v>
      </c>
      <c r="E14" s="35" t="s">
        <v>68</v>
      </c>
      <c r="F14" s="82" t="s">
        <v>69</v>
      </c>
    </row>
    <row r="15" spans="1:6">
      <c r="A15" s="32" t="s">
        <v>70</v>
      </c>
      <c r="B15" s="34">
        <f t="shared" si="0"/>
        <v>11</v>
      </c>
      <c r="C15" s="34">
        <v>30</v>
      </c>
      <c r="D15" s="34" t="s">
        <v>39</v>
      </c>
      <c r="E15" s="35" t="s">
        <v>71</v>
      </c>
      <c r="F15" s="82" t="s">
        <v>72</v>
      </c>
    </row>
    <row r="16" spans="1:6">
      <c r="A16" s="32" t="s">
        <v>73</v>
      </c>
      <c r="B16" s="34">
        <f t="shared" si="0"/>
        <v>12</v>
      </c>
      <c r="C16" s="34">
        <v>2</v>
      </c>
      <c r="D16" s="34" t="s">
        <v>39</v>
      </c>
      <c r="E16" s="35" t="s">
        <v>74</v>
      </c>
      <c r="F16" s="82" t="s">
        <v>75</v>
      </c>
    </row>
    <row r="17" spans="1:6">
      <c r="A17" s="32" t="s">
        <v>76</v>
      </c>
      <c r="B17" s="34">
        <f t="shared" si="0"/>
        <v>13</v>
      </c>
      <c r="C17" s="34">
        <v>10</v>
      </c>
      <c r="D17" s="34" t="s">
        <v>39</v>
      </c>
      <c r="E17" s="35" t="s">
        <v>77</v>
      </c>
      <c r="F17" s="82">
        <v>60601</v>
      </c>
    </row>
    <row r="18" spans="1:6" ht="15.75" thickBot="1">
      <c r="A18" s="37" t="s">
        <v>78</v>
      </c>
      <c r="B18" s="38">
        <v>14</v>
      </c>
      <c r="C18" s="38">
        <v>30</v>
      </c>
      <c r="D18" s="38" t="s">
        <v>79</v>
      </c>
      <c r="E18" s="39" t="s">
        <v>80</v>
      </c>
      <c r="F18" s="71"/>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
  <sheetViews>
    <sheetView tabSelected="1" topLeftCell="E1" zoomScaleNormal="100" workbookViewId="0">
      <selection activeCell="G6" sqref="G6"/>
    </sheetView>
  </sheetViews>
  <sheetFormatPr defaultRowHeight="15"/>
  <cols>
    <col min="1" max="1" width="29.28515625" customWidth="1"/>
    <col min="2" max="2" width="7.42578125" bestFit="1" customWidth="1"/>
    <col min="3" max="3" width="9" style="2" bestFit="1" customWidth="1"/>
    <col min="4" max="4" width="9.85546875" style="2" bestFit="1" customWidth="1"/>
    <col min="5" max="5" width="50.28515625" customWidth="1"/>
    <col min="6" max="6" width="29.28515625" customWidth="1"/>
    <col min="7" max="7" width="43.42578125" customWidth="1"/>
  </cols>
  <sheetData>
    <row r="1" spans="1:7" ht="24.6" customHeight="1" thickBot="1">
      <c r="A1" s="100" t="s">
        <v>81</v>
      </c>
      <c r="B1" s="101"/>
      <c r="C1" s="101"/>
      <c r="D1" s="101"/>
      <c r="E1" s="101"/>
      <c r="F1" s="101"/>
      <c r="G1" s="101"/>
    </row>
    <row r="2" spans="1:7" ht="15.75" thickBot="1"/>
    <row r="3" spans="1:7" ht="39.75" thickBot="1">
      <c r="A3" s="47" t="s">
        <v>33</v>
      </c>
      <c r="B3" s="48" t="s">
        <v>34</v>
      </c>
      <c r="C3" s="48" t="s">
        <v>35</v>
      </c>
      <c r="D3" s="48" t="s">
        <v>36</v>
      </c>
      <c r="E3" s="49" t="s">
        <v>10</v>
      </c>
      <c r="F3" s="77" t="s">
        <v>37</v>
      </c>
      <c r="G3" s="78" t="s">
        <v>82</v>
      </c>
    </row>
    <row r="4" spans="1:7" ht="45">
      <c r="A4" s="27" t="s">
        <v>83</v>
      </c>
      <c r="B4" s="29">
        <v>1</v>
      </c>
      <c r="C4" s="29">
        <v>3</v>
      </c>
      <c r="D4" s="29" t="s">
        <v>39</v>
      </c>
      <c r="E4" s="30" t="s">
        <v>84</v>
      </c>
      <c r="F4" s="31" t="s">
        <v>15</v>
      </c>
      <c r="G4" s="81" t="s">
        <v>85</v>
      </c>
    </row>
    <row r="5" spans="1:7">
      <c r="A5" s="32" t="s">
        <v>86</v>
      </c>
      <c r="B5" s="34">
        <f>B4+1</f>
        <v>2</v>
      </c>
      <c r="C5" s="34">
        <v>50</v>
      </c>
      <c r="D5" s="34" t="s">
        <v>39</v>
      </c>
      <c r="E5" s="35" t="s">
        <v>87</v>
      </c>
      <c r="F5" s="36" t="s">
        <v>88</v>
      </c>
      <c r="G5" s="33"/>
    </row>
    <row r="6" spans="1:7" ht="53.25">
      <c r="A6" s="32" t="s">
        <v>89</v>
      </c>
      <c r="B6" s="34">
        <f t="shared" ref="B6:B37" si="0">B5+1</f>
        <v>3</v>
      </c>
      <c r="C6" s="34">
        <v>20</v>
      </c>
      <c r="D6" s="34" t="s">
        <v>39</v>
      </c>
      <c r="E6" s="35" t="s">
        <v>90</v>
      </c>
      <c r="F6" s="61"/>
      <c r="G6" s="79" t="s">
        <v>91</v>
      </c>
    </row>
    <row r="7" spans="1:7" ht="40.5">
      <c r="A7" s="32" t="s">
        <v>92</v>
      </c>
      <c r="B7" s="34">
        <f t="shared" si="0"/>
        <v>4</v>
      </c>
      <c r="C7" s="34">
        <v>20</v>
      </c>
      <c r="D7" s="34" t="s">
        <v>79</v>
      </c>
      <c r="E7" s="43" t="s">
        <v>93</v>
      </c>
      <c r="F7" s="36"/>
      <c r="G7" s="33"/>
    </row>
    <row r="8" spans="1:7" ht="40.5">
      <c r="A8" s="32" t="s">
        <v>94</v>
      </c>
      <c r="B8" s="34">
        <f t="shared" si="0"/>
        <v>5</v>
      </c>
      <c r="C8" s="34">
        <v>20</v>
      </c>
      <c r="D8" s="34" t="s">
        <v>79</v>
      </c>
      <c r="E8" s="43" t="s">
        <v>95</v>
      </c>
      <c r="F8" s="36"/>
      <c r="G8" s="33"/>
    </row>
    <row r="9" spans="1:7">
      <c r="A9" s="32" t="s">
        <v>96</v>
      </c>
      <c r="B9" s="34">
        <f t="shared" si="0"/>
        <v>6</v>
      </c>
      <c r="C9" s="34">
        <v>6</v>
      </c>
      <c r="D9" s="34" t="s">
        <v>39</v>
      </c>
      <c r="E9" s="35" t="s">
        <v>97</v>
      </c>
      <c r="F9" s="36" t="s">
        <v>98</v>
      </c>
      <c r="G9" s="34">
        <v>1</v>
      </c>
    </row>
    <row r="10" spans="1:7">
      <c r="A10" s="32" t="s">
        <v>99</v>
      </c>
      <c r="B10" s="34">
        <f t="shared" si="0"/>
        <v>7</v>
      </c>
      <c r="C10" s="34">
        <v>10</v>
      </c>
      <c r="D10" s="34" t="s">
        <v>100</v>
      </c>
      <c r="E10" s="35" t="s">
        <v>101</v>
      </c>
      <c r="F10" s="36"/>
      <c r="G10" s="33"/>
    </row>
    <row r="11" spans="1:7">
      <c r="A11" s="32" t="s">
        <v>102</v>
      </c>
      <c r="B11" s="34">
        <f t="shared" si="0"/>
        <v>8</v>
      </c>
      <c r="C11" s="34">
        <v>12</v>
      </c>
      <c r="D11" s="34" t="s">
        <v>39</v>
      </c>
      <c r="E11" s="35"/>
      <c r="F11" s="36"/>
      <c r="G11" s="33"/>
    </row>
    <row r="12" spans="1:7">
      <c r="A12" s="32" t="s">
        <v>103</v>
      </c>
      <c r="B12" s="34">
        <f t="shared" si="0"/>
        <v>9</v>
      </c>
      <c r="C12" s="34">
        <v>8</v>
      </c>
      <c r="D12" s="34" t="s">
        <v>39</v>
      </c>
      <c r="E12" s="35"/>
      <c r="F12" s="36" t="s">
        <v>57</v>
      </c>
      <c r="G12" s="33"/>
    </row>
    <row r="13" spans="1:7">
      <c r="A13" s="32" t="s">
        <v>104</v>
      </c>
      <c r="B13" s="34">
        <f t="shared" si="0"/>
        <v>10</v>
      </c>
      <c r="C13" s="34">
        <v>8</v>
      </c>
      <c r="D13" s="34" t="s">
        <v>39</v>
      </c>
      <c r="E13" s="35"/>
      <c r="F13" s="36" t="s">
        <v>57</v>
      </c>
      <c r="G13" s="33"/>
    </row>
    <row r="14" spans="1:7">
      <c r="A14" s="32" t="s">
        <v>105</v>
      </c>
      <c r="B14" s="34">
        <f t="shared" si="0"/>
        <v>11</v>
      </c>
      <c r="C14" s="34">
        <v>8</v>
      </c>
      <c r="D14" s="34" t="s">
        <v>39</v>
      </c>
      <c r="E14" s="35"/>
      <c r="F14" s="36" t="s">
        <v>57</v>
      </c>
      <c r="G14" s="33"/>
    </row>
    <row r="15" spans="1:7" ht="26.25">
      <c r="A15" s="53" t="s">
        <v>106</v>
      </c>
      <c r="B15" s="34">
        <f t="shared" si="0"/>
        <v>12</v>
      </c>
      <c r="C15" s="34">
        <v>2</v>
      </c>
      <c r="D15" s="34" t="s">
        <v>107</v>
      </c>
      <c r="E15" s="35" t="s">
        <v>108</v>
      </c>
      <c r="F15" s="36"/>
      <c r="G15" s="51" t="s">
        <v>109</v>
      </c>
    </row>
    <row r="16" spans="1:7">
      <c r="A16" s="32" t="s">
        <v>110</v>
      </c>
      <c r="B16" s="34">
        <f t="shared" si="0"/>
        <v>13</v>
      </c>
      <c r="C16" s="34">
        <v>10</v>
      </c>
      <c r="D16" s="34" t="s">
        <v>39</v>
      </c>
      <c r="E16" s="35"/>
      <c r="F16" s="36"/>
      <c r="G16" s="33"/>
    </row>
    <row r="17" spans="1:7">
      <c r="A17" s="32" t="s">
        <v>111</v>
      </c>
      <c r="B17" s="34">
        <f t="shared" si="0"/>
        <v>14</v>
      </c>
      <c r="C17" s="34">
        <v>50</v>
      </c>
      <c r="D17" s="34" t="s">
        <v>39</v>
      </c>
      <c r="E17" s="35"/>
      <c r="F17" s="36"/>
      <c r="G17" s="33"/>
    </row>
    <row r="18" spans="1:7">
      <c r="A18" s="32" t="s">
        <v>112</v>
      </c>
      <c r="B18" s="34">
        <f t="shared" si="0"/>
        <v>15</v>
      </c>
      <c r="C18" s="34">
        <v>60</v>
      </c>
      <c r="D18" s="34" t="s">
        <v>39</v>
      </c>
      <c r="E18" s="35"/>
      <c r="F18" s="36"/>
      <c r="G18" s="33"/>
    </row>
    <row r="19" spans="1:7">
      <c r="A19" s="32" t="s">
        <v>113</v>
      </c>
      <c r="B19" s="34">
        <f t="shared" si="0"/>
        <v>16</v>
      </c>
      <c r="C19" s="34">
        <v>55</v>
      </c>
      <c r="D19" s="34" t="s">
        <v>39</v>
      </c>
      <c r="E19" s="35"/>
      <c r="F19" s="36"/>
      <c r="G19" s="33"/>
    </row>
    <row r="20" spans="1:7">
      <c r="A20" s="32" t="s">
        <v>114</v>
      </c>
      <c r="B20" s="34">
        <f t="shared" si="0"/>
        <v>17</v>
      </c>
      <c r="C20" s="34">
        <v>30</v>
      </c>
      <c r="D20" s="34" t="s">
        <v>39</v>
      </c>
      <c r="E20" s="35"/>
      <c r="F20" s="36"/>
      <c r="G20" s="33"/>
    </row>
    <row r="21" spans="1:7">
      <c r="A21" s="32" t="s">
        <v>115</v>
      </c>
      <c r="B21" s="34">
        <f t="shared" si="0"/>
        <v>18</v>
      </c>
      <c r="C21" s="34">
        <v>2</v>
      </c>
      <c r="D21" s="34" t="s">
        <v>39</v>
      </c>
      <c r="E21" s="35"/>
      <c r="F21" s="36"/>
      <c r="G21" s="33"/>
    </row>
    <row r="22" spans="1:7">
      <c r="A22" s="32" t="s">
        <v>116</v>
      </c>
      <c r="B22" s="34">
        <f t="shared" si="0"/>
        <v>19</v>
      </c>
      <c r="C22" s="34">
        <v>10</v>
      </c>
      <c r="D22" s="34" t="s">
        <v>39</v>
      </c>
      <c r="E22" s="35"/>
      <c r="F22" s="36"/>
      <c r="G22" s="33"/>
    </row>
    <row r="23" spans="1:7">
      <c r="A23" s="32" t="s">
        <v>117</v>
      </c>
      <c r="B23" s="34">
        <f t="shared" si="0"/>
        <v>20</v>
      </c>
      <c r="C23" s="34">
        <v>80</v>
      </c>
      <c r="D23" s="34" t="s">
        <v>39</v>
      </c>
      <c r="E23" s="43"/>
      <c r="F23" s="36"/>
      <c r="G23" s="33"/>
    </row>
    <row r="24" spans="1:7">
      <c r="A24" s="32" t="s">
        <v>118</v>
      </c>
      <c r="B24" s="34">
        <f t="shared" si="0"/>
        <v>21</v>
      </c>
      <c r="C24" s="34">
        <v>60</v>
      </c>
      <c r="D24" s="34" t="s">
        <v>39</v>
      </c>
      <c r="E24" s="35"/>
      <c r="F24" s="36"/>
      <c r="G24" s="33"/>
    </row>
    <row r="25" spans="1:7">
      <c r="A25" s="32" t="s">
        <v>119</v>
      </c>
      <c r="B25" s="34">
        <f t="shared" si="0"/>
        <v>22</v>
      </c>
      <c r="C25" s="34">
        <v>35</v>
      </c>
      <c r="D25" s="34" t="s">
        <v>39</v>
      </c>
      <c r="E25" s="35"/>
      <c r="F25" s="36"/>
      <c r="G25" s="33"/>
    </row>
    <row r="26" spans="1:7">
      <c r="A26" s="32" t="s">
        <v>120</v>
      </c>
      <c r="B26" s="34">
        <f t="shared" si="0"/>
        <v>23</v>
      </c>
      <c r="C26" s="34">
        <v>55</v>
      </c>
      <c r="D26" s="34" t="s">
        <v>39</v>
      </c>
      <c r="E26" s="43"/>
      <c r="F26" s="36"/>
      <c r="G26" s="33"/>
    </row>
    <row r="27" spans="1:7">
      <c r="A27" s="32" t="s">
        <v>121</v>
      </c>
      <c r="B27" s="34">
        <f t="shared" si="0"/>
        <v>24</v>
      </c>
      <c r="C27" s="34">
        <v>30</v>
      </c>
      <c r="D27" s="34" t="s">
        <v>39</v>
      </c>
      <c r="E27" s="43"/>
      <c r="F27" s="36"/>
      <c r="G27" s="33"/>
    </row>
    <row r="28" spans="1:7">
      <c r="A28" s="32" t="s">
        <v>122</v>
      </c>
      <c r="B28" s="34">
        <f t="shared" si="0"/>
        <v>25</v>
      </c>
      <c r="C28" s="34">
        <v>2</v>
      </c>
      <c r="D28" s="34" t="s">
        <v>39</v>
      </c>
      <c r="E28" s="35"/>
      <c r="F28" s="36"/>
      <c r="G28" s="33"/>
    </row>
    <row r="29" spans="1:7">
      <c r="A29" s="32" t="s">
        <v>123</v>
      </c>
      <c r="B29" s="34">
        <f t="shared" si="0"/>
        <v>26</v>
      </c>
      <c r="C29" s="34">
        <v>10</v>
      </c>
      <c r="D29" s="34" t="s">
        <v>39</v>
      </c>
      <c r="E29" s="35"/>
      <c r="F29" s="36"/>
      <c r="G29" s="33"/>
    </row>
    <row r="30" spans="1:7">
      <c r="A30" s="32" t="s">
        <v>124</v>
      </c>
      <c r="B30" s="34">
        <f t="shared" si="0"/>
        <v>27</v>
      </c>
      <c r="C30" s="34">
        <v>1</v>
      </c>
      <c r="D30" s="34" t="s">
        <v>39</v>
      </c>
      <c r="E30" s="35"/>
      <c r="F30" s="36"/>
      <c r="G30" s="33"/>
    </row>
    <row r="31" spans="1:7">
      <c r="A31" s="32" t="s">
        <v>125</v>
      </c>
      <c r="B31" s="34">
        <f t="shared" si="0"/>
        <v>28</v>
      </c>
      <c r="C31" s="34">
        <v>2</v>
      </c>
      <c r="D31" s="34" t="s">
        <v>79</v>
      </c>
      <c r="E31" s="35"/>
      <c r="F31" s="36"/>
      <c r="G31" s="34" t="s">
        <v>126</v>
      </c>
    </row>
    <row r="32" spans="1:7" ht="15.75" thickBot="1">
      <c r="A32" s="64" t="s">
        <v>127</v>
      </c>
      <c r="B32" s="45">
        <f t="shared" si="0"/>
        <v>29</v>
      </c>
      <c r="C32" s="45">
        <v>7</v>
      </c>
      <c r="D32" s="45" t="s">
        <v>79</v>
      </c>
      <c r="E32" s="65"/>
      <c r="F32" s="58"/>
      <c r="G32" s="45" t="s">
        <v>128</v>
      </c>
    </row>
    <row r="33" spans="1:9" ht="26.25">
      <c r="A33" s="27" t="s">
        <v>129</v>
      </c>
      <c r="B33" s="44">
        <f t="shared" si="0"/>
        <v>30</v>
      </c>
      <c r="C33" s="29">
        <v>3</v>
      </c>
      <c r="D33" s="29" t="s">
        <v>107</v>
      </c>
      <c r="E33" s="66" t="s">
        <v>130</v>
      </c>
      <c r="F33" s="30" t="s">
        <v>131</v>
      </c>
      <c r="G33" s="28"/>
    </row>
    <row r="34" spans="1:9" ht="26.25">
      <c r="A34" s="53" t="s">
        <v>132</v>
      </c>
      <c r="B34" s="34">
        <f t="shared" si="0"/>
        <v>31</v>
      </c>
      <c r="C34" s="34">
        <v>4</v>
      </c>
      <c r="D34" s="34" t="s">
        <v>107</v>
      </c>
      <c r="E34" s="43" t="s">
        <v>133</v>
      </c>
      <c r="F34" s="35"/>
      <c r="G34" s="62" t="s">
        <v>134</v>
      </c>
      <c r="I34" s="25"/>
    </row>
    <row r="35" spans="1:9">
      <c r="A35" s="53" t="s">
        <v>135</v>
      </c>
      <c r="B35" s="34">
        <f t="shared" si="0"/>
        <v>32</v>
      </c>
      <c r="C35" s="34">
        <v>1</v>
      </c>
      <c r="D35" s="34" t="s">
        <v>79</v>
      </c>
      <c r="E35" s="35"/>
      <c r="F35" s="35"/>
      <c r="G35" s="34">
        <v>9</v>
      </c>
    </row>
    <row r="36" spans="1:9">
      <c r="A36" s="53" t="s">
        <v>136</v>
      </c>
      <c r="B36" s="34">
        <f t="shared" si="0"/>
        <v>33</v>
      </c>
      <c r="C36" s="34">
        <v>1</v>
      </c>
      <c r="D36" s="34" t="s">
        <v>79</v>
      </c>
      <c r="E36" s="35"/>
      <c r="F36" s="35"/>
      <c r="G36" s="34">
        <v>9</v>
      </c>
    </row>
    <row r="37" spans="1:9" ht="15.75" thickBot="1">
      <c r="A37" s="52" t="s">
        <v>137</v>
      </c>
      <c r="B37" s="38">
        <f t="shared" si="0"/>
        <v>34</v>
      </c>
      <c r="C37" s="38">
        <v>2</v>
      </c>
      <c r="D37" s="38" t="s">
        <v>79</v>
      </c>
      <c r="E37" s="39"/>
      <c r="F37" s="39"/>
      <c r="G37" s="63" t="s">
        <v>138</v>
      </c>
    </row>
    <row r="39" spans="1:9">
      <c r="A39" s="26"/>
    </row>
  </sheetData>
  <mergeCells count="1">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4"/>
  <sheetViews>
    <sheetView workbookViewId="0">
      <selection activeCell="H8" sqref="H8"/>
    </sheetView>
  </sheetViews>
  <sheetFormatPr defaultRowHeight="15"/>
  <cols>
    <col min="1" max="1" width="29.28515625" customWidth="1"/>
    <col min="2" max="2" width="7.42578125" bestFit="1" customWidth="1"/>
    <col min="3" max="3" width="9" bestFit="1" customWidth="1"/>
    <col min="4" max="5" width="9.85546875" bestFit="1" customWidth="1"/>
    <col min="6" max="6" width="50.28515625" customWidth="1"/>
    <col min="7" max="7" width="29.28515625" customWidth="1"/>
    <col min="8" max="8" width="36.85546875" customWidth="1"/>
  </cols>
  <sheetData>
    <row r="1" spans="1:8" ht="24.6" customHeight="1" thickBot="1">
      <c r="A1" s="100" t="s">
        <v>139</v>
      </c>
      <c r="B1" s="101"/>
      <c r="C1" s="101"/>
      <c r="D1" s="101"/>
      <c r="E1" s="101"/>
      <c r="F1" s="101"/>
      <c r="G1" s="102"/>
    </row>
    <row r="2" spans="1:8" ht="15.75" thickBot="1"/>
    <row r="3" spans="1:8" ht="39.75" thickBot="1">
      <c r="A3" s="40" t="s">
        <v>33</v>
      </c>
      <c r="B3" s="41" t="s">
        <v>34</v>
      </c>
      <c r="C3" s="41" t="s">
        <v>35</v>
      </c>
      <c r="D3" s="41" t="s">
        <v>36</v>
      </c>
      <c r="E3" s="41" t="s">
        <v>140</v>
      </c>
      <c r="F3" s="42" t="s">
        <v>10</v>
      </c>
      <c r="G3" s="68" t="s">
        <v>37</v>
      </c>
      <c r="H3" s="78" t="s">
        <v>141</v>
      </c>
    </row>
    <row r="4" spans="1:8" ht="39.75" thickBot="1">
      <c r="A4" s="54" t="s">
        <v>38</v>
      </c>
      <c r="B4" s="44">
        <v>1</v>
      </c>
      <c r="C4" s="44">
        <v>3</v>
      </c>
      <c r="D4" s="44" t="s">
        <v>39</v>
      </c>
      <c r="E4" s="44" t="s">
        <v>39</v>
      </c>
      <c r="F4" s="55" t="s">
        <v>142</v>
      </c>
      <c r="G4" s="69" t="s">
        <v>17</v>
      </c>
      <c r="H4" s="80" t="s">
        <v>143</v>
      </c>
    </row>
    <row r="5" spans="1:8">
      <c r="A5" s="56" t="s">
        <v>144</v>
      </c>
      <c r="B5" s="29">
        <f t="shared" ref="B5:B36" si="0">B4+1</f>
        <v>2</v>
      </c>
      <c r="C5" s="29">
        <v>2</v>
      </c>
      <c r="D5" s="29" t="s">
        <v>39</v>
      </c>
      <c r="E5" s="29" t="s">
        <v>39</v>
      </c>
      <c r="F5" s="30" t="s">
        <v>145</v>
      </c>
      <c r="G5" s="70" t="s">
        <v>146</v>
      </c>
    </row>
    <row r="6" spans="1:8" ht="15.75" thickBot="1">
      <c r="A6" s="52" t="s">
        <v>147</v>
      </c>
      <c r="B6" s="38">
        <f t="shared" si="0"/>
        <v>3</v>
      </c>
      <c r="C6" s="38">
        <v>7</v>
      </c>
      <c r="D6" s="38" t="s">
        <v>39</v>
      </c>
      <c r="E6" s="38" t="s">
        <v>39</v>
      </c>
      <c r="F6" s="39" t="s">
        <v>148</v>
      </c>
      <c r="G6" s="71"/>
    </row>
    <row r="7" spans="1:8">
      <c r="A7" s="56" t="s">
        <v>149</v>
      </c>
      <c r="B7" s="29">
        <f t="shared" si="0"/>
        <v>4</v>
      </c>
      <c r="C7" s="29">
        <v>2</v>
      </c>
      <c r="D7" s="29" t="s">
        <v>107</v>
      </c>
      <c r="E7" s="29" t="s">
        <v>107</v>
      </c>
      <c r="F7" s="30" t="str">
        <f t="shared" ref="F7:F51" si="1">CONCATENATE("ICD Code version. Required when Field " &amp; B8 &amp; " is valued.")</f>
        <v>ICD Code version. Required when Field 5 is valued.</v>
      </c>
      <c r="G7" s="70" t="s">
        <v>146</v>
      </c>
    </row>
    <row r="8" spans="1:8" ht="15.75" thickBot="1">
      <c r="A8" s="52" t="s">
        <v>150</v>
      </c>
      <c r="B8" s="38">
        <f t="shared" si="0"/>
        <v>5</v>
      </c>
      <c r="C8" s="38">
        <v>7</v>
      </c>
      <c r="D8" s="38" t="s">
        <v>107</v>
      </c>
      <c r="E8" s="38" t="s">
        <v>107</v>
      </c>
      <c r="F8" s="39" t="str">
        <f t="shared" ref="F8" si="2">CONCATENATE("Diagnosis Code.    Required when Field " &amp; B7 &amp; " is valued.")</f>
        <v>Diagnosis Code.    Required when Field 4 is valued.</v>
      </c>
      <c r="G8" s="71"/>
    </row>
    <row r="9" spans="1:8">
      <c r="A9" s="53" t="s">
        <v>151</v>
      </c>
      <c r="B9" s="29">
        <f t="shared" si="0"/>
        <v>6</v>
      </c>
      <c r="C9" s="34">
        <v>2</v>
      </c>
      <c r="D9" s="29" t="s">
        <v>107</v>
      </c>
      <c r="E9" s="29" t="s">
        <v>107</v>
      </c>
      <c r="F9" s="30" t="str">
        <f t="shared" si="1"/>
        <v>ICD Code version. Required when Field 7 is valued.</v>
      </c>
      <c r="G9" s="67" t="s">
        <v>146</v>
      </c>
    </row>
    <row r="10" spans="1:8" ht="15.75" thickBot="1">
      <c r="A10" s="57" t="s">
        <v>152</v>
      </c>
      <c r="B10" s="38">
        <f t="shared" si="0"/>
        <v>7</v>
      </c>
      <c r="C10" s="45">
        <v>7</v>
      </c>
      <c r="D10" s="45" t="s">
        <v>107</v>
      </c>
      <c r="E10" s="45" t="s">
        <v>107</v>
      </c>
      <c r="F10" s="39" t="str">
        <f t="shared" ref="F10" si="3">CONCATENATE("Diagnosis Code.    Required when Field " &amp; B9 &amp; " is valued.")</f>
        <v>Diagnosis Code.    Required when Field 6 is valued.</v>
      </c>
      <c r="G10" s="72"/>
    </row>
    <row r="11" spans="1:8">
      <c r="A11" s="56" t="s">
        <v>153</v>
      </c>
      <c r="B11" s="29">
        <f t="shared" si="0"/>
        <v>8</v>
      </c>
      <c r="C11" s="29">
        <v>2</v>
      </c>
      <c r="D11" s="29" t="s">
        <v>107</v>
      </c>
      <c r="E11" s="29" t="s">
        <v>107</v>
      </c>
      <c r="F11" s="30" t="str">
        <f t="shared" si="1"/>
        <v>ICD Code version. Required when Field 9 is valued.</v>
      </c>
      <c r="G11" s="70" t="s">
        <v>146</v>
      </c>
    </row>
    <row r="12" spans="1:8" ht="15.75" thickBot="1">
      <c r="A12" s="52" t="s">
        <v>154</v>
      </c>
      <c r="B12" s="38">
        <f t="shared" si="0"/>
        <v>9</v>
      </c>
      <c r="C12" s="38">
        <v>7</v>
      </c>
      <c r="D12" s="38" t="s">
        <v>107</v>
      </c>
      <c r="E12" s="38" t="s">
        <v>107</v>
      </c>
      <c r="F12" s="39" t="str">
        <f t="shared" ref="F12" si="4">CONCATENATE("Diagnosis Code.    Required when Field " &amp; B11 &amp; " is valued.")</f>
        <v>Diagnosis Code.    Required when Field 8 is valued.</v>
      </c>
      <c r="G12" s="71"/>
    </row>
    <row r="13" spans="1:8">
      <c r="A13" s="59" t="s">
        <v>155</v>
      </c>
      <c r="B13" s="29">
        <f t="shared" si="0"/>
        <v>10</v>
      </c>
      <c r="C13" s="60">
        <v>2</v>
      </c>
      <c r="D13" s="60" t="s">
        <v>107</v>
      </c>
      <c r="E13" s="60" t="s">
        <v>107</v>
      </c>
      <c r="F13" s="30" t="str">
        <f t="shared" si="1"/>
        <v>ICD Code version. Required when Field 11 is valued.</v>
      </c>
      <c r="G13" s="73" t="s">
        <v>146</v>
      </c>
    </row>
    <row r="14" spans="1:8" ht="15.75" thickBot="1">
      <c r="A14" s="57" t="s">
        <v>156</v>
      </c>
      <c r="B14" s="38">
        <f t="shared" si="0"/>
        <v>11</v>
      </c>
      <c r="C14" s="45">
        <v>7</v>
      </c>
      <c r="D14" s="45" t="s">
        <v>107</v>
      </c>
      <c r="E14" s="45" t="s">
        <v>107</v>
      </c>
      <c r="F14" s="39" t="str">
        <f t="shared" ref="F14" si="5">CONCATENATE("Diagnosis Code.    Required when Field " &amp; B13 &amp; " is valued.")</f>
        <v>Diagnosis Code.    Required when Field 10 is valued.</v>
      </c>
      <c r="G14" s="72"/>
    </row>
    <row r="15" spans="1:8">
      <c r="A15" s="56" t="s">
        <v>157</v>
      </c>
      <c r="B15" s="29">
        <f t="shared" si="0"/>
        <v>12</v>
      </c>
      <c r="C15" s="29">
        <v>2</v>
      </c>
      <c r="D15" s="29" t="s">
        <v>107</v>
      </c>
      <c r="E15" s="29" t="s">
        <v>107</v>
      </c>
      <c r="F15" s="30" t="str">
        <f t="shared" si="1"/>
        <v>ICD Code version. Required when Field 13 is valued.</v>
      </c>
      <c r="G15" s="70" t="s">
        <v>146</v>
      </c>
    </row>
    <row r="16" spans="1:8" ht="15.75" thickBot="1">
      <c r="A16" s="52" t="s">
        <v>158</v>
      </c>
      <c r="B16" s="38">
        <f t="shared" si="0"/>
        <v>13</v>
      </c>
      <c r="C16" s="38">
        <v>7</v>
      </c>
      <c r="D16" s="38" t="s">
        <v>107</v>
      </c>
      <c r="E16" s="38" t="s">
        <v>107</v>
      </c>
      <c r="F16" s="39" t="str">
        <f t="shared" ref="F16" si="6">CONCATENATE("Diagnosis Code.    Required when Field " &amp; B15 &amp; " is valued.")</f>
        <v>Diagnosis Code.    Required when Field 12 is valued.</v>
      </c>
      <c r="G16" s="71"/>
    </row>
    <row r="17" spans="1:7">
      <c r="A17" s="59" t="s">
        <v>159</v>
      </c>
      <c r="B17" s="29">
        <f t="shared" si="0"/>
        <v>14</v>
      </c>
      <c r="C17" s="60">
        <v>2</v>
      </c>
      <c r="D17" s="60" t="s">
        <v>107</v>
      </c>
      <c r="E17" s="60" t="s">
        <v>107</v>
      </c>
      <c r="F17" s="30" t="str">
        <f t="shared" si="1"/>
        <v>ICD Code version. Required when Field 15 is valued.</v>
      </c>
      <c r="G17" s="73" t="s">
        <v>146</v>
      </c>
    </row>
    <row r="18" spans="1:7" ht="15.75" thickBot="1">
      <c r="A18" s="57" t="s">
        <v>160</v>
      </c>
      <c r="B18" s="38">
        <f t="shared" si="0"/>
        <v>15</v>
      </c>
      <c r="C18" s="45">
        <v>7</v>
      </c>
      <c r="D18" s="45" t="s">
        <v>107</v>
      </c>
      <c r="E18" s="45" t="s">
        <v>107</v>
      </c>
      <c r="F18" s="39" t="str">
        <f t="shared" ref="F18" si="7">CONCATENATE("Diagnosis Code.    Required when Field " &amp; B17 &amp; " is valued.")</f>
        <v>Diagnosis Code.    Required when Field 14 is valued.</v>
      </c>
      <c r="G18" s="72"/>
    </row>
    <row r="19" spans="1:7">
      <c r="A19" s="56" t="s">
        <v>161</v>
      </c>
      <c r="B19" s="29">
        <f t="shared" si="0"/>
        <v>16</v>
      </c>
      <c r="C19" s="29">
        <v>2</v>
      </c>
      <c r="D19" s="29" t="s">
        <v>107</v>
      </c>
      <c r="E19" s="29" t="s">
        <v>107</v>
      </c>
      <c r="F19" s="30" t="str">
        <f t="shared" si="1"/>
        <v>ICD Code version. Required when Field 17 is valued.</v>
      </c>
      <c r="G19" s="70" t="s">
        <v>146</v>
      </c>
    </row>
    <row r="20" spans="1:7" ht="15.75" thickBot="1">
      <c r="A20" s="52" t="s">
        <v>162</v>
      </c>
      <c r="B20" s="38">
        <f t="shared" si="0"/>
        <v>17</v>
      </c>
      <c r="C20" s="38">
        <v>7</v>
      </c>
      <c r="D20" s="38" t="s">
        <v>107</v>
      </c>
      <c r="E20" s="38" t="s">
        <v>107</v>
      </c>
      <c r="F20" s="39" t="str">
        <f t="shared" ref="F20" si="8">CONCATENATE("Diagnosis Code.    Required when Field " &amp; B19 &amp; " is valued.")</f>
        <v>Diagnosis Code.    Required when Field 16 is valued.</v>
      </c>
      <c r="G20" s="71"/>
    </row>
    <row r="21" spans="1:7">
      <c r="A21" s="59" t="s">
        <v>163</v>
      </c>
      <c r="B21" s="29">
        <f t="shared" si="0"/>
        <v>18</v>
      </c>
      <c r="C21" s="60">
        <v>2</v>
      </c>
      <c r="D21" s="60" t="s">
        <v>107</v>
      </c>
      <c r="E21" s="60" t="s">
        <v>107</v>
      </c>
      <c r="F21" s="30" t="str">
        <f t="shared" si="1"/>
        <v>ICD Code version. Required when Field 19 is valued.</v>
      </c>
      <c r="G21" s="73" t="s">
        <v>146</v>
      </c>
    </row>
    <row r="22" spans="1:7" ht="15.75" thickBot="1">
      <c r="A22" s="57" t="s">
        <v>164</v>
      </c>
      <c r="B22" s="38">
        <f t="shared" si="0"/>
        <v>19</v>
      </c>
      <c r="C22" s="45">
        <v>7</v>
      </c>
      <c r="D22" s="45" t="s">
        <v>107</v>
      </c>
      <c r="E22" s="45" t="s">
        <v>107</v>
      </c>
      <c r="F22" s="39" t="str">
        <f t="shared" ref="F22" si="9">CONCATENATE("Diagnosis Code.    Required when Field " &amp; B21 &amp; " is valued.")</f>
        <v>Diagnosis Code.    Required when Field 18 is valued.</v>
      </c>
      <c r="G22" s="72"/>
    </row>
    <row r="23" spans="1:7">
      <c r="A23" s="56" t="s">
        <v>165</v>
      </c>
      <c r="B23" s="29">
        <f t="shared" si="0"/>
        <v>20</v>
      </c>
      <c r="C23" s="29">
        <v>2</v>
      </c>
      <c r="D23" s="29" t="s">
        <v>107</v>
      </c>
      <c r="E23" s="29" t="s">
        <v>107</v>
      </c>
      <c r="F23" s="30" t="str">
        <f t="shared" si="1"/>
        <v>ICD Code version. Required when Field 21 is valued.</v>
      </c>
      <c r="G23" s="70" t="s">
        <v>146</v>
      </c>
    </row>
    <row r="24" spans="1:7" ht="15.75" thickBot="1">
      <c r="A24" s="52" t="s">
        <v>166</v>
      </c>
      <c r="B24" s="38">
        <f t="shared" si="0"/>
        <v>21</v>
      </c>
      <c r="C24" s="38">
        <v>7</v>
      </c>
      <c r="D24" s="38" t="s">
        <v>107</v>
      </c>
      <c r="E24" s="38" t="s">
        <v>107</v>
      </c>
      <c r="F24" s="39" t="str">
        <f t="shared" ref="F24" si="10">CONCATENATE("Diagnosis Code.    Required when Field " &amp; B23 &amp; " is valued.")</f>
        <v>Diagnosis Code.    Required when Field 20 is valued.</v>
      </c>
      <c r="G24" s="71"/>
    </row>
    <row r="25" spans="1:7">
      <c r="A25" s="59" t="s">
        <v>167</v>
      </c>
      <c r="B25" s="29">
        <f t="shared" si="0"/>
        <v>22</v>
      </c>
      <c r="C25" s="60">
        <v>2</v>
      </c>
      <c r="D25" s="60" t="s">
        <v>107</v>
      </c>
      <c r="E25" s="60" t="s">
        <v>107</v>
      </c>
      <c r="F25" s="30" t="str">
        <f t="shared" si="1"/>
        <v>ICD Code version. Required when Field 23 is valued.</v>
      </c>
      <c r="G25" s="73" t="s">
        <v>146</v>
      </c>
    </row>
    <row r="26" spans="1:7" ht="15.75" thickBot="1">
      <c r="A26" s="57" t="s">
        <v>168</v>
      </c>
      <c r="B26" s="38">
        <f t="shared" si="0"/>
        <v>23</v>
      </c>
      <c r="C26" s="45">
        <v>7</v>
      </c>
      <c r="D26" s="45" t="s">
        <v>107</v>
      </c>
      <c r="E26" s="45" t="s">
        <v>107</v>
      </c>
      <c r="F26" s="39" t="str">
        <f t="shared" ref="F26" si="11">CONCATENATE("Diagnosis Code.    Required when Field " &amp; B25 &amp; " is valued.")</f>
        <v>Diagnosis Code.    Required when Field 22 is valued.</v>
      </c>
      <c r="G26" s="72"/>
    </row>
    <row r="27" spans="1:7">
      <c r="A27" s="56" t="s">
        <v>169</v>
      </c>
      <c r="B27" s="29">
        <f t="shared" si="0"/>
        <v>24</v>
      </c>
      <c r="C27" s="29">
        <v>2</v>
      </c>
      <c r="D27" s="29" t="s">
        <v>107</v>
      </c>
      <c r="E27" s="29" t="s">
        <v>107</v>
      </c>
      <c r="F27" s="30" t="str">
        <f t="shared" si="1"/>
        <v>ICD Code version. Required when Field 25 is valued.</v>
      </c>
      <c r="G27" s="70" t="s">
        <v>146</v>
      </c>
    </row>
    <row r="28" spans="1:7" ht="15.75" thickBot="1">
      <c r="A28" s="52" t="s">
        <v>170</v>
      </c>
      <c r="B28" s="38">
        <f t="shared" si="0"/>
        <v>25</v>
      </c>
      <c r="C28" s="38">
        <v>7</v>
      </c>
      <c r="D28" s="38" t="s">
        <v>107</v>
      </c>
      <c r="E28" s="38" t="s">
        <v>107</v>
      </c>
      <c r="F28" s="39" t="str">
        <f t="shared" ref="F28" si="12">CONCATENATE("Diagnosis Code.    Required when Field " &amp; B27 &amp; " is valued.")</f>
        <v>Diagnosis Code.    Required when Field 24 is valued.</v>
      </c>
      <c r="G28" s="71"/>
    </row>
    <row r="29" spans="1:7">
      <c r="A29" s="53" t="s">
        <v>171</v>
      </c>
      <c r="B29" s="29">
        <f t="shared" si="0"/>
        <v>26</v>
      </c>
      <c r="C29" s="34">
        <v>2</v>
      </c>
      <c r="D29" s="29" t="s">
        <v>107</v>
      </c>
      <c r="E29" s="29" t="s">
        <v>107</v>
      </c>
      <c r="F29" s="30" t="str">
        <f t="shared" si="1"/>
        <v>ICD Code version. Required when Field 27 is valued.</v>
      </c>
      <c r="G29" s="67" t="s">
        <v>146</v>
      </c>
    </row>
    <row r="30" spans="1:7" ht="15.75" thickBot="1">
      <c r="A30" s="57" t="s">
        <v>172</v>
      </c>
      <c r="B30" s="38">
        <f t="shared" si="0"/>
        <v>27</v>
      </c>
      <c r="C30" s="45">
        <v>7</v>
      </c>
      <c r="D30" s="45" t="s">
        <v>107</v>
      </c>
      <c r="E30" s="45" t="s">
        <v>107</v>
      </c>
      <c r="F30" s="39" t="str">
        <f t="shared" ref="F30" si="13">CONCATENATE("Diagnosis Code.    Required when Field " &amp; B29 &amp; " is valued.")</f>
        <v>Diagnosis Code.    Required when Field 26 is valued.</v>
      </c>
      <c r="G30" s="72"/>
    </row>
    <row r="31" spans="1:7">
      <c r="A31" s="56" t="s">
        <v>173</v>
      </c>
      <c r="B31" s="29">
        <f t="shared" si="0"/>
        <v>28</v>
      </c>
      <c r="C31" s="29">
        <v>2</v>
      </c>
      <c r="D31" s="29" t="s">
        <v>107</v>
      </c>
      <c r="E31" s="29" t="s">
        <v>107</v>
      </c>
      <c r="F31" s="30" t="str">
        <f t="shared" si="1"/>
        <v>ICD Code version. Required when Field 29 is valued.</v>
      </c>
      <c r="G31" s="70" t="s">
        <v>146</v>
      </c>
    </row>
    <row r="32" spans="1:7" ht="15.75" thickBot="1">
      <c r="A32" s="52" t="s">
        <v>174</v>
      </c>
      <c r="B32" s="38">
        <f t="shared" si="0"/>
        <v>29</v>
      </c>
      <c r="C32" s="38">
        <v>7</v>
      </c>
      <c r="D32" s="38" t="s">
        <v>107</v>
      </c>
      <c r="E32" s="38" t="s">
        <v>107</v>
      </c>
      <c r="F32" s="39" t="str">
        <f t="shared" ref="F32" si="14">CONCATENATE("Diagnosis Code.    Required when Field " &amp; B31 &amp; " is valued.")</f>
        <v>Diagnosis Code.    Required when Field 28 is valued.</v>
      </c>
      <c r="G32" s="71"/>
    </row>
    <row r="33" spans="1:7">
      <c r="A33" s="59" t="s">
        <v>175</v>
      </c>
      <c r="B33" s="29">
        <f t="shared" si="0"/>
        <v>30</v>
      </c>
      <c r="C33" s="60">
        <v>2</v>
      </c>
      <c r="D33" s="60" t="s">
        <v>107</v>
      </c>
      <c r="E33" s="60" t="s">
        <v>107</v>
      </c>
      <c r="F33" s="30" t="str">
        <f t="shared" si="1"/>
        <v>ICD Code version. Required when Field 31 is valued.</v>
      </c>
      <c r="G33" s="73" t="s">
        <v>146</v>
      </c>
    </row>
    <row r="34" spans="1:7" ht="15.75" thickBot="1">
      <c r="A34" s="57" t="s">
        <v>176</v>
      </c>
      <c r="B34" s="38">
        <f t="shared" si="0"/>
        <v>31</v>
      </c>
      <c r="C34" s="45">
        <v>7</v>
      </c>
      <c r="D34" s="45" t="s">
        <v>107</v>
      </c>
      <c r="E34" s="45" t="s">
        <v>107</v>
      </c>
      <c r="F34" s="39" t="str">
        <f t="shared" ref="F34" si="15">CONCATENATE("Diagnosis Code.    Required when Field " &amp; B33 &amp; " is valued.")</f>
        <v>Diagnosis Code.    Required when Field 30 is valued.</v>
      </c>
      <c r="G34" s="72"/>
    </row>
    <row r="35" spans="1:7">
      <c r="A35" s="56" t="s">
        <v>177</v>
      </c>
      <c r="B35" s="29">
        <f t="shared" si="0"/>
        <v>32</v>
      </c>
      <c r="C35" s="29">
        <v>2</v>
      </c>
      <c r="D35" s="29" t="s">
        <v>107</v>
      </c>
      <c r="E35" s="29" t="s">
        <v>107</v>
      </c>
      <c r="F35" s="30" t="str">
        <f t="shared" si="1"/>
        <v>ICD Code version. Required when Field 33 is valued.</v>
      </c>
      <c r="G35" s="70" t="s">
        <v>146</v>
      </c>
    </row>
    <row r="36" spans="1:7" ht="15.75" thickBot="1">
      <c r="A36" s="52" t="s">
        <v>178</v>
      </c>
      <c r="B36" s="38">
        <f t="shared" si="0"/>
        <v>33</v>
      </c>
      <c r="C36" s="38">
        <v>7</v>
      </c>
      <c r="D36" s="38" t="s">
        <v>107</v>
      </c>
      <c r="E36" s="38" t="s">
        <v>107</v>
      </c>
      <c r="F36" s="39" t="str">
        <f t="shared" ref="F36" si="16">CONCATENATE("Diagnosis Code.    Required when Field " &amp; B35 &amp; " is valued.")</f>
        <v>Diagnosis Code.    Required when Field 32 is valued.</v>
      </c>
      <c r="G36" s="71"/>
    </row>
    <row r="37" spans="1:7">
      <c r="A37" s="59" t="s">
        <v>179</v>
      </c>
      <c r="B37" s="29">
        <f t="shared" ref="B37:B54" si="17">B36+1</f>
        <v>34</v>
      </c>
      <c r="C37" s="60">
        <v>2</v>
      </c>
      <c r="D37" s="60" t="s">
        <v>107</v>
      </c>
      <c r="E37" s="60" t="s">
        <v>107</v>
      </c>
      <c r="F37" s="30" t="str">
        <f t="shared" si="1"/>
        <v>ICD Code version. Required when Field 35 is valued.</v>
      </c>
      <c r="G37" s="73" t="s">
        <v>146</v>
      </c>
    </row>
    <row r="38" spans="1:7" ht="15.75" thickBot="1">
      <c r="A38" s="57" t="s">
        <v>180</v>
      </c>
      <c r="B38" s="38">
        <f t="shared" si="17"/>
        <v>35</v>
      </c>
      <c r="C38" s="45">
        <v>7</v>
      </c>
      <c r="D38" s="45" t="s">
        <v>107</v>
      </c>
      <c r="E38" s="45" t="s">
        <v>107</v>
      </c>
      <c r="F38" s="39" t="str">
        <f t="shared" ref="F38" si="18">CONCATENATE("Diagnosis Code.    Required when Field " &amp; B37 &amp; " is valued.")</f>
        <v>Diagnosis Code.    Required when Field 34 is valued.</v>
      </c>
      <c r="G38" s="72"/>
    </row>
    <row r="39" spans="1:7">
      <c r="A39" s="56" t="s">
        <v>181</v>
      </c>
      <c r="B39" s="29">
        <f t="shared" si="17"/>
        <v>36</v>
      </c>
      <c r="C39" s="29">
        <v>2</v>
      </c>
      <c r="D39" s="29" t="s">
        <v>107</v>
      </c>
      <c r="E39" s="29" t="s">
        <v>107</v>
      </c>
      <c r="F39" s="30" t="str">
        <f t="shared" si="1"/>
        <v>ICD Code version. Required when Field 37 is valued.</v>
      </c>
      <c r="G39" s="70" t="s">
        <v>146</v>
      </c>
    </row>
    <row r="40" spans="1:7" ht="15.75" thickBot="1">
      <c r="A40" s="52" t="s">
        <v>182</v>
      </c>
      <c r="B40" s="38">
        <f t="shared" si="17"/>
        <v>37</v>
      </c>
      <c r="C40" s="38">
        <v>7</v>
      </c>
      <c r="D40" s="38" t="s">
        <v>107</v>
      </c>
      <c r="E40" s="38" t="s">
        <v>107</v>
      </c>
      <c r="F40" s="39" t="str">
        <f t="shared" ref="F40" si="19">CONCATENATE("Diagnosis Code.    Required when Field " &amp; B39 &amp; " is valued.")</f>
        <v>Diagnosis Code.    Required when Field 36 is valued.</v>
      </c>
      <c r="G40" s="71"/>
    </row>
    <row r="41" spans="1:7">
      <c r="A41" s="59" t="s">
        <v>183</v>
      </c>
      <c r="B41" s="29">
        <f t="shared" si="17"/>
        <v>38</v>
      </c>
      <c r="C41" s="60">
        <v>2</v>
      </c>
      <c r="D41" s="60" t="s">
        <v>107</v>
      </c>
      <c r="E41" s="60" t="s">
        <v>107</v>
      </c>
      <c r="F41" s="30" t="str">
        <f t="shared" si="1"/>
        <v>ICD Code version. Required when Field 39 is valued.</v>
      </c>
      <c r="G41" s="73" t="s">
        <v>146</v>
      </c>
    </row>
    <row r="42" spans="1:7" ht="15.75" thickBot="1">
      <c r="A42" s="57" t="s">
        <v>184</v>
      </c>
      <c r="B42" s="38">
        <f t="shared" si="17"/>
        <v>39</v>
      </c>
      <c r="C42" s="45">
        <v>7</v>
      </c>
      <c r="D42" s="45" t="s">
        <v>107</v>
      </c>
      <c r="E42" s="45" t="s">
        <v>107</v>
      </c>
      <c r="F42" s="39" t="str">
        <f t="shared" ref="F42" si="20">CONCATENATE("Diagnosis Code.    Required when Field " &amp; B41 &amp; " is valued.")</f>
        <v>Diagnosis Code.    Required when Field 38 is valued.</v>
      </c>
      <c r="G42" s="72"/>
    </row>
    <row r="43" spans="1:7">
      <c r="A43" s="56" t="s">
        <v>185</v>
      </c>
      <c r="B43" s="29">
        <f t="shared" si="17"/>
        <v>40</v>
      </c>
      <c r="C43" s="29">
        <v>2</v>
      </c>
      <c r="D43" s="29" t="s">
        <v>107</v>
      </c>
      <c r="E43" s="29" t="s">
        <v>107</v>
      </c>
      <c r="F43" s="30" t="str">
        <f t="shared" si="1"/>
        <v>ICD Code version. Required when Field 41 is valued.</v>
      </c>
      <c r="G43" s="70" t="s">
        <v>146</v>
      </c>
    </row>
    <row r="44" spans="1:7" ht="15.75" thickBot="1">
      <c r="A44" s="52" t="s">
        <v>186</v>
      </c>
      <c r="B44" s="38">
        <f t="shared" si="17"/>
        <v>41</v>
      </c>
      <c r="C44" s="38">
        <v>7</v>
      </c>
      <c r="D44" s="38" t="s">
        <v>107</v>
      </c>
      <c r="E44" s="38" t="s">
        <v>107</v>
      </c>
      <c r="F44" s="39" t="str">
        <f t="shared" ref="F44" si="21">CONCATENATE("Diagnosis Code.    Required when Field " &amp; B43 &amp; " is valued.")</f>
        <v>Diagnosis Code.    Required when Field 40 is valued.</v>
      </c>
      <c r="G44" s="71"/>
    </row>
    <row r="45" spans="1:7">
      <c r="A45" s="59" t="s">
        <v>187</v>
      </c>
      <c r="B45" s="29">
        <f t="shared" si="17"/>
        <v>42</v>
      </c>
      <c r="C45" s="60">
        <v>2</v>
      </c>
      <c r="D45" s="60" t="s">
        <v>107</v>
      </c>
      <c r="E45" s="60" t="s">
        <v>107</v>
      </c>
      <c r="F45" s="30" t="str">
        <f t="shared" si="1"/>
        <v>ICD Code version. Required when Field 43 is valued.</v>
      </c>
      <c r="G45" s="73" t="s">
        <v>146</v>
      </c>
    </row>
    <row r="46" spans="1:7" ht="15.75" thickBot="1">
      <c r="A46" s="57" t="s">
        <v>188</v>
      </c>
      <c r="B46" s="38">
        <f t="shared" si="17"/>
        <v>43</v>
      </c>
      <c r="C46" s="45">
        <v>7</v>
      </c>
      <c r="D46" s="45" t="s">
        <v>107</v>
      </c>
      <c r="E46" s="45" t="s">
        <v>107</v>
      </c>
      <c r="F46" s="39" t="str">
        <f t="shared" ref="F46" si="22">CONCATENATE("Diagnosis Code.    Required when Field " &amp; B45 &amp; " is valued.")</f>
        <v>Diagnosis Code.    Required when Field 42 is valued.</v>
      </c>
      <c r="G46" s="72"/>
    </row>
    <row r="47" spans="1:7">
      <c r="A47" s="56" t="s">
        <v>189</v>
      </c>
      <c r="B47" s="29">
        <f t="shared" si="17"/>
        <v>44</v>
      </c>
      <c r="C47" s="29">
        <v>2</v>
      </c>
      <c r="D47" s="29" t="s">
        <v>107</v>
      </c>
      <c r="E47" s="29" t="s">
        <v>107</v>
      </c>
      <c r="F47" s="30" t="str">
        <f t="shared" si="1"/>
        <v>ICD Code version. Required when Field 45 is valued.</v>
      </c>
      <c r="G47" s="70" t="s">
        <v>146</v>
      </c>
    </row>
    <row r="48" spans="1:7" ht="15.75" thickBot="1">
      <c r="A48" s="52" t="s">
        <v>190</v>
      </c>
      <c r="B48" s="38">
        <f t="shared" si="17"/>
        <v>45</v>
      </c>
      <c r="C48" s="38">
        <v>7</v>
      </c>
      <c r="D48" s="38" t="s">
        <v>107</v>
      </c>
      <c r="E48" s="38" t="s">
        <v>107</v>
      </c>
      <c r="F48" s="39" t="str">
        <f t="shared" ref="F48" si="23">CONCATENATE("Diagnosis Code.    Required when Field " &amp; B47 &amp; " is valued.")</f>
        <v>Diagnosis Code.    Required when Field 44 is valued.</v>
      </c>
      <c r="G48" s="71"/>
    </row>
    <row r="49" spans="1:7">
      <c r="A49" s="53" t="s">
        <v>191</v>
      </c>
      <c r="B49" s="29">
        <f t="shared" si="17"/>
        <v>46</v>
      </c>
      <c r="C49" s="34">
        <v>2</v>
      </c>
      <c r="D49" s="29" t="s">
        <v>107</v>
      </c>
      <c r="E49" s="29" t="s">
        <v>107</v>
      </c>
      <c r="F49" s="30" t="str">
        <f t="shared" si="1"/>
        <v>ICD Code version. Required when Field 47 is valued.</v>
      </c>
      <c r="G49" s="67" t="s">
        <v>146</v>
      </c>
    </row>
    <row r="50" spans="1:7" ht="15.75" thickBot="1">
      <c r="A50" s="57" t="s">
        <v>192</v>
      </c>
      <c r="B50" s="38">
        <f t="shared" si="17"/>
        <v>47</v>
      </c>
      <c r="C50" s="45">
        <v>7</v>
      </c>
      <c r="D50" s="45" t="s">
        <v>107</v>
      </c>
      <c r="E50" s="45" t="s">
        <v>107</v>
      </c>
      <c r="F50" s="39" t="str">
        <f t="shared" ref="F50" si="24">CONCATENATE("Diagnosis Code.    Required when Field " &amp; B49 &amp; " is valued.")</f>
        <v>Diagnosis Code.    Required when Field 46 is valued.</v>
      </c>
      <c r="G50" s="72"/>
    </row>
    <row r="51" spans="1:7">
      <c r="A51" s="56" t="s">
        <v>193</v>
      </c>
      <c r="B51" s="29">
        <f t="shared" si="17"/>
        <v>48</v>
      </c>
      <c r="C51" s="29">
        <v>2</v>
      </c>
      <c r="D51" s="29" t="s">
        <v>107</v>
      </c>
      <c r="E51" s="29" t="s">
        <v>107</v>
      </c>
      <c r="F51" s="30" t="str">
        <f t="shared" si="1"/>
        <v>ICD Code version. Required when Field 49 is valued.</v>
      </c>
      <c r="G51" s="70" t="s">
        <v>146</v>
      </c>
    </row>
    <row r="52" spans="1:7" ht="15.75" thickBot="1">
      <c r="A52" s="52" t="s">
        <v>194</v>
      </c>
      <c r="B52" s="38">
        <f t="shared" si="17"/>
        <v>49</v>
      </c>
      <c r="C52" s="38">
        <v>7</v>
      </c>
      <c r="D52" s="38" t="s">
        <v>107</v>
      </c>
      <c r="E52" s="38" t="s">
        <v>107</v>
      </c>
      <c r="F52" s="39" t="str">
        <f t="shared" ref="F52" si="25">CONCATENATE("Diagnosis Code.    Required when Field " &amp; B51 &amp; " is valued.")</f>
        <v>Diagnosis Code.    Required when Field 48 is valued.</v>
      </c>
      <c r="G52" s="71"/>
    </row>
    <row r="53" spans="1:7">
      <c r="A53" s="59" t="s">
        <v>195</v>
      </c>
      <c r="B53" s="29">
        <f t="shared" si="17"/>
        <v>50</v>
      </c>
      <c r="C53" s="60">
        <v>2</v>
      </c>
      <c r="D53" s="60" t="s">
        <v>107</v>
      </c>
      <c r="E53" s="60" t="s">
        <v>107</v>
      </c>
      <c r="F53" s="30" t="str">
        <f t="shared" ref="F53" si="26">CONCATENATE("ICD Code version. Required when Field " &amp; B54 &amp; " is valued.")</f>
        <v>ICD Code version. Required when Field 51 is valued.</v>
      </c>
      <c r="G53" s="73" t="s">
        <v>146</v>
      </c>
    </row>
    <row r="54" spans="1:7" ht="15.75" thickBot="1">
      <c r="A54" s="52" t="s">
        <v>196</v>
      </c>
      <c r="B54" s="38">
        <f t="shared" si="17"/>
        <v>51</v>
      </c>
      <c r="C54" s="38">
        <v>7</v>
      </c>
      <c r="D54" s="38" t="s">
        <v>107</v>
      </c>
      <c r="E54" s="38" t="s">
        <v>107</v>
      </c>
      <c r="F54" s="39" t="str">
        <f>CONCATENATE("Diagnosis Code.    Required when Field " &amp; B53 &amp; " is valued.")</f>
        <v>Diagnosis Code.    Required when Field 50 is valued.</v>
      </c>
      <c r="G54" s="74"/>
    </row>
  </sheetData>
  <mergeCells count="1">
    <mergeCell ref="A1:G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
  <sheetViews>
    <sheetView workbookViewId="0">
      <selection activeCell="G3" sqref="G3:G5"/>
    </sheetView>
  </sheetViews>
  <sheetFormatPr defaultRowHeight="15"/>
  <cols>
    <col min="1" max="1" width="29.28515625" customWidth="1"/>
    <col min="2" max="2" width="7.42578125" bestFit="1" customWidth="1"/>
    <col min="3" max="3" width="9" bestFit="1" customWidth="1"/>
    <col min="4" max="5" width="7.85546875" bestFit="1" customWidth="1"/>
    <col min="6" max="6" width="50.28515625" customWidth="1"/>
    <col min="7" max="7" width="29.28515625" customWidth="1"/>
  </cols>
  <sheetData>
    <row r="1" spans="1:7" ht="24.6" customHeight="1" thickBot="1">
      <c r="A1" s="100" t="s">
        <v>197</v>
      </c>
      <c r="B1" s="101"/>
      <c r="C1" s="101"/>
      <c r="D1" s="101"/>
      <c r="E1" s="101"/>
      <c r="F1" s="101"/>
      <c r="G1" s="102"/>
    </row>
    <row r="2" spans="1:7" ht="15.75" thickBot="1"/>
    <row r="3" spans="1:7" ht="39">
      <c r="A3" s="47" t="s">
        <v>33</v>
      </c>
      <c r="B3" s="48" t="s">
        <v>34</v>
      </c>
      <c r="C3" s="48" t="s">
        <v>35</v>
      </c>
      <c r="D3" s="48" t="s">
        <v>36</v>
      </c>
      <c r="E3" s="48" t="s">
        <v>140</v>
      </c>
      <c r="F3" s="49" t="s">
        <v>10</v>
      </c>
      <c r="G3" s="50" t="s">
        <v>37</v>
      </c>
    </row>
    <row r="4" spans="1:7">
      <c r="A4" s="32" t="s">
        <v>83</v>
      </c>
      <c r="B4" s="34">
        <v>1</v>
      </c>
      <c r="C4" s="34">
        <v>3</v>
      </c>
      <c r="D4" s="34" t="s">
        <v>39</v>
      </c>
      <c r="E4" s="34" t="s">
        <v>39</v>
      </c>
      <c r="F4" s="36" t="s">
        <v>198</v>
      </c>
      <c r="G4" s="67" t="s">
        <v>19</v>
      </c>
    </row>
    <row r="5" spans="1:7" ht="15.75" thickBot="1">
      <c r="A5" s="37" t="s">
        <v>199</v>
      </c>
      <c r="B5" s="38">
        <f>B4+1</f>
        <v>2</v>
      </c>
      <c r="C5" s="38">
        <v>7</v>
      </c>
      <c r="D5" s="38" t="s">
        <v>39</v>
      </c>
      <c r="E5" s="38" t="s">
        <v>39</v>
      </c>
      <c r="F5" s="39" t="s">
        <v>200</v>
      </c>
      <c r="G5" s="46"/>
    </row>
  </sheetData>
  <mergeCells count="1">
    <mergeCell ref="A1:G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FF8A61A5743D4682A6EE14F9891091" ma:contentTypeVersion="18" ma:contentTypeDescription="Create a new document." ma:contentTypeScope="" ma:versionID="ee0160a3b1f092cd2ad588261c7923a4">
  <xsd:schema xmlns:xsd="http://www.w3.org/2001/XMLSchema" xmlns:xs="http://www.w3.org/2001/XMLSchema" xmlns:p="http://schemas.microsoft.com/office/2006/metadata/properties" xmlns:ns2="c5129807-fbcd-498a-8cfb-79bdec36760d" xmlns:ns3="f465240d-2afd-4c5b-ad18-dd298147a66a" targetNamespace="http://schemas.microsoft.com/office/2006/metadata/properties" ma:root="true" ma:fieldsID="d4929d5c1be3f06affe40095ea33d305" ns2:_="" ns3:_="">
    <xsd:import namespace="c5129807-fbcd-498a-8cfb-79bdec36760d"/>
    <xsd:import namespace="f465240d-2afd-4c5b-ad18-dd298147a66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129807-fbcd-498a-8cfb-79bdec3676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b88d5ca-1edb-4e50-9d2e-f76f9e7698b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465240d-2afd-4c5b-ad18-dd298147a66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d19c3b8-436f-404a-b84e-a7a039f06702}" ma:internalName="TaxCatchAll" ma:showField="CatchAllData" ma:web="f465240d-2afd-4c5b-ad18-dd298147a6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c5129807-fbcd-498a-8cfb-79bdec36760d" xsi:nil="true"/>
    <TaxCatchAll xmlns="f465240d-2afd-4c5b-ad18-dd298147a66a" xsi:nil="true"/>
    <lcf76f155ced4ddcb4097134ff3c332f xmlns="c5129807-fbcd-498a-8cfb-79bdec36760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47EF27-2F4A-4F50-91D9-7B864F0BAD61}"/>
</file>

<file path=customXml/itemProps2.xml><?xml version="1.0" encoding="utf-8"?>
<ds:datastoreItem xmlns:ds="http://schemas.openxmlformats.org/officeDocument/2006/customXml" ds:itemID="{0114EC07-2155-4FD4-A083-6CB79400A9D0}"/>
</file>

<file path=customXml/itemProps3.xml><?xml version="1.0" encoding="utf-8"?>
<ds:datastoreItem xmlns:ds="http://schemas.openxmlformats.org/officeDocument/2006/customXml" ds:itemID="{7062D960-8E4F-4CE3-90F7-9910A17AB0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Bruce Grantham</dc:creator>
  <cp:keywords/>
  <dc:description/>
  <cp:lastModifiedBy>Reed, Linda A</cp:lastModifiedBy>
  <cp:revision/>
  <dcterms:created xsi:type="dcterms:W3CDTF">2016-08-01T15:24:01Z</dcterms:created>
  <dcterms:modified xsi:type="dcterms:W3CDTF">2023-01-24T22:48:04Z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0x01010059FF8A61A5743D4682A6EE14F9891091</vt:lpwstr>
  </property>
</Properties>
</file>